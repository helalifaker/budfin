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get EFIR/output/"/>
    </mc:Choice>
  </mc:AlternateContent>
  <xr:revisionPtr revIDLastSave="0" documentId="8_{632C2C47-1DAB-9D4F-9F15-631DB2FC66E9}" xr6:coauthVersionLast="47" xr6:coauthVersionMax="47" xr10:uidLastSave="{00000000-0000-0000-0000-000000000000}"/>
  <bookViews>
    <workbookView xWindow="0" yWindow="0" windowWidth="51200" windowHeight="28800" tabRatio="500" activeTab="8" xr2:uid="{00000000-000D-0000-FFFF-FFFF00000000}"/>
  </bookViews>
  <sheets>
    <sheet name="Parameters" sheetId="1" r:id="rId1"/>
    <sheet name="Enrollment" sheetId="2" r:id="rId2"/>
    <sheet name="Grille_Maternelle" sheetId="3" r:id="rId3"/>
    <sheet name="Grille_Elementaire" sheetId="4" r:id="rId4"/>
    <sheet name="DHG_College" sheetId="5" r:id="rId5"/>
    <sheet name="DHG_Lycee" sheetId="6" r:id="rId6"/>
    <sheet name="DHG_Optimization" sheetId="8" r:id="rId7"/>
    <sheet name="Staff_Summary" sheetId="7" r:id="rId8"/>
    <sheet name="Staffing_By_Subjec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9" l="1"/>
  <c r="F38" i="9" s="1"/>
  <c r="F31" i="9"/>
  <c r="C56" i="9"/>
  <c r="C55" i="9"/>
  <c r="B55" i="9"/>
  <c r="C54" i="9"/>
  <c r="B54" i="9"/>
  <c r="C53" i="9"/>
  <c r="B53" i="9"/>
  <c r="C52" i="9"/>
  <c r="B52" i="9"/>
  <c r="N47" i="9"/>
  <c r="G45" i="9"/>
  <c r="E45" i="9"/>
  <c r="N44" i="9"/>
  <c r="J44" i="9"/>
  <c r="I44" i="9"/>
  <c r="H44" i="9"/>
  <c r="G44" i="9"/>
  <c r="F44" i="9"/>
  <c r="E44" i="9"/>
  <c r="D44" i="9"/>
  <c r="C44" i="9"/>
  <c r="N43" i="9"/>
  <c r="J43" i="9"/>
  <c r="I43" i="9"/>
  <c r="H43" i="9"/>
  <c r="G43" i="9"/>
  <c r="F43" i="9"/>
  <c r="E43" i="9"/>
  <c r="D43" i="9"/>
  <c r="C43" i="9"/>
  <c r="M42" i="9"/>
  <c r="J42" i="9"/>
  <c r="D42" i="9"/>
  <c r="J41" i="9"/>
  <c r="C41" i="9"/>
  <c r="M40" i="9"/>
  <c r="J40" i="9"/>
  <c r="C40" i="9"/>
  <c r="N38" i="9"/>
  <c r="E38" i="9"/>
  <c r="M37" i="9"/>
  <c r="J37" i="9"/>
  <c r="I37" i="9"/>
  <c r="H37" i="9"/>
  <c r="G37" i="9"/>
  <c r="F37" i="9"/>
  <c r="E37" i="9"/>
  <c r="M36" i="9"/>
  <c r="J36" i="9"/>
  <c r="I36" i="9"/>
  <c r="H36" i="9"/>
  <c r="G36" i="9"/>
  <c r="F36" i="9"/>
  <c r="M35" i="9"/>
  <c r="J35" i="9"/>
  <c r="I35" i="9"/>
  <c r="H35" i="9"/>
  <c r="G35" i="9"/>
  <c r="F35" i="9"/>
  <c r="M34" i="9"/>
  <c r="J34" i="9"/>
  <c r="I34" i="9"/>
  <c r="H34" i="9"/>
  <c r="G34" i="9"/>
  <c r="E34" i="9"/>
  <c r="M33" i="9"/>
  <c r="J33" i="9"/>
  <c r="I33" i="9"/>
  <c r="H33" i="9"/>
  <c r="G33" i="9"/>
  <c r="F33" i="9"/>
  <c r="E33" i="9"/>
  <c r="M32" i="9"/>
  <c r="J32" i="9"/>
  <c r="I32" i="9"/>
  <c r="H32" i="9"/>
  <c r="G32" i="9"/>
  <c r="F32" i="9"/>
  <c r="E32" i="9"/>
  <c r="H31" i="9"/>
  <c r="G31" i="9"/>
  <c r="E31" i="9"/>
  <c r="N30" i="9"/>
  <c r="J30" i="9"/>
  <c r="I30" i="9"/>
  <c r="H30" i="9"/>
  <c r="G30" i="9"/>
  <c r="F30" i="9"/>
  <c r="E30" i="9"/>
  <c r="N29" i="9"/>
  <c r="J29" i="9"/>
  <c r="I29" i="9"/>
  <c r="H29" i="9"/>
  <c r="G29" i="9"/>
  <c r="F29" i="9"/>
  <c r="E29" i="9"/>
  <c r="M28" i="9"/>
  <c r="J28" i="9"/>
  <c r="I28" i="9"/>
  <c r="H28" i="9"/>
  <c r="G28" i="9"/>
  <c r="F28" i="9"/>
  <c r="E28" i="9"/>
  <c r="M27" i="9"/>
  <c r="J27" i="9"/>
  <c r="I27" i="9"/>
  <c r="H27" i="9"/>
  <c r="G27" i="9"/>
  <c r="F27" i="9"/>
  <c r="E27" i="9"/>
  <c r="H26" i="9"/>
  <c r="E26" i="9"/>
  <c r="F21" i="9"/>
  <c r="E21" i="9"/>
  <c r="D21" i="9"/>
  <c r="C21" i="9"/>
  <c r="F20" i="9"/>
  <c r="E20" i="9"/>
  <c r="C20" i="9"/>
  <c r="F19" i="9"/>
  <c r="E19" i="9"/>
  <c r="C19" i="9"/>
  <c r="F18" i="9"/>
  <c r="E18" i="9"/>
  <c r="C18" i="9"/>
  <c r="F17" i="9"/>
  <c r="E17" i="9"/>
  <c r="C17" i="9"/>
  <c r="F16" i="9"/>
  <c r="E16" i="9"/>
  <c r="C16" i="9"/>
  <c r="F15" i="9"/>
  <c r="E15" i="9"/>
  <c r="C15" i="9"/>
  <c r="F14" i="9"/>
  <c r="E14" i="9"/>
  <c r="C14" i="9"/>
  <c r="F13" i="9"/>
  <c r="E13" i="9"/>
  <c r="C13" i="9"/>
  <c r="F12" i="9"/>
  <c r="E12" i="9"/>
  <c r="C12" i="9"/>
  <c r="F11" i="9"/>
  <c r="E11" i="9"/>
  <c r="C11" i="9"/>
  <c r="F10" i="9"/>
  <c r="E10" i="9"/>
  <c r="C10" i="9"/>
  <c r="F9" i="9"/>
  <c r="E9" i="9"/>
  <c r="C9" i="9"/>
  <c r="F8" i="9"/>
  <c r="E8" i="9"/>
  <c r="C8" i="9"/>
  <c r="F7" i="9"/>
  <c r="E7" i="9"/>
  <c r="C7" i="9"/>
  <c r="F6" i="9"/>
  <c r="E6" i="9"/>
  <c r="C6" i="9"/>
  <c r="C20" i="7"/>
  <c r="C19" i="7"/>
  <c r="C18" i="7"/>
  <c r="C17" i="7"/>
  <c r="C16" i="7"/>
  <c r="C15" i="7"/>
  <c r="C14" i="7"/>
  <c r="H44" i="8"/>
  <c r="G44" i="8"/>
  <c r="F44" i="8"/>
  <c r="B44" i="8"/>
  <c r="H43" i="8"/>
  <c r="G43" i="8"/>
  <c r="F43" i="8"/>
  <c r="E43" i="8"/>
  <c r="D43" i="8"/>
  <c r="C43" i="8"/>
  <c r="B43" i="8"/>
  <c r="H42" i="8"/>
  <c r="G42" i="8"/>
  <c r="F42" i="8"/>
  <c r="E42" i="8"/>
  <c r="D42" i="8"/>
  <c r="C42" i="8"/>
  <c r="B42" i="8"/>
  <c r="H41" i="8"/>
  <c r="G41" i="8"/>
  <c r="F41" i="8"/>
  <c r="E41" i="8"/>
  <c r="D41" i="8"/>
  <c r="C41" i="8"/>
  <c r="B41" i="8"/>
  <c r="H40" i="8"/>
  <c r="G40" i="8"/>
  <c r="F40" i="8"/>
  <c r="E40" i="8"/>
  <c r="D40" i="8"/>
  <c r="C40" i="8"/>
  <c r="B40" i="8"/>
  <c r="H39" i="8"/>
  <c r="G39" i="8"/>
  <c r="F39" i="8"/>
  <c r="E39" i="8"/>
  <c r="D39" i="8"/>
  <c r="C39" i="8"/>
  <c r="B39" i="8"/>
  <c r="H38" i="8"/>
  <c r="G38" i="8"/>
  <c r="F38" i="8"/>
  <c r="E38" i="8"/>
  <c r="D38" i="8"/>
  <c r="C38" i="8"/>
  <c r="B38" i="8"/>
  <c r="H37" i="8"/>
  <c r="G37" i="8"/>
  <c r="F37" i="8"/>
  <c r="E37" i="8"/>
  <c r="D37" i="8"/>
  <c r="C37" i="8"/>
  <c r="B37" i="8"/>
  <c r="G33" i="8"/>
  <c r="F33" i="8"/>
  <c r="E33" i="8"/>
  <c r="D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E22" i="8"/>
  <c r="D22" i="8"/>
  <c r="C22" i="8"/>
  <c r="B22" i="8"/>
  <c r="F21" i="8"/>
  <c r="E21" i="8"/>
  <c r="D21" i="8"/>
  <c r="C21" i="8"/>
  <c r="E20" i="8"/>
  <c r="D20" i="8"/>
  <c r="C20" i="8"/>
  <c r="B20" i="8"/>
  <c r="E19" i="8"/>
  <c r="D19" i="8"/>
  <c r="C19" i="8"/>
  <c r="B19" i="8"/>
  <c r="E18" i="8"/>
  <c r="D18" i="8"/>
  <c r="C18" i="8"/>
  <c r="B18" i="8"/>
  <c r="D17" i="8"/>
  <c r="F13" i="8"/>
  <c r="E13" i="8"/>
  <c r="D13" i="8"/>
  <c r="C13" i="8"/>
  <c r="B13" i="8"/>
  <c r="F12" i="8"/>
  <c r="D12" i="8"/>
  <c r="C12" i="8"/>
  <c r="B12" i="8"/>
  <c r="F11" i="8"/>
  <c r="D11" i="8"/>
  <c r="C11" i="8"/>
  <c r="B11" i="8"/>
  <c r="F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B45" i="1"/>
  <c r="B44" i="1"/>
  <c r="B43" i="1"/>
  <c r="G26" i="9" l="1"/>
  <c r="G38" i="9" s="1"/>
  <c r="G47" i="9" s="1"/>
  <c r="I31" i="9"/>
  <c r="J31" i="9" s="1"/>
  <c r="I26" i="9" l="1"/>
  <c r="J26" i="9" s="1"/>
  <c r="M26" i="9" s="1"/>
  <c r="B51" i="9"/>
  <c r="B57" i="9" s="1"/>
  <c r="M31" i="9"/>
  <c r="J38" i="9" l="1"/>
  <c r="J47" i="9" s="1"/>
  <c r="C51" i="9"/>
  <c r="M38" i="9"/>
  <c r="M47" i="9" s="1"/>
  <c r="C57" i="9"/>
  <c r="D51" i="9"/>
  <c r="D52" i="9" l="1"/>
  <c r="D56" i="9"/>
  <c r="D55" i="9"/>
  <c r="D54" i="9"/>
  <c r="D53" i="9"/>
  <c r="D57" i="9" l="1"/>
  <c r="B18" i="7" l="1"/>
  <c r="B17" i="7"/>
  <c r="C11" i="7"/>
  <c r="B11" i="7"/>
  <c r="B10" i="7"/>
  <c r="B8" i="7"/>
  <c r="E69" i="6"/>
  <c r="F18" i="7" s="1"/>
  <c r="G68" i="6"/>
  <c r="E20" i="7" s="1"/>
  <c r="E68" i="6"/>
  <c r="E18" i="7" s="1"/>
  <c r="D62" i="6"/>
  <c r="D61" i="6"/>
  <c r="D60" i="6"/>
  <c r="D59" i="6"/>
  <c r="D58" i="6"/>
  <c r="D57" i="6"/>
  <c r="D51" i="6"/>
  <c r="D50" i="6"/>
  <c r="D48" i="6"/>
  <c r="C46" i="6"/>
  <c r="D49" i="6" s="1"/>
  <c r="D41" i="6"/>
  <c r="D39" i="6"/>
  <c r="D38" i="6"/>
  <c r="D37" i="6"/>
  <c r="D36" i="6"/>
  <c r="D35" i="6"/>
  <c r="D34" i="6"/>
  <c r="D17" i="6"/>
  <c r="D14" i="6"/>
  <c r="D13" i="6"/>
  <c r="D11" i="6"/>
  <c r="D9" i="6"/>
  <c r="C6" i="6"/>
  <c r="D12" i="6" s="1"/>
  <c r="E18" i="5"/>
  <c r="D18" i="5"/>
  <c r="C18" i="5"/>
  <c r="B18" i="5"/>
  <c r="E5" i="5"/>
  <c r="I15" i="5" s="1"/>
  <c r="D27" i="4"/>
  <c r="F11" i="7" s="1"/>
  <c r="D26" i="4"/>
  <c r="E11" i="7" s="1"/>
  <c r="C26" i="4"/>
  <c r="E10" i="7" s="1"/>
  <c r="D25" i="4"/>
  <c r="D24" i="4"/>
  <c r="C24" i="4"/>
  <c r="C25" i="4" s="1"/>
  <c r="F20" i="4"/>
  <c r="E20" i="4"/>
  <c r="D20" i="4"/>
  <c r="C20" i="4"/>
  <c r="B20" i="4"/>
  <c r="F14" i="4"/>
  <c r="E14" i="4"/>
  <c r="D14" i="4"/>
  <c r="C14" i="4"/>
  <c r="B14" i="4"/>
  <c r="D18" i="3"/>
  <c r="C18" i="3"/>
  <c r="B18" i="3"/>
  <c r="D12" i="3"/>
  <c r="C12" i="3"/>
  <c r="B12" i="3"/>
  <c r="C20" i="2"/>
  <c r="I18" i="2"/>
  <c r="J18" i="2" s="1"/>
  <c r="F18" i="2"/>
  <c r="E18" i="2"/>
  <c r="H18" i="2" s="1"/>
  <c r="E17" i="2"/>
  <c r="C23" i="6" s="1"/>
  <c r="I16" i="2"/>
  <c r="J16" i="2" s="1"/>
  <c r="H16" i="2"/>
  <c r="G16" i="2"/>
  <c r="E16" i="2"/>
  <c r="F16" i="2" s="1"/>
  <c r="J15" i="2"/>
  <c r="I15" i="2"/>
  <c r="H15" i="2"/>
  <c r="G15" i="2"/>
  <c r="F15" i="2"/>
  <c r="E15" i="2"/>
  <c r="I14" i="2"/>
  <c r="J14" i="2" s="1"/>
  <c r="G14" i="2"/>
  <c r="E14" i="2"/>
  <c r="H14" i="2" s="1"/>
  <c r="E13" i="2"/>
  <c r="C5" i="5" s="1"/>
  <c r="E12" i="2"/>
  <c r="F12" i="2" s="1"/>
  <c r="I11" i="2"/>
  <c r="J11" i="2" s="1"/>
  <c r="F11" i="2"/>
  <c r="E11" i="2"/>
  <c r="C13" i="7" s="1"/>
  <c r="E10" i="2"/>
  <c r="E24" i="4" s="1"/>
  <c r="I9" i="2"/>
  <c r="J9" i="2" s="1"/>
  <c r="H9" i="2"/>
  <c r="G9" i="2"/>
  <c r="E9" i="2"/>
  <c r="F9" i="2" s="1"/>
  <c r="J8" i="2"/>
  <c r="I8" i="2"/>
  <c r="H8" i="2"/>
  <c r="G8" i="2"/>
  <c r="F8" i="2"/>
  <c r="E8" i="2"/>
  <c r="C10" i="7" s="1"/>
  <c r="G7" i="2"/>
  <c r="E7" i="2"/>
  <c r="H7" i="2" s="1"/>
  <c r="H6" i="2"/>
  <c r="E6" i="2"/>
  <c r="D22" i="3" s="1"/>
  <c r="E5" i="2"/>
  <c r="E20" i="2" s="1"/>
  <c r="I4" i="2"/>
  <c r="J4" i="2" s="1"/>
  <c r="F4" i="2"/>
  <c r="E4" i="2"/>
  <c r="H4" i="2" s="1"/>
  <c r="E25" i="4" l="1"/>
  <c r="E27" i="4"/>
  <c r="F12" i="7" s="1"/>
  <c r="E26" i="4"/>
  <c r="E12" i="7" s="1"/>
  <c r="G12" i="5"/>
  <c r="G15" i="5"/>
  <c r="G8" i="5"/>
  <c r="G11" i="5"/>
  <c r="G22" i="5"/>
  <c r="E15" i="7" s="1"/>
  <c r="G13" i="5"/>
  <c r="G6" i="5"/>
  <c r="G16" i="5"/>
  <c r="G9" i="5"/>
  <c r="G23" i="5"/>
  <c r="F15" i="7" s="1"/>
  <c r="G14" i="5"/>
  <c r="G7" i="5"/>
  <c r="G17" i="5"/>
  <c r="G10" i="5"/>
  <c r="F68" i="6"/>
  <c r="E19" i="7" s="1"/>
  <c r="D29" i="6"/>
  <c r="D27" i="6"/>
  <c r="D26" i="6"/>
  <c r="D25" i="6"/>
  <c r="D24" i="6"/>
  <c r="D40" i="6"/>
  <c r="D30" i="6"/>
  <c r="F69" i="6"/>
  <c r="F19" i="7" s="1"/>
  <c r="D28" i="6"/>
  <c r="D23" i="3"/>
  <c r="D24" i="3"/>
  <c r="D26" i="3"/>
  <c r="F8" i="7" s="1"/>
  <c r="D25" i="3"/>
  <c r="E8" i="7" s="1"/>
  <c r="I5" i="2"/>
  <c r="J5" i="2" s="1"/>
  <c r="G10" i="2"/>
  <c r="I12" i="2"/>
  <c r="J12" i="2" s="1"/>
  <c r="G17" i="2"/>
  <c r="I6" i="5"/>
  <c r="I13" i="5"/>
  <c r="I22" i="5"/>
  <c r="E17" i="7" s="1"/>
  <c r="D15" i="6"/>
  <c r="D52" i="6"/>
  <c r="C8" i="7"/>
  <c r="B15" i="7"/>
  <c r="I16" i="5"/>
  <c r="H5" i="2"/>
  <c r="F10" i="2"/>
  <c r="H12" i="2"/>
  <c r="B24" i="4"/>
  <c r="D16" i="6"/>
  <c r="D53" i="6"/>
  <c r="G69" i="6"/>
  <c r="F20" i="7" s="1"/>
  <c r="D8" i="7"/>
  <c r="B19" i="7"/>
  <c r="H10" i="2"/>
  <c r="H17" i="2"/>
  <c r="I10" i="5"/>
  <c r="F6" i="2"/>
  <c r="F13" i="2"/>
  <c r="C27" i="4"/>
  <c r="F10" i="7" s="1"/>
  <c r="D18" i="6"/>
  <c r="B6" i="7"/>
  <c r="C12" i="7"/>
  <c r="I12" i="5"/>
  <c r="G5" i="2"/>
  <c r="I7" i="2"/>
  <c r="J7" i="2" s="1"/>
  <c r="G12" i="2"/>
  <c r="I9" i="5"/>
  <c r="F17" i="2"/>
  <c r="I10" i="2"/>
  <c r="J10" i="2" s="1"/>
  <c r="I17" i="2"/>
  <c r="J17" i="2" s="1"/>
  <c r="I17" i="5"/>
  <c r="B12" i="7"/>
  <c r="G6" i="2"/>
  <c r="G13" i="2"/>
  <c r="B22" i="3"/>
  <c r="I7" i="5"/>
  <c r="I14" i="5"/>
  <c r="I23" i="5"/>
  <c r="F17" i="7" s="1"/>
  <c r="C6" i="7"/>
  <c r="B9" i="7"/>
  <c r="B16" i="7"/>
  <c r="H13" i="2"/>
  <c r="C22" i="3"/>
  <c r="F24" i="4"/>
  <c r="D6" i="7"/>
  <c r="C9" i="7"/>
  <c r="G4" i="2"/>
  <c r="I6" i="2"/>
  <c r="J6" i="2" s="1"/>
  <c r="G11" i="2"/>
  <c r="I13" i="2"/>
  <c r="J13" i="2" s="1"/>
  <c r="G18" i="2"/>
  <c r="I11" i="5"/>
  <c r="D7" i="6"/>
  <c r="D19" i="6" s="1"/>
  <c r="B13" i="7"/>
  <c r="B20" i="7"/>
  <c r="H11" i="2"/>
  <c r="B5" i="5"/>
  <c r="D8" i="6"/>
  <c r="I8" i="5"/>
  <c r="D63" i="6"/>
  <c r="B7" i="7"/>
  <c r="F7" i="2"/>
  <c r="F14" i="2"/>
  <c r="D5" i="5"/>
  <c r="D10" i="6"/>
  <c r="D47" i="6"/>
  <c r="C7" i="7"/>
  <c r="D7" i="7"/>
  <c r="B14" i="7"/>
  <c r="F5" i="2"/>
  <c r="B32" i="7" l="1"/>
  <c r="D22" i="7"/>
  <c r="C24" i="3"/>
  <c r="C23" i="3"/>
  <c r="C26" i="3"/>
  <c r="F7" i="7" s="1"/>
  <c r="C25" i="3"/>
  <c r="E7" i="7" s="1"/>
  <c r="D42" i="6"/>
  <c r="G18" i="5"/>
  <c r="I18" i="5"/>
  <c r="F27" i="4"/>
  <c r="F13" i="7" s="1"/>
  <c r="F25" i="4"/>
  <c r="F26" i="4"/>
  <c r="E13" i="7" s="1"/>
  <c r="F22" i="5"/>
  <c r="E14" i="7" s="1"/>
  <c r="F13" i="5"/>
  <c r="F6" i="5"/>
  <c r="F16" i="5"/>
  <c r="F9" i="5"/>
  <c r="F12" i="5"/>
  <c r="F15" i="5"/>
  <c r="F8" i="5"/>
  <c r="F11" i="5"/>
  <c r="F17" i="5"/>
  <c r="F23" i="5"/>
  <c r="F14" i="7" s="1"/>
  <c r="F14" i="5"/>
  <c r="F7" i="5"/>
  <c r="F10" i="5"/>
  <c r="D71" i="6"/>
  <c r="B31" i="7"/>
  <c r="B26" i="4"/>
  <c r="E9" i="7" s="1"/>
  <c r="B25" i="4"/>
  <c r="B27" i="4"/>
  <c r="F9" i="7" s="1"/>
  <c r="B22" i="7"/>
  <c r="B23" i="3"/>
  <c r="B25" i="3"/>
  <c r="E6" i="7" s="1"/>
  <c r="B24" i="3"/>
  <c r="B26" i="3"/>
  <c r="F6" i="7" s="1"/>
  <c r="H16" i="5"/>
  <c r="H9" i="5"/>
  <c r="H12" i="5"/>
  <c r="H15" i="5"/>
  <c r="H8" i="5"/>
  <c r="H11" i="5"/>
  <c r="H23" i="5"/>
  <c r="F16" i="7" s="1"/>
  <c r="H14" i="5"/>
  <c r="H7" i="5"/>
  <c r="H22" i="5"/>
  <c r="E16" i="7" s="1"/>
  <c r="H13" i="5"/>
  <c r="H6" i="5"/>
  <c r="H17" i="5"/>
  <c r="H10" i="5"/>
  <c r="D64" i="6"/>
  <c r="B33" i="7"/>
  <c r="F22" i="7" l="1"/>
  <c r="B27" i="7" s="1"/>
  <c r="D27" i="7" s="1"/>
  <c r="B36" i="7" s="1"/>
  <c r="H18" i="5"/>
  <c r="E22" i="7"/>
  <c r="B26" i="7" s="1"/>
  <c r="D26" i="7" s="1"/>
  <c r="B35" i="7" s="1"/>
  <c r="F18" i="5"/>
  <c r="B34" i="7" l="1"/>
  <c r="B37" i="7" s="1"/>
  <c r="C22" i="7"/>
</calcChain>
</file>

<file path=xl/sharedStrings.xml><?xml version="1.0" encoding="utf-8"?>
<sst xmlns="http://schemas.openxmlformats.org/spreadsheetml/2006/main" count="728" uniqueCount="385">
  <si>
    <t>EFIR — Staffing Model Parameters</t>
  </si>
  <si>
    <t>School Information</t>
  </si>
  <si>
    <t>School Name</t>
  </si>
  <si>
    <t>EFIR</t>
  </si>
  <si>
    <t>Academic Year</t>
  </si>
  <si>
    <t>AY 2026-2027</t>
  </si>
  <si>
    <t>Projection year</t>
  </si>
  <si>
    <t>Curriculum</t>
  </si>
  <si>
    <t>French National (Éducation Nationale)</t>
  </si>
  <si>
    <t>AEFE homologated</t>
  </si>
  <si>
    <t>Tracks Offered</t>
  </si>
  <si>
    <t>Voie Générale only</t>
  </si>
  <si>
    <t>Weeks per Year</t>
  </si>
  <si>
    <t>Standard French school year</t>
  </si>
  <si>
    <t>Class Size Parameters</t>
  </si>
  <si>
    <t>Level</t>
  </si>
  <si>
    <t>Max Class Size</t>
  </si>
  <si>
    <t>Input Override</t>
  </si>
  <si>
    <t>Notes</t>
  </si>
  <si>
    <t>PS (Maternelle)</t>
  </si>
  <si>
    <t>Standard French maternelle</t>
  </si>
  <si>
    <t>MS (Maternelle)</t>
  </si>
  <si>
    <t>GS (Maternelle)</t>
  </si>
  <si>
    <t>CP</t>
  </si>
  <si>
    <t>Élémentaire standard</t>
  </si>
  <si>
    <t>CE1</t>
  </si>
  <si>
    <t>CE2</t>
  </si>
  <si>
    <t>CM1</t>
  </si>
  <si>
    <t>CM2</t>
  </si>
  <si>
    <t>6ème</t>
  </si>
  <si>
    <t>Collège standard</t>
  </si>
  <si>
    <t>5ème</t>
  </si>
  <si>
    <t>4ème</t>
  </si>
  <si>
    <t>3ème</t>
  </si>
  <si>
    <t>2nde</t>
  </si>
  <si>
    <t>Lycée — voie générale</t>
  </si>
  <si>
    <t>1ère</t>
  </si>
  <si>
    <t>Terminale</t>
  </si>
  <si>
    <t>Teacher Service Obligations (h/week)</t>
  </si>
  <si>
    <t>Staff Category</t>
  </si>
  <si>
    <t>Weekly Hours</t>
  </si>
  <si>
    <t>Professeur des Écoles (Maternelle/Élémentaire)</t>
  </si>
  <si>
    <t>26h in front of students, 108h annual other duties</t>
  </si>
  <si>
    <t>Certifié (Collège/Lycée)</t>
  </si>
  <si>
    <t>Standard secondary teaching obligation</t>
  </si>
  <si>
    <t>Agrégé (Collège/Lycée)</t>
  </si>
  <si>
    <t>If applicable</t>
  </si>
  <si>
    <t>Professeur d'EPS</t>
  </si>
  <si>
    <t>Physical education</t>
  </si>
  <si>
    <t>Documentaliste</t>
  </si>
  <si>
    <t>CDI — different nature of service</t>
  </si>
  <si>
    <t>Arabic/Islamic Studies Teacher</t>
  </si>
  <si>
    <t>Estimated — adjust per EFIR contract</t>
  </si>
  <si>
    <t>ASEM / Teaching Assistant (Maternelle)</t>
  </si>
  <si>
    <t>Full-time assistant</t>
  </si>
  <si>
    <t>EFIR — Enrollment &amp; Capacity Planning</t>
  </si>
  <si>
    <t>Grade</t>
  </si>
  <si>
    <t>Band</t>
  </si>
  <si>
    <t>AY2 Enrollment</t>
  </si>
  <si>
    <t>Sections Needed</t>
  </si>
  <si>
    <t>Plancher (70%)</t>
  </si>
  <si>
    <t>Cible (85%)</t>
  </si>
  <si>
    <t>Plafond (100%)</t>
  </si>
  <si>
    <t>Utilization %</t>
  </si>
  <si>
    <t>Alert</t>
  </si>
  <si>
    <t>PS</t>
  </si>
  <si>
    <t>Maternelle</t>
  </si>
  <si>
    <t>MS</t>
  </si>
  <si>
    <t>GS</t>
  </si>
  <si>
    <t>Élémentaire</t>
  </si>
  <si>
    <t>Collège</t>
  </si>
  <si>
    <t>Lycée</t>
  </si>
  <si>
    <t>TOTAL SCHOOL</t>
  </si>
  <si>
    <t>EFIR — Maternelle Teaching Hours (PS / MS / GS)</t>
  </si>
  <si>
    <t>Framework: Not DHG — French Maternelle uses 24h/week student time + 1 teacher per class + 1 ASEM</t>
  </si>
  <si>
    <t>Domain / Activity</t>
  </si>
  <si>
    <t>PS (h/wk)</t>
  </si>
  <si>
    <t>MS (h/wk)</t>
  </si>
  <si>
    <t>GS (h/wk)</t>
  </si>
  <si>
    <t>Mobiliser le langage (oral &amp; écrit)</t>
  </si>
  <si>
    <t>Core language development</t>
  </si>
  <si>
    <t>Agir, s'exprimer à travers l'activité physique</t>
  </si>
  <si>
    <t>Physical activity</t>
  </si>
  <si>
    <t>Agir, s'exprimer à travers les activités artistiques</t>
  </si>
  <si>
    <t>Arts &amp; creativity</t>
  </si>
  <si>
    <t>Construire les premiers outils (maths)</t>
  </si>
  <si>
    <t>Early numeracy</t>
  </si>
  <si>
    <t>Explorer le monde</t>
  </si>
  <si>
    <t>Discovery of the world</t>
  </si>
  <si>
    <t>Récréations</t>
  </si>
  <si>
    <t>Breaks</t>
  </si>
  <si>
    <t>Accueil / Rituels</t>
  </si>
  <si>
    <t>Welcome &amp; routines</t>
  </si>
  <si>
    <t>Total Student Hours / Week</t>
  </si>
  <si>
    <t>Host-Country Additions</t>
  </si>
  <si>
    <t>Subject</t>
  </si>
  <si>
    <t>Arabic Language</t>
  </si>
  <si>
    <t>KSA standard for French schools</t>
  </si>
  <si>
    <t>Islamic Studies</t>
  </si>
  <si>
    <t>Total Host-Country Hours / Week</t>
  </si>
  <si>
    <t>Staffing Calculation — Maternelle</t>
  </si>
  <si>
    <t>Metric</t>
  </si>
  <si>
    <t>Sections (from Enrollment)</t>
  </si>
  <si>
    <t>Auto-linked from Enrollment sheet</t>
  </si>
  <si>
    <t>French Curriculum Teachers (PE)</t>
  </si>
  <si>
    <t>1 PE per section</t>
  </si>
  <si>
    <t>ASEM Assistants</t>
  </si>
  <si>
    <t>1 ASEM per section</t>
  </si>
  <si>
    <t>Arabic Teacher Hours Needed</t>
  </si>
  <si>
    <t>Hours = h/wk per section × sections</t>
  </si>
  <si>
    <t>Islamic Studies Hours Needed</t>
  </si>
  <si>
    <t>EFIR — Élémentaire Teaching Hours (CP to CM2)</t>
  </si>
  <si>
    <t>Framework: French Élémentaire — 24h/week student hours, 1 PE per class</t>
  </si>
  <si>
    <t>Discipline</t>
  </si>
  <si>
    <t>CP (h/wk)</t>
  </si>
  <si>
    <t>CE1 (h/wk)</t>
  </si>
  <si>
    <t>CE2 (h/wk)</t>
  </si>
  <si>
    <t>CM1 (h/wk)</t>
  </si>
  <si>
    <t>CM2 (h/wk)</t>
  </si>
  <si>
    <t>Français</t>
  </si>
  <si>
    <t>Lecture, écriture, grammaire, vocabulaire</t>
  </si>
  <si>
    <t>Mathématiques</t>
  </si>
  <si>
    <t>Nombres, calcul, géométrie, mesures</t>
  </si>
  <si>
    <t>Langue Vivante (Anglais)</t>
  </si>
  <si>
    <t>LVA — English</t>
  </si>
  <si>
    <t>EPS</t>
  </si>
  <si>
    <t>Éducation physique et sportive</t>
  </si>
  <si>
    <t>Sciences et Technologie</t>
  </si>
  <si>
    <t>Questionner le monde / Sciences</t>
  </si>
  <si>
    <t>Histoire-Géographie-EMC</t>
  </si>
  <si>
    <t>Questionner le monde / HG-EMC</t>
  </si>
  <si>
    <t>Arts Plastiques</t>
  </si>
  <si>
    <t>Éducation Musicale</t>
  </si>
  <si>
    <t>Included in 24h framework</t>
  </si>
  <si>
    <t>KSA standard estimate</t>
  </si>
  <si>
    <t>Staffing Calculation — Élémentaire</t>
  </si>
  <si>
    <t>Auto-linked</t>
  </si>
  <si>
    <t>h/wk × sections</t>
  </si>
  <si>
    <t>EFIR — DHG Collège (6ème to 3ème)</t>
  </si>
  <si>
    <t>French National Grille Horaire — Arrêté du 19 mai 2015 (modified 2024/2025)</t>
  </si>
  <si>
    <t>6ème (h/wk)</t>
  </si>
  <si>
    <t>5ème (h/wk)</t>
  </si>
  <si>
    <t>4ème (h/wk)</t>
  </si>
  <si>
    <t>3ème (h/wk)</t>
  </si>
  <si>
    <t>6ème Total</t>
  </si>
  <si>
    <t>5ème Total</t>
  </si>
  <si>
    <t>4ème Total</t>
  </si>
  <si>
    <t>3ème Total</t>
  </si>
  <si>
    <t>SECTIONS (from Enrollment)</t>
  </si>
  <si>
    <t>dont 30min EMC</t>
  </si>
  <si>
    <t>LVA — Anglais</t>
  </si>
  <si>
    <t>LVB — Espagnol</t>
  </si>
  <si>
    <t>Starts in 5ème</t>
  </si>
  <si>
    <t>Sciences de la Vie et de la Terre</t>
  </si>
  <si>
    <t>Physique-Chimie</t>
  </si>
  <si>
    <t>Technologie</t>
  </si>
  <si>
    <t>Marge d'autonomie (3h/division)</t>
  </si>
  <si>
    <t>AP, EPI, dédoublements, options</t>
  </si>
  <si>
    <t>TOTAL STRUCTURAL DHG (Collège)</t>
  </si>
  <si>
    <t>Host-Country Additions — Collège</t>
  </si>
  <si>
    <t>KSA estimate for collège</t>
  </si>
  <si>
    <t>Complementary Dotations</t>
  </si>
  <si>
    <t>Item</t>
  </si>
  <si>
    <t>Hours/week</t>
  </si>
  <si>
    <t>Total h/wk</t>
  </si>
  <si>
    <t>UNSS (3h per EPS teacher post)</t>
  </si>
  <si>
    <t>Per EPS post — estimate 2 posts</t>
  </si>
  <si>
    <t>Vie de classe (10h annuelles/division)</t>
  </si>
  <si>
    <t>10h/36 weeks ≈ 0.28h/wk per division</t>
  </si>
  <si>
    <t>LV3 option (if offered)</t>
  </si>
  <si>
    <t>Per LV3 group — estimate</t>
  </si>
  <si>
    <t>EFIR — DHG Lycée Général (2nde / 1ère / Terminale)</t>
  </si>
  <si>
    <t>Voie Générale — Réforme Blanquer (Arrêté 16 juillet 2018, modified)</t>
  </si>
  <si>
    <t>SECONDE GÉNÉRALE ET TECHNOLOGIQUE</t>
  </si>
  <si>
    <t>h/wk per student</t>
  </si>
  <si>
    <t>Sections</t>
  </si>
  <si>
    <t>Total h/wk needed</t>
  </si>
  <si>
    <t>Sections 2nde</t>
  </si>
  <si>
    <t>Histoire-Géographie</t>
  </si>
  <si>
    <t>Sciences Économiques et Sociales</t>
  </si>
  <si>
    <t>Enseignement Moral et Civique</t>
  </si>
  <si>
    <t>Sciences Numériques et Technologie</t>
  </si>
  <si>
    <t>Heures d'autonomie (12h/division)</t>
  </si>
  <si>
    <t>AP, groupes réduits, options</t>
  </si>
  <si>
    <t>TOTAL 2NDE DHG</t>
  </si>
  <si>
    <t>PREMIÈRE GÉNÉRALE — Tronc Commun</t>
  </si>
  <si>
    <t>Sections 1ère</t>
  </si>
  <si>
    <t>Enseignement Scientifique</t>
  </si>
  <si>
    <t>PREMIÈRE — Spécialités (3 × 4h)</t>
  </si>
  <si>
    <t>Spécialité</t>
  </si>
  <si>
    <t>h/wk</t>
  </si>
  <si>
    <t>Groups Est.</t>
  </si>
  <si>
    <t>Estimate 3 groups</t>
  </si>
  <si>
    <t>Estimate 2 groups</t>
  </si>
  <si>
    <t>SVT</t>
  </si>
  <si>
    <t>SES</t>
  </si>
  <si>
    <t>HGGSP</t>
  </si>
  <si>
    <t>NSI</t>
  </si>
  <si>
    <t>Estimate 1 group</t>
  </si>
  <si>
    <t>Heures d'autonomie (8h/division)</t>
  </si>
  <si>
    <t>Maths Tronc Commun (non-spé, 1.5h)</t>
  </si>
  <si>
    <t>Groups of students not taking Maths spé</t>
  </si>
  <si>
    <t>TOTAL 1ÈRE DHG</t>
  </si>
  <si>
    <t>TERMINALE GÉNÉRALE — Tronc Commun</t>
  </si>
  <si>
    <t>Sections Terminale</t>
  </si>
  <si>
    <t>Philosophie</t>
  </si>
  <si>
    <t>TERMINALE — Spécialités (2 × 6h)</t>
  </si>
  <si>
    <t>TOTAL TERMINALE DHG</t>
  </si>
  <si>
    <t>Host-Country Additions — Lycée</t>
  </si>
  <si>
    <t>2nde (h/wk)</t>
  </si>
  <si>
    <t>1ère (h/wk)</t>
  </si>
  <si>
    <t>Term (h/wk)</t>
  </si>
  <si>
    <t>2nde Total</t>
  </si>
  <si>
    <t>1ère Total</t>
  </si>
  <si>
    <t>Term Total</t>
  </si>
  <si>
    <t>KSA estimate</t>
  </si>
  <si>
    <t>GRAND TOTAL LYCÉE DHG</t>
  </si>
  <si>
    <t>Excluding host-country additions</t>
  </si>
  <si>
    <t>EFIR — Teaching Staff Force Summary</t>
  </si>
  <si>
    <t>Consolidated view across all levels — PS to Terminale</t>
  </si>
  <si>
    <t>SECTION A: Staff Count by Level</t>
  </si>
  <si>
    <t>Level / Band</t>
  </si>
  <si>
    <t>FR Teachers</t>
  </si>
  <si>
    <t>ASEM/Assist.</t>
  </si>
  <si>
    <t>Arabic Hrs</t>
  </si>
  <si>
    <t>Islamic Hrs</t>
  </si>
  <si>
    <t>Total Staff*</t>
  </si>
  <si>
    <t>TOTAL ALL LEVELS</t>
  </si>
  <si>
    <t>SECTION B: Arabic &amp; Islamic FTE Conversion</t>
  </si>
  <si>
    <t>Category</t>
  </si>
  <si>
    <t>Service Obligation</t>
  </si>
  <si>
    <t>FTE Needed</t>
  </si>
  <si>
    <t>Arabic Teachers</t>
  </si>
  <si>
    <t>Rounded up to whole positions</t>
  </si>
  <si>
    <t>Islamic Studies Teachers</t>
  </si>
  <si>
    <t>SECTION C: Grand Total Teaching Staff</t>
  </si>
  <si>
    <t>Headcount</t>
  </si>
  <si>
    <t>Professeurs des Écoles (Maternelle)</t>
  </si>
  <si>
    <t>1 per section</t>
  </si>
  <si>
    <t>ASEM Assistants (Maternelle)</t>
  </si>
  <si>
    <t>Professeurs des Écoles (Élémentaire)</t>
  </si>
  <si>
    <t>Enseignants Secondaire (Collège+Lycée) — FTE</t>
  </si>
  <si>
    <t>GRAND TOTAL TEACHING STAFF</t>
  </si>
  <si>
    <t>HSA Optimization Parameters</t>
  </si>
  <si>
    <t>Parameter</t>
  </si>
  <si>
    <t>Value</t>
  </si>
  <si>
    <t>Range</t>
  </si>
  <si>
    <t>HSA per Certifié (avg)</t>
  </si>
  <si>
    <t>0 – 2</t>
  </si>
  <si>
    <t>Décret 2019-309: max 2 HSA imposable; AEFE avg ≈ 1.7</t>
  </si>
  <si>
    <t>HSA per Agrégé (avg)</t>
  </si>
  <si>
    <t>Same decree applies; ORS = 15h so effective = 15 + HSA</t>
  </si>
  <si>
    <t>HSA per EPS teacher (avg)</t>
  </si>
  <si>
    <t>ORS = 20h; typically less HSA capacity</t>
  </si>
  <si>
    <t>Effective ORS — Certifié</t>
  </si>
  <si>
    <t>Effective ORS — Agrégé</t>
  </si>
  <si>
    <t>Effective ORS — EPS</t>
  </si>
  <si>
    <t>ORS (15) + HSA assumption</t>
  </si>
  <si>
    <t>ORS (20) + HSA assumption</t>
  </si>
  <si>
    <t>Legal Basis</t>
  </si>
  <si>
    <t>Decret 2019-309 (11/04/2019) - 2 HSA non-refusable; Decret 2014-940 Art.4-III</t>
  </si>
  <si>
    <t>AEFE Network Average</t>
  </si>
  <si>
    <t>National avg ~ 1.7 HSA/teacher (DEPP 2023); real H/E tables incorporate HSA</t>
  </si>
  <si>
    <t>EFIR - DHG Optimization &amp; HSA Scenario Analysis</t>
  </si>
  <si>
    <t>Flexible model: adjust HSA assumptions in Parameters to see impact on FTE needs</t>
  </si>
  <si>
    <t>SECTION A: Raw DHG Hours Summary</t>
  </si>
  <si>
    <t>Structural DHG (h/wk)</t>
  </si>
  <si>
    <t>Host-Country Arabic (h/wk)</t>
  </si>
  <si>
    <t>Host-Country Islamic (h/wk)</t>
  </si>
  <si>
    <t>Complementary (h/wk)</t>
  </si>
  <si>
    <t>Total DHG (h/wk)</t>
  </si>
  <si>
    <t>6eme</t>
  </si>
  <si>
    <t>Structural + marge autonomie</t>
  </si>
  <si>
    <t>5eme</t>
  </si>
  <si>
    <t>4eme</t>
  </si>
  <si>
    <t>3eme</t>
  </si>
  <si>
    <t>Incl. 12h autonomie/div</t>
  </si>
  <si>
    <t>1ere</t>
  </si>
  <si>
    <t>Tronc commun + specialites</t>
  </si>
  <si>
    <t>TOTAL SECONDARY</t>
  </si>
  <si>
    <t>SECTION B: FTE Scenario Comparison (Certifie basis)</t>
  </si>
  <si>
    <t>No HSA (ORS=18)</t>
  </si>
  <si>
    <t>Conservative (1 HSA)</t>
  </si>
  <si>
    <t>Your Scenario</t>
  </si>
  <si>
    <t>Full HSA (2 HSA)</t>
  </si>
  <si>
    <t>Savings vs No HSA</t>
  </si>
  <si>
    <t>H/E Benchmark</t>
  </si>
  <si>
    <t>Effective ORS (h/wk)</t>
  </si>
  <si>
    <t>Total DHG Hours (h/wk)</t>
  </si>
  <si>
    <t>FTE Needed (raw decimal)</t>
  </si>
  <si>
    <t>FTE Rounded Up (positions)</t>
  </si>
  <si>
    <t>Positions Saved vs No HSA</t>
  </si>
  <si>
    <t>Total HSA Hours Generated</t>
  </si>
  <si>
    <t>Linked to Parameters!B43</t>
  </si>
  <si>
    <t>Total DHG / Effective ORS</t>
  </si>
  <si>
    <t>Change HSA in Parameters to see impact</t>
  </si>
  <si>
    <t>SECTION C: FTE by Level (Your Scenario - linked to Parameters)</t>
  </si>
  <si>
    <t>Effective ORS</t>
  </si>
  <si>
    <t>FTE (raw)</t>
  </si>
  <si>
    <t>FTE (rounded)</t>
  </si>
  <si>
    <t>FTE without HSA</t>
  </si>
  <si>
    <t>Delta</t>
  </si>
  <si>
    <t>College</t>
  </si>
  <si>
    <t>Lycee</t>
  </si>
  <si>
    <t>Positions saved with HSA</t>
  </si>
  <si>
    <t>SECTION D: AEFE H/E Benchmark Cross-Reference</t>
  </si>
  <si>
    <t>Students</t>
  </si>
  <si>
    <t>Avg Students/Div</t>
  </si>
  <si>
    <t>H/E (AEFE Mean)</t>
  </si>
  <si>
    <t>AEFE FTE Estimate</t>
  </si>
  <si>
    <t>EFIR Model FTE</t>
  </si>
  <si>
    <t>Variance</t>
  </si>
  <si>
    <t>College - FTE = DHG / Effective ORS</t>
  </si>
  <si>
    <t>Lycee - FTE = DHG / Effective ORS</t>
  </si>
  <si>
    <t>DHG hours / Effective ORS (incl. HSA)</t>
  </si>
  <si>
    <t>Rounded from total; differs from level sum due to rounding</t>
  </si>
  <si>
    <t>ORS (18) + HSA assumption -&gt; used for FTE calc</t>
  </si>
  <si>
    <t>EFIR — Staffing Requirements by Subject Type</t>
  </si>
  <si>
    <t>All levels PS to Terminale — AY 2025-2026 (Current) vs AY 2026-2027 (Projected)</t>
  </si>
  <si>
    <t>SECTION A: Enrollment Summary &amp; Projections</t>
  </si>
  <si>
    <t>AY1 Enrollment (Current)</t>
  </si>
  <si>
    <t>AY2 Enrollment (2026-27)</t>
  </si>
  <si>
    <t>TOTAL</t>
  </si>
  <si>
    <t>↑ Column D (AY1): Link to 01_EFIR_Revenue_FY2026_v3.xlsx for current-year enrollment</t>
  </si>
  <si>
    <t>SECTION B: Teaching Hours &amp; FTE Requirements by Subject Type (AY2 — 2026-2027)</t>
  </si>
  <si>
    <t>Subject / Discipline</t>
  </si>
  <si>
    <t>Maternelle (h/wk)</t>
  </si>
  <si>
    <t>Élémentaire (h/wk)</t>
  </si>
  <si>
    <t>Collège (h/wk)</t>
  </si>
  <si>
    <t>Lycée (h/wk)</t>
  </si>
  <si>
    <t>Total Hours/wk</t>
  </si>
  <si>
    <t>ORS Basis</t>
  </si>
  <si>
    <t>Staff Type</t>
  </si>
  <si>
    <t>Language</t>
  </si>
  <si>
    <t>FTE French-Medium</t>
  </si>
  <si>
    <t>FTE English/Other</t>
  </si>
  <si>
    <t>French Curriculum</t>
  </si>
  <si>
    <t>n/a</t>
  </si>
  <si>
    <t>Certifié</t>
  </si>
  <si>
    <t>French</t>
  </si>
  <si>
    <t>Histoire-Géo-EMC</t>
  </si>
  <si>
    <t>LVA — Anglais (English)</t>
  </si>
  <si>
    <t>English</t>
  </si>
  <si>
    <t>LVB — Espagnol (Spanish)</t>
  </si>
  <si>
    <t>Spanish</t>
  </si>
  <si>
    <t>Sciences (SVT + Physique-Chimie)</t>
  </si>
  <si>
    <t>EPS (Sports)</t>
  </si>
  <si>
    <t>Prof EPS</t>
  </si>
  <si>
    <t>Technologie / SNT / NSI</t>
  </si>
  <si>
    <t>Arts Plastiques + Éd. Musicale</t>
  </si>
  <si>
    <t>SES (Économie)</t>
  </si>
  <si>
    <t>Marge autonomie + Heures autonomie</t>
  </si>
  <si>
    <t>Shared Pool</t>
  </si>
  <si>
    <t>Shared</t>
  </si>
  <si>
    <t>SUBTOTAL: Secondary (DHG-based)</t>
  </si>
  <si>
    <t>Primary</t>
  </si>
  <si>
    <t>24 (PE)</t>
  </si>
  <si>
    <t>PE (Mat.)</t>
  </si>
  <si>
    <t>ASEM / Assistants (Maternelle)</t>
  </si>
  <si>
    <t>35 (ASEM)</t>
  </si>
  <si>
    <t>ASEM</t>
  </si>
  <si>
    <t>PE (Élém.)</t>
  </si>
  <si>
    <t>Arabic Language (Host-Country)</t>
  </si>
  <si>
    <t>Arabic</t>
  </si>
  <si>
    <t>Arabic Teacher</t>
  </si>
  <si>
    <t>Islamic Studies (Host-Country)</t>
  </si>
  <si>
    <t>Islamic</t>
  </si>
  <si>
    <t>Islamic Teacher</t>
  </si>
  <si>
    <t>Complementary (UNSS, Vie de classe)</t>
  </si>
  <si>
    <t>GRAND TOTAL — ALL STAFF</t>
  </si>
  <si>
    <t>PRIMARY &amp; HOST-COUNTRY STAFF</t>
  </si>
  <si>
    <t>SECTION C: FTE Summary by Language / Teaching Type</t>
  </si>
  <si>
    <t>Teaching Type / Language</t>
  </si>
  <si>
    <t>FTE (Positions)</t>
  </si>
  <si>
    <t>% of Total FTE</t>
  </si>
  <si>
    <t>Includes</t>
  </si>
  <si>
    <t>French-Medium (Secondary)</t>
  </si>
  <si>
    <t>Français, Maths, HG, Sciences, EPS, Arts, SES, Philo, Techno, Autonomie</t>
  </si>
  <si>
    <t>English-Medium (LVA Anglais)</t>
  </si>
  <si>
    <t>LVA Anglais (Collège + Lycée)</t>
  </si>
  <si>
    <t>Spanish-Medium (LVB Espagnol)</t>
  </si>
  <si>
    <t>LVB Espagnol (5ème–Terminale)</t>
  </si>
  <si>
    <t>All levels PS–Terminale</t>
  </si>
  <si>
    <t>Primary Teachers (PE + ASEM)</t>
  </si>
  <si>
    <t>13 PE Maternelle + 13 ASEM + 26 PE Élémentaire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</si>
</sst>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.0_);_(* \(#,##0.0\);_(* &quot;-&quot;??_);_(@_)"/>
  </numFmts>
  <fonts count="2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b/>
      <sz val="12"/>
      <color rgb="FF2E75B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80808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i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rgb="FF80808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1"/>
      <color rgb="FF0000FF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0"/>
      <color rgb="FF008000"/>
      <name val="Arial"/>
      <family val="2"/>
    </font>
    <font>
      <b/>
      <i/>
      <sz val="9"/>
      <color rgb="FF808080"/>
      <name val="Arial"/>
      <family val="2"/>
    </font>
    <font>
      <b/>
      <i/>
      <sz val="9"/>
      <color rgb="FF808080"/>
      <name val="Calibri"/>
      <family val="2"/>
      <charset val="1"/>
    </font>
    <font>
      <i/>
      <sz val="9"/>
      <color rgb="FFFF0000"/>
      <name val="Arial"/>
      <family val="2"/>
    </font>
    <font>
      <sz val="10"/>
      <color rgb="FF808080"/>
      <name val="Arial"/>
      <family val="2"/>
    </font>
    <font>
      <b/>
      <sz val="10"/>
      <color rgb="FF2E75B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E9EFF7"/>
        <bgColor rgb="FFE2EFDA"/>
      </patternFill>
    </fill>
    <fill>
      <patternFill patternType="solid">
        <fgColor rgb="FFFFFFFF"/>
        <bgColor rgb="FFE9EFF7"/>
      </patternFill>
    </fill>
    <fill>
      <patternFill patternType="solid">
        <fgColor rgb="FFE2EFDA"/>
        <bgColor rgb="FFE9EFF7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E4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27">
    <xf numFmtId="0" fontId="0" fillId="0" borderId="0" xfId="0"/>
    <xf numFmtId="0" fontId="6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0" fillId="6" borderId="1" xfId="0" applyFill="1" applyBorder="1"/>
    <xf numFmtId="0" fontId="6" fillId="0" borderId="0" xfId="0" applyFont="1"/>
    <xf numFmtId="0" fontId="4" fillId="7" borderId="1" xfId="0" applyFont="1" applyFill="1" applyBorder="1"/>
    <xf numFmtId="0" fontId="4" fillId="8" borderId="1" xfId="0" applyFont="1" applyFill="1" applyBorder="1"/>
    <xf numFmtId="0" fontId="0" fillId="8" borderId="1" xfId="0" applyFill="1" applyBorder="1"/>
    <xf numFmtId="0" fontId="4" fillId="9" borderId="1" xfId="0" applyFont="1" applyFill="1" applyBorder="1"/>
    <xf numFmtId="0" fontId="0" fillId="9" borderId="1" xfId="0" applyFill="1" applyBorder="1"/>
    <xf numFmtId="0" fontId="6" fillId="9" borderId="1" xfId="0" applyFont="1" applyFill="1" applyBorder="1"/>
    <xf numFmtId="165" fontId="0" fillId="0" borderId="1" xfId="0" applyNumberFormat="1" applyBorder="1"/>
    <xf numFmtId="165" fontId="4" fillId="6" borderId="1" xfId="0" applyNumberFormat="1" applyFont="1" applyFill="1" applyBorder="1"/>
    <xf numFmtId="0" fontId="8" fillId="2" borderId="1" xfId="0" applyFont="1" applyFill="1" applyBorder="1"/>
    <xf numFmtId="165" fontId="8" fillId="2" borderId="1" xfId="0" applyNumberFormat="1" applyFont="1" applyFill="1" applyBorder="1"/>
    <xf numFmtId="0" fontId="0" fillId="2" borderId="1" xfId="0" applyFill="1" applyBorder="1"/>
    <xf numFmtId="0" fontId="3" fillId="0" borderId="0" xfId="0" applyFont="1" applyFill="1" applyBorder="1"/>
    <xf numFmtId="0" fontId="8" fillId="10" borderId="4" xfId="0" applyFont="1" applyFill="1" applyBorder="1" applyAlignment="1">
      <alignment horizontal="center"/>
    </xf>
    <xf numFmtId="165" fontId="7" fillId="11" borderId="4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6" fillId="0" borderId="3" xfId="0" applyFont="1" applyBorder="1"/>
    <xf numFmtId="0" fontId="10" fillId="0" borderId="4" xfId="0" applyFont="1" applyBorder="1"/>
    <xf numFmtId="0" fontId="6" fillId="0" borderId="5" xfId="0" applyFont="1" applyBorder="1"/>
    <xf numFmtId="0" fontId="11" fillId="12" borderId="0" xfId="0" applyFont="1" applyFill="1" applyBorder="1"/>
    <xf numFmtId="0" fontId="11" fillId="12" borderId="2" xfId="0" applyFont="1" applyFill="1" applyBorder="1"/>
    <xf numFmtId="165" fontId="11" fillId="12" borderId="4" xfId="0" applyNumberFormat="1" applyFont="1" applyFill="1" applyBorder="1" applyAlignment="1">
      <alignment horizontal="center"/>
    </xf>
    <xf numFmtId="165" fontId="11" fillId="12" borderId="2" xfId="0" applyNumberFormat="1" applyFont="1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11" fillId="12" borderId="4" xfId="0" applyFont="1" applyFill="1" applyBorder="1"/>
    <xf numFmtId="0" fontId="10" fillId="12" borderId="5" xfId="0" applyFont="1" applyFill="1" applyBorder="1" applyAlignment="1">
      <alignment horizontal="center"/>
    </xf>
    <xf numFmtId="0" fontId="6" fillId="12" borderId="6" xfId="0" applyFont="1" applyFill="1" applyBorder="1"/>
    <xf numFmtId="0" fontId="12" fillId="12" borderId="0" xfId="0" applyFont="1" applyFill="1"/>
    <xf numFmtId="0" fontId="11" fillId="12" borderId="7" xfId="0" applyFont="1" applyFill="1" applyBorder="1"/>
    <xf numFmtId="165" fontId="11" fillId="12" borderId="8" xfId="0" applyNumberFormat="1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6" fillId="12" borderId="7" xfId="0" applyFont="1" applyFill="1" applyBorder="1"/>
    <xf numFmtId="0" fontId="8" fillId="10" borderId="1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13" borderId="1" xfId="0" applyFont="1" applyFill="1" applyBorder="1"/>
    <xf numFmtId="0" fontId="10" fillId="13" borderId="1" xfId="0" applyFont="1" applyFill="1" applyBorder="1" applyAlignment="1">
      <alignment horizontal="center"/>
    </xf>
    <xf numFmtId="0" fontId="6" fillId="13" borderId="1" xfId="0" applyFont="1" applyFill="1" applyBorder="1"/>
    <xf numFmtId="0" fontId="10" fillId="13" borderId="10" xfId="0" applyFont="1" applyFill="1" applyBorder="1"/>
    <xf numFmtId="0" fontId="10" fillId="13" borderId="10" xfId="0" applyFont="1" applyFill="1" applyBorder="1" applyAlignment="1">
      <alignment horizontal="center"/>
    </xf>
    <xf numFmtId="0" fontId="6" fillId="13" borderId="10" xfId="0" applyFont="1" applyFill="1" applyBorder="1"/>
    <xf numFmtId="0" fontId="10" fillId="0" borderId="10" xfId="0" applyFont="1" applyBorder="1"/>
    <xf numFmtId="0" fontId="10" fillId="0" borderId="10" xfId="0" applyFont="1" applyBorder="1" applyAlignment="1">
      <alignment horizontal="center"/>
    </xf>
    <xf numFmtId="0" fontId="6" fillId="0" borderId="10" xfId="0" applyFont="1" applyBorder="1"/>
    <xf numFmtId="0" fontId="11" fillId="12" borderId="1" xfId="0" applyFont="1" applyFill="1" applyBorder="1"/>
    <xf numFmtId="0" fontId="11" fillId="12" borderId="1" xfId="0" applyFont="1" applyFill="1" applyBorder="1" applyAlignment="1">
      <alignment horizontal="center"/>
    </xf>
    <xf numFmtId="0" fontId="15" fillId="10" borderId="9" xfId="0" applyFont="1" applyFill="1" applyBorder="1" applyAlignment="1">
      <alignment horizontal="center" wrapText="1"/>
    </xf>
    <xf numFmtId="0" fontId="15" fillId="10" borderId="10" xfId="0" applyFont="1" applyFill="1" applyBorder="1" applyAlignment="1">
      <alignment horizontal="center" wrapText="1"/>
    </xf>
    <xf numFmtId="0" fontId="15" fillId="10" borderId="11" xfId="0" applyFont="1" applyFill="1" applyBorder="1" applyAlignment="1">
      <alignment horizontal="center" wrapText="1"/>
    </xf>
    <xf numFmtId="0" fontId="15" fillId="14" borderId="10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0" fontId="16" fillId="11" borderId="0" xfId="0" applyFont="1" applyFill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1" fillId="12" borderId="10" xfId="0" applyFont="1" applyFill="1" applyBorder="1"/>
    <xf numFmtId="0" fontId="13" fillId="12" borderId="10" xfId="0" applyFont="1" applyFill="1" applyBorder="1" applyAlignment="1">
      <alignment horizontal="center"/>
    </xf>
    <xf numFmtId="0" fontId="13" fillId="12" borderId="10" xfId="0" applyFont="1" applyFill="1" applyBorder="1"/>
    <xf numFmtId="0" fontId="10" fillId="0" borderId="1" xfId="0" applyFont="1" applyFill="1" applyBorder="1"/>
    <xf numFmtId="0" fontId="10" fillId="0" borderId="10" xfId="0" applyFont="1" applyFill="1" applyBorder="1"/>
    <xf numFmtId="0" fontId="14" fillId="15" borderId="10" xfId="0" applyFont="1" applyFill="1" applyBorder="1" applyAlignment="1">
      <alignment horizontal="center"/>
    </xf>
    <xf numFmtId="0" fontId="12" fillId="0" borderId="10" xfId="0" applyFont="1" applyBorder="1"/>
    <xf numFmtId="0" fontId="15" fillId="10" borderId="9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17" fillId="13" borderId="10" xfId="0" applyFont="1" applyFill="1" applyBorder="1" applyAlignment="1">
      <alignment horizontal="center"/>
    </xf>
    <xf numFmtId="0" fontId="12" fillId="13" borderId="10" xfId="0" applyFont="1" applyFill="1" applyBorder="1"/>
    <xf numFmtId="0" fontId="17" fillId="0" borderId="10" xfId="0" applyFon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2" fillId="0" borderId="10" xfId="0" applyFont="1" applyFill="1" applyBorder="1"/>
    <xf numFmtId="0" fontId="18" fillId="12" borderId="1" xfId="0" applyFont="1" applyFill="1" applyBorder="1" applyAlignment="1">
      <alignment horizontal="center"/>
    </xf>
    <xf numFmtId="0" fontId="19" fillId="12" borderId="1" xfId="0" applyFont="1" applyFill="1" applyBorder="1"/>
    <xf numFmtId="0" fontId="20" fillId="12" borderId="10" xfId="0" applyFont="1" applyFill="1" applyBorder="1"/>
    <xf numFmtId="43" fontId="1" fillId="0" borderId="10" xfId="1" applyBorder="1" applyAlignment="1">
      <alignment horizontal="center" vertical="center"/>
    </xf>
    <xf numFmtId="43" fontId="1" fillId="0" borderId="1" xfId="1" applyBorder="1" applyAlignment="1">
      <alignment horizontal="center" vertical="center"/>
    </xf>
    <xf numFmtId="165" fontId="16" fillId="11" borderId="10" xfId="0" applyNumberFormat="1" applyFont="1" applyFill="1" applyBorder="1" applyAlignment="1">
      <alignment horizontal="center"/>
    </xf>
    <xf numFmtId="165" fontId="0" fillId="13" borderId="10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11" fillId="12" borderId="1" xfId="0" applyNumberFormat="1" applyFont="1" applyFill="1" applyBorder="1" applyAlignment="1">
      <alignment horizontal="center"/>
    </xf>
    <xf numFmtId="165" fontId="16" fillId="13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166" fontId="1" fillId="0" borderId="10" xfId="1" applyNumberFormat="1" applyBorder="1" applyAlignment="1">
      <alignment horizontal="center" vertical="center"/>
    </xf>
    <xf numFmtId="166" fontId="1" fillId="0" borderId="1" xfId="1" applyNumberFormat="1" applyBorder="1" applyAlignment="1">
      <alignment horizontal="center" vertical="center"/>
    </xf>
    <xf numFmtId="0" fontId="21" fillId="0" borderId="0" xfId="0" applyFont="1"/>
    <xf numFmtId="0" fontId="15" fillId="10" borderId="12" xfId="0" applyFont="1" applyFill="1" applyBorder="1" applyAlignment="1">
      <alignment horizontal="center"/>
    </xf>
    <xf numFmtId="0" fontId="3" fillId="0" borderId="8" xfId="0" applyFont="1" applyBorder="1"/>
    <xf numFmtId="0" fontId="0" fillId="0" borderId="8" xfId="0" applyBorder="1"/>
    <xf numFmtId="0" fontId="15" fillId="14" borderId="12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2" fontId="10" fillId="13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1" fillId="16" borderId="1" xfId="0" applyFont="1" applyFill="1" applyBorder="1"/>
    <xf numFmtId="0" fontId="11" fillId="16" borderId="1" xfId="0" applyFont="1" applyFill="1" applyBorder="1" applyAlignment="1">
      <alignment horizontal="center"/>
    </xf>
    <xf numFmtId="0" fontId="11" fillId="10" borderId="1" xfId="0" applyFont="1" applyFill="1" applyBorder="1"/>
    <xf numFmtId="0" fontId="11" fillId="16" borderId="1" xfId="0" applyFont="1" applyFill="1" applyBorder="1" applyAlignment="1">
      <alignment horizontal="left"/>
    </xf>
    <xf numFmtId="0" fontId="23" fillId="0" borderId="1" xfId="0" applyFont="1" applyBorder="1"/>
    <xf numFmtId="0" fontId="8" fillId="10" borderId="1" xfId="0" applyFont="1" applyFill="1" applyBorder="1"/>
    <xf numFmtId="164" fontId="10" fillId="13" borderId="1" xfId="0" applyNumberFormat="1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1" fillId="1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E9EF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2D88AE-4AD4-7149-96CA-52DF5FD942D4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48"/>
  <sheetViews>
    <sheetView zoomScaleNormal="100" workbookViewId="0">
      <selection activeCell="B45" sqref="B45"/>
    </sheetView>
  </sheetViews>
  <sheetFormatPr baseColWidth="10" defaultColWidth="8.6640625" defaultRowHeight="15" x14ac:dyDescent="0.2"/>
  <cols>
    <col min="1" max="1" width="35" customWidth="1"/>
    <col min="2" max="3" width="18" customWidth="1"/>
    <col min="4" max="4" width="45" customWidth="1"/>
  </cols>
  <sheetData>
    <row r="1" spans="1:4" ht="18" x14ac:dyDescent="0.2">
      <c r="A1" s="2" t="s">
        <v>0</v>
      </c>
      <c r="B1" s="2"/>
      <c r="C1" s="2"/>
      <c r="D1" s="2"/>
    </row>
    <row r="3" spans="1:4" ht="16" x14ac:dyDescent="0.2">
      <c r="A3" s="4" t="s">
        <v>1</v>
      </c>
    </row>
    <row r="4" spans="1:4" x14ac:dyDescent="0.2">
      <c r="A4" s="5" t="s">
        <v>2</v>
      </c>
      <c r="B4" s="6" t="s">
        <v>3</v>
      </c>
      <c r="C4" s="7"/>
      <c r="D4" s="8"/>
    </row>
    <row r="5" spans="1:4" x14ac:dyDescent="0.2">
      <c r="A5" s="5" t="s">
        <v>4</v>
      </c>
      <c r="B5" s="6" t="s">
        <v>5</v>
      </c>
      <c r="C5" s="7"/>
      <c r="D5" s="8" t="s">
        <v>6</v>
      </c>
    </row>
    <row r="6" spans="1:4" x14ac:dyDescent="0.2">
      <c r="A6" s="5" t="s">
        <v>7</v>
      </c>
      <c r="B6" s="6" t="s">
        <v>8</v>
      </c>
      <c r="C6" s="7"/>
      <c r="D6" s="8" t="s">
        <v>9</v>
      </c>
    </row>
    <row r="7" spans="1:4" x14ac:dyDescent="0.2">
      <c r="A7" s="5" t="s">
        <v>10</v>
      </c>
      <c r="B7" s="6" t="s">
        <v>11</v>
      </c>
      <c r="C7" s="7"/>
      <c r="D7" s="8"/>
    </row>
    <row r="8" spans="1:4" x14ac:dyDescent="0.2">
      <c r="A8" s="5" t="s">
        <v>12</v>
      </c>
      <c r="B8" s="9">
        <v>36</v>
      </c>
      <c r="C8" s="7"/>
      <c r="D8" s="8" t="s">
        <v>13</v>
      </c>
    </row>
    <row r="10" spans="1:4" ht="16" x14ac:dyDescent="0.2">
      <c r="A10" s="4" t="s">
        <v>14</v>
      </c>
    </row>
    <row r="11" spans="1:4" x14ac:dyDescent="0.2">
      <c r="A11" s="10" t="s">
        <v>15</v>
      </c>
      <c r="B11" s="10" t="s">
        <v>16</v>
      </c>
      <c r="C11" s="10" t="s">
        <v>17</v>
      </c>
      <c r="D11" s="10" t="s">
        <v>18</v>
      </c>
    </row>
    <row r="12" spans="1:4" x14ac:dyDescent="0.2">
      <c r="A12" s="6" t="s">
        <v>19</v>
      </c>
      <c r="B12" s="11">
        <v>24</v>
      </c>
      <c r="C12" s="7"/>
      <c r="D12" s="8" t="s">
        <v>20</v>
      </c>
    </row>
    <row r="13" spans="1:4" x14ac:dyDescent="0.2">
      <c r="A13" s="6" t="s">
        <v>21</v>
      </c>
      <c r="B13" s="11">
        <v>24</v>
      </c>
      <c r="C13" s="7"/>
      <c r="D13" s="8"/>
    </row>
    <row r="14" spans="1:4" x14ac:dyDescent="0.2">
      <c r="A14" s="6" t="s">
        <v>22</v>
      </c>
      <c r="B14" s="11">
        <v>24</v>
      </c>
      <c r="C14" s="7"/>
      <c r="D14" s="8"/>
    </row>
    <row r="15" spans="1:4" x14ac:dyDescent="0.2">
      <c r="A15" s="6" t="s">
        <v>23</v>
      </c>
      <c r="B15" s="11">
        <v>26</v>
      </c>
      <c r="C15" s="7"/>
      <c r="D15" s="8" t="s">
        <v>24</v>
      </c>
    </row>
    <row r="16" spans="1:4" x14ac:dyDescent="0.2">
      <c r="A16" s="6" t="s">
        <v>25</v>
      </c>
      <c r="B16" s="11">
        <v>26</v>
      </c>
      <c r="C16" s="7"/>
      <c r="D16" s="8"/>
    </row>
    <row r="17" spans="1:4" x14ac:dyDescent="0.2">
      <c r="A17" s="6" t="s">
        <v>26</v>
      </c>
      <c r="B17" s="11">
        <v>26</v>
      </c>
      <c r="C17" s="7"/>
      <c r="D17" s="8"/>
    </row>
    <row r="18" spans="1:4" x14ac:dyDescent="0.2">
      <c r="A18" s="6" t="s">
        <v>27</v>
      </c>
      <c r="B18" s="11">
        <v>26</v>
      </c>
      <c r="C18" s="7"/>
      <c r="D18" s="8"/>
    </row>
    <row r="19" spans="1:4" x14ac:dyDescent="0.2">
      <c r="A19" s="6" t="s">
        <v>28</v>
      </c>
      <c r="B19" s="11">
        <v>26</v>
      </c>
      <c r="C19" s="7"/>
      <c r="D19" s="8"/>
    </row>
    <row r="20" spans="1:4" x14ac:dyDescent="0.2">
      <c r="A20" s="6" t="s">
        <v>29</v>
      </c>
      <c r="B20" s="11">
        <v>26</v>
      </c>
      <c r="C20" s="7"/>
      <c r="D20" s="8" t="s">
        <v>30</v>
      </c>
    </row>
    <row r="21" spans="1:4" x14ac:dyDescent="0.2">
      <c r="A21" s="6" t="s">
        <v>31</v>
      </c>
      <c r="B21" s="11">
        <v>26</v>
      </c>
      <c r="C21" s="7"/>
      <c r="D21" s="8"/>
    </row>
    <row r="22" spans="1:4" x14ac:dyDescent="0.2">
      <c r="A22" s="6" t="s">
        <v>32</v>
      </c>
      <c r="B22" s="11">
        <v>26</v>
      </c>
      <c r="C22" s="7"/>
      <c r="D22" s="8"/>
    </row>
    <row r="23" spans="1:4" x14ac:dyDescent="0.2">
      <c r="A23" s="6" t="s">
        <v>33</v>
      </c>
      <c r="B23" s="11">
        <v>26</v>
      </c>
      <c r="C23" s="7"/>
      <c r="D23" s="8"/>
    </row>
    <row r="24" spans="1:4" x14ac:dyDescent="0.2">
      <c r="A24" s="6" t="s">
        <v>34</v>
      </c>
      <c r="B24" s="11">
        <v>28</v>
      </c>
      <c r="C24" s="7"/>
      <c r="D24" s="8" t="s">
        <v>35</v>
      </c>
    </row>
    <row r="25" spans="1:4" x14ac:dyDescent="0.2">
      <c r="A25" s="6" t="s">
        <v>36</v>
      </c>
      <c r="B25" s="11">
        <v>28</v>
      </c>
      <c r="C25" s="7"/>
      <c r="D25" s="8"/>
    </row>
    <row r="26" spans="1:4" x14ac:dyDescent="0.2">
      <c r="A26" s="6" t="s">
        <v>37</v>
      </c>
      <c r="B26" s="11">
        <v>28</v>
      </c>
      <c r="C26" s="7"/>
      <c r="D26" s="8"/>
    </row>
    <row r="28" spans="1:4" ht="16" x14ac:dyDescent="0.2">
      <c r="A28" s="4" t="s">
        <v>38</v>
      </c>
    </row>
    <row r="29" spans="1:4" x14ac:dyDescent="0.2">
      <c r="A29" s="10" t="s">
        <v>39</v>
      </c>
      <c r="B29" s="10" t="s">
        <v>40</v>
      </c>
      <c r="C29" s="10"/>
      <c r="D29" s="10" t="s">
        <v>18</v>
      </c>
    </row>
    <row r="30" spans="1:4" x14ac:dyDescent="0.2">
      <c r="A30" s="6" t="s">
        <v>41</v>
      </c>
      <c r="B30" s="11">
        <v>24</v>
      </c>
      <c r="C30" s="7"/>
      <c r="D30" s="8" t="s">
        <v>42</v>
      </c>
    </row>
    <row r="31" spans="1:4" x14ac:dyDescent="0.2">
      <c r="A31" s="6" t="s">
        <v>43</v>
      </c>
      <c r="B31" s="11">
        <v>18</v>
      </c>
      <c r="C31" s="7"/>
      <c r="D31" s="8" t="s">
        <v>44</v>
      </c>
    </row>
    <row r="32" spans="1:4" x14ac:dyDescent="0.2">
      <c r="A32" s="6" t="s">
        <v>45</v>
      </c>
      <c r="B32" s="11">
        <v>15</v>
      </c>
      <c r="C32" s="7"/>
      <c r="D32" s="8" t="s">
        <v>46</v>
      </c>
    </row>
    <row r="33" spans="1:4" x14ac:dyDescent="0.2">
      <c r="A33" s="6" t="s">
        <v>47</v>
      </c>
      <c r="B33" s="11">
        <v>20</v>
      </c>
      <c r="C33" s="7"/>
      <c r="D33" s="8" t="s">
        <v>48</v>
      </c>
    </row>
    <row r="34" spans="1:4" x14ac:dyDescent="0.2">
      <c r="A34" s="6" t="s">
        <v>49</v>
      </c>
      <c r="B34" s="11">
        <v>30</v>
      </c>
      <c r="C34" s="7"/>
      <c r="D34" s="8" t="s">
        <v>50</v>
      </c>
    </row>
    <row r="35" spans="1:4" x14ac:dyDescent="0.2">
      <c r="A35" s="6" t="s">
        <v>51</v>
      </c>
      <c r="B35" s="11">
        <v>24</v>
      </c>
      <c r="C35" s="7"/>
      <c r="D35" s="8" t="s">
        <v>52</v>
      </c>
    </row>
    <row r="36" spans="1:4" x14ac:dyDescent="0.2">
      <c r="A36" s="6" t="s">
        <v>53</v>
      </c>
      <c r="B36" s="11">
        <v>35</v>
      </c>
      <c r="C36" s="7"/>
      <c r="D36" s="8" t="s">
        <v>54</v>
      </c>
    </row>
    <row r="38" spans="1:4" ht="16" x14ac:dyDescent="0.2">
      <c r="A38" s="30" t="s">
        <v>243</v>
      </c>
    </row>
    <row r="39" spans="1:4" x14ac:dyDescent="0.2">
      <c r="A39" s="31" t="s">
        <v>244</v>
      </c>
      <c r="B39" s="31" t="s">
        <v>245</v>
      </c>
      <c r="C39" s="31" t="s">
        <v>246</v>
      </c>
      <c r="D39" s="34" t="s">
        <v>18</v>
      </c>
    </row>
    <row r="40" spans="1:4" x14ac:dyDescent="0.2">
      <c r="A40" s="36" t="s">
        <v>247</v>
      </c>
      <c r="B40" s="32">
        <v>1.5</v>
      </c>
      <c r="C40" s="33" t="s">
        <v>248</v>
      </c>
      <c r="D40" s="37" t="s">
        <v>249</v>
      </c>
    </row>
    <row r="41" spans="1:4" x14ac:dyDescent="0.2">
      <c r="A41" s="36" t="s">
        <v>250</v>
      </c>
      <c r="B41" s="32">
        <v>1.5</v>
      </c>
      <c r="C41" s="33" t="s">
        <v>248</v>
      </c>
      <c r="D41" s="37" t="s">
        <v>251</v>
      </c>
    </row>
    <row r="42" spans="1:4" x14ac:dyDescent="0.2">
      <c r="A42" s="36" t="s">
        <v>252</v>
      </c>
      <c r="B42" s="32">
        <v>1</v>
      </c>
      <c r="C42" s="33" t="s">
        <v>248</v>
      </c>
      <c r="D42" s="35" t="s">
        <v>253</v>
      </c>
    </row>
    <row r="43" spans="1:4" x14ac:dyDescent="0.2">
      <c r="A43" s="43" t="s">
        <v>254</v>
      </c>
      <c r="B43" s="40">
        <f>B31+B40</f>
        <v>19.5</v>
      </c>
      <c r="C43" s="44" t="s">
        <v>190</v>
      </c>
      <c r="D43" s="46" t="s">
        <v>316</v>
      </c>
    </row>
    <row r="44" spans="1:4" x14ac:dyDescent="0.2">
      <c r="A44" s="39" t="s">
        <v>255</v>
      </c>
      <c r="B44" s="41">
        <f>B32+B41</f>
        <v>16.5</v>
      </c>
      <c r="C44" s="42" t="s">
        <v>190</v>
      </c>
      <c r="D44" s="45" t="s">
        <v>257</v>
      </c>
    </row>
    <row r="45" spans="1:4" x14ac:dyDescent="0.2">
      <c r="A45" s="47" t="s">
        <v>256</v>
      </c>
      <c r="B45" s="48">
        <f>B33+B42</f>
        <v>21</v>
      </c>
      <c r="C45" s="49" t="s">
        <v>190</v>
      </c>
      <c r="D45" s="50" t="s">
        <v>258</v>
      </c>
    </row>
    <row r="47" spans="1:4" x14ac:dyDescent="0.2">
      <c r="A47" s="38" t="s">
        <v>259</v>
      </c>
      <c r="D47" s="18" t="s">
        <v>260</v>
      </c>
    </row>
    <row r="48" spans="1:4" x14ac:dyDescent="0.2">
      <c r="A48" s="38" t="s">
        <v>261</v>
      </c>
      <c r="D48" s="18" t="s">
        <v>262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J20"/>
  <sheetViews>
    <sheetView zoomScaleNormal="100" workbookViewId="0">
      <selection activeCell="E45" sqref="E45"/>
    </sheetView>
  </sheetViews>
  <sheetFormatPr baseColWidth="10" defaultColWidth="8.6640625" defaultRowHeight="15" x14ac:dyDescent="0.2"/>
  <cols>
    <col min="1" max="3" width="18" customWidth="1"/>
    <col min="4" max="4" width="16" customWidth="1"/>
    <col min="5" max="5" width="18" customWidth="1"/>
    <col min="6" max="9" width="16" customWidth="1"/>
    <col min="10" max="10" width="14" customWidth="1"/>
  </cols>
  <sheetData>
    <row r="1" spans="1:10" ht="18" x14ac:dyDescent="0.2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2">
      <c r="A3" s="10" t="s">
        <v>56</v>
      </c>
      <c r="B3" s="10" t="s">
        <v>57</v>
      </c>
      <c r="C3" s="10" t="s">
        <v>58</v>
      </c>
      <c r="D3" s="10" t="s">
        <v>16</v>
      </c>
      <c r="E3" s="10" t="s">
        <v>59</v>
      </c>
      <c r="F3" s="10" t="s">
        <v>60</v>
      </c>
      <c r="G3" s="10" t="s">
        <v>61</v>
      </c>
      <c r="H3" s="10" t="s">
        <v>62</v>
      </c>
      <c r="I3" s="10" t="s">
        <v>63</v>
      </c>
      <c r="J3" s="10" t="s">
        <v>64</v>
      </c>
    </row>
    <row r="4" spans="1:10" x14ac:dyDescent="0.2">
      <c r="A4" s="12" t="s">
        <v>65</v>
      </c>
      <c r="B4" s="12" t="s">
        <v>66</v>
      </c>
      <c r="C4" s="11">
        <v>65</v>
      </c>
      <c r="D4" s="12">
        <v>24</v>
      </c>
      <c r="E4" s="12">
        <f t="shared" ref="E4:E18" si="0">ROUNDUP(C4/D4,0)</f>
        <v>3</v>
      </c>
      <c r="F4" s="12">
        <f t="shared" ref="F4:F18" si="1">ROUND(E4*D4*0.7,0)</f>
        <v>50</v>
      </c>
      <c r="G4" s="12">
        <f t="shared" ref="G4:G18" si="2">ROUND(E4*D4*0.85,0)</f>
        <v>61</v>
      </c>
      <c r="H4" s="12">
        <f t="shared" ref="H4:H18" si="3">E4*D4</f>
        <v>72</v>
      </c>
      <c r="I4" s="13">
        <f t="shared" ref="I4:I18" si="4">C4/(E4*D4)</f>
        <v>0.90277777777777779</v>
      </c>
      <c r="J4" s="12" t="str">
        <f t="shared" ref="J4:J18" si="5">IF(I4&gt;0.95,"⚠ Near Cap",IF(I4&lt;0.7,"⚠ Low","OK"))</f>
        <v>OK</v>
      </c>
    </row>
    <row r="5" spans="1:10" x14ac:dyDescent="0.2">
      <c r="A5" s="14" t="s">
        <v>67</v>
      </c>
      <c r="B5" s="14" t="s">
        <v>66</v>
      </c>
      <c r="C5" s="11">
        <v>77</v>
      </c>
      <c r="D5" s="14">
        <v>24</v>
      </c>
      <c r="E5" s="14">
        <f t="shared" si="0"/>
        <v>4</v>
      </c>
      <c r="F5" s="14">
        <f t="shared" si="1"/>
        <v>67</v>
      </c>
      <c r="G5" s="14">
        <f t="shared" si="2"/>
        <v>82</v>
      </c>
      <c r="H5" s="14">
        <f t="shared" si="3"/>
        <v>96</v>
      </c>
      <c r="I5" s="15">
        <f t="shared" si="4"/>
        <v>0.80208333333333337</v>
      </c>
      <c r="J5" s="14" t="str">
        <f t="shared" si="5"/>
        <v>OK</v>
      </c>
    </row>
    <row r="6" spans="1:10" x14ac:dyDescent="0.2">
      <c r="A6" s="12" t="s">
        <v>68</v>
      </c>
      <c r="B6" s="12" t="s">
        <v>66</v>
      </c>
      <c r="C6" s="11">
        <v>124</v>
      </c>
      <c r="D6" s="12">
        <v>24</v>
      </c>
      <c r="E6" s="12">
        <f t="shared" si="0"/>
        <v>6</v>
      </c>
      <c r="F6" s="12">
        <f t="shared" si="1"/>
        <v>101</v>
      </c>
      <c r="G6" s="12">
        <f t="shared" si="2"/>
        <v>122</v>
      </c>
      <c r="H6" s="12">
        <f t="shared" si="3"/>
        <v>144</v>
      </c>
      <c r="I6" s="13">
        <f t="shared" si="4"/>
        <v>0.86111111111111116</v>
      </c>
      <c r="J6" s="12" t="str">
        <f t="shared" si="5"/>
        <v>OK</v>
      </c>
    </row>
    <row r="7" spans="1:10" x14ac:dyDescent="0.2">
      <c r="A7" s="14" t="s">
        <v>23</v>
      </c>
      <c r="B7" s="14" t="s">
        <v>69</v>
      </c>
      <c r="C7" s="11">
        <v>126</v>
      </c>
      <c r="D7" s="14">
        <v>26</v>
      </c>
      <c r="E7" s="14">
        <f t="shared" si="0"/>
        <v>5</v>
      </c>
      <c r="F7" s="14">
        <f t="shared" si="1"/>
        <v>91</v>
      </c>
      <c r="G7" s="14">
        <f t="shared" si="2"/>
        <v>111</v>
      </c>
      <c r="H7" s="14">
        <f t="shared" si="3"/>
        <v>130</v>
      </c>
      <c r="I7" s="15">
        <f t="shared" si="4"/>
        <v>0.96923076923076923</v>
      </c>
      <c r="J7" s="14" t="str">
        <f t="shared" si="5"/>
        <v>⚠ Near Cap</v>
      </c>
    </row>
    <row r="8" spans="1:10" x14ac:dyDescent="0.2">
      <c r="A8" s="12" t="s">
        <v>25</v>
      </c>
      <c r="B8" s="12" t="s">
        <v>69</v>
      </c>
      <c r="C8" s="11">
        <v>118</v>
      </c>
      <c r="D8" s="12">
        <v>26</v>
      </c>
      <c r="E8" s="12">
        <f t="shared" si="0"/>
        <v>5</v>
      </c>
      <c r="F8" s="12">
        <f t="shared" si="1"/>
        <v>91</v>
      </c>
      <c r="G8" s="12">
        <f t="shared" si="2"/>
        <v>111</v>
      </c>
      <c r="H8" s="12">
        <f t="shared" si="3"/>
        <v>130</v>
      </c>
      <c r="I8" s="13">
        <f t="shared" si="4"/>
        <v>0.90769230769230769</v>
      </c>
      <c r="J8" s="12" t="str">
        <f t="shared" si="5"/>
        <v>OK</v>
      </c>
    </row>
    <row r="9" spans="1:10" x14ac:dyDescent="0.2">
      <c r="A9" s="14" t="s">
        <v>26</v>
      </c>
      <c r="B9" s="14" t="s">
        <v>69</v>
      </c>
      <c r="C9" s="11">
        <v>132</v>
      </c>
      <c r="D9" s="14">
        <v>26</v>
      </c>
      <c r="E9" s="14">
        <f t="shared" si="0"/>
        <v>6</v>
      </c>
      <c r="F9" s="14">
        <f t="shared" si="1"/>
        <v>109</v>
      </c>
      <c r="G9" s="14">
        <f t="shared" si="2"/>
        <v>133</v>
      </c>
      <c r="H9" s="14">
        <f t="shared" si="3"/>
        <v>156</v>
      </c>
      <c r="I9" s="15">
        <f t="shared" si="4"/>
        <v>0.84615384615384615</v>
      </c>
      <c r="J9" s="14" t="str">
        <f t="shared" si="5"/>
        <v>OK</v>
      </c>
    </row>
    <row r="10" spans="1:10" x14ac:dyDescent="0.2">
      <c r="A10" s="12" t="s">
        <v>27</v>
      </c>
      <c r="B10" s="12" t="s">
        <v>69</v>
      </c>
      <c r="C10" s="11">
        <v>121</v>
      </c>
      <c r="D10" s="12">
        <v>26</v>
      </c>
      <c r="E10" s="12">
        <f t="shared" si="0"/>
        <v>5</v>
      </c>
      <c r="F10" s="12">
        <f t="shared" si="1"/>
        <v>91</v>
      </c>
      <c r="G10" s="12">
        <f t="shared" si="2"/>
        <v>111</v>
      </c>
      <c r="H10" s="12">
        <f t="shared" si="3"/>
        <v>130</v>
      </c>
      <c r="I10" s="13">
        <f t="shared" si="4"/>
        <v>0.93076923076923079</v>
      </c>
      <c r="J10" s="12" t="str">
        <f t="shared" si="5"/>
        <v>OK</v>
      </c>
    </row>
    <row r="11" spans="1:10" x14ac:dyDescent="0.2">
      <c r="A11" s="14" t="s">
        <v>28</v>
      </c>
      <c r="B11" s="14" t="s">
        <v>69</v>
      </c>
      <c r="C11" s="11">
        <v>121</v>
      </c>
      <c r="D11" s="14">
        <v>26</v>
      </c>
      <c r="E11" s="14">
        <f t="shared" si="0"/>
        <v>5</v>
      </c>
      <c r="F11" s="14">
        <f t="shared" si="1"/>
        <v>91</v>
      </c>
      <c r="G11" s="14">
        <f t="shared" si="2"/>
        <v>111</v>
      </c>
      <c r="H11" s="14">
        <f t="shared" si="3"/>
        <v>130</v>
      </c>
      <c r="I11" s="15">
        <f t="shared" si="4"/>
        <v>0.93076923076923079</v>
      </c>
      <c r="J11" s="14" t="str">
        <f t="shared" si="5"/>
        <v>OK</v>
      </c>
    </row>
    <row r="12" spans="1:10" x14ac:dyDescent="0.2">
      <c r="A12" s="12" t="s">
        <v>29</v>
      </c>
      <c r="B12" s="12" t="s">
        <v>70</v>
      </c>
      <c r="C12" s="11">
        <v>151</v>
      </c>
      <c r="D12" s="12">
        <v>26</v>
      </c>
      <c r="E12" s="12">
        <f t="shared" si="0"/>
        <v>6</v>
      </c>
      <c r="F12" s="12">
        <f t="shared" si="1"/>
        <v>109</v>
      </c>
      <c r="G12" s="12">
        <f t="shared" si="2"/>
        <v>133</v>
      </c>
      <c r="H12" s="12">
        <f t="shared" si="3"/>
        <v>156</v>
      </c>
      <c r="I12" s="13">
        <f t="shared" si="4"/>
        <v>0.96794871794871795</v>
      </c>
      <c r="J12" s="12" t="str">
        <f t="shared" si="5"/>
        <v>⚠ Near Cap</v>
      </c>
    </row>
    <row r="13" spans="1:10" x14ac:dyDescent="0.2">
      <c r="A13" s="14" t="s">
        <v>31</v>
      </c>
      <c r="B13" s="14" t="s">
        <v>70</v>
      </c>
      <c r="C13" s="11">
        <v>139</v>
      </c>
      <c r="D13" s="14">
        <v>26</v>
      </c>
      <c r="E13" s="14">
        <f t="shared" si="0"/>
        <v>6</v>
      </c>
      <c r="F13" s="14">
        <f t="shared" si="1"/>
        <v>109</v>
      </c>
      <c r="G13" s="14">
        <f t="shared" si="2"/>
        <v>133</v>
      </c>
      <c r="H13" s="14">
        <f t="shared" si="3"/>
        <v>156</v>
      </c>
      <c r="I13" s="15">
        <f t="shared" si="4"/>
        <v>0.89102564102564108</v>
      </c>
      <c r="J13" s="14" t="str">
        <f t="shared" si="5"/>
        <v>OK</v>
      </c>
    </row>
    <row r="14" spans="1:10" x14ac:dyDescent="0.2">
      <c r="A14" s="12" t="s">
        <v>32</v>
      </c>
      <c r="B14" s="12" t="s">
        <v>70</v>
      </c>
      <c r="C14" s="11">
        <v>120</v>
      </c>
      <c r="D14" s="12">
        <v>26</v>
      </c>
      <c r="E14" s="12">
        <f t="shared" si="0"/>
        <v>5</v>
      </c>
      <c r="F14" s="12">
        <f t="shared" si="1"/>
        <v>91</v>
      </c>
      <c r="G14" s="12">
        <f t="shared" si="2"/>
        <v>111</v>
      </c>
      <c r="H14" s="12">
        <f t="shared" si="3"/>
        <v>130</v>
      </c>
      <c r="I14" s="13">
        <f t="shared" si="4"/>
        <v>0.92307692307692313</v>
      </c>
      <c r="J14" s="12" t="str">
        <f t="shared" si="5"/>
        <v>OK</v>
      </c>
    </row>
    <row r="15" spans="1:10" x14ac:dyDescent="0.2">
      <c r="A15" s="14" t="s">
        <v>33</v>
      </c>
      <c r="B15" s="14" t="s">
        <v>70</v>
      </c>
      <c r="C15" s="11">
        <v>103</v>
      </c>
      <c r="D15" s="14">
        <v>26</v>
      </c>
      <c r="E15" s="14">
        <f t="shared" si="0"/>
        <v>4</v>
      </c>
      <c r="F15" s="14">
        <f t="shared" si="1"/>
        <v>73</v>
      </c>
      <c r="G15" s="14">
        <f t="shared" si="2"/>
        <v>88</v>
      </c>
      <c r="H15" s="14">
        <f t="shared" si="3"/>
        <v>104</v>
      </c>
      <c r="I15" s="15">
        <f t="shared" si="4"/>
        <v>0.99038461538461542</v>
      </c>
      <c r="J15" s="14" t="str">
        <f t="shared" si="5"/>
        <v>⚠ Near Cap</v>
      </c>
    </row>
    <row r="16" spans="1:10" x14ac:dyDescent="0.2">
      <c r="A16" s="12" t="s">
        <v>34</v>
      </c>
      <c r="B16" s="12" t="s">
        <v>71</v>
      </c>
      <c r="C16" s="11">
        <v>125</v>
      </c>
      <c r="D16" s="12">
        <v>28</v>
      </c>
      <c r="E16" s="12">
        <f t="shared" si="0"/>
        <v>5</v>
      </c>
      <c r="F16" s="12">
        <f t="shared" si="1"/>
        <v>98</v>
      </c>
      <c r="G16" s="12">
        <f t="shared" si="2"/>
        <v>119</v>
      </c>
      <c r="H16" s="12">
        <f t="shared" si="3"/>
        <v>140</v>
      </c>
      <c r="I16" s="13">
        <f t="shared" si="4"/>
        <v>0.8928571428571429</v>
      </c>
      <c r="J16" s="12" t="str">
        <f t="shared" si="5"/>
        <v>OK</v>
      </c>
    </row>
    <row r="17" spans="1:10" x14ac:dyDescent="0.2">
      <c r="A17" s="14" t="s">
        <v>36</v>
      </c>
      <c r="B17" s="14" t="s">
        <v>71</v>
      </c>
      <c r="C17" s="11">
        <v>120</v>
      </c>
      <c r="D17" s="14">
        <v>28</v>
      </c>
      <c r="E17" s="14">
        <f t="shared" si="0"/>
        <v>5</v>
      </c>
      <c r="F17" s="14">
        <f t="shared" si="1"/>
        <v>98</v>
      </c>
      <c r="G17" s="14">
        <f t="shared" si="2"/>
        <v>119</v>
      </c>
      <c r="H17" s="14">
        <f t="shared" si="3"/>
        <v>140</v>
      </c>
      <c r="I17" s="15">
        <f t="shared" si="4"/>
        <v>0.8571428571428571</v>
      </c>
      <c r="J17" s="14" t="str">
        <f t="shared" si="5"/>
        <v>OK</v>
      </c>
    </row>
    <row r="18" spans="1:10" x14ac:dyDescent="0.2">
      <c r="A18" s="12" t="s">
        <v>37</v>
      </c>
      <c r="B18" s="12" t="s">
        <v>71</v>
      </c>
      <c r="C18" s="11">
        <v>111</v>
      </c>
      <c r="D18" s="12">
        <v>28</v>
      </c>
      <c r="E18" s="12">
        <f t="shared" si="0"/>
        <v>4</v>
      </c>
      <c r="F18" s="12">
        <f t="shared" si="1"/>
        <v>78</v>
      </c>
      <c r="G18" s="12">
        <f t="shared" si="2"/>
        <v>95</v>
      </c>
      <c r="H18" s="12">
        <f t="shared" si="3"/>
        <v>112</v>
      </c>
      <c r="I18" s="13">
        <f t="shared" si="4"/>
        <v>0.9910714285714286</v>
      </c>
      <c r="J18" s="12" t="str">
        <f t="shared" si="5"/>
        <v>⚠ Near Cap</v>
      </c>
    </row>
    <row r="20" spans="1:10" x14ac:dyDescent="0.2">
      <c r="A20" s="16" t="s">
        <v>72</v>
      </c>
      <c r="B20" s="17"/>
      <c r="C20" s="16">
        <f>SUM(C4:C18)</f>
        <v>1753</v>
      </c>
      <c r="D20" s="17"/>
      <c r="E20" s="16">
        <f>SUM(E4:E18)</f>
        <v>74</v>
      </c>
      <c r="F20" s="17"/>
      <c r="G20" s="17"/>
      <c r="H20" s="17"/>
      <c r="I20" s="17"/>
      <c r="J20" s="17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E26"/>
  <sheetViews>
    <sheetView zoomScaleNormal="100" workbookViewId="0">
      <selection activeCell="B26" sqref="B26"/>
    </sheetView>
  </sheetViews>
  <sheetFormatPr baseColWidth="10" defaultColWidth="8.6640625" defaultRowHeight="15" x14ac:dyDescent="0.2"/>
  <cols>
    <col min="1" max="1" width="35" customWidth="1"/>
    <col min="2" max="4" width="14" customWidth="1"/>
    <col min="5" max="5" width="40" customWidth="1"/>
  </cols>
  <sheetData>
    <row r="1" spans="1:5" ht="18" x14ac:dyDescent="0.2">
      <c r="A1" s="2" t="s">
        <v>73</v>
      </c>
      <c r="B1" s="2"/>
      <c r="C1" s="2"/>
      <c r="D1" s="2"/>
      <c r="E1" s="2"/>
    </row>
    <row r="2" spans="1:5" x14ac:dyDescent="0.2">
      <c r="A2" s="1" t="s">
        <v>74</v>
      </c>
      <c r="B2" s="1"/>
      <c r="C2" s="1"/>
      <c r="D2" s="1"/>
      <c r="E2" s="1"/>
    </row>
    <row r="4" spans="1:5" x14ac:dyDescent="0.2">
      <c r="A4" s="10" t="s">
        <v>75</v>
      </c>
      <c r="B4" s="10" t="s">
        <v>76</v>
      </c>
      <c r="C4" s="10" t="s">
        <v>77</v>
      </c>
      <c r="D4" s="10" t="s">
        <v>78</v>
      </c>
      <c r="E4" s="10" t="s">
        <v>18</v>
      </c>
    </row>
    <row r="5" spans="1:5" x14ac:dyDescent="0.2">
      <c r="A5" s="6" t="s">
        <v>79</v>
      </c>
      <c r="B5" s="11">
        <v>8</v>
      </c>
      <c r="C5" s="11">
        <v>8</v>
      </c>
      <c r="D5" s="11">
        <v>9</v>
      </c>
      <c r="E5" s="8" t="s">
        <v>80</v>
      </c>
    </row>
    <row r="6" spans="1:5" x14ac:dyDescent="0.2">
      <c r="A6" s="6" t="s">
        <v>81</v>
      </c>
      <c r="B6" s="11">
        <v>3</v>
      </c>
      <c r="C6" s="11">
        <v>3</v>
      </c>
      <c r="D6" s="11">
        <v>3</v>
      </c>
      <c r="E6" s="8" t="s">
        <v>82</v>
      </c>
    </row>
    <row r="7" spans="1:5" x14ac:dyDescent="0.2">
      <c r="A7" s="6" t="s">
        <v>83</v>
      </c>
      <c r="B7" s="11">
        <v>3</v>
      </c>
      <c r="C7" s="11">
        <v>3</v>
      </c>
      <c r="D7" s="11">
        <v>2.5</v>
      </c>
      <c r="E7" s="8" t="s">
        <v>84</v>
      </c>
    </row>
    <row r="8" spans="1:5" x14ac:dyDescent="0.2">
      <c r="A8" s="6" t="s">
        <v>85</v>
      </c>
      <c r="B8" s="11">
        <v>2</v>
      </c>
      <c r="C8" s="11">
        <v>3</v>
      </c>
      <c r="D8" s="11">
        <v>3.5</v>
      </c>
      <c r="E8" s="8" t="s">
        <v>86</v>
      </c>
    </row>
    <row r="9" spans="1:5" x14ac:dyDescent="0.2">
      <c r="A9" s="6" t="s">
        <v>87</v>
      </c>
      <c r="B9" s="11">
        <v>2.5</v>
      </c>
      <c r="C9" s="11">
        <v>2.5</v>
      </c>
      <c r="D9" s="11">
        <v>2.5</v>
      </c>
      <c r="E9" s="8" t="s">
        <v>88</v>
      </c>
    </row>
    <row r="10" spans="1:5" x14ac:dyDescent="0.2">
      <c r="A10" s="6" t="s">
        <v>89</v>
      </c>
      <c r="B10" s="11">
        <v>2.5</v>
      </c>
      <c r="C10" s="11">
        <v>2.5</v>
      </c>
      <c r="D10" s="11">
        <v>2.5</v>
      </c>
      <c r="E10" s="8" t="s">
        <v>90</v>
      </c>
    </row>
    <row r="11" spans="1:5" x14ac:dyDescent="0.2">
      <c r="A11" s="6" t="s">
        <v>91</v>
      </c>
      <c r="B11" s="11">
        <v>3</v>
      </c>
      <c r="C11" s="11">
        <v>2</v>
      </c>
      <c r="D11" s="11">
        <v>1</v>
      </c>
      <c r="E11" s="8" t="s">
        <v>92</v>
      </c>
    </row>
    <row r="12" spans="1:5" x14ac:dyDescent="0.2">
      <c r="A12" s="16" t="s">
        <v>93</v>
      </c>
      <c r="B12" s="16">
        <f>SUM(B5:B11)</f>
        <v>24</v>
      </c>
      <c r="C12" s="16">
        <f>SUM(C5:C11)</f>
        <v>24</v>
      </c>
      <c r="D12" s="16">
        <f>SUM(D5:D11)</f>
        <v>24</v>
      </c>
      <c r="E12" s="16"/>
    </row>
    <row r="14" spans="1:5" ht="16" x14ac:dyDescent="0.2">
      <c r="A14" s="4" t="s">
        <v>94</v>
      </c>
    </row>
    <row r="15" spans="1:5" x14ac:dyDescent="0.2">
      <c r="A15" s="10" t="s">
        <v>95</v>
      </c>
      <c r="B15" s="10" t="s">
        <v>76</v>
      </c>
      <c r="C15" s="10" t="s">
        <v>77</v>
      </c>
      <c r="D15" s="10" t="s">
        <v>78</v>
      </c>
      <c r="E15" s="10" t="s">
        <v>18</v>
      </c>
    </row>
    <row r="16" spans="1:5" x14ac:dyDescent="0.2">
      <c r="A16" s="6" t="s">
        <v>96</v>
      </c>
      <c r="B16" s="11">
        <v>2</v>
      </c>
      <c r="C16" s="11">
        <v>3</v>
      </c>
      <c r="D16" s="11">
        <v>3</v>
      </c>
      <c r="E16" s="8" t="s">
        <v>97</v>
      </c>
    </row>
    <row r="17" spans="1:5" x14ac:dyDescent="0.2">
      <c r="A17" s="6" t="s">
        <v>98</v>
      </c>
      <c r="B17" s="11">
        <v>1</v>
      </c>
      <c r="C17" s="11">
        <v>1</v>
      </c>
      <c r="D17" s="11">
        <v>1</v>
      </c>
      <c r="E17" s="8" t="s">
        <v>97</v>
      </c>
    </row>
    <row r="18" spans="1:5" x14ac:dyDescent="0.2">
      <c r="A18" s="19" t="s">
        <v>99</v>
      </c>
      <c r="B18" s="19">
        <f>SUM(B16:B17)</f>
        <v>3</v>
      </c>
      <c r="C18" s="19">
        <f>SUM(C16:C17)</f>
        <v>4</v>
      </c>
      <c r="D18" s="19">
        <f>SUM(D16:D17)</f>
        <v>4</v>
      </c>
      <c r="E18" s="19"/>
    </row>
    <row r="20" spans="1:5" ht="16" x14ac:dyDescent="0.2">
      <c r="A20" s="4" t="s">
        <v>100</v>
      </c>
    </row>
    <row r="21" spans="1:5" x14ac:dyDescent="0.2">
      <c r="A21" s="10" t="s">
        <v>101</v>
      </c>
      <c r="B21" s="10" t="s">
        <v>65</v>
      </c>
      <c r="C21" s="10" t="s">
        <v>67</v>
      </c>
      <c r="D21" s="10" t="s">
        <v>68</v>
      </c>
      <c r="E21" s="10" t="s">
        <v>18</v>
      </c>
    </row>
    <row r="22" spans="1:5" x14ac:dyDescent="0.2">
      <c r="A22" s="6" t="s">
        <v>102</v>
      </c>
      <c r="B22" s="7">
        <f>Enrollment!E4</f>
        <v>3</v>
      </c>
      <c r="C22" s="7">
        <f>Enrollment!E5</f>
        <v>4</v>
      </c>
      <c r="D22" s="7">
        <f>Enrollment!E6</f>
        <v>6</v>
      </c>
      <c r="E22" s="8" t="s">
        <v>103</v>
      </c>
    </row>
    <row r="23" spans="1:5" x14ac:dyDescent="0.2">
      <c r="A23" s="6" t="s">
        <v>104</v>
      </c>
      <c r="B23" s="7">
        <f>B22</f>
        <v>3</v>
      </c>
      <c r="C23" s="7">
        <f>C22</f>
        <v>4</v>
      </c>
      <c r="D23" s="7">
        <f>D22</f>
        <v>6</v>
      </c>
      <c r="E23" s="8" t="s">
        <v>105</v>
      </c>
    </row>
    <row r="24" spans="1:5" x14ac:dyDescent="0.2">
      <c r="A24" s="6" t="s">
        <v>106</v>
      </c>
      <c r="B24" s="7">
        <f>B22</f>
        <v>3</v>
      </c>
      <c r="C24" s="7">
        <f>C22</f>
        <v>4</v>
      </c>
      <c r="D24" s="7">
        <f>D22</f>
        <v>6</v>
      </c>
      <c r="E24" s="8" t="s">
        <v>107</v>
      </c>
    </row>
    <row r="25" spans="1:5" x14ac:dyDescent="0.2">
      <c r="A25" s="6" t="s">
        <v>108</v>
      </c>
      <c r="B25" s="7">
        <f>B16*B22</f>
        <v>6</v>
      </c>
      <c r="C25" s="7">
        <f>C16*C22</f>
        <v>12</v>
      </c>
      <c r="D25" s="7">
        <f>D16*D22</f>
        <v>18</v>
      </c>
      <c r="E25" s="8" t="s">
        <v>109</v>
      </c>
    </row>
    <row r="26" spans="1:5" x14ac:dyDescent="0.2">
      <c r="A26" s="6" t="s">
        <v>110</v>
      </c>
      <c r="B26" s="7">
        <f>B17*B22</f>
        <v>3</v>
      </c>
      <c r="C26" s="7">
        <f>C17*C22</f>
        <v>4</v>
      </c>
      <c r="D26" s="7">
        <f>D17*D22</f>
        <v>6</v>
      </c>
      <c r="E26" s="7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G27"/>
  <sheetViews>
    <sheetView zoomScaleNormal="100" workbookViewId="0">
      <selection activeCell="E27" sqref="E27"/>
    </sheetView>
  </sheetViews>
  <sheetFormatPr baseColWidth="10" defaultColWidth="8.6640625" defaultRowHeight="15" x14ac:dyDescent="0.2"/>
  <cols>
    <col min="1" max="1" width="35" customWidth="1"/>
    <col min="2" max="6" width="12" customWidth="1"/>
    <col min="7" max="7" width="40" customWidth="1"/>
  </cols>
  <sheetData>
    <row r="1" spans="1:7" ht="18" x14ac:dyDescent="0.2">
      <c r="A1" s="2" t="s">
        <v>111</v>
      </c>
      <c r="B1" s="2"/>
      <c r="C1" s="2"/>
      <c r="D1" s="2"/>
      <c r="E1" s="2"/>
      <c r="F1" s="2"/>
      <c r="G1" s="2"/>
    </row>
    <row r="2" spans="1:7" x14ac:dyDescent="0.2">
      <c r="A2" s="18" t="s">
        <v>112</v>
      </c>
    </row>
    <row r="4" spans="1:7" x14ac:dyDescent="0.2">
      <c r="A4" s="10" t="s">
        <v>113</v>
      </c>
      <c r="B4" s="10" t="s">
        <v>114</v>
      </c>
      <c r="C4" s="10" t="s">
        <v>115</v>
      </c>
      <c r="D4" s="10" t="s">
        <v>116</v>
      </c>
      <c r="E4" s="10" t="s">
        <v>117</v>
      </c>
      <c r="F4" s="10" t="s">
        <v>118</v>
      </c>
      <c r="G4" s="10" t="s">
        <v>18</v>
      </c>
    </row>
    <row r="5" spans="1:7" x14ac:dyDescent="0.2">
      <c r="A5" s="6" t="s">
        <v>119</v>
      </c>
      <c r="B5" s="11">
        <v>10</v>
      </c>
      <c r="C5" s="11">
        <v>8</v>
      </c>
      <c r="D5" s="11">
        <v>8</v>
      </c>
      <c r="E5" s="11">
        <v>8</v>
      </c>
      <c r="F5" s="11">
        <v>8</v>
      </c>
      <c r="G5" s="8" t="s">
        <v>120</v>
      </c>
    </row>
    <row r="6" spans="1:7" x14ac:dyDescent="0.2">
      <c r="A6" s="6" t="s">
        <v>121</v>
      </c>
      <c r="B6" s="11">
        <v>5</v>
      </c>
      <c r="C6" s="11">
        <v>5</v>
      </c>
      <c r="D6" s="11">
        <v>5</v>
      </c>
      <c r="E6" s="11">
        <v>5</v>
      </c>
      <c r="F6" s="11">
        <v>5</v>
      </c>
      <c r="G6" s="8" t="s">
        <v>122</v>
      </c>
    </row>
    <row r="7" spans="1:7" x14ac:dyDescent="0.2">
      <c r="A7" s="6" t="s">
        <v>123</v>
      </c>
      <c r="B7" s="11">
        <v>1.5</v>
      </c>
      <c r="C7" s="11">
        <v>1.5</v>
      </c>
      <c r="D7" s="11">
        <v>1.5</v>
      </c>
      <c r="E7" s="11">
        <v>1.5</v>
      </c>
      <c r="F7" s="11">
        <v>1.5</v>
      </c>
      <c r="G7" s="8" t="s">
        <v>124</v>
      </c>
    </row>
    <row r="8" spans="1:7" x14ac:dyDescent="0.2">
      <c r="A8" s="6" t="s">
        <v>125</v>
      </c>
      <c r="B8" s="11">
        <v>3</v>
      </c>
      <c r="C8" s="11">
        <v>3</v>
      </c>
      <c r="D8" s="11">
        <v>3</v>
      </c>
      <c r="E8" s="11">
        <v>3</v>
      </c>
      <c r="F8" s="11">
        <v>3</v>
      </c>
      <c r="G8" s="8" t="s">
        <v>126</v>
      </c>
    </row>
    <row r="9" spans="1:7" x14ac:dyDescent="0.2">
      <c r="A9" s="6" t="s">
        <v>127</v>
      </c>
      <c r="B9" s="11">
        <v>1</v>
      </c>
      <c r="C9" s="11">
        <v>1.5</v>
      </c>
      <c r="D9" s="11">
        <v>1.5</v>
      </c>
      <c r="E9" s="11">
        <v>2</v>
      </c>
      <c r="F9" s="11">
        <v>2</v>
      </c>
      <c r="G9" s="8" t="s">
        <v>128</v>
      </c>
    </row>
    <row r="10" spans="1:7" x14ac:dyDescent="0.2">
      <c r="A10" s="6" t="s">
        <v>129</v>
      </c>
      <c r="B10" s="11">
        <v>1</v>
      </c>
      <c r="C10" s="11">
        <v>1.5</v>
      </c>
      <c r="D10" s="11">
        <v>1.5</v>
      </c>
      <c r="E10" s="11">
        <v>2</v>
      </c>
      <c r="F10" s="11">
        <v>2</v>
      </c>
      <c r="G10" s="8" t="s">
        <v>130</v>
      </c>
    </row>
    <row r="11" spans="1:7" x14ac:dyDescent="0.2">
      <c r="A11" s="6" t="s">
        <v>131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8"/>
    </row>
    <row r="12" spans="1:7" x14ac:dyDescent="0.2">
      <c r="A12" s="6" t="s">
        <v>132</v>
      </c>
      <c r="B12" s="11">
        <v>1</v>
      </c>
      <c r="C12" s="11">
        <v>1</v>
      </c>
      <c r="D12" s="11">
        <v>1</v>
      </c>
      <c r="E12" s="11">
        <v>1</v>
      </c>
      <c r="F12" s="11">
        <v>1</v>
      </c>
      <c r="G12" s="8"/>
    </row>
    <row r="13" spans="1:7" x14ac:dyDescent="0.2">
      <c r="A13" s="6" t="s">
        <v>89</v>
      </c>
      <c r="B13" s="11">
        <v>0.5</v>
      </c>
      <c r="C13" s="11">
        <v>0.5</v>
      </c>
      <c r="D13" s="11">
        <v>0.5</v>
      </c>
      <c r="E13" s="11">
        <v>0.5</v>
      </c>
      <c r="F13" s="11">
        <v>0.5</v>
      </c>
      <c r="G13" s="8" t="s">
        <v>133</v>
      </c>
    </row>
    <row r="14" spans="1:7" x14ac:dyDescent="0.2">
      <c r="A14" s="16" t="s">
        <v>93</v>
      </c>
      <c r="B14" s="16">
        <f>SUM(B5:B13)</f>
        <v>24</v>
      </c>
      <c r="C14" s="16">
        <f>SUM(C5:C13)</f>
        <v>23</v>
      </c>
      <c r="D14" s="16">
        <f>SUM(D5:D13)</f>
        <v>23</v>
      </c>
      <c r="E14" s="16">
        <f>SUM(E5:E13)</f>
        <v>24</v>
      </c>
      <c r="F14" s="16">
        <f>SUM(F5:F13)</f>
        <v>24</v>
      </c>
      <c r="G14" s="17"/>
    </row>
    <row r="16" spans="1:7" ht="16" x14ac:dyDescent="0.2">
      <c r="A16" s="4" t="s">
        <v>94</v>
      </c>
    </row>
    <row r="17" spans="1:7" x14ac:dyDescent="0.2">
      <c r="A17" s="10" t="s">
        <v>95</v>
      </c>
      <c r="B17" s="10" t="s">
        <v>114</v>
      </c>
      <c r="C17" s="10" t="s">
        <v>115</v>
      </c>
      <c r="D17" s="10" t="s">
        <v>116</v>
      </c>
      <c r="E17" s="10" t="s">
        <v>117</v>
      </c>
      <c r="F17" s="10" t="s">
        <v>118</v>
      </c>
      <c r="G17" s="10" t="s">
        <v>18</v>
      </c>
    </row>
    <row r="18" spans="1:7" x14ac:dyDescent="0.2">
      <c r="A18" s="6" t="s">
        <v>96</v>
      </c>
      <c r="B18" s="11">
        <v>4</v>
      </c>
      <c r="C18" s="11">
        <v>4</v>
      </c>
      <c r="D18" s="11">
        <v>4</v>
      </c>
      <c r="E18" s="11">
        <v>3</v>
      </c>
      <c r="F18" s="11">
        <v>3</v>
      </c>
      <c r="G18" s="8" t="s">
        <v>134</v>
      </c>
    </row>
    <row r="19" spans="1:7" x14ac:dyDescent="0.2">
      <c r="A19" s="6" t="s">
        <v>98</v>
      </c>
      <c r="B19" s="11">
        <v>2</v>
      </c>
      <c r="C19" s="11">
        <v>2</v>
      </c>
      <c r="D19" s="11">
        <v>2</v>
      </c>
      <c r="E19" s="11">
        <v>1</v>
      </c>
      <c r="F19" s="11">
        <v>1</v>
      </c>
      <c r="G19" s="8" t="s">
        <v>134</v>
      </c>
    </row>
    <row r="20" spans="1:7" x14ac:dyDescent="0.2">
      <c r="A20" s="19" t="s">
        <v>99</v>
      </c>
      <c r="B20" s="19">
        <f>SUM(B18:B19)</f>
        <v>6</v>
      </c>
      <c r="C20" s="19">
        <f>SUM(C18:C19)</f>
        <v>6</v>
      </c>
      <c r="D20" s="19">
        <f>SUM(D18:D19)</f>
        <v>6</v>
      </c>
      <c r="E20" s="19">
        <f>SUM(E18:E19)</f>
        <v>4</v>
      </c>
      <c r="F20" s="19">
        <f>SUM(F18:F19)</f>
        <v>4</v>
      </c>
      <c r="G20" s="19"/>
    </row>
    <row r="22" spans="1:7" ht="16" x14ac:dyDescent="0.2">
      <c r="A22" s="4" t="s">
        <v>135</v>
      </c>
    </row>
    <row r="23" spans="1:7" x14ac:dyDescent="0.2">
      <c r="A23" s="10" t="s">
        <v>101</v>
      </c>
      <c r="B23" s="10" t="s">
        <v>23</v>
      </c>
      <c r="C23" s="10" t="s">
        <v>25</v>
      </c>
      <c r="D23" s="10" t="s">
        <v>26</v>
      </c>
      <c r="E23" s="10" t="s">
        <v>27</v>
      </c>
      <c r="F23" s="10" t="s">
        <v>28</v>
      </c>
      <c r="G23" s="10" t="s">
        <v>18</v>
      </c>
    </row>
    <row r="24" spans="1:7" x14ac:dyDescent="0.2">
      <c r="A24" s="6" t="s">
        <v>102</v>
      </c>
      <c r="B24" s="7">
        <f>Enrollment!E7</f>
        <v>5</v>
      </c>
      <c r="C24" s="7">
        <f>Enrollment!E8</f>
        <v>5</v>
      </c>
      <c r="D24" s="7">
        <f>Enrollment!E9</f>
        <v>6</v>
      </c>
      <c r="E24" s="7">
        <f>Enrollment!E10</f>
        <v>5</v>
      </c>
      <c r="F24" s="7">
        <f>Enrollment!E11</f>
        <v>5</v>
      </c>
      <c r="G24" s="8" t="s">
        <v>136</v>
      </c>
    </row>
    <row r="25" spans="1:7" x14ac:dyDescent="0.2">
      <c r="A25" s="6" t="s">
        <v>104</v>
      </c>
      <c r="B25" s="7">
        <f>B24</f>
        <v>5</v>
      </c>
      <c r="C25" s="7">
        <f>C24</f>
        <v>5</v>
      </c>
      <c r="D25" s="7">
        <f>D24</f>
        <v>6</v>
      </c>
      <c r="E25" s="7">
        <f>E24</f>
        <v>5</v>
      </c>
      <c r="F25" s="7">
        <f>F24</f>
        <v>5</v>
      </c>
      <c r="G25" s="8" t="s">
        <v>105</v>
      </c>
    </row>
    <row r="26" spans="1:7" x14ac:dyDescent="0.2">
      <c r="A26" s="6" t="s">
        <v>108</v>
      </c>
      <c r="B26" s="7">
        <f>B18*B24</f>
        <v>20</v>
      </c>
      <c r="C26" s="7">
        <f>C18*C24</f>
        <v>20</v>
      </c>
      <c r="D26" s="7">
        <f>D18*D24</f>
        <v>24</v>
      </c>
      <c r="E26" s="7">
        <f>E18*E24</f>
        <v>15</v>
      </c>
      <c r="F26" s="7">
        <f>F18*F24</f>
        <v>15</v>
      </c>
      <c r="G26" s="8" t="s">
        <v>137</v>
      </c>
    </row>
    <row r="27" spans="1:7" x14ac:dyDescent="0.2">
      <c r="A27" s="6" t="s">
        <v>110</v>
      </c>
      <c r="B27" s="7">
        <f>B19*B24</f>
        <v>10</v>
      </c>
      <c r="C27" s="7">
        <f>C19*C24</f>
        <v>10</v>
      </c>
      <c r="D27" s="7">
        <f>D19*D24</f>
        <v>12</v>
      </c>
      <c r="E27" s="7">
        <f>E19*E24</f>
        <v>5</v>
      </c>
      <c r="F27" s="7">
        <f>F19*F24</f>
        <v>5</v>
      </c>
      <c r="G27" s="7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29"/>
  <sheetViews>
    <sheetView zoomScaleNormal="100" workbookViewId="0">
      <selection activeCell="B27" sqref="B27"/>
    </sheetView>
  </sheetViews>
  <sheetFormatPr baseColWidth="10" defaultColWidth="8.6640625" defaultRowHeight="15" x14ac:dyDescent="0.2"/>
  <cols>
    <col min="1" max="1" width="35" customWidth="1"/>
    <col min="2" max="9" width="14" customWidth="1"/>
    <col min="10" max="10" width="40" customWidth="1"/>
  </cols>
  <sheetData>
    <row r="1" spans="1:10" ht="18" x14ac:dyDescent="0.2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18" t="s">
        <v>139</v>
      </c>
    </row>
    <row r="4" spans="1:10" x14ac:dyDescent="0.2">
      <c r="A4" s="10" t="s">
        <v>113</v>
      </c>
      <c r="B4" s="10" t="s">
        <v>140</v>
      </c>
      <c r="C4" s="10" t="s">
        <v>141</v>
      </c>
      <c r="D4" s="10" t="s">
        <v>142</v>
      </c>
      <c r="E4" s="10" t="s">
        <v>143</v>
      </c>
      <c r="F4" s="10" t="s">
        <v>144</v>
      </c>
      <c r="G4" s="10" t="s">
        <v>145</v>
      </c>
      <c r="H4" s="10" t="s">
        <v>146</v>
      </c>
      <c r="I4" s="10" t="s">
        <v>147</v>
      </c>
      <c r="J4" s="10" t="s">
        <v>18</v>
      </c>
    </row>
    <row r="5" spans="1:10" x14ac:dyDescent="0.2">
      <c r="A5" s="20" t="s">
        <v>148</v>
      </c>
      <c r="B5" s="20">
        <f>Enrollment!E12</f>
        <v>6</v>
      </c>
      <c r="C5" s="20">
        <f>Enrollment!E13</f>
        <v>6</v>
      </c>
      <c r="D5" s="20">
        <f>Enrollment!E14</f>
        <v>5</v>
      </c>
      <c r="E5" s="20">
        <f>Enrollment!E15</f>
        <v>4</v>
      </c>
      <c r="F5" s="21"/>
      <c r="G5" s="21"/>
      <c r="H5" s="21"/>
      <c r="I5" s="21"/>
      <c r="J5" s="21"/>
    </row>
    <row r="6" spans="1:10" x14ac:dyDescent="0.2">
      <c r="A6" s="6" t="s">
        <v>119</v>
      </c>
      <c r="B6" s="11">
        <v>4.5</v>
      </c>
      <c r="C6" s="11">
        <v>4.5</v>
      </c>
      <c r="D6" s="11">
        <v>4.5</v>
      </c>
      <c r="E6" s="11">
        <v>4</v>
      </c>
      <c r="F6" s="6">
        <f>B6*B5</f>
        <v>27</v>
      </c>
      <c r="G6" s="6">
        <f>C6*C5</f>
        <v>27</v>
      </c>
      <c r="H6" s="6">
        <f>D6*D5</f>
        <v>22.5</v>
      </c>
      <c r="I6" s="6">
        <f>E6*E5</f>
        <v>16</v>
      </c>
      <c r="J6" s="8"/>
    </row>
    <row r="7" spans="1:10" x14ac:dyDescent="0.2">
      <c r="A7" s="6" t="s">
        <v>121</v>
      </c>
      <c r="B7" s="11">
        <v>4.5</v>
      </c>
      <c r="C7" s="11">
        <v>3.5</v>
      </c>
      <c r="D7" s="11">
        <v>3.5</v>
      </c>
      <c r="E7" s="11">
        <v>3.5</v>
      </c>
      <c r="F7" s="6">
        <f>B7*B5</f>
        <v>27</v>
      </c>
      <c r="G7" s="6">
        <f>C7*C5</f>
        <v>21</v>
      </c>
      <c r="H7" s="6">
        <f>D7*D5</f>
        <v>17.5</v>
      </c>
      <c r="I7" s="6">
        <f>E7*E5</f>
        <v>14</v>
      </c>
      <c r="J7" s="8"/>
    </row>
    <row r="8" spans="1:10" x14ac:dyDescent="0.2">
      <c r="A8" s="6" t="s">
        <v>129</v>
      </c>
      <c r="B8" s="11">
        <v>3</v>
      </c>
      <c r="C8" s="11">
        <v>3</v>
      </c>
      <c r="D8" s="11">
        <v>3</v>
      </c>
      <c r="E8" s="11">
        <v>3.5</v>
      </c>
      <c r="F8" s="6">
        <f>B8*B5</f>
        <v>18</v>
      </c>
      <c r="G8" s="6">
        <f>C8*C5</f>
        <v>18</v>
      </c>
      <c r="H8" s="6">
        <f>D8*D5</f>
        <v>15</v>
      </c>
      <c r="I8" s="6">
        <f>E8*E5</f>
        <v>14</v>
      </c>
      <c r="J8" s="8" t="s">
        <v>149</v>
      </c>
    </row>
    <row r="9" spans="1:10" x14ac:dyDescent="0.2">
      <c r="A9" s="6" t="s">
        <v>150</v>
      </c>
      <c r="B9" s="11">
        <v>4</v>
      </c>
      <c r="C9" s="11">
        <v>3</v>
      </c>
      <c r="D9" s="11">
        <v>3</v>
      </c>
      <c r="E9" s="11">
        <v>3</v>
      </c>
      <c r="F9" s="6">
        <f>B9*B5</f>
        <v>24</v>
      </c>
      <c r="G9" s="6">
        <f>C9*C5</f>
        <v>18</v>
      </c>
      <c r="H9" s="6">
        <f>D9*D5</f>
        <v>15</v>
      </c>
      <c r="I9" s="6">
        <f>E9*E5</f>
        <v>12</v>
      </c>
      <c r="J9" s="8"/>
    </row>
    <row r="10" spans="1:10" x14ac:dyDescent="0.2">
      <c r="A10" s="6" t="s">
        <v>151</v>
      </c>
      <c r="B10" s="11">
        <v>0</v>
      </c>
      <c r="C10" s="11">
        <v>2.5</v>
      </c>
      <c r="D10" s="11">
        <v>2.5</v>
      </c>
      <c r="E10" s="11">
        <v>2.5</v>
      </c>
      <c r="F10" s="6">
        <f>B10*B5</f>
        <v>0</v>
      </c>
      <c r="G10" s="6">
        <f>C10*C5</f>
        <v>15</v>
      </c>
      <c r="H10" s="6">
        <f>D10*D5</f>
        <v>12.5</v>
      </c>
      <c r="I10" s="6">
        <f>E10*E5</f>
        <v>10</v>
      </c>
      <c r="J10" s="8" t="s">
        <v>152</v>
      </c>
    </row>
    <row r="11" spans="1:10" x14ac:dyDescent="0.2">
      <c r="A11" s="6" t="s">
        <v>153</v>
      </c>
      <c r="B11" s="11">
        <v>1.5</v>
      </c>
      <c r="C11" s="11">
        <v>1.5</v>
      </c>
      <c r="D11" s="11">
        <v>1.5</v>
      </c>
      <c r="E11" s="11">
        <v>1.5</v>
      </c>
      <c r="F11" s="6">
        <f>B11*B5</f>
        <v>9</v>
      </c>
      <c r="G11" s="6">
        <f>C11*C5</f>
        <v>9</v>
      </c>
      <c r="H11" s="6">
        <f>D11*D5</f>
        <v>7.5</v>
      </c>
      <c r="I11" s="6">
        <f>E11*E5</f>
        <v>6</v>
      </c>
      <c r="J11" s="8"/>
    </row>
    <row r="12" spans="1:10" x14ac:dyDescent="0.2">
      <c r="A12" s="6" t="s">
        <v>154</v>
      </c>
      <c r="B12" s="11">
        <v>1</v>
      </c>
      <c r="C12" s="11">
        <v>1.5</v>
      </c>
      <c r="D12" s="11">
        <v>1.5</v>
      </c>
      <c r="E12" s="11">
        <v>1.5</v>
      </c>
      <c r="F12" s="6">
        <f>B12*B5</f>
        <v>6</v>
      </c>
      <c r="G12" s="6">
        <f>C12*C5</f>
        <v>9</v>
      </c>
      <c r="H12" s="6">
        <f>D12*D5</f>
        <v>7.5</v>
      </c>
      <c r="I12" s="6">
        <f>E12*E5</f>
        <v>6</v>
      </c>
      <c r="J12" s="8"/>
    </row>
    <row r="13" spans="1:10" x14ac:dyDescent="0.2">
      <c r="A13" s="6" t="s">
        <v>155</v>
      </c>
      <c r="B13" s="11">
        <v>1.5</v>
      </c>
      <c r="C13" s="11">
        <v>1.5</v>
      </c>
      <c r="D13" s="11">
        <v>1.5</v>
      </c>
      <c r="E13" s="11">
        <v>1.5</v>
      </c>
      <c r="F13" s="6">
        <f>B13*B5</f>
        <v>9</v>
      </c>
      <c r="G13" s="6">
        <f>C13*C5</f>
        <v>9</v>
      </c>
      <c r="H13" s="6">
        <f>D13*D5</f>
        <v>7.5</v>
      </c>
      <c r="I13" s="6">
        <f>E13*E5</f>
        <v>6</v>
      </c>
      <c r="J13" s="8"/>
    </row>
    <row r="14" spans="1:10" x14ac:dyDescent="0.2">
      <c r="A14" s="6" t="s">
        <v>131</v>
      </c>
      <c r="B14" s="11">
        <v>1</v>
      </c>
      <c r="C14" s="11">
        <v>1</v>
      </c>
      <c r="D14" s="11">
        <v>1</v>
      </c>
      <c r="E14" s="11">
        <v>1</v>
      </c>
      <c r="F14" s="6">
        <f>B14*B5</f>
        <v>6</v>
      </c>
      <c r="G14" s="6">
        <f>C14*C5</f>
        <v>6</v>
      </c>
      <c r="H14" s="6">
        <f>D14*D5</f>
        <v>5</v>
      </c>
      <c r="I14" s="6">
        <f>E14*E5</f>
        <v>4</v>
      </c>
      <c r="J14" s="8"/>
    </row>
    <row r="15" spans="1:10" x14ac:dyDescent="0.2">
      <c r="A15" s="6" t="s">
        <v>132</v>
      </c>
      <c r="B15" s="11">
        <v>1</v>
      </c>
      <c r="C15" s="11">
        <v>1</v>
      </c>
      <c r="D15" s="11">
        <v>1</v>
      </c>
      <c r="E15" s="11">
        <v>1</v>
      </c>
      <c r="F15" s="6">
        <f>B15*B5</f>
        <v>6</v>
      </c>
      <c r="G15" s="6">
        <f>C15*C5</f>
        <v>6</v>
      </c>
      <c r="H15" s="6">
        <f>D15*D5</f>
        <v>5</v>
      </c>
      <c r="I15" s="6">
        <f>E15*E5</f>
        <v>4</v>
      </c>
      <c r="J15" s="8"/>
    </row>
    <row r="16" spans="1:10" x14ac:dyDescent="0.2">
      <c r="A16" s="6" t="s">
        <v>125</v>
      </c>
      <c r="B16" s="11">
        <v>4</v>
      </c>
      <c r="C16" s="11">
        <v>3</v>
      </c>
      <c r="D16" s="11">
        <v>3</v>
      </c>
      <c r="E16" s="11">
        <v>3</v>
      </c>
      <c r="F16" s="6">
        <f>B16*B5</f>
        <v>24</v>
      </c>
      <c r="G16" s="6">
        <f>C16*C5</f>
        <v>18</v>
      </c>
      <c r="H16" s="6">
        <f>D16*D5</f>
        <v>15</v>
      </c>
      <c r="I16" s="6">
        <f>E16*E5</f>
        <v>12</v>
      </c>
      <c r="J16" s="8"/>
    </row>
    <row r="17" spans="1:10" x14ac:dyDescent="0.2">
      <c r="A17" s="6" t="s">
        <v>156</v>
      </c>
      <c r="B17" s="11">
        <v>3</v>
      </c>
      <c r="C17" s="11">
        <v>3</v>
      </c>
      <c r="D17" s="11">
        <v>3</v>
      </c>
      <c r="E17" s="11">
        <v>3</v>
      </c>
      <c r="F17" s="7">
        <f>B17*B5</f>
        <v>18</v>
      </c>
      <c r="G17" s="7">
        <f>C17*C5</f>
        <v>18</v>
      </c>
      <c r="H17" s="7">
        <f>D17*D5</f>
        <v>15</v>
      </c>
      <c r="I17" s="7">
        <f>E17*E5</f>
        <v>12</v>
      </c>
      <c r="J17" s="8" t="s">
        <v>157</v>
      </c>
    </row>
    <row r="18" spans="1:10" x14ac:dyDescent="0.2">
      <c r="A18" s="16" t="s">
        <v>158</v>
      </c>
      <c r="B18" s="16">
        <f t="shared" ref="B18:I18" si="0">SUM(B6:B17)</f>
        <v>29</v>
      </c>
      <c r="C18" s="16">
        <f t="shared" si="0"/>
        <v>29</v>
      </c>
      <c r="D18" s="16">
        <f t="shared" si="0"/>
        <v>29</v>
      </c>
      <c r="E18" s="16">
        <f t="shared" si="0"/>
        <v>29</v>
      </c>
      <c r="F18" s="16">
        <f t="shared" si="0"/>
        <v>174</v>
      </c>
      <c r="G18" s="16">
        <f t="shared" si="0"/>
        <v>174</v>
      </c>
      <c r="H18" s="16">
        <f t="shared" si="0"/>
        <v>145</v>
      </c>
      <c r="I18" s="16">
        <f t="shared" si="0"/>
        <v>116</v>
      </c>
      <c r="J18" s="17"/>
    </row>
    <row r="20" spans="1:10" ht="16" x14ac:dyDescent="0.2">
      <c r="A20" s="4" t="s">
        <v>159</v>
      </c>
    </row>
    <row r="21" spans="1:10" x14ac:dyDescent="0.2">
      <c r="A21" s="10" t="s">
        <v>95</v>
      </c>
      <c r="B21" s="10" t="s">
        <v>140</v>
      </c>
      <c r="C21" s="10" t="s">
        <v>141</v>
      </c>
      <c r="D21" s="10" t="s">
        <v>142</v>
      </c>
      <c r="E21" s="10" t="s">
        <v>143</v>
      </c>
      <c r="F21" s="10" t="s">
        <v>144</v>
      </c>
      <c r="G21" s="10" t="s">
        <v>145</v>
      </c>
      <c r="H21" s="10" t="s">
        <v>146</v>
      </c>
      <c r="I21" s="10" t="s">
        <v>147</v>
      </c>
      <c r="J21" s="10" t="s">
        <v>18</v>
      </c>
    </row>
    <row r="22" spans="1:10" x14ac:dyDescent="0.2">
      <c r="A22" s="6" t="s">
        <v>96</v>
      </c>
      <c r="B22" s="11">
        <v>3</v>
      </c>
      <c r="C22" s="11">
        <v>3</v>
      </c>
      <c r="D22" s="11">
        <v>3</v>
      </c>
      <c r="E22" s="11">
        <v>3</v>
      </c>
      <c r="F22" s="7">
        <f>B22*B5</f>
        <v>18</v>
      </c>
      <c r="G22" s="7">
        <f>C22*C5</f>
        <v>18</v>
      </c>
      <c r="H22" s="7">
        <f>D22*D5</f>
        <v>15</v>
      </c>
      <c r="I22" s="7">
        <f>E22*E5</f>
        <v>12</v>
      </c>
      <c r="J22" s="8" t="s">
        <v>160</v>
      </c>
    </row>
    <row r="23" spans="1:10" x14ac:dyDescent="0.2">
      <c r="A23" s="6" t="s">
        <v>98</v>
      </c>
      <c r="B23" s="11">
        <v>1</v>
      </c>
      <c r="C23" s="11">
        <v>1</v>
      </c>
      <c r="D23" s="11">
        <v>1</v>
      </c>
      <c r="E23" s="11">
        <v>1</v>
      </c>
      <c r="F23" s="7">
        <f>B23*B5</f>
        <v>6</v>
      </c>
      <c r="G23" s="7">
        <f>C23*C5</f>
        <v>6</v>
      </c>
      <c r="H23" s="7">
        <f>D23*D5</f>
        <v>5</v>
      </c>
      <c r="I23" s="7">
        <f>E23*E5</f>
        <v>4</v>
      </c>
      <c r="J23" s="8" t="s">
        <v>160</v>
      </c>
    </row>
    <row r="25" spans="1:10" ht="16" x14ac:dyDescent="0.2">
      <c r="A25" s="4" t="s">
        <v>161</v>
      </c>
    </row>
    <row r="26" spans="1:10" x14ac:dyDescent="0.2">
      <c r="A26" s="10" t="s">
        <v>162</v>
      </c>
      <c r="B26" s="10" t="s">
        <v>163</v>
      </c>
      <c r="C26" s="10"/>
      <c r="D26" s="10"/>
      <c r="E26" s="10"/>
      <c r="F26" s="10" t="s">
        <v>164</v>
      </c>
      <c r="G26" s="10"/>
      <c r="H26" s="10"/>
      <c r="I26" s="10"/>
      <c r="J26" s="10" t="s">
        <v>18</v>
      </c>
    </row>
    <row r="27" spans="1:10" x14ac:dyDescent="0.2">
      <c r="A27" s="6" t="s">
        <v>165</v>
      </c>
      <c r="B27" s="11">
        <v>3</v>
      </c>
      <c r="C27" s="7"/>
      <c r="D27" s="7"/>
      <c r="E27" s="7"/>
      <c r="F27" s="7"/>
      <c r="G27" s="7"/>
      <c r="H27" s="7"/>
      <c r="I27" s="7"/>
      <c r="J27" s="8" t="s">
        <v>166</v>
      </c>
    </row>
    <row r="28" spans="1:10" x14ac:dyDescent="0.2">
      <c r="A28" s="6" t="s">
        <v>167</v>
      </c>
      <c r="B28" s="11">
        <v>0.28000000000000003</v>
      </c>
      <c r="C28" s="7"/>
      <c r="D28" s="7"/>
      <c r="E28" s="7"/>
      <c r="F28" s="7"/>
      <c r="G28" s="7"/>
      <c r="H28" s="7"/>
      <c r="I28" s="7"/>
      <c r="J28" s="8" t="s">
        <v>168</v>
      </c>
    </row>
    <row r="29" spans="1:10" x14ac:dyDescent="0.2">
      <c r="A29" s="6" t="s">
        <v>169</v>
      </c>
      <c r="B29" s="11">
        <v>3</v>
      </c>
      <c r="C29" s="7"/>
      <c r="D29" s="7"/>
      <c r="E29" s="7"/>
      <c r="F29" s="7"/>
      <c r="G29" s="7"/>
      <c r="H29" s="7"/>
      <c r="I29" s="7"/>
      <c r="J29" s="8" t="s">
        <v>170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H71"/>
  <sheetViews>
    <sheetView zoomScaleNormal="100" workbookViewId="0">
      <selection activeCell="A31" sqref="A31"/>
    </sheetView>
  </sheetViews>
  <sheetFormatPr baseColWidth="10" defaultColWidth="8.6640625" defaultRowHeight="15" x14ac:dyDescent="0.2"/>
  <cols>
    <col min="1" max="1" width="38" customWidth="1"/>
    <col min="2" max="7" width="16" customWidth="1"/>
    <col min="8" max="8" width="40" customWidth="1"/>
  </cols>
  <sheetData>
    <row r="1" spans="1:8" ht="18" x14ac:dyDescent="0.2">
      <c r="A1" s="2" t="s">
        <v>171</v>
      </c>
      <c r="B1" s="2"/>
      <c r="C1" s="2"/>
      <c r="D1" s="2"/>
      <c r="E1" s="2"/>
      <c r="F1" s="2"/>
      <c r="G1" s="2"/>
      <c r="H1" s="2"/>
    </row>
    <row r="2" spans="1:8" x14ac:dyDescent="0.2">
      <c r="A2" s="18" t="s">
        <v>172</v>
      </c>
    </row>
    <row r="4" spans="1:8" ht="16" x14ac:dyDescent="0.2">
      <c r="A4" s="4" t="s">
        <v>173</v>
      </c>
    </row>
    <row r="5" spans="1:8" ht="30" x14ac:dyDescent="0.2">
      <c r="A5" s="10" t="s">
        <v>113</v>
      </c>
      <c r="B5" s="10" t="s">
        <v>174</v>
      </c>
      <c r="C5" s="10" t="s">
        <v>175</v>
      </c>
      <c r="D5" s="10" t="s">
        <v>176</v>
      </c>
      <c r="E5" s="10"/>
      <c r="F5" s="10"/>
      <c r="G5" s="10"/>
      <c r="H5" s="10" t="s">
        <v>18</v>
      </c>
    </row>
    <row r="6" spans="1:8" x14ac:dyDescent="0.2">
      <c r="A6" s="20" t="s">
        <v>177</v>
      </c>
      <c r="B6" s="21"/>
      <c r="C6" s="20">
        <f>Enrollment!E16</f>
        <v>5</v>
      </c>
      <c r="D6" s="21"/>
      <c r="E6" s="21"/>
      <c r="F6" s="21"/>
      <c r="G6" s="21"/>
      <c r="H6" s="21"/>
    </row>
    <row r="7" spans="1:8" x14ac:dyDescent="0.2">
      <c r="A7" s="6" t="s">
        <v>119</v>
      </c>
      <c r="B7" s="11">
        <v>4</v>
      </c>
      <c r="C7" s="7"/>
      <c r="D7" s="6">
        <f>B7*C6</f>
        <v>20</v>
      </c>
      <c r="E7" s="7"/>
      <c r="F7" s="7"/>
      <c r="G7" s="7"/>
      <c r="H7" s="7"/>
    </row>
    <row r="8" spans="1:8" x14ac:dyDescent="0.2">
      <c r="A8" s="6" t="s">
        <v>178</v>
      </c>
      <c r="B8" s="11">
        <v>3</v>
      </c>
      <c r="C8" s="7"/>
      <c r="D8" s="6">
        <f>B8*C6</f>
        <v>15</v>
      </c>
      <c r="E8" s="7"/>
      <c r="F8" s="7"/>
      <c r="G8" s="7"/>
      <c r="H8" s="7"/>
    </row>
    <row r="9" spans="1:8" x14ac:dyDescent="0.2">
      <c r="A9" s="6" t="s">
        <v>150</v>
      </c>
      <c r="B9" s="11">
        <v>3</v>
      </c>
      <c r="C9" s="7"/>
      <c r="D9" s="6">
        <f>B9*C6</f>
        <v>15</v>
      </c>
      <c r="E9" s="7"/>
      <c r="F9" s="7"/>
      <c r="G9" s="7"/>
      <c r="H9" s="7"/>
    </row>
    <row r="10" spans="1:8" x14ac:dyDescent="0.2">
      <c r="A10" s="6" t="s">
        <v>151</v>
      </c>
      <c r="B10" s="11">
        <v>2.5</v>
      </c>
      <c r="C10" s="7"/>
      <c r="D10" s="6">
        <f>B10*C6</f>
        <v>12.5</v>
      </c>
      <c r="E10" s="7"/>
      <c r="F10" s="7"/>
      <c r="G10" s="7"/>
      <c r="H10" s="7"/>
    </row>
    <row r="11" spans="1:8" x14ac:dyDescent="0.2">
      <c r="A11" s="6" t="s">
        <v>179</v>
      </c>
      <c r="B11" s="11">
        <v>1.5</v>
      </c>
      <c r="C11" s="7"/>
      <c r="D11" s="6">
        <f>B11*C6</f>
        <v>7.5</v>
      </c>
      <c r="E11" s="7"/>
      <c r="F11" s="7"/>
      <c r="G11" s="7"/>
      <c r="H11" s="7"/>
    </row>
    <row r="12" spans="1:8" x14ac:dyDescent="0.2">
      <c r="A12" s="6" t="s">
        <v>121</v>
      </c>
      <c r="B12" s="11">
        <v>4</v>
      </c>
      <c r="C12" s="7"/>
      <c r="D12" s="6">
        <f>B12*C6</f>
        <v>20</v>
      </c>
      <c r="E12" s="7"/>
      <c r="F12" s="7"/>
      <c r="G12" s="7"/>
      <c r="H12" s="7"/>
    </row>
    <row r="13" spans="1:8" x14ac:dyDescent="0.2">
      <c r="A13" s="6" t="s">
        <v>154</v>
      </c>
      <c r="B13" s="11">
        <v>3</v>
      </c>
      <c r="C13" s="7"/>
      <c r="D13" s="6">
        <f>B13*C6</f>
        <v>15</v>
      </c>
      <c r="E13" s="7"/>
      <c r="F13" s="7"/>
      <c r="G13" s="7"/>
      <c r="H13" s="7"/>
    </row>
    <row r="14" spans="1:8" x14ac:dyDescent="0.2">
      <c r="A14" s="6" t="s">
        <v>153</v>
      </c>
      <c r="B14" s="11">
        <v>1.5</v>
      </c>
      <c r="C14" s="7"/>
      <c r="D14" s="6">
        <f>B14*C6</f>
        <v>7.5</v>
      </c>
      <c r="E14" s="7"/>
      <c r="F14" s="7"/>
      <c r="G14" s="7"/>
      <c r="H14" s="7"/>
    </row>
    <row r="15" spans="1:8" x14ac:dyDescent="0.2">
      <c r="A15" s="6" t="s">
        <v>125</v>
      </c>
      <c r="B15" s="11">
        <v>2</v>
      </c>
      <c r="C15" s="7"/>
      <c r="D15" s="6">
        <f>B15*C6</f>
        <v>10</v>
      </c>
      <c r="E15" s="7"/>
      <c r="F15" s="7"/>
      <c r="G15" s="7"/>
      <c r="H15" s="7"/>
    </row>
    <row r="16" spans="1:8" x14ac:dyDescent="0.2">
      <c r="A16" s="6" t="s">
        <v>180</v>
      </c>
      <c r="B16" s="11">
        <v>0.5</v>
      </c>
      <c r="C16" s="7"/>
      <c r="D16" s="6">
        <f>B16*C6</f>
        <v>2.5</v>
      </c>
      <c r="E16" s="7"/>
      <c r="F16" s="7"/>
      <c r="G16" s="7"/>
      <c r="H16" s="7"/>
    </row>
    <row r="17" spans="1:8" x14ac:dyDescent="0.2">
      <c r="A17" s="6" t="s">
        <v>181</v>
      </c>
      <c r="B17" s="11">
        <v>1.5</v>
      </c>
      <c r="C17" s="7"/>
      <c r="D17" s="6">
        <f>B17*C6</f>
        <v>7.5</v>
      </c>
      <c r="E17" s="7"/>
      <c r="F17" s="7"/>
      <c r="G17" s="7"/>
      <c r="H17" s="7"/>
    </row>
    <row r="18" spans="1:8" x14ac:dyDescent="0.2">
      <c r="A18" s="6" t="s">
        <v>182</v>
      </c>
      <c r="B18" s="11">
        <v>12</v>
      </c>
      <c r="C18" s="7"/>
      <c r="D18" s="7">
        <f>B18*C6</f>
        <v>60</v>
      </c>
      <c r="E18" s="7"/>
      <c r="F18" s="7"/>
      <c r="G18" s="7"/>
      <c r="H18" s="8" t="s">
        <v>183</v>
      </c>
    </row>
    <row r="19" spans="1:8" x14ac:dyDescent="0.2">
      <c r="A19" s="16" t="s">
        <v>184</v>
      </c>
      <c r="B19" s="17"/>
      <c r="C19" s="17"/>
      <c r="D19" s="16">
        <f>SUM(D7:D18)</f>
        <v>192.5</v>
      </c>
      <c r="E19" s="17"/>
      <c r="F19" s="17"/>
      <c r="G19" s="17"/>
      <c r="H19" s="17"/>
    </row>
    <row r="21" spans="1:8" ht="16" x14ac:dyDescent="0.2">
      <c r="A21" s="4" t="s">
        <v>185</v>
      </c>
    </row>
    <row r="22" spans="1:8" ht="30" x14ac:dyDescent="0.2">
      <c r="A22" s="10" t="s">
        <v>113</v>
      </c>
      <c r="B22" s="10" t="s">
        <v>174</v>
      </c>
      <c r="C22" s="10" t="s">
        <v>175</v>
      </c>
      <c r="D22" s="10" t="s">
        <v>176</v>
      </c>
      <c r="E22" s="10"/>
      <c r="F22" s="10"/>
      <c r="G22" s="10"/>
      <c r="H22" s="10" t="s">
        <v>18</v>
      </c>
    </row>
    <row r="23" spans="1:8" x14ac:dyDescent="0.2">
      <c r="A23" s="20" t="s">
        <v>186</v>
      </c>
      <c r="B23" s="21"/>
      <c r="C23" s="20">
        <f>Enrollment!E17</f>
        <v>5</v>
      </c>
      <c r="D23" s="21"/>
      <c r="E23" s="21"/>
      <c r="F23" s="21"/>
      <c r="G23" s="21"/>
      <c r="H23" s="21"/>
    </row>
    <row r="24" spans="1:8" x14ac:dyDescent="0.2">
      <c r="A24" s="6" t="s">
        <v>119</v>
      </c>
      <c r="B24" s="11">
        <v>4</v>
      </c>
      <c r="C24" s="7"/>
      <c r="D24" s="6">
        <f>B24*C23</f>
        <v>20</v>
      </c>
      <c r="E24" s="7"/>
      <c r="F24" s="7"/>
      <c r="G24" s="7"/>
      <c r="H24" s="7"/>
    </row>
    <row r="25" spans="1:8" x14ac:dyDescent="0.2">
      <c r="A25" s="6" t="s">
        <v>178</v>
      </c>
      <c r="B25" s="11">
        <v>3</v>
      </c>
      <c r="C25" s="7"/>
      <c r="D25" s="6">
        <f>B25*C23</f>
        <v>15</v>
      </c>
      <c r="E25" s="7"/>
      <c r="F25" s="7"/>
      <c r="G25" s="7"/>
      <c r="H25" s="7"/>
    </row>
    <row r="26" spans="1:8" x14ac:dyDescent="0.2">
      <c r="A26" s="6" t="s">
        <v>150</v>
      </c>
      <c r="B26" s="11">
        <v>2.5</v>
      </c>
      <c r="C26" s="7"/>
      <c r="D26" s="6">
        <f>B26*C23</f>
        <v>12.5</v>
      </c>
      <c r="E26" s="7"/>
      <c r="F26" s="7"/>
      <c r="G26" s="7"/>
      <c r="H26" s="7"/>
    </row>
    <row r="27" spans="1:8" x14ac:dyDescent="0.2">
      <c r="A27" s="6" t="s">
        <v>151</v>
      </c>
      <c r="B27" s="11">
        <v>2</v>
      </c>
      <c r="C27" s="7"/>
      <c r="D27" s="6">
        <f>B27*C23</f>
        <v>10</v>
      </c>
      <c r="E27" s="7"/>
      <c r="F27" s="7"/>
      <c r="G27" s="7"/>
      <c r="H27" s="7"/>
    </row>
    <row r="28" spans="1:8" x14ac:dyDescent="0.2">
      <c r="A28" s="6" t="s">
        <v>187</v>
      </c>
      <c r="B28" s="11">
        <v>2</v>
      </c>
      <c r="C28" s="7"/>
      <c r="D28" s="6">
        <f>B28*C23</f>
        <v>10</v>
      </c>
      <c r="E28" s="7"/>
      <c r="F28" s="7"/>
      <c r="G28" s="7"/>
      <c r="H28" s="7"/>
    </row>
    <row r="29" spans="1:8" x14ac:dyDescent="0.2">
      <c r="A29" s="6" t="s">
        <v>125</v>
      </c>
      <c r="B29" s="11">
        <v>2</v>
      </c>
      <c r="C29" s="7"/>
      <c r="D29" s="6">
        <f>B29*C23</f>
        <v>10</v>
      </c>
      <c r="E29" s="7"/>
      <c r="F29" s="7"/>
      <c r="G29" s="7"/>
      <c r="H29" s="7"/>
    </row>
    <row r="30" spans="1:8" x14ac:dyDescent="0.2">
      <c r="A30" s="6" t="s">
        <v>180</v>
      </c>
      <c r="B30" s="11">
        <v>0.5</v>
      </c>
      <c r="C30" s="7"/>
      <c r="D30" s="6">
        <f>B30*C23</f>
        <v>2.5</v>
      </c>
      <c r="E30" s="7"/>
      <c r="F30" s="7"/>
      <c r="G30" s="7"/>
      <c r="H30" s="7"/>
    </row>
    <row r="32" spans="1:8" ht="16" x14ac:dyDescent="0.2">
      <c r="A32" s="4" t="s">
        <v>188</v>
      </c>
    </row>
    <row r="33" spans="1:8" x14ac:dyDescent="0.2">
      <c r="A33" s="10" t="s">
        <v>189</v>
      </c>
      <c r="B33" s="10" t="s">
        <v>190</v>
      </c>
      <c r="C33" s="10" t="s">
        <v>191</v>
      </c>
      <c r="D33" s="10" t="s">
        <v>164</v>
      </c>
      <c r="E33" s="10"/>
      <c r="F33" s="10"/>
      <c r="G33" s="10"/>
      <c r="H33" s="10" t="s">
        <v>18</v>
      </c>
    </row>
    <row r="34" spans="1:8" x14ac:dyDescent="0.2">
      <c r="A34" s="6" t="s">
        <v>121</v>
      </c>
      <c r="B34" s="11">
        <v>4</v>
      </c>
      <c r="C34" s="11">
        <v>3</v>
      </c>
      <c r="D34" s="6">
        <f t="shared" ref="D34:D39" si="0">B34*C34</f>
        <v>12</v>
      </c>
      <c r="E34" s="7"/>
      <c r="F34" s="7"/>
      <c r="G34" s="7"/>
      <c r="H34" s="8" t="s">
        <v>192</v>
      </c>
    </row>
    <row r="35" spans="1:8" x14ac:dyDescent="0.2">
      <c r="A35" s="6" t="s">
        <v>154</v>
      </c>
      <c r="B35" s="11">
        <v>4</v>
      </c>
      <c r="C35" s="11">
        <v>2</v>
      </c>
      <c r="D35" s="6">
        <f t="shared" si="0"/>
        <v>8</v>
      </c>
      <c r="E35" s="7"/>
      <c r="F35" s="7"/>
      <c r="G35" s="7"/>
      <c r="H35" s="8" t="s">
        <v>193</v>
      </c>
    </row>
    <row r="36" spans="1:8" x14ac:dyDescent="0.2">
      <c r="A36" s="6" t="s">
        <v>194</v>
      </c>
      <c r="B36" s="11">
        <v>4</v>
      </c>
      <c r="C36" s="11">
        <v>2</v>
      </c>
      <c r="D36" s="6">
        <f t="shared" si="0"/>
        <v>8</v>
      </c>
      <c r="E36" s="7"/>
      <c r="F36" s="7"/>
      <c r="G36" s="7"/>
      <c r="H36" s="8" t="s">
        <v>193</v>
      </c>
    </row>
    <row r="37" spans="1:8" x14ac:dyDescent="0.2">
      <c r="A37" s="6" t="s">
        <v>195</v>
      </c>
      <c r="B37" s="11">
        <v>4</v>
      </c>
      <c r="C37" s="11">
        <v>2</v>
      </c>
      <c r="D37" s="6">
        <f t="shared" si="0"/>
        <v>8</v>
      </c>
      <c r="E37" s="7"/>
      <c r="F37" s="7"/>
      <c r="G37" s="7"/>
      <c r="H37" s="8" t="s">
        <v>193</v>
      </c>
    </row>
    <row r="38" spans="1:8" x14ac:dyDescent="0.2">
      <c r="A38" s="6" t="s">
        <v>196</v>
      </c>
      <c r="B38" s="11">
        <v>4</v>
      </c>
      <c r="C38" s="11">
        <v>2</v>
      </c>
      <c r="D38" s="6">
        <f t="shared" si="0"/>
        <v>8</v>
      </c>
      <c r="E38" s="7"/>
      <c r="F38" s="7"/>
      <c r="G38" s="7"/>
      <c r="H38" s="8" t="s">
        <v>193</v>
      </c>
    </row>
    <row r="39" spans="1:8" x14ac:dyDescent="0.2">
      <c r="A39" s="6" t="s">
        <v>197</v>
      </c>
      <c r="B39" s="11">
        <v>4</v>
      </c>
      <c r="C39" s="11">
        <v>1</v>
      </c>
      <c r="D39" s="6">
        <f t="shared" si="0"/>
        <v>4</v>
      </c>
      <c r="E39" s="7"/>
      <c r="F39" s="7"/>
      <c r="G39" s="7"/>
      <c r="H39" s="8" t="s">
        <v>198</v>
      </c>
    </row>
    <row r="40" spans="1:8" x14ac:dyDescent="0.2">
      <c r="A40" s="6" t="s">
        <v>199</v>
      </c>
      <c r="B40" s="11">
        <v>8</v>
      </c>
      <c r="C40" s="7"/>
      <c r="D40" s="7">
        <f>B40*C23</f>
        <v>40</v>
      </c>
      <c r="E40" s="7"/>
      <c r="F40" s="7"/>
      <c r="G40" s="7"/>
      <c r="H40" s="7"/>
    </row>
    <row r="41" spans="1:8" x14ac:dyDescent="0.2">
      <c r="A41" s="6" t="s">
        <v>200</v>
      </c>
      <c r="B41" s="11">
        <v>1.5</v>
      </c>
      <c r="C41" s="11">
        <v>2</v>
      </c>
      <c r="D41" s="7">
        <f>B41*C41</f>
        <v>3</v>
      </c>
      <c r="E41" s="7"/>
      <c r="F41" s="7"/>
      <c r="G41" s="7"/>
      <c r="H41" s="8" t="s">
        <v>201</v>
      </c>
    </row>
    <row r="42" spans="1:8" x14ac:dyDescent="0.2">
      <c r="A42" s="16" t="s">
        <v>202</v>
      </c>
      <c r="B42" s="17"/>
      <c r="C42" s="17"/>
      <c r="D42" s="16">
        <f>SUM(D24:D30)+SUM(D34:D39)+D40+D41</f>
        <v>171</v>
      </c>
      <c r="E42" s="17"/>
      <c r="F42" s="17"/>
      <c r="G42" s="17"/>
      <c r="H42" s="17"/>
    </row>
    <row r="44" spans="1:8" ht="16" x14ac:dyDescent="0.2">
      <c r="A44" s="4" t="s">
        <v>203</v>
      </c>
    </row>
    <row r="45" spans="1:8" ht="30" x14ac:dyDescent="0.2">
      <c r="A45" s="10" t="s">
        <v>113</v>
      </c>
      <c r="B45" s="10" t="s">
        <v>174</v>
      </c>
      <c r="C45" s="10" t="s">
        <v>175</v>
      </c>
      <c r="D45" s="10" t="s">
        <v>176</v>
      </c>
      <c r="E45" s="10"/>
      <c r="F45" s="10"/>
      <c r="G45" s="10"/>
      <c r="H45" s="10" t="s">
        <v>18</v>
      </c>
    </row>
    <row r="46" spans="1:8" x14ac:dyDescent="0.2">
      <c r="A46" s="20" t="s">
        <v>204</v>
      </c>
      <c r="B46" s="21"/>
      <c r="C46" s="20">
        <f>Enrollment!E18</f>
        <v>4</v>
      </c>
      <c r="D46" s="21"/>
      <c r="E46" s="21"/>
      <c r="F46" s="21"/>
      <c r="G46" s="21"/>
      <c r="H46" s="21"/>
    </row>
    <row r="47" spans="1:8" x14ac:dyDescent="0.2">
      <c r="A47" s="6" t="s">
        <v>205</v>
      </c>
      <c r="B47" s="11">
        <v>4</v>
      </c>
      <c r="C47" s="7"/>
      <c r="D47" s="6">
        <f>B47*C46</f>
        <v>16</v>
      </c>
      <c r="E47" s="7"/>
      <c r="F47" s="7"/>
      <c r="G47" s="7"/>
      <c r="H47" s="7"/>
    </row>
    <row r="48" spans="1:8" x14ac:dyDescent="0.2">
      <c r="A48" s="6" t="s">
        <v>178</v>
      </c>
      <c r="B48" s="11">
        <v>3</v>
      </c>
      <c r="C48" s="7"/>
      <c r="D48" s="6">
        <f>B48*C46</f>
        <v>12</v>
      </c>
      <c r="E48" s="7"/>
      <c r="F48" s="7"/>
      <c r="G48" s="7"/>
      <c r="H48" s="7"/>
    </row>
    <row r="49" spans="1:8" x14ac:dyDescent="0.2">
      <c r="A49" s="6" t="s">
        <v>150</v>
      </c>
      <c r="B49" s="11">
        <v>2</v>
      </c>
      <c r="C49" s="7"/>
      <c r="D49" s="6">
        <f>B49*C46</f>
        <v>8</v>
      </c>
      <c r="E49" s="7"/>
      <c r="F49" s="7"/>
      <c r="G49" s="7"/>
      <c r="H49" s="7"/>
    </row>
    <row r="50" spans="1:8" x14ac:dyDescent="0.2">
      <c r="A50" s="6" t="s">
        <v>151</v>
      </c>
      <c r="B50" s="11">
        <v>2</v>
      </c>
      <c r="C50" s="7"/>
      <c r="D50" s="6">
        <f>B50*C46</f>
        <v>8</v>
      </c>
      <c r="E50" s="7"/>
      <c r="F50" s="7"/>
      <c r="G50" s="7"/>
      <c r="H50" s="7"/>
    </row>
    <row r="51" spans="1:8" x14ac:dyDescent="0.2">
      <c r="A51" s="6" t="s">
        <v>187</v>
      </c>
      <c r="B51" s="11">
        <v>2</v>
      </c>
      <c r="C51" s="7"/>
      <c r="D51" s="6">
        <f>B51*C46</f>
        <v>8</v>
      </c>
      <c r="E51" s="7"/>
      <c r="F51" s="7"/>
      <c r="G51" s="7"/>
      <c r="H51" s="7"/>
    </row>
    <row r="52" spans="1:8" x14ac:dyDescent="0.2">
      <c r="A52" s="6" t="s">
        <v>125</v>
      </c>
      <c r="B52" s="11">
        <v>2</v>
      </c>
      <c r="C52" s="7"/>
      <c r="D52" s="6">
        <f>B52*C46</f>
        <v>8</v>
      </c>
      <c r="E52" s="7"/>
      <c r="F52" s="7"/>
      <c r="G52" s="7"/>
      <c r="H52" s="7"/>
    </row>
    <row r="53" spans="1:8" x14ac:dyDescent="0.2">
      <c r="A53" s="6" t="s">
        <v>180</v>
      </c>
      <c r="B53" s="11">
        <v>0.5</v>
      </c>
      <c r="C53" s="7"/>
      <c r="D53" s="6">
        <f>B53*C46</f>
        <v>2</v>
      </c>
      <c r="E53" s="7"/>
      <c r="F53" s="7"/>
      <c r="G53" s="7"/>
      <c r="H53" s="7"/>
    </row>
    <row r="55" spans="1:8" ht="16" x14ac:dyDescent="0.2">
      <c r="A55" s="4" t="s">
        <v>206</v>
      </c>
    </row>
    <row r="56" spans="1:8" x14ac:dyDescent="0.2">
      <c r="A56" s="10" t="s">
        <v>189</v>
      </c>
      <c r="B56" s="10" t="s">
        <v>190</v>
      </c>
      <c r="C56" s="10" t="s">
        <v>191</v>
      </c>
      <c r="D56" s="10" t="s">
        <v>164</v>
      </c>
      <c r="E56" s="10"/>
      <c r="F56" s="10"/>
      <c r="G56" s="10"/>
      <c r="H56" s="10" t="s">
        <v>18</v>
      </c>
    </row>
    <row r="57" spans="1:8" x14ac:dyDescent="0.2">
      <c r="A57" s="6" t="s">
        <v>121</v>
      </c>
      <c r="B57" s="11">
        <v>6</v>
      </c>
      <c r="C57" s="11">
        <v>3</v>
      </c>
      <c r="D57" s="6">
        <f t="shared" ref="D57:D62" si="1">B57*C57</f>
        <v>18</v>
      </c>
      <c r="E57" s="7"/>
      <c r="F57" s="7"/>
      <c r="G57" s="7"/>
      <c r="H57" s="8" t="s">
        <v>192</v>
      </c>
    </row>
    <row r="58" spans="1:8" x14ac:dyDescent="0.2">
      <c r="A58" s="6" t="s">
        <v>154</v>
      </c>
      <c r="B58" s="11">
        <v>6</v>
      </c>
      <c r="C58" s="11">
        <v>2</v>
      </c>
      <c r="D58" s="6">
        <f t="shared" si="1"/>
        <v>12</v>
      </c>
      <c r="E58" s="7"/>
      <c r="F58" s="7"/>
      <c r="G58" s="7"/>
      <c r="H58" s="8" t="s">
        <v>193</v>
      </c>
    </row>
    <row r="59" spans="1:8" x14ac:dyDescent="0.2">
      <c r="A59" s="6" t="s">
        <v>194</v>
      </c>
      <c r="B59" s="11">
        <v>6</v>
      </c>
      <c r="C59" s="11">
        <v>2</v>
      </c>
      <c r="D59" s="6">
        <f t="shared" si="1"/>
        <v>12</v>
      </c>
      <c r="E59" s="7"/>
      <c r="F59" s="7"/>
      <c r="G59" s="7"/>
      <c r="H59" s="8" t="s">
        <v>193</v>
      </c>
    </row>
    <row r="60" spans="1:8" x14ac:dyDescent="0.2">
      <c r="A60" s="6" t="s">
        <v>195</v>
      </c>
      <c r="B60" s="11">
        <v>6</v>
      </c>
      <c r="C60" s="11">
        <v>1</v>
      </c>
      <c r="D60" s="6">
        <f t="shared" si="1"/>
        <v>6</v>
      </c>
      <c r="E60" s="7"/>
      <c r="F60" s="7"/>
      <c r="G60" s="7"/>
      <c r="H60" s="8" t="s">
        <v>198</v>
      </c>
    </row>
    <row r="61" spans="1:8" x14ac:dyDescent="0.2">
      <c r="A61" s="6" t="s">
        <v>196</v>
      </c>
      <c r="B61" s="11">
        <v>6</v>
      </c>
      <c r="C61" s="11">
        <v>1</v>
      </c>
      <c r="D61" s="6">
        <f t="shared" si="1"/>
        <v>6</v>
      </c>
      <c r="E61" s="7"/>
      <c r="F61" s="7"/>
      <c r="G61" s="7"/>
      <c r="H61" s="8" t="s">
        <v>198</v>
      </c>
    </row>
    <row r="62" spans="1:8" x14ac:dyDescent="0.2">
      <c r="A62" s="6" t="s">
        <v>197</v>
      </c>
      <c r="B62" s="11">
        <v>6</v>
      </c>
      <c r="C62" s="11">
        <v>1</v>
      </c>
      <c r="D62" s="6">
        <f t="shared" si="1"/>
        <v>6</v>
      </c>
      <c r="E62" s="7"/>
      <c r="F62" s="7"/>
      <c r="G62" s="7"/>
      <c r="H62" s="8" t="s">
        <v>198</v>
      </c>
    </row>
    <row r="63" spans="1:8" x14ac:dyDescent="0.2">
      <c r="A63" s="6" t="s">
        <v>199</v>
      </c>
      <c r="B63" s="11">
        <v>8</v>
      </c>
      <c r="C63" s="7"/>
      <c r="D63" s="7">
        <f>B63*C46</f>
        <v>32</v>
      </c>
      <c r="E63" s="7"/>
      <c r="F63" s="7"/>
      <c r="G63" s="7"/>
      <c r="H63" s="7"/>
    </row>
    <row r="64" spans="1:8" x14ac:dyDescent="0.2">
      <c r="A64" s="16" t="s">
        <v>207</v>
      </c>
      <c r="B64" s="17"/>
      <c r="C64" s="17"/>
      <c r="D64" s="16">
        <f>SUM(D47:D53)+SUM(D57:D62)+D63</f>
        <v>154</v>
      </c>
      <c r="E64" s="17"/>
      <c r="F64" s="17"/>
      <c r="G64" s="17"/>
      <c r="H64" s="17"/>
    </row>
    <row r="66" spans="1:8" ht="16" x14ac:dyDescent="0.2">
      <c r="A66" s="4" t="s">
        <v>208</v>
      </c>
    </row>
    <row r="67" spans="1:8" x14ac:dyDescent="0.2">
      <c r="A67" s="10" t="s">
        <v>95</v>
      </c>
      <c r="B67" s="10" t="s">
        <v>209</v>
      </c>
      <c r="C67" s="10" t="s">
        <v>210</v>
      </c>
      <c r="D67" s="10" t="s">
        <v>211</v>
      </c>
      <c r="E67" s="10" t="s">
        <v>212</v>
      </c>
      <c r="F67" s="10" t="s">
        <v>213</v>
      </c>
      <c r="G67" s="10" t="s">
        <v>214</v>
      </c>
      <c r="H67" s="10" t="s">
        <v>18</v>
      </c>
    </row>
    <row r="68" spans="1:8" x14ac:dyDescent="0.2">
      <c r="A68" s="6" t="s">
        <v>96</v>
      </c>
      <c r="B68" s="11">
        <v>2</v>
      </c>
      <c r="C68" s="11">
        <v>2</v>
      </c>
      <c r="D68" s="11">
        <v>2</v>
      </c>
      <c r="E68" s="7">
        <f>B68*C6</f>
        <v>10</v>
      </c>
      <c r="F68" s="7">
        <f>C68*C23</f>
        <v>10</v>
      </c>
      <c r="G68" s="7">
        <f>D68*C46</f>
        <v>8</v>
      </c>
      <c r="H68" s="8" t="s">
        <v>215</v>
      </c>
    </row>
    <row r="69" spans="1:8" x14ac:dyDescent="0.2">
      <c r="A69" s="6" t="s">
        <v>98</v>
      </c>
      <c r="B69" s="11">
        <v>1</v>
      </c>
      <c r="C69" s="11">
        <v>1</v>
      </c>
      <c r="D69" s="11">
        <v>1</v>
      </c>
      <c r="E69" s="7">
        <f>B69*C6</f>
        <v>5</v>
      </c>
      <c r="F69" s="7">
        <f>C69*C23</f>
        <v>5</v>
      </c>
      <c r="G69" s="7">
        <f>D69*C46</f>
        <v>4</v>
      </c>
      <c r="H69" s="8" t="s">
        <v>215</v>
      </c>
    </row>
    <row r="71" spans="1:8" x14ac:dyDescent="0.2">
      <c r="A71" s="22" t="s">
        <v>216</v>
      </c>
      <c r="B71" s="23"/>
      <c r="C71" s="23"/>
      <c r="D71" s="22">
        <f>D19+D42+D64</f>
        <v>517.5</v>
      </c>
      <c r="E71" s="23"/>
      <c r="F71" s="23"/>
      <c r="G71" s="23"/>
      <c r="H71" s="24" t="s">
        <v>217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C529-0527-5A48-8982-22B587BEB0F5}">
  <dimension ref="A1:H44"/>
  <sheetViews>
    <sheetView workbookViewId="0">
      <pane ySplit="2" topLeftCell="A3" activePane="bottomLeft" state="frozen"/>
      <selection pane="bottomLeft" activeCell="F37" sqref="F37"/>
    </sheetView>
  </sheetViews>
  <sheetFormatPr baseColWidth="10" defaultRowHeight="15" x14ac:dyDescent="0.2"/>
  <cols>
    <col min="1" max="1" width="33.33203125" customWidth="1"/>
    <col min="2" max="2" width="23.33203125" customWidth="1"/>
    <col min="3" max="3" width="21.6640625" customWidth="1"/>
    <col min="4" max="4" width="20" customWidth="1"/>
    <col min="5" max="6" width="21.6640625" customWidth="1"/>
    <col min="7" max="7" width="18.33203125" customWidth="1"/>
    <col min="8" max="8" width="41.6640625" customWidth="1"/>
  </cols>
  <sheetData>
    <row r="1" spans="1:8" ht="18" x14ac:dyDescent="0.2">
      <c r="A1" s="3" t="s">
        <v>263</v>
      </c>
    </row>
    <row r="2" spans="1:8" x14ac:dyDescent="0.2">
      <c r="A2" s="18" t="s">
        <v>264</v>
      </c>
    </row>
    <row r="4" spans="1:8" ht="16" x14ac:dyDescent="0.2">
      <c r="A4" s="4" t="s">
        <v>265</v>
      </c>
    </row>
    <row r="5" spans="1:8" x14ac:dyDescent="0.2">
      <c r="A5" s="52" t="s">
        <v>15</v>
      </c>
      <c r="B5" s="53" t="s">
        <v>266</v>
      </c>
      <c r="C5" s="53" t="s">
        <v>267</v>
      </c>
      <c r="D5" s="53" t="s">
        <v>268</v>
      </c>
      <c r="E5" s="53" t="s">
        <v>269</v>
      </c>
      <c r="F5" s="53" t="s">
        <v>270</v>
      </c>
      <c r="G5" s="54" t="s">
        <v>18</v>
      </c>
    </row>
    <row r="6" spans="1:8" x14ac:dyDescent="0.2">
      <c r="A6" s="60" t="s">
        <v>271</v>
      </c>
      <c r="B6" s="61">
        <f>DHG_College!F18</f>
        <v>174</v>
      </c>
      <c r="C6" s="61">
        <f>DHG_College!F22</f>
        <v>18</v>
      </c>
      <c r="D6" s="61">
        <f>DHG_College!F23</f>
        <v>6</v>
      </c>
      <c r="E6" s="61">
        <f>DHG_College!B28*Enrollment!E12</f>
        <v>1.6800000000000002</v>
      </c>
      <c r="F6" s="61">
        <f>B6+C6+D6+E6</f>
        <v>199.68</v>
      </c>
      <c r="G6" s="62" t="s">
        <v>272</v>
      </c>
    </row>
    <row r="7" spans="1:8" x14ac:dyDescent="0.2">
      <c r="A7" s="63" t="s">
        <v>273</v>
      </c>
      <c r="B7" s="64">
        <f>DHG_College!G18</f>
        <v>174</v>
      </c>
      <c r="C7" s="64">
        <f>DHG_College!G22</f>
        <v>18</v>
      </c>
      <c r="D7" s="64">
        <f>DHG_College!G23</f>
        <v>6</v>
      </c>
      <c r="E7" s="64">
        <f>DHG_College!B28*Enrollment!E13</f>
        <v>1.6800000000000002</v>
      </c>
      <c r="F7" s="64">
        <f>B7+C7+D7+E7</f>
        <v>199.68</v>
      </c>
      <c r="G7" s="65"/>
    </row>
    <row r="8" spans="1:8" x14ac:dyDescent="0.2">
      <c r="A8" s="60" t="s">
        <v>274</v>
      </c>
      <c r="B8" s="61">
        <f>DHG_College!H18</f>
        <v>145</v>
      </c>
      <c r="C8" s="61">
        <f>DHG_College!H22</f>
        <v>15</v>
      </c>
      <c r="D8" s="61">
        <f>DHG_College!H23</f>
        <v>5</v>
      </c>
      <c r="E8" s="61">
        <f>DHG_College!B28*Enrollment!E14</f>
        <v>1.4000000000000001</v>
      </c>
      <c r="F8" s="61">
        <f>B8+C8+D8+E8</f>
        <v>166.4</v>
      </c>
      <c r="G8" s="62"/>
    </row>
    <row r="9" spans="1:8" x14ac:dyDescent="0.2">
      <c r="A9" s="63" t="s">
        <v>275</v>
      </c>
      <c r="B9" s="64">
        <f>DHG_College!I18</f>
        <v>116</v>
      </c>
      <c r="C9" s="64">
        <f>DHG_College!I22</f>
        <v>12</v>
      </c>
      <c r="D9" s="64">
        <f>DHG_College!I23</f>
        <v>4</v>
      </c>
      <c r="E9" s="64">
        <f>DHG_College!B28*Enrollment!E15</f>
        <v>1.1200000000000001</v>
      </c>
      <c r="F9" s="64">
        <f>B9+C9+D9+E9</f>
        <v>133.12</v>
      </c>
      <c r="G9" s="65"/>
    </row>
    <row r="10" spans="1:8" x14ac:dyDescent="0.2">
      <c r="A10" s="60" t="s">
        <v>34</v>
      </c>
      <c r="B10" s="61">
        <f>DHG_Lycee!D19</f>
        <v>192.5</v>
      </c>
      <c r="C10" s="61">
        <f>DHG_Lycee!E68</f>
        <v>10</v>
      </c>
      <c r="D10" s="61">
        <f>DHG_Lycee!E69</f>
        <v>5</v>
      </c>
      <c r="E10" s="61">
        <v>0</v>
      </c>
      <c r="F10" s="61">
        <f>B10+C10+D10+E10</f>
        <v>207.5</v>
      </c>
      <c r="G10" s="62" t="s">
        <v>276</v>
      </c>
    </row>
    <row r="11" spans="1:8" x14ac:dyDescent="0.2">
      <c r="A11" s="63" t="s">
        <v>277</v>
      </c>
      <c r="B11" s="64">
        <f>DHG_Lycee!D42</f>
        <v>171</v>
      </c>
      <c r="C11" s="64">
        <f>DHG_Lycee!F68</f>
        <v>10</v>
      </c>
      <c r="D11" s="64">
        <f>DHG_Lycee!F69</f>
        <v>5</v>
      </c>
      <c r="E11" s="64">
        <v>0</v>
      </c>
      <c r="F11" s="64">
        <f>B11+C11+D11+E11</f>
        <v>186</v>
      </c>
      <c r="G11" s="65" t="s">
        <v>278</v>
      </c>
    </row>
    <row r="12" spans="1:8" x14ac:dyDescent="0.2">
      <c r="A12" s="60" t="s">
        <v>37</v>
      </c>
      <c r="B12" s="61">
        <f>DHG_Lycee!D64</f>
        <v>154</v>
      </c>
      <c r="C12" s="61">
        <f>DHG_Lycee!G68</f>
        <v>8</v>
      </c>
      <c r="D12" s="61">
        <f>DHG_Lycee!G69</f>
        <v>4</v>
      </c>
      <c r="E12" s="61">
        <v>0</v>
      </c>
      <c r="F12" s="61">
        <f>B12+C12+D12+E12</f>
        <v>166</v>
      </c>
      <c r="G12" s="62" t="s">
        <v>278</v>
      </c>
    </row>
    <row r="13" spans="1:8" x14ac:dyDescent="0.2">
      <c r="A13" s="66" t="s">
        <v>279</v>
      </c>
      <c r="B13" s="67">
        <f>SUM(B6:B12)</f>
        <v>1126.5</v>
      </c>
      <c r="C13" s="67">
        <f>SUM(C6:C12)</f>
        <v>91</v>
      </c>
      <c r="D13" s="67">
        <f>SUM(D6:D12)</f>
        <v>35</v>
      </c>
      <c r="E13" s="67">
        <f>SUM(E6:E12)</f>
        <v>5.8800000000000008</v>
      </c>
      <c r="F13" s="67">
        <f>SUM(F6:F12)</f>
        <v>1258.3800000000001</v>
      </c>
      <c r="G13" s="66"/>
    </row>
    <row r="15" spans="1:8" ht="16" x14ac:dyDescent="0.2">
      <c r="A15" s="4" t="s">
        <v>280</v>
      </c>
    </row>
    <row r="16" spans="1:8" ht="29" x14ac:dyDescent="0.2">
      <c r="A16" s="68" t="s">
        <v>101</v>
      </c>
      <c r="B16" s="69" t="s">
        <v>281</v>
      </c>
      <c r="C16" s="69" t="s">
        <v>282</v>
      </c>
      <c r="D16" s="71" t="s">
        <v>283</v>
      </c>
      <c r="E16" s="69" t="s">
        <v>284</v>
      </c>
      <c r="F16" s="69" t="s">
        <v>285</v>
      </c>
      <c r="G16" s="69" t="s">
        <v>286</v>
      </c>
      <c r="H16" s="70" t="s">
        <v>18</v>
      </c>
    </row>
    <row r="17" spans="1:8" x14ac:dyDescent="0.2">
      <c r="A17" s="63" t="s">
        <v>287</v>
      </c>
      <c r="B17" s="64">
        <v>18</v>
      </c>
      <c r="C17" s="64">
        <v>19</v>
      </c>
      <c r="D17" s="97">
        <f>Parameters!B43</f>
        <v>19.5</v>
      </c>
      <c r="E17" s="64">
        <v>20</v>
      </c>
      <c r="F17" s="63"/>
      <c r="G17" s="63"/>
      <c r="H17" s="65" t="s">
        <v>293</v>
      </c>
    </row>
    <row r="18" spans="1:8" x14ac:dyDescent="0.2">
      <c r="A18" s="63" t="s">
        <v>288</v>
      </c>
      <c r="B18" s="75">
        <f>F13</f>
        <v>1258.3800000000001</v>
      </c>
      <c r="C18" s="75">
        <f>F13</f>
        <v>1258.3800000000001</v>
      </c>
      <c r="D18" s="97">
        <f>F13</f>
        <v>1258.3800000000001</v>
      </c>
      <c r="E18" s="75">
        <f>F13</f>
        <v>1258.3800000000001</v>
      </c>
      <c r="F18" s="76"/>
      <c r="G18" s="76"/>
      <c r="H18" s="76"/>
    </row>
    <row r="19" spans="1:8" x14ac:dyDescent="0.2">
      <c r="A19" s="63" t="s">
        <v>289</v>
      </c>
      <c r="B19" s="75">
        <f>B18/B17</f>
        <v>69.910000000000011</v>
      </c>
      <c r="C19" s="75">
        <f>C18/C17</f>
        <v>66.230526315789476</v>
      </c>
      <c r="D19" s="97">
        <f>D18/D17</f>
        <v>64.532307692307697</v>
      </c>
      <c r="E19" s="75">
        <f>E18/E17</f>
        <v>62.919000000000004</v>
      </c>
      <c r="F19" s="76"/>
      <c r="G19" s="76"/>
      <c r="H19" s="83" t="s">
        <v>294</v>
      </c>
    </row>
    <row r="20" spans="1:8" x14ac:dyDescent="0.2">
      <c r="A20" s="77" t="s">
        <v>290</v>
      </c>
      <c r="B20" s="78">
        <f>ROUNDUP(B19,0)</f>
        <v>70</v>
      </c>
      <c r="C20" s="78">
        <f>ROUNDUP(C19,0)</f>
        <v>67</v>
      </c>
      <c r="D20" s="97">
        <f>ROUNDUP(D19,0)</f>
        <v>65</v>
      </c>
      <c r="E20" s="78">
        <f>ROUNDUP(E19,0)</f>
        <v>63</v>
      </c>
      <c r="F20" s="79"/>
      <c r="G20" s="79"/>
      <c r="H20" s="96" t="s">
        <v>315</v>
      </c>
    </row>
    <row r="21" spans="1:8" ht="16" x14ac:dyDescent="0.2">
      <c r="A21" s="81" t="s">
        <v>291</v>
      </c>
      <c r="B21" s="75">
        <v>0</v>
      </c>
      <c r="C21" s="75">
        <f>B20-C20</f>
        <v>3</v>
      </c>
      <c r="D21" s="97">
        <f>B20-D20</f>
        <v>5</v>
      </c>
      <c r="E21" s="75">
        <f>B20-E20</f>
        <v>7</v>
      </c>
      <c r="F21" s="82">
        <f>D21</f>
        <v>5</v>
      </c>
      <c r="G21" s="76"/>
      <c r="H21" s="83" t="s">
        <v>295</v>
      </c>
    </row>
    <row r="22" spans="1:8" x14ac:dyDescent="0.2">
      <c r="A22" s="80" t="s">
        <v>292</v>
      </c>
      <c r="B22" s="74">
        <f>B20*0</f>
        <v>0</v>
      </c>
      <c r="C22" s="74">
        <f>C20*1</f>
        <v>67</v>
      </c>
      <c r="D22" s="98">
        <f>D20*Parameters!B40</f>
        <v>97.5</v>
      </c>
      <c r="E22" s="74">
        <f>E20*2</f>
        <v>126</v>
      </c>
      <c r="F22" s="7"/>
      <c r="G22" s="7"/>
      <c r="H22" s="7"/>
    </row>
    <row r="23" spans="1:8" x14ac:dyDescent="0.2">
      <c r="D23" s="73"/>
    </row>
    <row r="24" spans="1:8" ht="16" x14ac:dyDescent="0.2">
      <c r="A24" s="30" t="s">
        <v>296</v>
      </c>
      <c r="D24" s="73"/>
    </row>
    <row r="25" spans="1:8" x14ac:dyDescent="0.2">
      <c r="A25" s="84" t="s">
        <v>15</v>
      </c>
      <c r="B25" s="85" t="s">
        <v>270</v>
      </c>
      <c r="C25" s="85" t="s">
        <v>297</v>
      </c>
      <c r="D25" s="85" t="s">
        <v>298</v>
      </c>
      <c r="E25" s="85" t="s">
        <v>299</v>
      </c>
      <c r="F25" s="85" t="s">
        <v>300</v>
      </c>
      <c r="G25" s="85" t="s">
        <v>301</v>
      </c>
      <c r="H25" s="86" t="s">
        <v>18</v>
      </c>
    </row>
    <row r="26" spans="1:8" x14ac:dyDescent="0.2">
      <c r="A26" s="60" t="s">
        <v>271</v>
      </c>
      <c r="B26" s="100">
        <f>F6</f>
        <v>199.68</v>
      </c>
      <c r="C26" s="87">
        <f>Parameters!B43</f>
        <v>19.5</v>
      </c>
      <c r="D26" s="103">
        <f>B26/C26</f>
        <v>10.24</v>
      </c>
      <c r="E26" s="87">
        <f>ROUNDUP(D26,0)</f>
        <v>11</v>
      </c>
      <c r="F26" s="87">
        <f>ROUNDUP(B26/18,0)</f>
        <v>12</v>
      </c>
      <c r="G26" s="88">
        <f>F26-E26</f>
        <v>1</v>
      </c>
      <c r="H26" s="89" t="s">
        <v>302</v>
      </c>
    </row>
    <row r="27" spans="1:8" x14ac:dyDescent="0.2">
      <c r="A27" s="63" t="s">
        <v>273</v>
      </c>
      <c r="B27" s="101">
        <f>F7</f>
        <v>199.68</v>
      </c>
      <c r="C27" s="75">
        <f>Parameters!B43</f>
        <v>19.5</v>
      </c>
      <c r="D27" s="99">
        <f>B27/C27</f>
        <v>10.24</v>
      </c>
      <c r="E27" s="75">
        <f>ROUNDUP(D27,0)</f>
        <v>11</v>
      </c>
      <c r="F27" s="75">
        <f>ROUNDUP(B27/18,0)</f>
        <v>12</v>
      </c>
      <c r="G27" s="90">
        <f>F27-E27</f>
        <v>1</v>
      </c>
      <c r="H27" s="83" t="s">
        <v>302</v>
      </c>
    </row>
    <row r="28" spans="1:8" x14ac:dyDescent="0.2">
      <c r="A28" s="60" t="s">
        <v>274</v>
      </c>
      <c r="B28" s="100">
        <f>F8</f>
        <v>166.4</v>
      </c>
      <c r="C28" s="87">
        <f>Parameters!B43</f>
        <v>19.5</v>
      </c>
      <c r="D28" s="100">
        <f>B28/C28</f>
        <v>8.5333333333333332</v>
      </c>
      <c r="E28" s="87">
        <f>ROUNDUP(D28,0)</f>
        <v>9</v>
      </c>
      <c r="F28" s="87">
        <f>ROUNDUP(B28/18,0)</f>
        <v>10</v>
      </c>
      <c r="G28" s="88">
        <f>F28-E28</f>
        <v>1</v>
      </c>
      <c r="H28" s="89" t="s">
        <v>302</v>
      </c>
    </row>
    <row r="29" spans="1:8" x14ac:dyDescent="0.2">
      <c r="A29" s="63" t="s">
        <v>275</v>
      </c>
      <c r="B29" s="101">
        <f>F9</f>
        <v>133.12</v>
      </c>
      <c r="C29" s="75">
        <f>Parameters!B43</f>
        <v>19.5</v>
      </c>
      <c r="D29" s="101">
        <f>B29/C29</f>
        <v>6.8266666666666671</v>
      </c>
      <c r="E29" s="75">
        <f>ROUNDUP(D29,0)</f>
        <v>7</v>
      </c>
      <c r="F29" s="75">
        <f>ROUNDUP(B29/18,0)</f>
        <v>8</v>
      </c>
      <c r="G29" s="90">
        <f>F29-E29</f>
        <v>1</v>
      </c>
      <c r="H29" s="83" t="s">
        <v>302</v>
      </c>
    </row>
    <row r="30" spans="1:8" x14ac:dyDescent="0.2">
      <c r="A30" s="60" t="s">
        <v>34</v>
      </c>
      <c r="B30" s="100">
        <f>F10</f>
        <v>207.5</v>
      </c>
      <c r="C30" s="87">
        <f>Parameters!B43</f>
        <v>19.5</v>
      </c>
      <c r="D30" s="100">
        <f>B30/C30</f>
        <v>10.641025641025641</v>
      </c>
      <c r="E30" s="87">
        <f>ROUNDUP(D30,0)</f>
        <v>11</v>
      </c>
      <c r="F30" s="87">
        <f>ROUNDUP(B30/18,0)</f>
        <v>12</v>
      </c>
      <c r="G30" s="88">
        <f>F30-E30</f>
        <v>1</v>
      </c>
      <c r="H30" s="89" t="s">
        <v>303</v>
      </c>
    </row>
    <row r="31" spans="1:8" x14ac:dyDescent="0.2">
      <c r="A31" s="81" t="s">
        <v>277</v>
      </c>
      <c r="B31" s="104">
        <f>F11</f>
        <v>186</v>
      </c>
      <c r="C31" s="75">
        <f>Parameters!B43</f>
        <v>19.5</v>
      </c>
      <c r="D31" s="101">
        <f>B31/C31</f>
        <v>9.5384615384615383</v>
      </c>
      <c r="E31" s="91">
        <f>ROUNDUP(D31,0)</f>
        <v>10</v>
      </c>
      <c r="F31" s="91">
        <f>ROUNDUP(B31/18,0)</f>
        <v>11</v>
      </c>
      <c r="G31" s="92">
        <f>F31-E31</f>
        <v>1</v>
      </c>
      <c r="H31" s="93" t="s">
        <v>303</v>
      </c>
    </row>
    <row r="32" spans="1:8" x14ac:dyDescent="0.2">
      <c r="A32" s="60" t="s">
        <v>37</v>
      </c>
      <c r="B32" s="100">
        <f>F12</f>
        <v>166</v>
      </c>
      <c r="C32" s="87">
        <f>Parameters!B43</f>
        <v>19.5</v>
      </c>
      <c r="D32" s="100">
        <f>B32/C32</f>
        <v>8.5128205128205128</v>
      </c>
      <c r="E32" s="87">
        <f>ROUNDUP(D32,0)</f>
        <v>9</v>
      </c>
      <c r="F32" s="87">
        <f>ROUNDUP(B32/18,0)</f>
        <v>10</v>
      </c>
      <c r="G32" s="88">
        <f>F32-E32</f>
        <v>1</v>
      </c>
      <c r="H32" s="89" t="s">
        <v>303</v>
      </c>
    </row>
    <row r="33" spans="1:8" x14ac:dyDescent="0.2">
      <c r="A33" s="66" t="s">
        <v>279</v>
      </c>
      <c r="B33" s="102">
        <f>SUM(B26:B32)</f>
        <v>1258.3800000000001</v>
      </c>
      <c r="C33" s="67"/>
      <c r="D33" s="102">
        <f>SUM(D26:D32)</f>
        <v>64.532307692307697</v>
      </c>
      <c r="E33" s="67">
        <f>SUM(E26:E32)</f>
        <v>68</v>
      </c>
      <c r="F33" s="67">
        <f>SUM(F26:F32)</f>
        <v>75</v>
      </c>
      <c r="G33" s="94">
        <f>SUM(G26:G32)</f>
        <v>7</v>
      </c>
      <c r="H33" s="95" t="s">
        <v>304</v>
      </c>
    </row>
    <row r="35" spans="1:8" ht="16" x14ac:dyDescent="0.2">
      <c r="A35" s="4" t="s">
        <v>305</v>
      </c>
    </row>
    <row r="36" spans="1:8" ht="43" x14ac:dyDescent="0.2">
      <c r="A36" s="68" t="s">
        <v>15</v>
      </c>
      <c r="B36" s="69" t="s">
        <v>306</v>
      </c>
      <c r="C36" s="69" t="s">
        <v>175</v>
      </c>
      <c r="D36" s="69" t="s">
        <v>307</v>
      </c>
      <c r="E36" s="69" t="s">
        <v>308</v>
      </c>
      <c r="F36" s="69" t="s">
        <v>309</v>
      </c>
      <c r="G36" s="69" t="s">
        <v>310</v>
      </c>
      <c r="H36" s="70" t="s">
        <v>311</v>
      </c>
    </row>
    <row r="37" spans="1:8" x14ac:dyDescent="0.2">
      <c r="A37" s="60" t="s">
        <v>271</v>
      </c>
      <c r="B37" s="87">
        <f>Enrollment!C12</f>
        <v>151</v>
      </c>
      <c r="C37" s="87">
        <f>Enrollment!E12</f>
        <v>6</v>
      </c>
      <c r="D37" s="97">
        <f>IFERROR(B37/C37,0)</f>
        <v>25.166666666666668</v>
      </c>
      <c r="E37" s="97">
        <f>MAX(0.87, -0.0536*D37+2.798)</f>
        <v>1.4490666666666665</v>
      </c>
      <c r="F37" s="105">
        <f>E37*B37/18</f>
        <v>12.156059259259258</v>
      </c>
      <c r="G37" s="105">
        <f>D26</f>
        <v>10.24</v>
      </c>
      <c r="H37" s="97">
        <f>G37-F37</f>
        <v>-1.9160592592592582</v>
      </c>
    </row>
    <row r="38" spans="1:8" x14ac:dyDescent="0.2">
      <c r="A38" s="63" t="s">
        <v>273</v>
      </c>
      <c r="B38" s="75">
        <f>Enrollment!C13</f>
        <v>139</v>
      </c>
      <c r="C38" s="75">
        <f>Enrollment!E13</f>
        <v>6</v>
      </c>
      <c r="D38" s="97">
        <f>IFERROR(B38/C38,0)</f>
        <v>23.166666666666668</v>
      </c>
      <c r="E38" s="97">
        <f>MAX(0.87, -0.0536*D38+2.798)</f>
        <v>1.5562666666666667</v>
      </c>
      <c r="F38" s="105">
        <f>E38*B38/18</f>
        <v>12.017837037037037</v>
      </c>
      <c r="G38" s="105">
        <f>D27</f>
        <v>10.24</v>
      </c>
      <c r="H38" s="97">
        <f>G38-F38</f>
        <v>-1.7778370370370364</v>
      </c>
    </row>
    <row r="39" spans="1:8" x14ac:dyDescent="0.2">
      <c r="A39" s="60" t="s">
        <v>274</v>
      </c>
      <c r="B39" s="87">
        <f>Enrollment!C14</f>
        <v>120</v>
      </c>
      <c r="C39" s="87">
        <f>Enrollment!E14</f>
        <v>5</v>
      </c>
      <c r="D39" s="97">
        <f>IFERROR(B39/C39,0)</f>
        <v>24</v>
      </c>
      <c r="E39" s="97">
        <f>MAX(0.87, -0.0536*D39+2.798)</f>
        <v>1.5116000000000001</v>
      </c>
      <c r="F39" s="105">
        <f>E39*B39/18</f>
        <v>10.077333333333334</v>
      </c>
      <c r="G39" s="105">
        <f>D28</f>
        <v>8.5333333333333332</v>
      </c>
      <c r="H39" s="97">
        <f>G39-F39</f>
        <v>-1.5440000000000005</v>
      </c>
    </row>
    <row r="40" spans="1:8" x14ac:dyDescent="0.2">
      <c r="A40" s="63" t="s">
        <v>275</v>
      </c>
      <c r="B40" s="75">
        <f>Enrollment!C15</f>
        <v>103</v>
      </c>
      <c r="C40" s="75">
        <f>Enrollment!E15</f>
        <v>4</v>
      </c>
      <c r="D40" s="97">
        <f>IFERROR(B40/C40,0)</f>
        <v>25.75</v>
      </c>
      <c r="E40" s="97">
        <f>MAX(0.87, -0.0536*D40+2.798)</f>
        <v>1.4177999999999999</v>
      </c>
      <c r="F40" s="105">
        <f>E40*B40/18</f>
        <v>8.1129666666666669</v>
      </c>
      <c r="G40" s="105">
        <f>D29</f>
        <v>6.8266666666666671</v>
      </c>
      <c r="H40" s="97">
        <f>G40-F40</f>
        <v>-1.2862999999999998</v>
      </c>
    </row>
    <row r="41" spans="1:8" x14ac:dyDescent="0.2">
      <c r="A41" s="60" t="s">
        <v>34</v>
      </c>
      <c r="B41" s="87">
        <f>Enrollment!C16</f>
        <v>125</v>
      </c>
      <c r="C41" s="87">
        <f>Enrollment!E16</f>
        <v>5</v>
      </c>
      <c r="D41" s="97">
        <f>IFERROR(B41/C41,0)</f>
        <v>25</v>
      </c>
      <c r="E41" s="97">
        <f>MAX(0.98, -0.0809*D41+3.805)</f>
        <v>1.7825000000000002</v>
      </c>
      <c r="F41" s="105">
        <f>E41*B41/18</f>
        <v>12.378472222222223</v>
      </c>
      <c r="G41" s="105">
        <f>D30</f>
        <v>10.641025641025641</v>
      </c>
      <c r="H41" s="97">
        <f>G41-F41</f>
        <v>-1.7374465811965827</v>
      </c>
    </row>
    <row r="42" spans="1:8" x14ac:dyDescent="0.2">
      <c r="A42" s="81" t="s">
        <v>277</v>
      </c>
      <c r="B42" s="75">
        <f>Enrollment!C17</f>
        <v>120</v>
      </c>
      <c r="C42" s="75">
        <f>Enrollment!E17</f>
        <v>5</v>
      </c>
      <c r="D42" s="97">
        <f>IFERROR(B42/C42,0)</f>
        <v>24</v>
      </c>
      <c r="E42" s="97">
        <f>MAX(0.98, -0.0809*D42+3.805)</f>
        <v>1.8634000000000002</v>
      </c>
      <c r="F42" s="105">
        <f>E42*B42/18</f>
        <v>12.422666666666668</v>
      </c>
      <c r="G42" s="105">
        <f>D31</f>
        <v>9.5384615384615383</v>
      </c>
      <c r="H42" s="97">
        <f>G42-F42</f>
        <v>-2.8842051282051298</v>
      </c>
    </row>
    <row r="43" spans="1:8" x14ac:dyDescent="0.2">
      <c r="A43" s="60" t="s">
        <v>37</v>
      </c>
      <c r="B43" s="87">
        <f>Enrollment!C18</f>
        <v>111</v>
      </c>
      <c r="C43" s="87">
        <f>Enrollment!E18</f>
        <v>4</v>
      </c>
      <c r="D43" s="97">
        <f>IFERROR(B43/C43,0)</f>
        <v>27.75</v>
      </c>
      <c r="E43" s="97">
        <f>MAX(0.98, -0.0809*D43+3.805)</f>
        <v>1.560025</v>
      </c>
      <c r="F43" s="105">
        <f>E43*B43/18</f>
        <v>9.6201541666666675</v>
      </c>
      <c r="G43" s="105">
        <f>D32</f>
        <v>8.5128205128205128</v>
      </c>
      <c r="H43" s="97">
        <f>G43-F43</f>
        <v>-1.1073336538461547</v>
      </c>
    </row>
    <row r="44" spans="1:8" x14ac:dyDescent="0.2">
      <c r="A44" s="66" t="s">
        <v>279</v>
      </c>
      <c r="B44" s="67">
        <f>SUM(B37:B43)</f>
        <v>869</v>
      </c>
      <c r="C44" s="67"/>
      <c r="D44" s="98"/>
      <c r="E44" s="98"/>
      <c r="F44" s="106">
        <f>SUM(F37:F43)</f>
        <v>76.785489351851851</v>
      </c>
      <c r="G44" s="106">
        <f>SUM(G37:G43)</f>
        <v>64.532307692307697</v>
      </c>
      <c r="H44" s="98">
        <f>G44-F44</f>
        <v>-12.253181659544154</v>
      </c>
    </row>
  </sheetData>
  <conditionalFormatting sqref="G26:G33">
    <cfRule type="cellIs" priority="1" operator="between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H37"/>
  <sheetViews>
    <sheetView zoomScaleNormal="100" workbookViewId="0">
      <selection activeCell="L38" sqref="L38"/>
    </sheetView>
  </sheetViews>
  <sheetFormatPr baseColWidth="10" defaultColWidth="8.6640625" defaultRowHeight="15" x14ac:dyDescent="0.2"/>
  <cols>
    <col min="1" max="1" width="45.5" bestFit="1" customWidth="1"/>
    <col min="2" max="6" width="16" customWidth="1"/>
    <col min="7" max="7" width="18" customWidth="1"/>
    <col min="8" max="8" width="40" customWidth="1"/>
  </cols>
  <sheetData>
    <row r="1" spans="1:8" ht="18" x14ac:dyDescent="0.2">
      <c r="A1" s="2" t="s">
        <v>218</v>
      </c>
      <c r="B1" s="2"/>
      <c r="C1" s="2"/>
      <c r="D1" s="2"/>
      <c r="E1" s="2"/>
      <c r="F1" s="2"/>
      <c r="G1" s="2"/>
      <c r="H1" s="2"/>
    </row>
    <row r="2" spans="1:8" x14ac:dyDescent="0.2">
      <c r="A2" s="18" t="s">
        <v>219</v>
      </c>
    </row>
    <row r="4" spans="1:8" ht="16" x14ac:dyDescent="0.2">
      <c r="A4" s="4" t="s">
        <v>220</v>
      </c>
    </row>
    <row r="5" spans="1:8" x14ac:dyDescent="0.2">
      <c r="A5" s="10" t="s">
        <v>221</v>
      </c>
      <c r="B5" s="10" t="s">
        <v>175</v>
      </c>
      <c r="C5" s="10" t="s">
        <v>222</v>
      </c>
      <c r="D5" s="10" t="s">
        <v>223</v>
      </c>
      <c r="E5" s="10" t="s">
        <v>224</v>
      </c>
      <c r="F5" s="10" t="s">
        <v>225</v>
      </c>
      <c r="G5" s="10" t="s">
        <v>226</v>
      </c>
      <c r="H5" s="10" t="s">
        <v>18</v>
      </c>
    </row>
    <row r="6" spans="1:8" x14ac:dyDescent="0.2">
      <c r="A6" s="6" t="s">
        <v>65</v>
      </c>
      <c r="B6" s="7">
        <f>Enrollment!E4</f>
        <v>3</v>
      </c>
      <c r="C6" s="7">
        <f>Enrollment!E4</f>
        <v>3</v>
      </c>
      <c r="D6" s="7">
        <f>Enrollment!E4</f>
        <v>3</v>
      </c>
      <c r="E6" s="7">
        <f>Grille_Maternelle!B25</f>
        <v>6</v>
      </c>
      <c r="F6" s="7">
        <f>Grille_Maternelle!B26</f>
        <v>3</v>
      </c>
      <c r="G6" s="7"/>
      <c r="H6" s="8" t="s">
        <v>66</v>
      </c>
    </row>
    <row r="7" spans="1:8" x14ac:dyDescent="0.2">
      <c r="A7" s="6" t="s">
        <v>67</v>
      </c>
      <c r="B7" s="7">
        <f>Enrollment!E5</f>
        <v>4</v>
      </c>
      <c r="C7" s="7">
        <f>Enrollment!E5</f>
        <v>4</v>
      </c>
      <c r="D7" s="7">
        <f>Enrollment!E5</f>
        <v>4</v>
      </c>
      <c r="E7" s="7">
        <f>Grille_Maternelle!C25</f>
        <v>12</v>
      </c>
      <c r="F7" s="7">
        <f>Grille_Maternelle!C26</f>
        <v>4</v>
      </c>
      <c r="G7" s="7"/>
      <c r="H7" s="8" t="s">
        <v>66</v>
      </c>
    </row>
    <row r="8" spans="1:8" x14ac:dyDescent="0.2">
      <c r="A8" s="6" t="s">
        <v>68</v>
      </c>
      <c r="B8" s="7">
        <f>Enrollment!E6</f>
        <v>6</v>
      </c>
      <c r="C8" s="7">
        <f>Enrollment!E6</f>
        <v>6</v>
      </c>
      <c r="D8" s="7">
        <f>Enrollment!E6</f>
        <v>6</v>
      </c>
      <c r="E8" s="7">
        <f>Grille_Maternelle!D25</f>
        <v>18</v>
      </c>
      <c r="F8" s="7">
        <f>Grille_Maternelle!D26</f>
        <v>6</v>
      </c>
      <c r="G8" s="7"/>
      <c r="H8" s="8" t="s">
        <v>66</v>
      </c>
    </row>
    <row r="9" spans="1:8" x14ac:dyDescent="0.2">
      <c r="A9" s="6" t="s">
        <v>23</v>
      </c>
      <c r="B9" s="7">
        <f>Enrollment!E7</f>
        <v>5</v>
      </c>
      <c r="C9" s="7">
        <f>Enrollment!E7</f>
        <v>5</v>
      </c>
      <c r="D9" s="7">
        <v>0</v>
      </c>
      <c r="E9" s="7">
        <f>Grille_Elementaire!B26</f>
        <v>20</v>
      </c>
      <c r="F9" s="7">
        <f>Grille_Elementaire!B27</f>
        <v>10</v>
      </c>
      <c r="G9" s="7"/>
      <c r="H9" s="8" t="s">
        <v>69</v>
      </c>
    </row>
    <row r="10" spans="1:8" x14ac:dyDescent="0.2">
      <c r="A10" s="6" t="s">
        <v>25</v>
      </c>
      <c r="B10" s="7">
        <f>Enrollment!E8</f>
        <v>5</v>
      </c>
      <c r="C10" s="7">
        <f>Enrollment!E8</f>
        <v>5</v>
      </c>
      <c r="D10" s="7">
        <v>0</v>
      </c>
      <c r="E10" s="7">
        <f>Grille_Elementaire!C26</f>
        <v>20</v>
      </c>
      <c r="F10" s="7">
        <f>Grille_Elementaire!C27</f>
        <v>10</v>
      </c>
      <c r="G10" s="7"/>
      <c r="H10" s="8" t="s">
        <v>69</v>
      </c>
    </row>
    <row r="11" spans="1:8" x14ac:dyDescent="0.2">
      <c r="A11" s="6" t="s">
        <v>26</v>
      </c>
      <c r="B11" s="7">
        <f>Enrollment!E9</f>
        <v>6</v>
      </c>
      <c r="C11" s="7">
        <f>Enrollment!E9</f>
        <v>6</v>
      </c>
      <c r="D11" s="7">
        <v>0</v>
      </c>
      <c r="E11" s="7">
        <f>Grille_Elementaire!D26</f>
        <v>24</v>
      </c>
      <c r="F11" s="7">
        <f>Grille_Elementaire!D27</f>
        <v>12</v>
      </c>
      <c r="G11" s="7"/>
      <c r="H11" s="8" t="s">
        <v>69</v>
      </c>
    </row>
    <row r="12" spans="1:8" x14ac:dyDescent="0.2">
      <c r="A12" s="6" t="s">
        <v>27</v>
      </c>
      <c r="B12" s="7">
        <f>Enrollment!E10</f>
        <v>5</v>
      </c>
      <c r="C12" s="7">
        <f>Enrollment!E10</f>
        <v>5</v>
      </c>
      <c r="D12" s="7">
        <v>0</v>
      </c>
      <c r="E12" s="7">
        <f>Grille_Elementaire!E26</f>
        <v>15</v>
      </c>
      <c r="F12" s="7">
        <f>Grille_Elementaire!E27</f>
        <v>5</v>
      </c>
      <c r="G12" s="7"/>
      <c r="H12" s="8" t="s">
        <v>69</v>
      </c>
    </row>
    <row r="13" spans="1:8" x14ac:dyDescent="0.2">
      <c r="A13" s="6" t="s">
        <v>28</v>
      </c>
      <c r="B13" s="7">
        <f>Enrollment!E11</f>
        <v>5</v>
      </c>
      <c r="C13" s="7">
        <f>Enrollment!E11</f>
        <v>5</v>
      </c>
      <c r="D13" s="7">
        <v>0</v>
      </c>
      <c r="E13" s="7">
        <f>Grille_Elementaire!F26</f>
        <v>15</v>
      </c>
      <c r="F13" s="7">
        <f>Grille_Elementaire!F27</f>
        <v>5</v>
      </c>
      <c r="G13" s="7"/>
      <c r="H13" s="8" t="s">
        <v>69</v>
      </c>
    </row>
    <row r="14" spans="1:8" x14ac:dyDescent="0.2">
      <c r="A14" s="6" t="s">
        <v>29</v>
      </c>
      <c r="B14" s="7">
        <f>Enrollment!E12</f>
        <v>6</v>
      </c>
      <c r="C14" s="25">
        <f>DHG_College!F18/Parameters!$B$43</f>
        <v>8.9230769230769234</v>
      </c>
      <c r="D14" s="7">
        <v>0</v>
      </c>
      <c r="E14" s="7">
        <f>DHG_College!F22</f>
        <v>18</v>
      </c>
      <c r="F14" s="7">
        <f>DHG_College!F23</f>
        <v>6</v>
      </c>
      <c r="G14" s="7"/>
      <c r="H14" s="8" t="s">
        <v>312</v>
      </c>
    </row>
    <row r="15" spans="1:8" x14ac:dyDescent="0.2">
      <c r="A15" s="6" t="s">
        <v>31</v>
      </c>
      <c r="B15" s="7">
        <f>Enrollment!E13</f>
        <v>6</v>
      </c>
      <c r="C15" s="25">
        <f>DHG_College!G18/Parameters!$B$43</f>
        <v>8.9230769230769234</v>
      </c>
      <c r="D15" s="7">
        <v>0</v>
      </c>
      <c r="E15" s="7">
        <f>DHG_College!G22</f>
        <v>18</v>
      </c>
      <c r="F15" s="7">
        <f>DHG_College!G23</f>
        <v>6</v>
      </c>
      <c r="G15" s="7"/>
      <c r="H15" s="8" t="s">
        <v>312</v>
      </c>
    </row>
    <row r="16" spans="1:8" x14ac:dyDescent="0.2">
      <c r="A16" s="6" t="s">
        <v>32</v>
      </c>
      <c r="B16" s="7">
        <f>Enrollment!E14</f>
        <v>5</v>
      </c>
      <c r="C16" s="25">
        <f>DHG_College!H18/Parameters!$B$43</f>
        <v>7.4358974358974361</v>
      </c>
      <c r="D16" s="7">
        <v>0</v>
      </c>
      <c r="E16" s="7">
        <f>DHG_College!H22</f>
        <v>15</v>
      </c>
      <c r="F16" s="7">
        <f>DHG_College!H23</f>
        <v>5</v>
      </c>
      <c r="G16" s="7"/>
      <c r="H16" s="8" t="s">
        <v>312</v>
      </c>
    </row>
    <row r="17" spans="1:8" x14ac:dyDescent="0.2">
      <c r="A17" s="6" t="s">
        <v>33</v>
      </c>
      <c r="B17" s="7">
        <f>Enrollment!E15</f>
        <v>4</v>
      </c>
      <c r="C17" s="25">
        <f>DHG_College!I18/Parameters!$B$43</f>
        <v>5.9487179487179489</v>
      </c>
      <c r="D17" s="7">
        <v>0</v>
      </c>
      <c r="E17" s="7">
        <f>DHG_College!I22</f>
        <v>12</v>
      </c>
      <c r="F17" s="7">
        <f>DHG_College!I23</f>
        <v>4</v>
      </c>
      <c r="G17" s="7"/>
      <c r="H17" s="8" t="s">
        <v>312</v>
      </c>
    </row>
    <row r="18" spans="1:8" x14ac:dyDescent="0.2">
      <c r="A18" s="6" t="s">
        <v>34</v>
      </c>
      <c r="B18" s="7">
        <f>Enrollment!E16</f>
        <v>5</v>
      </c>
      <c r="C18" s="25">
        <f>DHG_Lycee!D19/Parameters!$B$43</f>
        <v>9.8717948717948723</v>
      </c>
      <c r="D18" s="7">
        <v>0</v>
      </c>
      <c r="E18" s="7">
        <f>DHG_Lycee!E68</f>
        <v>10</v>
      </c>
      <c r="F18" s="7">
        <f>DHG_Lycee!E69</f>
        <v>5</v>
      </c>
      <c r="G18" s="7"/>
      <c r="H18" s="8" t="s">
        <v>313</v>
      </c>
    </row>
    <row r="19" spans="1:8" x14ac:dyDescent="0.2">
      <c r="A19" s="6" t="s">
        <v>36</v>
      </c>
      <c r="B19" s="7">
        <f>Enrollment!E17</f>
        <v>5</v>
      </c>
      <c r="C19" s="25">
        <f>DHG_Lycee!D42/Parameters!$B$43</f>
        <v>8.7692307692307701</v>
      </c>
      <c r="D19" s="7">
        <v>0</v>
      </c>
      <c r="E19" s="7">
        <f>DHG_Lycee!F68</f>
        <v>10</v>
      </c>
      <c r="F19" s="7">
        <f>DHG_Lycee!F69</f>
        <v>5</v>
      </c>
      <c r="G19" s="7"/>
      <c r="H19" s="8" t="s">
        <v>313</v>
      </c>
    </row>
    <row r="20" spans="1:8" x14ac:dyDescent="0.2">
      <c r="A20" s="6" t="s">
        <v>37</v>
      </c>
      <c r="B20" s="7">
        <f>Enrollment!E18</f>
        <v>4</v>
      </c>
      <c r="C20" s="25">
        <f>DHG_Lycee!D64/Parameters!$B$43</f>
        <v>7.8974358974358978</v>
      </c>
      <c r="D20" s="7">
        <v>0</v>
      </c>
      <c r="E20" s="7">
        <f>DHG_Lycee!G68</f>
        <v>8</v>
      </c>
      <c r="F20" s="7">
        <f>DHG_Lycee!G69</f>
        <v>4</v>
      </c>
      <c r="G20" s="7"/>
      <c r="H20" s="8" t="s">
        <v>313</v>
      </c>
    </row>
    <row r="22" spans="1:8" x14ac:dyDescent="0.2">
      <c r="A22" s="16" t="s">
        <v>227</v>
      </c>
      <c r="B22" s="26">
        <f>SUM(B6:B20)</f>
        <v>74</v>
      </c>
      <c r="C22" s="26">
        <f>SUM(C6:C20)</f>
        <v>96.769230769230774</v>
      </c>
      <c r="D22" s="26">
        <f>SUM(D6:D20)</f>
        <v>13</v>
      </c>
      <c r="E22" s="26">
        <f>SUM(E6:E20)</f>
        <v>221</v>
      </c>
      <c r="F22" s="26">
        <f>SUM(F6:F20)</f>
        <v>90</v>
      </c>
      <c r="G22" s="17"/>
      <c r="H22" s="17"/>
    </row>
    <row r="24" spans="1:8" ht="16" x14ac:dyDescent="0.2">
      <c r="A24" s="4" t="s">
        <v>228</v>
      </c>
    </row>
    <row r="25" spans="1:8" ht="30" x14ac:dyDescent="0.2">
      <c r="A25" s="10" t="s">
        <v>229</v>
      </c>
      <c r="B25" s="10" t="s">
        <v>176</v>
      </c>
      <c r="C25" s="10" t="s">
        <v>230</v>
      </c>
      <c r="D25" s="10" t="s">
        <v>231</v>
      </c>
      <c r="E25" s="10"/>
      <c r="F25" s="10"/>
      <c r="G25" s="10"/>
      <c r="H25" s="10" t="s">
        <v>18</v>
      </c>
    </row>
    <row r="26" spans="1:8" x14ac:dyDescent="0.2">
      <c r="A26" s="6" t="s">
        <v>232</v>
      </c>
      <c r="B26" s="25">
        <f>E22</f>
        <v>221</v>
      </c>
      <c r="C26" s="11">
        <v>24</v>
      </c>
      <c r="D26" s="7">
        <f>ROUNDUP(B26/C26,0)</f>
        <v>10</v>
      </c>
      <c r="E26" s="7"/>
      <c r="F26" s="7"/>
      <c r="G26" s="7"/>
      <c r="H26" s="8" t="s">
        <v>233</v>
      </c>
    </row>
    <row r="27" spans="1:8" x14ac:dyDescent="0.2">
      <c r="A27" s="6" t="s">
        <v>234</v>
      </c>
      <c r="B27" s="25">
        <f>F22</f>
        <v>90</v>
      </c>
      <c r="C27" s="11">
        <v>24</v>
      </c>
      <c r="D27" s="7">
        <f>ROUNDUP(B27/C27,0)</f>
        <v>4</v>
      </c>
      <c r="E27" s="7"/>
      <c r="F27" s="7"/>
      <c r="G27" s="7"/>
      <c r="H27" s="7"/>
    </row>
    <row r="29" spans="1:8" ht="16" x14ac:dyDescent="0.2">
      <c r="A29" s="4" t="s">
        <v>235</v>
      </c>
    </row>
    <row r="30" spans="1:8" x14ac:dyDescent="0.2">
      <c r="A30" s="10" t="s">
        <v>229</v>
      </c>
      <c r="B30" s="10" t="s">
        <v>236</v>
      </c>
      <c r="C30" s="10"/>
      <c r="D30" s="10"/>
      <c r="E30" s="10"/>
      <c r="F30" s="10"/>
      <c r="G30" s="10"/>
      <c r="H30" s="10" t="s">
        <v>18</v>
      </c>
    </row>
    <row r="31" spans="1:8" x14ac:dyDescent="0.2">
      <c r="A31" s="6" t="s">
        <v>237</v>
      </c>
      <c r="B31" s="25">
        <f>SUM(C6:C8)</f>
        <v>13</v>
      </c>
      <c r="C31" s="7"/>
      <c r="D31" s="7"/>
      <c r="E31" s="7"/>
      <c r="F31" s="7"/>
      <c r="G31" s="7"/>
      <c r="H31" s="8" t="s">
        <v>238</v>
      </c>
    </row>
    <row r="32" spans="1:8" x14ac:dyDescent="0.2">
      <c r="A32" s="6" t="s">
        <v>239</v>
      </c>
      <c r="B32" s="25">
        <f>SUM(D6:D8)</f>
        <v>13</v>
      </c>
      <c r="C32" s="7"/>
      <c r="D32" s="7"/>
      <c r="E32" s="7"/>
      <c r="F32" s="7"/>
      <c r="G32" s="7"/>
      <c r="H32" s="8" t="s">
        <v>238</v>
      </c>
    </row>
    <row r="33" spans="1:8" x14ac:dyDescent="0.2">
      <c r="A33" s="6" t="s">
        <v>240</v>
      </c>
      <c r="B33" s="25">
        <f>SUM(C9:C13)</f>
        <v>26</v>
      </c>
      <c r="C33" s="7"/>
      <c r="D33" s="7"/>
      <c r="E33" s="7"/>
      <c r="F33" s="7"/>
      <c r="G33" s="7"/>
      <c r="H33" s="8" t="s">
        <v>238</v>
      </c>
    </row>
    <row r="34" spans="1:8" x14ac:dyDescent="0.2">
      <c r="A34" s="6" t="s">
        <v>241</v>
      </c>
      <c r="B34" s="25">
        <f>SUM(C14:C20)</f>
        <v>57.769230769230774</v>
      </c>
      <c r="C34" s="7"/>
      <c r="D34" s="7"/>
      <c r="E34" s="7"/>
      <c r="F34" s="7"/>
      <c r="G34" s="7"/>
      <c r="H34" s="8" t="s">
        <v>314</v>
      </c>
    </row>
    <row r="35" spans="1:8" x14ac:dyDescent="0.2">
      <c r="A35" s="6" t="s">
        <v>232</v>
      </c>
      <c r="B35" s="25">
        <f>D26</f>
        <v>10</v>
      </c>
      <c r="C35" s="7"/>
      <c r="D35" s="7"/>
      <c r="E35" s="7"/>
      <c r="F35" s="7"/>
      <c r="G35" s="7"/>
      <c r="H35" s="8"/>
    </row>
    <row r="36" spans="1:8" x14ac:dyDescent="0.2">
      <c r="A36" s="6" t="s">
        <v>234</v>
      </c>
      <c r="B36" s="25">
        <f>D27</f>
        <v>4</v>
      </c>
      <c r="C36" s="7"/>
      <c r="D36" s="7"/>
      <c r="E36" s="7"/>
      <c r="F36" s="7"/>
      <c r="G36" s="7"/>
      <c r="H36" s="8"/>
    </row>
    <row r="37" spans="1:8" x14ac:dyDescent="0.2">
      <c r="A37" s="27" t="s">
        <v>242</v>
      </c>
      <c r="B37" s="28">
        <f>SUM(B31:B36)</f>
        <v>123.76923076923077</v>
      </c>
      <c r="C37" s="29"/>
      <c r="D37" s="29"/>
      <c r="E37" s="29"/>
      <c r="F37" s="29"/>
      <c r="G37" s="29"/>
      <c r="H37" s="29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84F1-DE01-7E4F-89B9-D1F4FCEDE2EA}">
  <dimension ref="A1:N57"/>
  <sheetViews>
    <sheetView tabSelected="1" workbookViewId="0">
      <selection activeCell="D26" sqref="D26"/>
    </sheetView>
  </sheetViews>
  <sheetFormatPr baseColWidth="10" defaultRowHeight="15" x14ac:dyDescent="0.2"/>
  <cols>
    <col min="1" max="1" width="41.6640625" customWidth="1"/>
    <col min="2" max="4" width="18.33203125" customWidth="1"/>
    <col min="5" max="5" width="18.5" customWidth="1"/>
    <col min="6" max="14" width="18.33203125" customWidth="1"/>
  </cols>
  <sheetData>
    <row r="1" spans="1:6" ht="18" x14ac:dyDescent="0.2">
      <c r="A1" s="3" t="s">
        <v>317</v>
      </c>
    </row>
    <row r="2" spans="1:6" x14ac:dyDescent="0.2">
      <c r="A2" s="18" t="s">
        <v>318</v>
      </c>
    </row>
    <row r="4" spans="1:6" ht="16" x14ac:dyDescent="0.2">
      <c r="A4" s="109" t="s">
        <v>319</v>
      </c>
      <c r="B4" s="110"/>
      <c r="C4" s="110"/>
      <c r="D4" s="110"/>
      <c r="E4" s="110"/>
      <c r="F4" s="110"/>
    </row>
    <row r="5" spans="1:6" x14ac:dyDescent="0.2">
      <c r="A5" s="108" t="s">
        <v>57</v>
      </c>
      <c r="B5" s="108" t="s">
        <v>56</v>
      </c>
      <c r="C5" s="108" t="s">
        <v>175</v>
      </c>
      <c r="D5" s="108" t="s">
        <v>320</v>
      </c>
      <c r="E5" s="108" t="s">
        <v>321</v>
      </c>
      <c r="F5" s="108" t="s">
        <v>301</v>
      </c>
    </row>
    <row r="6" spans="1:6" x14ac:dyDescent="0.2">
      <c r="A6" s="57" t="s">
        <v>66</v>
      </c>
      <c r="B6" s="58" t="s">
        <v>65</v>
      </c>
      <c r="C6" s="58">
        <f>Enrollment!E4</f>
        <v>3</v>
      </c>
      <c r="D6" s="72"/>
      <c r="E6" s="58">
        <f>Enrollment!C4</f>
        <v>65</v>
      </c>
      <c r="F6" s="58" t="str">
        <f>IF(D6="","",E6-D6)</f>
        <v/>
      </c>
    </row>
    <row r="7" spans="1:6" x14ac:dyDescent="0.2">
      <c r="A7" s="55" t="s">
        <v>66</v>
      </c>
      <c r="B7" s="56" t="s">
        <v>67</v>
      </c>
      <c r="C7" s="56">
        <f>Enrollment!E5</f>
        <v>4</v>
      </c>
      <c r="D7" s="72"/>
      <c r="E7" s="56">
        <f>Enrollment!C5</f>
        <v>77</v>
      </c>
      <c r="F7" s="56" t="str">
        <f>IF(D7="","",E7-D7)</f>
        <v/>
      </c>
    </row>
    <row r="8" spans="1:6" x14ac:dyDescent="0.2">
      <c r="A8" s="57" t="s">
        <v>66</v>
      </c>
      <c r="B8" s="58" t="s">
        <v>68</v>
      </c>
      <c r="C8" s="58">
        <f>Enrollment!E6</f>
        <v>6</v>
      </c>
      <c r="D8" s="72"/>
      <c r="E8" s="58">
        <f>Enrollment!C6</f>
        <v>124</v>
      </c>
      <c r="F8" s="58" t="str">
        <f>IF(D8="","",E8-D8)</f>
        <v/>
      </c>
    </row>
    <row r="9" spans="1:6" x14ac:dyDescent="0.2">
      <c r="A9" s="55" t="s">
        <v>69</v>
      </c>
      <c r="B9" s="56" t="s">
        <v>23</v>
      </c>
      <c r="C9" s="56">
        <f>Enrollment!E7</f>
        <v>5</v>
      </c>
      <c r="D9" s="72"/>
      <c r="E9" s="56">
        <f>Enrollment!C7</f>
        <v>126</v>
      </c>
      <c r="F9" s="56" t="str">
        <f>IF(D9="","",E9-D9)</f>
        <v/>
      </c>
    </row>
    <row r="10" spans="1:6" x14ac:dyDescent="0.2">
      <c r="A10" s="57" t="s">
        <v>69</v>
      </c>
      <c r="B10" s="58" t="s">
        <v>25</v>
      </c>
      <c r="C10" s="58">
        <f>Enrollment!E8</f>
        <v>5</v>
      </c>
      <c r="D10" s="72"/>
      <c r="E10" s="58">
        <f>Enrollment!C8</f>
        <v>118</v>
      </c>
      <c r="F10" s="58" t="str">
        <f>IF(D10="","",E10-D10)</f>
        <v/>
      </c>
    </row>
    <row r="11" spans="1:6" x14ac:dyDescent="0.2">
      <c r="A11" s="55" t="s">
        <v>69</v>
      </c>
      <c r="B11" s="56" t="s">
        <v>26</v>
      </c>
      <c r="C11" s="56">
        <f>Enrollment!E9</f>
        <v>6</v>
      </c>
      <c r="D11" s="72"/>
      <c r="E11" s="56">
        <f>Enrollment!C9</f>
        <v>132</v>
      </c>
      <c r="F11" s="56" t="str">
        <f>IF(D11="","",E11-D11)</f>
        <v/>
      </c>
    </row>
    <row r="12" spans="1:6" x14ac:dyDescent="0.2">
      <c r="A12" s="57" t="s">
        <v>69</v>
      </c>
      <c r="B12" s="58" t="s">
        <v>27</v>
      </c>
      <c r="C12" s="58">
        <f>Enrollment!E10</f>
        <v>5</v>
      </c>
      <c r="D12" s="72"/>
      <c r="E12" s="58">
        <f>Enrollment!C10</f>
        <v>121</v>
      </c>
      <c r="F12" s="58" t="str">
        <f>IF(D12="","",E12-D12)</f>
        <v/>
      </c>
    </row>
    <row r="13" spans="1:6" x14ac:dyDescent="0.2">
      <c r="A13" s="55" t="s">
        <v>69</v>
      </c>
      <c r="B13" s="56" t="s">
        <v>28</v>
      </c>
      <c r="C13" s="56">
        <f>Enrollment!E11</f>
        <v>5</v>
      </c>
      <c r="D13" s="72"/>
      <c r="E13" s="56">
        <f>Enrollment!C11</f>
        <v>121</v>
      </c>
      <c r="F13" s="56" t="str">
        <f>IF(D13="","",E13-D13)</f>
        <v/>
      </c>
    </row>
    <row r="14" spans="1:6" x14ac:dyDescent="0.2">
      <c r="A14" s="57" t="s">
        <v>70</v>
      </c>
      <c r="B14" s="58" t="s">
        <v>29</v>
      </c>
      <c r="C14" s="58">
        <f>Enrollment!E12</f>
        <v>6</v>
      </c>
      <c r="D14" s="72"/>
      <c r="E14" s="58">
        <f>Enrollment!C12</f>
        <v>151</v>
      </c>
      <c r="F14" s="58" t="str">
        <f>IF(D14="","",E14-D14)</f>
        <v/>
      </c>
    </row>
    <row r="15" spans="1:6" x14ac:dyDescent="0.2">
      <c r="A15" s="55" t="s">
        <v>70</v>
      </c>
      <c r="B15" s="56" t="s">
        <v>31</v>
      </c>
      <c r="C15" s="56">
        <f>Enrollment!E13</f>
        <v>6</v>
      </c>
      <c r="D15" s="72"/>
      <c r="E15" s="56">
        <f>Enrollment!C13</f>
        <v>139</v>
      </c>
      <c r="F15" s="56" t="str">
        <f>IF(D15="","",E15-D15)</f>
        <v/>
      </c>
    </row>
    <row r="16" spans="1:6" x14ac:dyDescent="0.2">
      <c r="A16" s="57" t="s">
        <v>70</v>
      </c>
      <c r="B16" s="58" t="s">
        <v>32</v>
      </c>
      <c r="C16" s="58">
        <f>Enrollment!E14</f>
        <v>5</v>
      </c>
      <c r="D16" s="72"/>
      <c r="E16" s="58">
        <f>Enrollment!C14</f>
        <v>120</v>
      </c>
      <c r="F16" s="58" t="str">
        <f>IF(D16="","",E16-D16)</f>
        <v/>
      </c>
    </row>
    <row r="17" spans="1:14" x14ac:dyDescent="0.2">
      <c r="A17" s="55" t="s">
        <v>70</v>
      </c>
      <c r="B17" s="56" t="s">
        <v>33</v>
      </c>
      <c r="C17" s="56">
        <f>Enrollment!E15</f>
        <v>4</v>
      </c>
      <c r="D17" s="72"/>
      <c r="E17" s="56">
        <f>Enrollment!C15</f>
        <v>103</v>
      </c>
      <c r="F17" s="56" t="str">
        <f>IF(D17="","",E17-D17)</f>
        <v/>
      </c>
    </row>
    <row r="18" spans="1:14" x14ac:dyDescent="0.2">
      <c r="A18" s="57" t="s">
        <v>71</v>
      </c>
      <c r="B18" s="58" t="s">
        <v>34</v>
      </c>
      <c r="C18" s="58">
        <f>Enrollment!E16</f>
        <v>5</v>
      </c>
      <c r="D18" s="72"/>
      <c r="E18" s="58">
        <f>Enrollment!C16</f>
        <v>125</v>
      </c>
      <c r="F18" s="58" t="str">
        <f>IF(D18="","",E18-D18)</f>
        <v/>
      </c>
    </row>
    <row r="19" spans="1:14" x14ac:dyDescent="0.2">
      <c r="A19" s="55" t="s">
        <v>71</v>
      </c>
      <c r="B19" s="56" t="s">
        <v>36</v>
      </c>
      <c r="C19" s="56">
        <f>Enrollment!E17</f>
        <v>5</v>
      </c>
      <c r="D19" s="72"/>
      <c r="E19" s="56">
        <f>Enrollment!C17</f>
        <v>120</v>
      </c>
      <c r="F19" s="56" t="str">
        <f>IF(D19="","",E19-D19)</f>
        <v/>
      </c>
    </row>
    <row r="20" spans="1:14" x14ac:dyDescent="0.2">
      <c r="A20" s="57" t="s">
        <v>71</v>
      </c>
      <c r="B20" s="58" t="s">
        <v>37</v>
      </c>
      <c r="C20" s="58">
        <f>Enrollment!E18</f>
        <v>4</v>
      </c>
      <c r="D20" s="72"/>
      <c r="E20" s="58">
        <f>Enrollment!C18</f>
        <v>111</v>
      </c>
      <c r="F20" s="58" t="str">
        <f>IF(D20="","",E20-D20)</f>
        <v/>
      </c>
    </row>
    <row r="21" spans="1:14" x14ac:dyDescent="0.2">
      <c r="A21" s="66"/>
      <c r="B21" s="67" t="s">
        <v>322</v>
      </c>
      <c r="C21" s="67">
        <f>SUM(C6:C20)</f>
        <v>74</v>
      </c>
      <c r="D21" s="67" t="str">
        <f>IF(COUNTA(D6:D20)=0,"",SUM(D6:D20))</f>
        <v/>
      </c>
      <c r="E21" s="67">
        <f>SUM(E6:E20)</f>
        <v>1753</v>
      </c>
      <c r="F21" s="67" t="str">
        <f>IF(D21="","",E21-D21)</f>
        <v/>
      </c>
    </row>
    <row r="22" spans="1:14" x14ac:dyDescent="0.2">
      <c r="A22" s="107" t="s">
        <v>323</v>
      </c>
    </row>
    <row r="24" spans="1:14" ht="16" x14ac:dyDescent="0.2">
      <c r="A24" s="109" t="s">
        <v>324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</row>
    <row r="25" spans="1:14" x14ac:dyDescent="0.2">
      <c r="A25" s="108" t="s">
        <v>325</v>
      </c>
      <c r="B25" s="108" t="s">
        <v>229</v>
      </c>
      <c r="C25" s="108" t="s">
        <v>326</v>
      </c>
      <c r="D25" s="108" t="s">
        <v>327</v>
      </c>
      <c r="E25" s="108" t="s">
        <v>328</v>
      </c>
      <c r="F25" s="108" t="s">
        <v>329</v>
      </c>
      <c r="G25" s="108" t="s">
        <v>330</v>
      </c>
      <c r="H25" s="108" t="s">
        <v>331</v>
      </c>
      <c r="I25" s="108" t="s">
        <v>298</v>
      </c>
      <c r="J25" s="108" t="s">
        <v>299</v>
      </c>
      <c r="K25" s="108" t="s">
        <v>332</v>
      </c>
      <c r="L25" s="111" t="s">
        <v>333</v>
      </c>
      <c r="M25" s="111" t="s">
        <v>334</v>
      </c>
      <c r="N25" s="111" t="s">
        <v>335</v>
      </c>
    </row>
    <row r="26" spans="1:14" x14ac:dyDescent="0.2">
      <c r="A26" s="57" t="s">
        <v>119</v>
      </c>
      <c r="B26" s="58" t="s">
        <v>336</v>
      </c>
      <c r="C26" s="112" t="s">
        <v>337</v>
      </c>
      <c r="D26" s="112" t="s">
        <v>337</v>
      </c>
      <c r="E26" s="58">
        <f>DHG_College!F6+DHG_College!G6+DHG_College!H6+DHG_College!I6</f>
        <v>92.5</v>
      </c>
      <c r="F26" s="58">
        <f>DHG_Lycee!D7+DHG_Lycee!D24</f>
        <v>40</v>
      </c>
      <c r="G26" s="113">
        <f>E26+F26</f>
        <v>132.5</v>
      </c>
      <c r="H26" s="58">
        <f>Parameters!B43</f>
        <v>19.5</v>
      </c>
      <c r="I26" s="114">
        <f>G26/H26</f>
        <v>6.7948717948717947</v>
      </c>
      <c r="J26" s="113">
        <f>ROUNDUP(I26,0)</f>
        <v>7</v>
      </c>
      <c r="K26" s="58" t="s">
        <v>338</v>
      </c>
      <c r="L26" s="58" t="s">
        <v>339</v>
      </c>
      <c r="M26" s="113">
        <f>J26</f>
        <v>7</v>
      </c>
      <c r="N26" s="58">
        <v>0</v>
      </c>
    </row>
    <row r="27" spans="1:14" x14ac:dyDescent="0.2">
      <c r="A27" s="55" t="s">
        <v>121</v>
      </c>
      <c r="B27" s="56" t="s">
        <v>336</v>
      </c>
      <c r="C27" s="115" t="s">
        <v>337</v>
      </c>
      <c r="D27" s="115" t="s">
        <v>337</v>
      </c>
      <c r="E27" s="56">
        <f>DHG_College!F7+DHG_College!G7+DHG_College!H7+DHG_College!I7</f>
        <v>79.5</v>
      </c>
      <c r="F27" s="56">
        <f>DHG_Lycee!D12+DHG_Lycee!D34+DHG_Lycee!D41+DHG_Lycee!D57</f>
        <v>53</v>
      </c>
      <c r="G27" s="116">
        <f>E27+F27</f>
        <v>132.5</v>
      </c>
      <c r="H27" s="56">
        <f>Parameters!B43</f>
        <v>19.5</v>
      </c>
      <c r="I27" s="117">
        <f>G27/H27</f>
        <v>6.7948717948717947</v>
      </c>
      <c r="J27" s="116">
        <f>ROUNDUP(I27,0)</f>
        <v>7</v>
      </c>
      <c r="K27" s="56" t="s">
        <v>338</v>
      </c>
      <c r="L27" s="56" t="s">
        <v>339</v>
      </c>
      <c r="M27" s="116">
        <f>J27</f>
        <v>7</v>
      </c>
      <c r="N27" s="56">
        <v>0</v>
      </c>
    </row>
    <row r="28" spans="1:14" x14ac:dyDescent="0.2">
      <c r="A28" s="57" t="s">
        <v>340</v>
      </c>
      <c r="B28" s="58" t="s">
        <v>336</v>
      </c>
      <c r="C28" s="112" t="s">
        <v>337</v>
      </c>
      <c r="D28" s="112" t="s">
        <v>337</v>
      </c>
      <c r="E28" s="58">
        <f>DHG_College!F8+DHG_College!G8+DHG_College!H8+DHG_College!I8</f>
        <v>65</v>
      </c>
      <c r="F28" s="58">
        <f>DHG_Lycee!D8+DHG_Lycee!D16+DHG_Lycee!D25+DHG_Lycee!D30+DHG_Lycee!D38+DHG_Lycee!D48+DHG_Lycee!D53+DHG_Lycee!D61</f>
        <v>63</v>
      </c>
      <c r="G28" s="113">
        <f>E28+F28</f>
        <v>128</v>
      </c>
      <c r="H28" s="58">
        <f>Parameters!B43</f>
        <v>19.5</v>
      </c>
      <c r="I28" s="114">
        <f>G28/H28</f>
        <v>6.5641025641025639</v>
      </c>
      <c r="J28" s="113">
        <f>ROUNDUP(I28,0)</f>
        <v>7</v>
      </c>
      <c r="K28" s="58" t="s">
        <v>338</v>
      </c>
      <c r="L28" s="58" t="s">
        <v>339</v>
      </c>
      <c r="M28" s="113">
        <f>J28</f>
        <v>7</v>
      </c>
      <c r="N28" s="58">
        <v>0</v>
      </c>
    </row>
    <row r="29" spans="1:14" x14ac:dyDescent="0.2">
      <c r="A29" s="55" t="s">
        <v>341</v>
      </c>
      <c r="B29" s="56" t="s">
        <v>342</v>
      </c>
      <c r="C29" s="115" t="s">
        <v>337</v>
      </c>
      <c r="D29" s="115" t="s">
        <v>337</v>
      </c>
      <c r="E29" s="56">
        <f>DHG_College!F9+DHG_College!G9+DHG_College!H9+DHG_College!I9</f>
        <v>69</v>
      </c>
      <c r="F29" s="56">
        <f>DHG_Lycee!D9+DHG_Lycee!D26+DHG_Lycee!D49</f>
        <v>35.5</v>
      </c>
      <c r="G29" s="116">
        <f>E29+F29</f>
        <v>104.5</v>
      </c>
      <c r="H29" s="56">
        <f>Parameters!B43</f>
        <v>19.5</v>
      </c>
      <c r="I29" s="117">
        <f>G29/H29</f>
        <v>5.3589743589743586</v>
      </c>
      <c r="J29" s="116">
        <f>ROUNDUP(I29,0)</f>
        <v>6</v>
      </c>
      <c r="K29" s="56" t="s">
        <v>338</v>
      </c>
      <c r="L29" s="56" t="s">
        <v>342</v>
      </c>
      <c r="M29" s="56">
        <v>0</v>
      </c>
      <c r="N29" s="116">
        <f>J29</f>
        <v>6</v>
      </c>
    </row>
    <row r="30" spans="1:14" x14ac:dyDescent="0.2">
      <c r="A30" s="57" t="s">
        <v>343</v>
      </c>
      <c r="B30" s="58" t="s">
        <v>344</v>
      </c>
      <c r="C30" s="112" t="s">
        <v>337</v>
      </c>
      <c r="D30" s="112" t="s">
        <v>337</v>
      </c>
      <c r="E30" s="58">
        <f>DHG_College!F10+DHG_College!G10+DHG_College!H10+DHG_College!I10</f>
        <v>37.5</v>
      </c>
      <c r="F30" s="58">
        <f>DHG_Lycee!D10+DHG_Lycee!D27+DHG_Lycee!D50</f>
        <v>30.5</v>
      </c>
      <c r="G30" s="113">
        <f>E30+F30</f>
        <v>68</v>
      </c>
      <c r="H30" s="58">
        <f>Parameters!B43</f>
        <v>19.5</v>
      </c>
      <c r="I30" s="114">
        <f>G30/H30</f>
        <v>3.4871794871794872</v>
      </c>
      <c r="J30" s="113">
        <f>ROUNDUP(I30,0)</f>
        <v>4</v>
      </c>
      <c r="K30" s="58" t="s">
        <v>338</v>
      </c>
      <c r="L30" s="58" t="s">
        <v>344</v>
      </c>
      <c r="M30" s="58">
        <v>0</v>
      </c>
      <c r="N30" s="113">
        <f>J30</f>
        <v>4</v>
      </c>
    </row>
    <row r="31" spans="1:14" x14ac:dyDescent="0.2">
      <c r="A31" s="55" t="s">
        <v>345</v>
      </c>
      <c r="B31" s="56" t="s">
        <v>336</v>
      </c>
      <c r="C31" s="115" t="s">
        <v>337</v>
      </c>
      <c r="D31" s="115" t="s">
        <v>337</v>
      </c>
      <c r="E31" s="56">
        <f>DHG_College!F11+DHG_College!G11+DHG_College!H11+DHG_College!I11+DHG_College!F12+DHG_College!G12+DHG_College!H12+DHG_College!I12</f>
        <v>60</v>
      </c>
      <c r="F31" s="56">
        <f>DHG_Lycee!D13+DHG_Lycee!D14+DHG_Lycee!D28+DHG_Lycee!D35+DHG_Lycee!D36+DHG_Lycee!D51+DHG_Lycee!D58+DHG_Lycee!D59</f>
        <v>80.5</v>
      </c>
      <c r="G31" s="116">
        <f>E31+F31</f>
        <v>140.5</v>
      </c>
      <c r="H31" s="56">
        <f>Parameters!B43</f>
        <v>19.5</v>
      </c>
      <c r="I31" s="117">
        <f>G31/H31</f>
        <v>7.2051282051282053</v>
      </c>
      <c r="J31" s="116">
        <f>ROUNDUP(I31,0)</f>
        <v>8</v>
      </c>
      <c r="K31" s="56" t="s">
        <v>338</v>
      </c>
      <c r="L31" s="56" t="s">
        <v>339</v>
      </c>
      <c r="M31" s="116">
        <f>J31</f>
        <v>8</v>
      </c>
      <c r="N31" s="56">
        <v>0</v>
      </c>
    </row>
    <row r="32" spans="1:14" x14ac:dyDescent="0.2">
      <c r="A32" s="57" t="s">
        <v>346</v>
      </c>
      <c r="B32" s="58" t="s">
        <v>336</v>
      </c>
      <c r="C32" s="112" t="s">
        <v>337</v>
      </c>
      <c r="D32" s="112" t="s">
        <v>337</v>
      </c>
      <c r="E32" s="58">
        <f>DHG_College!F16+DHG_College!G16+DHG_College!H16+DHG_College!I16</f>
        <v>69</v>
      </c>
      <c r="F32" s="58">
        <f>DHG_Lycee!D15+DHG_Lycee!D29+DHG_Lycee!D52</f>
        <v>28</v>
      </c>
      <c r="G32" s="113">
        <f>E32+F32</f>
        <v>97</v>
      </c>
      <c r="H32" s="58">
        <f>Parameters!B45</f>
        <v>21</v>
      </c>
      <c r="I32" s="114">
        <f>G32/H32</f>
        <v>4.6190476190476186</v>
      </c>
      <c r="J32" s="113">
        <f>ROUNDUP(I32,0)</f>
        <v>5</v>
      </c>
      <c r="K32" s="58" t="s">
        <v>347</v>
      </c>
      <c r="L32" s="58" t="s">
        <v>339</v>
      </c>
      <c r="M32" s="113">
        <f>J32</f>
        <v>5</v>
      </c>
      <c r="N32" s="58">
        <v>0</v>
      </c>
    </row>
    <row r="33" spans="1:14" x14ac:dyDescent="0.2">
      <c r="A33" s="55" t="s">
        <v>348</v>
      </c>
      <c r="B33" s="56" t="s">
        <v>336</v>
      </c>
      <c r="C33" s="115" t="s">
        <v>337</v>
      </c>
      <c r="D33" s="115" t="s">
        <v>337</v>
      </c>
      <c r="E33" s="56">
        <f>DHG_College!F13+DHG_College!G13+DHG_College!H13+DHG_College!I13</f>
        <v>31.5</v>
      </c>
      <c r="F33" s="56">
        <f>DHG_Lycee!D17+DHG_Lycee!D39+DHG_Lycee!D62</f>
        <v>17.5</v>
      </c>
      <c r="G33" s="116">
        <f>E33+F33</f>
        <v>49</v>
      </c>
      <c r="H33" s="56">
        <f>Parameters!B43</f>
        <v>19.5</v>
      </c>
      <c r="I33" s="117">
        <f>G33/H33</f>
        <v>2.5128205128205128</v>
      </c>
      <c r="J33" s="116">
        <f>ROUNDUP(I33,0)</f>
        <v>3</v>
      </c>
      <c r="K33" s="56" t="s">
        <v>338</v>
      </c>
      <c r="L33" s="56" t="s">
        <v>339</v>
      </c>
      <c r="M33" s="116">
        <f>J33</f>
        <v>3</v>
      </c>
      <c r="N33" s="56">
        <v>0</v>
      </c>
    </row>
    <row r="34" spans="1:14" x14ac:dyDescent="0.2">
      <c r="A34" s="57" t="s">
        <v>349</v>
      </c>
      <c r="B34" s="58" t="s">
        <v>336</v>
      </c>
      <c r="C34" s="112" t="s">
        <v>337</v>
      </c>
      <c r="D34" s="112" t="s">
        <v>337</v>
      </c>
      <c r="E34" s="58">
        <f>DHG_College!F14+DHG_College!G14+DHG_College!H14+DHG_College!I14+DHG_College!F15+DHG_College!G15+DHG_College!H15+DHG_College!I15</f>
        <v>42</v>
      </c>
      <c r="F34" s="58">
        <v>0</v>
      </c>
      <c r="G34" s="113">
        <f>E34+F34</f>
        <v>42</v>
      </c>
      <c r="H34" s="58">
        <f>Parameters!B43</f>
        <v>19.5</v>
      </c>
      <c r="I34" s="114">
        <f>G34/H34</f>
        <v>2.1538461538461537</v>
      </c>
      <c r="J34" s="113">
        <f>ROUNDUP(I34,0)</f>
        <v>3</v>
      </c>
      <c r="K34" s="58" t="s">
        <v>338</v>
      </c>
      <c r="L34" s="58" t="s">
        <v>339</v>
      </c>
      <c r="M34" s="113">
        <f>J34</f>
        <v>3</v>
      </c>
      <c r="N34" s="58">
        <v>0</v>
      </c>
    </row>
    <row r="35" spans="1:14" x14ac:dyDescent="0.2">
      <c r="A35" s="55" t="s">
        <v>350</v>
      </c>
      <c r="B35" s="56" t="s">
        <v>336</v>
      </c>
      <c r="C35" s="115" t="s">
        <v>337</v>
      </c>
      <c r="D35" s="115" t="s">
        <v>337</v>
      </c>
      <c r="E35" s="56">
        <v>0</v>
      </c>
      <c r="F35" s="56">
        <f>DHG_Lycee!D11+DHG_Lycee!D37+DHG_Lycee!D60</f>
        <v>21.5</v>
      </c>
      <c r="G35" s="116">
        <f>E35+F35</f>
        <v>21.5</v>
      </c>
      <c r="H35" s="56">
        <f>Parameters!B43</f>
        <v>19.5</v>
      </c>
      <c r="I35" s="117">
        <f>G35/H35</f>
        <v>1.1025641025641026</v>
      </c>
      <c r="J35" s="116">
        <f>ROUNDUP(I35,0)</f>
        <v>2</v>
      </c>
      <c r="K35" s="56" t="s">
        <v>338</v>
      </c>
      <c r="L35" s="56" t="s">
        <v>339</v>
      </c>
      <c r="M35" s="116">
        <f>J35</f>
        <v>2</v>
      </c>
      <c r="N35" s="56">
        <v>0</v>
      </c>
    </row>
    <row r="36" spans="1:14" x14ac:dyDescent="0.2">
      <c r="A36" s="57" t="s">
        <v>205</v>
      </c>
      <c r="B36" s="58" t="s">
        <v>336</v>
      </c>
      <c r="C36" s="112" t="s">
        <v>337</v>
      </c>
      <c r="D36" s="112" t="s">
        <v>337</v>
      </c>
      <c r="E36" s="58">
        <v>0</v>
      </c>
      <c r="F36" s="58">
        <f>DHG_Lycee!D47</f>
        <v>16</v>
      </c>
      <c r="G36" s="113">
        <f>E36+F36</f>
        <v>16</v>
      </c>
      <c r="H36" s="58">
        <f>Parameters!B43</f>
        <v>19.5</v>
      </c>
      <c r="I36" s="114">
        <f>G36/H36</f>
        <v>0.82051282051282048</v>
      </c>
      <c r="J36" s="113">
        <f>ROUNDUP(I36,0)</f>
        <v>1</v>
      </c>
      <c r="K36" s="58" t="s">
        <v>338</v>
      </c>
      <c r="L36" s="58" t="s">
        <v>339</v>
      </c>
      <c r="M36" s="113">
        <f>J36</f>
        <v>1</v>
      </c>
      <c r="N36" s="58">
        <v>0</v>
      </c>
    </row>
    <row r="37" spans="1:14" x14ac:dyDescent="0.2">
      <c r="A37" s="55" t="s">
        <v>351</v>
      </c>
      <c r="B37" s="56" t="s">
        <v>352</v>
      </c>
      <c r="C37" s="115" t="s">
        <v>337</v>
      </c>
      <c r="D37" s="115" t="s">
        <v>337</v>
      </c>
      <c r="E37" s="56">
        <f>DHG_College!F17+DHG_College!G17+DHG_College!H17+DHG_College!I17</f>
        <v>63</v>
      </c>
      <c r="F37" s="56">
        <f>DHG_Lycee!D18+DHG_Lycee!D40+DHG_Lycee!D63</f>
        <v>132</v>
      </c>
      <c r="G37" s="116">
        <f>E37+F37</f>
        <v>195</v>
      </c>
      <c r="H37" s="56">
        <f>Parameters!B43</f>
        <v>19.5</v>
      </c>
      <c r="I37" s="117">
        <f>G37/H37</f>
        <v>10</v>
      </c>
      <c r="J37" s="116">
        <f>ROUNDUP(I37,0)</f>
        <v>10</v>
      </c>
      <c r="K37" s="56" t="s">
        <v>353</v>
      </c>
      <c r="L37" s="56" t="s">
        <v>339</v>
      </c>
      <c r="M37" s="116">
        <f>J37</f>
        <v>10</v>
      </c>
      <c r="N37" s="56">
        <v>0</v>
      </c>
    </row>
    <row r="38" spans="1:14" x14ac:dyDescent="0.2">
      <c r="A38" s="121" t="s">
        <v>354</v>
      </c>
      <c r="B38" s="118"/>
      <c r="C38" s="118"/>
      <c r="D38" s="118"/>
      <c r="E38" s="119">
        <f>SUM(E26:E37)</f>
        <v>609</v>
      </c>
      <c r="F38" s="119">
        <f>SUM(F26:F37)</f>
        <v>517.5</v>
      </c>
      <c r="G38" s="119">
        <f>SUM(G26:G37)</f>
        <v>1126.5</v>
      </c>
      <c r="H38" s="118"/>
      <c r="I38" s="118"/>
      <c r="J38" s="119">
        <f>SUM(J26:J37)</f>
        <v>63</v>
      </c>
      <c r="K38" s="118"/>
      <c r="L38" s="118"/>
      <c r="M38" s="119">
        <f>SUM(M26:M37)</f>
        <v>53</v>
      </c>
      <c r="N38" s="119">
        <f>SUM(N26:N37)</f>
        <v>10</v>
      </c>
    </row>
    <row r="39" spans="1:14" x14ac:dyDescent="0.2">
      <c r="A39" s="122" t="s">
        <v>370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">
      <c r="A40" s="57" t="s">
        <v>237</v>
      </c>
      <c r="B40" s="58" t="s">
        <v>355</v>
      </c>
      <c r="C40" s="58">
        <f>SUM(Enrollment!E4:E6)</f>
        <v>13</v>
      </c>
      <c r="D40" s="112" t="s">
        <v>337</v>
      </c>
      <c r="E40" s="112" t="s">
        <v>337</v>
      </c>
      <c r="F40" s="112" t="s">
        <v>337</v>
      </c>
      <c r="G40" s="57"/>
      <c r="H40" s="112" t="s">
        <v>356</v>
      </c>
      <c r="I40" s="57"/>
      <c r="J40" s="113">
        <f>C40</f>
        <v>13</v>
      </c>
      <c r="K40" s="58" t="s">
        <v>357</v>
      </c>
      <c r="L40" s="58" t="s">
        <v>339</v>
      </c>
      <c r="M40" s="113">
        <f>J40</f>
        <v>13</v>
      </c>
      <c r="N40" s="58">
        <v>0</v>
      </c>
    </row>
    <row r="41" spans="1:14" x14ac:dyDescent="0.2">
      <c r="A41" s="55" t="s">
        <v>358</v>
      </c>
      <c r="B41" s="56" t="s">
        <v>355</v>
      </c>
      <c r="C41" s="56">
        <f>SUM(Enrollment!E4:E6)</f>
        <v>13</v>
      </c>
      <c r="D41" s="115" t="s">
        <v>337</v>
      </c>
      <c r="E41" s="115" t="s">
        <v>337</v>
      </c>
      <c r="F41" s="115" t="s">
        <v>337</v>
      </c>
      <c r="G41" s="55"/>
      <c r="H41" s="115" t="s">
        <v>359</v>
      </c>
      <c r="I41" s="55"/>
      <c r="J41" s="116">
        <f>C41</f>
        <v>13</v>
      </c>
      <c r="K41" s="56" t="s">
        <v>360</v>
      </c>
      <c r="L41" s="115" t="s">
        <v>337</v>
      </c>
      <c r="M41" s="56"/>
      <c r="N41" s="56"/>
    </row>
    <row r="42" spans="1:14" x14ac:dyDescent="0.2">
      <c r="A42" s="57" t="s">
        <v>240</v>
      </c>
      <c r="B42" s="58" t="s">
        <v>355</v>
      </c>
      <c r="C42" s="112" t="s">
        <v>337</v>
      </c>
      <c r="D42" s="58">
        <f>SUM(Enrollment!E7:E11)</f>
        <v>26</v>
      </c>
      <c r="E42" s="112" t="s">
        <v>337</v>
      </c>
      <c r="F42" s="112" t="s">
        <v>337</v>
      </c>
      <c r="G42" s="57"/>
      <c r="H42" s="112" t="s">
        <v>356</v>
      </c>
      <c r="I42" s="57"/>
      <c r="J42" s="113">
        <f>D42</f>
        <v>26</v>
      </c>
      <c r="K42" s="58" t="s">
        <v>361</v>
      </c>
      <c r="L42" s="58" t="s">
        <v>339</v>
      </c>
      <c r="M42" s="113">
        <f>J42</f>
        <v>26</v>
      </c>
      <c r="N42" s="58">
        <v>0</v>
      </c>
    </row>
    <row r="43" spans="1:14" x14ac:dyDescent="0.2">
      <c r="A43" s="55" t="s">
        <v>362</v>
      </c>
      <c r="B43" s="56" t="s">
        <v>363</v>
      </c>
      <c r="C43" s="56">
        <f>Grille_Maternelle!B25+Grille_Maternelle!C25+Grille_Maternelle!D25</f>
        <v>36</v>
      </c>
      <c r="D43" s="56">
        <f>Grille_Elementaire!B26+Grille_Elementaire!C26+Grille_Elementaire!D26+Grille_Elementaire!E26+Grille_Elementaire!F26</f>
        <v>94</v>
      </c>
      <c r="E43" s="56">
        <f>DHG_College!F22+DHG_College!G22+DHG_College!H22+DHG_College!I22</f>
        <v>63</v>
      </c>
      <c r="F43" s="56">
        <f>DHG_Lycee!E68+DHG_Lycee!F68+DHG_Lycee!G68</f>
        <v>28</v>
      </c>
      <c r="G43" s="116">
        <f>C43+D43+E43+F43</f>
        <v>221</v>
      </c>
      <c r="H43" s="56">
        <f>Parameters!B35</f>
        <v>24</v>
      </c>
      <c r="I43" s="117">
        <f>G43/H43</f>
        <v>9.2083333333333339</v>
      </c>
      <c r="J43" s="116">
        <f>ROUNDUP(I43,0)</f>
        <v>10</v>
      </c>
      <c r="K43" s="56" t="s">
        <v>364</v>
      </c>
      <c r="L43" s="56" t="s">
        <v>363</v>
      </c>
      <c r="M43" s="56">
        <v>0</v>
      </c>
      <c r="N43" s="116">
        <f>J43</f>
        <v>10</v>
      </c>
    </row>
    <row r="44" spans="1:14" x14ac:dyDescent="0.2">
      <c r="A44" s="57" t="s">
        <v>365</v>
      </c>
      <c r="B44" s="58" t="s">
        <v>366</v>
      </c>
      <c r="C44" s="58">
        <f>Grille_Maternelle!B26+Grille_Maternelle!C26+Grille_Maternelle!D26</f>
        <v>13</v>
      </c>
      <c r="D44" s="58">
        <f>Grille_Elementaire!B27+Grille_Elementaire!C27+Grille_Elementaire!D27+Grille_Elementaire!E27+Grille_Elementaire!F27</f>
        <v>42</v>
      </c>
      <c r="E44" s="58">
        <f>DHG_College!F23+DHG_College!G23+DHG_College!H23+DHG_College!I23</f>
        <v>21</v>
      </c>
      <c r="F44" s="58">
        <f>DHG_Lycee!E69+DHG_Lycee!F69+DHG_Lycee!G69</f>
        <v>14</v>
      </c>
      <c r="G44" s="113">
        <f>C44+D44+E44+F44</f>
        <v>90</v>
      </c>
      <c r="H44" s="58">
        <f>Parameters!B35</f>
        <v>24</v>
      </c>
      <c r="I44" s="114">
        <f>G44/H44</f>
        <v>3.75</v>
      </c>
      <c r="J44" s="113">
        <f>ROUNDUP(I44,0)</f>
        <v>4</v>
      </c>
      <c r="K44" s="58" t="s">
        <v>367</v>
      </c>
      <c r="L44" s="58" t="s">
        <v>363</v>
      </c>
      <c r="M44" s="58">
        <v>0</v>
      </c>
      <c r="N44" s="113">
        <f>J44</f>
        <v>4</v>
      </c>
    </row>
    <row r="45" spans="1:14" x14ac:dyDescent="0.2">
      <c r="A45" s="55" t="s">
        <v>368</v>
      </c>
      <c r="B45" s="56" t="s">
        <v>352</v>
      </c>
      <c r="C45" s="115" t="s">
        <v>337</v>
      </c>
      <c r="D45" s="115" t="s">
        <v>337</v>
      </c>
      <c r="E45" s="56">
        <f>DHG_Optimization!E13</f>
        <v>5.8800000000000008</v>
      </c>
      <c r="F45" s="56">
        <v>0</v>
      </c>
      <c r="G45" s="116">
        <f>E45+F45</f>
        <v>5.8800000000000008</v>
      </c>
      <c r="H45" s="55"/>
      <c r="I45" s="55"/>
      <c r="J45" s="55"/>
      <c r="K45" s="56" t="s">
        <v>353</v>
      </c>
      <c r="L45" s="58" t="s">
        <v>339</v>
      </c>
      <c r="M45" s="55"/>
      <c r="N45" s="55"/>
    </row>
    <row r="46" spans="1:14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x14ac:dyDescent="0.2">
      <c r="A47" s="123" t="s">
        <v>369</v>
      </c>
      <c r="B47" s="120"/>
      <c r="C47" s="120"/>
      <c r="D47" s="120"/>
      <c r="E47" s="120"/>
      <c r="F47" s="120"/>
      <c r="G47" s="51">
        <f>G38+G43+G44+G45</f>
        <v>1443.38</v>
      </c>
      <c r="H47" s="120"/>
      <c r="I47" s="120"/>
      <c r="J47" s="51">
        <f>J38+J40+J41+J42+J43+J44</f>
        <v>129</v>
      </c>
      <c r="K47" s="120"/>
      <c r="L47" s="120"/>
      <c r="M47" s="51">
        <f>M38+M40+M42</f>
        <v>92</v>
      </c>
      <c r="N47" s="51">
        <f>N38+N43+N44</f>
        <v>24</v>
      </c>
    </row>
    <row r="49" spans="1:5" ht="16" x14ac:dyDescent="0.2">
      <c r="A49" s="109" t="s">
        <v>371</v>
      </c>
      <c r="B49" s="110"/>
      <c r="C49" s="110"/>
      <c r="D49" s="110"/>
      <c r="E49" s="110"/>
    </row>
    <row r="50" spans="1:5" x14ac:dyDescent="0.2">
      <c r="A50" s="108" t="s">
        <v>372</v>
      </c>
      <c r="B50" s="108" t="s">
        <v>330</v>
      </c>
      <c r="C50" s="108" t="s">
        <v>373</v>
      </c>
      <c r="D50" s="108" t="s">
        <v>374</v>
      </c>
      <c r="E50" s="108" t="s">
        <v>375</v>
      </c>
    </row>
    <row r="51" spans="1:5" x14ac:dyDescent="0.2">
      <c r="A51" s="57" t="s">
        <v>376</v>
      </c>
      <c r="B51" s="58">
        <f>G26+G27+G28+G31+G32+G33+G34+G35+G36+G37</f>
        <v>954</v>
      </c>
      <c r="C51" s="113">
        <f>J26+J27+J28+J31+J32+J33+J34+J35+J36+J37</f>
        <v>53</v>
      </c>
      <c r="D51" s="124">
        <f>C51/$C$57</f>
        <v>0.41085271317829458</v>
      </c>
      <c r="E51" s="59" t="s">
        <v>377</v>
      </c>
    </row>
    <row r="52" spans="1:5" x14ac:dyDescent="0.2">
      <c r="A52" s="55" t="s">
        <v>378</v>
      </c>
      <c r="B52" s="56">
        <f>G29</f>
        <v>104.5</v>
      </c>
      <c r="C52" s="116">
        <f>J29</f>
        <v>6</v>
      </c>
      <c r="D52" s="125">
        <f>C52/$C$57</f>
        <v>4.6511627906976744E-2</v>
      </c>
      <c r="E52" s="8" t="s">
        <v>379</v>
      </c>
    </row>
    <row r="53" spans="1:5" x14ac:dyDescent="0.2">
      <c r="A53" s="57" t="s">
        <v>380</v>
      </c>
      <c r="B53" s="58">
        <f>G30</f>
        <v>68</v>
      </c>
      <c r="C53" s="113">
        <f>J30</f>
        <v>4</v>
      </c>
      <c r="D53" s="124">
        <f>C53/$C$57</f>
        <v>3.1007751937984496E-2</v>
      </c>
      <c r="E53" s="59" t="s">
        <v>381</v>
      </c>
    </row>
    <row r="54" spans="1:5" x14ac:dyDescent="0.2">
      <c r="A54" s="55" t="s">
        <v>362</v>
      </c>
      <c r="B54" s="56">
        <f>G43</f>
        <v>221</v>
      </c>
      <c r="C54" s="116">
        <f>J43</f>
        <v>10</v>
      </c>
      <c r="D54" s="125">
        <f>C54/$C$57</f>
        <v>7.7519379844961239E-2</v>
      </c>
      <c r="E54" s="8" t="s">
        <v>382</v>
      </c>
    </row>
    <row r="55" spans="1:5" x14ac:dyDescent="0.2">
      <c r="A55" s="57" t="s">
        <v>365</v>
      </c>
      <c r="B55" s="58">
        <f>G44</f>
        <v>90</v>
      </c>
      <c r="C55" s="113">
        <f>J44</f>
        <v>4</v>
      </c>
      <c r="D55" s="124">
        <f>C55/$C$57</f>
        <v>3.1007751937984496E-2</v>
      </c>
      <c r="E55" s="59" t="s">
        <v>382</v>
      </c>
    </row>
    <row r="56" spans="1:5" x14ac:dyDescent="0.2">
      <c r="A56" s="55" t="s">
        <v>383</v>
      </c>
      <c r="B56" s="115" t="s">
        <v>337</v>
      </c>
      <c r="C56" s="116">
        <f>J40+J41+J42</f>
        <v>52</v>
      </c>
      <c r="D56" s="125">
        <f>C56/$C$57</f>
        <v>0.40310077519379844</v>
      </c>
      <c r="E56" s="8" t="s">
        <v>384</v>
      </c>
    </row>
    <row r="57" spans="1:5" x14ac:dyDescent="0.2">
      <c r="A57" s="66" t="s">
        <v>322</v>
      </c>
      <c r="B57" s="67">
        <f>SUM(B51:B55)</f>
        <v>1437.5</v>
      </c>
      <c r="C57" s="67">
        <f>SUM(C51:C56)</f>
        <v>129</v>
      </c>
      <c r="D57" s="126">
        <f>SUM(D51:D56)</f>
        <v>1</v>
      </c>
      <c r="E57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Enrollment</vt:lpstr>
      <vt:lpstr>Grille_Maternelle</vt:lpstr>
      <vt:lpstr>Grille_Elementaire</vt:lpstr>
      <vt:lpstr>DHG_College</vt:lpstr>
      <vt:lpstr>DHG_Lycee</vt:lpstr>
      <vt:lpstr>DHG_Optimization</vt:lpstr>
      <vt:lpstr>Staff_Summary</vt:lpstr>
      <vt:lpstr>Staffing_By_Subject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Faker Helali</cp:lastModifiedBy>
  <cp:revision>0</cp:revision>
  <dcterms:created xsi:type="dcterms:W3CDTF">2026-02-20T11:19:22Z</dcterms:created>
  <dcterms:modified xsi:type="dcterms:W3CDTF">2026-02-20T13:29:52Z</dcterms:modified>
  <dc:language>en-US</dc:language>
</cp:coreProperties>
</file>