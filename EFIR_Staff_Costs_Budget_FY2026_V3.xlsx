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ocuments/EFIR Budget/"/>
    </mc:Choice>
  </mc:AlternateContent>
  <xr:revisionPtr revIDLastSave="0" documentId="13_ncr:1_{6D206979-CCB2-9E48-B014-9E5FFF421F04}" xr6:coauthVersionLast="47" xr6:coauthVersionMax="47" xr10:uidLastSave="{00000000-0000-0000-0000-000000000000}"/>
  <bookViews>
    <workbookView xWindow="0" yWindow="600" windowWidth="51200" windowHeight="26420" tabRatio="500" activeTab="3" xr2:uid="{00000000-000D-0000-FFFF-FFFF00000000}"/>
  </bookViews>
  <sheets>
    <sheet name="Assumptions &amp; Inputs" sheetId="1" r:id="rId1"/>
    <sheet name="Staff Master Data" sheetId="2" r:id="rId2"/>
    <sheet name="FY2026 Monthly Budget" sheetId="3" r:id="rId3"/>
    <sheet name="End of Service" sheetId="4" r:id="rId4"/>
    <sheet name="GOSI" sheetId="5" r:id="rId5"/>
    <sheet name="Ajeer Costs" sheetId="6" r:id="rId6"/>
    <sheet name="YoY Comparison" sheetId="7" r:id="rId7"/>
    <sheet name="Analysis &amp; Summary" sheetId="8" r:id="rId8"/>
  </sheets>
  <definedNames>
    <definedName name="_xlnm._FilterDatabase" localSheetId="5" hidden="1">'Ajeer Costs'!$A$8:$I$176</definedName>
    <definedName name="_xlnm._FilterDatabase" localSheetId="3" hidden="1">'End of Service'!$A$4:$L$172</definedName>
    <definedName name="_xlnm._FilterDatabase" localSheetId="4" hidden="1">GOSI!$A$4:$K$172</definedName>
    <definedName name="_xlnm._FilterDatabase" localSheetId="1" hidden="1">'Staff Master Data'!$A$4:$R$173</definedName>
    <definedName name="_xlnm._FilterDatabase" localSheetId="6" hidden="1">'YoY Comparison'!$A$3:$I$182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77" i="4" l="1"/>
  <c r="N176" i="4"/>
  <c r="N175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F41" i="3"/>
  <c r="B21" i="3" l="1"/>
  <c r="N19" i="3"/>
  <c r="G31" i="8"/>
  <c r="F31" i="8"/>
  <c r="E31" i="8"/>
  <c r="D31" i="8"/>
  <c r="C31" i="8"/>
  <c r="B31" i="8"/>
  <c r="H30" i="8"/>
  <c r="H29" i="8"/>
  <c r="H28" i="8"/>
  <c r="H27" i="8"/>
  <c r="H26" i="8"/>
  <c r="G183" i="7"/>
  <c r="F183" i="7"/>
  <c r="H182" i="7"/>
  <c r="I182" i="7" s="1"/>
  <c r="H181" i="7"/>
  <c r="I181" i="7" s="1"/>
  <c r="H180" i="7"/>
  <c r="I180" i="7" s="1"/>
  <c r="H179" i="7"/>
  <c r="I179" i="7" s="1"/>
  <c r="H178" i="7"/>
  <c r="I178" i="7" s="1"/>
  <c r="H177" i="7"/>
  <c r="I177" i="7" s="1"/>
  <c r="H176" i="7"/>
  <c r="I176" i="7" s="1"/>
  <c r="H175" i="7"/>
  <c r="I175" i="7" s="1"/>
  <c r="H174" i="7"/>
  <c r="I174" i="7" s="1"/>
  <c r="I173" i="7"/>
  <c r="H173" i="7"/>
  <c r="H172" i="7"/>
  <c r="I172" i="7" s="1"/>
  <c r="I171" i="7"/>
  <c r="H171" i="7"/>
  <c r="H170" i="7"/>
  <c r="I170" i="7" s="1"/>
  <c r="H169" i="7"/>
  <c r="I169" i="7" s="1"/>
  <c r="H168" i="7"/>
  <c r="I168" i="7" s="1"/>
  <c r="H167" i="7"/>
  <c r="I167" i="7" s="1"/>
  <c r="H166" i="7"/>
  <c r="I166" i="7" s="1"/>
  <c r="H165" i="7"/>
  <c r="I165" i="7" s="1"/>
  <c r="H164" i="7"/>
  <c r="I164" i="7" s="1"/>
  <c r="H163" i="7"/>
  <c r="I163" i="7" s="1"/>
  <c r="I162" i="7"/>
  <c r="H162" i="7"/>
  <c r="H161" i="7"/>
  <c r="I161" i="7" s="1"/>
  <c r="I160" i="7"/>
  <c r="H160" i="7"/>
  <c r="H159" i="7"/>
  <c r="I159" i="7" s="1"/>
  <c r="H158" i="7"/>
  <c r="I158" i="7" s="1"/>
  <c r="H157" i="7"/>
  <c r="I157" i="7" s="1"/>
  <c r="H156" i="7"/>
  <c r="I156" i="7" s="1"/>
  <c r="H155" i="7"/>
  <c r="I155" i="7" s="1"/>
  <c r="I154" i="7"/>
  <c r="H154" i="7"/>
  <c r="H153" i="7"/>
  <c r="I153" i="7" s="1"/>
  <c r="I152" i="7"/>
  <c r="H152" i="7"/>
  <c r="I151" i="7"/>
  <c r="H151" i="7"/>
  <c r="I150" i="7"/>
  <c r="H150" i="7"/>
  <c r="H149" i="7"/>
  <c r="I149" i="7" s="1"/>
  <c r="I148" i="7"/>
  <c r="H148" i="7"/>
  <c r="H147" i="7"/>
  <c r="I147" i="7" s="1"/>
  <c r="H146" i="7"/>
  <c r="I146" i="7" s="1"/>
  <c r="I145" i="7"/>
  <c r="H145" i="7"/>
  <c r="H144" i="7"/>
  <c r="I144" i="7" s="1"/>
  <c r="H143" i="7"/>
  <c r="I143" i="7" s="1"/>
  <c r="H142" i="7"/>
  <c r="I142" i="7" s="1"/>
  <c r="H141" i="7"/>
  <c r="I141" i="7" s="1"/>
  <c r="H140" i="7"/>
  <c r="I140" i="7" s="1"/>
  <c r="H139" i="7"/>
  <c r="I139" i="7" s="1"/>
  <c r="H138" i="7"/>
  <c r="I138" i="7" s="1"/>
  <c r="H137" i="7"/>
  <c r="I137" i="7" s="1"/>
  <c r="H136" i="7"/>
  <c r="I136" i="7" s="1"/>
  <c r="H135" i="7"/>
  <c r="I135" i="7" s="1"/>
  <c r="H134" i="7"/>
  <c r="I134" i="7" s="1"/>
  <c r="H133" i="7"/>
  <c r="I133" i="7" s="1"/>
  <c r="I132" i="7"/>
  <c r="H132" i="7"/>
  <c r="H131" i="7"/>
  <c r="I131" i="7" s="1"/>
  <c r="H130" i="7"/>
  <c r="I130" i="7" s="1"/>
  <c r="I129" i="7"/>
  <c r="H129" i="7"/>
  <c r="H128" i="7"/>
  <c r="I128" i="7" s="1"/>
  <c r="I127" i="7"/>
  <c r="H127" i="7"/>
  <c r="H126" i="7"/>
  <c r="I126" i="7" s="1"/>
  <c r="H125" i="7"/>
  <c r="I125" i="7" s="1"/>
  <c r="I124" i="7"/>
  <c r="H124" i="7"/>
  <c r="H123" i="7"/>
  <c r="I123" i="7" s="1"/>
  <c r="H122" i="7"/>
  <c r="I122" i="7" s="1"/>
  <c r="I121" i="7"/>
  <c r="H121" i="7"/>
  <c r="H120" i="7"/>
  <c r="I120" i="7" s="1"/>
  <c r="I119" i="7"/>
  <c r="H119" i="7"/>
  <c r="H118" i="7"/>
  <c r="I118" i="7" s="1"/>
  <c r="I117" i="7"/>
  <c r="H117" i="7"/>
  <c r="I116" i="7"/>
  <c r="H116" i="7"/>
  <c r="H115" i="7"/>
  <c r="I115" i="7" s="1"/>
  <c r="I114" i="7"/>
  <c r="H114" i="7"/>
  <c r="H113" i="7"/>
  <c r="I113" i="7" s="1"/>
  <c r="H112" i="7"/>
  <c r="I112" i="7" s="1"/>
  <c r="H111" i="7"/>
  <c r="I111" i="7" s="1"/>
  <c r="H110" i="7"/>
  <c r="I110" i="7" s="1"/>
  <c r="H109" i="7"/>
  <c r="I109" i="7" s="1"/>
  <c r="H108" i="7"/>
  <c r="I108" i="7" s="1"/>
  <c r="H107" i="7"/>
  <c r="I107" i="7" s="1"/>
  <c r="I106" i="7"/>
  <c r="H106" i="7"/>
  <c r="H105" i="7"/>
  <c r="I105" i="7" s="1"/>
  <c r="H104" i="7"/>
  <c r="I104" i="7" s="1"/>
  <c r="I103" i="7"/>
  <c r="H103" i="7"/>
  <c r="H102" i="7"/>
  <c r="I102" i="7" s="1"/>
  <c r="I101" i="7"/>
  <c r="H101" i="7"/>
  <c r="H100" i="7"/>
  <c r="I100" i="7" s="1"/>
  <c r="H99" i="7"/>
  <c r="I99" i="7" s="1"/>
  <c r="I98" i="7"/>
  <c r="H98" i="7"/>
  <c r="H97" i="7"/>
  <c r="I97" i="7" s="1"/>
  <c r="H96" i="7"/>
  <c r="I96" i="7" s="1"/>
  <c r="H95" i="7"/>
  <c r="I95" i="7" s="1"/>
  <c r="I94" i="7"/>
  <c r="H94" i="7"/>
  <c r="H93" i="7"/>
  <c r="I93" i="7" s="1"/>
  <c r="I92" i="7"/>
  <c r="H92" i="7"/>
  <c r="H91" i="7"/>
  <c r="I91" i="7" s="1"/>
  <c r="H90" i="7"/>
  <c r="I90" i="7" s="1"/>
  <c r="H89" i="7"/>
  <c r="I89" i="7" s="1"/>
  <c r="H88" i="7"/>
  <c r="I88" i="7" s="1"/>
  <c r="I87" i="7"/>
  <c r="H87" i="7"/>
  <c r="I86" i="7"/>
  <c r="H86" i="7"/>
  <c r="H85" i="7"/>
  <c r="I85" i="7" s="1"/>
  <c r="I84" i="7"/>
  <c r="H84" i="7"/>
  <c r="H83" i="7"/>
  <c r="I83" i="7" s="1"/>
  <c r="H82" i="7"/>
  <c r="I82" i="7" s="1"/>
  <c r="H81" i="7"/>
  <c r="I81" i="7" s="1"/>
  <c r="I80" i="7"/>
  <c r="H80" i="7"/>
  <c r="H79" i="7"/>
  <c r="I79" i="7" s="1"/>
  <c r="H78" i="7"/>
  <c r="I78" i="7" s="1"/>
  <c r="I77" i="7"/>
  <c r="H77" i="7"/>
  <c r="H76" i="7"/>
  <c r="I76" i="7" s="1"/>
  <c r="I75" i="7"/>
  <c r="H75" i="7"/>
  <c r="H74" i="7"/>
  <c r="I74" i="7" s="1"/>
  <c r="H73" i="7"/>
  <c r="I73" i="7" s="1"/>
  <c r="H72" i="7"/>
  <c r="I72" i="7" s="1"/>
  <c r="H71" i="7"/>
  <c r="I71" i="7" s="1"/>
  <c r="H70" i="7"/>
  <c r="I70" i="7" s="1"/>
  <c r="H69" i="7"/>
  <c r="I69" i="7" s="1"/>
  <c r="H68" i="7"/>
  <c r="I68" i="7" s="1"/>
  <c r="I67" i="7"/>
  <c r="H67" i="7"/>
  <c r="I66" i="7"/>
  <c r="H66" i="7"/>
  <c r="I65" i="7"/>
  <c r="H65" i="7"/>
  <c r="I64" i="7"/>
  <c r="H64" i="7"/>
  <c r="I63" i="7"/>
  <c r="H63" i="7"/>
  <c r="H62" i="7"/>
  <c r="I62" i="7" s="1"/>
  <c r="H61" i="7"/>
  <c r="I61" i="7" s="1"/>
  <c r="H60" i="7"/>
  <c r="I60" i="7" s="1"/>
  <c r="I59" i="7"/>
  <c r="H59" i="7"/>
  <c r="H58" i="7"/>
  <c r="I58" i="7" s="1"/>
  <c r="H57" i="7"/>
  <c r="I57" i="7" s="1"/>
  <c r="H56" i="7"/>
  <c r="I56" i="7" s="1"/>
  <c r="H55" i="7"/>
  <c r="I55" i="7" s="1"/>
  <c r="I54" i="7"/>
  <c r="H54" i="7"/>
  <c r="H53" i="7"/>
  <c r="I53" i="7" s="1"/>
  <c r="I52" i="7"/>
  <c r="H52" i="7"/>
  <c r="H51" i="7"/>
  <c r="I51" i="7" s="1"/>
  <c r="H50" i="7"/>
  <c r="I50" i="7" s="1"/>
  <c r="I49" i="7"/>
  <c r="H49" i="7"/>
  <c r="H48" i="7"/>
  <c r="I48" i="7" s="1"/>
  <c r="H47" i="7"/>
  <c r="I47" i="7" s="1"/>
  <c r="H46" i="7"/>
  <c r="I46" i="7" s="1"/>
  <c r="I45" i="7"/>
  <c r="H45" i="7"/>
  <c r="H44" i="7"/>
  <c r="I44" i="7" s="1"/>
  <c r="H43" i="7"/>
  <c r="I43" i="7" s="1"/>
  <c r="I42" i="7"/>
  <c r="H42" i="7"/>
  <c r="H41" i="7"/>
  <c r="I41" i="7" s="1"/>
  <c r="I40" i="7"/>
  <c r="H40" i="7"/>
  <c r="H39" i="7"/>
  <c r="I39" i="7" s="1"/>
  <c r="I38" i="7"/>
  <c r="H38" i="7"/>
  <c r="H37" i="7"/>
  <c r="I37" i="7" s="1"/>
  <c r="I36" i="7"/>
  <c r="H36" i="7"/>
  <c r="H35" i="7"/>
  <c r="I35" i="7" s="1"/>
  <c r="I34" i="7"/>
  <c r="H34" i="7"/>
  <c r="I33" i="7"/>
  <c r="H33" i="7"/>
  <c r="H32" i="7"/>
  <c r="I32" i="7" s="1"/>
  <c r="I31" i="7"/>
  <c r="H31" i="7"/>
  <c r="H30" i="7"/>
  <c r="I30" i="7" s="1"/>
  <c r="I29" i="7"/>
  <c r="H29" i="7"/>
  <c r="I28" i="7"/>
  <c r="H28" i="7"/>
  <c r="H27" i="7"/>
  <c r="I27" i="7" s="1"/>
  <c r="H26" i="7"/>
  <c r="I26" i="7" s="1"/>
  <c r="H25" i="7"/>
  <c r="I25" i="7" s="1"/>
  <c r="I24" i="7"/>
  <c r="H24" i="7"/>
  <c r="H23" i="7"/>
  <c r="I23" i="7" s="1"/>
  <c r="H22" i="7"/>
  <c r="I22" i="7" s="1"/>
  <c r="I21" i="7"/>
  <c r="H21" i="7"/>
  <c r="H20" i="7"/>
  <c r="I20" i="7" s="1"/>
  <c r="I19" i="7"/>
  <c r="H19" i="7"/>
  <c r="H18" i="7"/>
  <c r="I18" i="7" s="1"/>
  <c r="I17" i="7"/>
  <c r="H17" i="7"/>
  <c r="H16" i="7"/>
  <c r="I16" i="7" s="1"/>
  <c r="H15" i="7"/>
  <c r="I15" i="7" s="1"/>
  <c r="I14" i="7"/>
  <c r="H14" i="7"/>
  <c r="H13" i="7"/>
  <c r="I13" i="7" s="1"/>
  <c r="H12" i="7"/>
  <c r="I12" i="7" s="1"/>
  <c r="H11" i="7"/>
  <c r="I11" i="7" s="1"/>
  <c r="I10" i="7"/>
  <c r="H10" i="7"/>
  <c r="H9" i="7"/>
  <c r="I9" i="7" s="1"/>
  <c r="I8" i="7"/>
  <c r="H8" i="7"/>
  <c r="I7" i="7"/>
  <c r="H7" i="7"/>
  <c r="H6" i="7"/>
  <c r="I6" i="7" s="1"/>
  <c r="I5" i="7"/>
  <c r="H5" i="7"/>
  <c r="H4" i="7"/>
  <c r="H176" i="6"/>
  <c r="G176" i="6"/>
  <c r="I176" i="6" s="1"/>
  <c r="I175" i="6"/>
  <c r="H175" i="6"/>
  <c r="G175" i="6"/>
  <c r="H174" i="6"/>
  <c r="G174" i="6"/>
  <c r="I174" i="6" s="1"/>
  <c r="H173" i="6"/>
  <c r="I173" i="6" s="1"/>
  <c r="G173" i="6"/>
  <c r="H172" i="6"/>
  <c r="G172" i="6"/>
  <c r="I172" i="6" s="1"/>
  <c r="I171" i="6"/>
  <c r="H171" i="6"/>
  <c r="G171" i="6"/>
  <c r="I170" i="6"/>
  <c r="H170" i="6"/>
  <c r="G170" i="6"/>
  <c r="I169" i="6"/>
  <c r="H169" i="6"/>
  <c r="G169" i="6"/>
  <c r="I168" i="6"/>
  <c r="H168" i="6"/>
  <c r="G168" i="6"/>
  <c r="H167" i="6"/>
  <c r="G167" i="6"/>
  <c r="I167" i="6" s="1"/>
  <c r="I166" i="6"/>
  <c r="H166" i="6"/>
  <c r="G166" i="6"/>
  <c r="H165" i="6"/>
  <c r="G165" i="6"/>
  <c r="I165" i="6" s="1"/>
  <c r="I164" i="6"/>
  <c r="H164" i="6"/>
  <c r="G164" i="6"/>
  <c r="H163" i="6"/>
  <c r="G163" i="6"/>
  <c r="I163" i="6" s="1"/>
  <c r="H162" i="6"/>
  <c r="G162" i="6"/>
  <c r="I162" i="6" s="1"/>
  <c r="H161" i="6"/>
  <c r="I161" i="6" s="1"/>
  <c r="G161" i="6"/>
  <c r="H160" i="6"/>
  <c r="G160" i="6"/>
  <c r="I160" i="6" s="1"/>
  <c r="H159" i="6"/>
  <c r="I159" i="6" s="1"/>
  <c r="G159" i="6"/>
  <c r="H158" i="6"/>
  <c r="G158" i="6"/>
  <c r="I158" i="6" s="1"/>
  <c r="H157" i="6"/>
  <c r="G157" i="6"/>
  <c r="I157" i="6" s="1"/>
  <c r="I156" i="6"/>
  <c r="H156" i="6"/>
  <c r="G156" i="6"/>
  <c r="I155" i="6"/>
  <c r="H155" i="6"/>
  <c r="G155" i="6"/>
  <c r="I154" i="6"/>
  <c r="H154" i="6"/>
  <c r="G154" i="6"/>
  <c r="H153" i="6"/>
  <c r="G153" i="6"/>
  <c r="H152" i="6"/>
  <c r="G152" i="6"/>
  <c r="I152" i="6" s="1"/>
  <c r="H151" i="6"/>
  <c r="G151" i="6"/>
  <c r="I151" i="6" s="1"/>
  <c r="I150" i="6"/>
  <c r="H150" i="6"/>
  <c r="G150" i="6"/>
  <c r="H149" i="6"/>
  <c r="I149" i="6" s="1"/>
  <c r="G149" i="6"/>
  <c r="I148" i="6"/>
  <c r="H148" i="6"/>
  <c r="G148" i="6"/>
  <c r="I147" i="6"/>
  <c r="H147" i="6"/>
  <c r="G147" i="6"/>
  <c r="H146" i="6"/>
  <c r="G146" i="6"/>
  <c r="I146" i="6" s="1"/>
  <c r="H145" i="6"/>
  <c r="I145" i="6" s="1"/>
  <c r="G145" i="6"/>
  <c r="H144" i="6"/>
  <c r="G144" i="6"/>
  <c r="I144" i="6" s="1"/>
  <c r="H143" i="6"/>
  <c r="G143" i="6"/>
  <c r="I143" i="6" s="1"/>
  <c r="I142" i="6"/>
  <c r="H142" i="6"/>
  <c r="G142" i="6"/>
  <c r="H141" i="6"/>
  <c r="I141" i="6" s="1"/>
  <c r="G141" i="6"/>
  <c r="I140" i="6"/>
  <c r="H140" i="6"/>
  <c r="G140" i="6"/>
  <c r="H139" i="6"/>
  <c r="G139" i="6"/>
  <c r="H138" i="6"/>
  <c r="G138" i="6"/>
  <c r="I138" i="6" s="1"/>
  <c r="H137" i="6"/>
  <c r="G137" i="6"/>
  <c r="I137" i="6" s="1"/>
  <c r="H136" i="6"/>
  <c r="G136" i="6"/>
  <c r="I136" i="6" s="1"/>
  <c r="H135" i="6"/>
  <c r="G135" i="6"/>
  <c r="I135" i="6" s="1"/>
  <c r="H134" i="6"/>
  <c r="G134" i="6"/>
  <c r="I134" i="6" s="1"/>
  <c r="H133" i="6"/>
  <c r="I133" i="6" s="1"/>
  <c r="G133" i="6"/>
  <c r="H132" i="6"/>
  <c r="G132" i="6"/>
  <c r="H131" i="6"/>
  <c r="I131" i="6" s="1"/>
  <c r="G131" i="6"/>
  <c r="H130" i="6"/>
  <c r="G130" i="6"/>
  <c r="I130" i="6" s="1"/>
  <c r="H129" i="6"/>
  <c r="G129" i="6"/>
  <c r="I129" i="6" s="1"/>
  <c r="I128" i="6"/>
  <c r="H128" i="6"/>
  <c r="G128" i="6"/>
  <c r="H127" i="6"/>
  <c r="I127" i="6" s="1"/>
  <c r="G127" i="6"/>
  <c r="I126" i="6"/>
  <c r="H126" i="6"/>
  <c r="G126" i="6"/>
  <c r="H125" i="6"/>
  <c r="G125" i="6"/>
  <c r="I125" i="6" s="1"/>
  <c r="H124" i="6"/>
  <c r="G124" i="6"/>
  <c r="I124" i="6" s="1"/>
  <c r="H123" i="6"/>
  <c r="G123" i="6"/>
  <c r="I123" i="6" s="1"/>
  <c r="H122" i="6"/>
  <c r="G122" i="6"/>
  <c r="I122" i="6" s="1"/>
  <c r="H121" i="6"/>
  <c r="I121" i="6" s="1"/>
  <c r="G121" i="6"/>
  <c r="I120" i="6"/>
  <c r="H120" i="6"/>
  <c r="G120" i="6"/>
  <c r="I119" i="6"/>
  <c r="H119" i="6"/>
  <c r="G119" i="6"/>
  <c r="H118" i="6"/>
  <c r="G118" i="6"/>
  <c r="I118" i="6" s="1"/>
  <c r="H117" i="6"/>
  <c r="I117" i="6" s="1"/>
  <c r="G117" i="6"/>
  <c r="H116" i="6"/>
  <c r="G116" i="6"/>
  <c r="I116" i="6" s="1"/>
  <c r="I115" i="6"/>
  <c r="H115" i="6"/>
  <c r="G115" i="6"/>
  <c r="I114" i="6"/>
  <c r="H114" i="6"/>
  <c r="G114" i="6"/>
  <c r="H113" i="6"/>
  <c r="I113" i="6" s="1"/>
  <c r="G113" i="6"/>
  <c r="I112" i="6"/>
  <c r="H112" i="6"/>
  <c r="G112" i="6"/>
  <c r="H111" i="6"/>
  <c r="G111" i="6"/>
  <c r="I111" i="6" s="1"/>
  <c r="I110" i="6"/>
  <c r="H110" i="6"/>
  <c r="G110" i="6"/>
  <c r="H109" i="6"/>
  <c r="G109" i="6"/>
  <c r="I109" i="6" s="1"/>
  <c r="H108" i="6"/>
  <c r="G108" i="6"/>
  <c r="I108" i="6" s="1"/>
  <c r="H107" i="6"/>
  <c r="I107" i="6" s="1"/>
  <c r="G107" i="6"/>
  <c r="I106" i="6"/>
  <c r="H106" i="6"/>
  <c r="G106" i="6"/>
  <c r="H105" i="6"/>
  <c r="I105" i="6" s="1"/>
  <c r="G105" i="6"/>
  <c r="H104" i="6"/>
  <c r="G104" i="6"/>
  <c r="H103" i="6"/>
  <c r="I103" i="6" s="1"/>
  <c r="G103" i="6"/>
  <c r="H102" i="6"/>
  <c r="G102" i="6"/>
  <c r="I102" i="6" s="1"/>
  <c r="H101" i="6"/>
  <c r="G101" i="6"/>
  <c r="I101" i="6" s="1"/>
  <c r="I100" i="6"/>
  <c r="H100" i="6"/>
  <c r="G100" i="6"/>
  <c r="I99" i="6"/>
  <c r="H99" i="6"/>
  <c r="G99" i="6"/>
  <c r="I98" i="6"/>
  <c r="H98" i="6"/>
  <c r="G98" i="6"/>
  <c r="H97" i="6"/>
  <c r="G97" i="6"/>
  <c r="I97" i="6" s="1"/>
  <c r="H96" i="6"/>
  <c r="G96" i="6"/>
  <c r="I96" i="6" s="1"/>
  <c r="H95" i="6"/>
  <c r="G95" i="6"/>
  <c r="I95" i="6" s="1"/>
  <c r="I94" i="6"/>
  <c r="H94" i="6"/>
  <c r="G94" i="6"/>
  <c r="I93" i="6"/>
  <c r="H93" i="6"/>
  <c r="G93" i="6"/>
  <c r="H92" i="6"/>
  <c r="G92" i="6"/>
  <c r="I92" i="6" s="1"/>
  <c r="H91" i="6"/>
  <c r="I91" i="6" s="1"/>
  <c r="G91" i="6"/>
  <c r="H90" i="6"/>
  <c r="G90" i="6"/>
  <c r="I90" i="6" s="1"/>
  <c r="H89" i="6"/>
  <c r="I89" i="6" s="1"/>
  <c r="G89" i="6"/>
  <c r="H88" i="6"/>
  <c r="G88" i="6"/>
  <c r="I88" i="6" s="1"/>
  <c r="H87" i="6"/>
  <c r="G87" i="6"/>
  <c r="I87" i="6" s="1"/>
  <c r="I86" i="6"/>
  <c r="H86" i="6"/>
  <c r="G86" i="6"/>
  <c r="H85" i="6"/>
  <c r="I85" i="6" s="1"/>
  <c r="G85" i="6"/>
  <c r="I84" i="6"/>
  <c r="H84" i="6"/>
  <c r="G84" i="6"/>
  <c r="H83" i="6"/>
  <c r="G83" i="6"/>
  <c r="H82" i="6"/>
  <c r="G82" i="6"/>
  <c r="I82" i="6" s="1"/>
  <c r="H81" i="6"/>
  <c r="G81" i="6"/>
  <c r="I81" i="6" s="1"/>
  <c r="H80" i="6"/>
  <c r="G80" i="6"/>
  <c r="I80" i="6" s="1"/>
  <c r="H79" i="6"/>
  <c r="G79" i="6"/>
  <c r="I79" i="6" s="1"/>
  <c r="H78" i="6"/>
  <c r="I78" i="6" s="1"/>
  <c r="G78" i="6"/>
  <c r="I77" i="6"/>
  <c r="H77" i="6"/>
  <c r="G77" i="6"/>
  <c r="H76" i="6"/>
  <c r="G76" i="6"/>
  <c r="H75" i="6"/>
  <c r="I75" i="6" s="1"/>
  <c r="G75" i="6"/>
  <c r="H74" i="6"/>
  <c r="G74" i="6"/>
  <c r="I74" i="6" s="1"/>
  <c r="H73" i="6"/>
  <c r="G73" i="6"/>
  <c r="I73" i="6" s="1"/>
  <c r="I72" i="6"/>
  <c r="H72" i="6"/>
  <c r="G72" i="6"/>
  <c r="H71" i="6"/>
  <c r="I71" i="6" s="1"/>
  <c r="G71" i="6"/>
  <c r="I70" i="6"/>
  <c r="H70" i="6"/>
  <c r="G70" i="6"/>
  <c r="H69" i="6"/>
  <c r="G69" i="6"/>
  <c r="I69" i="6" s="1"/>
  <c r="H68" i="6"/>
  <c r="G68" i="6"/>
  <c r="I68" i="6" s="1"/>
  <c r="H67" i="6"/>
  <c r="G67" i="6"/>
  <c r="I67" i="6" s="1"/>
  <c r="I66" i="6"/>
  <c r="H66" i="6"/>
  <c r="G66" i="6"/>
  <c r="H65" i="6"/>
  <c r="G65" i="6"/>
  <c r="I65" i="6" s="1"/>
  <c r="I64" i="6"/>
  <c r="H64" i="6"/>
  <c r="G64" i="6"/>
  <c r="I63" i="6"/>
  <c r="H63" i="6"/>
  <c r="G63" i="6"/>
  <c r="H62" i="6"/>
  <c r="G62" i="6"/>
  <c r="I62" i="6" s="1"/>
  <c r="H61" i="6"/>
  <c r="I61" i="6" s="1"/>
  <c r="G61" i="6"/>
  <c r="H60" i="6"/>
  <c r="G60" i="6"/>
  <c r="I60" i="6" s="1"/>
  <c r="H59" i="6"/>
  <c r="G59" i="6"/>
  <c r="I59" i="6" s="1"/>
  <c r="I58" i="6"/>
  <c r="H58" i="6"/>
  <c r="G58" i="6"/>
  <c r="H57" i="6"/>
  <c r="I57" i="6" s="1"/>
  <c r="G57" i="6"/>
  <c r="I56" i="6"/>
  <c r="H56" i="6"/>
  <c r="G56" i="6"/>
  <c r="H55" i="6"/>
  <c r="G55" i="6"/>
  <c r="I55" i="6" s="1"/>
  <c r="H54" i="6"/>
  <c r="G54" i="6"/>
  <c r="I54" i="6" s="1"/>
  <c r="H53" i="6"/>
  <c r="G53" i="6"/>
  <c r="I53" i="6" s="1"/>
  <c r="I52" i="6"/>
  <c r="H52" i="6"/>
  <c r="G52" i="6"/>
  <c r="I51" i="6"/>
  <c r="H51" i="6"/>
  <c r="G51" i="6"/>
  <c r="I50" i="6"/>
  <c r="H50" i="6"/>
  <c r="G50" i="6"/>
  <c r="I49" i="6"/>
  <c r="H49" i="6"/>
  <c r="G49" i="6"/>
  <c r="H48" i="6"/>
  <c r="G48" i="6"/>
  <c r="I48" i="6" s="1"/>
  <c r="H47" i="6"/>
  <c r="I47" i="6" s="1"/>
  <c r="G47" i="6"/>
  <c r="H46" i="6"/>
  <c r="G46" i="6"/>
  <c r="I46" i="6" s="1"/>
  <c r="I45" i="6"/>
  <c r="H45" i="6"/>
  <c r="G45" i="6"/>
  <c r="I44" i="6"/>
  <c r="H44" i="6"/>
  <c r="G44" i="6"/>
  <c r="H43" i="6"/>
  <c r="I43" i="6" s="1"/>
  <c r="G43" i="6"/>
  <c r="I42" i="6"/>
  <c r="H42" i="6"/>
  <c r="G42" i="6"/>
  <c r="H41" i="6"/>
  <c r="G41" i="6"/>
  <c r="I41" i="6" s="1"/>
  <c r="I40" i="6"/>
  <c r="H40" i="6"/>
  <c r="G40" i="6"/>
  <c r="H39" i="6"/>
  <c r="G39" i="6"/>
  <c r="I39" i="6" s="1"/>
  <c r="H38" i="6"/>
  <c r="G38" i="6"/>
  <c r="I38" i="6" s="1"/>
  <c r="H37" i="6"/>
  <c r="G37" i="6"/>
  <c r="I37" i="6" s="1"/>
  <c r="I36" i="6"/>
  <c r="H36" i="6"/>
  <c r="G36" i="6"/>
  <c r="H35" i="6"/>
  <c r="I35" i="6" s="1"/>
  <c r="G35" i="6"/>
  <c r="H34" i="6"/>
  <c r="G34" i="6"/>
  <c r="H33" i="6"/>
  <c r="I33" i="6" s="1"/>
  <c r="G33" i="6"/>
  <c r="H32" i="6"/>
  <c r="G32" i="6"/>
  <c r="I32" i="6" s="1"/>
  <c r="H31" i="6"/>
  <c r="G31" i="6"/>
  <c r="I31" i="6" s="1"/>
  <c r="I30" i="6"/>
  <c r="H30" i="6"/>
  <c r="G30" i="6"/>
  <c r="I29" i="6"/>
  <c r="H29" i="6"/>
  <c r="G29" i="6"/>
  <c r="I28" i="6"/>
  <c r="H28" i="6"/>
  <c r="G28" i="6"/>
  <c r="H27" i="6"/>
  <c r="G27" i="6"/>
  <c r="I27" i="6" s="1"/>
  <c r="H26" i="6"/>
  <c r="G26" i="6"/>
  <c r="I26" i="6" s="1"/>
  <c r="H25" i="6"/>
  <c r="G25" i="6"/>
  <c r="I25" i="6" s="1"/>
  <c r="I24" i="6"/>
  <c r="H24" i="6"/>
  <c r="G24" i="6"/>
  <c r="H23" i="6"/>
  <c r="G23" i="6"/>
  <c r="I23" i="6" s="1"/>
  <c r="H22" i="6"/>
  <c r="G22" i="6"/>
  <c r="I22" i="6" s="1"/>
  <c r="I20" i="6"/>
  <c r="H20" i="6"/>
  <c r="G20" i="6"/>
  <c r="H18" i="6"/>
  <c r="G18" i="6"/>
  <c r="H17" i="6"/>
  <c r="I17" i="6" s="1"/>
  <c r="G17" i="6"/>
  <c r="H16" i="6"/>
  <c r="G16" i="6"/>
  <c r="I16" i="6" s="1"/>
  <c r="I15" i="6"/>
  <c r="H15" i="6"/>
  <c r="G15" i="6"/>
  <c r="I14" i="6"/>
  <c r="H14" i="6"/>
  <c r="G14" i="6"/>
  <c r="H13" i="6"/>
  <c r="I13" i="6" s="1"/>
  <c r="G13" i="6"/>
  <c r="I12" i="6"/>
  <c r="H12" i="6"/>
  <c r="G12" i="6"/>
  <c r="H11" i="6"/>
  <c r="G11" i="6"/>
  <c r="I10" i="6"/>
  <c r="H10" i="6"/>
  <c r="G10" i="6"/>
  <c r="H9" i="6"/>
  <c r="G9" i="6"/>
  <c r="C5" i="6"/>
  <c r="C4" i="6"/>
  <c r="J173" i="5"/>
  <c r="F173" i="5"/>
  <c r="I172" i="5"/>
  <c r="K172" i="5" s="1"/>
  <c r="H172" i="5"/>
  <c r="H171" i="5"/>
  <c r="I171" i="5" s="1"/>
  <c r="K171" i="5" s="1"/>
  <c r="H170" i="5"/>
  <c r="I170" i="5" s="1"/>
  <c r="K170" i="5" s="1"/>
  <c r="I169" i="5"/>
  <c r="K169" i="5" s="1"/>
  <c r="H169" i="5"/>
  <c r="H168" i="5"/>
  <c r="I168" i="5" s="1"/>
  <c r="K168" i="5" s="1"/>
  <c r="K167" i="5"/>
  <c r="I167" i="5"/>
  <c r="H167" i="5"/>
  <c r="H166" i="5"/>
  <c r="I166" i="5" s="1"/>
  <c r="K166" i="5" s="1"/>
  <c r="K165" i="5"/>
  <c r="I165" i="5"/>
  <c r="H165" i="5"/>
  <c r="K164" i="5"/>
  <c r="H164" i="5"/>
  <c r="I164" i="5" s="1"/>
  <c r="I163" i="5"/>
  <c r="K163" i="5" s="1"/>
  <c r="H163" i="5"/>
  <c r="H162" i="5"/>
  <c r="I162" i="5" s="1"/>
  <c r="K162" i="5" s="1"/>
  <c r="H161" i="5"/>
  <c r="I161" i="5" s="1"/>
  <c r="K161" i="5" s="1"/>
  <c r="K160" i="5"/>
  <c r="H160" i="5"/>
  <c r="I160" i="5" s="1"/>
  <c r="I159" i="5"/>
  <c r="K159" i="5" s="1"/>
  <c r="H159" i="5"/>
  <c r="K158" i="5"/>
  <c r="I158" i="5"/>
  <c r="H158" i="5"/>
  <c r="H157" i="5"/>
  <c r="I157" i="5" s="1"/>
  <c r="K157" i="5" s="1"/>
  <c r="H156" i="5"/>
  <c r="I156" i="5" s="1"/>
  <c r="K156" i="5" s="1"/>
  <c r="I155" i="5"/>
  <c r="K155" i="5" s="1"/>
  <c r="H155" i="5"/>
  <c r="I154" i="5"/>
  <c r="K154" i="5" s="1"/>
  <c r="H154" i="5"/>
  <c r="K153" i="5"/>
  <c r="I153" i="5"/>
  <c r="H153" i="5"/>
  <c r="I152" i="5"/>
  <c r="K152" i="5" s="1"/>
  <c r="H152" i="5"/>
  <c r="K151" i="5"/>
  <c r="I151" i="5"/>
  <c r="H151" i="5"/>
  <c r="K150" i="5"/>
  <c r="H150" i="5"/>
  <c r="I150" i="5" s="1"/>
  <c r="H149" i="5"/>
  <c r="I149" i="5" s="1"/>
  <c r="K149" i="5" s="1"/>
  <c r="K148" i="5"/>
  <c r="H148" i="5"/>
  <c r="I148" i="5" s="1"/>
  <c r="I147" i="5"/>
  <c r="K147" i="5" s="1"/>
  <c r="H147" i="5"/>
  <c r="H146" i="5"/>
  <c r="I146" i="5" s="1"/>
  <c r="K146" i="5" s="1"/>
  <c r="H145" i="5"/>
  <c r="I145" i="5" s="1"/>
  <c r="K145" i="5" s="1"/>
  <c r="H144" i="5"/>
  <c r="I144" i="5" s="1"/>
  <c r="K144" i="5" s="1"/>
  <c r="H143" i="5"/>
  <c r="I143" i="5" s="1"/>
  <c r="K143" i="5" s="1"/>
  <c r="K142" i="5"/>
  <c r="I142" i="5"/>
  <c r="H142" i="5"/>
  <c r="I141" i="5"/>
  <c r="K141" i="5" s="1"/>
  <c r="H141" i="5"/>
  <c r="H140" i="5"/>
  <c r="I140" i="5" s="1"/>
  <c r="K140" i="5" s="1"/>
  <c r="I139" i="5"/>
  <c r="K139" i="5" s="1"/>
  <c r="H139" i="5"/>
  <c r="H138" i="5"/>
  <c r="I138" i="5" s="1"/>
  <c r="K138" i="5" s="1"/>
  <c r="I137" i="5"/>
  <c r="K137" i="5" s="1"/>
  <c r="H137" i="5"/>
  <c r="K136" i="5"/>
  <c r="H136" i="5"/>
  <c r="I136" i="5" s="1"/>
  <c r="K135" i="5"/>
  <c r="I135" i="5"/>
  <c r="H135" i="5"/>
  <c r="K134" i="5"/>
  <c r="H134" i="5"/>
  <c r="I134" i="5" s="1"/>
  <c r="I133" i="5"/>
  <c r="K133" i="5" s="1"/>
  <c r="H133" i="5"/>
  <c r="H132" i="5"/>
  <c r="I132" i="5" s="1"/>
  <c r="K132" i="5" s="1"/>
  <c r="I131" i="5"/>
  <c r="K131" i="5" s="1"/>
  <c r="H131" i="5"/>
  <c r="H130" i="5"/>
  <c r="I130" i="5" s="1"/>
  <c r="K130" i="5" s="1"/>
  <c r="H129" i="5"/>
  <c r="I129" i="5" s="1"/>
  <c r="K129" i="5" s="1"/>
  <c r="I128" i="5"/>
  <c r="K128" i="5" s="1"/>
  <c r="H128" i="5"/>
  <c r="I127" i="5"/>
  <c r="K127" i="5" s="1"/>
  <c r="H127" i="5"/>
  <c r="H126" i="5"/>
  <c r="I126" i="5" s="1"/>
  <c r="K126" i="5" s="1"/>
  <c r="K125" i="5"/>
  <c r="I125" i="5"/>
  <c r="H125" i="5"/>
  <c r="H124" i="5"/>
  <c r="I124" i="5" s="1"/>
  <c r="K124" i="5" s="1"/>
  <c r="K123" i="5"/>
  <c r="I123" i="5"/>
  <c r="H123" i="5"/>
  <c r="H122" i="5"/>
  <c r="I122" i="5" s="1"/>
  <c r="K122" i="5" s="1"/>
  <c r="H121" i="5"/>
  <c r="I121" i="5" s="1"/>
  <c r="K121" i="5" s="1"/>
  <c r="H120" i="5"/>
  <c r="I120" i="5" s="1"/>
  <c r="K120" i="5" s="1"/>
  <c r="K119" i="5"/>
  <c r="I119" i="5"/>
  <c r="H119" i="5"/>
  <c r="K118" i="5"/>
  <c r="H118" i="5"/>
  <c r="I118" i="5" s="1"/>
  <c r="H117" i="5"/>
  <c r="I117" i="5" s="1"/>
  <c r="K117" i="5" s="1"/>
  <c r="H116" i="5"/>
  <c r="I116" i="5" s="1"/>
  <c r="K116" i="5" s="1"/>
  <c r="H115" i="5"/>
  <c r="I115" i="5" s="1"/>
  <c r="K115" i="5" s="1"/>
  <c r="H114" i="5"/>
  <c r="I114" i="5" s="1"/>
  <c r="K114" i="5" s="1"/>
  <c r="I113" i="5"/>
  <c r="K113" i="5" s="1"/>
  <c r="H113" i="5"/>
  <c r="I112" i="5"/>
  <c r="K112" i="5" s="1"/>
  <c r="H112" i="5"/>
  <c r="I111" i="5"/>
  <c r="K111" i="5" s="1"/>
  <c r="H111" i="5"/>
  <c r="H110" i="5"/>
  <c r="I110" i="5" s="1"/>
  <c r="K110" i="5" s="1"/>
  <c r="I109" i="5"/>
  <c r="K109" i="5" s="1"/>
  <c r="H109" i="5"/>
  <c r="K108" i="5"/>
  <c r="H108" i="5"/>
  <c r="I108" i="5" s="1"/>
  <c r="H107" i="5"/>
  <c r="I107" i="5" s="1"/>
  <c r="K107" i="5" s="1"/>
  <c r="K106" i="5"/>
  <c r="H106" i="5"/>
  <c r="I106" i="5" s="1"/>
  <c r="H105" i="5"/>
  <c r="I105" i="5" s="1"/>
  <c r="K105" i="5" s="1"/>
  <c r="K104" i="5"/>
  <c r="H104" i="5"/>
  <c r="I104" i="5" s="1"/>
  <c r="H103" i="5"/>
  <c r="I103" i="5" s="1"/>
  <c r="K103" i="5" s="1"/>
  <c r="K102" i="5"/>
  <c r="I102" i="5"/>
  <c r="H102" i="5"/>
  <c r="H101" i="5"/>
  <c r="I101" i="5" s="1"/>
  <c r="K101" i="5" s="1"/>
  <c r="K100" i="5"/>
  <c r="I100" i="5"/>
  <c r="H100" i="5"/>
  <c r="I99" i="5"/>
  <c r="K99" i="5" s="1"/>
  <c r="H99" i="5"/>
  <c r="I98" i="5"/>
  <c r="K98" i="5" s="1"/>
  <c r="H98" i="5"/>
  <c r="I97" i="5"/>
  <c r="K97" i="5" s="1"/>
  <c r="H97" i="5"/>
  <c r="I96" i="5"/>
  <c r="K96" i="5" s="1"/>
  <c r="H96" i="5"/>
  <c r="I95" i="5"/>
  <c r="K95" i="5" s="1"/>
  <c r="H95" i="5"/>
  <c r="H94" i="5"/>
  <c r="I94" i="5" s="1"/>
  <c r="K94" i="5" s="1"/>
  <c r="H93" i="5"/>
  <c r="I93" i="5" s="1"/>
  <c r="K93" i="5" s="1"/>
  <c r="H92" i="5"/>
  <c r="I92" i="5" s="1"/>
  <c r="K92" i="5" s="1"/>
  <c r="I91" i="5"/>
  <c r="K91" i="5" s="1"/>
  <c r="H91" i="5"/>
  <c r="K90" i="5"/>
  <c r="H90" i="5"/>
  <c r="I90" i="5" s="1"/>
  <c r="I89" i="5"/>
  <c r="K89" i="5" s="1"/>
  <c r="H89" i="5"/>
  <c r="I88" i="5"/>
  <c r="K88" i="5" s="1"/>
  <c r="H88" i="5"/>
  <c r="H87" i="5"/>
  <c r="I87" i="5" s="1"/>
  <c r="K87" i="5" s="1"/>
  <c r="H86" i="5"/>
  <c r="I86" i="5" s="1"/>
  <c r="K86" i="5" s="1"/>
  <c r="I85" i="5"/>
  <c r="K85" i="5" s="1"/>
  <c r="H85" i="5"/>
  <c r="K84" i="5"/>
  <c r="I84" i="5"/>
  <c r="H84" i="5"/>
  <c r="K83" i="5"/>
  <c r="I83" i="5"/>
  <c r="H83" i="5"/>
  <c r="I82" i="5"/>
  <c r="K82" i="5" s="1"/>
  <c r="H82" i="5"/>
  <c r="I81" i="5"/>
  <c r="K81" i="5" s="1"/>
  <c r="H81" i="5"/>
  <c r="H80" i="5"/>
  <c r="I80" i="5" s="1"/>
  <c r="K80" i="5" s="1"/>
  <c r="K79" i="5"/>
  <c r="I79" i="5"/>
  <c r="H79" i="5"/>
  <c r="H78" i="5"/>
  <c r="I78" i="5" s="1"/>
  <c r="K78" i="5" s="1"/>
  <c r="H77" i="5"/>
  <c r="I77" i="5" s="1"/>
  <c r="K77" i="5" s="1"/>
  <c r="H76" i="5"/>
  <c r="I76" i="5" s="1"/>
  <c r="K76" i="5" s="1"/>
  <c r="I75" i="5"/>
  <c r="K75" i="5" s="1"/>
  <c r="H75" i="5"/>
  <c r="H74" i="5"/>
  <c r="I74" i="5" s="1"/>
  <c r="K74" i="5" s="1"/>
  <c r="H73" i="5"/>
  <c r="I73" i="5" s="1"/>
  <c r="K73" i="5" s="1"/>
  <c r="H72" i="5"/>
  <c r="I72" i="5" s="1"/>
  <c r="K72" i="5" s="1"/>
  <c r="I71" i="5"/>
  <c r="K71" i="5" s="1"/>
  <c r="H71" i="5"/>
  <c r="H70" i="5"/>
  <c r="I70" i="5" s="1"/>
  <c r="K70" i="5" s="1"/>
  <c r="K69" i="5"/>
  <c r="I69" i="5"/>
  <c r="H69" i="5"/>
  <c r="I68" i="5"/>
  <c r="K68" i="5" s="1"/>
  <c r="H68" i="5"/>
  <c r="K67" i="5"/>
  <c r="I67" i="5"/>
  <c r="H67" i="5"/>
  <c r="K66" i="5"/>
  <c r="H66" i="5"/>
  <c r="I66" i="5" s="1"/>
  <c r="H65" i="5"/>
  <c r="I65" i="5" s="1"/>
  <c r="K65" i="5" s="1"/>
  <c r="K64" i="5"/>
  <c r="H64" i="5"/>
  <c r="I64" i="5" s="1"/>
  <c r="H63" i="5"/>
  <c r="I63" i="5" s="1"/>
  <c r="K63" i="5" s="1"/>
  <c r="K62" i="5"/>
  <c r="H62" i="5"/>
  <c r="I62" i="5" s="1"/>
  <c r="H61" i="5"/>
  <c r="I61" i="5" s="1"/>
  <c r="K61" i="5" s="1"/>
  <c r="H60" i="5"/>
  <c r="I60" i="5" s="1"/>
  <c r="K60" i="5" s="1"/>
  <c r="H59" i="5"/>
  <c r="I59" i="5" s="1"/>
  <c r="K59" i="5" s="1"/>
  <c r="H58" i="5"/>
  <c r="I58" i="5" s="1"/>
  <c r="K58" i="5" s="1"/>
  <c r="I57" i="5"/>
  <c r="K57" i="5" s="1"/>
  <c r="H57" i="5"/>
  <c r="K56" i="5"/>
  <c r="I56" i="5"/>
  <c r="H56" i="5"/>
  <c r="K55" i="5"/>
  <c r="I55" i="5"/>
  <c r="H55" i="5"/>
  <c r="H54" i="5"/>
  <c r="I54" i="5" s="1"/>
  <c r="K54" i="5" s="1"/>
  <c r="K53" i="5"/>
  <c r="I53" i="5"/>
  <c r="H53" i="5"/>
  <c r="H52" i="5"/>
  <c r="I52" i="5" s="1"/>
  <c r="K52" i="5" s="1"/>
  <c r="K51" i="5"/>
  <c r="I51" i="5"/>
  <c r="H51" i="5"/>
  <c r="K50" i="5"/>
  <c r="H50" i="5"/>
  <c r="I50" i="5" s="1"/>
  <c r="I49" i="5"/>
  <c r="K49" i="5" s="1"/>
  <c r="H49" i="5"/>
  <c r="H48" i="5"/>
  <c r="I48" i="5" s="1"/>
  <c r="K48" i="5" s="1"/>
  <c r="H47" i="5"/>
  <c r="I47" i="5" s="1"/>
  <c r="K47" i="5" s="1"/>
  <c r="I46" i="5"/>
  <c r="K46" i="5" s="1"/>
  <c r="H46" i="5"/>
  <c r="I45" i="5"/>
  <c r="K45" i="5" s="1"/>
  <c r="H45" i="5"/>
  <c r="K44" i="5"/>
  <c r="I44" i="5"/>
  <c r="H44" i="5"/>
  <c r="I43" i="5"/>
  <c r="K43" i="5" s="1"/>
  <c r="H43" i="5"/>
  <c r="I42" i="5"/>
  <c r="K42" i="5" s="1"/>
  <c r="H42" i="5"/>
  <c r="I41" i="5"/>
  <c r="K41" i="5" s="1"/>
  <c r="H41" i="5"/>
  <c r="K40" i="5"/>
  <c r="I40" i="5"/>
  <c r="H40" i="5"/>
  <c r="K39" i="5"/>
  <c r="I39" i="5"/>
  <c r="H39" i="5"/>
  <c r="K38" i="5"/>
  <c r="H38" i="5"/>
  <c r="I38" i="5" s="1"/>
  <c r="I37" i="5"/>
  <c r="K37" i="5" s="1"/>
  <c r="H37" i="5"/>
  <c r="H36" i="5"/>
  <c r="I36" i="5" s="1"/>
  <c r="K36" i="5" s="1"/>
  <c r="K35" i="5"/>
  <c r="I35" i="5"/>
  <c r="H35" i="5"/>
  <c r="H34" i="5"/>
  <c r="I34" i="5" s="1"/>
  <c r="K34" i="5" s="1"/>
  <c r="I33" i="5"/>
  <c r="K33" i="5" s="1"/>
  <c r="H33" i="5"/>
  <c r="H32" i="5"/>
  <c r="I32" i="5" s="1"/>
  <c r="K32" i="5" s="1"/>
  <c r="I31" i="5"/>
  <c r="K31" i="5" s="1"/>
  <c r="H31" i="5"/>
  <c r="H30" i="5"/>
  <c r="I30" i="5" s="1"/>
  <c r="K30" i="5" s="1"/>
  <c r="I29" i="5"/>
  <c r="K29" i="5" s="1"/>
  <c r="H29" i="5"/>
  <c r="I28" i="5"/>
  <c r="K28" i="5" s="1"/>
  <c r="H28" i="5"/>
  <c r="I27" i="5"/>
  <c r="K27" i="5" s="1"/>
  <c r="H27" i="5"/>
  <c r="I26" i="5"/>
  <c r="K26" i="5" s="1"/>
  <c r="H26" i="5"/>
  <c r="I25" i="5"/>
  <c r="K25" i="5" s="1"/>
  <c r="H25" i="5"/>
  <c r="K24" i="5"/>
  <c r="H24" i="5"/>
  <c r="I24" i="5" s="1"/>
  <c r="I23" i="5"/>
  <c r="K23" i="5" s="1"/>
  <c r="H23" i="5"/>
  <c r="H22" i="5"/>
  <c r="I22" i="5" s="1"/>
  <c r="K22" i="5" s="1"/>
  <c r="H21" i="5"/>
  <c r="I21" i="5" s="1"/>
  <c r="K21" i="5" s="1"/>
  <c r="H20" i="5"/>
  <c r="I20" i="5" s="1"/>
  <c r="K20" i="5" s="1"/>
  <c r="H19" i="5"/>
  <c r="I19" i="5" s="1"/>
  <c r="K19" i="5" s="1"/>
  <c r="K18" i="5"/>
  <c r="I18" i="5"/>
  <c r="H18" i="5"/>
  <c r="I17" i="5"/>
  <c r="K17" i="5" s="1"/>
  <c r="H17" i="5"/>
  <c r="I16" i="5"/>
  <c r="K16" i="5" s="1"/>
  <c r="H16" i="5"/>
  <c r="I15" i="5"/>
  <c r="K15" i="5" s="1"/>
  <c r="H15" i="5"/>
  <c r="H14" i="5"/>
  <c r="I14" i="5" s="1"/>
  <c r="K14" i="5" s="1"/>
  <c r="K13" i="5"/>
  <c r="I13" i="5"/>
  <c r="H13" i="5"/>
  <c r="I12" i="5"/>
  <c r="K12" i="5" s="1"/>
  <c r="H12" i="5"/>
  <c r="I11" i="5"/>
  <c r="K11" i="5" s="1"/>
  <c r="H11" i="5"/>
  <c r="H10" i="5"/>
  <c r="I10" i="5" s="1"/>
  <c r="K10" i="5" s="1"/>
  <c r="H9" i="5"/>
  <c r="I9" i="5" s="1"/>
  <c r="K9" i="5" s="1"/>
  <c r="K8" i="5"/>
  <c r="H8" i="5"/>
  <c r="I8" i="5" s="1"/>
  <c r="H7" i="5"/>
  <c r="I7" i="5" s="1"/>
  <c r="K7" i="5" s="1"/>
  <c r="K6" i="5"/>
  <c r="H6" i="5"/>
  <c r="I6" i="5" s="1"/>
  <c r="I5" i="5"/>
  <c r="H5" i="5"/>
  <c r="H173" i="5" s="1"/>
  <c r="J173" i="4"/>
  <c r="I173" i="4"/>
  <c r="H173" i="4"/>
  <c r="L172" i="4"/>
  <c r="K172" i="4"/>
  <c r="L171" i="4"/>
  <c r="K171" i="4"/>
  <c r="K170" i="4"/>
  <c r="L170" i="4" s="1"/>
  <c r="K169" i="4"/>
  <c r="L169" i="4" s="1"/>
  <c r="K168" i="4"/>
  <c r="L168" i="4" s="1"/>
  <c r="K167" i="4"/>
  <c r="L167" i="4" s="1"/>
  <c r="K166" i="4"/>
  <c r="L166" i="4" s="1"/>
  <c r="K165" i="4"/>
  <c r="L165" i="4" s="1"/>
  <c r="K164" i="4"/>
  <c r="L164" i="4" s="1"/>
  <c r="K163" i="4"/>
  <c r="L163" i="4" s="1"/>
  <c r="K162" i="4"/>
  <c r="L162" i="4" s="1"/>
  <c r="K161" i="4"/>
  <c r="L161" i="4" s="1"/>
  <c r="L160" i="4"/>
  <c r="K160" i="4"/>
  <c r="K159" i="4"/>
  <c r="L159" i="4" s="1"/>
  <c r="K158" i="4"/>
  <c r="L158" i="4" s="1"/>
  <c r="L157" i="4"/>
  <c r="K157" i="4"/>
  <c r="K156" i="4"/>
  <c r="L156" i="4" s="1"/>
  <c r="K155" i="4"/>
  <c r="L155" i="4" s="1"/>
  <c r="L154" i="4"/>
  <c r="K154" i="4"/>
  <c r="L153" i="4"/>
  <c r="K153" i="4"/>
  <c r="K152" i="4"/>
  <c r="L152" i="4" s="1"/>
  <c r="L151" i="4"/>
  <c r="K151" i="4"/>
  <c r="L150" i="4"/>
  <c r="K150" i="4"/>
  <c r="K149" i="4"/>
  <c r="L149" i="4" s="1"/>
  <c r="K148" i="4"/>
  <c r="L148" i="4" s="1"/>
  <c r="K147" i="4"/>
  <c r="L147" i="4" s="1"/>
  <c r="K146" i="4"/>
  <c r="L146" i="4" s="1"/>
  <c r="K145" i="4"/>
  <c r="L145" i="4" s="1"/>
  <c r="L144" i="4"/>
  <c r="K144" i="4"/>
  <c r="L143" i="4"/>
  <c r="K143" i="4"/>
  <c r="K142" i="4"/>
  <c r="L142" i="4" s="1"/>
  <c r="L141" i="4"/>
  <c r="K141" i="4"/>
  <c r="K140" i="4"/>
  <c r="L140" i="4" s="1"/>
  <c r="K139" i="4"/>
  <c r="L139" i="4" s="1"/>
  <c r="K138" i="4"/>
  <c r="L138" i="4" s="1"/>
  <c r="L137" i="4"/>
  <c r="K137" i="4"/>
  <c r="L136" i="4"/>
  <c r="K136" i="4"/>
  <c r="K135" i="4"/>
  <c r="L135" i="4" s="1"/>
  <c r="L134" i="4"/>
  <c r="K134" i="4"/>
  <c r="L133" i="4"/>
  <c r="K133" i="4"/>
  <c r="K132" i="4"/>
  <c r="L132" i="4" s="1"/>
  <c r="K131" i="4"/>
  <c r="L131" i="4" s="1"/>
  <c r="K130" i="4"/>
  <c r="L130" i="4" s="1"/>
  <c r="L129" i="4"/>
  <c r="K129" i="4"/>
  <c r="K128" i="4"/>
  <c r="L128" i="4" s="1"/>
  <c r="K127" i="4"/>
  <c r="L127" i="4" s="1"/>
  <c r="L126" i="4"/>
  <c r="K126" i="4"/>
  <c r="L125" i="4"/>
  <c r="K125" i="4"/>
  <c r="K124" i="4"/>
  <c r="L124" i="4" s="1"/>
  <c r="L123" i="4"/>
  <c r="K123" i="4"/>
  <c r="K122" i="4"/>
  <c r="L122" i="4" s="1"/>
  <c r="K121" i="4"/>
  <c r="L121" i="4" s="1"/>
  <c r="L120" i="4"/>
  <c r="K120" i="4"/>
  <c r="K119" i="4"/>
  <c r="L119" i="4" s="1"/>
  <c r="L118" i="4"/>
  <c r="K118" i="4"/>
  <c r="K117" i="4"/>
  <c r="L117" i="4" s="1"/>
  <c r="K116" i="4"/>
  <c r="L116" i="4" s="1"/>
  <c r="L115" i="4"/>
  <c r="K115" i="4"/>
  <c r="K114" i="4"/>
  <c r="L114" i="4" s="1"/>
  <c r="K113" i="4"/>
  <c r="L113" i="4" s="1"/>
  <c r="L112" i="4"/>
  <c r="K112" i="4"/>
  <c r="K111" i="4"/>
  <c r="L111" i="4" s="1"/>
  <c r="K110" i="4"/>
  <c r="L110" i="4" s="1"/>
  <c r="K109" i="4"/>
  <c r="L109" i="4" s="1"/>
  <c r="K108" i="4"/>
  <c r="L108" i="4" s="1"/>
  <c r="K107" i="4"/>
  <c r="L107" i="4" s="1"/>
  <c r="K106" i="4"/>
  <c r="L106" i="4" s="1"/>
  <c r="K105" i="4"/>
  <c r="L105" i="4" s="1"/>
  <c r="L104" i="4"/>
  <c r="K104" i="4"/>
  <c r="K103" i="4"/>
  <c r="L103" i="4" s="1"/>
  <c r="L102" i="4"/>
  <c r="K102" i="4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L95" i="4"/>
  <c r="K95" i="4"/>
  <c r="L94" i="4"/>
  <c r="K94" i="4"/>
  <c r="K93" i="4"/>
  <c r="L93" i="4" s="1"/>
  <c r="L92" i="4"/>
  <c r="K92" i="4"/>
  <c r="K91" i="4"/>
  <c r="L91" i="4" s="1"/>
  <c r="K90" i="4"/>
  <c r="L90" i="4" s="1"/>
  <c r="K89" i="4"/>
  <c r="L89" i="4" s="1"/>
  <c r="L88" i="4"/>
  <c r="K88" i="4"/>
  <c r="L87" i="4"/>
  <c r="K87" i="4"/>
  <c r="K86" i="4"/>
  <c r="L86" i="4" s="1"/>
  <c r="L85" i="4"/>
  <c r="K85" i="4"/>
  <c r="L84" i="4"/>
  <c r="K84" i="4"/>
  <c r="K83" i="4"/>
  <c r="L83" i="4" s="1"/>
  <c r="K82" i="4"/>
  <c r="L82" i="4" s="1"/>
  <c r="K81" i="4"/>
  <c r="L81" i="4" s="1"/>
  <c r="L80" i="4"/>
  <c r="K80" i="4"/>
  <c r="K79" i="4"/>
  <c r="L79" i="4" s="1"/>
  <c r="K78" i="4"/>
  <c r="L78" i="4" s="1"/>
  <c r="L77" i="4"/>
  <c r="K77" i="4"/>
  <c r="L76" i="4"/>
  <c r="K76" i="4"/>
  <c r="K75" i="4"/>
  <c r="L75" i="4" s="1"/>
  <c r="L74" i="4"/>
  <c r="K74" i="4"/>
  <c r="K73" i="4"/>
  <c r="L73" i="4" s="1"/>
  <c r="K72" i="4"/>
  <c r="L72" i="4" s="1"/>
  <c r="L71" i="4"/>
  <c r="K71" i="4"/>
  <c r="K70" i="4"/>
  <c r="L70" i="4" s="1"/>
  <c r="L69" i="4"/>
  <c r="K69" i="4"/>
  <c r="K68" i="4"/>
  <c r="L68" i="4" s="1"/>
  <c r="K67" i="4"/>
  <c r="L67" i="4" s="1"/>
  <c r="L66" i="4"/>
  <c r="K66" i="4"/>
  <c r="K65" i="4"/>
  <c r="L65" i="4" s="1"/>
  <c r="K64" i="4"/>
  <c r="L64" i="4" s="1"/>
  <c r="L63" i="4"/>
  <c r="K63" i="4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K56" i="4"/>
  <c r="L56" i="4" s="1"/>
  <c r="L55" i="4"/>
  <c r="K55" i="4"/>
  <c r="K54" i="4"/>
  <c r="L54" i="4" s="1"/>
  <c r="L53" i="4"/>
  <c r="K53" i="4"/>
  <c r="K52" i="4"/>
  <c r="L52" i="4" s="1"/>
  <c r="K51" i="4"/>
  <c r="L51" i="4" s="1"/>
  <c r="K50" i="4"/>
  <c r="L50" i="4" s="1"/>
  <c r="K49" i="4"/>
  <c r="L49" i="4" s="1"/>
  <c r="K48" i="4"/>
  <c r="L48" i="4" s="1"/>
  <c r="K47" i="4"/>
  <c r="L47" i="4" s="1"/>
  <c r="L46" i="4"/>
  <c r="K46" i="4"/>
  <c r="L45" i="4"/>
  <c r="K45" i="4"/>
  <c r="K44" i="4"/>
  <c r="L44" i="4" s="1"/>
  <c r="L43" i="4"/>
  <c r="K43" i="4"/>
  <c r="K42" i="4"/>
  <c r="L42" i="4" s="1"/>
  <c r="K41" i="4"/>
  <c r="L41" i="4" s="1"/>
  <c r="K40" i="4"/>
  <c r="L40" i="4" s="1"/>
  <c r="L39" i="4"/>
  <c r="K39" i="4"/>
  <c r="L38" i="4"/>
  <c r="K38" i="4"/>
  <c r="K37" i="4"/>
  <c r="L37" i="4" s="1"/>
  <c r="L36" i="4"/>
  <c r="K36" i="4"/>
  <c r="L35" i="4"/>
  <c r="K35" i="4"/>
  <c r="K34" i="4"/>
  <c r="L34" i="4" s="1"/>
  <c r="K33" i="4"/>
  <c r="L33" i="4" s="1"/>
  <c r="K32" i="4"/>
  <c r="L32" i="4" s="1"/>
  <c r="L31" i="4"/>
  <c r="K31" i="4"/>
  <c r="K30" i="4"/>
  <c r="L30" i="4" s="1"/>
  <c r="K29" i="4"/>
  <c r="L29" i="4" s="1"/>
  <c r="L28" i="4"/>
  <c r="K28" i="4"/>
  <c r="L27" i="4"/>
  <c r="K27" i="4"/>
  <c r="K26" i="4"/>
  <c r="L26" i="4" s="1"/>
  <c r="L25" i="4"/>
  <c r="K25" i="4"/>
  <c r="K24" i="4"/>
  <c r="L24" i="4" s="1"/>
  <c r="K23" i="4"/>
  <c r="L23" i="4" s="1"/>
  <c r="L22" i="4"/>
  <c r="K22" i="4"/>
  <c r="K21" i="4"/>
  <c r="L21" i="4" s="1"/>
  <c r="L20" i="4"/>
  <c r="K20" i="4"/>
  <c r="K19" i="4"/>
  <c r="L19" i="4" s="1"/>
  <c r="K18" i="4"/>
  <c r="L18" i="4" s="1"/>
  <c r="L17" i="4"/>
  <c r="K17" i="4"/>
  <c r="K16" i="4"/>
  <c r="L16" i="4" s="1"/>
  <c r="K15" i="4"/>
  <c r="L15" i="4" s="1"/>
  <c r="L14" i="4"/>
  <c r="K14" i="4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K173" i="4" s="1"/>
  <c r="L6" i="4"/>
  <c r="K6" i="4"/>
  <c r="K5" i="4"/>
  <c r="L5" i="4" s="1"/>
  <c r="N25" i="3"/>
  <c r="N24" i="3"/>
  <c r="M21" i="3"/>
  <c r="L21" i="3"/>
  <c r="K21" i="3"/>
  <c r="J21" i="3"/>
  <c r="I21" i="3"/>
  <c r="H21" i="3"/>
  <c r="G21" i="3"/>
  <c r="F21" i="3"/>
  <c r="E21" i="3"/>
  <c r="D21" i="3"/>
  <c r="C21" i="3"/>
  <c r="N20" i="3"/>
  <c r="N18" i="3"/>
  <c r="N17" i="3"/>
  <c r="N16" i="3"/>
  <c r="N12" i="3"/>
  <c r="M11" i="3"/>
  <c r="M13" i="3" s="1"/>
  <c r="L11" i="3"/>
  <c r="L13" i="3" s="1"/>
  <c r="K11" i="3"/>
  <c r="K13" i="3" s="1"/>
  <c r="J11" i="3"/>
  <c r="J13" i="3" s="1"/>
  <c r="I11" i="3"/>
  <c r="I13" i="3" s="1"/>
  <c r="H11" i="3"/>
  <c r="H13" i="3" s="1"/>
  <c r="G11" i="3"/>
  <c r="G13" i="3" s="1"/>
  <c r="F11" i="3"/>
  <c r="F13" i="3" s="1"/>
  <c r="E11" i="3"/>
  <c r="E13" i="3" s="1"/>
  <c r="D11" i="3"/>
  <c r="D13" i="3" s="1"/>
  <c r="C11" i="3"/>
  <c r="C13" i="3" s="1"/>
  <c r="B11" i="3"/>
  <c r="B13" i="3" s="1"/>
  <c r="N10" i="3"/>
  <c r="N9" i="3"/>
  <c r="N8" i="3"/>
  <c r="N7" i="3"/>
  <c r="N6" i="3"/>
  <c r="M173" i="2"/>
  <c r="L173" i="2"/>
  <c r="K173" i="2"/>
  <c r="J173" i="2"/>
  <c r="I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F48" i="1"/>
  <c r="E48" i="1"/>
  <c r="D48" i="1"/>
  <c r="C48" i="1"/>
  <c r="B48" i="1"/>
  <c r="B33" i="1"/>
  <c r="B19" i="1"/>
  <c r="B22" i="1" s="1"/>
  <c r="B17" i="1"/>
  <c r="C6" i="6" s="1"/>
  <c r="N21" i="3" l="1"/>
  <c r="N173" i="2"/>
  <c r="L27" i="3"/>
  <c r="M27" i="3"/>
  <c r="K27" i="3"/>
  <c r="J27" i="3"/>
  <c r="N27" i="3" s="1"/>
  <c r="N13" i="3"/>
  <c r="I83" i="6"/>
  <c r="I11" i="6"/>
  <c r="I132" i="6"/>
  <c r="L7" i="4"/>
  <c r="L173" i="4" s="1"/>
  <c r="H183" i="7"/>
  <c r="I183" i="7" s="1"/>
  <c r="I4" i="7"/>
  <c r="B35" i="8"/>
  <c r="B18" i="1"/>
  <c r="I18" i="6"/>
  <c r="I139" i="6"/>
  <c r="B36" i="8"/>
  <c r="B37" i="8"/>
  <c r="B38" i="8"/>
  <c r="I173" i="5"/>
  <c r="K5" i="5"/>
  <c r="K173" i="5" s="1"/>
  <c r="G177" i="6"/>
  <c r="I9" i="6"/>
  <c r="I76" i="6"/>
  <c r="N11" i="3"/>
  <c r="H177" i="6"/>
  <c r="I34" i="6"/>
  <c r="I104" i="6"/>
  <c r="I153" i="6"/>
  <c r="H31" i="8"/>
  <c r="B34" i="8" s="1"/>
  <c r="B21" i="1" l="1"/>
  <c r="B20" i="1"/>
  <c r="I177" i="6"/>
  <c r="M26" i="3" l="1"/>
  <c r="M28" i="3" s="1"/>
  <c r="M30" i="3" s="1"/>
  <c r="L26" i="3"/>
  <c r="L28" i="3" s="1"/>
  <c r="L30" i="3" s="1"/>
  <c r="K26" i="3"/>
  <c r="K28" i="3" s="1"/>
  <c r="K30" i="3" s="1"/>
  <c r="B26" i="3"/>
  <c r="J26" i="3"/>
  <c r="J28" i="3" s="1"/>
  <c r="J30" i="3" s="1"/>
  <c r="I26" i="3"/>
  <c r="I28" i="3" s="1"/>
  <c r="I30" i="3" s="1"/>
  <c r="H26" i="3"/>
  <c r="H28" i="3" s="1"/>
  <c r="H30" i="3" s="1"/>
  <c r="G26" i="3"/>
  <c r="G28" i="3" s="1"/>
  <c r="G30" i="3" s="1"/>
  <c r="F26" i="3"/>
  <c r="F28" i="3" s="1"/>
  <c r="F30" i="3" s="1"/>
  <c r="E26" i="3"/>
  <c r="E28" i="3" s="1"/>
  <c r="E30" i="3" s="1"/>
  <c r="D26" i="3"/>
  <c r="D28" i="3" s="1"/>
  <c r="D30" i="3" s="1"/>
  <c r="C26" i="3"/>
  <c r="C28" i="3" s="1"/>
  <c r="C30" i="3" s="1"/>
  <c r="B28" i="3" l="1"/>
  <c r="N26" i="3"/>
  <c r="N28" i="3" l="1"/>
  <c r="B30" i="3"/>
  <c r="N30" i="3" s="1"/>
</calcChain>
</file>

<file path=xl/sharedStrings.xml><?xml version="1.0" encoding="utf-8"?>
<sst xmlns="http://schemas.openxmlformats.org/spreadsheetml/2006/main" count="4180" uniqueCount="637">
  <si>
    <t>EFIR - Staff Costs Budget FY2026 V3 - Key Assumptions &amp; Modifiable Inputs</t>
  </si>
  <si>
    <t>YELLOW CELLS = Modifiable inputs. All linked sheets update automatically.</t>
  </si>
  <si>
    <t>EMPLOYMENT STRUCTURE</t>
  </si>
  <si>
    <t>Total Headcount (Existing + New Positions)</t>
  </si>
  <si>
    <t xml:space="preserve">  - Existing Staff</t>
  </si>
  <si>
    <t xml:space="preserve">  - New Positions (Starting Sep 2026)</t>
  </si>
  <si>
    <t>Saudi Employees</t>
  </si>
  <si>
    <t>Non-Saudi / Ajeer Employees (Existing)</t>
  </si>
  <si>
    <t>Non-Saudi / Ajeer Employees (New - Sep start)</t>
  </si>
  <si>
    <t>AJEER COST PARAMETERS</t>
  </si>
  <si>
    <t>Annual Ajeer Levy per Non-Saudi Worker (SAR)</t>
  </si>
  <si>
    <t>&lt;-- Modify: SAR 9,500 (non-Nitaqat) or SAR 1,500 (Nitaqat)</t>
  </si>
  <si>
    <t>Monthly Ajeer Platform Fee per Worker (SAR)</t>
  </si>
  <si>
    <t>Number of Ajeer Workers (Full Year - Existing)</t>
  </si>
  <si>
    <t>Number of Ajeer Workers (Sep-Dec - New Positions)</t>
  </si>
  <si>
    <t>Total Annual Ajeer Cost per Worker (SAR)</t>
  </si>
  <si>
    <t>Ajeer Cost - Existing Workers (Full Year)</t>
  </si>
  <si>
    <t>Ajeer Cost - New Positions (Sep-Dec, 4 months)</t>
  </si>
  <si>
    <t>TOTAL ANNUAL AJEER COST (SAR)</t>
  </si>
  <si>
    <t>Monthly Ajeer Cost - Existing (SAR)</t>
  </si>
  <si>
    <t>Monthly Ajeer Cost - New (Sep-Dec only, SAR)</t>
  </si>
  <si>
    <t>GOSI PARAMETERS</t>
  </si>
  <si>
    <t>GOSI Rate - Saudi Employees</t>
  </si>
  <si>
    <t>9.75% Pension + 1% SANED + 1% OHI</t>
  </si>
  <si>
    <t>GOSI Rate - Non-Saudi (Ajeer) Employees</t>
  </si>
  <si>
    <t>0% - Not under EFIR sponsorship (Ajeer workers)</t>
  </si>
  <si>
    <t>ADDITIONAL YEARLY COST LINES</t>
  </si>
  <si>
    <t>Contrats Locaux Remplacements</t>
  </si>
  <si>
    <t>Monthly: 22,681 SAR</t>
  </si>
  <si>
    <t>Contrats Locaux 1% Masse Salariale (Form. Continue)</t>
  </si>
  <si>
    <t>Monthly: 25,504 SAR</t>
  </si>
  <si>
    <t>Résidents Salaires</t>
  </si>
  <si>
    <t>Monthly: 613,008 SAR</t>
  </si>
  <si>
    <t>Résidents Logement &amp; Billets Avion</t>
  </si>
  <si>
    <t>Monthly: 53,950 SAR</t>
  </si>
  <si>
    <t>TOTAL ADDITIONAL YEARLY COSTS</t>
  </si>
  <si>
    <t>SALARY AUGMENTATION (2026-2027)</t>
  </si>
  <si>
    <t>Augmentation applies from September 2026</t>
  </si>
  <si>
    <t>Jan-Aug: Current salaries | Sep-Dec: Current + Aug | Jul-Aug: No HSA</t>
  </si>
  <si>
    <t>Total planned monthly augmentation (SAR)</t>
  </si>
  <si>
    <t>NEW POSITIONS (Starting September 2026)</t>
  </si>
  <si>
    <t>Position</t>
  </si>
  <si>
    <t>Monthly Gross</t>
  </si>
  <si>
    <t>Base Salary</t>
  </si>
  <si>
    <t>IL</t>
  </si>
  <si>
    <t>IT</t>
  </si>
  <si>
    <t>FY2026 Cost (4 months)</t>
  </si>
  <si>
    <t>Infirmière (1/2 temps)</t>
  </si>
  <si>
    <t>Administratif RH</t>
  </si>
  <si>
    <t>Administratif Odoo</t>
  </si>
  <si>
    <t>Administratif MG</t>
  </si>
  <si>
    <t>Administratif Technicien IT</t>
  </si>
  <si>
    <t>Administratif Inscription</t>
  </si>
  <si>
    <t>TOTAL NEW POSITIONS</t>
  </si>
  <si>
    <t>EFIR - Staff Master Data FY2026 (V3 - New Positions Start Sep 2026)</t>
  </si>
  <si>
    <t>Headcount: 168 (Existing: 162 + New: 6 from Sep) | Saudi: 2 | Ajeer: 166 | Currency: SAR</t>
  </si>
  <si>
    <t>#</t>
  </si>
  <si>
    <t>Last Name</t>
  </si>
  <si>
    <t>First Name</t>
  </si>
  <si>
    <t>Function / Role</t>
  </si>
  <si>
    <t>Department</t>
  </si>
  <si>
    <t>Status</t>
  </si>
  <si>
    <t>Joining Date</t>
  </si>
  <si>
    <t>YoS</t>
  </si>
  <si>
    <t>Housing (IL)</t>
  </si>
  <si>
    <t>Transport (IT)</t>
  </si>
  <si>
    <t>Resp. Premium</t>
  </si>
  <si>
    <t>HSA (10m)</t>
  </si>
  <si>
    <t>Hourly %</t>
  </si>
  <si>
    <t>Saudi/Ajeer</t>
  </si>
  <si>
    <t>Payment</t>
  </si>
  <si>
    <t>Aug. 2026-27</t>
  </si>
  <si>
    <t xml:space="preserve">ABED </t>
  </si>
  <si>
    <t xml:space="preserve">Ghina </t>
  </si>
  <si>
    <t>Assistant(e) d'éducation</t>
  </si>
  <si>
    <t>Vie Scolaire &amp; Support</t>
  </si>
  <si>
    <t>Existing</t>
  </si>
  <si>
    <t>Ajeer</t>
  </si>
  <si>
    <t>Liquide</t>
  </si>
  <si>
    <t xml:space="preserve">ABID </t>
  </si>
  <si>
    <t>Hamdi</t>
  </si>
  <si>
    <t>Virement</t>
  </si>
  <si>
    <t>ABOU RJEILI</t>
  </si>
  <si>
    <t>Christina</t>
  </si>
  <si>
    <t>ABOUTALEB</t>
  </si>
  <si>
    <t>Hasnae</t>
  </si>
  <si>
    <t xml:space="preserve">Professeur(e) des écoles </t>
  </si>
  <si>
    <t>Élémentaire</t>
  </si>
  <si>
    <t xml:space="preserve">ABSIL </t>
  </si>
  <si>
    <t>Marie-Savine</t>
  </si>
  <si>
    <t>Nouveau Contrat</t>
  </si>
  <si>
    <t>ACHATOU</t>
  </si>
  <si>
    <t>Nadia</t>
  </si>
  <si>
    <t xml:space="preserve">Responsable RH </t>
  </si>
  <si>
    <t>Administration</t>
  </si>
  <si>
    <t>Mudad</t>
  </si>
  <si>
    <t xml:space="preserve">ADJTOUTAH </t>
  </si>
  <si>
    <t>Anissa</t>
  </si>
  <si>
    <t>AHYOUD</t>
  </si>
  <si>
    <t>Hanan</t>
  </si>
  <si>
    <t>AL JUNDI</t>
  </si>
  <si>
    <t>Tamara</t>
  </si>
  <si>
    <t>Enseignant de langue étrangère</t>
  </si>
  <si>
    <t>AL NAHED</t>
  </si>
  <si>
    <t>Saliha</t>
  </si>
  <si>
    <t xml:space="preserve">AL OSSAIMI AL OTAIBI </t>
  </si>
  <si>
    <t>BADR</t>
  </si>
  <si>
    <t xml:space="preserve">Démarcheur </t>
  </si>
  <si>
    <t>Saudi</t>
  </si>
  <si>
    <t>AL SHAKHAA</t>
  </si>
  <si>
    <t>Nada</t>
  </si>
  <si>
    <t xml:space="preserve">Chargé(e) du programme noor </t>
  </si>
  <si>
    <t>ALAMRI</t>
  </si>
  <si>
    <t>Shalan</t>
  </si>
  <si>
    <t xml:space="preserve">Chargé(e) des relations publiques </t>
  </si>
  <si>
    <t>ALNACHAR</t>
  </si>
  <si>
    <t>Farah</t>
  </si>
  <si>
    <t>AMANAT</t>
  </si>
  <si>
    <t>Aisha</t>
  </si>
  <si>
    <t>AMRI</t>
  </si>
  <si>
    <t>Kehena</t>
  </si>
  <si>
    <t>Enseignant second degré</t>
  </si>
  <si>
    <t>Collège / Lycée</t>
  </si>
  <si>
    <t>ASSEKOUR</t>
  </si>
  <si>
    <t>Soufiane</t>
  </si>
  <si>
    <t>AYACHI</t>
  </si>
  <si>
    <t>Amen</t>
  </si>
  <si>
    <t xml:space="preserve">BACHOUR </t>
  </si>
  <si>
    <t>Reem</t>
  </si>
  <si>
    <t>Chantal</t>
  </si>
  <si>
    <t>BALLAN</t>
  </si>
  <si>
    <t>Christiane</t>
  </si>
  <si>
    <t xml:space="preserve">Enseignant de langue étrangère second degré </t>
  </si>
  <si>
    <t>BASBOUS</t>
  </si>
  <si>
    <t>Carla</t>
  </si>
  <si>
    <t>-3250 (nouveau contrat retraite)</t>
  </si>
  <si>
    <t>BAYDOUN</t>
  </si>
  <si>
    <t>Fayza</t>
  </si>
  <si>
    <t>Assistante de direction</t>
  </si>
  <si>
    <t xml:space="preserve">BELLILA LAOUATI </t>
  </si>
  <si>
    <t>Ilham</t>
  </si>
  <si>
    <t xml:space="preserve">BEN ABDESSALEM </t>
  </si>
  <si>
    <t>Yousra</t>
  </si>
  <si>
    <t>BEN AMAR</t>
  </si>
  <si>
    <t xml:space="preserve">Amira </t>
  </si>
  <si>
    <t>BEN FGUIRA</t>
  </si>
  <si>
    <t>Fares</t>
  </si>
  <si>
    <t xml:space="preserve">Professeur(e) d'EPS </t>
  </si>
  <si>
    <t>BEN HIBA</t>
  </si>
  <si>
    <t>Nesrine</t>
  </si>
  <si>
    <t>BEN KIRAN</t>
  </si>
  <si>
    <t>Ambre</t>
  </si>
  <si>
    <t>Responsable APS</t>
  </si>
  <si>
    <t>BEN OTHMAN</t>
  </si>
  <si>
    <t>Noelle</t>
  </si>
  <si>
    <t>BEN SMIDA ÉP BEN IDRIS</t>
  </si>
  <si>
    <t xml:space="preserve">Khadija </t>
  </si>
  <si>
    <t>BENBERNOU</t>
  </si>
  <si>
    <t>Rabia</t>
  </si>
  <si>
    <t>Assistante maternelle</t>
  </si>
  <si>
    <t>Maternelle</t>
  </si>
  <si>
    <t>BOUGATFA</t>
  </si>
  <si>
    <t>Rim</t>
  </si>
  <si>
    <t>BOUHJAR</t>
  </si>
  <si>
    <t>Fahmi</t>
  </si>
  <si>
    <t>BOULMANE</t>
  </si>
  <si>
    <t>Lala-Malika</t>
  </si>
  <si>
    <t xml:space="preserve">Coordinatrice inclusion </t>
  </si>
  <si>
    <t>BOURAOUI</t>
  </si>
  <si>
    <t>Nasri</t>
  </si>
  <si>
    <t>BOURSAULT</t>
  </si>
  <si>
    <t>Géraldine</t>
  </si>
  <si>
    <t>BOUSSAID</t>
  </si>
  <si>
    <t>Amira</t>
  </si>
  <si>
    <t>BOUZID</t>
  </si>
  <si>
    <t>Rafahiya</t>
  </si>
  <si>
    <t xml:space="preserve">BRAX </t>
  </si>
  <si>
    <t>Nathalie</t>
  </si>
  <si>
    <t xml:space="preserve">BRUNET </t>
  </si>
  <si>
    <t>Clemence</t>
  </si>
  <si>
    <t>BUZIT</t>
  </si>
  <si>
    <t>Cécile</t>
  </si>
  <si>
    <t>Chargée des moyens généraux</t>
  </si>
  <si>
    <t>CABRERA</t>
  </si>
  <si>
    <t>Victor</t>
  </si>
  <si>
    <t>CATRY</t>
  </si>
  <si>
    <t>Vanessa</t>
  </si>
  <si>
    <t>CHAABAN</t>
  </si>
  <si>
    <t>Amani</t>
  </si>
  <si>
    <t xml:space="preserve">CHABIRAND </t>
  </si>
  <si>
    <t xml:space="preserve">Estelle </t>
  </si>
  <si>
    <t>CHAIEB</t>
  </si>
  <si>
    <t>Iheb</t>
  </si>
  <si>
    <t xml:space="preserve">CHARIF </t>
  </si>
  <si>
    <t>Hiba</t>
  </si>
  <si>
    <t>CHAUVET</t>
  </si>
  <si>
    <t>Aurelie</t>
  </si>
  <si>
    <t>CHBEIR</t>
  </si>
  <si>
    <t>Grece</t>
  </si>
  <si>
    <t>CHEBLI</t>
  </si>
  <si>
    <t>Amal</t>
  </si>
  <si>
    <t>CHERFAN</t>
  </si>
  <si>
    <t>Randa</t>
  </si>
  <si>
    <t>CHIKHANI</t>
  </si>
  <si>
    <t>Roula</t>
  </si>
  <si>
    <t>Responsable des moyens généraux</t>
  </si>
  <si>
    <t>CHOUT</t>
  </si>
  <si>
    <t xml:space="preserve">Valérie </t>
  </si>
  <si>
    <t>CORNETTE</t>
  </si>
  <si>
    <t>Myriem</t>
  </si>
  <si>
    <t xml:space="preserve">COSSIN ÉP FAYE </t>
  </si>
  <si>
    <t xml:space="preserve">Maryelle </t>
  </si>
  <si>
    <t>DAOUK</t>
  </si>
  <si>
    <t>Zeina</t>
  </si>
  <si>
    <t xml:space="preserve">DELLAH </t>
  </si>
  <si>
    <t>Sawssen</t>
  </si>
  <si>
    <t xml:space="preserve">DESBARRES </t>
  </si>
  <si>
    <t>Chloé</t>
  </si>
  <si>
    <t xml:space="preserve">DIAZ  </t>
  </si>
  <si>
    <t>Maud</t>
  </si>
  <si>
    <t xml:space="preserve">DIOURI </t>
  </si>
  <si>
    <t>DJEBARI</t>
  </si>
  <si>
    <t>Yasmina</t>
  </si>
  <si>
    <t>CPE</t>
  </si>
  <si>
    <t>3000 (changement de poste)</t>
  </si>
  <si>
    <t xml:space="preserve">DJERAD </t>
  </si>
  <si>
    <t>Islem</t>
  </si>
  <si>
    <t xml:space="preserve">Responsable informatique </t>
  </si>
  <si>
    <t>500 (alignement des Resp Admin)</t>
  </si>
  <si>
    <t>DOMLOGE</t>
  </si>
  <si>
    <t>Racha</t>
  </si>
  <si>
    <t xml:space="preserve">DUMAS </t>
  </si>
  <si>
    <t xml:space="preserve">Tiphaine </t>
  </si>
  <si>
    <t>EDOUJ</t>
  </si>
  <si>
    <t>Fatima</t>
  </si>
  <si>
    <t>EL BOUFRAHI</t>
  </si>
  <si>
    <t>NAJLAA</t>
  </si>
  <si>
    <t>Infirmière</t>
  </si>
  <si>
    <t>EL GHAZAL</t>
  </si>
  <si>
    <t>Lina</t>
  </si>
  <si>
    <t>EL KHATIB</t>
  </si>
  <si>
    <t>Ghislaine</t>
  </si>
  <si>
    <t xml:space="preserve">EL OUAFI </t>
  </si>
  <si>
    <t>Hassan</t>
  </si>
  <si>
    <t>EL OUAHABI/LAHLOU</t>
  </si>
  <si>
    <t xml:space="preserve">EL OUARDI </t>
  </si>
  <si>
    <t>Nawale</t>
  </si>
  <si>
    <t xml:space="preserve">EL SMAILI </t>
  </si>
  <si>
    <t xml:space="preserve">Laila </t>
  </si>
  <si>
    <t>EZZOUHOURI</t>
  </si>
  <si>
    <t>Sana</t>
  </si>
  <si>
    <t xml:space="preserve">FERJANI </t>
  </si>
  <si>
    <t>Chokri</t>
  </si>
  <si>
    <t>Chauffeur</t>
  </si>
  <si>
    <t xml:space="preserve">FESSI </t>
  </si>
  <si>
    <t>Salwa</t>
  </si>
  <si>
    <t>FOUAL</t>
  </si>
  <si>
    <t>Kenza</t>
  </si>
  <si>
    <t>AED Collège / Assistante APS</t>
  </si>
  <si>
    <t>FRIGUI</t>
  </si>
  <si>
    <t>Amir</t>
  </si>
  <si>
    <t xml:space="preserve">GHAZOUANI </t>
  </si>
  <si>
    <t>Slim</t>
  </si>
  <si>
    <t>GRATEAU</t>
  </si>
  <si>
    <t>Michele</t>
  </si>
  <si>
    <t>BibliotheLiquideire</t>
  </si>
  <si>
    <t xml:space="preserve">GRENIER-MERAUD </t>
  </si>
  <si>
    <t>Laetitia</t>
  </si>
  <si>
    <t>HADJ TAIEB</t>
  </si>
  <si>
    <t>Amine</t>
  </si>
  <si>
    <t>Animateur Fab/Lab</t>
  </si>
  <si>
    <t>HAJJEJ</t>
  </si>
  <si>
    <t>Mohamed</t>
  </si>
  <si>
    <t>Référent sécurité</t>
  </si>
  <si>
    <t>2200 (changement de poste)</t>
  </si>
  <si>
    <t xml:space="preserve">HAMMOUD </t>
  </si>
  <si>
    <t xml:space="preserve">Noura </t>
  </si>
  <si>
    <t>HARB</t>
  </si>
  <si>
    <t>HIBA</t>
  </si>
  <si>
    <t>Inclusion</t>
  </si>
  <si>
    <t xml:space="preserve">HARBI  </t>
  </si>
  <si>
    <t>Emna</t>
  </si>
  <si>
    <t xml:space="preserve">HELOU - SEMAAN </t>
  </si>
  <si>
    <t>Sylvana</t>
  </si>
  <si>
    <t xml:space="preserve">HEMAYA </t>
  </si>
  <si>
    <t>Loubna</t>
  </si>
  <si>
    <t xml:space="preserve">HOFFMAN </t>
  </si>
  <si>
    <t>Anne-Sophie</t>
  </si>
  <si>
    <t xml:space="preserve">Professeure de Musique </t>
  </si>
  <si>
    <t xml:space="preserve">HUSSEIN </t>
  </si>
  <si>
    <t xml:space="preserve">Waad </t>
  </si>
  <si>
    <t>IMRANE</t>
  </si>
  <si>
    <t>Lounes</t>
  </si>
  <si>
    <t xml:space="preserve">JAMGOSSIAN </t>
  </si>
  <si>
    <t>Anahid-Lydia</t>
  </si>
  <si>
    <t xml:space="preserve">JEANSON </t>
  </si>
  <si>
    <t xml:space="preserve">Marianne </t>
  </si>
  <si>
    <t xml:space="preserve">JEMAA ÉP KHALDI </t>
  </si>
  <si>
    <t>Fatma Chiraz</t>
  </si>
  <si>
    <t xml:space="preserve">KABBANI </t>
  </si>
  <si>
    <t xml:space="preserve">Farah </t>
  </si>
  <si>
    <t>KARAM</t>
  </si>
  <si>
    <t>Nadine</t>
  </si>
  <si>
    <t xml:space="preserve">Chef comptable </t>
  </si>
  <si>
    <t>KARE CHEVALIER</t>
  </si>
  <si>
    <t>Yacine</t>
  </si>
  <si>
    <t xml:space="preserve">Chargée des frais de scolarité </t>
  </si>
  <si>
    <t>KARKAR</t>
  </si>
  <si>
    <t>Assia</t>
  </si>
  <si>
    <t>KERARMA</t>
  </si>
  <si>
    <t>Faiza</t>
  </si>
  <si>
    <t xml:space="preserve">KHAIRALLAH </t>
  </si>
  <si>
    <t xml:space="preserve">Joelle </t>
  </si>
  <si>
    <t>KHELIF</t>
  </si>
  <si>
    <t>Jihed</t>
  </si>
  <si>
    <t>KHEMIRI</t>
  </si>
  <si>
    <t xml:space="preserve">KHODR VANDAMME </t>
  </si>
  <si>
    <t>Claire</t>
  </si>
  <si>
    <t>KIRECHE</t>
  </si>
  <si>
    <t>Asma</t>
  </si>
  <si>
    <t xml:space="preserve">LABBAN </t>
  </si>
  <si>
    <t>MAGRA</t>
  </si>
  <si>
    <t xml:space="preserve">MAKSOUD </t>
  </si>
  <si>
    <t>MALLY</t>
  </si>
  <si>
    <t>Karima</t>
  </si>
  <si>
    <t>Responsable des frais de scolarité</t>
  </si>
  <si>
    <t xml:space="preserve">MAMLOUK ÉP DAOUD </t>
  </si>
  <si>
    <t>Arwa</t>
  </si>
  <si>
    <t>MATHLOUTI</t>
  </si>
  <si>
    <t>Sabeur</t>
  </si>
  <si>
    <t xml:space="preserve">MAURRIC </t>
  </si>
  <si>
    <t>Isabelle</t>
  </si>
  <si>
    <t xml:space="preserve">Assistante de direction </t>
  </si>
  <si>
    <t>MEKNI</t>
  </si>
  <si>
    <t>Mehdi</t>
  </si>
  <si>
    <t xml:space="preserve">MERHABI </t>
  </si>
  <si>
    <t>Jinane</t>
  </si>
  <si>
    <t>MESSAOUDI</t>
  </si>
  <si>
    <t>Amel</t>
  </si>
  <si>
    <t>MESTO</t>
  </si>
  <si>
    <t>Khadija</t>
  </si>
  <si>
    <t>Comptable</t>
  </si>
  <si>
    <t>MIKHAEL</t>
  </si>
  <si>
    <t xml:space="preserve">Aide laboratoire </t>
  </si>
  <si>
    <t xml:space="preserve">MONCHIET </t>
  </si>
  <si>
    <t xml:space="preserve">Daniel </t>
  </si>
  <si>
    <t xml:space="preserve">Responsable sécurité </t>
  </si>
  <si>
    <t xml:space="preserve">Géraldine </t>
  </si>
  <si>
    <t xml:space="preserve">MOUAATARIF </t>
  </si>
  <si>
    <t>Psychologue scolaire</t>
  </si>
  <si>
    <t xml:space="preserve">MOURI </t>
  </si>
  <si>
    <t xml:space="preserve">Farès </t>
  </si>
  <si>
    <t>MOURTAFIA</t>
  </si>
  <si>
    <t>Siham</t>
  </si>
  <si>
    <t>NACCOUR</t>
  </si>
  <si>
    <t>Responsable des inscriptions</t>
  </si>
  <si>
    <t>2250 (alignement des Resp Admin)</t>
  </si>
  <si>
    <t>NAGHAM</t>
  </si>
  <si>
    <t>Mariama</t>
  </si>
  <si>
    <t>NASSAR</t>
  </si>
  <si>
    <t>Maya</t>
  </si>
  <si>
    <t>NEGHNAGH</t>
  </si>
  <si>
    <t>NICOLAS</t>
  </si>
  <si>
    <t>Armelle</t>
  </si>
  <si>
    <t xml:space="preserve">OBAA ESSOLA </t>
  </si>
  <si>
    <t xml:space="preserve">Cynthia </t>
  </si>
  <si>
    <t>5800 (changement de poste)</t>
  </si>
  <si>
    <t>PIERRU</t>
  </si>
  <si>
    <t xml:space="preserve">Documentaliste </t>
  </si>
  <si>
    <t xml:space="preserve">POPULUS  </t>
  </si>
  <si>
    <t>QUESNEL</t>
  </si>
  <si>
    <t>Guillaume</t>
  </si>
  <si>
    <t>RAJEH</t>
  </si>
  <si>
    <t>Raya</t>
  </si>
  <si>
    <t>REZGUI</t>
  </si>
  <si>
    <t>Imen</t>
  </si>
  <si>
    <t>Chargée RH</t>
  </si>
  <si>
    <t>RIFFI</t>
  </si>
  <si>
    <t xml:space="preserve">RIGBOU  </t>
  </si>
  <si>
    <t xml:space="preserve">RIGOLLET </t>
  </si>
  <si>
    <t xml:space="preserve">Claudelle </t>
  </si>
  <si>
    <t xml:space="preserve">ROJKOFF </t>
  </si>
  <si>
    <t>Sonia</t>
  </si>
  <si>
    <t>SAAB</t>
  </si>
  <si>
    <t>SAAD</t>
  </si>
  <si>
    <t>May</t>
  </si>
  <si>
    <t xml:space="preserve">SAADOUNE </t>
  </si>
  <si>
    <t xml:space="preserve">SABRA </t>
  </si>
  <si>
    <t>Dollat</t>
  </si>
  <si>
    <t>SAIDI</t>
  </si>
  <si>
    <t>Naaima</t>
  </si>
  <si>
    <t>SAKR</t>
  </si>
  <si>
    <t>Sally</t>
  </si>
  <si>
    <t>SALAMA HUSSEIN</t>
  </si>
  <si>
    <t xml:space="preserve">SALEH </t>
  </si>
  <si>
    <t>Ghinwa</t>
  </si>
  <si>
    <t>SALHI</t>
  </si>
  <si>
    <t>Faten</t>
  </si>
  <si>
    <t>SALIBA</t>
  </si>
  <si>
    <t>Fadia</t>
  </si>
  <si>
    <t>SEMAAN</t>
  </si>
  <si>
    <t>Fabienne</t>
  </si>
  <si>
    <t xml:space="preserve">SHAWBAH </t>
  </si>
  <si>
    <t>Myriam</t>
  </si>
  <si>
    <t xml:space="preserve">SOUKIASSIAN </t>
  </si>
  <si>
    <t>Lisa</t>
  </si>
  <si>
    <t>Professeur Documentaliste</t>
  </si>
  <si>
    <t>TEDJANI</t>
  </si>
  <si>
    <t>Hajar</t>
  </si>
  <si>
    <t>TEMAGOULT</t>
  </si>
  <si>
    <t>AED primaire avec mission de remplacement</t>
  </si>
  <si>
    <t>VAN OORDT</t>
  </si>
  <si>
    <t>Alexandra</t>
  </si>
  <si>
    <t xml:space="preserve">WALET </t>
  </si>
  <si>
    <t>Ahmedou</t>
  </si>
  <si>
    <t>WALHA</t>
  </si>
  <si>
    <t>Leila</t>
  </si>
  <si>
    <t>YAKHLEF</t>
  </si>
  <si>
    <t>Sabrina</t>
  </si>
  <si>
    <t>YOUNES</t>
  </si>
  <si>
    <t>Youmna</t>
  </si>
  <si>
    <t>ZAFARULLAH</t>
  </si>
  <si>
    <t>Khan</t>
  </si>
  <si>
    <t xml:space="preserve">Surveillant(e) de baignade </t>
  </si>
  <si>
    <t xml:space="preserve">ZARROUR </t>
  </si>
  <si>
    <t xml:space="preserve">Nada </t>
  </si>
  <si>
    <t xml:space="preserve">ZOUBIANE  </t>
  </si>
  <si>
    <t>Sarah</t>
  </si>
  <si>
    <t>ZRIBI</t>
  </si>
  <si>
    <t>Boutheina</t>
  </si>
  <si>
    <t>NEW POSITION</t>
  </si>
  <si>
    <t>-</t>
  </si>
  <si>
    <t>NEW (Sep)</t>
  </si>
  <si>
    <t>TBD</t>
  </si>
  <si>
    <t>New Position</t>
  </si>
  <si>
    <t>TOTAL</t>
  </si>
  <si>
    <t>EFIR - Staff Costs Budget FY2026 (V3 - New Positions Start Sep 2026)</t>
  </si>
  <si>
    <t>Includes: Local staff (existing + new from Sep) + Residents + Local contracts + Ajeer + GOSI (Saudi only) + EoS</t>
  </si>
  <si>
    <t>Cost Component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</si>
  <si>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</si>
  <si>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</si>
  <si>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</si>
  <si>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</si>
  <si>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</si>
  <si>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</si>
  <si>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</si>
  <si>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</si>
  <si>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</si>
  <si>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</si>
  <si>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</si>
  <si>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</si>
  <si>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FY2026 Total</t>
  </si>
  <si>
    <t>A. LOCAL STAFF SALARIES</t>
  </si>
  <si>
    <t xml:space="preserve">  Base Salaries (Existing Staff)</t>
  </si>
  <si>
    <t xml:space="preserve">  Housing Allowance IL (Existing)</t>
  </si>
  <si>
    <t xml:space="preserve">  Transport Allowance IT (Existing)</t>
  </si>
  <si>
    <t xml:space="preserve">  Responsibility Premium (Existing)</t>
  </si>
  <si>
    <t xml:space="preserve">  HSA Overtime (Existing)</t>
  </si>
  <si>
    <t xml:space="preserve">  Subtotal Existing Staff</t>
  </si>
  <si>
    <t xml:space="preserve">  New Positions (6 FTE - Starting Sep 2026)</t>
  </si>
  <si>
    <t>TOTAL LOCAL STAFF SALARIES (A)</t>
  </si>
  <si>
    <t>B. ADDITIONAL STAFF COSTS</t>
  </si>
  <si>
    <t xml:space="preserve">  Contrats Locaux Remplacements</t>
  </si>
  <si>
    <t xml:space="preserve">  Contrats Locaux 1% Masse Salariale (Form. Continue)</t>
  </si>
  <si>
    <t xml:space="preserve">  Résidents Salaires</t>
  </si>
  <si>
    <t xml:space="preserve">  Résidents Logement &amp; Billets Avion</t>
  </si>
  <si>
    <t>TOTAL ADDITIONAL STAFF COSTS (B)</t>
  </si>
  <si>
    <t>C. EMPLOYER CHARGES &amp; REGULATORY COSTS</t>
  </si>
  <si>
    <t xml:space="preserve">  GOSI - Saudi Employees Only</t>
  </si>
  <si>
    <t xml:space="preserve">  End of Service Provision</t>
  </si>
  <si>
    <t xml:space="preserve">  Ajeer Costs - Existing Workers (160)</t>
  </si>
  <si>
    <t xml:space="preserve">  Ajeer Costs - New Positions (6, Sep-Dec)</t>
  </si>
  <si>
    <t>TOTAL EMPLOYER CHARGES (C)</t>
  </si>
  <si>
    <t>GRAND TOTAL STAFF COSTS (A + B + C)</t>
  </si>
  <si>
    <t>EFIR - End of Service Benefit Provision (Saudi Labor Law) - V3</t>
  </si>
  <si>
    <t>First 5 yrs = 0.5 month/yr | After 5 yrs = 1 month/yr | Base = Salary + IL + IT + Premium | Purple = New Positions (Sep 2026 start)</t>
  </si>
  <si>
    <t>Function</t>
  </si>
  <si>
    <t>YoS (Dec 2025)</t>
  </si>
  <si>
    <t>YoS (Dec 2026)</t>
  </si>
  <si>
    <t>EoS Base</t>
  </si>
  <si>
    <t>EoS Dec 2025</t>
  </si>
  <si>
    <t>EoS Dec 2026</t>
  </si>
  <si>
    <t>FY2026 Charge</t>
  </si>
  <si>
    <t>Monthly Accrual</t>
  </si>
  <si>
    <t>EFIR - GOSI Employer Contribution FY2026 (V3 - Saudi Only)</t>
  </si>
  <si>
    <t>Ajeer/Non-Saudi: GOSI = 0% | Saudi: 11.75% | Purple = New Positions (all Ajeer, Sep start)</t>
  </si>
  <si>
    <t>GOSI Base</t>
  </si>
  <si>
    <t>GOSI Rate</t>
  </si>
  <si>
    <t>Monthly GOSI</t>
  </si>
  <si>
    <t>GOSI (Jan-Aug)</t>
  </si>
  <si>
    <t>GOSI (Sep-Dec)</t>
  </si>
  <si>
    <t>EFIR - Ajeer Registration Costs FY2026 (V3 - 166 Workers)</t>
  </si>
  <si>
    <t>Community school - no sponsorship. Existing: 12 months | New positions: Sep-Dec (4 months). Rates linked to Assumptions sheet.</t>
  </si>
  <si>
    <t>Ajeer Levy (per worker/year)</t>
  </si>
  <si>
    <t>Platform Fee (per worker/month)</t>
  </si>
  <si>
    <t>Total Annual Cost per Worker (Full Year)</t>
  </si>
  <si>
    <t>Months</t>
  </si>
  <si>
    <t>Annual Levy</t>
  </si>
  <si>
    <t>Annual Platform</t>
  </si>
  <si>
    <t>Total FY2026</t>
  </si>
  <si>
    <t>EFIR - Year-over-Year Salary Comparison (2024-2025 vs 2025-2026)</t>
  </si>
  <si>
    <t>Gross 24-25</t>
  </si>
  <si>
    <t>Gross 25-26</t>
  </si>
  <si>
    <t>Variance</t>
  </si>
  <si>
    <t>Var %</t>
  </si>
  <si>
    <t>Continuing</t>
  </si>
  <si>
    <t>New Joiner</t>
  </si>
  <si>
    <t>AMGHAR</t>
  </si>
  <si>
    <t>Jihane</t>
  </si>
  <si>
    <t>Departed</t>
  </si>
  <si>
    <t>BADER</t>
  </si>
  <si>
    <t>Grace</t>
  </si>
  <si>
    <t xml:space="preserve">BOUSSOUGA </t>
  </si>
  <si>
    <t>Zineb</t>
  </si>
  <si>
    <t>BOUTARHA SAIDI</t>
  </si>
  <si>
    <t> Naaima</t>
  </si>
  <si>
    <t>DRIDI</t>
  </si>
  <si>
    <t xml:space="preserve">EL MELHEM </t>
  </si>
  <si>
    <t>Juliana</t>
  </si>
  <si>
    <t>KABBARA</t>
  </si>
  <si>
    <t>Dima</t>
  </si>
  <si>
    <t xml:space="preserve">KASSTTAR   </t>
  </si>
  <si>
    <t>Souad</t>
  </si>
  <si>
    <t xml:space="preserve">KHAIRALLAH EP MORKOS DOUAIHY </t>
  </si>
  <si>
    <t>Amina</t>
  </si>
  <si>
    <t>MERHI</t>
  </si>
  <si>
    <t>Jana</t>
  </si>
  <si>
    <t>OUAMALICHE</t>
  </si>
  <si>
    <t>Larbi</t>
  </si>
  <si>
    <t xml:space="preserve">SEZER </t>
  </si>
  <si>
    <t xml:space="preserve">Ayse </t>
  </si>
  <si>
    <t>Employees 2024-2025</t>
  </si>
  <si>
    <t>Employees 2025-2026</t>
  </si>
  <si>
    <t>Net Change</t>
  </si>
  <si>
    <t>New Joiners</t>
  </si>
  <si>
    <t>Departures</t>
  </si>
  <si>
    <t>Monthly Gross 24-25</t>
  </si>
  <si>
    <t>Monthly Gross 25-26</t>
  </si>
  <si>
    <t>Variance %</t>
  </si>
  <si>
    <t>12.4%</t>
  </si>
  <si>
    <t>EFIR - Staff Costs Analysis &amp; Summary FY2026 (V3)</t>
  </si>
  <si>
    <t>FULL COST SUMMARY</t>
  </si>
  <si>
    <t>HEADCOUNT</t>
  </si>
  <si>
    <t xml:space="preserve">  Total Employees (at year end)</t>
  </si>
  <si>
    <t xml:space="preserve">    Existing Staff (Full Year)</t>
  </si>
  <si>
    <t xml:space="preserve">    New Positions (Sep-Dec 2026)</t>
  </si>
  <si>
    <t xml:space="preserve">  Saudi / Ajeer</t>
  </si>
  <si>
    <t>2 / 166</t>
  </si>
  <si>
    <t xml:space="preserve">  FTE (year-end)</t>
  </si>
  <si>
    <t>ANNUAL COST BREAKDOWN</t>
  </si>
  <si>
    <t>Amount (SAR)</t>
  </si>
  <si>
    <t>A. Local Staff Salaries (Existing)</t>
  </si>
  <si>
    <t>A. Local Staff Salaries (New - 4 months)</t>
  </si>
  <si>
    <t>B. Contrats Locaux Remplacements</t>
  </si>
  <si>
    <t>B. Contrats Locaux 1% Masse Salariale</t>
  </si>
  <si>
    <t>B. Résidents Salaires</t>
  </si>
  <si>
    <t>B. Résidents Logement &amp; Billets Avion</t>
  </si>
  <si>
    <t>C. GOSI (Saudi only)</t>
  </si>
  <si>
    <t>C. End of Service Provision</t>
  </si>
  <si>
    <t>C. Ajeer Costs</t>
  </si>
  <si>
    <t>GRAND TOTAL STAFF COSTS FY2026</t>
  </si>
  <si>
    <t>COST REPARTITION BY DEPARTMENT</t>
  </si>
  <si>
    <t>Headcount</t>
  </si>
  <si>
    <t>FTE</t>
  </si>
  <si>
    <t>Annual Salary Cost</t>
  </si>
  <si>
    <t>Annual EoS Charge</t>
  </si>
  <si>
    <t>Annual Ajeer</t>
  </si>
  <si>
    <t>Total Dept Cost</t>
  </si>
  <si>
    <t>TOTAL (Local Staff)</t>
  </si>
  <si>
    <t>Department Share (% of Local Staff Total)</t>
  </si>
  <si>
    <t xml:space="preserve">  Administration</t>
  </si>
  <si>
    <t xml:space="preserve">  Maternelle</t>
  </si>
  <si>
    <t xml:space="preserve">  Élémentaire</t>
  </si>
  <si>
    <t xml:space="preserve">  Collège / Lycée</t>
  </si>
  <si>
    <t xml:space="preserve">  Vie Scolaire &amp; Support</t>
  </si>
  <si>
    <t>COST STRUCTURE ANALYSIS</t>
  </si>
  <si>
    <t>Cost Category</t>
  </si>
  <si>
    <t>% of Grand Total</t>
  </si>
  <si>
    <t>Notes</t>
  </si>
  <si>
    <t>A. Local Staff Salaries</t>
  </si>
  <si>
    <t>Direct payroll costs (existing + 6 new from Sep)</t>
  </si>
  <si>
    <t>B. Additional Staff Costs</t>
  </si>
  <si>
    <t>Residents, replacements, training levy</t>
  </si>
  <si>
    <t>C. Employer Charges</t>
  </si>
  <si>
    <t>GOSI + EoS + Ajeer regulatory costs</t>
  </si>
  <si>
    <t>GRAND TOTAL</t>
  </si>
  <si>
    <t>PER-EMPLOYEE COST RATIOS</t>
  </si>
  <si>
    <t>Average Monthly Gross Salary</t>
  </si>
  <si>
    <t>Average Annual EoS Charge per Employee</t>
  </si>
  <si>
    <t>Total Cost per Headcount (Grand Total / HC)</t>
  </si>
  <si>
    <t>Total Cost per FTE (Grand Total / FTE)</t>
  </si>
  <si>
    <t>Grand Total (Annual)</t>
  </si>
  <si>
    <t>Grand Total (Monthly Avg)</t>
  </si>
  <si>
    <t>DEPARTMENT DETAIL BREAKDOWN</t>
  </si>
  <si>
    <t>Count</t>
  </si>
  <si>
    <t>Avg Monthly Gross</t>
  </si>
  <si>
    <t>Total Monthly</t>
  </si>
  <si>
    <t>New (Sep)</t>
  </si>
  <si>
    <t xml:space="preserve">  Administration Total</t>
  </si>
  <si>
    <t xml:space="preserve">  Maternelle Total</t>
  </si>
  <si>
    <t xml:space="preserve">  Élémentaire Total</t>
  </si>
  <si>
    <t xml:space="preserve">  Collège / Lycée Total</t>
  </si>
  <si>
    <t xml:space="preserve">  Vie Scolaire &amp; Support Total</t>
  </si>
  <si>
    <t>V2 vs V3 COMPARISON</t>
  </si>
  <si>
    <t>Component</t>
  </si>
  <si>
    <t>V2</t>
  </si>
  <si>
    <t>V3</t>
  </si>
  <si>
    <t>Local Staff (Existing)</t>
  </si>
  <si>
    <t>Aug impact on existing</t>
  </si>
  <si>
    <t>Local Staff (New Positions)</t>
  </si>
  <si>
    <t>NEW: 6 FTE, Sep-Dec only (4 months)</t>
  </si>
  <si>
    <t>NEW cost line</t>
  </si>
  <si>
    <t>Contrats Locaux 1% Masse Salariale</t>
  </si>
  <si>
    <t>GOSI (Saudi only)</t>
  </si>
  <si>
    <t>Minor change</t>
  </si>
  <si>
    <t>End of Service</t>
  </si>
  <si>
    <t>Updated: new positions = 0.33 YoS</t>
  </si>
  <si>
    <t>Ajeer Costs</t>
  </si>
  <si>
    <t>160 full year + 6 new (4 months)</t>
  </si>
  <si>
    <t>Full cost view with Sep start</t>
  </si>
  <si>
    <t>KEY ASSUMPTIONS &amp; NOTES</t>
  </si>
  <si>
    <t>1. Budget period: Fiscal Year 2026 (January - December)</t>
  </si>
  <si>
    <t>2. Jan-Jun: Current 2025-2026 salaries | Jul-Aug: No HSA | Sep-Dec: Current + Augmentation</t>
  </si>
  <si>
    <t>3. Community school status - no direct sponsorship, all non-Saudi on Ajeer</t>
  </si>
  <si>
    <t>4. GOSI: 0% Ajeer workers | 11.75% Saudi only</t>
  </si>
  <si>
    <t>5. Ajeer levy: SAR 9,500/year (non-Nitaqat) - MODIFIABLE in Assumptions sheet</t>
  </si>
  <si>
    <t>6. 6 new positions start SEPTEMBER 2026 (Infirmière 1/2, RH, Odoo, MG, IT, Inscription)</t>
  </si>
  <si>
    <t>7. New positions: Sep-Dec = 4 months salary, prorated Ajeer, ~0.33 YoS for EoS</t>
  </si>
  <si>
    <t>8. Résidents salaires, logement &amp; billets avion: French expatriate staff (AEFE/resident contracts)</t>
  </si>
  <si>
    <t>9. Contrats Locaux Remplacements: Substitute/replacement teacher contracts</t>
  </si>
  <si>
    <t>10. 1% Masse Salariale: Continuous training obligation (Formation Continue)</t>
  </si>
  <si>
    <t>11. EoS: Saudi Labor Law (0.5m/yr first 5 yrs, 1m/yr after) on Salary + IL + IT + Prime</t>
  </si>
  <si>
    <t>12. Saudi employees: AL OSSAIMI AL OTAIBI, ALAMRI - PLEASE VERIFY</t>
  </si>
  <si>
    <t>13. All amounts in Saudi Arabian Riyals (SAR)</t>
  </si>
  <si>
    <t>14. Department classification: Admin, Maternelle, Élémentaire, Collège/Lycée, Vie Scolaire &amp; Support</t>
  </si>
  <si>
    <t>Pension Contribution (35% share)</t>
  </si>
  <si>
    <t>Gratuity Provision
(Dec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</si>
</sst>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%&quot; of Total&quot;"/>
  </numFmts>
  <fonts count="20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i/>
      <sz val="9"/>
      <color rgb="FFFF0000"/>
      <name val="Arial"/>
      <family val="2"/>
    </font>
    <font>
      <b/>
      <sz val="11"/>
      <color rgb="FF1F4E7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8"/>
      <color rgb="FF666666"/>
      <name val="Arial"/>
      <family val="2"/>
    </font>
    <font>
      <i/>
      <sz val="8"/>
      <color rgb="FFFF0000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9"/>
      <color rgb="FF1F4E79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i/>
      <sz val="8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E4F0"/>
        <bgColor rgb="FFDCE6F1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BF1DE"/>
      </patternFill>
    </fill>
    <fill>
      <patternFill patternType="solid">
        <fgColor rgb="FFE8D5F5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FCC"/>
      </patternFill>
    </fill>
    <fill>
      <patternFill patternType="solid">
        <fgColor rgb="FFDCE6F1"/>
        <bgColor rgb="FFD6E4F0"/>
      </patternFill>
    </fill>
    <fill>
      <patternFill patternType="solid">
        <fgColor rgb="FFE2EFDA"/>
        <bgColor rgb="FFEBF1DE"/>
      </patternFill>
    </fill>
    <fill>
      <patternFill patternType="solid">
        <fgColor rgb="FFFCE4EC"/>
        <bgColor rgb="FFF2F2F2"/>
      </patternFill>
    </fill>
    <fill>
      <patternFill patternType="solid">
        <fgColor rgb="FFEBF1DE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double">
        <color rgb="FF1F4E79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0" xfId="0" applyFont="1" applyFill="1"/>
    <xf numFmtId="0" fontId="10" fillId="0" borderId="0" xfId="0" applyFont="1"/>
    <xf numFmtId="0" fontId="4" fillId="0" borderId="2" xfId="0" applyFont="1" applyBorder="1"/>
    <xf numFmtId="3" fontId="5" fillId="0" borderId="2" xfId="0" applyNumberFormat="1" applyFont="1" applyBorder="1"/>
    <xf numFmtId="0" fontId="0" fillId="0" borderId="2" xfId="0" applyBorder="1"/>
    <xf numFmtId="3" fontId="6" fillId="3" borderId="2" xfId="0" applyNumberFormat="1" applyFont="1" applyFill="1" applyBorder="1"/>
    <xf numFmtId="0" fontId="7" fillId="0" borderId="2" xfId="0" applyFont="1" applyBorder="1"/>
    <xf numFmtId="0" fontId="5" fillId="0" borderId="2" xfId="0" applyFont="1" applyBorder="1"/>
    <xf numFmtId="3" fontId="5" fillId="4" borderId="2" xfId="0" applyNumberFormat="1" applyFont="1" applyFill="1" applyBorder="1"/>
    <xf numFmtId="164" fontId="6" fillId="3" borderId="2" xfId="0" applyNumberFormat="1" applyFont="1" applyFill="1" applyBorder="1"/>
    <xf numFmtId="0" fontId="8" fillId="0" borderId="2" xfId="0" applyFont="1" applyBorder="1"/>
    <xf numFmtId="0" fontId="9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/>
    <xf numFmtId="3" fontId="5" fillId="4" borderId="3" xfId="0" applyNumberFormat="1" applyFont="1" applyFill="1" applyBorder="1"/>
    <xf numFmtId="14" fontId="4" fillId="0" borderId="2" xfId="0" applyNumberFormat="1" applyFont="1" applyBorder="1"/>
    <xf numFmtId="165" fontId="4" fillId="0" borderId="2" xfId="0" applyNumberFormat="1" applyFont="1" applyBorder="1"/>
    <xf numFmtId="3" fontId="11" fillId="0" borderId="2" xfId="0" applyNumberFormat="1" applyFont="1" applyBorder="1"/>
    <xf numFmtId="3" fontId="12" fillId="0" borderId="2" xfId="0" applyNumberFormat="1" applyFont="1" applyBorder="1"/>
    <xf numFmtId="164" fontId="4" fillId="0" borderId="2" xfId="0" applyNumberFormat="1" applyFont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14" fontId="4" fillId="5" borderId="2" xfId="0" applyNumberFormat="1" applyFont="1" applyFill="1" applyBorder="1"/>
    <xf numFmtId="165" fontId="4" fillId="5" borderId="2" xfId="0" applyNumberFormat="1" applyFont="1" applyFill="1" applyBorder="1"/>
    <xf numFmtId="3" fontId="11" fillId="5" borderId="2" xfId="0" applyNumberFormat="1" applyFont="1" applyFill="1" applyBorder="1"/>
    <xf numFmtId="3" fontId="12" fillId="5" borderId="2" xfId="0" applyNumberFormat="1" applyFont="1" applyFill="1" applyBorder="1"/>
    <xf numFmtId="164" fontId="4" fillId="5" borderId="2" xfId="0" applyNumberFormat="1" applyFont="1" applyFill="1" applyBorder="1"/>
    <xf numFmtId="0" fontId="0" fillId="2" borderId="0" xfId="0" applyFill="1"/>
    <xf numFmtId="3" fontId="4" fillId="0" borderId="2" xfId="0" applyNumberFormat="1" applyFont="1" applyBorder="1"/>
    <xf numFmtId="0" fontId="13" fillId="11" borderId="2" xfId="0" applyFont="1" applyFill="1" applyBorder="1"/>
    <xf numFmtId="3" fontId="14" fillId="11" borderId="2" xfId="0" applyNumberFormat="1" applyFont="1" applyFill="1" applyBorder="1"/>
    <xf numFmtId="3" fontId="15" fillId="6" borderId="4" xfId="0" applyNumberFormat="1" applyFont="1" applyFill="1" applyBorder="1"/>
    <xf numFmtId="0" fontId="4" fillId="0" borderId="0" xfId="0" applyFont="1"/>
    <xf numFmtId="3" fontId="6" fillId="3" borderId="0" xfId="0" applyNumberFormat="1" applyFont="1" applyFill="1"/>
    <xf numFmtId="0" fontId="5" fillId="0" borderId="0" xfId="0" applyFont="1"/>
    <xf numFmtId="3" fontId="5" fillId="0" borderId="0" xfId="0" applyNumberFormat="1" applyFont="1"/>
    <xf numFmtId="0" fontId="3" fillId="0" borderId="2" xfId="0" applyFont="1" applyBorder="1"/>
    <xf numFmtId="3" fontId="16" fillId="0" borderId="2" xfId="0" applyNumberFormat="1" applyFont="1" applyBorder="1"/>
    <xf numFmtId="0" fontId="16" fillId="0" borderId="2" xfId="0" applyFont="1" applyBorder="1"/>
    <xf numFmtId="165" fontId="16" fillId="0" borderId="2" xfId="0" applyNumberFormat="1" applyFont="1" applyBorder="1"/>
    <xf numFmtId="166" fontId="16" fillId="0" borderId="2" xfId="0" applyNumberFormat="1" applyFont="1" applyBorder="1"/>
    <xf numFmtId="0" fontId="15" fillId="6" borderId="2" xfId="0" applyFont="1" applyFill="1" applyBorder="1"/>
    <xf numFmtId="3" fontId="15" fillId="6" borderId="2" xfId="0" applyNumberFormat="1" applyFont="1" applyFill="1" applyBorder="1"/>
    <xf numFmtId="0" fontId="13" fillId="0" borderId="0" xfId="0" applyFont="1"/>
    <xf numFmtId="0" fontId="17" fillId="0" borderId="2" xfId="0" applyFont="1" applyBorder="1"/>
    <xf numFmtId="0" fontId="16" fillId="8" borderId="0" xfId="0" applyFont="1" applyFill="1"/>
    <xf numFmtId="0" fontId="0" fillId="8" borderId="0" xfId="0" applyFill="1"/>
    <xf numFmtId="0" fontId="18" fillId="12" borderId="2" xfId="0" applyFont="1" applyFill="1" applyBorder="1"/>
    <xf numFmtId="0" fontId="14" fillId="0" borderId="5" xfId="0" applyFont="1" applyBorder="1"/>
    <xf numFmtId="0" fontId="0" fillId="0" borderId="5" xfId="0" applyBorder="1"/>
    <xf numFmtId="3" fontId="14" fillId="0" borderId="5" xfId="0" applyNumberFormat="1" applyFont="1" applyBorder="1"/>
    <xf numFmtId="0" fontId="16" fillId="9" borderId="0" xfId="0" applyFont="1" applyFill="1"/>
    <xf numFmtId="0" fontId="0" fillId="9" borderId="0" xfId="0" applyFill="1"/>
    <xf numFmtId="0" fontId="16" fillId="7" borderId="0" xfId="0" applyFont="1" applyFill="1"/>
    <xf numFmtId="0" fontId="0" fillId="7" borderId="0" xfId="0" applyFill="1"/>
    <xf numFmtId="0" fontId="16" fillId="10" borderId="0" xfId="0" applyFont="1" applyFill="1"/>
    <xf numFmtId="0" fontId="0" fillId="10" borderId="0" xfId="0" applyFill="1"/>
    <xf numFmtId="0" fontId="16" fillId="5" borderId="0" xfId="0" applyFont="1" applyFill="1"/>
    <xf numFmtId="0" fontId="0" fillId="5" borderId="0" xfId="0" applyFill="1"/>
    <xf numFmtId="3" fontId="4" fillId="10" borderId="2" xfId="0" applyNumberFormat="1" applyFont="1" applyFill="1" applyBorder="1"/>
    <xf numFmtId="0" fontId="5" fillId="4" borderId="2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1" fillId="0" borderId="0" xfId="0" applyFont="1"/>
    <xf numFmtId="0" fontId="2" fillId="0" borderId="0" xfId="0" applyFont="1"/>
    <xf numFmtId="0" fontId="10" fillId="0" borderId="0" xfId="0" applyFont="1"/>
    <xf numFmtId="0" fontId="7" fillId="0" borderId="0" xfId="0" applyFont="1"/>
    <xf numFmtId="0" fontId="8" fillId="0" borderId="0" xfId="0" applyFont="1"/>
    <xf numFmtId="0" fontId="3" fillId="2" borderId="0" xfId="0" applyFont="1" applyFill="1"/>
    <xf numFmtId="0" fontId="9" fillId="13" borderId="6" xfId="0" applyFont="1" applyFill="1" applyBorder="1" applyAlignment="1">
      <alignment horizontal="center" wrapText="1"/>
    </xf>
    <xf numFmtId="3" fontId="12" fillId="14" borderId="2" xfId="0" applyNumberFormat="1" applyFont="1" applyFill="1" applyBorder="1"/>
    <xf numFmtId="3" fontId="12" fillId="14" borderId="6" xfId="0" applyNumberFormat="1" applyFont="1" applyFill="1" applyBorder="1"/>
    <xf numFmtId="3" fontId="19" fillId="15" borderId="3" xfId="0" applyNumberFormat="1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FCC"/>
      <rgbColor rgb="FFDCE6F1"/>
      <rgbColor rgb="FF660066"/>
      <rgbColor rgb="FFFF8080"/>
      <rgbColor rgb="FF2E75B6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9DC3E6"/>
      <rgbColor rgb="FFEBF1DE"/>
      <rgbColor rgb="FFF2F2F2"/>
      <rgbColor rgb="FFFCE4EC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21F509-F028-E34A-9686-37EEAAB65C26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48"/>
  <sheetViews>
    <sheetView zoomScaleNormal="100" workbookViewId="0">
      <selection activeCell="A9" sqref="A9"/>
    </sheetView>
  </sheetViews>
  <sheetFormatPr baseColWidth="10" defaultColWidth="8.6640625" defaultRowHeight="15" customHeight="1" x14ac:dyDescent="0.2"/>
  <cols>
    <col min="1" max="1" width="45" customWidth="1"/>
    <col min="2" max="2" width="20" customWidth="1"/>
    <col min="3" max="3" width="50" customWidth="1"/>
  </cols>
  <sheetData>
    <row r="1" spans="1:6" ht="18" x14ac:dyDescent="0.2">
      <c r="A1" s="66" t="s">
        <v>0</v>
      </c>
      <c r="B1" s="66"/>
      <c r="C1" s="66"/>
      <c r="D1" s="66"/>
      <c r="E1" s="66"/>
      <c r="F1" s="66"/>
    </row>
    <row r="2" spans="1:6" x14ac:dyDescent="0.2">
      <c r="A2" s="67" t="s">
        <v>1</v>
      </c>
      <c r="B2" s="67"/>
      <c r="C2" s="67"/>
      <c r="D2" s="67"/>
      <c r="E2" s="67"/>
      <c r="F2" s="67"/>
    </row>
    <row r="4" spans="1:6" x14ac:dyDescent="0.2">
      <c r="A4" s="64" t="s">
        <v>2</v>
      </c>
      <c r="B4" s="64"/>
      <c r="C4" s="64"/>
      <c r="D4" s="64"/>
    </row>
    <row r="5" spans="1:6" x14ac:dyDescent="0.2">
      <c r="A5" s="3" t="s">
        <v>3</v>
      </c>
      <c r="B5" s="4">
        <v>168</v>
      </c>
      <c r="C5" s="5"/>
    </row>
    <row r="6" spans="1:6" x14ac:dyDescent="0.2">
      <c r="A6" s="3" t="s">
        <v>4</v>
      </c>
      <c r="B6" s="4">
        <v>162</v>
      </c>
      <c r="C6" s="5"/>
    </row>
    <row r="7" spans="1:6" x14ac:dyDescent="0.2">
      <c r="A7" s="3" t="s">
        <v>5</v>
      </c>
      <c r="B7" s="4">
        <v>6</v>
      </c>
      <c r="C7" s="5"/>
    </row>
    <row r="8" spans="1:6" x14ac:dyDescent="0.2">
      <c r="A8" s="3" t="s">
        <v>6</v>
      </c>
      <c r="B8" s="4">
        <v>2</v>
      </c>
      <c r="C8" s="5"/>
    </row>
    <row r="9" spans="1:6" x14ac:dyDescent="0.2">
      <c r="A9" s="3" t="s">
        <v>7</v>
      </c>
      <c r="B9" s="4">
        <v>160</v>
      </c>
      <c r="C9" s="5"/>
    </row>
    <row r="10" spans="1:6" x14ac:dyDescent="0.2">
      <c r="A10" s="3" t="s">
        <v>8</v>
      </c>
      <c r="B10" s="4">
        <v>6</v>
      </c>
      <c r="C10" s="5"/>
    </row>
    <row r="11" spans="1:6" x14ac:dyDescent="0.2">
      <c r="A11" s="5"/>
      <c r="B11" s="5"/>
      <c r="C11" s="5"/>
    </row>
    <row r="12" spans="1:6" x14ac:dyDescent="0.2">
      <c r="A12" s="64" t="s">
        <v>9</v>
      </c>
      <c r="B12" s="64"/>
      <c r="C12" s="64"/>
      <c r="D12" s="64"/>
    </row>
    <row r="13" spans="1:6" x14ac:dyDescent="0.2">
      <c r="A13" s="3" t="s">
        <v>10</v>
      </c>
      <c r="B13" s="6">
        <v>9500</v>
      </c>
      <c r="C13" s="7" t="s">
        <v>11</v>
      </c>
    </row>
    <row r="14" spans="1:6" x14ac:dyDescent="0.2">
      <c r="A14" s="3" t="s">
        <v>12</v>
      </c>
      <c r="B14" s="6">
        <v>160</v>
      </c>
      <c r="C14" s="5"/>
    </row>
    <row r="15" spans="1:6" x14ac:dyDescent="0.2">
      <c r="A15" s="3" t="s">
        <v>13</v>
      </c>
      <c r="B15" s="6">
        <v>160</v>
      </c>
      <c r="C15" s="5"/>
    </row>
    <row r="16" spans="1:6" x14ac:dyDescent="0.2">
      <c r="A16" s="3" t="s">
        <v>14</v>
      </c>
      <c r="B16" s="6">
        <v>6</v>
      </c>
      <c r="C16" s="5"/>
    </row>
    <row r="17" spans="1:4" x14ac:dyDescent="0.2">
      <c r="A17" s="8" t="s">
        <v>15</v>
      </c>
      <c r="B17" s="9">
        <f>B13+(B14*12)</f>
        <v>11420</v>
      </c>
      <c r="C17" s="5"/>
    </row>
    <row r="18" spans="1:4" x14ac:dyDescent="0.2">
      <c r="A18" s="8" t="s">
        <v>16</v>
      </c>
      <c r="B18" s="9">
        <f>B17*B15</f>
        <v>1827200</v>
      </c>
      <c r="C18" s="5"/>
    </row>
    <row r="19" spans="1:4" x14ac:dyDescent="0.2">
      <c r="A19" s="8" t="s">
        <v>17</v>
      </c>
      <c r="B19" s="9">
        <f>(B13*(4/12)+B14*4)*B16</f>
        <v>22840</v>
      </c>
      <c r="C19" s="5"/>
    </row>
    <row r="20" spans="1:4" x14ac:dyDescent="0.2">
      <c r="A20" s="8" t="s">
        <v>18</v>
      </c>
      <c r="B20" s="9">
        <f>B18+B19</f>
        <v>1850040</v>
      </c>
      <c r="C20" s="5"/>
    </row>
    <row r="21" spans="1:4" x14ac:dyDescent="0.2">
      <c r="A21" s="8" t="s">
        <v>19</v>
      </c>
      <c r="B21" s="9">
        <f>B18/12</f>
        <v>152266.66666666666</v>
      </c>
      <c r="C21" s="5"/>
    </row>
    <row r="22" spans="1:4" x14ac:dyDescent="0.2">
      <c r="A22" s="8" t="s">
        <v>20</v>
      </c>
      <c r="B22" s="9">
        <f>B19/4</f>
        <v>5710</v>
      </c>
      <c r="C22" s="5"/>
    </row>
    <row r="23" spans="1:4" x14ac:dyDescent="0.2">
      <c r="A23" s="5"/>
      <c r="B23" s="5"/>
      <c r="C23" s="5"/>
    </row>
    <row r="24" spans="1:4" x14ac:dyDescent="0.2">
      <c r="A24" s="64" t="s">
        <v>21</v>
      </c>
      <c r="B24" s="64"/>
      <c r="C24" s="64"/>
      <c r="D24" s="64"/>
    </row>
    <row r="25" spans="1:4" x14ac:dyDescent="0.2">
      <c r="A25" s="3" t="s">
        <v>22</v>
      </c>
      <c r="B25" s="10">
        <v>0.11749999999999999</v>
      </c>
      <c r="C25" s="7" t="s">
        <v>23</v>
      </c>
    </row>
    <row r="26" spans="1:4" x14ac:dyDescent="0.2">
      <c r="A26" s="3" t="s">
        <v>24</v>
      </c>
      <c r="B26" s="10">
        <v>0</v>
      </c>
      <c r="C26" s="11" t="s">
        <v>25</v>
      </c>
    </row>
    <row r="27" spans="1:4" x14ac:dyDescent="0.2">
      <c r="A27" s="5"/>
      <c r="B27" s="5"/>
      <c r="C27" s="5"/>
    </row>
    <row r="28" spans="1:4" x14ac:dyDescent="0.2">
      <c r="A28" s="64" t="s">
        <v>26</v>
      </c>
      <c r="B28" s="64"/>
      <c r="C28" s="64"/>
      <c r="D28" s="64"/>
    </row>
    <row r="29" spans="1:4" x14ac:dyDescent="0.2">
      <c r="A29" s="3" t="s">
        <v>27</v>
      </c>
      <c r="B29" s="6">
        <v>272167</v>
      </c>
      <c r="C29" s="7" t="s">
        <v>28</v>
      </c>
    </row>
    <row r="30" spans="1:4" x14ac:dyDescent="0.2">
      <c r="A30" s="3" t="s">
        <v>29</v>
      </c>
      <c r="B30" s="6">
        <v>306046</v>
      </c>
      <c r="C30" s="7" t="s">
        <v>30</v>
      </c>
    </row>
    <row r="31" spans="1:4" x14ac:dyDescent="0.2">
      <c r="A31" s="3" t="s">
        <v>31</v>
      </c>
      <c r="B31" s="6">
        <v>7356097</v>
      </c>
      <c r="C31" s="7" t="s">
        <v>32</v>
      </c>
    </row>
    <row r="32" spans="1:4" x14ac:dyDescent="0.2">
      <c r="A32" s="3" t="s">
        <v>33</v>
      </c>
      <c r="B32" s="6">
        <v>647400</v>
      </c>
      <c r="C32" s="7" t="s">
        <v>34</v>
      </c>
    </row>
    <row r="33" spans="1:6" x14ac:dyDescent="0.2">
      <c r="A33" s="8" t="s">
        <v>35</v>
      </c>
      <c r="B33" s="9">
        <f>SUM(B29:B32)</f>
        <v>8581710</v>
      </c>
      <c r="C33" s="5"/>
    </row>
    <row r="34" spans="1:6" x14ac:dyDescent="0.2">
      <c r="A34" s="5"/>
      <c r="B34" s="5"/>
      <c r="C34" s="5"/>
    </row>
    <row r="35" spans="1:6" x14ac:dyDescent="0.2">
      <c r="A35" s="64" t="s">
        <v>36</v>
      </c>
      <c r="B35" s="64"/>
      <c r="C35" s="64"/>
      <c r="D35" s="64"/>
    </row>
    <row r="36" spans="1:6" x14ac:dyDescent="0.2">
      <c r="A36" s="3" t="s">
        <v>37</v>
      </c>
      <c r="B36" s="5"/>
      <c r="C36" s="5"/>
    </row>
    <row r="37" spans="1:6" x14ac:dyDescent="0.2">
      <c r="A37" s="3" t="s">
        <v>38</v>
      </c>
      <c r="B37" s="5"/>
      <c r="C37" s="5"/>
    </row>
    <row r="38" spans="1:6" x14ac:dyDescent="0.2">
      <c r="A38" s="3" t="s">
        <v>39</v>
      </c>
      <c r="B38" s="4">
        <v>30900</v>
      </c>
      <c r="C38" s="5"/>
    </row>
    <row r="39" spans="1:6" x14ac:dyDescent="0.2">
      <c r="A39" s="5"/>
      <c r="B39" s="5"/>
      <c r="C39" s="5"/>
    </row>
    <row r="40" spans="1:6" x14ac:dyDescent="0.2">
      <c r="A40" s="65" t="s">
        <v>40</v>
      </c>
      <c r="B40" s="65"/>
      <c r="C40" s="65"/>
      <c r="D40" s="65"/>
      <c r="E40" s="65"/>
      <c r="F40" s="65"/>
    </row>
    <row r="41" spans="1:6" ht="42" x14ac:dyDescent="0.2">
      <c r="A41" s="12" t="s">
        <v>41</v>
      </c>
      <c r="B41" s="12" t="s">
        <v>42</v>
      </c>
      <c r="C41" s="12" t="s">
        <v>43</v>
      </c>
      <c r="D41" s="12" t="s">
        <v>44</v>
      </c>
      <c r="E41" s="12" t="s">
        <v>45</v>
      </c>
      <c r="F41" s="12" t="s">
        <v>46</v>
      </c>
    </row>
    <row r="42" spans="1:6" x14ac:dyDescent="0.2">
      <c r="A42" s="13" t="s">
        <v>47</v>
      </c>
      <c r="B42" s="14">
        <v>5200</v>
      </c>
      <c r="C42" s="14">
        <v>3700</v>
      </c>
      <c r="D42" s="14">
        <v>1250</v>
      </c>
      <c r="E42" s="14">
        <v>250</v>
      </c>
      <c r="F42" s="14">
        <v>20800</v>
      </c>
    </row>
    <row r="43" spans="1:6" x14ac:dyDescent="0.2">
      <c r="A43" s="13" t="s">
        <v>48</v>
      </c>
      <c r="B43" s="14">
        <v>10400</v>
      </c>
      <c r="C43" s="14">
        <v>7400</v>
      </c>
      <c r="D43" s="14">
        <v>2500</v>
      </c>
      <c r="E43" s="14">
        <v>500</v>
      </c>
      <c r="F43" s="14">
        <v>41600</v>
      </c>
    </row>
    <row r="44" spans="1:6" x14ac:dyDescent="0.2">
      <c r="A44" s="13" t="s">
        <v>49</v>
      </c>
      <c r="B44" s="14">
        <v>10400</v>
      </c>
      <c r="C44" s="14">
        <v>7400</v>
      </c>
      <c r="D44" s="14">
        <v>2500</v>
      </c>
      <c r="E44" s="14">
        <v>500</v>
      </c>
      <c r="F44" s="14">
        <v>41600</v>
      </c>
    </row>
    <row r="45" spans="1:6" x14ac:dyDescent="0.2">
      <c r="A45" s="13" t="s">
        <v>50</v>
      </c>
      <c r="B45" s="14">
        <v>10400</v>
      </c>
      <c r="C45" s="14">
        <v>7400</v>
      </c>
      <c r="D45" s="14">
        <v>2500</v>
      </c>
      <c r="E45" s="14">
        <v>500</v>
      </c>
      <c r="F45" s="14">
        <v>41600</v>
      </c>
    </row>
    <row r="46" spans="1:6" x14ac:dyDescent="0.2">
      <c r="A46" s="13" t="s">
        <v>51</v>
      </c>
      <c r="B46" s="14">
        <v>10600</v>
      </c>
      <c r="C46" s="14">
        <v>7600</v>
      </c>
      <c r="D46" s="14">
        <v>2500</v>
      </c>
      <c r="E46" s="14">
        <v>500</v>
      </c>
      <c r="F46" s="14">
        <v>42400</v>
      </c>
    </row>
    <row r="47" spans="1:6" x14ac:dyDescent="0.2">
      <c r="A47" s="13" t="s">
        <v>52</v>
      </c>
      <c r="B47" s="14">
        <v>10400</v>
      </c>
      <c r="C47" s="14">
        <v>7400</v>
      </c>
      <c r="D47" s="14">
        <v>2500</v>
      </c>
      <c r="E47" s="14">
        <v>500</v>
      </c>
      <c r="F47" s="14">
        <v>41600</v>
      </c>
    </row>
    <row r="48" spans="1:6" x14ac:dyDescent="0.2">
      <c r="A48" s="9" t="s">
        <v>53</v>
      </c>
      <c r="B48" s="9">
        <f>SUM(B42:B47)</f>
        <v>57400</v>
      </c>
      <c r="C48" s="9">
        <f>SUM(C42:C47)</f>
        <v>40900</v>
      </c>
      <c r="D48" s="15">
        <f>SUM(D42:D47)</f>
        <v>13750</v>
      </c>
      <c r="E48" s="15">
        <f>SUM(E42:E47)</f>
        <v>2750</v>
      </c>
      <c r="F48" s="15">
        <f>SUM(F42:F47)</f>
        <v>229600</v>
      </c>
    </row>
  </sheetData>
  <mergeCells count="8">
    <mergeCell ref="A28:D28"/>
    <mergeCell ref="A35:D35"/>
    <mergeCell ref="A40:F40"/>
    <mergeCell ref="A1:F1"/>
    <mergeCell ref="A2:F2"/>
    <mergeCell ref="A4:D4"/>
    <mergeCell ref="A12:D12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R173"/>
  <sheetViews>
    <sheetView zoomScaleNormal="100" workbookViewId="0">
      <pane ySplit="4" topLeftCell="A117" activePane="bottomLeft" state="frozen"/>
      <selection pane="bottomLeft" activeCell="L178" sqref="L178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15" customWidth="1"/>
    <col min="4" max="4" width="32" customWidth="1"/>
    <col min="5" max="5" width="22" customWidth="1"/>
    <col min="6" max="7" width="14" customWidth="1"/>
    <col min="8" max="8" width="8" customWidth="1"/>
    <col min="9" max="13" width="12" customWidth="1"/>
    <col min="14" max="14" width="13" customWidth="1"/>
    <col min="15" max="15" width="9" customWidth="1"/>
    <col min="16" max="16" width="12" customWidth="1"/>
    <col min="17" max="17" width="10" customWidth="1"/>
    <col min="18" max="18" width="16" customWidth="1"/>
  </cols>
  <sheetData>
    <row r="1" spans="1:18" ht="18" x14ac:dyDescent="0.2">
      <c r="A1" s="66" t="s">
        <v>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x14ac:dyDescent="0.2">
      <c r="A2" s="68" t="s">
        <v>55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4" spans="1:18" ht="28" x14ac:dyDescent="0.2">
      <c r="A4" s="12" t="s">
        <v>56</v>
      </c>
      <c r="B4" s="12" t="s">
        <v>57</v>
      </c>
      <c r="C4" s="12" t="s">
        <v>58</v>
      </c>
      <c r="D4" s="12" t="s">
        <v>59</v>
      </c>
      <c r="E4" s="12" t="s">
        <v>60</v>
      </c>
      <c r="F4" s="12" t="s">
        <v>61</v>
      </c>
      <c r="G4" s="12" t="s">
        <v>62</v>
      </c>
      <c r="H4" s="12" t="s">
        <v>63</v>
      </c>
      <c r="I4" s="12" t="s">
        <v>43</v>
      </c>
      <c r="J4" s="12" t="s">
        <v>64</v>
      </c>
      <c r="K4" s="12" t="s">
        <v>65</v>
      </c>
      <c r="L4" s="12" t="s">
        <v>66</v>
      </c>
      <c r="M4" s="12" t="s">
        <v>67</v>
      </c>
      <c r="N4" s="12" t="s">
        <v>42</v>
      </c>
      <c r="O4" s="12" t="s">
        <v>68</v>
      </c>
      <c r="P4" s="12" t="s">
        <v>69</v>
      </c>
      <c r="Q4" s="12" t="s">
        <v>70</v>
      </c>
      <c r="R4" s="12" t="s">
        <v>71</v>
      </c>
    </row>
    <row r="5" spans="1:18" x14ac:dyDescent="0.2">
      <c r="A5" s="3">
        <v>1</v>
      </c>
      <c r="B5" s="3" t="s">
        <v>72</v>
      </c>
      <c r="C5" s="3" t="s">
        <v>73</v>
      </c>
      <c r="D5" s="3" t="s">
        <v>74</v>
      </c>
      <c r="E5" s="13" t="s">
        <v>75</v>
      </c>
      <c r="F5" s="3" t="s">
        <v>76</v>
      </c>
      <c r="G5" s="16">
        <v>45170</v>
      </c>
      <c r="H5" s="17">
        <v>3.3</v>
      </c>
      <c r="I5" s="18">
        <v>7400</v>
      </c>
      <c r="J5" s="18">
        <v>2500</v>
      </c>
      <c r="K5" s="18">
        <v>500</v>
      </c>
      <c r="L5" s="18">
        <v>0</v>
      </c>
      <c r="M5" s="18">
        <v>0</v>
      </c>
      <c r="N5" s="19">
        <f t="shared" ref="N5:N36" si="0">SUM(I5:M5)</f>
        <v>10400</v>
      </c>
      <c r="O5" s="20">
        <v>1</v>
      </c>
      <c r="P5" s="21" t="s">
        <v>77</v>
      </c>
      <c r="Q5" s="3" t="s">
        <v>78</v>
      </c>
      <c r="R5" s="3">
        <v>200</v>
      </c>
    </row>
    <row r="6" spans="1:18" x14ac:dyDescent="0.2">
      <c r="A6" s="3">
        <v>2</v>
      </c>
      <c r="B6" s="3" t="s">
        <v>79</v>
      </c>
      <c r="C6" s="3" t="s">
        <v>80</v>
      </c>
      <c r="D6" s="3" t="s">
        <v>74</v>
      </c>
      <c r="E6" s="13" t="s">
        <v>75</v>
      </c>
      <c r="F6" s="3" t="s">
        <v>76</v>
      </c>
      <c r="G6" s="16">
        <v>42614</v>
      </c>
      <c r="H6" s="17">
        <v>10.3</v>
      </c>
      <c r="I6" s="18">
        <v>9000</v>
      </c>
      <c r="J6" s="18">
        <v>2500</v>
      </c>
      <c r="K6" s="18">
        <v>500</v>
      </c>
      <c r="L6" s="18">
        <v>0</v>
      </c>
      <c r="M6" s="18">
        <v>0</v>
      </c>
      <c r="N6" s="19">
        <f t="shared" si="0"/>
        <v>12000</v>
      </c>
      <c r="O6" s="20">
        <v>1</v>
      </c>
      <c r="P6" s="21" t="s">
        <v>77</v>
      </c>
      <c r="Q6" s="3" t="s">
        <v>81</v>
      </c>
      <c r="R6" s="3">
        <v>400</v>
      </c>
    </row>
    <row r="7" spans="1:18" x14ac:dyDescent="0.2">
      <c r="A7" s="3">
        <v>3</v>
      </c>
      <c r="B7" s="3" t="s">
        <v>82</v>
      </c>
      <c r="C7" s="3" t="s">
        <v>83</v>
      </c>
      <c r="D7" s="3" t="s">
        <v>74</v>
      </c>
      <c r="E7" s="13" t="s">
        <v>75</v>
      </c>
      <c r="F7" s="3" t="s">
        <v>76</v>
      </c>
      <c r="G7" s="16">
        <v>45536</v>
      </c>
      <c r="H7" s="17">
        <v>2.2999999999999998</v>
      </c>
      <c r="I7" s="18">
        <v>7200</v>
      </c>
      <c r="J7" s="18">
        <v>2500</v>
      </c>
      <c r="K7" s="18">
        <v>500</v>
      </c>
      <c r="L7" s="18">
        <v>0</v>
      </c>
      <c r="M7" s="18">
        <v>0</v>
      </c>
      <c r="N7" s="19">
        <f t="shared" si="0"/>
        <v>10200</v>
      </c>
      <c r="O7" s="20">
        <v>1</v>
      </c>
      <c r="P7" s="21" t="s">
        <v>77</v>
      </c>
      <c r="Q7" s="3" t="s">
        <v>81</v>
      </c>
      <c r="R7" s="3">
        <v>200</v>
      </c>
    </row>
    <row r="8" spans="1:18" x14ac:dyDescent="0.2">
      <c r="A8" s="3">
        <v>4</v>
      </c>
      <c r="B8" s="3" t="s">
        <v>84</v>
      </c>
      <c r="C8" s="3" t="s">
        <v>85</v>
      </c>
      <c r="D8" s="3" t="s">
        <v>86</v>
      </c>
      <c r="E8" s="21" t="s">
        <v>87</v>
      </c>
      <c r="F8" s="3" t="s">
        <v>76</v>
      </c>
      <c r="G8" s="16">
        <v>44440</v>
      </c>
      <c r="H8" s="17">
        <v>5.3</v>
      </c>
      <c r="I8" s="18">
        <v>9000</v>
      </c>
      <c r="J8" s="18">
        <v>2500</v>
      </c>
      <c r="K8" s="18">
        <v>500</v>
      </c>
      <c r="L8" s="18">
        <v>0</v>
      </c>
      <c r="M8" s="18">
        <v>0</v>
      </c>
      <c r="N8" s="19">
        <f t="shared" si="0"/>
        <v>12000</v>
      </c>
      <c r="O8" s="20">
        <v>1</v>
      </c>
      <c r="P8" s="21" t="s">
        <v>77</v>
      </c>
      <c r="Q8" s="3" t="s">
        <v>81</v>
      </c>
      <c r="R8" s="3">
        <v>250</v>
      </c>
    </row>
    <row r="9" spans="1:18" x14ac:dyDescent="0.2">
      <c r="A9" s="3">
        <v>5</v>
      </c>
      <c r="B9" s="3" t="s">
        <v>88</v>
      </c>
      <c r="C9" s="3" t="s">
        <v>89</v>
      </c>
      <c r="D9" s="3" t="s">
        <v>86</v>
      </c>
      <c r="E9" s="21" t="s">
        <v>87</v>
      </c>
      <c r="F9" s="3" t="s">
        <v>76</v>
      </c>
      <c r="G9" s="16">
        <v>45901</v>
      </c>
      <c r="H9" s="17">
        <v>1.3</v>
      </c>
      <c r="I9" s="18">
        <v>10500</v>
      </c>
      <c r="J9" s="18">
        <v>2500</v>
      </c>
      <c r="K9" s="18">
        <v>500</v>
      </c>
      <c r="L9" s="18">
        <v>0</v>
      </c>
      <c r="M9" s="18">
        <v>0</v>
      </c>
      <c r="N9" s="19">
        <f t="shared" si="0"/>
        <v>13500</v>
      </c>
      <c r="O9" s="20">
        <v>1</v>
      </c>
      <c r="P9" s="21" t="s">
        <v>77</v>
      </c>
      <c r="Q9" s="3" t="s">
        <v>78</v>
      </c>
      <c r="R9" s="3" t="s">
        <v>90</v>
      </c>
    </row>
    <row r="10" spans="1:18" x14ac:dyDescent="0.2">
      <c r="A10" s="3">
        <v>6</v>
      </c>
      <c r="B10" s="3" t="s">
        <v>91</v>
      </c>
      <c r="C10" s="3" t="s">
        <v>92</v>
      </c>
      <c r="D10" s="3" t="s">
        <v>93</v>
      </c>
      <c r="E10" s="22" t="s">
        <v>94</v>
      </c>
      <c r="F10" s="3" t="s">
        <v>76</v>
      </c>
      <c r="G10" s="16">
        <v>42614</v>
      </c>
      <c r="H10" s="17">
        <v>10.3</v>
      </c>
      <c r="I10" s="18">
        <v>12250</v>
      </c>
      <c r="J10" s="18">
        <v>2500</v>
      </c>
      <c r="K10" s="18">
        <v>500</v>
      </c>
      <c r="L10" s="18">
        <v>1000</v>
      </c>
      <c r="M10" s="18">
        <v>0</v>
      </c>
      <c r="N10" s="19">
        <f t="shared" si="0"/>
        <v>16250</v>
      </c>
      <c r="O10" s="20">
        <v>1</v>
      </c>
      <c r="P10" s="21" t="s">
        <v>77</v>
      </c>
      <c r="Q10" s="3" t="s">
        <v>95</v>
      </c>
      <c r="R10" s="3">
        <v>250</v>
      </c>
    </row>
    <row r="11" spans="1:18" x14ac:dyDescent="0.2">
      <c r="A11" s="3">
        <v>7</v>
      </c>
      <c r="B11" s="3" t="s">
        <v>96</v>
      </c>
      <c r="C11" s="3" t="s">
        <v>97</v>
      </c>
      <c r="D11" s="3" t="s">
        <v>86</v>
      </c>
      <c r="E11" s="21" t="s">
        <v>87</v>
      </c>
      <c r="F11" s="3" t="s">
        <v>76</v>
      </c>
      <c r="G11" s="16">
        <v>45901</v>
      </c>
      <c r="H11" s="17">
        <v>1.3</v>
      </c>
      <c r="I11" s="18">
        <v>8250</v>
      </c>
      <c r="J11" s="18">
        <v>2500</v>
      </c>
      <c r="K11" s="18">
        <v>500</v>
      </c>
      <c r="L11" s="18">
        <v>0</v>
      </c>
      <c r="M11" s="18">
        <v>0</v>
      </c>
      <c r="N11" s="19">
        <f t="shared" si="0"/>
        <v>11250</v>
      </c>
      <c r="O11" s="20">
        <v>1</v>
      </c>
      <c r="P11" s="21" t="s">
        <v>77</v>
      </c>
      <c r="Q11" s="3" t="s">
        <v>78</v>
      </c>
      <c r="R11" s="3" t="s">
        <v>90</v>
      </c>
    </row>
    <row r="12" spans="1:18" x14ac:dyDescent="0.2">
      <c r="A12" s="3">
        <v>8</v>
      </c>
      <c r="B12" s="3" t="s">
        <v>98</v>
      </c>
      <c r="C12" s="3" t="s">
        <v>99</v>
      </c>
      <c r="D12" s="3" t="s">
        <v>86</v>
      </c>
      <c r="E12" s="21" t="s">
        <v>87</v>
      </c>
      <c r="F12" s="3" t="s">
        <v>76</v>
      </c>
      <c r="G12" s="16">
        <v>42614</v>
      </c>
      <c r="H12" s="17">
        <v>10.3</v>
      </c>
      <c r="I12" s="18">
        <v>10250</v>
      </c>
      <c r="J12" s="18">
        <v>2500</v>
      </c>
      <c r="K12" s="18">
        <v>500</v>
      </c>
      <c r="L12" s="18">
        <v>0</v>
      </c>
      <c r="M12" s="18">
        <v>0</v>
      </c>
      <c r="N12" s="19">
        <f t="shared" si="0"/>
        <v>13250</v>
      </c>
      <c r="O12" s="20">
        <v>1</v>
      </c>
      <c r="P12" s="21" t="s">
        <v>77</v>
      </c>
      <c r="Q12" s="3" t="s">
        <v>81</v>
      </c>
      <c r="R12" s="3">
        <v>250</v>
      </c>
    </row>
    <row r="13" spans="1:18" x14ac:dyDescent="0.2">
      <c r="A13" s="3">
        <v>9</v>
      </c>
      <c r="B13" s="3" t="s">
        <v>100</v>
      </c>
      <c r="C13" s="3" t="s">
        <v>101</v>
      </c>
      <c r="D13" s="3" t="s">
        <v>102</v>
      </c>
      <c r="E13" s="21" t="s">
        <v>87</v>
      </c>
      <c r="F13" s="3" t="s">
        <v>76</v>
      </c>
      <c r="G13" s="16">
        <v>35309</v>
      </c>
      <c r="H13" s="17">
        <v>30.3</v>
      </c>
      <c r="I13" s="18">
        <v>9750</v>
      </c>
      <c r="J13" s="18">
        <v>2500</v>
      </c>
      <c r="K13" s="18">
        <v>500</v>
      </c>
      <c r="L13" s="18">
        <v>0</v>
      </c>
      <c r="M13" s="18">
        <v>1140</v>
      </c>
      <c r="N13" s="19">
        <f t="shared" si="0"/>
        <v>13890</v>
      </c>
      <c r="O13" s="20">
        <v>1</v>
      </c>
      <c r="P13" s="21" t="s">
        <v>77</v>
      </c>
      <c r="Q13" s="3" t="s">
        <v>81</v>
      </c>
      <c r="R13" s="3">
        <v>250</v>
      </c>
    </row>
    <row r="14" spans="1:18" x14ac:dyDescent="0.2">
      <c r="A14" s="3">
        <v>10</v>
      </c>
      <c r="B14" s="3" t="s">
        <v>103</v>
      </c>
      <c r="C14" s="3" t="s">
        <v>104</v>
      </c>
      <c r="D14" s="3" t="s">
        <v>86</v>
      </c>
      <c r="E14" s="21" t="s">
        <v>87</v>
      </c>
      <c r="F14" s="3" t="s">
        <v>76</v>
      </c>
      <c r="G14" s="16">
        <v>45536</v>
      </c>
      <c r="H14" s="17">
        <v>2.2999999999999998</v>
      </c>
      <c r="I14" s="18">
        <v>8750</v>
      </c>
      <c r="J14" s="18">
        <v>2500</v>
      </c>
      <c r="K14" s="18">
        <v>500</v>
      </c>
      <c r="L14" s="18">
        <v>0</v>
      </c>
      <c r="M14" s="18">
        <v>0</v>
      </c>
      <c r="N14" s="19">
        <f t="shared" si="0"/>
        <v>11750</v>
      </c>
      <c r="O14" s="20">
        <v>1</v>
      </c>
      <c r="P14" s="21" t="s">
        <v>77</v>
      </c>
      <c r="Q14" s="3" t="s">
        <v>81</v>
      </c>
      <c r="R14" s="3">
        <v>250</v>
      </c>
    </row>
    <row r="15" spans="1:18" x14ac:dyDescent="0.2">
      <c r="A15" s="3">
        <v>11</v>
      </c>
      <c r="B15" s="3" t="s">
        <v>105</v>
      </c>
      <c r="C15" s="3" t="s">
        <v>106</v>
      </c>
      <c r="D15" s="3" t="s">
        <v>107</v>
      </c>
      <c r="E15" s="22" t="s">
        <v>94</v>
      </c>
      <c r="F15" s="3" t="s">
        <v>76</v>
      </c>
      <c r="G15" s="5"/>
      <c r="H15" s="17"/>
      <c r="I15" s="18">
        <v>2000</v>
      </c>
      <c r="J15" s="18">
        <v>2500</v>
      </c>
      <c r="K15" s="18">
        <v>500</v>
      </c>
      <c r="L15" s="18">
        <v>0</v>
      </c>
      <c r="M15" s="18">
        <v>0</v>
      </c>
      <c r="N15" s="19">
        <f t="shared" si="0"/>
        <v>5000</v>
      </c>
      <c r="O15" s="20">
        <v>1</v>
      </c>
      <c r="P15" s="23" t="s">
        <v>108</v>
      </c>
      <c r="Q15" s="3" t="s">
        <v>81</v>
      </c>
      <c r="R15" s="3" t="s">
        <v>90</v>
      </c>
    </row>
    <row r="16" spans="1:18" x14ac:dyDescent="0.2">
      <c r="A16" s="3">
        <v>12</v>
      </c>
      <c r="B16" s="3" t="s">
        <v>109</v>
      </c>
      <c r="C16" s="3" t="s">
        <v>110</v>
      </c>
      <c r="D16" s="3" t="s">
        <v>111</v>
      </c>
      <c r="E16" s="22" t="s">
        <v>94</v>
      </c>
      <c r="F16" s="3" t="s">
        <v>76</v>
      </c>
      <c r="G16" s="16">
        <v>42283</v>
      </c>
      <c r="H16" s="17">
        <v>11.2</v>
      </c>
      <c r="I16" s="18">
        <v>9500</v>
      </c>
      <c r="J16" s="18">
        <v>2500</v>
      </c>
      <c r="K16" s="18">
        <v>500</v>
      </c>
      <c r="L16" s="18">
        <v>0</v>
      </c>
      <c r="M16" s="18">
        <v>0</v>
      </c>
      <c r="N16" s="19">
        <f t="shared" si="0"/>
        <v>12500</v>
      </c>
      <c r="O16" s="20">
        <v>1</v>
      </c>
      <c r="P16" s="21" t="s">
        <v>77</v>
      </c>
      <c r="Q16" s="3" t="s">
        <v>95</v>
      </c>
      <c r="R16" s="3">
        <v>250</v>
      </c>
    </row>
    <row r="17" spans="1:18" x14ac:dyDescent="0.2">
      <c r="A17" s="3">
        <v>13</v>
      </c>
      <c r="B17" s="3" t="s">
        <v>112</v>
      </c>
      <c r="C17" s="3" t="s">
        <v>113</v>
      </c>
      <c r="D17" s="3" t="s">
        <v>114</v>
      </c>
      <c r="E17" s="22" t="s">
        <v>94</v>
      </c>
      <c r="F17" s="3" t="s">
        <v>76</v>
      </c>
      <c r="G17" s="16">
        <v>44867</v>
      </c>
      <c r="H17" s="17">
        <v>4.2</v>
      </c>
      <c r="I17" s="18">
        <v>12250</v>
      </c>
      <c r="J17" s="18">
        <v>2500</v>
      </c>
      <c r="K17" s="18">
        <v>500</v>
      </c>
      <c r="L17" s="18">
        <v>1000</v>
      </c>
      <c r="M17" s="18">
        <v>0</v>
      </c>
      <c r="N17" s="19">
        <f t="shared" si="0"/>
        <v>16250</v>
      </c>
      <c r="O17" s="20">
        <v>1</v>
      </c>
      <c r="P17" s="23" t="s">
        <v>108</v>
      </c>
      <c r="Q17" s="3" t="s">
        <v>95</v>
      </c>
      <c r="R17" s="3">
        <v>250</v>
      </c>
    </row>
    <row r="18" spans="1:18" x14ac:dyDescent="0.2">
      <c r="A18" s="3">
        <v>14</v>
      </c>
      <c r="B18" s="3" t="s">
        <v>115</v>
      </c>
      <c r="C18" s="3" t="s">
        <v>116</v>
      </c>
      <c r="D18" s="3" t="s">
        <v>74</v>
      </c>
      <c r="E18" s="13" t="s">
        <v>75</v>
      </c>
      <c r="F18" s="3" t="s">
        <v>76</v>
      </c>
      <c r="G18" s="16">
        <v>45901</v>
      </c>
      <c r="H18" s="17">
        <v>1.3</v>
      </c>
      <c r="I18" s="18">
        <v>7000</v>
      </c>
      <c r="J18" s="18">
        <v>2500</v>
      </c>
      <c r="K18" s="18">
        <v>500</v>
      </c>
      <c r="L18" s="18">
        <v>0</v>
      </c>
      <c r="M18" s="18">
        <v>0</v>
      </c>
      <c r="N18" s="19">
        <f t="shared" si="0"/>
        <v>10000</v>
      </c>
      <c r="O18" s="20">
        <v>1</v>
      </c>
      <c r="P18" s="21" t="s">
        <v>77</v>
      </c>
      <c r="Q18" s="3" t="s">
        <v>81</v>
      </c>
      <c r="R18" s="3" t="s">
        <v>90</v>
      </c>
    </row>
    <row r="19" spans="1:18" x14ac:dyDescent="0.2">
      <c r="A19" s="3">
        <v>15</v>
      </c>
      <c r="B19" s="3" t="s">
        <v>117</v>
      </c>
      <c r="C19" s="3" t="s">
        <v>118</v>
      </c>
      <c r="D19" s="3" t="s">
        <v>86</v>
      </c>
      <c r="E19" s="21" t="s">
        <v>87</v>
      </c>
      <c r="F19" s="3" t="s">
        <v>76</v>
      </c>
      <c r="G19" s="16">
        <v>45536</v>
      </c>
      <c r="H19" s="17">
        <v>2.2999999999999998</v>
      </c>
      <c r="I19" s="18">
        <v>8250</v>
      </c>
      <c r="J19" s="18">
        <v>2500</v>
      </c>
      <c r="K19" s="18">
        <v>500</v>
      </c>
      <c r="L19" s="18">
        <v>0</v>
      </c>
      <c r="M19" s="18">
        <v>0</v>
      </c>
      <c r="N19" s="19">
        <f t="shared" si="0"/>
        <v>11250</v>
      </c>
      <c r="O19" s="20">
        <v>1</v>
      </c>
      <c r="P19" s="21" t="s">
        <v>77</v>
      </c>
      <c r="Q19" s="3" t="s">
        <v>78</v>
      </c>
      <c r="R19" s="3">
        <v>250</v>
      </c>
    </row>
    <row r="20" spans="1:18" x14ac:dyDescent="0.2">
      <c r="A20" s="3">
        <v>16</v>
      </c>
      <c r="B20" s="3" t="s">
        <v>119</v>
      </c>
      <c r="C20" s="3" t="s">
        <v>120</v>
      </c>
      <c r="D20" s="3" t="s">
        <v>121</v>
      </c>
      <c r="E20" s="24" t="s">
        <v>122</v>
      </c>
      <c r="F20" s="3" t="s">
        <v>76</v>
      </c>
      <c r="G20" s="16">
        <v>40787</v>
      </c>
      <c r="H20" s="17">
        <v>15.3</v>
      </c>
      <c r="I20" s="18">
        <v>12000</v>
      </c>
      <c r="J20" s="18">
        <v>2500</v>
      </c>
      <c r="K20" s="18">
        <v>500</v>
      </c>
      <c r="L20" s="18">
        <v>0</v>
      </c>
      <c r="M20" s="18">
        <v>900</v>
      </c>
      <c r="N20" s="19">
        <f t="shared" si="0"/>
        <v>15900</v>
      </c>
      <c r="O20" s="20">
        <v>1</v>
      </c>
      <c r="P20" s="21" t="s">
        <v>77</v>
      </c>
      <c r="Q20" s="3" t="s">
        <v>81</v>
      </c>
      <c r="R20" s="3">
        <v>250</v>
      </c>
    </row>
    <row r="21" spans="1:18" x14ac:dyDescent="0.2">
      <c r="A21" s="3">
        <v>17</v>
      </c>
      <c r="B21" s="3" t="s">
        <v>123</v>
      </c>
      <c r="C21" s="3" t="s">
        <v>124</v>
      </c>
      <c r="D21" s="3" t="s">
        <v>121</v>
      </c>
      <c r="E21" s="24" t="s">
        <v>122</v>
      </c>
      <c r="F21" s="3" t="s">
        <v>76</v>
      </c>
      <c r="G21" s="16">
        <v>45901</v>
      </c>
      <c r="H21" s="17">
        <v>1.3</v>
      </c>
      <c r="I21" s="18">
        <v>8750</v>
      </c>
      <c r="J21" s="18">
        <v>2500</v>
      </c>
      <c r="K21" s="18">
        <v>500</v>
      </c>
      <c r="L21" s="18">
        <v>0</v>
      </c>
      <c r="M21" s="18">
        <v>700</v>
      </c>
      <c r="N21" s="19">
        <f t="shared" si="0"/>
        <v>12450</v>
      </c>
      <c r="O21" s="20">
        <v>1</v>
      </c>
      <c r="P21" s="21" t="s">
        <v>77</v>
      </c>
      <c r="Q21" s="3" t="s">
        <v>78</v>
      </c>
      <c r="R21" s="3" t="s">
        <v>90</v>
      </c>
    </row>
    <row r="22" spans="1:18" x14ac:dyDescent="0.2">
      <c r="A22" s="3">
        <v>18</v>
      </c>
      <c r="B22" s="3" t="s">
        <v>125</v>
      </c>
      <c r="C22" s="3" t="s">
        <v>126</v>
      </c>
      <c r="D22" s="3" t="s">
        <v>86</v>
      </c>
      <c r="E22" s="21" t="s">
        <v>87</v>
      </c>
      <c r="F22" s="3" t="s">
        <v>76</v>
      </c>
      <c r="G22" s="16">
        <v>45536</v>
      </c>
      <c r="H22" s="17">
        <v>2.2999999999999998</v>
      </c>
      <c r="I22" s="18">
        <v>9000</v>
      </c>
      <c r="J22" s="18">
        <v>2500</v>
      </c>
      <c r="K22" s="18">
        <v>500</v>
      </c>
      <c r="L22" s="18">
        <v>0</v>
      </c>
      <c r="M22" s="18">
        <v>0</v>
      </c>
      <c r="N22" s="19">
        <f t="shared" si="0"/>
        <v>12000</v>
      </c>
      <c r="O22" s="20">
        <v>1</v>
      </c>
      <c r="P22" s="21" t="s">
        <v>77</v>
      </c>
      <c r="Q22" s="3" t="s">
        <v>81</v>
      </c>
      <c r="R22" s="3">
        <v>250</v>
      </c>
    </row>
    <row r="23" spans="1:18" x14ac:dyDescent="0.2">
      <c r="A23" s="3">
        <v>19</v>
      </c>
      <c r="B23" s="3" t="s">
        <v>127</v>
      </c>
      <c r="C23" s="3" t="s">
        <v>128</v>
      </c>
      <c r="D23" s="3" t="s">
        <v>102</v>
      </c>
      <c r="E23" s="21" t="s">
        <v>87</v>
      </c>
      <c r="F23" s="3" t="s">
        <v>76</v>
      </c>
      <c r="G23" s="16">
        <v>36404</v>
      </c>
      <c r="H23" s="17">
        <v>27.3</v>
      </c>
      <c r="I23" s="18">
        <v>13250</v>
      </c>
      <c r="J23" s="18">
        <v>2500</v>
      </c>
      <c r="K23" s="18">
        <v>500</v>
      </c>
      <c r="L23" s="18">
        <v>0</v>
      </c>
      <c r="M23" s="18">
        <v>1140</v>
      </c>
      <c r="N23" s="19">
        <f t="shared" si="0"/>
        <v>17390</v>
      </c>
      <c r="O23" s="20">
        <v>1</v>
      </c>
      <c r="P23" s="21" t="s">
        <v>77</v>
      </c>
      <c r="Q23" s="3" t="s">
        <v>81</v>
      </c>
      <c r="R23" s="3">
        <v>250</v>
      </c>
    </row>
    <row r="24" spans="1:18" x14ac:dyDescent="0.2">
      <c r="A24" s="3">
        <v>20</v>
      </c>
      <c r="B24" s="3" t="s">
        <v>106</v>
      </c>
      <c r="C24" s="3" t="s">
        <v>129</v>
      </c>
      <c r="D24" s="3" t="s">
        <v>102</v>
      </c>
      <c r="E24" s="21" t="s">
        <v>87</v>
      </c>
      <c r="F24" s="3" t="s">
        <v>76</v>
      </c>
      <c r="G24" s="16">
        <v>40787</v>
      </c>
      <c r="H24" s="17">
        <v>15.3</v>
      </c>
      <c r="I24" s="18">
        <v>10250</v>
      </c>
      <c r="J24" s="18">
        <v>2500</v>
      </c>
      <c r="K24" s="18">
        <v>500</v>
      </c>
      <c r="L24" s="18">
        <v>0</v>
      </c>
      <c r="M24" s="18">
        <v>70</v>
      </c>
      <c r="N24" s="19">
        <f t="shared" si="0"/>
        <v>13320</v>
      </c>
      <c r="O24" s="20">
        <v>1</v>
      </c>
      <c r="P24" s="21" t="s">
        <v>77</v>
      </c>
      <c r="Q24" s="3" t="s">
        <v>81</v>
      </c>
      <c r="R24" s="3">
        <v>250</v>
      </c>
    </row>
    <row r="25" spans="1:18" x14ac:dyDescent="0.2">
      <c r="A25" s="3">
        <v>21</v>
      </c>
      <c r="B25" s="3" t="s">
        <v>130</v>
      </c>
      <c r="C25" s="3" t="s">
        <v>131</v>
      </c>
      <c r="D25" s="3" t="s">
        <v>132</v>
      </c>
      <c r="E25" s="24" t="s">
        <v>122</v>
      </c>
      <c r="F25" s="3" t="s">
        <v>76</v>
      </c>
      <c r="G25" s="16">
        <v>44805</v>
      </c>
      <c r="H25" s="17">
        <v>4.3</v>
      </c>
      <c r="I25" s="18">
        <v>8750</v>
      </c>
      <c r="J25" s="18">
        <v>2500</v>
      </c>
      <c r="K25" s="18">
        <v>500</v>
      </c>
      <c r="L25" s="18">
        <v>0</v>
      </c>
      <c r="M25" s="18">
        <v>1300</v>
      </c>
      <c r="N25" s="19">
        <f t="shared" si="0"/>
        <v>13050</v>
      </c>
      <c r="O25" s="20">
        <v>1</v>
      </c>
      <c r="P25" s="21" t="s">
        <v>77</v>
      </c>
      <c r="Q25" s="3" t="s">
        <v>81</v>
      </c>
      <c r="R25" s="3">
        <v>250</v>
      </c>
    </row>
    <row r="26" spans="1:18" x14ac:dyDescent="0.2">
      <c r="A26" s="3">
        <v>22</v>
      </c>
      <c r="B26" s="3" t="s">
        <v>133</v>
      </c>
      <c r="C26" s="3" t="s">
        <v>134</v>
      </c>
      <c r="D26" s="3" t="s">
        <v>132</v>
      </c>
      <c r="E26" s="24" t="s">
        <v>122</v>
      </c>
      <c r="F26" s="3" t="s">
        <v>76</v>
      </c>
      <c r="G26" s="16">
        <v>36770</v>
      </c>
      <c r="H26" s="17">
        <v>26.3</v>
      </c>
      <c r="I26" s="18">
        <v>9500</v>
      </c>
      <c r="J26" s="18">
        <v>2500</v>
      </c>
      <c r="K26" s="18">
        <v>500</v>
      </c>
      <c r="L26" s="18">
        <v>0</v>
      </c>
      <c r="M26" s="18">
        <v>400</v>
      </c>
      <c r="N26" s="19">
        <f t="shared" si="0"/>
        <v>12900</v>
      </c>
      <c r="O26" s="20">
        <v>1</v>
      </c>
      <c r="P26" s="21" t="s">
        <v>77</v>
      </c>
      <c r="Q26" s="3" t="s">
        <v>78</v>
      </c>
      <c r="R26" s="3" t="s">
        <v>135</v>
      </c>
    </row>
    <row r="27" spans="1:18" x14ac:dyDescent="0.2">
      <c r="A27" s="3">
        <v>23</v>
      </c>
      <c r="B27" s="3" t="s">
        <v>136</v>
      </c>
      <c r="C27" s="3" t="s">
        <v>137</v>
      </c>
      <c r="D27" s="3" t="s">
        <v>138</v>
      </c>
      <c r="E27" s="22" t="s">
        <v>94</v>
      </c>
      <c r="F27" s="3" t="s">
        <v>76</v>
      </c>
      <c r="G27" s="16">
        <v>45902</v>
      </c>
      <c r="H27" s="17">
        <v>1.3</v>
      </c>
      <c r="I27" s="18">
        <v>7400</v>
      </c>
      <c r="J27" s="18">
        <v>2500</v>
      </c>
      <c r="K27" s="18">
        <v>500</v>
      </c>
      <c r="L27" s="18">
        <v>0</v>
      </c>
      <c r="M27" s="18">
        <v>0</v>
      </c>
      <c r="N27" s="19">
        <f t="shared" si="0"/>
        <v>10400</v>
      </c>
      <c r="O27" s="20">
        <v>1</v>
      </c>
      <c r="P27" s="21" t="s">
        <v>77</v>
      </c>
      <c r="Q27" s="3" t="s">
        <v>81</v>
      </c>
      <c r="R27" s="3" t="s">
        <v>90</v>
      </c>
    </row>
    <row r="28" spans="1:18" x14ac:dyDescent="0.2">
      <c r="A28" s="3">
        <v>24</v>
      </c>
      <c r="B28" s="3" t="s">
        <v>139</v>
      </c>
      <c r="C28" s="3" t="s">
        <v>140</v>
      </c>
      <c r="D28" s="3" t="s">
        <v>121</v>
      </c>
      <c r="E28" s="24" t="s">
        <v>122</v>
      </c>
      <c r="F28" s="3" t="s">
        <v>76</v>
      </c>
      <c r="G28" s="16">
        <v>45170</v>
      </c>
      <c r="H28" s="17">
        <v>3.3</v>
      </c>
      <c r="I28" s="18">
        <v>9500</v>
      </c>
      <c r="J28" s="18">
        <v>2500</v>
      </c>
      <c r="K28" s="18">
        <v>500</v>
      </c>
      <c r="L28" s="18">
        <v>0</v>
      </c>
      <c r="M28" s="18">
        <v>880</v>
      </c>
      <c r="N28" s="19">
        <f t="shared" si="0"/>
        <v>13380</v>
      </c>
      <c r="O28" s="20">
        <v>1</v>
      </c>
      <c r="P28" s="21" t="s">
        <v>77</v>
      </c>
      <c r="Q28" s="3" t="s">
        <v>78</v>
      </c>
      <c r="R28" s="3">
        <v>250</v>
      </c>
    </row>
    <row r="29" spans="1:18" x14ac:dyDescent="0.2">
      <c r="A29" s="3">
        <v>25</v>
      </c>
      <c r="B29" s="3" t="s">
        <v>141</v>
      </c>
      <c r="C29" s="3" t="s">
        <v>142</v>
      </c>
      <c r="D29" s="3" t="s">
        <v>86</v>
      </c>
      <c r="E29" s="21" t="s">
        <v>87</v>
      </c>
      <c r="F29" s="3" t="s">
        <v>76</v>
      </c>
      <c r="G29" s="16">
        <v>45536</v>
      </c>
      <c r="H29" s="17">
        <v>2.2999999999999998</v>
      </c>
      <c r="I29" s="18">
        <v>9000</v>
      </c>
      <c r="J29" s="18">
        <v>2500</v>
      </c>
      <c r="K29" s="18">
        <v>500</v>
      </c>
      <c r="L29" s="18">
        <v>0</v>
      </c>
      <c r="M29" s="18">
        <v>0</v>
      </c>
      <c r="N29" s="19">
        <f t="shared" si="0"/>
        <v>12000</v>
      </c>
      <c r="O29" s="20">
        <v>1</v>
      </c>
      <c r="P29" s="21" t="s">
        <v>77</v>
      </c>
      <c r="Q29" s="3" t="s">
        <v>78</v>
      </c>
      <c r="R29" s="3">
        <v>250</v>
      </c>
    </row>
    <row r="30" spans="1:18" x14ac:dyDescent="0.2">
      <c r="A30" s="3">
        <v>26</v>
      </c>
      <c r="B30" s="3" t="s">
        <v>143</v>
      </c>
      <c r="C30" s="3" t="s">
        <v>144</v>
      </c>
      <c r="D30" s="3" t="s">
        <v>86</v>
      </c>
      <c r="E30" s="21" t="s">
        <v>87</v>
      </c>
      <c r="F30" s="3" t="s">
        <v>76</v>
      </c>
      <c r="G30" s="16">
        <v>45170</v>
      </c>
      <c r="H30" s="17">
        <v>3.3</v>
      </c>
      <c r="I30" s="18">
        <v>11000</v>
      </c>
      <c r="J30" s="18">
        <v>2500</v>
      </c>
      <c r="K30" s="18">
        <v>500</v>
      </c>
      <c r="L30" s="18">
        <v>0</v>
      </c>
      <c r="M30" s="18">
        <v>0</v>
      </c>
      <c r="N30" s="19">
        <f t="shared" si="0"/>
        <v>14000</v>
      </c>
      <c r="O30" s="20">
        <v>1</v>
      </c>
      <c r="P30" s="21" t="s">
        <v>77</v>
      </c>
      <c r="Q30" s="3" t="s">
        <v>81</v>
      </c>
      <c r="R30" s="3">
        <v>250</v>
      </c>
    </row>
    <row r="31" spans="1:18" x14ac:dyDescent="0.2">
      <c r="A31" s="3">
        <v>27</v>
      </c>
      <c r="B31" s="3" t="s">
        <v>145</v>
      </c>
      <c r="C31" s="3" t="s">
        <v>146</v>
      </c>
      <c r="D31" s="3" t="s">
        <v>147</v>
      </c>
      <c r="E31" s="24" t="s">
        <v>122</v>
      </c>
      <c r="F31" s="3" t="s">
        <v>76</v>
      </c>
      <c r="G31" s="16">
        <v>44805</v>
      </c>
      <c r="H31" s="17">
        <v>4.3</v>
      </c>
      <c r="I31" s="18">
        <v>8750</v>
      </c>
      <c r="J31" s="18">
        <v>2500</v>
      </c>
      <c r="K31" s="18">
        <v>500</v>
      </c>
      <c r="L31" s="18">
        <v>0</v>
      </c>
      <c r="M31" s="18">
        <v>500</v>
      </c>
      <c r="N31" s="19">
        <f t="shared" si="0"/>
        <v>12250</v>
      </c>
      <c r="O31" s="20">
        <v>1</v>
      </c>
      <c r="P31" s="21" t="s">
        <v>77</v>
      </c>
      <c r="Q31" s="3" t="s">
        <v>78</v>
      </c>
      <c r="R31" s="3">
        <v>250</v>
      </c>
    </row>
    <row r="32" spans="1:18" x14ac:dyDescent="0.2">
      <c r="A32" s="3">
        <v>28</v>
      </c>
      <c r="B32" s="3" t="s">
        <v>148</v>
      </c>
      <c r="C32" s="3" t="s">
        <v>149</v>
      </c>
      <c r="D32" s="3" t="s">
        <v>121</v>
      </c>
      <c r="E32" s="24" t="s">
        <v>122</v>
      </c>
      <c r="F32" s="3" t="s">
        <v>76</v>
      </c>
      <c r="G32" s="16">
        <v>45901</v>
      </c>
      <c r="H32" s="17">
        <v>1.3</v>
      </c>
      <c r="I32" s="18">
        <v>7200</v>
      </c>
      <c r="J32" s="18">
        <v>2250</v>
      </c>
      <c r="K32" s="18">
        <v>450</v>
      </c>
      <c r="L32" s="18">
        <v>0</v>
      </c>
      <c r="M32" s="18">
        <v>0</v>
      </c>
      <c r="N32" s="19">
        <f t="shared" si="0"/>
        <v>9900</v>
      </c>
      <c r="O32" s="20">
        <v>0.9</v>
      </c>
      <c r="P32" s="21" t="s">
        <v>77</v>
      </c>
      <c r="Q32" s="3" t="s">
        <v>78</v>
      </c>
      <c r="R32" s="3" t="s">
        <v>90</v>
      </c>
    </row>
    <row r="33" spans="1:18" x14ac:dyDescent="0.2">
      <c r="A33" s="3">
        <v>29</v>
      </c>
      <c r="B33" s="3" t="s">
        <v>150</v>
      </c>
      <c r="C33" s="3" t="s">
        <v>151</v>
      </c>
      <c r="D33" s="3" t="s">
        <v>152</v>
      </c>
      <c r="E33" s="13" t="s">
        <v>75</v>
      </c>
      <c r="F33" s="3" t="s">
        <v>76</v>
      </c>
      <c r="G33" s="16">
        <v>45908</v>
      </c>
      <c r="H33" s="17">
        <v>1.3</v>
      </c>
      <c r="I33" s="18">
        <v>13000</v>
      </c>
      <c r="J33" s="18">
        <v>2500</v>
      </c>
      <c r="K33" s="18">
        <v>500</v>
      </c>
      <c r="L33" s="18">
        <v>0</v>
      </c>
      <c r="M33" s="18">
        <v>0</v>
      </c>
      <c r="N33" s="19">
        <f t="shared" si="0"/>
        <v>16000</v>
      </c>
      <c r="O33" s="20">
        <v>1</v>
      </c>
      <c r="P33" s="21" t="s">
        <v>77</v>
      </c>
      <c r="Q33" s="3" t="s">
        <v>78</v>
      </c>
      <c r="R33" s="3" t="s">
        <v>90</v>
      </c>
    </row>
    <row r="34" spans="1:18" x14ac:dyDescent="0.2">
      <c r="A34" s="3">
        <v>30</v>
      </c>
      <c r="B34" s="3" t="s">
        <v>153</v>
      </c>
      <c r="C34" s="3" t="s">
        <v>154</v>
      </c>
      <c r="D34" s="3" t="s">
        <v>121</v>
      </c>
      <c r="E34" s="24" t="s">
        <v>122</v>
      </c>
      <c r="F34" s="3" t="s">
        <v>76</v>
      </c>
      <c r="G34" s="16">
        <v>44075</v>
      </c>
      <c r="H34" s="17">
        <v>6.3</v>
      </c>
      <c r="I34" s="18">
        <v>9250</v>
      </c>
      <c r="J34" s="18">
        <v>2500</v>
      </c>
      <c r="K34" s="18">
        <v>500</v>
      </c>
      <c r="L34" s="18">
        <v>0</v>
      </c>
      <c r="M34" s="18">
        <v>0</v>
      </c>
      <c r="N34" s="19">
        <f t="shared" si="0"/>
        <v>12250</v>
      </c>
      <c r="O34" s="20">
        <v>1</v>
      </c>
      <c r="P34" s="21" t="s">
        <v>77</v>
      </c>
      <c r="Q34" s="3" t="s">
        <v>81</v>
      </c>
      <c r="R34" s="3">
        <v>250</v>
      </c>
    </row>
    <row r="35" spans="1:18" x14ac:dyDescent="0.2">
      <c r="A35" s="3">
        <v>31</v>
      </c>
      <c r="B35" s="3" t="s">
        <v>155</v>
      </c>
      <c r="C35" s="3" t="s">
        <v>156</v>
      </c>
      <c r="D35" s="3" t="s">
        <v>121</v>
      </c>
      <c r="E35" s="24" t="s">
        <v>122</v>
      </c>
      <c r="F35" s="3" t="s">
        <v>76</v>
      </c>
      <c r="G35" s="16">
        <v>44440</v>
      </c>
      <c r="H35" s="17">
        <v>5.3</v>
      </c>
      <c r="I35" s="18">
        <v>9000</v>
      </c>
      <c r="J35" s="18">
        <v>2500</v>
      </c>
      <c r="K35" s="18">
        <v>500</v>
      </c>
      <c r="L35" s="18">
        <v>0</v>
      </c>
      <c r="M35" s="18">
        <v>1080</v>
      </c>
      <c r="N35" s="19">
        <f t="shared" si="0"/>
        <v>13080</v>
      </c>
      <c r="O35" s="20">
        <v>1</v>
      </c>
      <c r="P35" s="21" t="s">
        <v>77</v>
      </c>
      <c r="Q35" s="3" t="s">
        <v>78</v>
      </c>
      <c r="R35" s="3">
        <v>250</v>
      </c>
    </row>
    <row r="36" spans="1:18" x14ac:dyDescent="0.2">
      <c r="A36" s="3">
        <v>32</v>
      </c>
      <c r="B36" s="3" t="s">
        <v>157</v>
      </c>
      <c r="C36" s="3" t="s">
        <v>158</v>
      </c>
      <c r="D36" s="3" t="s">
        <v>159</v>
      </c>
      <c r="E36" s="23" t="s">
        <v>160</v>
      </c>
      <c r="F36" s="3" t="s">
        <v>76</v>
      </c>
      <c r="G36" s="16">
        <v>42979</v>
      </c>
      <c r="H36" s="17">
        <v>9.3000000000000007</v>
      </c>
      <c r="I36" s="18">
        <v>7200</v>
      </c>
      <c r="J36" s="18">
        <v>2500</v>
      </c>
      <c r="K36" s="18">
        <v>500</v>
      </c>
      <c r="L36" s="18">
        <v>0</v>
      </c>
      <c r="M36" s="18">
        <v>0</v>
      </c>
      <c r="N36" s="19">
        <f t="shared" si="0"/>
        <v>10200</v>
      </c>
      <c r="O36" s="20">
        <v>1</v>
      </c>
      <c r="P36" s="21" t="s">
        <v>77</v>
      </c>
      <c r="Q36" s="3" t="s">
        <v>81</v>
      </c>
      <c r="R36" s="3">
        <v>200</v>
      </c>
    </row>
    <row r="37" spans="1:18" x14ac:dyDescent="0.2">
      <c r="A37" s="3">
        <v>33</v>
      </c>
      <c r="B37" s="3" t="s">
        <v>161</v>
      </c>
      <c r="C37" s="3" t="s">
        <v>162</v>
      </c>
      <c r="D37" s="3" t="s">
        <v>121</v>
      </c>
      <c r="E37" s="24" t="s">
        <v>122</v>
      </c>
      <c r="F37" s="3" t="s">
        <v>76</v>
      </c>
      <c r="G37" s="16">
        <v>45901</v>
      </c>
      <c r="H37" s="17">
        <v>1.3</v>
      </c>
      <c r="I37" s="18">
        <v>8250</v>
      </c>
      <c r="J37" s="18">
        <v>2500</v>
      </c>
      <c r="K37" s="18">
        <v>500</v>
      </c>
      <c r="L37" s="18">
        <v>0</v>
      </c>
      <c r="M37" s="18">
        <v>0</v>
      </c>
      <c r="N37" s="19">
        <f t="shared" ref="N37:N68" si="1">SUM(I37:M37)</f>
        <v>11250</v>
      </c>
      <c r="O37" s="20">
        <v>1</v>
      </c>
      <c r="P37" s="21" t="s">
        <v>77</v>
      </c>
      <c r="Q37" s="3" t="s">
        <v>81</v>
      </c>
      <c r="R37" s="3" t="s">
        <v>90</v>
      </c>
    </row>
    <row r="38" spans="1:18" x14ac:dyDescent="0.2">
      <c r="A38" s="3">
        <v>34</v>
      </c>
      <c r="B38" s="3" t="s">
        <v>163</v>
      </c>
      <c r="C38" s="3" t="s">
        <v>164</v>
      </c>
      <c r="D38" s="3" t="s">
        <v>121</v>
      </c>
      <c r="E38" s="24" t="s">
        <v>122</v>
      </c>
      <c r="F38" s="3" t="s">
        <v>76</v>
      </c>
      <c r="G38" s="16">
        <v>43344</v>
      </c>
      <c r="H38" s="17">
        <v>8.3000000000000007</v>
      </c>
      <c r="I38" s="18">
        <v>10000</v>
      </c>
      <c r="J38" s="18">
        <v>2500</v>
      </c>
      <c r="K38" s="18">
        <v>500</v>
      </c>
      <c r="L38" s="18">
        <v>0</v>
      </c>
      <c r="M38" s="18">
        <v>1300</v>
      </c>
      <c r="N38" s="19">
        <f t="shared" si="1"/>
        <v>14300</v>
      </c>
      <c r="O38" s="20">
        <v>1</v>
      </c>
      <c r="P38" s="21" t="s">
        <v>77</v>
      </c>
      <c r="Q38" s="3" t="s">
        <v>81</v>
      </c>
      <c r="R38" s="3">
        <v>250</v>
      </c>
    </row>
    <row r="39" spans="1:18" x14ac:dyDescent="0.2">
      <c r="A39" s="3">
        <v>35</v>
      </c>
      <c r="B39" s="3" t="s">
        <v>165</v>
      </c>
      <c r="C39" s="3" t="s">
        <v>166</v>
      </c>
      <c r="D39" s="3" t="s">
        <v>167</v>
      </c>
      <c r="E39" s="13" t="s">
        <v>75</v>
      </c>
      <c r="F39" s="3" t="s">
        <v>76</v>
      </c>
      <c r="G39" s="16">
        <v>44805</v>
      </c>
      <c r="H39" s="17">
        <v>4.3</v>
      </c>
      <c r="I39" s="18">
        <v>11750</v>
      </c>
      <c r="J39" s="18">
        <v>2500</v>
      </c>
      <c r="K39" s="18">
        <v>500</v>
      </c>
      <c r="L39" s="18">
        <v>0</v>
      </c>
      <c r="M39" s="18">
        <v>0</v>
      </c>
      <c r="N39" s="19">
        <f t="shared" si="1"/>
        <v>14750</v>
      </c>
      <c r="O39" s="20">
        <v>1</v>
      </c>
      <c r="P39" s="21" t="s">
        <v>77</v>
      </c>
      <c r="Q39" s="3" t="s">
        <v>81</v>
      </c>
      <c r="R39" s="3">
        <v>250</v>
      </c>
    </row>
    <row r="40" spans="1:18" x14ac:dyDescent="0.2">
      <c r="A40" s="3">
        <v>36</v>
      </c>
      <c r="B40" s="3" t="s">
        <v>168</v>
      </c>
      <c r="C40" s="3" t="s">
        <v>169</v>
      </c>
      <c r="D40" s="3" t="s">
        <v>74</v>
      </c>
      <c r="E40" s="13" t="s">
        <v>75</v>
      </c>
      <c r="F40" s="3" t="s">
        <v>76</v>
      </c>
      <c r="G40" s="16">
        <v>45536</v>
      </c>
      <c r="H40" s="17">
        <v>2.2999999999999998</v>
      </c>
      <c r="I40" s="18">
        <v>7600</v>
      </c>
      <c r="J40" s="18">
        <v>2500</v>
      </c>
      <c r="K40" s="18">
        <v>500</v>
      </c>
      <c r="L40" s="18">
        <v>0</v>
      </c>
      <c r="M40" s="18">
        <v>0</v>
      </c>
      <c r="N40" s="19">
        <f t="shared" si="1"/>
        <v>10600</v>
      </c>
      <c r="O40" s="20">
        <v>1</v>
      </c>
      <c r="P40" s="21" t="s">
        <v>77</v>
      </c>
      <c r="Q40" s="3" t="s">
        <v>81</v>
      </c>
      <c r="R40" s="3">
        <v>200</v>
      </c>
    </row>
    <row r="41" spans="1:18" x14ac:dyDescent="0.2">
      <c r="A41" s="3">
        <v>37</v>
      </c>
      <c r="B41" s="3" t="s">
        <v>170</v>
      </c>
      <c r="C41" s="3" t="s">
        <v>171</v>
      </c>
      <c r="D41" s="3" t="s">
        <v>121</v>
      </c>
      <c r="E41" s="24" t="s">
        <v>122</v>
      </c>
      <c r="F41" s="3" t="s">
        <v>76</v>
      </c>
      <c r="G41" s="16">
        <v>45536</v>
      </c>
      <c r="H41" s="17">
        <v>2.2999999999999998</v>
      </c>
      <c r="I41" s="18">
        <v>10000</v>
      </c>
      <c r="J41" s="18">
        <v>2500</v>
      </c>
      <c r="K41" s="18">
        <v>500</v>
      </c>
      <c r="L41" s="18">
        <v>0</v>
      </c>
      <c r="M41" s="18">
        <v>900</v>
      </c>
      <c r="N41" s="19">
        <f t="shared" si="1"/>
        <v>13900</v>
      </c>
      <c r="O41" s="20">
        <v>1</v>
      </c>
      <c r="P41" s="21" t="s">
        <v>77</v>
      </c>
      <c r="Q41" s="3" t="s">
        <v>81</v>
      </c>
      <c r="R41" s="3">
        <v>250</v>
      </c>
    </row>
    <row r="42" spans="1:18" x14ac:dyDescent="0.2">
      <c r="A42" s="3">
        <v>38</v>
      </c>
      <c r="B42" s="3" t="s">
        <v>172</v>
      </c>
      <c r="C42" s="3" t="s">
        <v>173</v>
      </c>
      <c r="D42" s="3" t="s">
        <v>86</v>
      </c>
      <c r="E42" s="21" t="s">
        <v>87</v>
      </c>
      <c r="F42" s="3" t="s">
        <v>76</v>
      </c>
      <c r="G42" s="16">
        <v>43709</v>
      </c>
      <c r="H42" s="17">
        <v>7.3</v>
      </c>
      <c r="I42" s="18">
        <v>9500</v>
      </c>
      <c r="J42" s="18">
        <v>2500</v>
      </c>
      <c r="K42" s="18">
        <v>500</v>
      </c>
      <c r="L42" s="18">
        <v>0</v>
      </c>
      <c r="M42" s="18">
        <v>0</v>
      </c>
      <c r="N42" s="19">
        <f t="shared" si="1"/>
        <v>12500</v>
      </c>
      <c r="O42" s="20">
        <v>1</v>
      </c>
      <c r="P42" s="21" t="s">
        <v>77</v>
      </c>
      <c r="Q42" s="3" t="s">
        <v>81</v>
      </c>
      <c r="R42" s="3">
        <v>250</v>
      </c>
    </row>
    <row r="43" spans="1:18" x14ac:dyDescent="0.2">
      <c r="A43" s="3">
        <v>39</v>
      </c>
      <c r="B43" s="3" t="s">
        <v>174</v>
      </c>
      <c r="C43" s="3" t="s">
        <v>175</v>
      </c>
      <c r="D43" s="3" t="s">
        <v>159</v>
      </c>
      <c r="E43" s="23" t="s">
        <v>160</v>
      </c>
      <c r="F43" s="3" t="s">
        <v>76</v>
      </c>
      <c r="G43" s="16">
        <v>45170</v>
      </c>
      <c r="H43" s="17">
        <v>3.3</v>
      </c>
      <c r="I43" s="18">
        <v>6200</v>
      </c>
      <c r="J43" s="18">
        <v>2500</v>
      </c>
      <c r="K43" s="18">
        <v>500</v>
      </c>
      <c r="L43" s="18">
        <v>0</v>
      </c>
      <c r="M43" s="18">
        <v>0</v>
      </c>
      <c r="N43" s="19">
        <f t="shared" si="1"/>
        <v>9200</v>
      </c>
      <c r="O43" s="20">
        <v>1</v>
      </c>
      <c r="P43" s="21" t="s">
        <v>77</v>
      </c>
      <c r="Q43" s="3" t="s">
        <v>78</v>
      </c>
      <c r="R43" s="3">
        <v>200</v>
      </c>
    </row>
    <row r="44" spans="1:18" x14ac:dyDescent="0.2">
      <c r="A44" s="3">
        <v>40</v>
      </c>
      <c r="B44" s="3" t="s">
        <v>176</v>
      </c>
      <c r="C44" s="3" t="s">
        <v>177</v>
      </c>
      <c r="D44" s="3" t="s">
        <v>159</v>
      </c>
      <c r="E44" s="23" t="s">
        <v>160</v>
      </c>
      <c r="F44" s="3" t="s">
        <v>76</v>
      </c>
      <c r="G44" s="16">
        <v>42614</v>
      </c>
      <c r="H44" s="17">
        <v>10.3</v>
      </c>
      <c r="I44" s="18">
        <v>8500</v>
      </c>
      <c r="J44" s="18">
        <v>2500</v>
      </c>
      <c r="K44" s="18">
        <v>500</v>
      </c>
      <c r="L44" s="18">
        <v>0</v>
      </c>
      <c r="M44" s="18">
        <v>0</v>
      </c>
      <c r="N44" s="19">
        <f t="shared" si="1"/>
        <v>11500</v>
      </c>
      <c r="O44" s="20">
        <v>1</v>
      </c>
      <c r="P44" s="21" t="s">
        <v>77</v>
      </c>
      <c r="Q44" s="3" t="s">
        <v>78</v>
      </c>
      <c r="R44" s="3">
        <v>250</v>
      </c>
    </row>
    <row r="45" spans="1:18" x14ac:dyDescent="0.2">
      <c r="A45" s="3">
        <v>41</v>
      </c>
      <c r="B45" s="3" t="s">
        <v>178</v>
      </c>
      <c r="C45" s="3" t="s">
        <v>179</v>
      </c>
      <c r="D45" s="3" t="s">
        <v>86</v>
      </c>
      <c r="E45" s="21" t="s">
        <v>87</v>
      </c>
      <c r="F45" s="3" t="s">
        <v>76</v>
      </c>
      <c r="G45" s="16">
        <v>44805</v>
      </c>
      <c r="H45" s="17">
        <v>4.3</v>
      </c>
      <c r="I45" s="18">
        <v>9000</v>
      </c>
      <c r="J45" s="18">
        <v>2500</v>
      </c>
      <c r="K45" s="18">
        <v>500</v>
      </c>
      <c r="L45" s="18">
        <v>0</v>
      </c>
      <c r="M45" s="18">
        <v>0</v>
      </c>
      <c r="N45" s="19">
        <f t="shared" si="1"/>
        <v>12000</v>
      </c>
      <c r="O45" s="20">
        <v>1</v>
      </c>
      <c r="P45" s="21" t="s">
        <v>77</v>
      </c>
      <c r="Q45" s="3" t="s">
        <v>81</v>
      </c>
      <c r="R45" s="3">
        <v>250</v>
      </c>
    </row>
    <row r="46" spans="1:18" x14ac:dyDescent="0.2">
      <c r="A46" s="3">
        <v>42</v>
      </c>
      <c r="B46" s="3" t="s">
        <v>180</v>
      </c>
      <c r="C46" s="3" t="s">
        <v>181</v>
      </c>
      <c r="D46" s="3" t="s">
        <v>182</v>
      </c>
      <c r="E46" s="22" t="s">
        <v>94</v>
      </c>
      <c r="F46" s="3" t="s">
        <v>76</v>
      </c>
      <c r="G46" s="16">
        <v>45908</v>
      </c>
      <c r="H46" s="17">
        <v>1.3</v>
      </c>
      <c r="I46" s="18">
        <v>7400</v>
      </c>
      <c r="J46" s="18">
        <v>2500</v>
      </c>
      <c r="K46" s="18">
        <v>500</v>
      </c>
      <c r="L46" s="18">
        <v>0</v>
      </c>
      <c r="M46" s="18">
        <v>0</v>
      </c>
      <c r="N46" s="19">
        <f t="shared" si="1"/>
        <v>10400</v>
      </c>
      <c r="O46" s="20">
        <v>1</v>
      </c>
      <c r="P46" s="21" t="s">
        <v>77</v>
      </c>
      <c r="Q46" s="3" t="s">
        <v>78</v>
      </c>
      <c r="R46" s="3" t="s">
        <v>90</v>
      </c>
    </row>
    <row r="47" spans="1:18" x14ac:dyDescent="0.2">
      <c r="A47" s="3">
        <v>43</v>
      </c>
      <c r="B47" s="3" t="s">
        <v>183</v>
      </c>
      <c r="C47" s="3" t="s">
        <v>184</v>
      </c>
      <c r="D47" s="3" t="s">
        <v>132</v>
      </c>
      <c r="E47" s="24" t="s">
        <v>122</v>
      </c>
      <c r="F47" s="3" t="s">
        <v>76</v>
      </c>
      <c r="G47" s="16">
        <v>44805</v>
      </c>
      <c r="H47" s="17">
        <v>4.3</v>
      </c>
      <c r="I47" s="18">
        <v>8000</v>
      </c>
      <c r="J47" s="18">
        <v>2500</v>
      </c>
      <c r="K47" s="18">
        <v>500</v>
      </c>
      <c r="L47" s="18">
        <v>0</v>
      </c>
      <c r="M47" s="18">
        <v>900</v>
      </c>
      <c r="N47" s="19">
        <f t="shared" si="1"/>
        <v>11900</v>
      </c>
      <c r="O47" s="20">
        <v>1</v>
      </c>
      <c r="P47" s="21" t="s">
        <v>77</v>
      </c>
      <c r="Q47" s="3" t="s">
        <v>81</v>
      </c>
      <c r="R47" s="3">
        <v>200</v>
      </c>
    </row>
    <row r="48" spans="1:18" x14ac:dyDescent="0.2">
      <c r="A48" s="3">
        <v>44</v>
      </c>
      <c r="B48" s="3" t="s">
        <v>185</v>
      </c>
      <c r="C48" s="3" t="s">
        <v>186</v>
      </c>
      <c r="D48" s="3" t="s">
        <v>147</v>
      </c>
      <c r="E48" s="24" t="s">
        <v>122</v>
      </c>
      <c r="F48" s="3" t="s">
        <v>76</v>
      </c>
      <c r="G48" s="16">
        <v>42979</v>
      </c>
      <c r="H48" s="17">
        <v>9.3000000000000007</v>
      </c>
      <c r="I48" s="18">
        <v>12250</v>
      </c>
      <c r="J48" s="18">
        <v>2500</v>
      </c>
      <c r="K48" s="18">
        <v>500</v>
      </c>
      <c r="L48" s="18">
        <v>0</v>
      </c>
      <c r="M48" s="18">
        <v>0</v>
      </c>
      <c r="N48" s="19">
        <f t="shared" si="1"/>
        <v>15250</v>
      </c>
      <c r="O48" s="20">
        <v>1</v>
      </c>
      <c r="P48" s="21" t="s">
        <v>77</v>
      </c>
      <c r="Q48" s="3" t="s">
        <v>81</v>
      </c>
      <c r="R48" s="3">
        <v>250</v>
      </c>
    </row>
    <row r="49" spans="1:18" x14ac:dyDescent="0.2">
      <c r="A49" s="3">
        <v>45</v>
      </c>
      <c r="B49" s="3" t="s">
        <v>187</v>
      </c>
      <c r="C49" s="3" t="s">
        <v>188</v>
      </c>
      <c r="D49" s="3" t="s">
        <v>132</v>
      </c>
      <c r="E49" s="24" t="s">
        <v>122</v>
      </c>
      <c r="F49" s="3" t="s">
        <v>76</v>
      </c>
      <c r="G49" s="16">
        <v>45194</v>
      </c>
      <c r="H49" s="17">
        <v>3.3</v>
      </c>
      <c r="I49" s="18">
        <v>7400</v>
      </c>
      <c r="J49" s="18">
        <v>2500</v>
      </c>
      <c r="K49" s="18">
        <v>500</v>
      </c>
      <c r="L49" s="18">
        <v>0</v>
      </c>
      <c r="M49" s="18">
        <v>0</v>
      </c>
      <c r="N49" s="19">
        <f t="shared" si="1"/>
        <v>10400</v>
      </c>
      <c r="O49" s="20">
        <v>1</v>
      </c>
      <c r="P49" s="21" t="s">
        <v>77</v>
      </c>
      <c r="Q49" s="3" t="s">
        <v>78</v>
      </c>
      <c r="R49" s="3">
        <v>200</v>
      </c>
    </row>
    <row r="50" spans="1:18" x14ac:dyDescent="0.2">
      <c r="A50" s="3">
        <v>46</v>
      </c>
      <c r="B50" s="3" t="s">
        <v>189</v>
      </c>
      <c r="C50" s="3" t="s">
        <v>190</v>
      </c>
      <c r="D50" s="3" t="s">
        <v>86</v>
      </c>
      <c r="E50" s="21" t="s">
        <v>87</v>
      </c>
      <c r="F50" s="3" t="s">
        <v>76</v>
      </c>
      <c r="G50" s="16">
        <v>45170</v>
      </c>
      <c r="H50" s="17">
        <v>3.3</v>
      </c>
      <c r="I50" s="18">
        <v>9000</v>
      </c>
      <c r="J50" s="18">
        <v>2500</v>
      </c>
      <c r="K50" s="18">
        <v>500</v>
      </c>
      <c r="L50" s="18">
        <v>0</v>
      </c>
      <c r="M50" s="18">
        <v>0</v>
      </c>
      <c r="N50" s="19">
        <f t="shared" si="1"/>
        <v>12000</v>
      </c>
      <c r="O50" s="20">
        <v>1</v>
      </c>
      <c r="P50" s="21" t="s">
        <v>77</v>
      </c>
      <c r="Q50" s="3" t="s">
        <v>78</v>
      </c>
      <c r="R50" s="3">
        <v>250</v>
      </c>
    </row>
    <row r="51" spans="1:18" x14ac:dyDescent="0.2">
      <c r="A51" s="3">
        <v>47</v>
      </c>
      <c r="B51" s="3" t="s">
        <v>191</v>
      </c>
      <c r="C51" s="3" t="s">
        <v>192</v>
      </c>
      <c r="D51" s="3" t="s">
        <v>121</v>
      </c>
      <c r="E51" s="24" t="s">
        <v>122</v>
      </c>
      <c r="F51" s="3" t="s">
        <v>76</v>
      </c>
      <c r="G51" s="16">
        <v>44440</v>
      </c>
      <c r="H51" s="17">
        <v>5.3</v>
      </c>
      <c r="I51" s="18">
        <v>9000</v>
      </c>
      <c r="J51" s="18">
        <v>2500</v>
      </c>
      <c r="K51" s="18">
        <v>500</v>
      </c>
      <c r="L51" s="18">
        <v>0</v>
      </c>
      <c r="M51" s="18">
        <v>1860</v>
      </c>
      <c r="N51" s="19">
        <f t="shared" si="1"/>
        <v>13860</v>
      </c>
      <c r="O51" s="20">
        <v>1</v>
      </c>
      <c r="P51" s="21" t="s">
        <v>77</v>
      </c>
      <c r="Q51" s="3" t="s">
        <v>78</v>
      </c>
      <c r="R51" s="3">
        <v>250</v>
      </c>
    </row>
    <row r="52" spans="1:18" x14ac:dyDescent="0.2">
      <c r="A52" s="3">
        <v>48</v>
      </c>
      <c r="B52" s="3" t="s">
        <v>193</v>
      </c>
      <c r="C52" s="3" t="s">
        <v>194</v>
      </c>
      <c r="D52" s="3" t="s">
        <v>74</v>
      </c>
      <c r="E52" s="13" t="s">
        <v>75</v>
      </c>
      <c r="F52" s="3" t="s">
        <v>76</v>
      </c>
      <c r="G52" s="16">
        <v>45536</v>
      </c>
      <c r="H52" s="17">
        <v>2.2999999999999998</v>
      </c>
      <c r="I52" s="18">
        <v>7200</v>
      </c>
      <c r="J52" s="18">
        <v>2500</v>
      </c>
      <c r="K52" s="18">
        <v>500</v>
      </c>
      <c r="L52" s="18">
        <v>0</v>
      </c>
      <c r="M52" s="18">
        <v>0</v>
      </c>
      <c r="N52" s="19">
        <f t="shared" si="1"/>
        <v>10200</v>
      </c>
      <c r="O52" s="20">
        <v>1</v>
      </c>
      <c r="P52" s="21" t="s">
        <v>77</v>
      </c>
      <c r="Q52" s="3" t="s">
        <v>81</v>
      </c>
      <c r="R52" s="3">
        <v>200</v>
      </c>
    </row>
    <row r="53" spans="1:18" x14ac:dyDescent="0.2">
      <c r="A53" s="3">
        <v>49</v>
      </c>
      <c r="B53" s="3" t="s">
        <v>195</v>
      </c>
      <c r="C53" s="3" t="s">
        <v>196</v>
      </c>
      <c r="D53" s="3" t="s">
        <v>121</v>
      </c>
      <c r="E53" s="24" t="s">
        <v>122</v>
      </c>
      <c r="F53" s="3" t="s">
        <v>76</v>
      </c>
      <c r="G53" s="16">
        <v>44805</v>
      </c>
      <c r="H53" s="17">
        <v>4.3</v>
      </c>
      <c r="I53" s="18">
        <v>8750</v>
      </c>
      <c r="J53" s="18">
        <v>2500</v>
      </c>
      <c r="K53" s="18">
        <v>500</v>
      </c>
      <c r="L53" s="18">
        <v>0</v>
      </c>
      <c r="M53" s="18">
        <v>0</v>
      </c>
      <c r="N53" s="19">
        <f t="shared" si="1"/>
        <v>11750</v>
      </c>
      <c r="O53" s="20">
        <v>1</v>
      </c>
      <c r="P53" s="21" t="s">
        <v>77</v>
      </c>
      <c r="Q53" s="3" t="s">
        <v>81</v>
      </c>
      <c r="R53" s="3">
        <v>250</v>
      </c>
    </row>
    <row r="54" spans="1:18" x14ac:dyDescent="0.2">
      <c r="A54" s="3">
        <v>50</v>
      </c>
      <c r="B54" s="3" t="s">
        <v>197</v>
      </c>
      <c r="C54" s="3" t="s">
        <v>198</v>
      </c>
      <c r="D54" s="3" t="s">
        <v>132</v>
      </c>
      <c r="E54" s="24" t="s">
        <v>122</v>
      </c>
      <c r="F54" s="3" t="s">
        <v>76</v>
      </c>
      <c r="G54" s="16">
        <v>43054</v>
      </c>
      <c r="H54" s="17">
        <v>9.1</v>
      </c>
      <c r="I54" s="18">
        <v>9250</v>
      </c>
      <c r="J54" s="18">
        <v>2500</v>
      </c>
      <c r="K54" s="18">
        <v>500</v>
      </c>
      <c r="L54" s="18">
        <v>0</v>
      </c>
      <c r="M54" s="18">
        <v>1100</v>
      </c>
      <c r="N54" s="19">
        <f t="shared" si="1"/>
        <v>13350</v>
      </c>
      <c r="O54" s="20">
        <v>1</v>
      </c>
      <c r="P54" s="21" t="s">
        <v>77</v>
      </c>
      <c r="Q54" s="3" t="s">
        <v>81</v>
      </c>
      <c r="R54" s="3">
        <v>250</v>
      </c>
    </row>
    <row r="55" spans="1:18" x14ac:dyDescent="0.2">
      <c r="A55" s="3">
        <v>51</v>
      </c>
      <c r="B55" s="3" t="s">
        <v>199</v>
      </c>
      <c r="C55" s="3" t="s">
        <v>200</v>
      </c>
      <c r="D55" s="3" t="s">
        <v>86</v>
      </c>
      <c r="E55" s="21" t="s">
        <v>87</v>
      </c>
      <c r="F55" s="3" t="s">
        <v>76</v>
      </c>
      <c r="G55" s="16">
        <v>44805</v>
      </c>
      <c r="H55" s="17">
        <v>4.3</v>
      </c>
      <c r="I55" s="18">
        <v>8750</v>
      </c>
      <c r="J55" s="18">
        <v>2500</v>
      </c>
      <c r="K55" s="18">
        <v>500</v>
      </c>
      <c r="L55" s="18">
        <v>0</v>
      </c>
      <c r="M55" s="18">
        <v>0</v>
      </c>
      <c r="N55" s="19">
        <f t="shared" si="1"/>
        <v>11750</v>
      </c>
      <c r="O55" s="20">
        <v>1</v>
      </c>
      <c r="P55" s="21" t="s">
        <v>77</v>
      </c>
      <c r="Q55" s="3" t="s">
        <v>81</v>
      </c>
      <c r="R55" s="3">
        <v>250</v>
      </c>
    </row>
    <row r="56" spans="1:18" x14ac:dyDescent="0.2">
      <c r="A56" s="3">
        <v>52</v>
      </c>
      <c r="B56" s="3" t="s">
        <v>201</v>
      </c>
      <c r="C56" s="3" t="s">
        <v>202</v>
      </c>
      <c r="D56" s="3" t="s">
        <v>132</v>
      </c>
      <c r="E56" s="24" t="s">
        <v>122</v>
      </c>
      <c r="F56" s="3" t="s">
        <v>76</v>
      </c>
      <c r="G56" s="16">
        <v>41153</v>
      </c>
      <c r="H56" s="17">
        <v>14.3</v>
      </c>
      <c r="I56" s="18">
        <v>10250</v>
      </c>
      <c r="J56" s="18">
        <v>2500</v>
      </c>
      <c r="K56" s="18">
        <v>500</v>
      </c>
      <c r="L56" s="18">
        <v>0</v>
      </c>
      <c r="M56" s="18">
        <v>0</v>
      </c>
      <c r="N56" s="19">
        <f t="shared" si="1"/>
        <v>13250</v>
      </c>
      <c r="O56" s="20">
        <v>1</v>
      </c>
      <c r="P56" s="21" t="s">
        <v>77</v>
      </c>
      <c r="Q56" s="3" t="s">
        <v>81</v>
      </c>
      <c r="R56" s="3">
        <v>250</v>
      </c>
    </row>
    <row r="57" spans="1:18" x14ac:dyDescent="0.2">
      <c r="A57" s="3">
        <v>53</v>
      </c>
      <c r="B57" s="3" t="s">
        <v>203</v>
      </c>
      <c r="C57" s="3" t="s">
        <v>204</v>
      </c>
      <c r="D57" s="3" t="s">
        <v>205</v>
      </c>
      <c r="E57" s="22" t="s">
        <v>94</v>
      </c>
      <c r="F57" s="3" t="s">
        <v>76</v>
      </c>
      <c r="G57" s="16">
        <v>44440</v>
      </c>
      <c r="H57" s="17">
        <v>5.3</v>
      </c>
      <c r="I57" s="18">
        <v>13250</v>
      </c>
      <c r="J57" s="18">
        <v>2500</v>
      </c>
      <c r="K57" s="18">
        <v>500</v>
      </c>
      <c r="L57" s="18">
        <v>500</v>
      </c>
      <c r="M57" s="18">
        <v>0</v>
      </c>
      <c r="N57" s="19">
        <f t="shared" si="1"/>
        <v>16750</v>
      </c>
      <c r="O57" s="20">
        <v>1</v>
      </c>
      <c r="P57" s="21" t="s">
        <v>77</v>
      </c>
      <c r="Q57" s="3" t="s">
        <v>78</v>
      </c>
      <c r="R57" s="3">
        <v>250</v>
      </c>
    </row>
    <row r="58" spans="1:18" x14ac:dyDescent="0.2">
      <c r="A58" s="3">
        <v>54</v>
      </c>
      <c r="B58" s="3" t="s">
        <v>206</v>
      </c>
      <c r="C58" s="3" t="s">
        <v>207</v>
      </c>
      <c r="D58" s="3" t="s">
        <v>121</v>
      </c>
      <c r="E58" s="24" t="s">
        <v>122</v>
      </c>
      <c r="F58" s="3" t="s">
        <v>76</v>
      </c>
      <c r="G58" s="16">
        <v>45170</v>
      </c>
      <c r="H58" s="17">
        <v>3.3</v>
      </c>
      <c r="I58" s="18">
        <v>10250</v>
      </c>
      <c r="J58" s="18">
        <v>2500</v>
      </c>
      <c r="K58" s="18">
        <v>500</v>
      </c>
      <c r="L58" s="18">
        <v>0</v>
      </c>
      <c r="M58" s="18">
        <v>0</v>
      </c>
      <c r="N58" s="19">
        <f t="shared" si="1"/>
        <v>13250</v>
      </c>
      <c r="O58" s="20">
        <v>1</v>
      </c>
      <c r="P58" s="21" t="s">
        <v>77</v>
      </c>
      <c r="Q58" s="3" t="s">
        <v>81</v>
      </c>
      <c r="R58" s="3">
        <v>1250</v>
      </c>
    </row>
    <row r="59" spans="1:18" x14ac:dyDescent="0.2">
      <c r="A59" s="3">
        <v>55</v>
      </c>
      <c r="B59" s="3" t="s">
        <v>208</v>
      </c>
      <c r="C59" s="3" t="s">
        <v>209</v>
      </c>
      <c r="D59" s="3" t="s">
        <v>121</v>
      </c>
      <c r="E59" s="24" t="s">
        <v>122</v>
      </c>
      <c r="F59" s="3" t="s">
        <v>76</v>
      </c>
      <c r="G59" s="16">
        <v>44440</v>
      </c>
      <c r="H59" s="17">
        <v>5.3</v>
      </c>
      <c r="I59" s="18">
        <v>8250</v>
      </c>
      <c r="J59" s="18">
        <v>2292</v>
      </c>
      <c r="K59" s="18">
        <v>458</v>
      </c>
      <c r="L59" s="18">
        <v>0</v>
      </c>
      <c r="M59" s="18">
        <v>0</v>
      </c>
      <c r="N59" s="19">
        <f t="shared" si="1"/>
        <v>11000</v>
      </c>
      <c r="O59" s="20">
        <v>0.91666666666666696</v>
      </c>
      <c r="P59" s="21" t="s">
        <v>77</v>
      </c>
      <c r="Q59" s="3" t="s">
        <v>78</v>
      </c>
      <c r="R59" s="3">
        <v>250</v>
      </c>
    </row>
    <row r="60" spans="1:18" x14ac:dyDescent="0.2">
      <c r="A60" s="3">
        <v>56</v>
      </c>
      <c r="B60" s="3" t="s">
        <v>210</v>
      </c>
      <c r="C60" s="3" t="s">
        <v>211</v>
      </c>
      <c r="D60" s="3" t="s">
        <v>121</v>
      </c>
      <c r="E60" s="24" t="s">
        <v>122</v>
      </c>
      <c r="F60" s="3" t="s">
        <v>76</v>
      </c>
      <c r="G60" s="16">
        <v>44440</v>
      </c>
      <c r="H60" s="17">
        <v>5.3</v>
      </c>
      <c r="I60" s="18">
        <v>10750</v>
      </c>
      <c r="J60" s="18">
        <v>2500</v>
      </c>
      <c r="K60" s="18">
        <v>500</v>
      </c>
      <c r="L60" s="18">
        <v>0</v>
      </c>
      <c r="M60" s="18">
        <v>900</v>
      </c>
      <c r="N60" s="19">
        <f t="shared" si="1"/>
        <v>14650</v>
      </c>
      <c r="O60" s="20">
        <v>1</v>
      </c>
      <c r="P60" s="21" t="s">
        <v>77</v>
      </c>
      <c r="Q60" s="3" t="s">
        <v>78</v>
      </c>
      <c r="R60" s="3">
        <v>250</v>
      </c>
    </row>
    <row r="61" spans="1:18" x14ac:dyDescent="0.2">
      <c r="A61" s="3">
        <v>57</v>
      </c>
      <c r="B61" s="3" t="s">
        <v>212</v>
      </c>
      <c r="C61" s="3" t="s">
        <v>213</v>
      </c>
      <c r="D61" s="3" t="s">
        <v>86</v>
      </c>
      <c r="E61" s="21" t="s">
        <v>87</v>
      </c>
      <c r="F61" s="3" t="s">
        <v>76</v>
      </c>
      <c r="G61" s="16">
        <v>42248</v>
      </c>
      <c r="H61" s="17">
        <v>11.3</v>
      </c>
      <c r="I61" s="18">
        <v>12000</v>
      </c>
      <c r="J61" s="18">
        <v>2500</v>
      </c>
      <c r="K61" s="18">
        <v>500</v>
      </c>
      <c r="L61" s="18">
        <v>0</v>
      </c>
      <c r="M61" s="18">
        <v>0</v>
      </c>
      <c r="N61" s="19">
        <f t="shared" si="1"/>
        <v>15000</v>
      </c>
      <c r="O61" s="20">
        <v>1</v>
      </c>
      <c r="P61" s="21" t="s">
        <v>77</v>
      </c>
      <c r="Q61" s="3" t="s">
        <v>81</v>
      </c>
      <c r="R61" s="3">
        <v>250</v>
      </c>
    </row>
    <row r="62" spans="1:18" x14ac:dyDescent="0.2">
      <c r="A62" s="3">
        <v>58</v>
      </c>
      <c r="B62" s="3" t="s">
        <v>214</v>
      </c>
      <c r="C62" s="3" t="s">
        <v>215</v>
      </c>
      <c r="D62" s="3" t="s">
        <v>86</v>
      </c>
      <c r="E62" s="21" t="s">
        <v>87</v>
      </c>
      <c r="F62" s="3" t="s">
        <v>76</v>
      </c>
      <c r="G62" s="16">
        <v>45901</v>
      </c>
      <c r="H62" s="17">
        <v>1.3</v>
      </c>
      <c r="I62" s="18">
        <v>8250</v>
      </c>
      <c r="J62" s="18">
        <v>2500</v>
      </c>
      <c r="K62" s="18">
        <v>500</v>
      </c>
      <c r="L62" s="18">
        <v>0</v>
      </c>
      <c r="M62" s="18">
        <v>0</v>
      </c>
      <c r="N62" s="19">
        <f t="shared" si="1"/>
        <v>11250</v>
      </c>
      <c r="O62" s="20">
        <v>1</v>
      </c>
      <c r="P62" s="21" t="s">
        <v>77</v>
      </c>
      <c r="Q62" s="3" t="s">
        <v>78</v>
      </c>
      <c r="R62" s="3" t="s">
        <v>90</v>
      </c>
    </row>
    <row r="63" spans="1:18" x14ac:dyDescent="0.2">
      <c r="A63" s="3">
        <v>59</v>
      </c>
      <c r="B63" s="3" t="s">
        <v>216</v>
      </c>
      <c r="C63" s="3" t="s">
        <v>217</v>
      </c>
      <c r="D63" s="3" t="s">
        <v>132</v>
      </c>
      <c r="E63" s="24" t="s">
        <v>122</v>
      </c>
      <c r="F63" s="3" t="s">
        <v>76</v>
      </c>
      <c r="G63" s="16">
        <v>45901</v>
      </c>
      <c r="H63" s="17">
        <v>1.3</v>
      </c>
      <c r="I63" s="18">
        <v>8750</v>
      </c>
      <c r="J63" s="18">
        <v>2500</v>
      </c>
      <c r="K63" s="18">
        <v>500</v>
      </c>
      <c r="L63" s="18">
        <v>0</v>
      </c>
      <c r="M63" s="18">
        <v>0</v>
      </c>
      <c r="N63" s="19">
        <f t="shared" si="1"/>
        <v>11750</v>
      </c>
      <c r="O63" s="20">
        <v>1</v>
      </c>
      <c r="P63" s="21" t="s">
        <v>77</v>
      </c>
      <c r="Q63" s="3" t="s">
        <v>78</v>
      </c>
      <c r="R63" s="3" t="s">
        <v>90</v>
      </c>
    </row>
    <row r="64" spans="1:18" x14ac:dyDescent="0.2">
      <c r="A64" s="3">
        <v>60</v>
      </c>
      <c r="B64" s="3" t="s">
        <v>218</v>
      </c>
      <c r="C64" s="3" t="s">
        <v>219</v>
      </c>
      <c r="D64" s="3" t="s">
        <v>86</v>
      </c>
      <c r="E64" s="21" t="s">
        <v>87</v>
      </c>
      <c r="F64" s="3" t="s">
        <v>76</v>
      </c>
      <c r="G64" s="16">
        <v>45901</v>
      </c>
      <c r="H64" s="17">
        <v>1.3</v>
      </c>
      <c r="I64" s="18">
        <v>8750</v>
      </c>
      <c r="J64" s="18">
        <v>2500</v>
      </c>
      <c r="K64" s="18">
        <v>500</v>
      </c>
      <c r="L64" s="18">
        <v>0</v>
      </c>
      <c r="M64" s="18">
        <v>0</v>
      </c>
      <c r="N64" s="19">
        <f t="shared" si="1"/>
        <v>11750</v>
      </c>
      <c r="O64" s="20">
        <v>1</v>
      </c>
      <c r="P64" s="21" t="s">
        <v>77</v>
      </c>
      <c r="Q64" s="3" t="s">
        <v>81</v>
      </c>
      <c r="R64" s="3" t="s">
        <v>90</v>
      </c>
    </row>
    <row r="65" spans="1:18" x14ac:dyDescent="0.2">
      <c r="A65" s="3">
        <v>61</v>
      </c>
      <c r="B65" s="3" t="s">
        <v>220</v>
      </c>
      <c r="C65" s="3" t="s">
        <v>142</v>
      </c>
      <c r="D65" s="3" t="s">
        <v>159</v>
      </c>
      <c r="E65" s="23" t="s">
        <v>160</v>
      </c>
      <c r="F65" s="3" t="s">
        <v>76</v>
      </c>
      <c r="G65" s="16">
        <v>44440</v>
      </c>
      <c r="H65" s="17">
        <v>5.3</v>
      </c>
      <c r="I65" s="18">
        <v>6800</v>
      </c>
      <c r="J65" s="18">
        <v>2500</v>
      </c>
      <c r="K65" s="18">
        <v>500</v>
      </c>
      <c r="L65" s="18">
        <v>0</v>
      </c>
      <c r="M65" s="18">
        <v>0</v>
      </c>
      <c r="N65" s="19">
        <f t="shared" si="1"/>
        <v>9800</v>
      </c>
      <c r="O65" s="20">
        <v>1</v>
      </c>
      <c r="P65" s="21" t="s">
        <v>77</v>
      </c>
      <c r="Q65" s="3" t="s">
        <v>81</v>
      </c>
      <c r="R65" s="3">
        <v>200</v>
      </c>
    </row>
    <row r="66" spans="1:18" x14ac:dyDescent="0.2">
      <c r="A66" s="3">
        <v>62</v>
      </c>
      <c r="B66" s="3" t="s">
        <v>221</v>
      </c>
      <c r="C66" s="3" t="s">
        <v>222</v>
      </c>
      <c r="D66" s="3" t="s">
        <v>223</v>
      </c>
      <c r="E66" s="24" t="s">
        <v>122</v>
      </c>
      <c r="F66" s="3" t="s">
        <v>76</v>
      </c>
      <c r="G66" s="16">
        <v>40057</v>
      </c>
      <c r="H66" s="17">
        <v>17.3</v>
      </c>
      <c r="I66" s="18">
        <v>11000</v>
      </c>
      <c r="J66" s="18">
        <v>2500</v>
      </c>
      <c r="K66" s="18">
        <v>500</v>
      </c>
      <c r="L66" s="18">
        <v>2500</v>
      </c>
      <c r="M66" s="18">
        <v>0</v>
      </c>
      <c r="N66" s="19">
        <f t="shared" si="1"/>
        <v>16500</v>
      </c>
      <c r="O66" s="20">
        <v>1</v>
      </c>
      <c r="P66" s="21" t="s">
        <v>77</v>
      </c>
      <c r="Q66" s="3" t="s">
        <v>81</v>
      </c>
      <c r="R66" s="3" t="s">
        <v>224</v>
      </c>
    </row>
    <row r="67" spans="1:18" x14ac:dyDescent="0.2">
      <c r="A67" s="3">
        <v>63</v>
      </c>
      <c r="B67" s="3" t="s">
        <v>225</v>
      </c>
      <c r="C67" s="3" t="s">
        <v>226</v>
      </c>
      <c r="D67" s="3" t="s">
        <v>227</v>
      </c>
      <c r="E67" s="22" t="s">
        <v>94</v>
      </c>
      <c r="F67" s="3" t="s">
        <v>76</v>
      </c>
      <c r="G67" s="16">
        <v>44440</v>
      </c>
      <c r="H67" s="17">
        <v>5.3</v>
      </c>
      <c r="I67" s="18">
        <v>12500</v>
      </c>
      <c r="J67" s="18">
        <v>2500</v>
      </c>
      <c r="K67" s="18">
        <v>500</v>
      </c>
      <c r="L67" s="18">
        <v>500</v>
      </c>
      <c r="M67" s="18">
        <v>0</v>
      </c>
      <c r="N67" s="19">
        <f t="shared" si="1"/>
        <v>16000</v>
      </c>
      <c r="O67" s="20">
        <v>1</v>
      </c>
      <c r="P67" s="21" t="s">
        <v>77</v>
      </c>
      <c r="Q67" s="3" t="s">
        <v>78</v>
      </c>
      <c r="R67" s="3" t="s">
        <v>228</v>
      </c>
    </row>
    <row r="68" spans="1:18" x14ac:dyDescent="0.2">
      <c r="A68" s="3">
        <v>64</v>
      </c>
      <c r="B68" s="3" t="s">
        <v>229</v>
      </c>
      <c r="C68" s="3" t="s">
        <v>230</v>
      </c>
      <c r="D68" s="3" t="s">
        <v>121</v>
      </c>
      <c r="E68" s="24" t="s">
        <v>122</v>
      </c>
      <c r="F68" s="3" t="s">
        <v>76</v>
      </c>
      <c r="G68" s="16">
        <v>44075</v>
      </c>
      <c r="H68" s="17">
        <v>6.3</v>
      </c>
      <c r="I68" s="18">
        <v>12000</v>
      </c>
      <c r="J68" s="18">
        <v>2500</v>
      </c>
      <c r="K68" s="18">
        <v>500</v>
      </c>
      <c r="L68" s="18">
        <v>0</v>
      </c>
      <c r="M68" s="18">
        <v>1300</v>
      </c>
      <c r="N68" s="19">
        <f t="shared" si="1"/>
        <v>16300</v>
      </c>
      <c r="O68" s="20">
        <v>1</v>
      </c>
      <c r="P68" s="21" t="s">
        <v>77</v>
      </c>
      <c r="Q68" s="3" t="s">
        <v>78</v>
      </c>
      <c r="R68" s="3">
        <v>250</v>
      </c>
    </row>
    <row r="69" spans="1:18" x14ac:dyDescent="0.2">
      <c r="A69" s="3">
        <v>65</v>
      </c>
      <c r="B69" s="3" t="s">
        <v>231</v>
      </c>
      <c r="C69" s="3" t="s">
        <v>232</v>
      </c>
      <c r="D69" s="3" t="s">
        <v>86</v>
      </c>
      <c r="E69" s="21" t="s">
        <v>87</v>
      </c>
      <c r="F69" s="3" t="s">
        <v>76</v>
      </c>
      <c r="G69" s="16">
        <v>45170</v>
      </c>
      <c r="H69" s="17">
        <v>3.3</v>
      </c>
      <c r="I69" s="18">
        <v>9500</v>
      </c>
      <c r="J69" s="18">
        <v>2500</v>
      </c>
      <c r="K69" s="18">
        <v>500</v>
      </c>
      <c r="L69" s="18">
        <v>0</v>
      </c>
      <c r="M69" s="18">
        <v>0</v>
      </c>
      <c r="N69" s="19">
        <f t="shared" ref="N69:N100" si="2">SUM(I69:M69)</f>
        <v>12500</v>
      </c>
      <c r="O69" s="20">
        <v>1</v>
      </c>
      <c r="P69" s="21" t="s">
        <v>77</v>
      </c>
      <c r="Q69" s="3" t="s">
        <v>78</v>
      </c>
      <c r="R69" s="3">
        <v>250</v>
      </c>
    </row>
    <row r="70" spans="1:18" x14ac:dyDescent="0.2">
      <c r="A70" s="3">
        <v>66</v>
      </c>
      <c r="B70" s="3" t="s">
        <v>233</v>
      </c>
      <c r="C70" s="3" t="s">
        <v>234</v>
      </c>
      <c r="D70" s="3" t="s">
        <v>159</v>
      </c>
      <c r="E70" s="23" t="s">
        <v>160</v>
      </c>
      <c r="F70" s="3" t="s">
        <v>76</v>
      </c>
      <c r="G70" s="16">
        <v>42979</v>
      </c>
      <c r="H70" s="17">
        <v>9.3000000000000007</v>
      </c>
      <c r="I70" s="18">
        <v>7200</v>
      </c>
      <c r="J70" s="18">
        <v>2500</v>
      </c>
      <c r="K70" s="18">
        <v>500</v>
      </c>
      <c r="L70" s="18">
        <v>0</v>
      </c>
      <c r="M70" s="18">
        <v>0</v>
      </c>
      <c r="N70" s="19">
        <f t="shared" si="2"/>
        <v>10200</v>
      </c>
      <c r="O70" s="20">
        <v>1</v>
      </c>
      <c r="P70" s="21" t="s">
        <v>77</v>
      </c>
      <c r="Q70" s="3" t="s">
        <v>81</v>
      </c>
      <c r="R70" s="3">
        <v>200</v>
      </c>
    </row>
    <row r="71" spans="1:18" x14ac:dyDescent="0.2">
      <c r="A71" s="3">
        <v>67</v>
      </c>
      <c r="B71" s="3" t="s">
        <v>235</v>
      </c>
      <c r="C71" s="3" t="s">
        <v>236</v>
      </c>
      <c r="D71" s="3" t="s">
        <v>237</v>
      </c>
      <c r="E71" s="13" t="s">
        <v>75</v>
      </c>
      <c r="F71" s="3" t="s">
        <v>76</v>
      </c>
      <c r="G71" s="16">
        <v>44805</v>
      </c>
      <c r="H71" s="17">
        <v>4.3</v>
      </c>
      <c r="I71" s="18">
        <v>9500</v>
      </c>
      <c r="J71" s="18">
        <v>2500</v>
      </c>
      <c r="K71" s="18">
        <v>500</v>
      </c>
      <c r="L71" s="18">
        <v>0</v>
      </c>
      <c r="M71" s="18">
        <v>0</v>
      </c>
      <c r="N71" s="19">
        <f t="shared" si="2"/>
        <v>12500</v>
      </c>
      <c r="O71" s="20">
        <v>1</v>
      </c>
      <c r="P71" s="21" t="s">
        <v>77</v>
      </c>
      <c r="Q71" s="3" t="s">
        <v>81</v>
      </c>
      <c r="R71" s="3">
        <v>250</v>
      </c>
    </row>
    <row r="72" spans="1:18" x14ac:dyDescent="0.2">
      <c r="A72" s="3">
        <v>68</v>
      </c>
      <c r="B72" s="3" t="s">
        <v>238</v>
      </c>
      <c r="C72" s="3" t="s">
        <v>239</v>
      </c>
      <c r="D72" s="3" t="s">
        <v>102</v>
      </c>
      <c r="E72" s="21" t="s">
        <v>87</v>
      </c>
      <c r="F72" s="3" t="s">
        <v>76</v>
      </c>
      <c r="G72" s="16">
        <v>40787</v>
      </c>
      <c r="H72" s="17">
        <v>15.3</v>
      </c>
      <c r="I72" s="18">
        <v>10500</v>
      </c>
      <c r="J72" s="18">
        <v>2500</v>
      </c>
      <c r="K72" s="18">
        <v>500</v>
      </c>
      <c r="L72" s="18">
        <v>0</v>
      </c>
      <c r="M72" s="18">
        <v>1952</v>
      </c>
      <c r="N72" s="19">
        <f t="shared" si="2"/>
        <v>15452</v>
      </c>
      <c r="O72" s="20">
        <v>1</v>
      </c>
      <c r="P72" s="21" t="s">
        <v>77</v>
      </c>
      <c r="Q72" s="3" t="s">
        <v>78</v>
      </c>
      <c r="R72" s="3">
        <v>250</v>
      </c>
    </row>
    <row r="73" spans="1:18" x14ac:dyDescent="0.2">
      <c r="A73" s="3">
        <v>69</v>
      </c>
      <c r="B73" s="3" t="s">
        <v>240</v>
      </c>
      <c r="C73" s="3" t="s">
        <v>241</v>
      </c>
      <c r="D73" s="3" t="s">
        <v>121</v>
      </c>
      <c r="E73" s="24" t="s">
        <v>122</v>
      </c>
      <c r="F73" s="3" t="s">
        <v>76</v>
      </c>
      <c r="G73" s="16">
        <v>44805</v>
      </c>
      <c r="H73" s="17">
        <v>4.3</v>
      </c>
      <c r="I73" s="18">
        <v>9750</v>
      </c>
      <c r="J73" s="18">
        <v>2500</v>
      </c>
      <c r="K73" s="18">
        <v>500</v>
      </c>
      <c r="L73" s="18">
        <v>0</v>
      </c>
      <c r="M73" s="18">
        <v>1100</v>
      </c>
      <c r="N73" s="19">
        <f t="shared" si="2"/>
        <v>13850</v>
      </c>
      <c r="O73" s="20">
        <v>1</v>
      </c>
      <c r="P73" s="21" t="s">
        <v>77</v>
      </c>
      <c r="Q73" s="3" t="s">
        <v>78</v>
      </c>
      <c r="R73" s="3">
        <v>250</v>
      </c>
    </row>
    <row r="74" spans="1:18" x14ac:dyDescent="0.2">
      <c r="A74" s="3">
        <v>70</v>
      </c>
      <c r="B74" s="3" t="s">
        <v>242</v>
      </c>
      <c r="C74" s="3" t="s">
        <v>243</v>
      </c>
      <c r="D74" s="3" t="s">
        <v>121</v>
      </c>
      <c r="E74" s="24" t="s">
        <v>122</v>
      </c>
      <c r="F74" s="3" t="s">
        <v>76</v>
      </c>
      <c r="G74" s="16">
        <v>45536</v>
      </c>
      <c r="H74" s="17">
        <v>2.2999999999999998</v>
      </c>
      <c r="I74" s="18">
        <v>9250</v>
      </c>
      <c r="J74" s="18">
        <v>2500</v>
      </c>
      <c r="K74" s="18">
        <v>500</v>
      </c>
      <c r="L74" s="18">
        <v>0</v>
      </c>
      <c r="M74" s="18">
        <v>0</v>
      </c>
      <c r="N74" s="19">
        <f t="shared" si="2"/>
        <v>12250</v>
      </c>
      <c r="O74" s="20">
        <v>1</v>
      </c>
      <c r="P74" s="21" t="s">
        <v>77</v>
      </c>
      <c r="Q74" s="3" t="s">
        <v>81</v>
      </c>
      <c r="R74" s="3" t="s">
        <v>90</v>
      </c>
    </row>
    <row r="75" spans="1:18" x14ac:dyDescent="0.2">
      <c r="A75" s="3">
        <v>71</v>
      </c>
      <c r="B75" s="3" t="s">
        <v>244</v>
      </c>
      <c r="C75" s="3" t="s">
        <v>200</v>
      </c>
      <c r="D75" s="3" t="s">
        <v>159</v>
      </c>
      <c r="E75" s="23" t="s">
        <v>160</v>
      </c>
      <c r="F75" s="3" t="s">
        <v>76</v>
      </c>
      <c r="G75" s="16">
        <v>43709</v>
      </c>
      <c r="H75" s="17">
        <v>7.3</v>
      </c>
      <c r="I75" s="18">
        <v>7400</v>
      </c>
      <c r="J75" s="18">
        <v>2500</v>
      </c>
      <c r="K75" s="18">
        <v>500</v>
      </c>
      <c r="L75" s="18">
        <v>0</v>
      </c>
      <c r="M75" s="18">
        <v>0</v>
      </c>
      <c r="N75" s="19">
        <f t="shared" si="2"/>
        <v>10400</v>
      </c>
      <c r="O75" s="20">
        <v>1</v>
      </c>
      <c r="P75" s="21" t="s">
        <v>77</v>
      </c>
      <c r="Q75" s="3" t="s">
        <v>81</v>
      </c>
      <c r="R75" s="3">
        <v>200</v>
      </c>
    </row>
    <row r="76" spans="1:18" x14ac:dyDescent="0.2">
      <c r="A76" s="3">
        <v>72</v>
      </c>
      <c r="B76" s="3" t="s">
        <v>245</v>
      </c>
      <c r="C76" s="3" t="s">
        <v>246</v>
      </c>
      <c r="D76" s="3" t="s">
        <v>74</v>
      </c>
      <c r="E76" s="13" t="s">
        <v>75</v>
      </c>
      <c r="F76" s="3" t="s">
        <v>76</v>
      </c>
      <c r="G76" s="16">
        <v>45536</v>
      </c>
      <c r="H76" s="17">
        <v>2.2999999999999998</v>
      </c>
      <c r="I76" s="18">
        <v>7200</v>
      </c>
      <c r="J76" s="18">
        <v>2500</v>
      </c>
      <c r="K76" s="18">
        <v>500</v>
      </c>
      <c r="L76" s="18">
        <v>0</v>
      </c>
      <c r="M76" s="18">
        <v>0</v>
      </c>
      <c r="N76" s="19">
        <f t="shared" si="2"/>
        <v>10200</v>
      </c>
      <c r="O76" s="20">
        <v>1</v>
      </c>
      <c r="P76" s="21" t="s">
        <v>77</v>
      </c>
      <c r="Q76" s="3" t="s">
        <v>81</v>
      </c>
      <c r="R76" s="3">
        <v>200</v>
      </c>
    </row>
    <row r="77" spans="1:18" x14ac:dyDescent="0.2">
      <c r="A77" s="3">
        <v>73</v>
      </c>
      <c r="B77" s="3" t="s">
        <v>247</v>
      </c>
      <c r="C77" s="3" t="s">
        <v>248</v>
      </c>
      <c r="D77" s="3" t="s">
        <v>86</v>
      </c>
      <c r="E77" s="21" t="s">
        <v>87</v>
      </c>
      <c r="F77" s="3" t="s">
        <v>76</v>
      </c>
      <c r="G77" s="16">
        <v>44440</v>
      </c>
      <c r="H77" s="17">
        <v>5.3</v>
      </c>
      <c r="I77" s="18">
        <v>10500</v>
      </c>
      <c r="J77" s="18">
        <v>2500</v>
      </c>
      <c r="K77" s="18">
        <v>500</v>
      </c>
      <c r="L77" s="18">
        <v>0</v>
      </c>
      <c r="M77" s="18">
        <v>0</v>
      </c>
      <c r="N77" s="19">
        <f t="shared" si="2"/>
        <v>13500</v>
      </c>
      <c r="O77" s="20">
        <v>1</v>
      </c>
      <c r="P77" s="21" t="s">
        <v>77</v>
      </c>
      <c r="Q77" s="3" t="s">
        <v>81</v>
      </c>
      <c r="R77" s="3">
        <v>250</v>
      </c>
    </row>
    <row r="78" spans="1:18" x14ac:dyDescent="0.2">
      <c r="A78" s="3">
        <v>74</v>
      </c>
      <c r="B78" s="3" t="s">
        <v>249</v>
      </c>
      <c r="C78" s="3" t="s">
        <v>250</v>
      </c>
      <c r="D78" s="3" t="s">
        <v>159</v>
      </c>
      <c r="E78" s="23" t="s">
        <v>160</v>
      </c>
      <c r="F78" s="3" t="s">
        <v>76</v>
      </c>
      <c r="G78" s="16">
        <v>44805</v>
      </c>
      <c r="H78" s="17">
        <v>4.3</v>
      </c>
      <c r="I78" s="18">
        <v>6600</v>
      </c>
      <c r="J78" s="18">
        <v>2500</v>
      </c>
      <c r="K78" s="18">
        <v>500</v>
      </c>
      <c r="L78" s="18">
        <v>0</v>
      </c>
      <c r="M78" s="18">
        <v>0</v>
      </c>
      <c r="N78" s="19">
        <f t="shared" si="2"/>
        <v>9600</v>
      </c>
      <c r="O78" s="20">
        <v>1</v>
      </c>
      <c r="P78" s="21" t="s">
        <v>77</v>
      </c>
      <c r="Q78" s="3" t="s">
        <v>81</v>
      </c>
      <c r="R78" s="3">
        <v>200</v>
      </c>
    </row>
    <row r="79" spans="1:18" x14ac:dyDescent="0.2">
      <c r="A79" s="3">
        <v>75</v>
      </c>
      <c r="B79" s="3" t="s">
        <v>251</v>
      </c>
      <c r="C79" s="3" t="s">
        <v>252</v>
      </c>
      <c r="D79" s="3" t="s">
        <v>253</v>
      </c>
      <c r="E79" s="22" t="s">
        <v>94</v>
      </c>
      <c r="F79" s="3" t="s">
        <v>76</v>
      </c>
      <c r="G79" s="16">
        <v>45901</v>
      </c>
      <c r="H79" s="17">
        <v>1.3</v>
      </c>
      <c r="I79" s="18">
        <v>5000</v>
      </c>
      <c r="J79" s="18">
        <v>2500</v>
      </c>
      <c r="K79" s="18">
        <v>500</v>
      </c>
      <c r="L79" s="18">
        <v>0</v>
      </c>
      <c r="M79" s="18">
        <v>0</v>
      </c>
      <c r="N79" s="19">
        <f t="shared" si="2"/>
        <v>8000</v>
      </c>
      <c r="O79" s="20">
        <v>1</v>
      </c>
      <c r="P79" s="21" t="s">
        <v>77</v>
      </c>
      <c r="Q79" s="3" t="s">
        <v>78</v>
      </c>
      <c r="R79" s="3" t="s">
        <v>90</v>
      </c>
    </row>
    <row r="80" spans="1:18" x14ac:dyDescent="0.2">
      <c r="A80" s="3">
        <v>76</v>
      </c>
      <c r="B80" s="3" t="s">
        <v>254</v>
      </c>
      <c r="C80" s="3" t="s">
        <v>255</v>
      </c>
      <c r="D80" s="3" t="s">
        <v>121</v>
      </c>
      <c r="E80" s="24" t="s">
        <v>122</v>
      </c>
      <c r="F80" s="3" t="s">
        <v>76</v>
      </c>
      <c r="G80" s="16">
        <v>36770</v>
      </c>
      <c r="H80" s="17">
        <v>26.3</v>
      </c>
      <c r="I80" s="18">
        <v>10750</v>
      </c>
      <c r="J80" s="18">
        <v>2500</v>
      </c>
      <c r="K80" s="18">
        <v>500</v>
      </c>
      <c r="L80" s="18">
        <v>0</v>
      </c>
      <c r="M80" s="18">
        <v>1900</v>
      </c>
      <c r="N80" s="19">
        <f t="shared" si="2"/>
        <v>15650</v>
      </c>
      <c r="O80" s="20">
        <v>1</v>
      </c>
      <c r="P80" s="21" t="s">
        <v>77</v>
      </c>
      <c r="Q80" s="3" t="s">
        <v>81</v>
      </c>
      <c r="R80" s="3">
        <v>250</v>
      </c>
    </row>
    <row r="81" spans="1:18" x14ac:dyDescent="0.2">
      <c r="A81" s="3">
        <v>77</v>
      </c>
      <c r="B81" s="3" t="s">
        <v>256</v>
      </c>
      <c r="C81" s="3" t="s">
        <v>257</v>
      </c>
      <c r="D81" s="3" t="s">
        <v>258</v>
      </c>
      <c r="E81" s="24" t="s">
        <v>122</v>
      </c>
      <c r="F81" s="3" t="s">
        <v>76</v>
      </c>
      <c r="G81" s="16">
        <v>45936</v>
      </c>
      <c r="H81" s="17">
        <v>1.2</v>
      </c>
      <c r="I81" s="18">
        <v>7000</v>
      </c>
      <c r="J81" s="18">
        <v>2500</v>
      </c>
      <c r="K81" s="18">
        <v>500</v>
      </c>
      <c r="L81" s="18">
        <v>0</v>
      </c>
      <c r="M81" s="18">
        <v>0</v>
      </c>
      <c r="N81" s="19">
        <f t="shared" si="2"/>
        <v>10000</v>
      </c>
      <c r="O81" s="20">
        <v>1</v>
      </c>
      <c r="P81" s="21" t="s">
        <v>77</v>
      </c>
      <c r="Q81" s="3" t="s">
        <v>81</v>
      </c>
      <c r="R81" s="3" t="s">
        <v>90</v>
      </c>
    </row>
    <row r="82" spans="1:18" x14ac:dyDescent="0.2">
      <c r="A82" s="3">
        <v>78</v>
      </c>
      <c r="B82" s="3" t="s">
        <v>259</v>
      </c>
      <c r="C82" s="3" t="s">
        <v>260</v>
      </c>
      <c r="D82" s="3" t="s">
        <v>74</v>
      </c>
      <c r="E82" s="13" t="s">
        <v>75</v>
      </c>
      <c r="F82" s="3" t="s">
        <v>76</v>
      </c>
      <c r="G82" s="16">
        <v>44440</v>
      </c>
      <c r="H82" s="17">
        <v>5.3</v>
      </c>
      <c r="I82" s="18">
        <v>7800</v>
      </c>
      <c r="J82" s="18">
        <v>2500</v>
      </c>
      <c r="K82" s="18">
        <v>500</v>
      </c>
      <c r="L82" s="18">
        <v>0</v>
      </c>
      <c r="M82" s="18">
        <v>0</v>
      </c>
      <c r="N82" s="19">
        <f t="shared" si="2"/>
        <v>10800</v>
      </c>
      <c r="O82" s="20">
        <v>1</v>
      </c>
      <c r="P82" s="21" t="s">
        <v>77</v>
      </c>
      <c r="Q82" s="3" t="s">
        <v>81</v>
      </c>
      <c r="R82" s="3">
        <v>200</v>
      </c>
    </row>
    <row r="83" spans="1:18" x14ac:dyDescent="0.2">
      <c r="A83" s="3">
        <v>79</v>
      </c>
      <c r="B83" s="3" t="s">
        <v>261</v>
      </c>
      <c r="C83" s="3" t="s">
        <v>262</v>
      </c>
      <c r="D83" s="3" t="s">
        <v>147</v>
      </c>
      <c r="E83" s="24" t="s">
        <v>122</v>
      </c>
      <c r="F83" s="3" t="s">
        <v>76</v>
      </c>
      <c r="G83" s="16">
        <v>45170</v>
      </c>
      <c r="H83" s="17">
        <v>3.3</v>
      </c>
      <c r="I83" s="18">
        <v>9750</v>
      </c>
      <c r="J83" s="18">
        <v>2500</v>
      </c>
      <c r="K83" s="18">
        <v>500</v>
      </c>
      <c r="L83" s="18">
        <v>0</v>
      </c>
      <c r="M83" s="18">
        <v>500</v>
      </c>
      <c r="N83" s="19">
        <f t="shared" si="2"/>
        <v>13250</v>
      </c>
      <c r="O83" s="20">
        <v>1</v>
      </c>
      <c r="P83" s="21" t="s">
        <v>77</v>
      </c>
      <c r="Q83" s="3" t="s">
        <v>81</v>
      </c>
      <c r="R83" s="3">
        <v>250</v>
      </c>
    </row>
    <row r="84" spans="1:18" x14ac:dyDescent="0.2">
      <c r="A84" s="3">
        <v>80</v>
      </c>
      <c r="B84" s="3" t="s">
        <v>263</v>
      </c>
      <c r="C84" s="3" t="s">
        <v>264</v>
      </c>
      <c r="D84" s="3" t="s">
        <v>265</v>
      </c>
      <c r="E84" s="13" t="s">
        <v>75</v>
      </c>
      <c r="F84" s="3" t="s">
        <v>76</v>
      </c>
      <c r="G84" s="16">
        <v>40422</v>
      </c>
      <c r="H84" s="17">
        <v>16.3</v>
      </c>
      <c r="I84" s="18">
        <v>11000</v>
      </c>
      <c r="J84" s="18">
        <v>2500</v>
      </c>
      <c r="K84" s="18">
        <v>500</v>
      </c>
      <c r="L84" s="18">
        <v>0</v>
      </c>
      <c r="M84" s="18">
        <v>0</v>
      </c>
      <c r="N84" s="19">
        <f t="shared" si="2"/>
        <v>14000</v>
      </c>
      <c r="O84" s="20">
        <v>1</v>
      </c>
      <c r="P84" s="21" t="s">
        <v>77</v>
      </c>
      <c r="Q84" s="3" t="s">
        <v>81</v>
      </c>
      <c r="R84" s="3">
        <v>250</v>
      </c>
    </row>
    <row r="85" spans="1:18" x14ac:dyDescent="0.2">
      <c r="A85" s="3">
        <v>81</v>
      </c>
      <c r="B85" s="3" t="s">
        <v>266</v>
      </c>
      <c r="C85" s="3" t="s">
        <v>267</v>
      </c>
      <c r="D85" s="3" t="s">
        <v>159</v>
      </c>
      <c r="E85" s="23" t="s">
        <v>160</v>
      </c>
      <c r="F85" s="3" t="s">
        <v>76</v>
      </c>
      <c r="G85" s="16">
        <v>45536</v>
      </c>
      <c r="H85" s="17">
        <v>2.2999999999999998</v>
      </c>
      <c r="I85" s="18">
        <v>5800</v>
      </c>
      <c r="J85" s="18">
        <v>2500</v>
      </c>
      <c r="K85" s="18">
        <v>500</v>
      </c>
      <c r="L85" s="18">
        <v>0</v>
      </c>
      <c r="M85" s="18">
        <v>0</v>
      </c>
      <c r="N85" s="19">
        <f t="shared" si="2"/>
        <v>8800</v>
      </c>
      <c r="O85" s="20">
        <v>1</v>
      </c>
      <c r="P85" s="21" t="s">
        <v>77</v>
      </c>
      <c r="Q85" s="3" t="s">
        <v>78</v>
      </c>
      <c r="R85" s="3">
        <v>200</v>
      </c>
    </row>
    <row r="86" spans="1:18" x14ac:dyDescent="0.2">
      <c r="A86" s="3">
        <v>82</v>
      </c>
      <c r="B86" s="3" t="s">
        <v>268</v>
      </c>
      <c r="C86" s="3" t="s">
        <v>269</v>
      </c>
      <c r="D86" s="3" t="s">
        <v>121</v>
      </c>
      <c r="E86" s="24" t="s">
        <v>122</v>
      </c>
      <c r="F86" s="3" t="s">
        <v>76</v>
      </c>
      <c r="G86" s="16">
        <v>45189</v>
      </c>
      <c r="H86" s="17">
        <v>3.3</v>
      </c>
      <c r="I86" s="18">
        <v>5139</v>
      </c>
      <c r="J86" s="18">
        <v>1389</v>
      </c>
      <c r="K86" s="18">
        <v>278</v>
      </c>
      <c r="L86" s="18">
        <v>0</v>
      </c>
      <c r="M86" s="18">
        <v>0</v>
      </c>
      <c r="N86" s="19">
        <f t="shared" si="2"/>
        <v>6806</v>
      </c>
      <c r="O86" s="20">
        <v>0.55555555555555602</v>
      </c>
      <c r="P86" s="21" t="s">
        <v>77</v>
      </c>
      <c r="Q86" s="3" t="s">
        <v>81</v>
      </c>
      <c r="R86" s="3">
        <v>250</v>
      </c>
    </row>
    <row r="87" spans="1:18" x14ac:dyDescent="0.2">
      <c r="A87" s="3">
        <v>83</v>
      </c>
      <c r="B87" s="3" t="s">
        <v>268</v>
      </c>
      <c r="C87" s="3" t="s">
        <v>269</v>
      </c>
      <c r="D87" s="3" t="s">
        <v>270</v>
      </c>
      <c r="E87" s="13" t="s">
        <v>75</v>
      </c>
      <c r="F87" s="3" t="s">
        <v>76</v>
      </c>
      <c r="G87" s="16">
        <v>45189</v>
      </c>
      <c r="H87" s="17">
        <v>3.3</v>
      </c>
      <c r="I87" s="18">
        <v>2657</v>
      </c>
      <c r="J87" s="18">
        <v>1071</v>
      </c>
      <c r="K87" s="18">
        <v>214</v>
      </c>
      <c r="L87" s="18">
        <v>0</v>
      </c>
      <c r="M87" s="18">
        <v>0</v>
      </c>
      <c r="N87" s="19">
        <f t="shared" si="2"/>
        <v>3942</v>
      </c>
      <c r="O87" s="20">
        <v>0.42857142857142899</v>
      </c>
      <c r="P87" s="21" t="s">
        <v>77</v>
      </c>
      <c r="Q87" s="3" t="s">
        <v>81</v>
      </c>
      <c r="R87" s="3">
        <v>200</v>
      </c>
    </row>
    <row r="88" spans="1:18" x14ac:dyDescent="0.2">
      <c r="A88" s="3">
        <v>84</v>
      </c>
      <c r="B88" s="3" t="s">
        <v>271</v>
      </c>
      <c r="C88" s="3" t="s">
        <v>272</v>
      </c>
      <c r="D88" s="3" t="s">
        <v>273</v>
      </c>
      <c r="E88" s="22" t="s">
        <v>94</v>
      </c>
      <c r="F88" s="3" t="s">
        <v>76</v>
      </c>
      <c r="G88" s="16">
        <v>44440</v>
      </c>
      <c r="H88" s="17">
        <v>5.3</v>
      </c>
      <c r="I88" s="18">
        <v>7800</v>
      </c>
      <c r="J88" s="18">
        <v>2500</v>
      </c>
      <c r="K88" s="18">
        <v>500</v>
      </c>
      <c r="L88" s="18">
        <v>0</v>
      </c>
      <c r="M88" s="18">
        <v>0</v>
      </c>
      <c r="N88" s="19">
        <f t="shared" si="2"/>
        <v>10800</v>
      </c>
      <c r="O88" s="20">
        <v>1</v>
      </c>
      <c r="P88" s="21" t="s">
        <v>77</v>
      </c>
      <c r="Q88" s="3" t="s">
        <v>81</v>
      </c>
      <c r="R88" s="3" t="s">
        <v>274</v>
      </c>
    </row>
    <row r="89" spans="1:18" x14ac:dyDescent="0.2">
      <c r="A89" s="3">
        <v>85</v>
      </c>
      <c r="B89" s="3" t="s">
        <v>275</v>
      </c>
      <c r="C89" s="3" t="s">
        <v>276</v>
      </c>
      <c r="D89" s="3" t="s">
        <v>102</v>
      </c>
      <c r="E89" s="21" t="s">
        <v>87</v>
      </c>
      <c r="F89" s="3" t="s">
        <v>76</v>
      </c>
      <c r="G89" s="16">
        <v>41153</v>
      </c>
      <c r="H89" s="17">
        <v>14.3</v>
      </c>
      <c r="I89" s="18">
        <v>10750</v>
      </c>
      <c r="J89" s="18">
        <v>2500</v>
      </c>
      <c r="K89" s="18">
        <v>500</v>
      </c>
      <c r="L89" s="18">
        <v>0</v>
      </c>
      <c r="M89" s="18">
        <v>1940</v>
      </c>
      <c r="N89" s="19">
        <f t="shared" si="2"/>
        <v>15690</v>
      </c>
      <c r="O89" s="20">
        <v>1</v>
      </c>
      <c r="P89" s="21" t="s">
        <v>77</v>
      </c>
      <c r="Q89" s="3" t="s">
        <v>81</v>
      </c>
      <c r="R89" s="3">
        <v>250</v>
      </c>
    </row>
    <row r="90" spans="1:18" x14ac:dyDescent="0.2">
      <c r="A90" s="3">
        <v>86</v>
      </c>
      <c r="B90" s="3" t="s">
        <v>277</v>
      </c>
      <c r="C90" s="3" t="s">
        <v>278</v>
      </c>
      <c r="D90" s="3" t="s">
        <v>279</v>
      </c>
      <c r="E90" s="13" t="s">
        <v>75</v>
      </c>
      <c r="F90" s="3" t="s">
        <v>76</v>
      </c>
      <c r="G90" s="16">
        <v>44805</v>
      </c>
      <c r="H90" s="17">
        <v>4.3</v>
      </c>
      <c r="I90" s="18">
        <v>8500</v>
      </c>
      <c r="J90" s="18">
        <v>2500</v>
      </c>
      <c r="K90" s="18">
        <v>500</v>
      </c>
      <c r="L90" s="18">
        <v>0</v>
      </c>
      <c r="M90" s="18">
        <v>0</v>
      </c>
      <c r="N90" s="19">
        <f t="shared" si="2"/>
        <v>11500</v>
      </c>
      <c r="O90" s="20">
        <v>1</v>
      </c>
      <c r="P90" s="21" t="s">
        <v>77</v>
      </c>
      <c r="Q90" s="3" t="s">
        <v>78</v>
      </c>
      <c r="R90" s="3" t="s">
        <v>90</v>
      </c>
    </row>
    <row r="91" spans="1:18" x14ac:dyDescent="0.2">
      <c r="A91" s="3">
        <v>87</v>
      </c>
      <c r="B91" s="3" t="s">
        <v>280</v>
      </c>
      <c r="C91" s="3" t="s">
        <v>281</v>
      </c>
      <c r="D91" s="3" t="s">
        <v>121</v>
      </c>
      <c r="E91" s="24" t="s">
        <v>122</v>
      </c>
      <c r="F91" s="3" t="s">
        <v>76</v>
      </c>
      <c r="G91" s="16">
        <v>45901</v>
      </c>
      <c r="H91" s="17">
        <v>1.3</v>
      </c>
      <c r="I91" s="18">
        <v>4000</v>
      </c>
      <c r="J91" s="18">
        <v>1250</v>
      </c>
      <c r="K91" s="18">
        <v>250</v>
      </c>
      <c r="L91" s="18">
        <v>0</v>
      </c>
      <c r="M91" s="18">
        <v>0</v>
      </c>
      <c r="N91" s="19">
        <f t="shared" si="2"/>
        <v>5500</v>
      </c>
      <c r="O91" s="20">
        <v>0.5</v>
      </c>
      <c r="P91" s="21" t="s">
        <v>77</v>
      </c>
      <c r="Q91" s="3" t="s">
        <v>81</v>
      </c>
      <c r="R91" s="3" t="s">
        <v>90</v>
      </c>
    </row>
    <row r="92" spans="1:18" x14ac:dyDescent="0.2">
      <c r="A92" s="3">
        <v>88</v>
      </c>
      <c r="B92" s="3" t="s">
        <v>282</v>
      </c>
      <c r="C92" s="3" t="s">
        <v>283</v>
      </c>
      <c r="D92" s="3" t="s">
        <v>86</v>
      </c>
      <c r="E92" s="21" t="s">
        <v>87</v>
      </c>
      <c r="F92" s="3" t="s">
        <v>76</v>
      </c>
      <c r="G92" s="16">
        <v>44805</v>
      </c>
      <c r="H92" s="17">
        <v>4.3</v>
      </c>
      <c r="I92" s="18">
        <v>9250</v>
      </c>
      <c r="J92" s="18">
        <v>2500</v>
      </c>
      <c r="K92" s="18">
        <v>500</v>
      </c>
      <c r="L92" s="18">
        <v>0</v>
      </c>
      <c r="M92" s="18">
        <v>0</v>
      </c>
      <c r="N92" s="19">
        <f t="shared" si="2"/>
        <v>12250</v>
      </c>
      <c r="O92" s="20">
        <v>1</v>
      </c>
      <c r="P92" s="21" t="s">
        <v>77</v>
      </c>
      <c r="Q92" s="3" t="s">
        <v>78</v>
      </c>
      <c r="R92" s="3">
        <v>250</v>
      </c>
    </row>
    <row r="93" spans="1:18" x14ac:dyDescent="0.2">
      <c r="A93" s="3">
        <v>89</v>
      </c>
      <c r="B93" s="3" t="s">
        <v>284</v>
      </c>
      <c r="C93" s="3" t="s">
        <v>285</v>
      </c>
      <c r="D93" s="3" t="s">
        <v>86</v>
      </c>
      <c r="E93" s="21" t="s">
        <v>87</v>
      </c>
      <c r="F93" s="3" t="s">
        <v>76</v>
      </c>
      <c r="G93" s="16">
        <v>41883</v>
      </c>
      <c r="H93" s="17">
        <v>12.3</v>
      </c>
      <c r="I93" s="18">
        <v>11500</v>
      </c>
      <c r="J93" s="18">
        <v>2500</v>
      </c>
      <c r="K93" s="18">
        <v>500</v>
      </c>
      <c r="L93" s="18">
        <v>0</v>
      </c>
      <c r="M93" s="18">
        <v>0</v>
      </c>
      <c r="N93" s="19">
        <f t="shared" si="2"/>
        <v>14500</v>
      </c>
      <c r="O93" s="20">
        <v>1</v>
      </c>
      <c r="P93" s="21" t="s">
        <v>77</v>
      </c>
      <c r="Q93" s="3" t="s">
        <v>81</v>
      </c>
      <c r="R93" s="3">
        <v>250</v>
      </c>
    </row>
    <row r="94" spans="1:18" x14ac:dyDescent="0.2">
      <c r="A94" s="3">
        <v>90</v>
      </c>
      <c r="B94" s="3" t="s">
        <v>286</v>
      </c>
      <c r="C94" s="3" t="s">
        <v>287</v>
      </c>
      <c r="D94" s="3" t="s">
        <v>288</v>
      </c>
      <c r="E94" s="13" t="s">
        <v>75</v>
      </c>
      <c r="F94" s="3" t="s">
        <v>76</v>
      </c>
      <c r="G94" s="16">
        <v>45901</v>
      </c>
      <c r="H94" s="17">
        <v>1.3</v>
      </c>
      <c r="I94" s="18">
        <v>4000</v>
      </c>
      <c r="J94" s="18">
        <v>1250</v>
      </c>
      <c r="K94" s="18">
        <v>250</v>
      </c>
      <c r="L94" s="18">
        <v>0</v>
      </c>
      <c r="M94" s="18">
        <v>0</v>
      </c>
      <c r="N94" s="19">
        <f t="shared" si="2"/>
        <v>5500</v>
      </c>
      <c r="O94" s="20">
        <v>0.5</v>
      </c>
      <c r="P94" s="21" t="s">
        <v>77</v>
      </c>
      <c r="Q94" s="3" t="s">
        <v>81</v>
      </c>
      <c r="R94" s="3" t="s">
        <v>90</v>
      </c>
    </row>
    <row r="95" spans="1:18" x14ac:dyDescent="0.2">
      <c r="A95" s="3">
        <v>91</v>
      </c>
      <c r="B95" s="3" t="s">
        <v>289</v>
      </c>
      <c r="C95" s="3" t="s">
        <v>290</v>
      </c>
      <c r="D95" s="3" t="s">
        <v>102</v>
      </c>
      <c r="E95" s="21" t="s">
        <v>87</v>
      </c>
      <c r="F95" s="3" t="s">
        <v>76</v>
      </c>
      <c r="G95" s="16">
        <v>45170</v>
      </c>
      <c r="H95" s="17">
        <v>3.3</v>
      </c>
      <c r="I95" s="18">
        <v>7800</v>
      </c>
      <c r="J95" s="18">
        <v>2500</v>
      </c>
      <c r="K95" s="18">
        <v>500</v>
      </c>
      <c r="L95" s="18">
        <v>0</v>
      </c>
      <c r="M95" s="18">
        <v>90</v>
      </c>
      <c r="N95" s="19">
        <f t="shared" si="2"/>
        <v>10890</v>
      </c>
      <c r="O95" s="20">
        <v>1</v>
      </c>
      <c r="P95" s="21" t="s">
        <v>77</v>
      </c>
      <c r="Q95" s="3" t="s">
        <v>78</v>
      </c>
      <c r="R95" s="3">
        <v>200</v>
      </c>
    </row>
    <row r="96" spans="1:18" x14ac:dyDescent="0.2">
      <c r="A96" s="3">
        <v>92</v>
      </c>
      <c r="B96" s="3" t="s">
        <v>291</v>
      </c>
      <c r="C96" s="3" t="s">
        <v>292</v>
      </c>
      <c r="D96" s="3" t="s">
        <v>147</v>
      </c>
      <c r="E96" s="24" t="s">
        <v>122</v>
      </c>
      <c r="F96" s="3" t="s">
        <v>76</v>
      </c>
      <c r="G96" s="16">
        <v>45536</v>
      </c>
      <c r="H96" s="17">
        <v>2.2999999999999998</v>
      </c>
      <c r="I96" s="18">
        <v>8500</v>
      </c>
      <c r="J96" s="18">
        <v>2500</v>
      </c>
      <c r="K96" s="18">
        <v>500</v>
      </c>
      <c r="L96" s="18">
        <v>0</v>
      </c>
      <c r="M96" s="18">
        <v>0</v>
      </c>
      <c r="N96" s="19">
        <f t="shared" si="2"/>
        <v>11500</v>
      </c>
      <c r="O96" s="20">
        <v>1</v>
      </c>
      <c r="P96" s="21" t="s">
        <v>77</v>
      </c>
      <c r="Q96" s="3" t="s">
        <v>81</v>
      </c>
      <c r="R96" s="3">
        <v>250</v>
      </c>
    </row>
    <row r="97" spans="1:18" x14ac:dyDescent="0.2">
      <c r="A97" s="3">
        <v>93</v>
      </c>
      <c r="B97" s="3" t="s">
        <v>293</v>
      </c>
      <c r="C97" s="3" t="s">
        <v>294</v>
      </c>
      <c r="D97" s="3" t="s">
        <v>121</v>
      </c>
      <c r="E97" s="24" t="s">
        <v>122</v>
      </c>
      <c r="F97" s="3" t="s">
        <v>76</v>
      </c>
      <c r="G97" s="16">
        <v>41216</v>
      </c>
      <c r="H97" s="17">
        <v>14.2</v>
      </c>
      <c r="I97" s="18">
        <v>7333</v>
      </c>
      <c r="J97" s="18">
        <v>1667</v>
      </c>
      <c r="K97" s="18">
        <v>333</v>
      </c>
      <c r="L97" s="18">
        <v>0</v>
      </c>
      <c r="M97" s="18">
        <v>0</v>
      </c>
      <c r="N97" s="19">
        <f t="shared" si="2"/>
        <v>9333</v>
      </c>
      <c r="O97" s="20">
        <v>0.66666666666666696</v>
      </c>
      <c r="P97" s="21" t="s">
        <v>77</v>
      </c>
      <c r="Q97" s="3" t="s">
        <v>78</v>
      </c>
      <c r="R97" s="3">
        <v>250</v>
      </c>
    </row>
    <row r="98" spans="1:18" x14ac:dyDescent="0.2">
      <c r="A98" s="3">
        <v>94</v>
      </c>
      <c r="B98" s="3" t="s">
        <v>295</v>
      </c>
      <c r="C98" s="3" t="s">
        <v>296</v>
      </c>
      <c r="D98" s="3" t="s">
        <v>86</v>
      </c>
      <c r="E98" s="21" t="s">
        <v>87</v>
      </c>
      <c r="F98" s="3" t="s">
        <v>76</v>
      </c>
      <c r="G98" s="16">
        <v>45170</v>
      </c>
      <c r="H98" s="17">
        <v>3.3</v>
      </c>
      <c r="I98" s="18">
        <v>8750</v>
      </c>
      <c r="J98" s="18">
        <v>2500</v>
      </c>
      <c r="K98" s="18">
        <v>500</v>
      </c>
      <c r="L98" s="18">
        <v>0</v>
      </c>
      <c r="M98" s="18">
        <v>0</v>
      </c>
      <c r="N98" s="19">
        <f t="shared" si="2"/>
        <v>11750</v>
      </c>
      <c r="O98" s="20">
        <v>1</v>
      </c>
      <c r="P98" s="21" t="s">
        <v>77</v>
      </c>
      <c r="Q98" s="3" t="s">
        <v>81</v>
      </c>
      <c r="R98" s="3">
        <v>250</v>
      </c>
    </row>
    <row r="99" spans="1:18" x14ac:dyDescent="0.2">
      <c r="A99" s="3">
        <v>95</v>
      </c>
      <c r="B99" s="3" t="s">
        <v>297</v>
      </c>
      <c r="C99" s="3" t="s">
        <v>298</v>
      </c>
      <c r="D99" s="3" t="s">
        <v>121</v>
      </c>
      <c r="E99" s="24" t="s">
        <v>122</v>
      </c>
      <c r="F99" s="3" t="s">
        <v>76</v>
      </c>
      <c r="G99" s="16">
        <v>44440</v>
      </c>
      <c r="H99" s="17">
        <v>5.3</v>
      </c>
      <c r="I99" s="18">
        <v>9000</v>
      </c>
      <c r="J99" s="18">
        <v>2500</v>
      </c>
      <c r="K99" s="18">
        <v>500</v>
      </c>
      <c r="L99" s="18">
        <v>0</v>
      </c>
      <c r="M99" s="18">
        <v>1640</v>
      </c>
      <c r="N99" s="19">
        <f t="shared" si="2"/>
        <v>13640</v>
      </c>
      <c r="O99" s="20">
        <v>1</v>
      </c>
      <c r="P99" s="21" t="s">
        <v>77</v>
      </c>
      <c r="Q99" s="3" t="s">
        <v>78</v>
      </c>
      <c r="R99" s="3">
        <v>250</v>
      </c>
    </row>
    <row r="100" spans="1:18" x14ac:dyDescent="0.2">
      <c r="A100" s="3">
        <v>96</v>
      </c>
      <c r="B100" s="3" t="s">
        <v>299</v>
      </c>
      <c r="C100" s="3" t="s">
        <v>300</v>
      </c>
      <c r="D100" s="3" t="s">
        <v>102</v>
      </c>
      <c r="E100" s="21" t="s">
        <v>87</v>
      </c>
      <c r="F100" s="3" t="s">
        <v>76</v>
      </c>
      <c r="G100" s="16">
        <v>45170</v>
      </c>
      <c r="H100" s="17">
        <v>3.3</v>
      </c>
      <c r="I100" s="18">
        <v>8250</v>
      </c>
      <c r="J100" s="18">
        <v>2500</v>
      </c>
      <c r="K100" s="18">
        <v>500</v>
      </c>
      <c r="L100" s="18">
        <v>0</v>
      </c>
      <c r="M100" s="18">
        <v>1940</v>
      </c>
      <c r="N100" s="19">
        <f t="shared" si="2"/>
        <v>13190</v>
      </c>
      <c r="O100" s="20">
        <v>1</v>
      </c>
      <c r="P100" s="21" t="s">
        <v>77</v>
      </c>
      <c r="Q100" s="3" t="s">
        <v>78</v>
      </c>
      <c r="R100" s="3">
        <v>250</v>
      </c>
    </row>
    <row r="101" spans="1:18" x14ac:dyDescent="0.2">
      <c r="A101" s="3">
        <v>97</v>
      </c>
      <c r="B101" s="3" t="s">
        <v>301</v>
      </c>
      <c r="C101" s="3" t="s">
        <v>302</v>
      </c>
      <c r="D101" s="3" t="s">
        <v>303</v>
      </c>
      <c r="E101" s="22" t="s">
        <v>94</v>
      </c>
      <c r="F101" s="3" t="s">
        <v>76</v>
      </c>
      <c r="G101" s="16">
        <v>44805</v>
      </c>
      <c r="H101" s="17">
        <v>4.3</v>
      </c>
      <c r="I101" s="18">
        <v>12750</v>
      </c>
      <c r="J101" s="18">
        <v>2500</v>
      </c>
      <c r="K101" s="18">
        <v>500</v>
      </c>
      <c r="L101" s="18">
        <v>1000</v>
      </c>
      <c r="M101" s="18">
        <v>0</v>
      </c>
      <c r="N101" s="19">
        <f t="shared" ref="N101:N132" si="3">SUM(I101:M101)</f>
        <v>16750</v>
      </c>
      <c r="O101" s="20">
        <v>1</v>
      </c>
      <c r="P101" s="21" t="s">
        <v>77</v>
      </c>
      <c r="Q101" s="3" t="s">
        <v>78</v>
      </c>
      <c r="R101" s="3">
        <v>250</v>
      </c>
    </row>
    <row r="102" spans="1:18" x14ac:dyDescent="0.2">
      <c r="A102" s="3">
        <v>98</v>
      </c>
      <c r="B102" s="3" t="s">
        <v>304</v>
      </c>
      <c r="C102" s="3" t="s">
        <v>305</v>
      </c>
      <c r="D102" s="3" t="s">
        <v>306</v>
      </c>
      <c r="E102" s="22" t="s">
        <v>94</v>
      </c>
      <c r="F102" s="3" t="s">
        <v>76</v>
      </c>
      <c r="G102" s="16">
        <v>44805</v>
      </c>
      <c r="H102" s="17">
        <v>4.3</v>
      </c>
      <c r="I102" s="18">
        <v>8750</v>
      </c>
      <c r="J102" s="18">
        <v>2500</v>
      </c>
      <c r="K102" s="18">
        <v>500</v>
      </c>
      <c r="L102" s="18">
        <v>0</v>
      </c>
      <c r="M102" s="18">
        <v>0</v>
      </c>
      <c r="N102" s="19">
        <f t="shared" si="3"/>
        <v>11750</v>
      </c>
      <c r="O102" s="20">
        <v>1</v>
      </c>
      <c r="P102" s="21" t="s">
        <v>77</v>
      </c>
      <c r="Q102" s="3" t="s">
        <v>81</v>
      </c>
      <c r="R102" s="3">
        <v>250</v>
      </c>
    </row>
    <row r="103" spans="1:18" x14ac:dyDescent="0.2">
      <c r="A103" s="3">
        <v>99</v>
      </c>
      <c r="B103" s="3" t="s">
        <v>307</v>
      </c>
      <c r="C103" s="3" t="s">
        <v>308</v>
      </c>
      <c r="D103" s="3" t="s">
        <v>86</v>
      </c>
      <c r="E103" s="21" t="s">
        <v>87</v>
      </c>
      <c r="F103" s="3" t="s">
        <v>76</v>
      </c>
      <c r="G103" s="16">
        <v>43344</v>
      </c>
      <c r="H103" s="17">
        <v>8.3000000000000007</v>
      </c>
      <c r="I103" s="18">
        <v>9750</v>
      </c>
      <c r="J103" s="18">
        <v>2500</v>
      </c>
      <c r="K103" s="18">
        <v>500</v>
      </c>
      <c r="L103" s="18">
        <v>0</v>
      </c>
      <c r="M103" s="18">
        <v>0</v>
      </c>
      <c r="N103" s="19">
        <f t="shared" si="3"/>
        <v>12750</v>
      </c>
      <c r="O103" s="20">
        <v>1</v>
      </c>
      <c r="P103" s="21" t="s">
        <v>77</v>
      </c>
      <c r="Q103" s="3" t="s">
        <v>78</v>
      </c>
      <c r="R103" s="3">
        <v>250</v>
      </c>
    </row>
    <row r="104" spans="1:18" x14ac:dyDescent="0.2">
      <c r="A104" s="3">
        <v>100</v>
      </c>
      <c r="B104" s="3" t="s">
        <v>309</v>
      </c>
      <c r="C104" s="3" t="s">
        <v>310</v>
      </c>
      <c r="D104" s="3" t="s">
        <v>86</v>
      </c>
      <c r="E104" s="21" t="s">
        <v>87</v>
      </c>
      <c r="F104" s="3" t="s">
        <v>76</v>
      </c>
      <c r="G104" s="16">
        <v>44805</v>
      </c>
      <c r="H104" s="17">
        <v>4.3</v>
      </c>
      <c r="I104" s="18">
        <v>10000</v>
      </c>
      <c r="J104" s="18">
        <v>2500</v>
      </c>
      <c r="K104" s="18">
        <v>500</v>
      </c>
      <c r="L104" s="18">
        <v>0</v>
      </c>
      <c r="M104" s="18">
        <v>0</v>
      </c>
      <c r="N104" s="19">
        <f t="shared" si="3"/>
        <v>13000</v>
      </c>
      <c r="O104" s="20">
        <v>1</v>
      </c>
      <c r="P104" s="21" t="s">
        <v>77</v>
      </c>
      <c r="Q104" s="3" t="s">
        <v>78</v>
      </c>
      <c r="R104" s="3">
        <v>250</v>
      </c>
    </row>
    <row r="105" spans="1:18" x14ac:dyDescent="0.2">
      <c r="A105" s="3">
        <v>101</v>
      </c>
      <c r="B105" s="3" t="s">
        <v>311</v>
      </c>
      <c r="C105" s="3" t="s">
        <v>312</v>
      </c>
      <c r="D105" s="3" t="s">
        <v>121</v>
      </c>
      <c r="E105" s="24" t="s">
        <v>122</v>
      </c>
      <c r="F105" s="3" t="s">
        <v>76</v>
      </c>
      <c r="G105" s="16">
        <v>44440</v>
      </c>
      <c r="H105" s="17">
        <v>5.3</v>
      </c>
      <c r="I105" s="18">
        <v>10500</v>
      </c>
      <c r="J105" s="18">
        <v>2500</v>
      </c>
      <c r="K105" s="18">
        <v>500</v>
      </c>
      <c r="L105" s="18">
        <v>0</v>
      </c>
      <c r="M105" s="18">
        <v>900</v>
      </c>
      <c r="N105" s="19">
        <f t="shared" si="3"/>
        <v>14400</v>
      </c>
      <c r="O105" s="20">
        <v>1</v>
      </c>
      <c r="P105" s="21" t="s">
        <v>77</v>
      </c>
      <c r="Q105" s="3" t="s">
        <v>81</v>
      </c>
      <c r="R105" s="3">
        <v>250</v>
      </c>
    </row>
    <row r="106" spans="1:18" x14ac:dyDescent="0.2">
      <c r="A106" s="3">
        <v>102</v>
      </c>
      <c r="B106" s="3" t="s">
        <v>313</v>
      </c>
      <c r="C106" s="3" t="s">
        <v>314</v>
      </c>
      <c r="D106" s="3" t="s">
        <v>74</v>
      </c>
      <c r="E106" s="13" t="s">
        <v>75</v>
      </c>
      <c r="F106" s="3" t="s">
        <v>76</v>
      </c>
      <c r="G106" s="16">
        <v>45901</v>
      </c>
      <c r="H106" s="17">
        <v>1.3</v>
      </c>
      <c r="I106" s="18">
        <v>7000</v>
      </c>
      <c r="J106" s="18">
        <v>2500</v>
      </c>
      <c r="K106" s="18">
        <v>500</v>
      </c>
      <c r="L106" s="18">
        <v>0</v>
      </c>
      <c r="M106" s="18">
        <v>0</v>
      </c>
      <c r="N106" s="19">
        <f t="shared" si="3"/>
        <v>10000</v>
      </c>
      <c r="O106" s="20">
        <v>1</v>
      </c>
      <c r="P106" s="21" t="s">
        <v>77</v>
      </c>
      <c r="Q106" s="3" t="s">
        <v>81</v>
      </c>
      <c r="R106" s="3" t="s">
        <v>90</v>
      </c>
    </row>
    <row r="107" spans="1:18" x14ac:dyDescent="0.2">
      <c r="A107" s="3">
        <v>103</v>
      </c>
      <c r="B107" s="3" t="s">
        <v>315</v>
      </c>
      <c r="C107" s="3" t="s">
        <v>281</v>
      </c>
      <c r="D107" s="3" t="s">
        <v>86</v>
      </c>
      <c r="E107" s="21" t="s">
        <v>87</v>
      </c>
      <c r="F107" s="3" t="s">
        <v>76</v>
      </c>
      <c r="G107" s="16">
        <v>45901</v>
      </c>
      <c r="H107" s="17">
        <v>1.3</v>
      </c>
      <c r="I107" s="18">
        <v>8000</v>
      </c>
      <c r="J107" s="18">
        <v>2500</v>
      </c>
      <c r="K107" s="18">
        <v>500</v>
      </c>
      <c r="L107" s="18">
        <v>0</v>
      </c>
      <c r="M107" s="18">
        <v>0</v>
      </c>
      <c r="N107" s="19">
        <f t="shared" si="3"/>
        <v>11000</v>
      </c>
      <c r="O107" s="20">
        <v>1</v>
      </c>
      <c r="P107" s="21" t="s">
        <v>77</v>
      </c>
      <c r="Q107" s="3" t="s">
        <v>78</v>
      </c>
      <c r="R107" s="3" t="s">
        <v>90</v>
      </c>
    </row>
    <row r="108" spans="1:18" x14ac:dyDescent="0.2">
      <c r="A108" s="3">
        <v>104</v>
      </c>
      <c r="B108" s="3" t="s">
        <v>316</v>
      </c>
      <c r="C108" s="3" t="s">
        <v>317</v>
      </c>
      <c r="D108" s="3" t="s">
        <v>86</v>
      </c>
      <c r="E108" s="21" t="s">
        <v>87</v>
      </c>
      <c r="F108" s="3" t="s">
        <v>76</v>
      </c>
      <c r="G108" s="16">
        <v>45536</v>
      </c>
      <c r="H108" s="17">
        <v>2.2999999999999998</v>
      </c>
      <c r="I108" s="18">
        <v>8250</v>
      </c>
      <c r="J108" s="18">
        <v>2500</v>
      </c>
      <c r="K108" s="18">
        <v>500</v>
      </c>
      <c r="L108" s="18">
        <v>0</v>
      </c>
      <c r="M108" s="18">
        <v>0</v>
      </c>
      <c r="N108" s="19">
        <f t="shared" si="3"/>
        <v>11250</v>
      </c>
      <c r="O108" s="20">
        <v>1</v>
      </c>
      <c r="P108" s="21" t="s">
        <v>77</v>
      </c>
      <c r="Q108" s="3" t="s">
        <v>81</v>
      </c>
      <c r="R108" s="3">
        <v>250</v>
      </c>
    </row>
    <row r="109" spans="1:18" x14ac:dyDescent="0.2">
      <c r="A109" s="3">
        <v>105</v>
      </c>
      <c r="B109" s="3" t="s">
        <v>318</v>
      </c>
      <c r="C109" s="3" t="s">
        <v>319</v>
      </c>
      <c r="D109" s="3" t="s">
        <v>159</v>
      </c>
      <c r="E109" s="23" t="s">
        <v>160</v>
      </c>
      <c r="F109" s="3" t="s">
        <v>76</v>
      </c>
      <c r="G109" s="16">
        <v>44805</v>
      </c>
      <c r="H109" s="17">
        <v>4.3</v>
      </c>
      <c r="I109" s="18">
        <v>6200</v>
      </c>
      <c r="J109" s="18">
        <v>2500</v>
      </c>
      <c r="K109" s="18">
        <v>500</v>
      </c>
      <c r="L109" s="18">
        <v>0</v>
      </c>
      <c r="M109" s="18">
        <v>0</v>
      </c>
      <c r="N109" s="19">
        <f t="shared" si="3"/>
        <v>9200</v>
      </c>
      <c r="O109" s="20">
        <v>1</v>
      </c>
      <c r="P109" s="21" t="s">
        <v>77</v>
      </c>
      <c r="Q109" s="3" t="s">
        <v>78</v>
      </c>
      <c r="R109" s="3">
        <v>200</v>
      </c>
    </row>
    <row r="110" spans="1:18" x14ac:dyDescent="0.2">
      <c r="A110" s="3">
        <v>106</v>
      </c>
      <c r="B110" s="3" t="s">
        <v>320</v>
      </c>
      <c r="C110" s="3" t="s">
        <v>302</v>
      </c>
      <c r="D110" s="3" t="s">
        <v>74</v>
      </c>
      <c r="E110" s="13" t="s">
        <v>75</v>
      </c>
      <c r="F110" s="3" t="s">
        <v>76</v>
      </c>
      <c r="G110" s="16">
        <v>45901</v>
      </c>
      <c r="H110" s="17">
        <v>1.3</v>
      </c>
      <c r="I110" s="18">
        <v>8250</v>
      </c>
      <c r="J110" s="18">
        <v>2500</v>
      </c>
      <c r="K110" s="18">
        <v>500</v>
      </c>
      <c r="L110" s="18">
        <v>0</v>
      </c>
      <c r="M110" s="18">
        <v>0</v>
      </c>
      <c r="N110" s="19">
        <f t="shared" si="3"/>
        <v>11250</v>
      </c>
      <c r="O110" s="20">
        <v>1</v>
      </c>
      <c r="P110" s="21" t="s">
        <v>77</v>
      </c>
      <c r="Q110" s="3" t="s">
        <v>78</v>
      </c>
      <c r="R110" s="3" t="s">
        <v>90</v>
      </c>
    </row>
    <row r="111" spans="1:18" x14ac:dyDescent="0.2">
      <c r="A111" s="3">
        <v>107</v>
      </c>
      <c r="B111" s="3" t="s">
        <v>321</v>
      </c>
      <c r="C111" s="3" t="s">
        <v>234</v>
      </c>
      <c r="D111" s="3" t="s">
        <v>121</v>
      </c>
      <c r="E111" s="24" t="s">
        <v>122</v>
      </c>
      <c r="F111" s="3" t="s">
        <v>76</v>
      </c>
      <c r="G111" s="16">
        <v>38961</v>
      </c>
      <c r="H111" s="17">
        <v>20.3</v>
      </c>
      <c r="I111" s="18">
        <v>10750</v>
      </c>
      <c r="J111" s="18">
        <v>2500</v>
      </c>
      <c r="K111" s="18">
        <v>500</v>
      </c>
      <c r="L111" s="18">
        <v>0</v>
      </c>
      <c r="M111" s="18">
        <v>1700</v>
      </c>
      <c r="N111" s="19">
        <f t="shared" si="3"/>
        <v>15450</v>
      </c>
      <c r="O111" s="20">
        <v>1</v>
      </c>
      <c r="P111" s="21" t="s">
        <v>77</v>
      </c>
      <c r="Q111" s="3" t="s">
        <v>81</v>
      </c>
      <c r="R111" s="3">
        <v>250</v>
      </c>
    </row>
    <row r="112" spans="1:18" x14ac:dyDescent="0.2">
      <c r="A112" s="3">
        <v>108</v>
      </c>
      <c r="B112" s="3" t="s">
        <v>322</v>
      </c>
      <c r="C112" s="3" t="s">
        <v>213</v>
      </c>
      <c r="D112" s="3" t="s">
        <v>132</v>
      </c>
      <c r="E112" s="24" t="s">
        <v>122</v>
      </c>
      <c r="F112" s="3" t="s">
        <v>76</v>
      </c>
      <c r="G112" s="16">
        <v>40422</v>
      </c>
      <c r="H112" s="17">
        <v>16.3</v>
      </c>
      <c r="I112" s="18">
        <v>10500</v>
      </c>
      <c r="J112" s="18">
        <v>2500</v>
      </c>
      <c r="K112" s="18">
        <v>500</v>
      </c>
      <c r="L112" s="18">
        <v>0</v>
      </c>
      <c r="M112" s="18">
        <v>1740</v>
      </c>
      <c r="N112" s="19">
        <f t="shared" si="3"/>
        <v>15240</v>
      </c>
      <c r="O112" s="20">
        <v>1</v>
      </c>
      <c r="P112" s="21" t="s">
        <v>77</v>
      </c>
      <c r="Q112" s="3" t="s">
        <v>81</v>
      </c>
      <c r="R112" s="3">
        <v>250</v>
      </c>
    </row>
    <row r="113" spans="1:18" x14ac:dyDescent="0.2">
      <c r="A113" s="3">
        <v>109</v>
      </c>
      <c r="B113" s="3" t="s">
        <v>323</v>
      </c>
      <c r="C113" s="3" t="s">
        <v>324</v>
      </c>
      <c r="D113" s="3" t="s">
        <v>325</v>
      </c>
      <c r="E113" s="22" t="s">
        <v>94</v>
      </c>
      <c r="F113" s="3" t="s">
        <v>76</v>
      </c>
      <c r="G113" s="16">
        <v>38376</v>
      </c>
      <c r="H113" s="17">
        <v>21.9</v>
      </c>
      <c r="I113" s="18">
        <v>13750</v>
      </c>
      <c r="J113" s="18">
        <v>2500</v>
      </c>
      <c r="K113" s="18">
        <v>500</v>
      </c>
      <c r="L113" s="18">
        <v>500</v>
      </c>
      <c r="M113" s="18">
        <v>0</v>
      </c>
      <c r="N113" s="19">
        <f t="shared" si="3"/>
        <v>17250</v>
      </c>
      <c r="O113" s="20">
        <v>1</v>
      </c>
      <c r="P113" s="21" t="s">
        <v>77</v>
      </c>
      <c r="Q113" s="3" t="s">
        <v>81</v>
      </c>
      <c r="R113" s="3">
        <v>250</v>
      </c>
    </row>
    <row r="114" spans="1:18" x14ac:dyDescent="0.2">
      <c r="A114" s="3">
        <v>110</v>
      </c>
      <c r="B114" s="3" t="s">
        <v>326</v>
      </c>
      <c r="C114" s="3" t="s">
        <v>327</v>
      </c>
      <c r="D114" s="3" t="s">
        <v>121</v>
      </c>
      <c r="E114" s="24" t="s">
        <v>122</v>
      </c>
      <c r="F114" s="3" t="s">
        <v>76</v>
      </c>
      <c r="G114" s="16">
        <v>44440</v>
      </c>
      <c r="H114" s="17">
        <v>5.3</v>
      </c>
      <c r="I114" s="18">
        <v>10000</v>
      </c>
      <c r="J114" s="18">
        <v>2500</v>
      </c>
      <c r="K114" s="18">
        <v>500</v>
      </c>
      <c r="L114" s="18">
        <v>0</v>
      </c>
      <c r="M114" s="18">
        <v>300</v>
      </c>
      <c r="N114" s="19">
        <f t="shared" si="3"/>
        <v>13300</v>
      </c>
      <c r="O114" s="20">
        <v>1</v>
      </c>
      <c r="P114" s="21" t="s">
        <v>77</v>
      </c>
      <c r="Q114" s="3" t="s">
        <v>78</v>
      </c>
      <c r="R114" s="3">
        <v>250</v>
      </c>
    </row>
    <row r="115" spans="1:18" x14ac:dyDescent="0.2">
      <c r="A115" s="3">
        <v>111</v>
      </c>
      <c r="B115" s="3" t="s">
        <v>328</v>
      </c>
      <c r="C115" s="3" t="s">
        <v>329</v>
      </c>
      <c r="D115" s="3" t="s">
        <v>121</v>
      </c>
      <c r="E115" s="24" t="s">
        <v>122</v>
      </c>
      <c r="F115" s="3" t="s">
        <v>76</v>
      </c>
      <c r="G115" s="16">
        <v>44075</v>
      </c>
      <c r="H115" s="17">
        <v>6.3</v>
      </c>
      <c r="I115" s="18">
        <v>9500</v>
      </c>
      <c r="J115" s="18">
        <v>2500</v>
      </c>
      <c r="K115" s="18">
        <v>500</v>
      </c>
      <c r="L115" s="18">
        <v>0</v>
      </c>
      <c r="M115" s="18">
        <v>1500</v>
      </c>
      <c r="N115" s="19">
        <f t="shared" si="3"/>
        <v>14000</v>
      </c>
      <c r="O115" s="20">
        <v>1</v>
      </c>
      <c r="P115" s="21" t="s">
        <v>77</v>
      </c>
      <c r="Q115" s="3" t="s">
        <v>78</v>
      </c>
      <c r="R115" s="3">
        <v>250</v>
      </c>
    </row>
    <row r="116" spans="1:18" x14ac:dyDescent="0.2">
      <c r="A116" s="3">
        <v>112</v>
      </c>
      <c r="B116" s="3" t="s">
        <v>330</v>
      </c>
      <c r="C116" s="3" t="s">
        <v>331</v>
      </c>
      <c r="D116" s="3" t="s">
        <v>332</v>
      </c>
      <c r="E116" s="22" t="s">
        <v>94</v>
      </c>
      <c r="F116" s="3" t="s">
        <v>76</v>
      </c>
      <c r="G116" s="16">
        <v>45901</v>
      </c>
      <c r="H116" s="17">
        <v>1.3</v>
      </c>
      <c r="I116" s="18">
        <v>8500</v>
      </c>
      <c r="J116" s="18">
        <v>2500</v>
      </c>
      <c r="K116" s="18">
        <v>500</v>
      </c>
      <c r="L116" s="18">
        <v>0</v>
      </c>
      <c r="M116" s="18">
        <v>0</v>
      </c>
      <c r="N116" s="19">
        <f t="shared" si="3"/>
        <v>11500</v>
      </c>
      <c r="O116" s="20">
        <v>1</v>
      </c>
      <c r="P116" s="21" t="s">
        <v>77</v>
      </c>
      <c r="Q116" s="3" t="s">
        <v>78</v>
      </c>
      <c r="R116" s="3" t="s">
        <v>90</v>
      </c>
    </row>
    <row r="117" spans="1:18" x14ac:dyDescent="0.2">
      <c r="A117" s="3">
        <v>113</v>
      </c>
      <c r="B117" s="3" t="s">
        <v>333</v>
      </c>
      <c r="C117" s="3" t="s">
        <v>334</v>
      </c>
      <c r="D117" s="3" t="s">
        <v>121</v>
      </c>
      <c r="E117" s="24" t="s">
        <v>122</v>
      </c>
      <c r="F117" s="3" t="s">
        <v>76</v>
      </c>
      <c r="G117" s="16">
        <v>44990</v>
      </c>
      <c r="H117" s="17">
        <v>3.8</v>
      </c>
      <c r="I117" s="18">
        <v>8750</v>
      </c>
      <c r="J117" s="18">
        <v>2500</v>
      </c>
      <c r="K117" s="18">
        <v>500</v>
      </c>
      <c r="L117" s="18">
        <v>0</v>
      </c>
      <c r="M117" s="18">
        <v>500</v>
      </c>
      <c r="N117" s="19">
        <f t="shared" si="3"/>
        <v>12250</v>
      </c>
      <c r="O117" s="20">
        <v>1</v>
      </c>
      <c r="P117" s="21" t="s">
        <v>77</v>
      </c>
      <c r="Q117" s="3" t="s">
        <v>78</v>
      </c>
      <c r="R117" s="3">
        <v>250</v>
      </c>
    </row>
    <row r="118" spans="1:18" x14ac:dyDescent="0.2">
      <c r="A118" s="3">
        <v>114</v>
      </c>
      <c r="B118" s="3" t="s">
        <v>335</v>
      </c>
      <c r="C118" s="3" t="s">
        <v>336</v>
      </c>
      <c r="D118" s="3" t="s">
        <v>132</v>
      </c>
      <c r="E118" s="24" t="s">
        <v>122</v>
      </c>
      <c r="F118" s="3" t="s">
        <v>76</v>
      </c>
      <c r="G118" s="16">
        <v>45901</v>
      </c>
      <c r="H118" s="17">
        <v>1.3</v>
      </c>
      <c r="I118" s="18">
        <v>3700</v>
      </c>
      <c r="J118" s="18">
        <v>1250</v>
      </c>
      <c r="K118" s="18">
        <v>250</v>
      </c>
      <c r="L118" s="18">
        <v>0</v>
      </c>
      <c r="M118" s="18">
        <v>0</v>
      </c>
      <c r="N118" s="19">
        <f t="shared" si="3"/>
        <v>5200</v>
      </c>
      <c r="O118" s="20">
        <v>0.5</v>
      </c>
      <c r="P118" s="21" t="s">
        <v>77</v>
      </c>
      <c r="Q118" s="3" t="s">
        <v>78</v>
      </c>
      <c r="R118" s="3" t="s">
        <v>90</v>
      </c>
    </row>
    <row r="119" spans="1:18" x14ac:dyDescent="0.2">
      <c r="A119" s="3">
        <v>115</v>
      </c>
      <c r="B119" s="3" t="s">
        <v>337</v>
      </c>
      <c r="C119" s="3" t="s">
        <v>338</v>
      </c>
      <c r="D119" s="3" t="s">
        <v>121</v>
      </c>
      <c r="E119" s="24" t="s">
        <v>122</v>
      </c>
      <c r="F119" s="3" t="s">
        <v>76</v>
      </c>
      <c r="G119" s="16">
        <v>43344</v>
      </c>
      <c r="H119" s="17">
        <v>8.3000000000000007</v>
      </c>
      <c r="I119" s="18">
        <v>9750</v>
      </c>
      <c r="J119" s="18">
        <v>2500</v>
      </c>
      <c r="K119" s="18">
        <v>500</v>
      </c>
      <c r="L119" s="18">
        <v>0</v>
      </c>
      <c r="M119" s="18">
        <v>2100</v>
      </c>
      <c r="N119" s="19">
        <f t="shared" si="3"/>
        <v>14850</v>
      </c>
      <c r="O119" s="20">
        <v>1</v>
      </c>
      <c r="P119" s="21" t="s">
        <v>77</v>
      </c>
      <c r="Q119" s="3" t="s">
        <v>81</v>
      </c>
      <c r="R119" s="3">
        <v>250</v>
      </c>
    </row>
    <row r="120" spans="1:18" x14ac:dyDescent="0.2">
      <c r="A120" s="3">
        <v>116</v>
      </c>
      <c r="B120" s="3" t="s">
        <v>339</v>
      </c>
      <c r="C120" s="3" t="s">
        <v>340</v>
      </c>
      <c r="D120" s="3" t="s">
        <v>341</v>
      </c>
      <c r="E120" s="22" t="s">
        <v>94</v>
      </c>
      <c r="F120" s="3" t="s">
        <v>76</v>
      </c>
      <c r="G120" s="16">
        <v>45907</v>
      </c>
      <c r="H120" s="17">
        <v>1.3</v>
      </c>
      <c r="I120" s="18">
        <v>9750</v>
      </c>
      <c r="J120" s="18">
        <v>2500</v>
      </c>
      <c r="K120" s="18">
        <v>500</v>
      </c>
      <c r="L120" s="18">
        <v>0</v>
      </c>
      <c r="M120" s="18">
        <v>0</v>
      </c>
      <c r="N120" s="19">
        <f t="shared" si="3"/>
        <v>12750</v>
      </c>
      <c r="O120" s="20">
        <v>1</v>
      </c>
      <c r="P120" s="21" t="s">
        <v>77</v>
      </c>
      <c r="Q120" s="3" t="s">
        <v>81</v>
      </c>
      <c r="R120" s="3" t="s">
        <v>90</v>
      </c>
    </row>
    <row r="121" spans="1:18" x14ac:dyDescent="0.2">
      <c r="A121" s="3">
        <v>117</v>
      </c>
      <c r="B121" s="3" t="s">
        <v>342</v>
      </c>
      <c r="C121" s="3" t="s">
        <v>129</v>
      </c>
      <c r="D121" s="3" t="s">
        <v>343</v>
      </c>
      <c r="E121" s="13" t="s">
        <v>75</v>
      </c>
      <c r="F121" s="3" t="s">
        <v>76</v>
      </c>
      <c r="G121" s="16">
        <v>44805</v>
      </c>
      <c r="H121" s="17">
        <v>4.3</v>
      </c>
      <c r="I121" s="18">
        <v>6600</v>
      </c>
      <c r="J121" s="18">
        <v>2500</v>
      </c>
      <c r="K121" s="18">
        <v>500</v>
      </c>
      <c r="L121" s="18">
        <v>0</v>
      </c>
      <c r="M121" s="18">
        <v>0</v>
      </c>
      <c r="N121" s="19">
        <f t="shared" si="3"/>
        <v>9600</v>
      </c>
      <c r="O121" s="20">
        <v>1</v>
      </c>
      <c r="P121" s="21" t="s">
        <v>77</v>
      </c>
      <c r="Q121" s="3" t="s">
        <v>78</v>
      </c>
      <c r="R121" s="3">
        <v>200</v>
      </c>
    </row>
    <row r="122" spans="1:18" x14ac:dyDescent="0.2">
      <c r="A122" s="3">
        <v>118</v>
      </c>
      <c r="B122" s="3" t="s">
        <v>344</v>
      </c>
      <c r="C122" s="3" t="s">
        <v>345</v>
      </c>
      <c r="D122" s="3" t="s">
        <v>346</v>
      </c>
      <c r="E122" s="22" t="s">
        <v>94</v>
      </c>
      <c r="F122" s="3" t="s">
        <v>76</v>
      </c>
      <c r="G122" s="16">
        <v>45170</v>
      </c>
      <c r="H122" s="17">
        <v>3.3</v>
      </c>
      <c r="I122" s="18">
        <v>20000</v>
      </c>
      <c r="J122" s="18">
        <v>2500</v>
      </c>
      <c r="K122" s="18">
        <v>500</v>
      </c>
      <c r="L122" s="18">
        <v>2500</v>
      </c>
      <c r="M122" s="18">
        <v>0</v>
      </c>
      <c r="N122" s="19">
        <f t="shared" si="3"/>
        <v>25500</v>
      </c>
      <c r="O122" s="20">
        <v>1</v>
      </c>
      <c r="P122" s="21" t="s">
        <v>77</v>
      </c>
      <c r="Q122" s="3" t="s">
        <v>81</v>
      </c>
      <c r="R122" s="3">
        <v>250</v>
      </c>
    </row>
    <row r="123" spans="1:18" x14ac:dyDescent="0.2">
      <c r="A123" s="3">
        <v>119</v>
      </c>
      <c r="B123" s="3" t="s">
        <v>344</v>
      </c>
      <c r="C123" s="3" t="s">
        <v>347</v>
      </c>
      <c r="D123" s="3" t="s">
        <v>159</v>
      </c>
      <c r="E123" s="23" t="s">
        <v>160</v>
      </c>
      <c r="F123" s="3" t="s">
        <v>76</v>
      </c>
      <c r="G123" s="16">
        <v>45170</v>
      </c>
      <c r="H123" s="17">
        <v>3.3</v>
      </c>
      <c r="I123" s="18">
        <v>6800</v>
      </c>
      <c r="J123" s="18">
        <v>2500</v>
      </c>
      <c r="K123" s="18">
        <v>500</v>
      </c>
      <c r="L123" s="18">
        <v>0</v>
      </c>
      <c r="M123" s="18">
        <v>0</v>
      </c>
      <c r="N123" s="19">
        <f t="shared" si="3"/>
        <v>9800</v>
      </c>
      <c r="O123" s="20">
        <v>1</v>
      </c>
      <c r="P123" s="21" t="s">
        <v>77</v>
      </c>
      <c r="Q123" s="3" t="s">
        <v>81</v>
      </c>
      <c r="R123" s="3">
        <v>200</v>
      </c>
    </row>
    <row r="124" spans="1:18" x14ac:dyDescent="0.2">
      <c r="A124" s="3">
        <v>120</v>
      </c>
      <c r="B124" s="3" t="s">
        <v>348</v>
      </c>
      <c r="C124" s="3" t="s">
        <v>285</v>
      </c>
      <c r="D124" s="3" t="s">
        <v>349</v>
      </c>
      <c r="E124" s="13" t="s">
        <v>75</v>
      </c>
      <c r="F124" s="3" t="s">
        <v>76</v>
      </c>
      <c r="G124" s="16">
        <v>44075</v>
      </c>
      <c r="H124" s="17">
        <v>6.3</v>
      </c>
      <c r="I124" s="18">
        <v>10500</v>
      </c>
      <c r="J124" s="18">
        <v>2500</v>
      </c>
      <c r="K124" s="18">
        <v>500</v>
      </c>
      <c r="L124" s="18">
        <v>0</v>
      </c>
      <c r="M124" s="18">
        <v>0</v>
      </c>
      <c r="N124" s="19">
        <f t="shared" si="3"/>
        <v>13500</v>
      </c>
      <c r="O124" s="20">
        <v>1</v>
      </c>
      <c r="P124" s="21" t="s">
        <v>77</v>
      </c>
      <c r="Q124" s="3" t="s">
        <v>78</v>
      </c>
      <c r="R124" s="3">
        <v>250</v>
      </c>
    </row>
    <row r="125" spans="1:18" x14ac:dyDescent="0.2">
      <c r="A125" s="3">
        <v>121</v>
      </c>
      <c r="B125" s="3" t="s">
        <v>350</v>
      </c>
      <c r="C125" s="3" t="s">
        <v>351</v>
      </c>
      <c r="D125" s="3" t="s">
        <v>121</v>
      </c>
      <c r="E125" s="24" t="s">
        <v>122</v>
      </c>
      <c r="F125" s="3" t="s">
        <v>76</v>
      </c>
      <c r="G125" s="16">
        <v>45298</v>
      </c>
      <c r="H125" s="17">
        <v>3</v>
      </c>
      <c r="I125" s="18">
        <v>9000</v>
      </c>
      <c r="J125" s="18">
        <v>2500</v>
      </c>
      <c r="K125" s="18">
        <v>500</v>
      </c>
      <c r="L125" s="18">
        <v>0</v>
      </c>
      <c r="M125" s="18">
        <v>0</v>
      </c>
      <c r="N125" s="19">
        <f t="shared" si="3"/>
        <v>12000</v>
      </c>
      <c r="O125" s="20">
        <v>1</v>
      </c>
      <c r="P125" s="21" t="s">
        <v>77</v>
      </c>
      <c r="Q125" s="3" t="s">
        <v>81</v>
      </c>
      <c r="R125" s="3" t="s">
        <v>90</v>
      </c>
    </row>
    <row r="126" spans="1:18" x14ac:dyDescent="0.2">
      <c r="A126" s="3">
        <v>122</v>
      </c>
      <c r="B126" s="3" t="s">
        <v>352</v>
      </c>
      <c r="C126" s="3" t="s">
        <v>353</v>
      </c>
      <c r="D126" s="3" t="s">
        <v>159</v>
      </c>
      <c r="E126" s="23" t="s">
        <v>160</v>
      </c>
      <c r="F126" s="3" t="s">
        <v>76</v>
      </c>
      <c r="G126" s="16">
        <v>44875</v>
      </c>
      <c r="H126" s="17">
        <v>4.0999999999999996</v>
      </c>
      <c r="I126" s="18">
        <v>6600</v>
      </c>
      <c r="J126" s="18">
        <v>2500</v>
      </c>
      <c r="K126" s="18">
        <v>500</v>
      </c>
      <c r="L126" s="18">
        <v>0</v>
      </c>
      <c r="M126" s="18">
        <v>0</v>
      </c>
      <c r="N126" s="19">
        <f t="shared" si="3"/>
        <v>9600</v>
      </c>
      <c r="O126" s="20">
        <v>1</v>
      </c>
      <c r="P126" s="21" t="s">
        <v>77</v>
      </c>
      <c r="Q126" s="3" t="s">
        <v>81</v>
      </c>
      <c r="R126" s="3">
        <v>200</v>
      </c>
    </row>
    <row r="127" spans="1:18" x14ac:dyDescent="0.2">
      <c r="A127" s="3">
        <v>123</v>
      </c>
      <c r="B127" s="3" t="s">
        <v>354</v>
      </c>
      <c r="C127" s="3" t="s">
        <v>241</v>
      </c>
      <c r="D127" s="3" t="s">
        <v>355</v>
      </c>
      <c r="E127" s="22" t="s">
        <v>94</v>
      </c>
      <c r="F127" s="3" t="s">
        <v>76</v>
      </c>
      <c r="G127" s="16">
        <v>44440</v>
      </c>
      <c r="H127" s="17">
        <v>5.3</v>
      </c>
      <c r="I127" s="18">
        <v>12500</v>
      </c>
      <c r="J127" s="18">
        <v>2500</v>
      </c>
      <c r="K127" s="18">
        <v>500</v>
      </c>
      <c r="L127" s="18">
        <v>500</v>
      </c>
      <c r="M127" s="18">
        <v>0</v>
      </c>
      <c r="N127" s="19">
        <f t="shared" si="3"/>
        <v>16000</v>
      </c>
      <c r="O127" s="20">
        <v>1</v>
      </c>
      <c r="P127" s="21" t="s">
        <v>77</v>
      </c>
      <c r="Q127" s="3" t="s">
        <v>78</v>
      </c>
      <c r="R127" s="3" t="s">
        <v>356</v>
      </c>
    </row>
    <row r="128" spans="1:18" x14ac:dyDescent="0.2">
      <c r="A128" s="3">
        <v>124</v>
      </c>
      <c r="B128" s="3" t="s">
        <v>357</v>
      </c>
      <c r="C128" s="3" t="s">
        <v>358</v>
      </c>
      <c r="D128" s="3" t="s">
        <v>132</v>
      </c>
      <c r="E128" s="24" t="s">
        <v>122</v>
      </c>
      <c r="F128" s="3" t="s">
        <v>76</v>
      </c>
      <c r="G128" s="16">
        <v>44440</v>
      </c>
      <c r="H128" s="17">
        <v>5.3</v>
      </c>
      <c r="I128" s="18">
        <v>8250</v>
      </c>
      <c r="J128" s="18">
        <v>2500</v>
      </c>
      <c r="K128" s="18">
        <v>500</v>
      </c>
      <c r="L128" s="18">
        <v>0</v>
      </c>
      <c r="M128" s="18">
        <v>1100</v>
      </c>
      <c r="N128" s="19">
        <f t="shared" si="3"/>
        <v>12350</v>
      </c>
      <c r="O128" s="20">
        <v>1</v>
      </c>
      <c r="P128" s="21" t="s">
        <v>77</v>
      </c>
      <c r="Q128" s="3" t="s">
        <v>81</v>
      </c>
      <c r="R128" s="3">
        <v>250</v>
      </c>
    </row>
    <row r="129" spans="1:18" x14ac:dyDescent="0.2">
      <c r="A129" s="3">
        <v>125</v>
      </c>
      <c r="B129" s="3" t="s">
        <v>359</v>
      </c>
      <c r="C129" s="3" t="s">
        <v>360</v>
      </c>
      <c r="D129" s="3" t="s">
        <v>237</v>
      </c>
      <c r="E129" s="13" t="s">
        <v>75</v>
      </c>
      <c r="F129" s="3" t="s">
        <v>76</v>
      </c>
      <c r="G129" s="16">
        <v>44440</v>
      </c>
      <c r="H129" s="17">
        <v>5.3</v>
      </c>
      <c r="I129" s="18">
        <v>9500</v>
      </c>
      <c r="J129" s="18">
        <v>2500</v>
      </c>
      <c r="K129" s="18">
        <v>500</v>
      </c>
      <c r="L129" s="18">
        <v>0</v>
      </c>
      <c r="M129" s="18">
        <v>0</v>
      </c>
      <c r="N129" s="19">
        <f t="shared" si="3"/>
        <v>12500</v>
      </c>
      <c r="O129" s="20">
        <v>1</v>
      </c>
      <c r="P129" s="21" t="s">
        <v>77</v>
      </c>
      <c r="Q129" s="3" t="s">
        <v>78</v>
      </c>
      <c r="R129" s="3">
        <v>250</v>
      </c>
    </row>
    <row r="130" spans="1:18" x14ac:dyDescent="0.2">
      <c r="A130" s="3">
        <v>126</v>
      </c>
      <c r="B130" s="3" t="s">
        <v>361</v>
      </c>
      <c r="C130" s="3" t="s">
        <v>97</v>
      </c>
      <c r="D130" s="3" t="s">
        <v>159</v>
      </c>
      <c r="E130" s="23" t="s">
        <v>160</v>
      </c>
      <c r="F130" s="3" t="s">
        <v>76</v>
      </c>
      <c r="G130" s="16">
        <v>42248</v>
      </c>
      <c r="H130" s="17">
        <v>11.3</v>
      </c>
      <c r="I130" s="18">
        <v>7600</v>
      </c>
      <c r="J130" s="18">
        <v>2500</v>
      </c>
      <c r="K130" s="18">
        <v>500</v>
      </c>
      <c r="L130" s="18">
        <v>0</v>
      </c>
      <c r="M130" s="18">
        <v>0</v>
      </c>
      <c r="N130" s="19">
        <f t="shared" si="3"/>
        <v>10600</v>
      </c>
      <c r="O130" s="20">
        <v>1</v>
      </c>
      <c r="P130" s="21" t="s">
        <v>77</v>
      </c>
      <c r="Q130" s="3" t="s">
        <v>81</v>
      </c>
      <c r="R130" s="3">
        <v>200</v>
      </c>
    </row>
    <row r="131" spans="1:18" x14ac:dyDescent="0.2">
      <c r="A131" s="3">
        <v>127</v>
      </c>
      <c r="B131" s="3" t="s">
        <v>362</v>
      </c>
      <c r="C131" s="3" t="s">
        <v>363</v>
      </c>
      <c r="D131" s="3" t="s">
        <v>265</v>
      </c>
      <c r="E131" s="13" t="s">
        <v>75</v>
      </c>
      <c r="F131" s="3" t="s">
        <v>76</v>
      </c>
      <c r="G131" s="16">
        <v>43709</v>
      </c>
      <c r="H131" s="17">
        <v>7.3</v>
      </c>
      <c r="I131" s="18">
        <v>4125</v>
      </c>
      <c r="J131" s="18">
        <v>1250</v>
      </c>
      <c r="K131" s="18">
        <v>250</v>
      </c>
      <c r="L131" s="18">
        <v>0</v>
      </c>
      <c r="M131" s="18">
        <v>0</v>
      </c>
      <c r="N131" s="19">
        <f t="shared" si="3"/>
        <v>5625</v>
      </c>
      <c r="O131" s="20">
        <v>0.5</v>
      </c>
      <c r="P131" s="21" t="s">
        <v>77</v>
      </c>
      <c r="Q131" s="3" t="s">
        <v>81</v>
      </c>
      <c r="R131" s="3">
        <v>250</v>
      </c>
    </row>
    <row r="132" spans="1:18" x14ac:dyDescent="0.2">
      <c r="A132" s="3">
        <v>128</v>
      </c>
      <c r="B132" s="3" t="s">
        <v>362</v>
      </c>
      <c r="C132" s="3" t="s">
        <v>363</v>
      </c>
      <c r="D132" s="3" t="s">
        <v>121</v>
      </c>
      <c r="E132" s="24" t="s">
        <v>122</v>
      </c>
      <c r="F132" s="3" t="s">
        <v>76</v>
      </c>
      <c r="G132" s="16">
        <v>43709</v>
      </c>
      <c r="H132" s="17">
        <v>7.3</v>
      </c>
      <c r="I132" s="18">
        <v>4625</v>
      </c>
      <c r="J132" s="18">
        <v>1250</v>
      </c>
      <c r="K132" s="18">
        <v>250</v>
      </c>
      <c r="L132" s="18">
        <v>0</v>
      </c>
      <c r="M132" s="18">
        <v>0</v>
      </c>
      <c r="N132" s="19">
        <f t="shared" si="3"/>
        <v>6125</v>
      </c>
      <c r="O132" s="20">
        <v>0.5</v>
      </c>
      <c r="P132" s="21" t="s">
        <v>77</v>
      </c>
      <c r="Q132" s="3" t="s">
        <v>81</v>
      </c>
      <c r="R132" s="3">
        <v>250</v>
      </c>
    </row>
    <row r="133" spans="1:18" x14ac:dyDescent="0.2">
      <c r="A133" s="3">
        <v>129</v>
      </c>
      <c r="B133" s="3" t="s">
        <v>364</v>
      </c>
      <c r="C133" s="3" t="s">
        <v>365</v>
      </c>
      <c r="D133" s="3" t="s">
        <v>223</v>
      </c>
      <c r="E133" s="24" t="s">
        <v>122</v>
      </c>
      <c r="F133" s="3" t="s">
        <v>76</v>
      </c>
      <c r="G133" s="16">
        <v>45170</v>
      </c>
      <c r="H133" s="17">
        <v>3.3</v>
      </c>
      <c r="I133" s="18">
        <v>10500</v>
      </c>
      <c r="J133" s="18">
        <v>2500</v>
      </c>
      <c r="K133" s="18">
        <v>500</v>
      </c>
      <c r="L133" s="18">
        <v>2500</v>
      </c>
      <c r="M133" s="18">
        <v>0</v>
      </c>
      <c r="N133" s="19">
        <f t="shared" ref="N133:N164" si="4">SUM(I133:M133)</f>
        <v>16000</v>
      </c>
      <c r="O133" s="20">
        <v>1</v>
      </c>
      <c r="P133" s="21" t="s">
        <v>77</v>
      </c>
      <c r="Q133" s="3" t="s">
        <v>81</v>
      </c>
      <c r="R133" s="3" t="s">
        <v>366</v>
      </c>
    </row>
    <row r="134" spans="1:18" x14ac:dyDescent="0.2">
      <c r="A134" s="3">
        <v>130</v>
      </c>
      <c r="B134" s="3" t="s">
        <v>367</v>
      </c>
      <c r="C134" s="3" t="s">
        <v>317</v>
      </c>
      <c r="D134" s="3" t="s">
        <v>368</v>
      </c>
      <c r="E134" s="13" t="s">
        <v>75</v>
      </c>
      <c r="F134" s="3" t="s">
        <v>76</v>
      </c>
      <c r="G134" s="16">
        <v>41885</v>
      </c>
      <c r="H134" s="17">
        <v>12.3</v>
      </c>
      <c r="I134" s="18">
        <v>7935</v>
      </c>
      <c r="J134" s="18">
        <v>2035</v>
      </c>
      <c r="K134" s="18">
        <v>407</v>
      </c>
      <c r="L134" s="18">
        <v>0</v>
      </c>
      <c r="M134" s="18">
        <v>0</v>
      </c>
      <c r="N134" s="19">
        <f t="shared" si="4"/>
        <v>10377</v>
      </c>
      <c r="O134" s="20">
        <v>0.81388888888888899</v>
      </c>
      <c r="P134" s="21" t="s">
        <v>77</v>
      </c>
      <c r="Q134" s="3" t="s">
        <v>81</v>
      </c>
      <c r="R134" s="3">
        <v>250</v>
      </c>
    </row>
    <row r="135" spans="1:18" x14ac:dyDescent="0.2">
      <c r="A135" s="3">
        <v>131</v>
      </c>
      <c r="B135" s="3" t="s">
        <v>369</v>
      </c>
      <c r="C135" s="3" t="s">
        <v>177</v>
      </c>
      <c r="D135" s="3" t="s">
        <v>121</v>
      </c>
      <c r="E135" s="24" t="s">
        <v>122</v>
      </c>
      <c r="F135" s="3" t="s">
        <v>76</v>
      </c>
      <c r="G135" s="16">
        <v>45901</v>
      </c>
      <c r="H135" s="17">
        <v>1.3</v>
      </c>
      <c r="I135" s="18">
        <v>10000</v>
      </c>
      <c r="J135" s="18">
        <v>2500</v>
      </c>
      <c r="K135" s="18">
        <v>500</v>
      </c>
      <c r="L135" s="18">
        <v>0</v>
      </c>
      <c r="M135" s="18">
        <v>0</v>
      </c>
      <c r="N135" s="19">
        <f t="shared" si="4"/>
        <v>13000</v>
      </c>
      <c r="O135" s="20">
        <v>1</v>
      </c>
      <c r="P135" s="21" t="s">
        <v>77</v>
      </c>
      <c r="Q135" s="3" t="s">
        <v>81</v>
      </c>
      <c r="R135" s="3" t="s">
        <v>90</v>
      </c>
    </row>
    <row r="136" spans="1:18" x14ac:dyDescent="0.2">
      <c r="A136" s="3">
        <v>132</v>
      </c>
      <c r="B136" s="3" t="s">
        <v>370</v>
      </c>
      <c r="C136" s="3" t="s">
        <v>371</v>
      </c>
      <c r="D136" s="3" t="s">
        <v>121</v>
      </c>
      <c r="E136" s="24" t="s">
        <v>122</v>
      </c>
      <c r="F136" s="3" t="s">
        <v>76</v>
      </c>
      <c r="G136" s="16">
        <v>45921</v>
      </c>
      <c r="H136" s="17">
        <v>1.3</v>
      </c>
      <c r="I136" s="18">
        <v>4000</v>
      </c>
      <c r="J136" s="18">
        <v>1250</v>
      </c>
      <c r="K136" s="18">
        <v>250</v>
      </c>
      <c r="L136" s="18">
        <v>0</v>
      </c>
      <c r="M136" s="18">
        <v>0</v>
      </c>
      <c r="N136" s="19">
        <f t="shared" si="4"/>
        <v>5500</v>
      </c>
      <c r="O136" s="20">
        <v>0.5</v>
      </c>
      <c r="P136" s="21" t="s">
        <v>77</v>
      </c>
      <c r="Q136" s="3" t="s">
        <v>78</v>
      </c>
      <c r="R136" s="3" t="s">
        <v>90</v>
      </c>
    </row>
    <row r="137" spans="1:18" x14ac:dyDescent="0.2">
      <c r="A137" s="3">
        <v>133</v>
      </c>
      <c r="B137" s="3" t="s">
        <v>372</v>
      </c>
      <c r="C137" s="3" t="s">
        <v>373</v>
      </c>
      <c r="D137" s="3" t="s">
        <v>86</v>
      </c>
      <c r="E137" s="21" t="s">
        <v>87</v>
      </c>
      <c r="F137" s="3" t="s">
        <v>76</v>
      </c>
      <c r="G137" s="16">
        <v>44805</v>
      </c>
      <c r="H137" s="17">
        <v>4.3</v>
      </c>
      <c r="I137" s="18">
        <v>10500</v>
      </c>
      <c r="J137" s="18">
        <v>2500</v>
      </c>
      <c r="K137" s="18">
        <v>500</v>
      </c>
      <c r="L137" s="18">
        <v>0</v>
      </c>
      <c r="M137" s="18">
        <v>0</v>
      </c>
      <c r="N137" s="19">
        <f t="shared" si="4"/>
        <v>13500</v>
      </c>
      <c r="O137" s="20">
        <v>1</v>
      </c>
      <c r="P137" s="21" t="s">
        <v>77</v>
      </c>
      <c r="Q137" s="3" t="s">
        <v>78</v>
      </c>
      <c r="R137" s="3">
        <v>250</v>
      </c>
    </row>
    <row r="138" spans="1:18" x14ac:dyDescent="0.2">
      <c r="A138" s="3">
        <v>134</v>
      </c>
      <c r="B138" s="3" t="s">
        <v>374</v>
      </c>
      <c r="C138" s="3" t="s">
        <v>375</v>
      </c>
      <c r="D138" s="3" t="s">
        <v>376</v>
      </c>
      <c r="E138" s="22" t="s">
        <v>94</v>
      </c>
      <c r="F138" s="3" t="s">
        <v>76</v>
      </c>
      <c r="G138" s="16">
        <v>44836</v>
      </c>
      <c r="H138" s="17">
        <v>4.2</v>
      </c>
      <c r="I138" s="18">
        <v>9000</v>
      </c>
      <c r="J138" s="18">
        <v>2500</v>
      </c>
      <c r="K138" s="18">
        <v>500</v>
      </c>
      <c r="L138" s="18">
        <v>0</v>
      </c>
      <c r="M138" s="18">
        <v>0</v>
      </c>
      <c r="N138" s="19">
        <f t="shared" si="4"/>
        <v>12000</v>
      </c>
      <c r="O138" s="20">
        <v>1</v>
      </c>
      <c r="P138" s="21" t="s">
        <v>77</v>
      </c>
      <c r="Q138" s="3" t="s">
        <v>78</v>
      </c>
      <c r="R138" s="3">
        <v>250</v>
      </c>
    </row>
    <row r="139" spans="1:18" x14ac:dyDescent="0.2">
      <c r="A139" s="3">
        <v>135</v>
      </c>
      <c r="B139" s="3" t="s">
        <v>377</v>
      </c>
      <c r="C139" s="3" t="s">
        <v>353</v>
      </c>
      <c r="D139" s="3" t="s">
        <v>121</v>
      </c>
      <c r="E139" s="24" t="s">
        <v>122</v>
      </c>
      <c r="F139" s="3" t="s">
        <v>76</v>
      </c>
      <c r="G139" s="16">
        <v>45901</v>
      </c>
      <c r="H139" s="17">
        <v>1.3</v>
      </c>
      <c r="I139" s="18">
        <v>9000</v>
      </c>
      <c r="J139" s="18">
        <v>2500</v>
      </c>
      <c r="K139" s="18">
        <v>500</v>
      </c>
      <c r="L139" s="18">
        <v>0</v>
      </c>
      <c r="M139" s="18">
        <v>700</v>
      </c>
      <c r="N139" s="19">
        <f t="shared" si="4"/>
        <v>12700</v>
      </c>
      <c r="O139" s="20">
        <v>1</v>
      </c>
      <c r="P139" s="21" t="s">
        <v>77</v>
      </c>
      <c r="Q139" s="3" t="s">
        <v>81</v>
      </c>
      <c r="R139" s="3" t="s">
        <v>90</v>
      </c>
    </row>
    <row r="140" spans="1:18" x14ac:dyDescent="0.2">
      <c r="A140" s="3">
        <v>136</v>
      </c>
      <c r="B140" s="3" t="s">
        <v>378</v>
      </c>
      <c r="C140" s="3" t="s">
        <v>375</v>
      </c>
      <c r="D140" s="3" t="s">
        <v>121</v>
      </c>
      <c r="E140" s="24" t="s">
        <v>122</v>
      </c>
      <c r="F140" s="3" t="s">
        <v>76</v>
      </c>
      <c r="G140" s="16">
        <v>45536</v>
      </c>
      <c r="H140" s="17">
        <v>2.2999999999999998</v>
      </c>
      <c r="I140" s="18">
        <v>8250</v>
      </c>
      <c r="J140" s="18">
        <v>2500</v>
      </c>
      <c r="K140" s="18">
        <v>500</v>
      </c>
      <c r="L140" s="18">
        <v>0</v>
      </c>
      <c r="M140" s="18">
        <v>1300</v>
      </c>
      <c r="N140" s="19">
        <f t="shared" si="4"/>
        <v>12550</v>
      </c>
      <c r="O140" s="20">
        <v>1</v>
      </c>
      <c r="P140" s="21" t="s">
        <v>77</v>
      </c>
      <c r="Q140" s="3" t="s">
        <v>78</v>
      </c>
      <c r="R140" s="3">
        <v>250</v>
      </c>
    </row>
    <row r="141" spans="1:18" x14ac:dyDescent="0.2">
      <c r="A141" s="3">
        <v>137</v>
      </c>
      <c r="B141" s="3" t="s">
        <v>379</v>
      </c>
      <c r="C141" s="3" t="s">
        <v>380</v>
      </c>
      <c r="D141" s="3" t="s">
        <v>86</v>
      </c>
      <c r="E141" s="21" t="s">
        <v>87</v>
      </c>
      <c r="F141" s="3" t="s">
        <v>76</v>
      </c>
      <c r="G141" s="16">
        <v>45170</v>
      </c>
      <c r="H141" s="17">
        <v>3.3</v>
      </c>
      <c r="I141" s="18">
        <v>9250</v>
      </c>
      <c r="J141" s="18">
        <v>2500</v>
      </c>
      <c r="K141" s="18">
        <v>500</v>
      </c>
      <c r="L141" s="18">
        <v>0</v>
      </c>
      <c r="M141" s="18">
        <v>0</v>
      </c>
      <c r="N141" s="19">
        <f t="shared" si="4"/>
        <v>12250</v>
      </c>
      <c r="O141" s="20">
        <v>1</v>
      </c>
      <c r="P141" s="21" t="s">
        <v>77</v>
      </c>
      <c r="Q141" s="3" t="s">
        <v>81</v>
      </c>
      <c r="R141" s="3">
        <v>250</v>
      </c>
    </row>
    <row r="142" spans="1:18" x14ac:dyDescent="0.2">
      <c r="A142" s="3">
        <v>138</v>
      </c>
      <c r="B142" s="3" t="s">
        <v>381</v>
      </c>
      <c r="C142" s="3" t="s">
        <v>382</v>
      </c>
      <c r="D142" s="3" t="s">
        <v>86</v>
      </c>
      <c r="E142" s="21" t="s">
        <v>87</v>
      </c>
      <c r="F142" s="3" t="s">
        <v>76</v>
      </c>
      <c r="G142" s="16">
        <v>45536</v>
      </c>
      <c r="H142" s="17">
        <v>2.2999999999999998</v>
      </c>
      <c r="I142" s="18">
        <v>8250</v>
      </c>
      <c r="J142" s="18">
        <v>2500</v>
      </c>
      <c r="K142" s="18">
        <v>500</v>
      </c>
      <c r="L142" s="18">
        <v>0</v>
      </c>
      <c r="M142" s="18">
        <v>0</v>
      </c>
      <c r="N142" s="19">
        <f t="shared" si="4"/>
        <v>11250</v>
      </c>
      <c r="O142" s="20">
        <v>1</v>
      </c>
      <c r="P142" s="21" t="s">
        <v>77</v>
      </c>
      <c r="Q142" s="3" t="s">
        <v>78</v>
      </c>
      <c r="R142" s="3">
        <v>250</v>
      </c>
    </row>
    <row r="143" spans="1:18" x14ac:dyDescent="0.2">
      <c r="A143" s="3">
        <v>139</v>
      </c>
      <c r="B143" s="3" t="s">
        <v>383</v>
      </c>
      <c r="C143" s="3" t="s">
        <v>360</v>
      </c>
      <c r="D143" s="3" t="s">
        <v>121</v>
      </c>
      <c r="E143" s="24" t="s">
        <v>122</v>
      </c>
      <c r="F143" s="3" t="s">
        <v>76</v>
      </c>
      <c r="G143" s="16">
        <v>43344</v>
      </c>
      <c r="H143" s="17">
        <v>8.3000000000000007</v>
      </c>
      <c r="I143" s="18">
        <v>9750</v>
      </c>
      <c r="J143" s="18">
        <v>2500</v>
      </c>
      <c r="K143" s="18">
        <v>500</v>
      </c>
      <c r="L143" s="18">
        <v>0</v>
      </c>
      <c r="M143" s="18">
        <v>1300</v>
      </c>
      <c r="N143" s="19">
        <f t="shared" si="4"/>
        <v>14050</v>
      </c>
      <c r="O143" s="20">
        <v>1</v>
      </c>
      <c r="P143" s="21" t="s">
        <v>77</v>
      </c>
      <c r="Q143" s="3" t="s">
        <v>81</v>
      </c>
      <c r="R143" s="3">
        <v>250</v>
      </c>
    </row>
    <row r="144" spans="1:18" x14ac:dyDescent="0.2">
      <c r="A144" s="3">
        <v>140</v>
      </c>
      <c r="B144" s="3" t="s">
        <v>384</v>
      </c>
      <c r="C144" s="3" t="s">
        <v>385</v>
      </c>
      <c r="D144" s="3" t="s">
        <v>121</v>
      </c>
      <c r="E144" s="24" t="s">
        <v>122</v>
      </c>
      <c r="F144" s="3" t="s">
        <v>76</v>
      </c>
      <c r="G144" s="16">
        <v>42979</v>
      </c>
      <c r="H144" s="17">
        <v>9.3000000000000007</v>
      </c>
      <c r="I144" s="18">
        <v>10500</v>
      </c>
      <c r="J144" s="18">
        <v>2500</v>
      </c>
      <c r="K144" s="18">
        <v>500</v>
      </c>
      <c r="L144" s="18">
        <v>0</v>
      </c>
      <c r="M144" s="18">
        <v>1900</v>
      </c>
      <c r="N144" s="19">
        <f t="shared" si="4"/>
        <v>15400</v>
      </c>
      <c r="O144" s="20">
        <v>1</v>
      </c>
      <c r="P144" s="21" t="s">
        <v>77</v>
      </c>
      <c r="Q144" s="3" t="s">
        <v>78</v>
      </c>
      <c r="R144" s="3">
        <v>250</v>
      </c>
    </row>
    <row r="145" spans="1:18" x14ac:dyDescent="0.2">
      <c r="A145" s="3">
        <v>141</v>
      </c>
      <c r="B145" s="3" t="s">
        <v>386</v>
      </c>
      <c r="C145" s="3" t="s">
        <v>257</v>
      </c>
      <c r="D145" s="3" t="s">
        <v>74</v>
      </c>
      <c r="E145" s="13" t="s">
        <v>75</v>
      </c>
      <c r="F145" s="3" t="s">
        <v>76</v>
      </c>
      <c r="G145" s="16">
        <v>45901</v>
      </c>
      <c r="H145" s="17">
        <v>1.3</v>
      </c>
      <c r="I145" s="18">
        <v>7000</v>
      </c>
      <c r="J145" s="18">
        <v>2500</v>
      </c>
      <c r="K145" s="18">
        <v>500</v>
      </c>
      <c r="L145" s="18">
        <v>0</v>
      </c>
      <c r="M145" s="18">
        <v>0</v>
      </c>
      <c r="N145" s="19">
        <f t="shared" si="4"/>
        <v>10000</v>
      </c>
      <c r="O145" s="20">
        <v>1</v>
      </c>
      <c r="P145" s="21" t="s">
        <v>77</v>
      </c>
      <c r="Q145" s="3" t="s">
        <v>81</v>
      </c>
      <c r="R145" s="3" t="s">
        <v>90</v>
      </c>
    </row>
    <row r="146" spans="1:18" x14ac:dyDescent="0.2">
      <c r="A146" s="3">
        <v>142</v>
      </c>
      <c r="B146" s="3" t="s">
        <v>387</v>
      </c>
      <c r="C146" s="3" t="s">
        <v>388</v>
      </c>
      <c r="D146" s="3" t="s">
        <v>102</v>
      </c>
      <c r="E146" s="21" t="s">
        <v>87</v>
      </c>
      <c r="F146" s="3" t="s">
        <v>76</v>
      </c>
      <c r="G146" s="16">
        <v>42248</v>
      </c>
      <c r="H146" s="17">
        <v>11.3</v>
      </c>
      <c r="I146" s="18">
        <v>9750</v>
      </c>
      <c r="J146" s="18">
        <v>2500</v>
      </c>
      <c r="K146" s="18">
        <v>500</v>
      </c>
      <c r="L146" s="18">
        <v>0</v>
      </c>
      <c r="M146" s="18">
        <v>796</v>
      </c>
      <c r="N146" s="19">
        <f t="shared" si="4"/>
        <v>13546</v>
      </c>
      <c r="O146" s="20">
        <v>1</v>
      </c>
      <c r="P146" s="21" t="s">
        <v>77</v>
      </c>
      <c r="Q146" s="3" t="s">
        <v>81</v>
      </c>
      <c r="R146" s="3">
        <v>250</v>
      </c>
    </row>
    <row r="147" spans="1:18" x14ac:dyDescent="0.2">
      <c r="A147" s="3">
        <v>143</v>
      </c>
      <c r="B147" s="3" t="s">
        <v>389</v>
      </c>
      <c r="C147" s="3" t="s">
        <v>390</v>
      </c>
      <c r="D147" s="3" t="s">
        <v>121</v>
      </c>
      <c r="E147" s="24" t="s">
        <v>122</v>
      </c>
      <c r="F147" s="3" t="s">
        <v>76</v>
      </c>
      <c r="G147" s="16">
        <v>45194</v>
      </c>
      <c r="H147" s="17">
        <v>3.3</v>
      </c>
      <c r="I147" s="18">
        <v>8250</v>
      </c>
      <c r="J147" s="18">
        <v>2500</v>
      </c>
      <c r="K147" s="18">
        <v>500</v>
      </c>
      <c r="L147" s="18">
        <v>0</v>
      </c>
      <c r="M147" s="18">
        <v>1700</v>
      </c>
      <c r="N147" s="19">
        <f t="shared" si="4"/>
        <v>12950</v>
      </c>
      <c r="O147" s="20">
        <v>1</v>
      </c>
      <c r="P147" s="21" t="s">
        <v>77</v>
      </c>
      <c r="Q147" s="3" t="s">
        <v>81</v>
      </c>
      <c r="R147" s="3">
        <v>250</v>
      </c>
    </row>
    <row r="148" spans="1:18" x14ac:dyDescent="0.2">
      <c r="A148" s="3">
        <v>144</v>
      </c>
      <c r="B148" s="3" t="s">
        <v>391</v>
      </c>
      <c r="C148" s="3" t="s">
        <v>392</v>
      </c>
      <c r="D148" s="3" t="s">
        <v>132</v>
      </c>
      <c r="E148" s="24" t="s">
        <v>122</v>
      </c>
      <c r="F148" s="3" t="s">
        <v>76</v>
      </c>
      <c r="G148" s="16">
        <v>43023</v>
      </c>
      <c r="H148" s="17">
        <v>9.1999999999999993</v>
      </c>
      <c r="I148" s="18">
        <v>9500</v>
      </c>
      <c r="J148" s="18">
        <v>2500</v>
      </c>
      <c r="K148" s="18">
        <v>500</v>
      </c>
      <c r="L148" s="18">
        <v>0</v>
      </c>
      <c r="M148" s="18">
        <v>580</v>
      </c>
      <c r="N148" s="19">
        <f t="shared" si="4"/>
        <v>13080</v>
      </c>
      <c r="O148" s="20">
        <v>1</v>
      </c>
      <c r="P148" s="21" t="s">
        <v>77</v>
      </c>
      <c r="Q148" s="3" t="s">
        <v>78</v>
      </c>
      <c r="R148" s="3">
        <v>250</v>
      </c>
    </row>
    <row r="149" spans="1:18" x14ac:dyDescent="0.2">
      <c r="A149" s="3">
        <v>145</v>
      </c>
      <c r="B149" s="3" t="s">
        <v>393</v>
      </c>
      <c r="C149" s="3" t="s">
        <v>385</v>
      </c>
      <c r="D149" s="3" t="s">
        <v>121</v>
      </c>
      <c r="E149" s="24" t="s">
        <v>122</v>
      </c>
      <c r="F149" s="3" t="s">
        <v>76</v>
      </c>
      <c r="G149" s="16">
        <v>45194</v>
      </c>
      <c r="H149" s="17">
        <v>3.3</v>
      </c>
      <c r="I149" s="18">
        <v>5667</v>
      </c>
      <c r="J149" s="18">
        <v>1667</v>
      </c>
      <c r="K149" s="18">
        <v>333</v>
      </c>
      <c r="L149" s="18">
        <v>0</v>
      </c>
      <c r="M149" s="18">
        <v>0</v>
      </c>
      <c r="N149" s="19">
        <f t="shared" si="4"/>
        <v>7667</v>
      </c>
      <c r="O149" s="20">
        <v>0.66666666666666696</v>
      </c>
      <c r="P149" s="21" t="s">
        <v>77</v>
      </c>
      <c r="Q149" s="3" t="s">
        <v>78</v>
      </c>
      <c r="R149" s="3">
        <v>250</v>
      </c>
    </row>
    <row r="150" spans="1:18" x14ac:dyDescent="0.2">
      <c r="A150" s="3">
        <v>146</v>
      </c>
      <c r="B150" s="3" t="s">
        <v>394</v>
      </c>
      <c r="C150" s="3" t="s">
        <v>395</v>
      </c>
      <c r="D150" s="3" t="s">
        <v>74</v>
      </c>
      <c r="E150" s="13" t="s">
        <v>75</v>
      </c>
      <c r="F150" s="3" t="s">
        <v>76</v>
      </c>
      <c r="G150" s="16">
        <v>45536</v>
      </c>
      <c r="H150" s="17">
        <v>2.2999999999999998</v>
      </c>
      <c r="I150" s="18">
        <v>8250</v>
      </c>
      <c r="J150" s="18">
        <v>2500</v>
      </c>
      <c r="K150" s="18">
        <v>500</v>
      </c>
      <c r="L150" s="18">
        <v>0</v>
      </c>
      <c r="M150" s="18">
        <v>0</v>
      </c>
      <c r="N150" s="19">
        <f t="shared" si="4"/>
        <v>11250</v>
      </c>
      <c r="O150" s="20">
        <v>1</v>
      </c>
      <c r="P150" s="21" t="s">
        <v>77</v>
      </c>
      <c r="Q150" s="3" t="s">
        <v>81</v>
      </c>
      <c r="R150" s="3">
        <v>250</v>
      </c>
    </row>
    <row r="151" spans="1:18" x14ac:dyDescent="0.2">
      <c r="A151" s="3">
        <v>147</v>
      </c>
      <c r="B151" s="3" t="s">
        <v>396</v>
      </c>
      <c r="C151" s="3" t="s">
        <v>397</v>
      </c>
      <c r="D151" s="3" t="s">
        <v>121</v>
      </c>
      <c r="E151" s="24" t="s">
        <v>122</v>
      </c>
      <c r="F151" s="3" t="s">
        <v>76</v>
      </c>
      <c r="G151" s="16">
        <v>42248</v>
      </c>
      <c r="H151" s="17">
        <v>11.3</v>
      </c>
      <c r="I151" s="18">
        <v>10500</v>
      </c>
      <c r="J151" s="18">
        <v>2500</v>
      </c>
      <c r="K151" s="18">
        <v>500</v>
      </c>
      <c r="L151" s="18">
        <v>0</v>
      </c>
      <c r="M151" s="18">
        <v>1300</v>
      </c>
      <c r="N151" s="19">
        <f t="shared" si="4"/>
        <v>14800</v>
      </c>
      <c r="O151" s="20">
        <v>1</v>
      </c>
      <c r="P151" s="21" t="s">
        <v>77</v>
      </c>
      <c r="Q151" s="3" t="s">
        <v>81</v>
      </c>
      <c r="R151" s="3">
        <v>250</v>
      </c>
    </row>
    <row r="152" spans="1:18" x14ac:dyDescent="0.2">
      <c r="A152" s="3">
        <v>148</v>
      </c>
      <c r="B152" s="3" t="s">
        <v>398</v>
      </c>
      <c r="C152" s="3" t="s">
        <v>399</v>
      </c>
      <c r="D152" s="3" t="s">
        <v>102</v>
      </c>
      <c r="E152" s="21" t="s">
        <v>87</v>
      </c>
      <c r="F152" s="3" t="s">
        <v>76</v>
      </c>
      <c r="G152" s="16">
        <v>34943</v>
      </c>
      <c r="H152" s="17">
        <v>31.3</v>
      </c>
      <c r="I152" s="18">
        <v>14250</v>
      </c>
      <c r="J152" s="18">
        <v>2500</v>
      </c>
      <c r="K152" s="18">
        <v>500</v>
      </c>
      <c r="L152" s="18">
        <v>0</v>
      </c>
      <c r="M152" s="18">
        <v>1576</v>
      </c>
      <c r="N152" s="19">
        <f t="shared" si="4"/>
        <v>18826</v>
      </c>
      <c r="O152" s="20">
        <v>1</v>
      </c>
      <c r="P152" s="21" t="s">
        <v>77</v>
      </c>
      <c r="Q152" s="3" t="s">
        <v>81</v>
      </c>
      <c r="R152" s="3">
        <v>250</v>
      </c>
    </row>
    <row r="153" spans="1:18" x14ac:dyDescent="0.2">
      <c r="A153" s="3">
        <v>149</v>
      </c>
      <c r="B153" s="3" t="s">
        <v>400</v>
      </c>
      <c r="C153" s="3" t="s">
        <v>401</v>
      </c>
      <c r="D153" s="3" t="s">
        <v>121</v>
      </c>
      <c r="E153" s="24" t="s">
        <v>122</v>
      </c>
      <c r="F153" s="3" t="s">
        <v>76</v>
      </c>
      <c r="G153" s="16">
        <v>41153</v>
      </c>
      <c r="H153" s="17">
        <v>14.3</v>
      </c>
      <c r="I153" s="18">
        <v>11250</v>
      </c>
      <c r="J153" s="18">
        <v>2500</v>
      </c>
      <c r="K153" s="18">
        <v>500</v>
      </c>
      <c r="L153" s="18">
        <v>0</v>
      </c>
      <c r="M153" s="18">
        <v>350</v>
      </c>
      <c r="N153" s="19">
        <f t="shared" si="4"/>
        <v>14600</v>
      </c>
      <c r="O153" s="20">
        <v>1</v>
      </c>
      <c r="P153" s="21" t="s">
        <v>77</v>
      </c>
      <c r="Q153" s="3" t="s">
        <v>81</v>
      </c>
      <c r="R153" s="3">
        <v>250</v>
      </c>
    </row>
    <row r="154" spans="1:18" x14ac:dyDescent="0.2">
      <c r="A154" s="3">
        <v>150</v>
      </c>
      <c r="B154" s="3" t="s">
        <v>402</v>
      </c>
      <c r="C154" s="3" t="s">
        <v>403</v>
      </c>
      <c r="D154" s="3" t="s">
        <v>102</v>
      </c>
      <c r="E154" s="21" t="s">
        <v>87</v>
      </c>
      <c r="F154" s="3" t="s">
        <v>76</v>
      </c>
      <c r="G154" s="16">
        <v>39692</v>
      </c>
      <c r="H154" s="17">
        <v>18.3</v>
      </c>
      <c r="I154" s="18">
        <v>11250</v>
      </c>
      <c r="J154" s="18">
        <v>2500</v>
      </c>
      <c r="K154" s="18">
        <v>500</v>
      </c>
      <c r="L154" s="18">
        <v>0</v>
      </c>
      <c r="M154" s="18">
        <v>2380</v>
      </c>
      <c r="N154" s="19">
        <f t="shared" si="4"/>
        <v>16630</v>
      </c>
      <c r="O154" s="20">
        <v>1</v>
      </c>
      <c r="P154" s="21" t="s">
        <v>77</v>
      </c>
      <c r="Q154" s="3" t="s">
        <v>81</v>
      </c>
      <c r="R154" s="3">
        <v>250</v>
      </c>
    </row>
    <row r="155" spans="1:18" x14ac:dyDescent="0.2">
      <c r="A155" s="3">
        <v>151</v>
      </c>
      <c r="B155" s="3" t="s">
        <v>404</v>
      </c>
      <c r="C155" s="3" t="s">
        <v>405</v>
      </c>
      <c r="D155" s="3" t="s">
        <v>406</v>
      </c>
      <c r="E155" s="13" t="s">
        <v>75</v>
      </c>
      <c r="F155" s="3" t="s">
        <v>76</v>
      </c>
      <c r="G155" s="16">
        <v>45901</v>
      </c>
      <c r="H155" s="17">
        <v>1.3</v>
      </c>
      <c r="I155" s="18">
        <v>7000</v>
      </c>
      <c r="J155" s="18">
        <v>2500</v>
      </c>
      <c r="K155" s="18">
        <v>500</v>
      </c>
      <c r="L155" s="18">
        <v>0</v>
      </c>
      <c r="M155" s="18">
        <v>0</v>
      </c>
      <c r="N155" s="19">
        <f t="shared" si="4"/>
        <v>10000</v>
      </c>
      <c r="O155" s="20">
        <v>1</v>
      </c>
      <c r="P155" s="21" t="s">
        <v>77</v>
      </c>
      <c r="Q155" s="3" t="s">
        <v>78</v>
      </c>
      <c r="R155" s="3" t="s">
        <v>90</v>
      </c>
    </row>
    <row r="156" spans="1:18" x14ac:dyDescent="0.2">
      <c r="A156" s="3">
        <v>152</v>
      </c>
      <c r="B156" s="3" t="s">
        <v>407</v>
      </c>
      <c r="C156" s="3" t="s">
        <v>408</v>
      </c>
      <c r="D156" s="3" t="s">
        <v>121</v>
      </c>
      <c r="E156" s="24" t="s">
        <v>122</v>
      </c>
      <c r="F156" s="3" t="s">
        <v>76</v>
      </c>
      <c r="G156" s="16">
        <v>43709</v>
      </c>
      <c r="H156" s="17">
        <v>7.3</v>
      </c>
      <c r="I156" s="18">
        <v>9500</v>
      </c>
      <c r="J156" s="18">
        <v>2500</v>
      </c>
      <c r="K156" s="18">
        <v>500</v>
      </c>
      <c r="L156" s="18">
        <v>0</v>
      </c>
      <c r="M156" s="18">
        <v>1300</v>
      </c>
      <c r="N156" s="19">
        <f t="shared" si="4"/>
        <v>13800</v>
      </c>
      <c r="O156" s="20">
        <v>1</v>
      </c>
      <c r="P156" s="21" t="s">
        <v>77</v>
      </c>
      <c r="Q156" s="3" t="s">
        <v>78</v>
      </c>
      <c r="R156" s="3">
        <v>250</v>
      </c>
    </row>
    <row r="157" spans="1:18" x14ac:dyDescent="0.2">
      <c r="A157" s="3">
        <v>153</v>
      </c>
      <c r="B157" s="3" t="s">
        <v>409</v>
      </c>
      <c r="C157" s="3" t="s">
        <v>403</v>
      </c>
      <c r="D157" s="3" t="s">
        <v>410</v>
      </c>
      <c r="E157" s="21" t="s">
        <v>87</v>
      </c>
      <c r="F157" s="3" t="s">
        <v>76</v>
      </c>
      <c r="G157" s="16">
        <v>45901</v>
      </c>
      <c r="H157" s="17">
        <v>1.3</v>
      </c>
      <c r="I157" s="18">
        <v>4929</v>
      </c>
      <c r="J157" s="18">
        <v>2054</v>
      </c>
      <c r="K157" s="18">
        <v>411</v>
      </c>
      <c r="L157" s="18">
        <v>0</v>
      </c>
      <c r="M157" s="18">
        <v>0</v>
      </c>
      <c r="N157" s="19">
        <f t="shared" si="4"/>
        <v>7394</v>
      </c>
      <c r="O157" s="20">
        <v>0.82142857142857095</v>
      </c>
      <c r="P157" s="21" t="s">
        <v>77</v>
      </c>
      <c r="Q157" s="3" t="s">
        <v>81</v>
      </c>
      <c r="R157" s="3" t="s">
        <v>90</v>
      </c>
    </row>
    <row r="158" spans="1:18" x14ac:dyDescent="0.2">
      <c r="A158" s="3">
        <v>154</v>
      </c>
      <c r="B158" s="3" t="s">
        <v>411</v>
      </c>
      <c r="C158" s="3" t="s">
        <v>412</v>
      </c>
      <c r="D158" s="3" t="s">
        <v>86</v>
      </c>
      <c r="E158" s="21" t="s">
        <v>87</v>
      </c>
      <c r="F158" s="3" t="s">
        <v>76</v>
      </c>
      <c r="G158" s="16">
        <v>43709</v>
      </c>
      <c r="H158" s="17">
        <v>7.3</v>
      </c>
      <c r="I158" s="18">
        <v>9500</v>
      </c>
      <c r="J158" s="18">
        <v>2500</v>
      </c>
      <c r="K158" s="18">
        <v>500</v>
      </c>
      <c r="L158" s="18">
        <v>0</v>
      </c>
      <c r="M158" s="18">
        <v>0</v>
      </c>
      <c r="N158" s="19">
        <f t="shared" si="4"/>
        <v>12500</v>
      </c>
      <c r="O158" s="20">
        <v>1</v>
      </c>
      <c r="P158" s="21" t="s">
        <v>77</v>
      </c>
      <c r="Q158" s="3" t="s">
        <v>81</v>
      </c>
      <c r="R158" s="3">
        <v>250</v>
      </c>
    </row>
    <row r="159" spans="1:18" x14ac:dyDescent="0.2">
      <c r="A159" s="3">
        <v>155</v>
      </c>
      <c r="B159" s="3" t="s">
        <v>413</v>
      </c>
      <c r="C159" s="3" t="s">
        <v>414</v>
      </c>
      <c r="D159" s="3" t="s">
        <v>159</v>
      </c>
      <c r="E159" s="23" t="s">
        <v>160</v>
      </c>
      <c r="F159" s="3" t="s">
        <v>76</v>
      </c>
      <c r="G159" s="16">
        <v>44440</v>
      </c>
      <c r="H159" s="17">
        <v>5.3</v>
      </c>
      <c r="I159" s="18">
        <v>6800</v>
      </c>
      <c r="J159" s="18">
        <v>2500</v>
      </c>
      <c r="K159" s="18">
        <v>500</v>
      </c>
      <c r="L159" s="18">
        <v>0</v>
      </c>
      <c r="M159" s="18">
        <v>0</v>
      </c>
      <c r="N159" s="19">
        <f t="shared" si="4"/>
        <v>9800</v>
      </c>
      <c r="O159" s="20">
        <v>1</v>
      </c>
      <c r="P159" s="21" t="s">
        <v>77</v>
      </c>
      <c r="Q159" s="3" t="s">
        <v>78</v>
      </c>
      <c r="R159" s="3">
        <v>200</v>
      </c>
    </row>
    <row r="160" spans="1:18" x14ac:dyDescent="0.2">
      <c r="A160" s="3">
        <v>156</v>
      </c>
      <c r="B160" s="3" t="s">
        <v>415</v>
      </c>
      <c r="C160" s="3" t="s">
        <v>416</v>
      </c>
      <c r="D160" s="3" t="s">
        <v>121</v>
      </c>
      <c r="E160" s="24" t="s">
        <v>122</v>
      </c>
      <c r="F160" s="3" t="s">
        <v>76</v>
      </c>
      <c r="G160" s="16">
        <v>43344</v>
      </c>
      <c r="H160" s="17">
        <v>8.3000000000000007</v>
      </c>
      <c r="I160" s="18">
        <v>9750</v>
      </c>
      <c r="J160" s="18">
        <v>2500</v>
      </c>
      <c r="K160" s="18">
        <v>500</v>
      </c>
      <c r="L160" s="18">
        <v>0</v>
      </c>
      <c r="M160" s="18">
        <v>1700</v>
      </c>
      <c r="N160" s="19">
        <f t="shared" si="4"/>
        <v>14450</v>
      </c>
      <c r="O160" s="20">
        <v>1</v>
      </c>
      <c r="P160" s="21" t="s">
        <v>77</v>
      </c>
      <c r="Q160" s="3" t="s">
        <v>81</v>
      </c>
      <c r="R160" s="3">
        <v>250</v>
      </c>
    </row>
    <row r="161" spans="1:18" x14ac:dyDescent="0.2">
      <c r="A161" s="3">
        <v>157</v>
      </c>
      <c r="B161" s="3" t="s">
        <v>417</v>
      </c>
      <c r="C161" s="3" t="s">
        <v>418</v>
      </c>
      <c r="D161" s="3" t="s">
        <v>132</v>
      </c>
      <c r="E161" s="24" t="s">
        <v>122</v>
      </c>
      <c r="F161" s="3" t="s">
        <v>76</v>
      </c>
      <c r="G161" s="16">
        <v>44440</v>
      </c>
      <c r="H161" s="17">
        <v>5.3</v>
      </c>
      <c r="I161" s="18">
        <v>7800</v>
      </c>
      <c r="J161" s="18">
        <v>2500</v>
      </c>
      <c r="K161" s="18">
        <v>500</v>
      </c>
      <c r="L161" s="18">
        <v>0</v>
      </c>
      <c r="M161" s="18">
        <v>1300</v>
      </c>
      <c r="N161" s="19">
        <f t="shared" si="4"/>
        <v>12100</v>
      </c>
      <c r="O161" s="20">
        <v>1</v>
      </c>
      <c r="P161" s="21" t="s">
        <v>77</v>
      </c>
      <c r="Q161" s="3" t="s">
        <v>78</v>
      </c>
      <c r="R161" s="3">
        <v>200</v>
      </c>
    </row>
    <row r="162" spans="1:18" x14ac:dyDescent="0.2">
      <c r="A162" s="3">
        <v>158</v>
      </c>
      <c r="B162" s="3" t="s">
        <v>419</v>
      </c>
      <c r="C162" s="3" t="s">
        <v>420</v>
      </c>
      <c r="D162" s="3" t="s">
        <v>132</v>
      </c>
      <c r="E162" s="24" t="s">
        <v>122</v>
      </c>
      <c r="F162" s="3" t="s">
        <v>76</v>
      </c>
      <c r="G162" s="16">
        <v>38248</v>
      </c>
      <c r="H162" s="17">
        <v>22.3</v>
      </c>
      <c r="I162" s="18">
        <v>12000</v>
      </c>
      <c r="J162" s="18">
        <v>2500</v>
      </c>
      <c r="K162" s="18">
        <v>500</v>
      </c>
      <c r="L162" s="18">
        <v>0</v>
      </c>
      <c r="M162" s="18">
        <v>1100</v>
      </c>
      <c r="N162" s="19">
        <f t="shared" si="4"/>
        <v>16100</v>
      </c>
      <c r="O162" s="20">
        <v>1</v>
      </c>
      <c r="P162" s="21" t="s">
        <v>77</v>
      </c>
      <c r="Q162" s="3" t="s">
        <v>78</v>
      </c>
      <c r="R162" s="3">
        <v>250</v>
      </c>
    </row>
    <row r="163" spans="1:18" x14ac:dyDescent="0.2">
      <c r="A163" s="3">
        <v>159</v>
      </c>
      <c r="B163" s="3" t="s">
        <v>421</v>
      </c>
      <c r="C163" s="3" t="s">
        <v>422</v>
      </c>
      <c r="D163" s="3" t="s">
        <v>423</v>
      </c>
      <c r="E163" s="13" t="s">
        <v>75</v>
      </c>
      <c r="F163" s="3" t="s">
        <v>76</v>
      </c>
      <c r="G163" s="16">
        <v>42817</v>
      </c>
      <c r="H163" s="17">
        <v>9.8000000000000007</v>
      </c>
      <c r="I163" s="18">
        <v>3300</v>
      </c>
      <c r="J163" s="18">
        <v>1875</v>
      </c>
      <c r="K163" s="18">
        <v>375</v>
      </c>
      <c r="L163" s="18">
        <v>0</v>
      </c>
      <c r="M163" s="18">
        <v>0</v>
      </c>
      <c r="N163" s="19">
        <f t="shared" si="4"/>
        <v>5550</v>
      </c>
      <c r="O163" s="20">
        <v>0.75</v>
      </c>
      <c r="P163" s="21" t="s">
        <v>77</v>
      </c>
      <c r="Q163" s="3" t="s">
        <v>78</v>
      </c>
      <c r="R163" s="3">
        <v>200</v>
      </c>
    </row>
    <row r="164" spans="1:18" x14ac:dyDescent="0.2">
      <c r="A164" s="3">
        <v>160</v>
      </c>
      <c r="B164" s="3" t="s">
        <v>424</v>
      </c>
      <c r="C164" s="3" t="s">
        <v>425</v>
      </c>
      <c r="D164" s="3" t="s">
        <v>121</v>
      </c>
      <c r="E164" s="24" t="s">
        <v>122</v>
      </c>
      <c r="F164" s="3" t="s">
        <v>76</v>
      </c>
      <c r="G164" s="16">
        <v>45170</v>
      </c>
      <c r="H164" s="17">
        <v>3.3</v>
      </c>
      <c r="I164" s="18">
        <v>10500</v>
      </c>
      <c r="J164" s="18">
        <v>2500</v>
      </c>
      <c r="K164" s="18">
        <v>500</v>
      </c>
      <c r="L164" s="18">
        <v>0</v>
      </c>
      <c r="M164" s="18">
        <v>780</v>
      </c>
      <c r="N164" s="19">
        <f t="shared" si="4"/>
        <v>14280</v>
      </c>
      <c r="O164" s="20">
        <v>1</v>
      </c>
      <c r="P164" s="21" t="s">
        <v>77</v>
      </c>
      <c r="Q164" s="3" t="s">
        <v>81</v>
      </c>
      <c r="R164" s="3">
        <v>250</v>
      </c>
    </row>
    <row r="165" spans="1:18" x14ac:dyDescent="0.2">
      <c r="A165" s="3">
        <v>161</v>
      </c>
      <c r="B165" s="3" t="s">
        <v>426</v>
      </c>
      <c r="C165" s="3" t="s">
        <v>427</v>
      </c>
      <c r="D165" s="3" t="s">
        <v>102</v>
      </c>
      <c r="E165" s="21" t="s">
        <v>87</v>
      </c>
      <c r="F165" s="3" t="s">
        <v>76</v>
      </c>
      <c r="G165" s="16">
        <v>45536</v>
      </c>
      <c r="H165" s="17">
        <v>2.2999999999999998</v>
      </c>
      <c r="I165" s="18">
        <v>8500</v>
      </c>
      <c r="J165" s="18">
        <v>2500</v>
      </c>
      <c r="K165" s="18">
        <v>500</v>
      </c>
      <c r="L165" s="18">
        <v>0</v>
      </c>
      <c r="M165" s="18">
        <v>90</v>
      </c>
      <c r="N165" s="19">
        <f t="shared" ref="N165:N172" si="5">SUM(I165:M165)</f>
        <v>11590</v>
      </c>
      <c r="O165" s="20">
        <v>1</v>
      </c>
      <c r="P165" s="21" t="s">
        <v>77</v>
      </c>
      <c r="Q165" s="3" t="s">
        <v>81</v>
      </c>
      <c r="R165" s="3">
        <v>250</v>
      </c>
    </row>
    <row r="166" spans="1:18" x14ac:dyDescent="0.2">
      <c r="A166" s="3">
        <v>162</v>
      </c>
      <c r="B166" s="3" t="s">
        <v>428</v>
      </c>
      <c r="C166" s="3" t="s">
        <v>429</v>
      </c>
      <c r="D166" s="3" t="s">
        <v>86</v>
      </c>
      <c r="E166" s="21" t="s">
        <v>87</v>
      </c>
      <c r="F166" s="3" t="s">
        <v>76</v>
      </c>
      <c r="G166" s="16">
        <v>45170</v>
      </c>
      <c r="H166" s="17">
        <v>3.3</v>
      </c>
      <c r="I166" s="18">
        <v>12750</v>
      </c>
      <c r="J166" s="18">
        <v>2500</v>
      </c>
      <c r="K166" s="18">
        <v>500</v>
      </c>
      <c r="L166" s="18">
        <v>0</v>
      </c>
      <c r="M166" s="18">
        <v>0</v>
      </c>
      <c r="N166" s="19">
        <f t="shared" si="5"/>
        <v>15750</v>
      </c>
      <c r="O166" s="20">
        <v>1</v>
      </c>
      <c r="P166" s="21" t="s">
        <v>77</v>
      </c>
      <c r="Q166" s="3" t="s">
        <v>81</v>
      </c>
      <c r="R166" s="3">
        <v>250</v>
      </c>
    </row>
    <row r="167" spans="1:18" x14ac:dyDescent="0.2">
      <c r="A167" s="13">
        <v>163</v>
      </c>
      <c r="B167" s="13" t="s">
        <v>430</v>
      </c>
      <c r="C167" s="13" t="s">
        <v>431</v>
      </c>
      <c r="D167" s="13" t="s">
        <v>47</v>
      </c>
      <c r="E167" s="13" t="s">
        <v>75</v>
      </c>
      <c r="F167" s="13" t="s">
        <v>432</v>
      </c>
      <c r="G167" s="25">
        <v>46266</v>
      </c>
      <c r="H167" s="26">
        <v>0.3</v>
      </c>
      <c r="I167" s="27">
        <v>3700</v>
      </c>
      <c r="J167" s="27">
        <v>1250</v>
      </c>
      <c r="K167" s="27">
        <v>250</v>
      </c>
      <c r="L167" s="27">
        <v>0</v>
      </c>
      <c r="M167" s="27">
        <v>0</v>
      </c>
      <c r="N167" s="28">
        <f t="shared" si="5"/>
        <v>5200</v>
      </c>
      <c r="O167" s="29">
        <v>0.5</v>
      </c>
      <c r="P167" s="21" t="s">
        <v>77</v>
      </c>
      <c r="Q167" s="13" t="s">
        <v>433</v>
      </c>
      <c r="R167" s="13" t="s">
        <v>434</v>
      </c>
    </row>
    <row r="168" spans="1:18" x14ac:dyDescent="0.2">
      <c r="A168" s="13">
        <v>164</v>
      </c>
      <c r="B168" s="13" t="s">
        <v>430</v>
      </c>
      <c r="C168" s="13" t="s">
        <v>431</v>
      </c>
      <c r="D168" s="13" t="s">
        <v>48</v>
      </c>
      <c r="E168" s="22" t="s">
        <v>94</v>
      </c>
      <c r="F168" s="13" t="s">
        <v>432</v>
      </c>
      <c r="G168" s="25">
        <v>46266</v>
      </c>
      <c r="H168" s="26">
        <v>0.3</v>
      </c>
      <c r="I168" s="27">
        <v>7400</v>
      </c>
      <c r="J168" s="27">
        <v>2500</v>
      </c>
      <c r="K168" s="27">
        <v>500</v>
      </c>
      <c r="L168" s="27">
        <v>0</v>
      </c>
      <c r="M168" s="27">
        <v>0</v>
      </c>
      <c r="N168" s="28">
        <f t="shared" si="5"/>
        <v>10400</v>
      </c>
      <c r="O168" s="29">
        <v>1</v>
      </c>
      <c r="P168" s="21" t="s">
        <v>77</v>
      </c>
      <c r="Q168" s="13" t="s">
        <v>433</v>
      </c>
      <c r="R168" s="13" t="s">
        <v>434</v>
      </c>
    </row>
    <row r="169" spans="1:18" x14ac:dyDescent="0.2">
      <c r="A169" s="13">
        <v>165</v>
      </c>
      <c r="B169" s="13" t="s">
        <v>430</v>
      </c>
      <c r="C169" s="13" t="s">
        <v>431</v>
      </c>
      <c r="D169" s="13" t="s">
        <v>49</v>
      </c>
      <c r="E169" s="22" t="s">
        <v>94</v>
      </c>
      <c r="F169" s="13" t="s">
        <v>432</v>
      </c>
      <c r="G169" s="25">
        <v>46266</v>
      </c>
      <c r="H169" s="26">
        <v>0.3</v>
      </c>
      <c r="I169" s="27">
        <v>7400</v>
      </c>
      <c r="J169" s="27">
        <v>2500</v>
      </c>
      <c r="K169" s="27">
        <v>500</v>
      </c>
      <c r="L169" s="27">
        <v>0</v>
      </c>
      <c r="M169" s="27">
        <v>0</v>
      </c>
      <c r="N169" s="28">
        <f t="shared" si="5"/>
        <v>10400</v>
      </c>
      <c r="O169" s="29">
        <v>1</v>
      </c>
      <c r="P169" s="21" t="s">
        <v>77</v>
      </c>
      <c r="Q169" s="13" t="s">
        <v>433</v>
      </c>
      <c r="R169" s="13" t="s">
        <v>434</v>
      </c>
    </row>
    <row r="170" spans="1:18" x14ac:dyDescent="0.2">
      <c r="A170" s="13">
        <v>166</v>
      </c>
      <c r="B170" s="13" t="s">
        <v>430</v>
      </c>
      <c r="C170" s="13" t="s">
        <v>431</v>
      </c>
      <c r="D170" s="13" t="s">
        <v>50</v>
      </c>
      <c r="E170" s="22" t="s">
        <v>94</v>
      </c>
      <c r="F170" s="13" t="s">
        <v>432</v>
      </c>
      <c r="G170" s="25">
        <v>46266</v>
      </c>
      <c r="H170" s="26">
        <v>0.3</v>
      </c>
      <c r="I170" s="27">
        <v>7400</v>
      </c>
      <c r="J170" s="27">
        <v>2500</v>
      </c>
      <c r="K170" s="27">
        <v>500</v>
      </c>
      <c r="L170" s="27">
        <v>0</v>
      </c>
      <c r="M170" s="27">
        <v>0</v>
      </c>
      <c r="N170" s="28">
        <f t="shared" si="5"/>
        <v>10400</v>
      </c>
      <c r="O170" s="29">
        <v>1</v>
      </c>
      <c r="P170" s="21" t="s">
        <v>77</v>
      </c>
      <c r="Q170" s="13" t="s">
        <v>433</v>
      </c>
      <c r="R170" s="13" t="s">
        <v>434</v>
      </c>
    </row>
    <row r="171" spans="1:18" x14ac:dyDescent="0.2">
      <c r="A171" s="13">
        <v>167</v>
      </c>
      <c r="B171" s="13" t="s">
        <v>430</v>
      </c>
      <c r="C171" s="13" t="s">
        <v>431</v>
      </c>
      <c r="D171" s="13" t="s">
        <v>51</v>
      </c>
      <c r="E171" s="22" t="s">
        <v>94</v>
      </c>
      <c r="F171" s="13" t="s">
        <v>432</v>
      </c>
      <c r="G171" s="25">
        <v>46266</v>
      </c>
      <c r="H171" s="26">
        <v>0.3</v>
      </c>
      <c r="I171" s="27">
        <v>7600</v>
      </c>
      <c r="J171" s="27">
        <v>2500</v>
      </c>
      <c r="K171" s="27">
        <v>500</v>
      </c>
      <c r="L171" s="27">
        <v>0</v>
      </c>
      <c r="M171" s="27">
        <v>0</v>
      </c>
      <c r="N171" s="28">
        <f t="shared" si="5"/>
        <v>10600</v>
      </c>
      <c r="O171" s="29">
        <v>1</v>
      </c>
      <c r="P171" s="21" t="s">
        <v>77</v>
      </c>
      <c r="Q171" s="13" t="s">
        <v>433</v>
      </c>
      <c r="R171" s="13" t="s">
        <v>434</v>
      </c>
    </row>
    <row r="172" spans="1:18" x14ac:dyDescent="0.2">
      <c r="A172" s="13">
        <v>168</v>
      </c>
      <c r="B172" s="13" t="s">
        <v>430</v>
      </c>
      <c r="C172" s="13" t="s">
        <v>431</v>
      </c>
      <c r="D172" s="13" t="s">
        <v>52</v>
      </c>
      <c r="E172" s="22" t="s">
        <v>94</v>
      </c>
      <c r="F172" s="13" t="s">
        <v>432</v>
      </c>
      <c r="G172" s="25">
        <v>46266</v>
      </c>
      <c r="H172" s="26">
        <v>0.3</v>
      </c>
      <c r="I172" s="27">
        <v>7400</v>
      </c>
      <c r="J172" s="27">
        <v>2500</v>
      </c>
      <c r="K172" s="27">
        <v>500</v>
      </c>
      <c r="L172" s="27">
        <v>0</v>
      </c>
      <c r="M172" s="27">
        <v>0</v>
      </c>
      <c r="N172" s="28">
        <f t="shared" si="5"/>
        <v>10400</v>
      </c>
      <c r="O172" s="29">
        <v>1</v>
      </c>
      <c r="P172" s="21" t="s">
        <v>77</v>
      </c>
      <c r="Q172" s="13" t="s">
        <v>433</v>
      </c>
      <c r="R172" s="13" t="s">
        <v>434</v>
      </c>
    </row>
    <row r="173" spans="1:18" x14ac:dyDescent="0.2">
      <c r="A173" s="15" t="s">
        <v>435</v>
      </c>
      <c r="B173" s="15"/>
      <c r="C173" s="15"/>
      <c r="D173" s="15"/>
      <c r="E173" s="15"/>
      <c r="F173" s="15"/>
      <c r="G173" s="15"/>
      <c r="H173" s="15"/>
      <c r="I173" s="15">
        <f t="shared" ref="I173:N173" si="6">SUM(I5:I172)</f>
        <v>1488810</v>
      </c>
      <c r="J173" s="15">
        <f t="shared" si="6"/>
        <v>405050</v>
      </c>
      <c r="K173" s="15">
        <f t="shared" si="6"/>
        <v>81009</v>
      </c>
      <c r="L173" s="15">
        <f t="shared" si="6"/>
        <v>12500</v>
      </c>
      <c r="M173" s="15">
        <f t="shared" si="6"/>
        <v>57424</v>
      </c>
      <c r="N173" s="15">
        <f t="shared" si="6"/>
        <v>2044793</v>
      </c>
      <c r="O173" s="15"/>
      <c r="P173" s="15"/>
      <c r="Q173" s="15"/>
      <c r="R173" s="15"/>
    </row>
  </sheetData>
  <autoFilter ref="A4:R173" xr:uid="{00000000-0009-0000-0000-000001000000}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P4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8" sqref="E28"/>
    </sheetView>
  </sheetViews>
  <sheetFormatPr baseColWidth="10" defaultColWidth="8.6640625" defaultRowHeight="15" customHeight="1" x14ac:dyDescent="0.2"/>
  <cols>
    <col min="1" max="1" width="42" customWidth="1"/>
    <col min="2" max="14" width="14" customWidth="1"/>
  </cols>
  <sheetData>
    <row r="1" spans="1:16" ht="18" x14ac:dyDescent="0.2">
      <c r="A1" s="66" t="s">
        <v>436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x14ac:dyDescent="0.2">
      <c r="A2" s="69" t="s">
        <v>437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4" spans="1:16" x14ac:dyDescent="0.2">
      <c r="A4" s="12" t="s">
        <v>438</v>
      </c>
      <c r="B4" s="12" t="s">
        <v>439</v>
      </c>
      <c r="C4" s="12" t="s">
        <v>440</v>
      </c>
      <c r="D4" s="12" t="s">
        <v>441</v>
      </c>
      <c r="E4" s="12" t="s">
        <v>442</v>
      </c>
      <c r="F4" s="12" t="s">
        <v>443</v>
      </c>
      <c r="G4" s="12" t="s">
        <v>444</v>
      </c>
      <c r="H4" s="12" t="s">
        <v>445</v>
      </c>
      <c r="I4" s="12" t="s">
        <v>446</v>
      </c>
      <c r="J4" s="12" t="s">
        <v>447</v>
      </c>
      <c r="K4" s="12" t="s">
        <v>448</v>
      </c>
      <c r="L4" s="12" t="s">
        <v>449</v>
      </c>
      <c r="M4" s="12" t="s">
        <v>450</v>
      </c>
      <c r="N4" s="12" t="s">
        <v>451</v>
      </c>
    </row>
    <row r="5" spans="1:16" x14ac:dyDescent="0.2">
      <c r="A5" s="1" t="s">
        <v>452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6" x14ac:dyDescent="0.2">
      <c r="A6" s="3" t="s">
        <v>453</v>
      </c>
      <c r="B6" s="18">
        <v>1447910</v>
      </c>
      <c r="C6" s="18">
        <v>1447910</v>
      </c>
      <c r="D6" s="18">
        <v>1447910</v>
      </c>
      <c r="E6" s="18">
        <v>1447910</v>
      </c>
      <c r="F6" s="18">
        <v>1447910</v>
      </c>
      <c r="G6" s="18">
        <v>1447910</v>
      </c>
      <c r="H6" s="18">
        <v>1447910</v>
      </c>
      <c r="I6" s="18">
        <v>1447910</v>
      </c>
      <c r="J6" s="18">
        <v>1478810</v>
      </c>
      <c r="K6" s="18">
        <v>1478810</v>
      </c>
      <c r="L6" s="18">
        <v>1478810</v>
      </c>
      <c r="M6" s="18">
        <v>1478810</v>
      </c>
      <c r="N6" s="31">
        <f t="shared" ref="N6:N13" si="0">SUM(B6:M6)</f>
        <v>17498520</v>
      </c>
    </row>
    <row r="7" spans="1:16" x14ac:dyDescent="0.2">
      <c r="A7" s="3" t="s">
        <v>454</v>
      </c>
      <c r="B7" s="18">
        <v>391300</v>
      </c>
      <c r="C7" s="18">
        <v>391300</v>
      </c>
      <c r="D7" s="18">
        <v>391300</v>
      </c>
      <c r="E7" s="18">
        <v>391300</v>
      </c>
      <c r="F7" s="18">
        <v>391300</v>
      </c>
      <c r="G7" s="18">
        <v>391300</v>
      </c>
      <c r="H7" s="18">
        <v>391300</v>
      </c>
      <c r="I7" s="18">
        <v>391300</v>
      </c>
      <c r="J7" s="18">
        <v>391300</v>
      </c>
      <c r="K7" s="18">
        <v>391300</v>
      </c>
      <c r="L7" s="18">
        <v>391300</v>
      </c>
      <c r="M7" s="18">
        <v>391300</v>
      </c>
      <c r="N7" s="31">
        <f t="shared" si="0"/>
        <v>4695600</v>
      </c>
    </row>
    <row r="8" spans="1:16" x14ac:dyDescent="0.2">
      <c r="A8" s="3" t="s">
        <v>455</v>
      </c>
      <c r="B8" s="18">
        <v>78259</v>
      </c>
      <c r="C8" s="18">
        <v>78259</v>
      </c>
      <c r="D8" s="18">
        <v>78259</v>
      </c>
      <c r="E8" s="18">
        <v>78259</v>
      </c>
      <c r="F8" s="18">
        <v>78259</v>
      </c>
      <c r="G8" s="18">
        <v>78259</v>
      </c>
      <c r="H8" s="18">
        <v>78259</v>
      </c>
      <c r="I8" s="18">
        <v>78259</v>
      </c>
      <c r="J8" s="18">
        <v>78259</v>
      </c>
      <c r="K8" s="18">
        <v>78259</v>
      </c>
      <c r="L8" s="18">
        <v>78259</v>
      </c>
      <c r="M8" s="18">
        <v>78259</v>
      </c>
      <c r="N8" s="31">
        <f t="shared" si="0"/>
        <v>939108</v>
      </c>
    </row>
    <row r="9" spans="1:16" x14ac:dyDescent="0.2">
      <c r="A9" s="3" t="s">
        <v>456</v>
      </c>
      <c r="B9" s="18">
        <v>12500</v>
      </c>
      <c r="C9" s="18">
        <v>12500</v>
      </c>
      <c r="D9" s="18">
        <v>12500</v>
      </c>
      <c r="E9" s="18">
        <v>12500</v>
      </c>
      <c r="F9" s="18">
        <v>12500</v>
      </c>
      <c r="G9" s="18">
        <v>12500</v>
      </c>
      <c r="H9" s="18">
        <v>12500</v>
      </c>
      <c r="I9" s="18">
        <v>12500</v>
      </c>
      <c r="J9" s="18">
        <v>12500</v>
      </c>
      <c r="K9" s="18">
        <v>12500</v>
      </c>
      <c r="L9" s="18">
        <v>12500</v>
      </c>
      <c r="M9" s="18">
        <v>12500</v>
      </c>
      <c r="N9" s="31">
        <f t="shared" si="0"/>
        <v>150000</v>
      </c>
    </row>
    <row r="10" spans="1:16" x14ac:dyDescent="0.2">
      <c r="A10" s="3" t="s">
        <v>457</v>
      </c>
      <c r="B10" s="18">
        <v>57424</v>
      </c>
      <c r="C10" s="18">
        <v>57424</v>
      </c>
      <c r="D10" s="18">
        <v>57424</v>
      </c>
      <c r="E10" s="18">
        <v>57424</v>
      </c>
      <c r="F10" s="18">
        <v>57424</v>
      </c>
      <c r="G10" s="18">
        <v>57424</v>
      </c>
      <c r="H10" s="18">
        <v>0</v>
      </c>
      <c r="I10" s="18">
        <v>0</v>
      </c>
      <c r="J10" s="18">
        <v>57424</v>
      </c>
      <c r="K10" s="18">
        <v>57424</v>
      </c>
      <c r="L10" s="18">
        <v>57424</v>
      </c>
      <c r="M10" s="18">
        <v>57424</v>
      </c>
      <c r="N10" s="31">
        <f t="shared" si="0"/>
        <v>574240</v>
      </c>
    </row>
    <row r="11" spans="1:16" x14ac:dyDescent="0.2">
      <c r="A11" s="32" t="s">
        <v>458</v>
      </c>
      <c r="B11" s="33">
        <f t="shared" ref="B11:M11" si="1">SUM(B6:B10)</f>
        <v>1987393</v>
      </c>
      <c r="C11" s="33">
        <f t="shared" si="1"/>
        <v>1987393</v>
      </c>
      <c r="D11" s="33">
        <f t="shared" si="1"/>
        <v>1987393</v>
      </c>
      <c r="E11" s="33">
        <f t="shared" si="1"/>
        <v>1987393</v>
      </c>
      <c r="F11" s="33">
        <f t="shared" si="1"/>
        <v>1987393</v>
      </c>
      <c r="G11" s="33">
        <f t="shared" si="1"/>
        <v>1987393</v>
      </c>
      <c r="H11" s="33">
        <f t="shared" si="1"/>
        <v>1929969</v>
      </c>
      <c r="I11" s="33">
        <f t="shared" si="1"/>
        <v>1929969</v>
      </c>
      <c r="J11" s="33">
        <f t="shared" si="1"/>
        <v>2018293</v>
      </c>
      <c r="K11" s="33">
        <f t="shared" si="1"/>
        <v>2018293</v>
      </c>
      <c r="L11" s="33">
        <f t="shared" si="1"/>
        <v>2018293</v>
      </c>
      <c r="M11" s="33">
        <f t="shared" si="1"/>
        <v>2018293</v>
      </c>
      <c r="N11" s="33">
        <f t="shared" si="0"/>
        <v>23857468</v>
      </c>
    </row>
    <row r="12" spans="1:16" x14ac:dyDescent="0.2">
      <c r="A12" s="13" t="s">
        <v>459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27">
        <v>57400</v>
      </c>
      <c r="K12" s="27">
        <v>57400</v>
      </c>
      <c r="L12" s="27">
        <v>57400</v>
      </c>
      <c r="M12" s="27">
        <v>57400</v>
      </c>
      <c r="N12" s="31">
        <f t="shared" si="0"/>
        <v>229600</v>
      </c>
    </row>
    <row r="13" spans="1:16" x14ac:dyDescent="0.2">
      <c r="A13" s="15" t="s">
        <v>460</v>
      </c>
      <c r="B13" s="15">
        <f t="shared" ref="B13:M13" si="2">B11+B12</f>
        <v>1987393</v>
      </c>
      <c r="C13" s="15">
        <f t="shared" si="2"/>
        <v>1987393</v>
      </c>
      <c r="D13" s="15">
        <f t="shared" si="2"/>
        <v>1987393</v>
      </c>
      <c r="E13" s="15">
        <f t="shared" si="2"/>
        <v>1987393</v>
      </c>
      <c r="F13" s="15">
        <f t="shared" si="2"/>
        <v>1987393</v>
      </c>
      <c r="G13" s="15">
        <f t="shared" si="2"/>
        <v>1987393</v>
      </c>
      <c r="H13" s="15">
        <f t="shared" si="2"/>
        <v>1929969</v>
      </c>
      <c r="I13" s="15">
        <f t="shared" si="2"/>
        <v>1929969</v>
      </c>
      <c r="J13" s="15">
        <f t="shared" si="2"/>
        <v>2075693</v>
      </c>
      <c r="K13" s="15">
        <f t="shared" si="2"/>
        <v>2075693</v>
      </c>
      <c r="L13" s="15">
        <f t="shared" si="2"/>
        <v>2075693</v>
      </c>
      <c r="M13" s="15">
        <f t="shared" si="2"/>
        <v>2075693</v>
      </c>
      <c r="N13" s="15">
        <f t="shared" si="0"/>
        <v>24087068</v>
      </c>
    </row>
    <row r="15" spans="1:16" x14ac:dyDescent="0.2">
      <c r="A15" s="1" t="s">
        <v>461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6" x14ac:dyDescent="0.2">
      <c r="A16" s="3" t="s">
        <v>462</v>
      </c>
      <c r="B16" s="18">
        <v>22681</v>
      </c>
      <c r="C16" s="18">
        <v>22681</v>
      </c>
      <c r="D16" s="18">
        <v>22681</v>
      </c>
      <c r="E16" s="18">
        <v>22681</v>
      </c>
      <c r="F16" s="18">
        <v>22681</v>
      </c>
      <c r="G16" s="18">
        <v>22681</v>
      </c>
      <c r="H16" s="18">
        <v>22681</v>
      </c>
      <c r="I16" s="18">
        <v>22681</v>
      </c>
      <c r="J16" s="18">
        <v>22681</v>
      </c>
      <c r="K16" s="18">
        <v>22681</v>
      </c>
      <c r="L16" s="18">
        <v>22681</v>
      </c>
      <c r="M16" s="18">
        <v>22681</v>
      </c>
      <c r="N16" s="31">
        <f t="shared" ref="N16:N21" si="3">SUM(B16:M16)</f>
        <v>272172</v>
      </c>
    </row>
    <row r="17" spans="1:14" x14ac:dyDescent="0.2">
      <c r="A17" s="3" t="s">
        <v>463</v>
      </c>
      <c r="B17" s="18">
        <v>25504</v>
      </c>
      <c r="C17" s="18">
        <v>25504</v>
      </c>
      <c r="D17" s="18">
        <v>25504</v>
      </c>
      <c r="E17" s="18">
        <v>25504</v>
      </c>
      <c r="F17" s="18">
        <v>25504</v>
      </c>
      <c r="G17" s="18">
        <v>25504</v>
      </c>
      <c r="H17" s="18">
        <v>25504</v>
      </c>
      <c r="I17" s="18">
        <v>25504</v>
      </c>
      <c r="J17" s="18">
        <v>25504</v>
      </c>
      <c r="K17" s="18">
        <v>25504</v>
      </c>
      <c r="L17" s="18">
        <v>25504</v>
      </c>
      <c r="M17" s="18">
        <v>25504</v>
      </c>
      <c r="N17" s="31">
        <f t="shared" si="3"/>
        <v>306048</v>
      </c>
    </row>
    <row r="18" spans="1:14" x14ac:dyDescent="0.2">
      <c r="A18" s="3" t="s">
        <v>464</v>
      </c>
      <c r="B18" s="18">
        <v>613008</v>
      </c>
      <c r="C18" s="18">
        <v>613008</v>
      </c>
      <c r="D18" s="18">
        <v>613008</v>
      </c>
      <c r="E18" s="18">
        <v>613008</v>
      </c>
      <c r="F18" s="18">
        <v>613008</v>
      </c>
      <c r="G18" s="18">
        <v>613008</v>
      </c>
      <c r="H18" s="18">
        <v>613008</v>
      </c>
      <c r="I18" s="18">
        <v>613008</v>
      </c>
      <c r="J18" s="18">
        <v>613008</v>
      </c>
      <c r="K18" s="18">
        <v>613008</v>
      </c>
      <c r="L18" s="18">
        <v>613008</v>
      </c>
      <c r="M18" s="18">
        <v>613008</v>
      </c>
      <c r="N18" s="31">
        <f t="shared" si="3"/>
        <v>7356096</v>
      </c>
    </row>
    <row r="19" spans="1:14" x14ac:dyDescent="0.2">
      <c r="A19" s="3" t="s">
        <v>635</v>
      </c>
      <c r="B19" s="18">
        <v>69750</v>
      </c>
      <c r="C19" s="18">
        <v>69750</v>
      </c>
      <c r="D19" s="18">
        <v>69750</v>
      </c>
      <c r="E19" s="18">
        <v>69750</v>
      </c>
      <c r="F19" s="18">
        <v>69750</v>
      </c>
      <c r="G19" s="18">
        <v>69750</v>
      </c>
      <c r="H19" s="18">
        <v>69750</v>
      </c>
      <c r="I19" s="18">
        <v>69750</v>
      </c>
      <c r="J19" s="18">
        <v>69750</v>
      </c>
      <c r="K19" s="18">
        <v>69750</v>
      </c>
      <c r="L19" s="18">
        <v>69750</v>
      </c>
      <c r="M19" s="18">
        <v>69750</v>
      </c>
      <c r="N19" s="31">
        <f t="shared" si="3"/>
        <v>837000</v>
      </c>
    </row>
    <row r="20" spans="1:14" x14ac:dyDescent="0.2">
      <c r="A20" s="3" t="s">
        <v>465</v>
      </c>
      <c r="B20" s="18">
        <v>53950</v>
      </c>
      <c r="C20" s="18">
        <v>53950</v>
      </c>
      <c r="D20" s="18">
        <v>53950</v>
      </c>
      <c r="E20" s="18">
        <v>53950</v>
      </c>
      <c r="F20" s="18">
        <v>53950</v>
      </c>
      <c r="G20" s="18">
        <v>53950</v>
      </c>
      <c r="H20" s="18">
        <v>53950</v>
      </c>
      <c r="I20" s="18">
        <v>53950</v>
      </c>
      <c r="J20" s="18">
        <v>53950</v>
      </c>
      <c r="K20" s="18">
        <v>53950</v>
      </c>
      <c r="L20" s="18">
        <v>53950</v>
      </c>
      <c r="M20" s="18">
        <v>53950</v>
      </c>
      <c r="N20" s="31">
        <f t="shared" si="3"/>
        <v>647400</v>
      </c>
    </row>
    <row r="21" spans="1:14" x14ac:dyDescent="0.2">
      <c r="A21" s="15" t="s">
        <v>466</v>
      </c>
      <c r="B21" s="15">
        <f>SUM(B16:B20)</f>
        <v>784893</v>
      </c>
      <c r="C21" s="15">
        <f t="shared" ref="C21:M21" si="4">SUM(C16:C20)</f>
        <v>784893</v>
      </c>
      <c r="D21" s="15">
        <f t="shared" si="4"/>
        <v>784893</v>
      </c>
      <c r="E21" s="15">
        <f t="shared" si="4"/>
        <v>784893</v>
      </c>
      <c r="F21" s="15">
        <f t="shared" si="4"/>
        <v>784893</v>
      </c>
      <c r="G21" s="15">
        <f t="shared" si="4"/>
        <v>784893</v>
      </c>
      <c r="H21" s="15">
        <f t="shared" si="4"/>
        <v>784893</v>
      </c>
      <c r="I21" s="15">
        <f t="shared" si="4"/>
        <v>784893</v>
      </c>
      <c r="J21" s="15">
        <f t="shared" si="4"/>
        <v>784893</v>
      </c>
      <c r="K21" s="15">
        <f t="shared" si="4"/>
        <v>784893</v>
      </c>
      <c r="L21" s="15">
        <f t="shared" si="4"/>
        <v>784893</v>
      </c>
      <c r="M21" s="15">
        <f t="shared" si="4"/>
        <v>784893</v>
      </c>
      <c r="N21" s="15">
        <f t="shared" si="3"/>
        <v>9418716</v>
      </c>
    </row>
    <row r="23" spans="1:14" x14ac:dyDescent="0.2">
      <c r="A23" s="1" t="s">
        <v>467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x14ac:dyDescent="0.2">
      <c r="A24" s="3" t="s">
        <v>468</v>
      </c>
      <c r="B24" s="18">
        <v>2497</v>
      </c>
      <c r="C24" s="18">
        <v>2497</v>
      </c>
      <c r="D24" s="18">
        <v>2497</v>
      </c>
      <c r="E24" s="18">
        <v>2497</v>
      </c>
      <c r="F24" s="18">
        <v>2497</v>
      </c>
      <c r="G24" s="18">
        <v>2497</v>
      </c>
      <c r="H24" s="18">
        <v>2497</v>
      </c>
      <c r="I24" s="18">
        <v>2497</v>
      </c>
      <c r="J24" s="18">
        <v>2526</v>
      </c>
      <c r="K24" s="18">
        <v>2526</v>
      </c>
      <c r="L24" s="18">
        <v>2526</v>
      </c>
      <c r="M24" s="18">
        <v>2526</v>
      </c>
      <c r="N24" s="31">
        <f>SUM(B24:M24)</f>
        <v>30080</v>
      </c>
    </row>
    <row r="25" spans="1:14" x14ac:dyDescent="0.2">
      <c r="A25" s="3" t="s">
        <v>469</v>
      </c>
      <c r="B25" s="18">
        <v>125579</v>
      </c>
      <c r="C25" s="18">
        <v>125579</v>
      </c>
      <c r="D25" s="18">
        <v>125579</v>
      </c>
      <c r="E25" s="18">
        <v>125579</v>
      </c>
      <c r="F25" s="18">
        <v>125579</v>
      </c>
      <c r="G25" s="18">
        <v>125579</v>
      </c>
      <c r="H25" s="18">
        <v>125579</v>
      </c>
      <c r="I25" s="18">
        <v>125579</v>
      </c>
      <c r="J25" s="18">
        <v>125579</v>
      </c>
      <c r="K25" s="18">
        <v>125579</v>
      </c>
      <c r="L25" s="18">
        <v>125579</v>
      </c>
      <c r="M25" s="18">
        <v>125579</v>
      </c>
      <c r="N25" s="31">
        <f>SUM(B25:M25)</f>
        <v>1506948</v>
      </c>
    </row>
    <row r="26" spans="1:14" x14ac:dyDescent="0.2">
      <c r="A26" s="3" t="s">
        <v>470</v>
      </c>
      <c r="B26" s="18">
        <f>'Assumptions &amp; Inputs'!B21</f>
        <v>152266.66666666666</v>
      </c>
      <c r="C26" s="18">
        <f>'Assumptions &amp; Inputs'!B21</f>
        <v>152266.66666666666</v>
      </c>
      <c r="D26" s="18">
        <f>'Assumptions &amp; Inputs'!B21</f>
        <v>152266.66666666666</v>
      </c>
      <c r="E26" s="18">
        <f>'Assumptions &amp; Inputs'!B21</f>
        <v>152266.66666666666</v>
      </c>
      <c r="F26" s="18">
        <f>'Assumptions &amp; Inputs'!B21</f>
        <v>152266.66666666666</v>
      </c>
      <c r="G26" s="18">
        <f>'Assumptions &amp; Inputs'!B21</f>
        <v>152266.66666666666</v>
      </c>
      <c r="H26" s="18">
        <f>'Assumptions &amp; Inputs'!B21</f>
        <v>152266.66666666666</v>
      </c>
      <c r="I26" s="18">
        <f>'Assumptions &amp; Inputs'!B21</f>
        <v>152266.66666666666</v>
      </c>
      <c r="J26" s="18">
        <f>'Assumptions &amp; Inputs'!B21</f>
        <v>152266.66666666666</v>
      </c>
      <c r="K26" s="18">
        <f>'Assumptions &amp; Inputs'!B21</f>
        <v>152266.66666666666</v>
      </c>
      <c r="L26" s="18">
        <f>'Assumptions &amp; Inputs'!B21</f>
        <v>152266.66666666666</v>
      </c>
      <c r="M26" s="18">
        <f>'Assumptions &amp; Inputs'!B21</f>
        <v>152266.66666666666</v>
      </c>
      <c r="N26" s="31">
        <f>SUM(B26:M26)</f>
        <v>1827200.0000000002</v>
      </c>
    </row>
    <row r="27" spans="1:14" x14ac:dyDescent="0.2">
      <c r="A27" s="13" t="s">
        <v>471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27">
        <f>'Assumptions &amp; Inputs'!B22</f>
        <v>5710</v>
      </c>
      <c r="K27" s="27">
        <f>'Assumptions &amp; Inputs'!B22</f>
        <v>5710</v>
      </c>
      <c r="L27" s="27">
        <f>'Assumptions &amp; Inputs'!B22</f>
        <v>5710</v>
      </c>
      <c r="M27" s="27">
        <f>'Assumptions &amp; Inputs'!B22</f>
        <v>5710</v>
      </c>
      <c r="N27" s="31">
        <f>SUM(B27:M27)</f>
        <v>22840</v>
      </c>
    </row>
    <row r="28" spans="1:14" x14ac:dyDescent="0.2">
      <c r="A28" s="15" t="s">
        <v>472</v>
      </c>
      <c r="B28" s="15">
        <f t="shared" ref="B28:M28" si="5">B24+B25+B26+B27</f>
        <v>280342.66666666663</v>
      </c>
      <c r="C28" s="15">
        <f t="shared" si="5"/>
        <v>280342.66666666663</v>
      </c>
      <c r="D28" s="15">
        <f t="shared" si="5"/>
        <v>280342.66666666663</v>
      </c>
      <c r="E28" s="15">
        <f t="shared" si="5"/>
        <v>280342.66666666663</v>
      </c>
      <c r="F28" s="15">
        <f t="shared" si="5"/>
        <v>280342.66666666663</v>
      </c>
      <c r="G28" s="15">
        <f t="shared" si="5"/>
        <v>280342.66666666663</v>
      </c>
      <c r="H28" s="15">
        <f t="shared" si="5"/>
        <v>280342.66666666663</v>
      </c>
      <c r="I28" s="15">
        <f t="shared" si="5"/>
        <v>280342.66666666663</v>
      </c>
      <c r="J28" s="15">
        <f t="shared" si="5"/>
        <v>286081.66666666663</v>
      </c>
      <c r="K28" s="15">
        <f t="shared" si="5"/>
        <v>286081.66666666663</v>
      </c>
      <c r="L28" s="15">
        <f t="shared" si="5"/>
        <v>286081.66666666663</v>
      </c>
      <c r="M28" s="15">
        <f t="shared" si="5"/>
        <v>286081.66666666663</v>
      </c>
      <c r="N28" s="15">
        <f>SUM(B28:M28)</f>
        <v>3387067.9999999986</v>
      </c>
    </row>
    <row r="30" spans="1:14" x14ac:dyDescent="0.2">
      <c r="A30" s="34" t="s">
        <v>473</v>
      </c>
      <c r="B30" s="34">
        <f t="shared" ref="B30:M30" si="6">B13+B21+B28</f>
        <v>3052628.6666666665</v>
      </c>
      <c r="C30" s="34">
        <f t="shared" si="6"/>
        <v>3052628.6666666665</v>
      </c>
      <c r="D30" s="34">
        <f t="shared" si="6"/>
        <v>3052628.6666666665</v>
      </c>
      <c r="E30" s="34">
        <f t="shared" si="6"/>
        <v>3052628.6666666665</v>
      </c>
      <c r="F30" s="34">
        <f t="shared" si="6"/>
        <v>3052628.6666666665</v>
      </c>
      <c r="G30" s="34">
        <f t="shared" si="6"/>
        <v>3052628.6666666665</v>
      </c>
      <c r="H30" s="34">
        <f t="shared" si="6"/>
        <v>2995204.6666666665</v>
      </c>
      <c r="I30" s="34">
        <f t="shared" si="6"/>
        <v>2995204.6666666665</v>
      </c>
      <c r="J30" s="34">
        <f t="shared" si="6"/>
        <v>3146667.6666666665</v>
      </c>
      <c r="K30" s="34">
        <f t="shared" si="6"/>
        <v>3146667.6666666665</v>
      </c>
      <c r="L30" s="34">
        <f t="shared" si="6"/>
        <v>3146667.6666666665</v>
      </c>
      <c r="M30" s="34">
        <f t="shared" si="6"/>
        <v>3146667.6666666665</v>
      </c>
      <c r="N30" s="34">
        <f>SUM(B30:M30)</f>
        <v>36892852</v>
      </c>
    </row>
    <row r="41" spans="6:6" ht="15" customHeight="1" x14ac:dyDescent="0.2">
      <c r="F41">
        <f>68*0.95*6%</f>
        <v>3.8759999999999994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N177"/>
  <sheetViews>
    <sheetView tabSelected="1" zoomScaleNormal="100" workbookViewId="0">
      <pane ySplit="4" topLeftCell="A144" activePane="bottomLeft" state="frozen"/>
      <selection pane="bottomLeft" activeCell="N177" sqref="N177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15" customWidth="1"/>
    <col min="4" max="4" width="30" customWidth="1"/>
    <col min="5" max="7" width="14" customWidth="1"/>
    <col min="8" max="12" width="16" customWidth="1"/>
    <col min="14" max="14" width="17.1640625" customWidth="1"/>
  </cols>
  <sheetData>
    <row r="1" spans="1:14" ht="18" x14ac:dyDescent="0.2">
      <c r="A1" s="66" t="s">
        <v>474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4" x14ac:dyDescent="0.2">
      <c r="A2" s="69" t="s">
        <v>475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4" ht="71" x14ac:dyDescent="0.2">
      <c r="A4" s="12" t="s">
        <v>56</v>
      </c>
      <c r="B4" s="12" t="s">
        <v>57</v>
      </c>
      <c r="C4" s="12" t="s">
        <v>58</v>
      </c>
      <c r="D4" s="12" t="s">
        <v>476</v>
      </c>
      <c r="E4" s="12" t="s">
        <v>62</v>
      </c>
      <c r="F4" s="12" t="s">
        <v>477</v>
      </c>
      <c r="G4" s="12" t="s">
        <v>478</v>
      </c>
      <c r="H4" s="12" t="s">
        <v>479</v>
      </c>
      <c r="I4" s="12" t="s">
        <v>480</v>
      </c>
      <c r="J4" s="12" t="s">
        <v>481</v>
      </c>
      <c r="K4" s="12" t="s">
        <v>482</v>
      </c>
      <c r="L4" s="12" t="s">
        <v>483</v>
      </c>
      <c r="N4" s="72" t="s">
        <v>636</v>
      </c>
    </row>
    <row r="5" spans="1:14" x14ac:dyDescent="0.2">
      <c r="A5" s="3">
        <v>1</v>
      </c>
      <c r="B5" s="3" t="s">
        <v>72</v>
      </c>
      <c r="C5" s="3" t="s">
        <v>73</v>
      </c>
      <c r="D5" s="3" t="s">
        <v>74</v>
      </c>
      <c r="E5" s="16">
        <v>45170</v>
      </c>
      <c r="F5" s="17">
        <v>2.2999999999999998</v>
      </c>
      <c r="G5" s="17">
        <v>3.3</v>
      </c>
      <c r="H5" s="18">
        <v>10400</v>
      </c>
      <c r="I5" s="31">
        <v>12116</v>
      </c>
      <c r="J5" s="31">
        <v>17649</v>
      </c>
      <c r="K5" s="19">
        <f t="shared" ref="K5:K36" si="0">J5-I5</f>
        <v>5533</v>
      </c>
      <c r="L5" s="19">
        <f t="shared" ref="L5:L36" si="1">K5/12</f>
        <v>461.08333333333331</v>
      </c>
      <c r="N5" s="73">
        <f>_xlfn.LET(_xlpm.yos,ROUND(YEARFRAC(E5,DATE(2026,12,31),0),2),IF(E5&gt;DATE(2026,12,31),0,ROUND(IF(_xlpm.yos&lt;=5,H5/2*_xlpm.yos,H5/2*5+H5*(_xlpm.yos-5)),0)))</f>
        <v>17316</v>
      </c>
    </row>
    <row r="6" spans="1:14" x14ac:dyDescent="0.2">
      <c r="A6" s="3">
        <v>2</v>
      </c>
      <c r="B6" s="3" t="s">
        <v>79</v>
      </c>
      <c r="C6" s="3" t="s">
        <v>80</v>
      </c>
      <c r="D6" s="3" t="s">
        <v>74</v>
      </c>
      <c r="E6" s="16">
        <v>42614</v>
      </c>
      <c r="F6" s="17">
        <v>9.3000000000000007</v>
      </c>
      <c r="G6" s="17">
        <v>10.3</v>
      </c>
      <c r="H6" s="18">
        <v>12000</v>
      </c>
      <c r="I6" s="31">
        <v>81960</v>
      </c>
      <c r="J6" s="31">
        <v>97092</v>
      </c>
      <c r="K6" s="19">
        <f t="shared" si="0"/>
        <v>15132</v>
      </c>
      <c r="L6" s="19">
        <f t="shared" si="1"/>
        <v>1261</v>
      </c>
      <c r="N6" s="73">
        <f t="shared" ref="N6:N69" si="2">_xlfn.LET(_xlpm.yos,ROUND(YEARFRAC(E6,DATE(2026,12,31),0),2),IF(E6&gt;DATE(2026,12,31),0,ROUND(IF(_xlpm.yos&lt;=5,H6/2*_xlpm.yos,H6/2*5+H6*(_xlpm.yos-5)),0)))</f>
        <v>93960</v>
      </c>
    </row>
    <row r="7" spans="1:14" x14ac:dyDescent="0.2">
      <c r="A7" s="3">
        <v>3</v>
      </c>
      <c r="B7" s="3" t="s">
        <v>82</v>
      </c>
      <c r="C7" s="3" t="s">
        <v>83</v>
      </c>
      <c r="D7" s="3" t="s">
        <v>74</v>
      </c>
      <c r="E7" s="16">
        <v>45536</v>
      </c>
      <c r="F7" s="17">
        <v>1.3</v>
      </c>
      <c r="G7" s="17">
        <v>2.2999999999999998</v>
      </c>
      <c r="H7" s="18">
        <v>10200</v>
      </c>
      <c r="I7" s="31">
        <v>6783</v>
      </c>
      <c r="J7" s="31">
        <v>12116</v>
      </c>
      <c r="K7" s="19">
        <f t="shared" si="0"/>
        <v>5333</v>
      </c>
      <c r="L7" s="19">
        <f t="shared" si="1"/>
        <v>444.41666666666669</v>
      </c>
      <c r="N7" s="73">
        <f t="shared" si="2"/>
        <v>11883</v>
      </c>
    </row>
    <row r="8" spans="1:14" x14ac:dyDescent="0.2">
      <c r="A8" s="3">
        <v>4</v>
      </c>
      <c r="B8" s="3" t="s">
        <v>84</v>
      </c>
      <c r="C8" s="3" t="s">
        <v>85</v>
      </c>
      <c r="D8" s="3" t="s">
        <v>86</v>
      </c>
      <c r="E8" s="16">
        <v>44440</v>
      </c>
      <c r="F8" s="17">
        <v>4.3</v>
      </c>
      <c r="G8" s="17">
        <v>5.3</v>
      </c>
      <c r="H8" s="18">
        <v>12000</v>
      </c>
      <c r="I8" s="31">
        <v>25980</v>
      </c>
      <c r="J8" s="31">
        <v>34668</v>
      </c>
      <c r="K8" s="19">
        <f t="shared" si="0"/>
        <v>8688</v>
      </c>
      <c r="L8" s="19">
        <f t="shared" si="1"/>
        <v>724</v>
      </c>
      <c r="N8" s="73">
        <f t="shared" si="2"/>
        <v>33960</v>
      </c>
    </row>
    <row r="9" spans="1:14" x14ac:dyDescent="0.2">
      <c r="A9" s="3">
        <v>5</v>
      </c>
      <c r="B9" s="3" t="s">
        <v>88</v>
      </c>
      <c r="C9" s="3" t="s">
        <v>89</v>
      </c>
      <c r="D9" s="3" t="s">
        <v>86</v>
      </c>
      <c r="E9" s="16">
        <v>45901</v>
      </c>
      <c r="F9" s="17">
        <v>0.3</v>
      </c>
      <c r="G9" s="17">
        <v>1.3</v>
      </c>
      <c r="H9" s="18">
        <v>13500</v>
      </c>
      <c r="I9" s="31">
        <v>2228</v>
      </c>
      <c r="J9" s="31">
        <v>8978</v>
      </c>
      <c r="K9" s="19">
        <f t="shared" si="0"/>
        <v>6750</v>
      </c>
      <c r="L9" s="19">
        <f t="shared" si="1"/>
        <v>562.5</v>
      </c>
      <c r="N9" s="73">
        <f t="shared" si="2"/>
        <v>8978</v>
      </c>
    </row>
    <row r="10" spans="1:14" x14ac:dyDescent="0.2">
      <c r="A10" s="3">
        <v>6</v>
      </c>
      <c r="B10" s="3" t="s">
        <v>91</v>
      </c>
      <c r="C10" s="3" t="s">
        <v>92</v>
      </c>
      <c r="D10" s="3" t="s">
        <v>93</v>
      </c>
      <c r="E10" s="16">
        <v>42614</v>
      </c>
      <c r="F10" s="17">
        <v>9.3000000000000007</v>
      </c>
      <c r="G10" s="17">
        <v>10.3</v>
      </c>
      <c r="H10" s="18">
        <v>16250</v>
      </c>
      <c r="I10" s="31">
        <v>110988</v>
      </c>
      <c r="J10" s="31">
        <v>129195</v>
      </c>
      <c r="K10" s="19">
        <f t="shared" si="0"/>
        <v>18207</v>
      </c>
      <c r="L10" s="19">
        <f t="shared" si="1"/>
        <v>1517.25</v>
      </c>
      <c r="N10" s="73">
        <f t="shared" si="2"/>
        <v>127238</v>
      </c>
    </row>
    <row r="11" spans="1:14" x14ac:dyDescent="0.2">
      <c r="A11" s="3">
        <v>7</v>
      </c>
      <c r="B11" s="3" t="s">
        <v>96</v>
      </c>
      <c r="C11" s="3" t="s">
        <v>97</v>
      </c>
      <c r="D11" s="3" t="s">
        <v>86</v>
      </c>
      <c r="E11" s="16">
        <v>45901</v>
      </c>
      <c r="F11" s="17">
        <v>0.3</v>
      </c>
      <c r="G11" s="17">
        <v>1.3</v>
      </c>
      <c r="H11" s="18">
        <v>11250</v>
      </c>
      <c r="I11" s="31">
        <v>1856</v>
      </c>
      <c r="J11" s="31">
        <v>7481</v>
      </c>
      <c r="K11" s="19">
        <f t="shared" si="0"/>
        <v>5625</v>
      </c>
      <c r="L11" s="19">
        <f t="shared" si="1"/>
        <v>468.75</v>
      </c>
      <c r="N11" s="73">
        <f t="shared" si="2"/>
        <v>7481</v>
      </c>
    </row>
    <row r="12" spans="1:14" x14ac:dyDescent="0.2">
      <c r="A12" s="3">
        <v>8</v>
      </c>
      <c r="B12" s="3" t="s">
        <v>98</v>
      </c>
      <c r="C12" s="3" t="s">
        <v>99</v>
      </c>
      <c r="D12" s="3" t="s">
        <v>86</v>
      </c>
      <c r="E12" s="16">
        <v>42614</v>
      </c>
      <c r="F12" s="17">
        <v>9.3000000000000007</v>
      </c>
      <c r="G12" s="17">
        <v>10.3</v>
      </c>
      <c r="H12" s="18">
        <v>13250</v>
      </c>
      <c r="I12" s="31">
        <v>90498</v>
      </c>
      <c r="J12" s="31">
        <v>105705</v>
      </c>
      <c r="K12" s="19">
        <f t="shared" si="0"/>
        <v>15207</v>
      </c>
      <c r="L12" s="19">
        <f t="shared" si="1"/>
        <v>1267.25</v>
      </c>
      <c r="N12" s="73">
        <f t="shared" si="2"/>
        <v>103748</v>
      </c>
    </row>
    <row r="13" spans="1:14" x14ac:dyDescent="0.2">
      <c r="A13" s="3">
        <v>9</v>
      </c>
      <c r="B13" s="3" t="s">
        <v>100</v>
      </c>
      <c r="C13" s="3" t="s">
        <v>101</v>
      </c>
      <c r="D13" s="3" t="s">
        <v>102</v>
      </c>
      <c r="E13" s="16">
        <v>35309</v>
      </c>
      <c r="F13" s="17">
        <v>29.3</v>
      </c>
      <c r="G13" s="17">
        <v>30.3</v>
      </c>
      <c r="H13" s="18">
        <v>12750</v>
      </c>
      <c r="I13" s="31">
        <v>342082</v>
      </c>
      <c r="J13" s="31">
        <v>361790</v>
      </c>
      <c r="K13" s="19">
        <f t="shared" si="0"/>
        <v>19708</v>
      </c>
      <c r="L13" s="19">
        <f t="shared" si="1"/>
        <v>1642.3333333333333</v>
      </c>
      <c r="N13" s="73">
        <f t="shared" si="2"/>
        <v>354833</v>
      </c>
    </row>
    <row r="14" spans="1:14" x14ac:dyDescent="0.2">
      <c r="A14" s="3">
        <v>10</v>
      </c>
      <c r="B14" s="3" t="s">
        <v>103</v>
      </c>
      <c r="C14" s="3" t="s">
        <v>104</v>
      </c>
      <c r="D14" s="3" t="s">
        <v>86</v>
      </c>
      <c r="E14" s="16">
        <v>45536</v>
      </c>
      <c r="F14" s="17">
        <v>1.3</v>
      </c>
      <c r="G14" s="17">
        <v>2.2999999999999998</v>
      </c>
      <c r="H14" s="18">
        <v>11750</v>
      </c>
      <c r="I14" s="31">
        <v>7814</v>
      </c>
      <c r="J14" s="31">
        <v>13980</v>
      </c>
      <c r="K14" s="19">
        <f t="shared" si="0"/>
        <v>6166</v>
      </c>
      <c r="L14" s="19">
        <f t="shared" si="1"/>
        <v>513.83333333333337</v>
      </c>
      <c r="N14" s="73">
        <f t="shared" si="2"/>
        <v>13689</v>
      </c>
    </row>
    <row r="15" spans="1:14" x14ac:dyDescent="0.2">
      <c r="A15" s="3">
        <v>11</v>
      </c>
      <c r="B15" s="3" t="s">
        <v>105</v>
      </c>
      <c r="C15" s="3" t="s">
        <v>106</v>
      </c>
      <c r="D15" s="3" t="s">
        <v>107</v>
      </c>
      <c r="E15" s="5"/>
      <c r="F15" s="17"/>
      <c r="G15" s="17"/>
      <c r="H15" s="18">
        <v>5000</v>
      </c>
      <c r="I15" s="31">
        <v>0</v>
      </c>
      <c r="J15" s="31">
        <v>0</v>
      </c>
      <c r="K15" s="19">
        <f t="shared" si="0"/>
        <v>0</v>
      </c>
      <c r="L15" s="19">
        <f t="shared" si="1"/>
        <v>0</v>
      </c>
      <c r="N15" s="73">
        <f t="shared" si="2"/>
        <v>622500</v>
      </c>
    </row>
    <row r="16" spans="1:14" x14ac:dyDescent="0.2">
      <c r="A16" s="3">
        <v>12</v>
      </c>
      <c r="B16" s="3" t="s">
        <v>109</v>
      </c>
      <c r="C16" s="3" t="s">
        <v>110</v>
      </c>
      <c r="D16" s="3" t="s">
        <v>111</v>
      </c>
      <c r="E16" s="16">
        <v>42283</v>
      </c>
      <c r="F16" s="17">
        <v>10.199999999999999</v>
      </c>
      <c r="G16" s="17">
        <v>11.2</v>
      </c>
      <c r="H16" s="18">
        <v>12500</v>
      </c>
      <c r="I16" s="31">
        <v>96750</v>
      </c>
      <c r="J16" s="31">
        <v>111435</v>
      </c>
      <c r="K16" s="19">
        <f t="shared" si="0"/>
        <v>14685</v>
      </c>
      <c r="L16" s="19">
        <f t="shared" si="1"/>
        <v>1223.75</v>
      </c>
      <c r="N16" s="73">
        <f t="shared" si="2"/>
        <v>109250</v>
      </c>
    </row>
    <row r="17" spans="1:14" x14ac:dyDescent="0.2">
      <c r="A17" s="3">
        <v>13</v>
      </c>
      <c r="B17" s="3" t="s">
        <v>112</v>
      </c>
      <c r="C17" s="3" t="s">
        <v>113</v>
      </c>
      <c r="D17" s="3" t="s">
        <v>114</v>
      </c>
      <c r="E17" s="16">
        <v>44867</v>
      </c>
      <c r="F17" s="17">
        <v>3.2</v>
      </c>
      <c r="G17" s="17">
        <v>4.2</v>
      </c>
      <c r="H17" s="18">
        <v>16250</v>
      </c>
      <c r="I17" s="31">
        <v>25675</v>
      </c>
      <c r="J17" s="31">
        <v>34320</v>
      </c>
      <c r="K17" s="19">
        <f t="shared" si="0"/>
        <v>8645</v>
      </c>
      <c r="L17" s="19">
        <f t="shared" si="1"/>
        <v>720.41666666666663</v>
      </c>
      <c r="N17" s="73">
        <f t="shared" si="2"/>
        <v>33800</v>
      </c>
    </row>
    <row r="18" spans="1:14" x14ac:dyDescent="0.2">
      <c r="A18" s="3">
        <v>14</v>
      </c>
      <c r="B18" s="3" t="s">
        <v>115</v>
      </c>
      <c r="C18" s="3" t="s">
        <v>116</v>
      </c>
      <c r="D18" s="3" t="s">
        <v>74</v>
      </c>
      <c r="E18" s="16">
        <v>45901</v>
      </c>
      <c r="F18" s="17">
        <v>0.3</v>
      </c>
      <c r="G18" s="17">
        <v>1.3</v>
      </c>
      <c r="H18" s="18">
        <v>10000</v>
      </c>
      <c r="I18" s="31">
        <v>1650</v>
      </c>
      <c r="J18" s="31">
        <v>6650</v>
      </c>
      <c r="K18" s="19">
        <f t="shared" si="0"/>
        <v>5000</v>
      </c>
      <c r="L18" s="19">
        <f t="shared" si="1"/>
        <v>416.66666666666669</v>
      </c>
      <c r="N18" s="73">
        <f t="shared" si="2"/>
        <v>6650</v>
      </c>
    </row>
    <row r="19" spans="1:14" x14ac:dyDescent="0.2">
      <c r="A19" s="3">
        <v>15</v>
      </c>
      <c r="B19" s="3" t="s">
        <v>117</v>
      </c>
      <c r="C19" s="3" t="s">
        <v>118</v>
      </c>
      <c r="D19" s="3" t="s">
        <v>86</v>
      </c>
      <c r="E19" s="16">
        <v>45536</v>
      </c>
      <c r="F19" s="17">
        <v>1.3</v>
      </c>
      <c r="G19" s="17">
        <v>2.2999999999999998</v>
      </c>
      <c r="H19" s="18">
        <v>11250</v>
      </c>
      <c r="I19" s="31">
        <v>7481</v>
      </c>
      <c r="J19" s="31">
        <v>13398</v>
      </c>
      <c r="K19" s="19">
        <f t="shared" si="0"/>
        <v>5917</v>
      </c>
      <c r="L19" s="19">
        <f t="shared" si="1"/>
        <v>493.08333333333331</v>
      </c>
      <c r="N19" s="73">
        <f t="shared" si="2"/>
        <v>13106</v>
      </c>
    </row>
    <row r="20" spans="1:14" x14ac:dyDescent="0.2">
      <c r="A20" s="3">
        <v>16</v>
      </c>
      <c r="B20" s="3" t="s">
        <v>119</v>
      </c>
      <c r="C20" s="3" t="s">
        <v>120</v>
      </c>
      <c r="D20" s="3" t="s">
        <v>121</v>
      </c>
      <c r="E20" s="16">
        <v>40787</v>
      </c>
      <c r="F20" s="17">
        <v>14.3</v>
      </c>
      <c r="G20" s="17">
        <v>15.3</v>
      </c>
      <c r="H20" s="18">
        <v>15000</v>
      </c>
      <c r="I20" s="31">
        <v>177450</v>
      </c>
      <c r="J20" s="31">
        <v>195658</v>
      </c>
      <c r="K20" s="19">
        <f t="shared" si="0"/>
        <v>18208</v>
      </c>
      <c r="L20" s="19">
        <f t="shared" si="1"/>
        <v>1517.3333333333333</v>
      </c>
      <c r="N20" s="73">
        <f t="shared" si="2"/>
        <v>192450</v>
      </c>
    </row>
    <row r="21" spans="1:14" x14ac:dyDescent="0.2">
      <c r="A21" s="3">
        <v>17</v>
      </c>
      <c r="B21" s="3" t="s">
        <v>123</v>
      </c>
      <c r="C21" s="3" t="s">
        <v>124</v>
      </c>
      <c r="D21" s="3" t="s">
        <v>121</v>
      </c>
      <c r="E21" s="16">
        <v>45901</v>
      </c>
      <c r="F21" s="17">
        <v>0.3</v>
      </c>
      <c r="G21" s="17">
        <v>1.3</v>
      </c>
      <c r="H21" s="18">
        <v>11750</v>
      </c>
      <c r="I21" s="31">
        <v>1939</v>
      </c>
      <c r="J21" s="31">
        <v>7814</v>
      </c>
      <c r="K21" s="19">
        <f t="shared" si="0"/>
        <v>5875</v>
      </c>
      <c r="L21" s="19">
        <f t="shared" si="1"/>
        <v>489.58333333333331</v>
      </c>
      <c r="N21" s="73">
        <f t="shared" si="2"/>
        <v>7814</v>
      </c>
    </row>
    <row r="22" spans="1:14" x14ac:dyDescent="0.2">
      <c r="A22" s="3">
        <v>18</v>
      </c>
      <c r="B22" s="3" t="s">
        <v>125</v>
      </c>
      <c r="C22" s="3" t="s">
        <v>126</v>
      </c>
      <c r="D22" s="3" t="s">
        <v>86</v>
      </c>
      <c r="E22" s="16">
        <v>45536</v>
      </c>
      <c r="F22" s="17">
        <v>1.3</v>
      </c>
      <c r="G22" s="17">
        <v>2.2999999999999998</v>
      </c>
      <c r="H22" s="18">
        <v>12000</v>
      </c>
      <c r="I22" s="31">
        <v>7980</v>
      </c>
      <c r="J22" s="31">
        <v>14271</v>
      </c>
      <c r="K22" s="19">
        <f t="shared" si="0"/>
        <v>6291</v>
      </c>
      <c r="L22" s="19">
        <f t="shared" si="1"/>
        <v>524.25</v>
      </c>
      <c r="N22" s="73">
        <f t="shared" si="2"/>
        <v>13980</v>
      </c>
    </row>
    <row r="23" spans="1:14" x14ac:dyDescent="0.2">
      <c r="A23" s="3">
        <v>19</v>
      </c>
      <c r="B23" s="3" t="s">
        <v>127</v>
      </c>
      <c r="C23" s="3" t="s">
        <v>128</v>
      </c>
      <c r="D23" s="3" t="s">
        <v>102</v>
      </c>
      <c r="E23" s="16">
        <v>36404</v>
      </c>
      <c r="F23" s="17">
        <v>26.3</v>
      </c>
      <c r="G23" s="17">
        <v>27.3</v>
      </c>
      <c r="H23" s="18">
        <v>16250</v>
      </c>
      <c r="I23" s="31">
        <v>387238</v>
      </c>
      <c r="J23" s="31">
        <v>409695</v>
      </c>
      <c r="K23" s="19">
        <f t="shared" si="0"/>
        <v>22457</v>
      </c>
      <c r="L23" s="19">
        <f t="shared" si="1"/>
        <v>1871.4166666666667</v>
      </c>
      <c r="N23" s="73">
        <f t="shared" si="2"/>
        <v>403488</v>
      </c>
    </row>
    <row r="24" spans="1:14" x14ac:dyDescent="0.2">
      <c r="A24" s="3">
        <v>20</v>
      </c>
      <c r="B24" s="3" t="s">
        <v>106</v>
      </c>
      <c r="C24" s="3" t="s">
        <v>129</v>
      </c>
      <c r="D24" s="3" t="s">
        <v>102</v>
      </c>
      <c r="E24" s="16">
        <v>40787</v>
      </c>
      <c r="F24" s="17">
        <v>14.3</v>
      </c>
      <c r="G24" s="17">
        <v>15.3</v>
      </c>
      <c r="H24" s="18">
        <v>13250</v>
      </c>
      <c r="I24" s="31">
        <v>156748</v>
      </c>
      <c r="J24" s="31">
        <v>173205</v>
      </c>
      <c r="K24" s="19">
        <f t="shared" si="0"/>
        <v>16457</v>
      </c>
      <c r="L24" s="19">
        <f t="shared" si="1"/>
        <v>1371.4166666666667</v>
      </c>
      <c r="N24" s="73">
        <f t="shared" si="2"/>
        <v>169998</v>
      </c>
    </row>
    <row r="25" spans="1:14" x14ac:dyDescent="0.2">
      <c r="A25" s="3">
        <v>21</v>
      </c>
      <c r="B25" s="3" t="s">
        <v>130</v>
      </c>
      <c r="C25" s="3" t="s">
        <v>131</v>
      </c>
      <c r="D25" s="3" t="s">
        <v>132</v>
      </c>
      <c r="E25" s="16">
        <v>44805</v>
      </c>
      <c r="F25" s="17">
        <v>3.3</v>
      </c>
      <c r="G25" s="17">
        <v>4.3</v>
      </c>
      <c r="H25" s="18">
        <v>11750</v>
      </c>
      <c r="I25" s="31">
        <v>19564</v>
      </c>
      <c r="J25" s="31">
        <v>25980</v>
      </c>
      <c r="K25" s="19">
        <f t="shared" si="0"/>
        <v>6416</v>
      </c>
      <c r="L25" s="19">
        <f t="shared" si="1"/>
        <v>534.66666666666663</v>
      </c>
      <c r="N25" s="73">
        <f t="shared" si="2"/>
        <v>25439</v>
      </c>
    </row>
    <row r="26" spans="1:14" x14ac:dyDescent="0.2">
      <c r="A26" s="3">
        <v>22</v>
      </c>
      <c r="B26" s="3" t="s">
        <v>133</v>
      </c>
      <c r="C26" s="3" t="s">
        <v>134</v>
      </c>
      <c r="D26" s="3" t="s">
        <v>132</v>
      </c>
      <c r="E26" s="16">
        <v>36770</v>
      </c>
      <c r="F26" s="17">
        <v>25.3</v>
      </c>
      <c r="G26" s="17">
        <v>26.3</v>
      </c>
      <c r="H26" s="18">
        <v>12500</v>
      </c>
      <c r="I26" s="31">
        <v>285375</v>
      </c>
      <c r="J26" s="31">
        <v>297875</v>
      </c>
      <c r="K26" s="19">
        <f t="shared" si="0"/>
        <v>12500</v>
      </c>
      <c r="L26" s="19">
        <f t="shared" si="1"/>
        <v>1041.6666666666667</v>
      </c>
      <c r="N26" s="73">
        <f t="shared" si="2"/>
        <v>297875</v>
      </c>
    </row>
    <row r="27" spans="1:14" x14ac:dyDescent="0.2">
      <c r="A27" s="3">
        <v>23</v>
      </c>
      <c r="B27" s="3" t="s">
        <v>136</v>
      </c>
      <c r="C27" s="3" t="s">
        <v>137</v>
      </c>
      <c r="D27" s="3" t="s">
        <v>138</v>
      </c>
      <c r="E27" s="16">
        <v>45902</v>
      </c>
      <c r="F27" s="17">
        <v>0.3</v>
      </c>
      <c r="G27" s="17">
        <v>1.3</v>
      </c>
      <c r="H27" s="18">
        <v>10400</v>
      </c>
      <c r="I27" s="31">
        <v>1716</v>
      </c>
      <c r="J27" s="31">
        <v>6916</v>
      </c>
      <c r="K27" s="19">
        <f t="shared" si="0"/>
        <v>5200</v>
      </c>
      <c r="L27" s="19">
        <f t="shared" si="1"/>
        <v>433.33333333333331</v>
      </c>
      <c r="N27" s="73">
        <f t="shared" si="2"/>
        <v>6916</v>
      </c>
    </row>
    <row r="28" spans="1:14" x14ac:dyDescent="0.2">
      <c r="A28" s="3">
        <v>24</v>
      </c>
      <c r="B28" s="3" t="s">
        <v>139</v>
      </c>
      <c r="C28" s="3" t="s">
        <v>140</v>
      </c>
      <c r="D28" s="3" t="s">
        <v>121</v>
      </c>
      <c r="E28" s="16">
        <v>45170</v>
      </c>
      <c r="F28" s="17">
        <v>2.2999999999999998</v>
      </c>
      <c r="G28" s="17">
        <v>3.3</v>
      </c>
      <c r="H28" s="18">
        <v>12500</v>
      </c>
      <c r="I28" s="31">
        <v>14562</v>
      </c>
      <c r="J28" s="31">
        <v>21229</v>
      </c>
      <c r="K28" s="19">
        <f t="shared" si="0"/>
        <v>6667</v>
      </c>
      <c r="L28" s="19">
        <f t="shared" si="1"/>
        <v>555.58333333333337</v>
      </c>
      <c r="N28" s="73">
        <f t="shared" si="2"/>
        <v>20813</v>
      </c>
    </row>
    <row r="29" spans="1:14" x14ac:dyDescent="0.2">
      <c r="A29" s="3">
        <v>25</v>
      </c>
      <c r="B29" s="3" t="s">
        <v>141</v>
      </c>
      <c r="C29" s="3" t="s">
        <v>142</v>
      </c>
      <c r="D29" s="3" t="s">
        <v>86</v>
      </c>
      <c r="E29" s="16">
        <v>45536</v>
      </c>
      <c r="F29" s="17">
        <v>1.3</v>
      </c>
      <c r="G29" s="17">
        <v>2.2999999999999998</v>
      </c>
      <c r="H29" s="18">
        <v>12000</v>
      </c>
      <c r="I29" s="31">
        <v>7980</v>
      </c>
      <c r="J29" s="31">
        <v>14271</v>
      </c>
      <c r="K29" s="19">
        <f t="shared" si="0"/>
        <v>6291</v>
      </c>
      <c r="L29" s="19">
        <f t="shared" si="1"/>
        <v>524.25</v>
      </c>
      <c r="N29" s="73">
        <f t="shared" si="2"/>
        <v>13980</v>
      </c>
    </row>
    <row r="30" spans="1:14" x14ac:dyDescent="0.2">
      <c r="A30" s="3">
        <v>26</v>
      </c>
      <c r="B30" s="3" t="s">
        <v>143</v>
      </c>
      <c r="C30" s="3" t="s">
        <v>144</v>
      </c>
      <c r="D30" s="3" t="s">
        <v>86</v>
      </c>
      <c r="E30" s="16">
        <v>45170</v>
      </c>
      <c r="F30" s="17">
        <v>2.2999999999999998</v>
      </c>
      <c r="G30" s="17">
        <v>3.3</v>
      </c>
      <c r="H30" s="18">
        <v>14000</v>
      </c>
      <c r="I30" s="31">
        <v>16310</v>
      </c>
      <c r="J30" s="31">
        <v>23726</v>
      </c>
      <c r="K30" s="19">
        <f t="shared" si="0"/>
        <v>7416</v>
      </c>
      <c r="L30" s="19">
        <f t="shared" si="1"/>
        <v>618</v>
      </c>
      <c r="N30" s="73">
        <f t="shared" si="2"/>
        <v>23310</v>
      </c>
    </row>
    <row r="31" spans="1:14" x14ac:dyDescent="0.2">
      <c r="A31" s="3">
        <v>27</v>
      </c>
      <c r="B31" s="3" t="s">
        <v>145</v>
      </c>
      <c r="C31" s="3" t="s">
        <v>146</v>
      </c>
      <c r="D31" s="3" t="s">
        <v>147</v>
      </c>
      <c r="E31" s="16">
        <v>44805</v>
      </c>
      <c r="F31" s="17">
        <v>3.3</v>
      </c>
      <c r="G31" s="17">
        <v>4.3</v>
      </c>
      <c r="H31" s="18">
        <v>11750</v>
      </c>
      <c r="I31" s="31">
        <v>19564</v>
      </c>
      <c r="J31" s="31">
        <v>25980</v>
      </c>
      <c r="K31" s="19">
        <f t="shared" si="0"/>
        <v>6416</v>
      </c>
      <c r="L31" s="19">
        <f t="shared" si="1"/>
        <v>534.66666666666663</v>
      </c>
      <c r="N31" s="73">
        <f t="shared" si="2"/>
        <v>25439</v>
      </c>
    </row>
    <row r="32" spans="1:14" x14ac:dyDescent="0.2">
      <c r="A32" s="3">
        <v>28</v>
      </c>
      <c r="B32" s="3" t="s">
        <v>148</v>
      </c>
      <c r="C32" s="3" t="s">
        <v>149</v>
      </c>
      <c r="D32" s="3" t="s">
        <v>121</v>
      </c>
      <c r="E32" s="16">
        <v>45901</v>
      </c>
      <c r="F32" s="17">
        <v>0.3</v>
      </c>
      <c r="G32" s="17">
        <v>1.3</v>
      </c>
      <c r="H32" s="18">
        <v>9900</v>
      </c>
      <c r="I32" s="31">
        <v>1633</v>
      </c>
      <c r="J32" s="31">
        <v>6583</v>
      </c>
      <c r="K32" s="19">
        <f t="shared" si="0"/>
        <v>4950</v>
      </c>
      <c r="L32" s="19">
        <f t="shared" si="1"/>
        <v>412.5</v>
      </c>
      <c r="N32" s="73">
        <f t="shared" si="2"/>
        <v>6584</v>
      </c>
    </row>
    <row r="33" spans="1:14" x14ac:dyDescent="0.2">
      <c r="A33" s="3">
        <v>29</v>
      </c>
      <c r="B33" s="3" t="s">
        <v>150</v>
      </c>
      <c r="C33" s="3" t="s">
        <v>151</v>
      </c>
      <c r="D33" s="3" t="s">
        <v>152</v>
      </c>
      <c r="E33" s="16">
        <v>45908</v>
      </c>
      <c r="F33" s="17">
        <v>0.3</v>
      </c>
      <c r="G33" s="17">
        <v>1.3</v>
      </c>
      <c r="H33" s="18">
        <v>16000</v>
      </c>
      <c r="I33" s="31">
        <v>2480</v>
      </c>
      <c r="J33" s="31">
        <v>10480</v>
      </c>
      <c r="K33" s="19">
        <f t="shared" si="0"/>
        <v>8000</v>
      </c>
      <c r="L33" s="19">
        <f t="shared" si="1"/>
        <v>666.66666666666663</v>
      </c>
      <c r="N33" s="73">
        <f t="shared" si="2"/>
        <v>10480</v>
      </c>
    </row>
    <row r="34" spans="1:14" x14ac:dyDescent="0.2">
      <c r="A34" s="3">
        <v>30</v>
      </c>
      <c r="B34" s="3" t="s">
        <v>153</v>
      </c>
      <c r="C34" s="3" t="s">
        <v>154</v>
      </c>
      <c r="D34" s="3" t="s">
        <v>121</v>
      </c>
      <c r="E34" s="16">
        <v>44075</v>
      </c>
      <c r="F34" s="17">
        <v>5.3</v>
      </c>
      <c r="G34" s="17">
        <v>6.3</v>
      </c>
      <c r="H34" s="18">
        <v>12250</v>
      </c>
      <c r="I34" s="31">
        <v>34668</v>
      </c>
      <c r="J34" s="31">
        <v>47875</v>
      </c>
      <c r="K34" s="19">
        <f t="shared" si="0"/>
        <v>13207</v>
      </c>
      <c r="L34" s="19">
        <f t="shared" si="1"/>
        <v>1100.5833333333333</v>
      </c>
      <c r="N34" s="73">
        <f t="shared" si="2"/>
        <v>46918</v>
      </c>
    </row>
    <row r="35" spans="1:14" x14ac:dyDescent="0.2">
      <c r="A35" s="3">
        <v>31</v>
      </c>
      <c r="B35" s="3" t="s">
        <v>155</v>
      </c>
      <c r="C35" s="3" t="s">
        <v>156</v>
      </c>
      <c r="D35" s="3" t="s">
        <v>121</v>
      </c>
      <c r="E35" s="16">
        <v>44440</v>
      </c>
      <c r="F35" s="17">
        <v>4.3</v>
      </c>
      <c r="G35" s="17">
        <v>5.3</v>
      </c>
      <c r="H35" s="18">
        <v>12000</v>
      </c>
      <c r="I35" s="31">
        <v>25980</v>
      </c>
      <c r="J35" s="31">
        <v>34668</v>
      </c>
      <c r="K35" s="19">
        <f t="shared" si="0"/>
        <v>8688</v>
      </c>
      <c r="L35" s="19">
        <f t="shared" si="1"/>
        <v>724</v>
      </c>
      <c r="N35" s="73">
        <f t="shared" si="2"/>
        <v>33960</v>
      </c>
    </row>
    <row r="36" spans="1:14" x14ac:dyDescent="0.2">
      <c r="A36" s="3">
        <v>32</v>
      </c>
      <c r="B36" s="3" t="s">
        <v>157</v>
      </c>
      <c r="C36" s="3" t="s">
        <v>158</v>
      </c>
      <c r="D36" s="3" t="s">
        <v>159</v>
      </c>
      <c r="E36" s="16">
        <v>42979</v>
      </c>
      <c r="F36" s="17">
        <v>8.3000000000000007</v>
      </c>
      <c r="G36" s="17">
        <v>9.3000000000000007</v>
      </c>
      <c r="H36" s="18">
        <v>10200</v>
      </c>
      <c r="I36" s="31">
        <v>59466</v>
      </c>
      <c r="J36" s="31">
        <v>71032</v>
      </c>
      <c r="K36" s="19">
        <f t="shared" si="0"/>
        <v>11566</v>
      </c>
      <c r="L36" s="19">
        <f t="shared" si="1"/>
        <v>963.83333333333337</v>
      </c>
      <c r="N36" s="73">
        <f t="shared" si="2"/>
        <v>69666</v>
      </c>
    </row>
    <row r="37" spans="1:14" x14ac:dyDescent="0.2">
      <c r="A37" s="3">
        <v>33</v>
      </c>
      <c r="B37" s="3" t="s">
        <v>161</v>
      </c>
      <c r="C37" s="3" t="s">
        <v>162</v>
      </c>
      <c r="D37" s="3" t="s">
        <v>121</v>
      </c>
      <c r="E37" s="16">
        <v>45901</v>
      </c>
      <c r="F37" s="17">
        <v>0.3</v>
      </c>
      <c r="G37" s="17">
        <v>1.3</v>
      </c>
      <c r="H37" s="18">
        <v>11250</v>
      </c>
      <c r="I37" s="31">
        <v>1856</v>
      </c>
      <c r="J37" s="31">
        <v>7481</v>
      </c>
      <c r="K37" s="19">
        <f t="shared" ref="K37:K68" si="3">J37-I37</f>
        <v>5625</v>
      </c>
      <c r="L37" s="19">
        <f t="shared" ref="L37:L68" si="4">K37/12</f>
        <v>468.75</v>
      </c>
      <c r="N37" s="73">
        <f t="shared" si="2"/>
        <v>7481</v>
      </c>
    </row>
    <row r="38" spans="1:14" x14ac:dyDescent="0.2">
      <c r="A38" s="3">
        <v>34</v>
      </c>
      <c r="B38" s="3" t="s">
        <v>163</v>
      </c>
      <c r="C38" s="3" t="s">
        <v>164</v>
      </c>
      <c r="D38" s="3" t="s">
        <v>121</v>
      </c>
      <c r="E38" s="16">
        <v>43344</v>
      </c>
      <c r="F38" s="17">
        <v>7.3</v>
      </c>
      <c r="G38" s="17">
        <v>8.3000000000000007</v>
      </c>
      <c r="H38" s="18">
        <v>13000</v>
      </c>
      <c r="I38" s="31">
        <v>62790</v>
      </c>
      <c r="J38" s="31">
        <v>77248</v>
      </c>
      <c r="K38" s="19">
        <f t="shared" si="3"/>
        <v>14458</v>
      </c>
      <c r="L38" s="19">
        <f t="shared" si="4"/>
        <v>1204.8333333333333</v>
      </c>
      <c r="N38" s="73">
        <f t="shared" si="2"/>
        <v>75790</v>
      </c>
    </row>
    <row r="39" spans="1:14" x14ac:dyDescent="0.2">
      <c r="A39" s="3">
        <v>35</v>
      </c>
      <c r="B39" s="3" t="s">
        <v>165</v>
      </c>
      <c r="C39" s="3" t="s">
        <v>166</v>
      </c>
      <c r="D39" s="3" t="s">
        <v>167</v>
      </c>
      <c r="E39" s="16">
        <v>44805</v>
      </c>
      <c r="F39" s="17">
        <v>3.3</v>
      </c>
      <c r="G39" s="17">
        <v>4.3</v>
      </c>
      <c r="H39" s="18">
        <v>14750</v>
      </c>
      <c r="I39" s="31">
        <v>24559</v>
      </c>
      <c r="J39" s="31">
        <v>32475</v>
      </c>
      <c r="K39" s="19">
        <f t="shared" si="3"/>
        <v>7916</v>
      </c>
      <c r="L39" s="19">
        <f t="shared" si="4"/>
        <v>659.66666666666663</v>
      </c>
      <c r="N39" s="73">
        <f t="shared" si="2"/>
        <v>31934</v>
      </c>
    </row>
    <row r="40" spans="1:14" x14ac:dyDescent="0.2">
      <c r="A40" s="3">
        <v>36</v>
      </c>
      <c r="B40" s="3" t="s">
        <v>168</v>
      </c>
      <c r="C40" s="3" t="s">
        <v>169</v>
      </c>
      <c r="D40" s="3" t="s">
        <v>74</v>
      </c>
      <c r="E40" s="16">
        <v>45536</v>
      </c>
      <c r="F40" s="17">
        <v>1.3</v>
      </c>
      <c r="G40" s="17">
        <v>2.2999999999999998</v>
      </c>
      <c r="H40" s="18">
        <v>10600</v>
      </c>
      <c r="I40" s="31">
        <v>7049</v>
      </c>
      <c r="J40" s="31">
        <v>12582</v>
      </c>
      <c r="K40" s="19">
        <f t="shared" si="3"/>
        <v>5533</v>
      </c>
      <c r="L40" s="19">
        <f t="shared" si="4"/>
        <v>461.08333333333331</v>
      </c>
      <c r="N40" s="73">
        <f t="shared" si="2"/>
        <v>12349</v>
      </c>
    </row>
    <row r="41" spans="1:14" x14ac:dyDescent="0.2">
      <c r="A41" s="3">
        <v>37</v>
      </c>
      <c r="B41" s="3" t="s">
        <v>170</v>
      </c>
      <c r="C41" s="3" t="s">
        <v>171</v>
      </c>
      <c r="D41" s="3" t="s">
        <v>121</v>
      </c>
      <c r="E41" s="16">
        <v>45536</v>
      </c>
      <c r="F41" s="17">
        <v>1.3</v>
      </c>
      <c r="G41" s="17">
        <v>2.2999999999999998</v>
      </c>
      <c r="H41" s="18">
        <v>13000</v>
      </c>
      <c r="I41" s="31">
        <v>8645</v>
      </c>
      <c r="J41" s="31">
        <v>15436</v>
      </c>
      <c r="K41" s="19">
        <f t="shared" si="3"/>
        <v>6791</v>
      </c>
      <c r="L41" s="19">
        <f t="shared" si="4"/>
        <v>565.91666666666663</v>
      </c>
      <c r="N41" s="73">
        <f t="shared" si="2"/>
        <v>15145</v>
      </c>
    </row>
    <row r="42" spans="1:14" x14ac:dyDescent="0.2">
      <c r="A42" s="3">
        <v>38</v>
      </c>
      <c r="B42" s="3" t="s">
        <v>172</v>
      </c>
      <c r="C42" s="3" t="s">
        <v>173</v>
      </c>
      <c r="D42" s="3" t="s">
        <v>86</v>
      </c>
      <c r="E42" s="16">
        <v>43709</v>
      </c>
      <c r="F42" s="17">
        <v>6.3</v>
      </c>
      <c r="G42" s="17">
        <v>7.3</v>
      </c>
      <c r="H42" s="18">
        <v>12500</v>
      </c>
      <c r="I42" s="31">
        <v>47875</v>
      </c>
      <c r="J42" s="31">
        <v>61582</v>
      </c>
      <c r="K42" s="19">
        <f t="shared" si="3"/>
        <v>13707</v>
      </c>
      <c r="L42" s="19">
        <f t="shared" si="4"/>
        <v>1142.25</v>
      </c>
      <c r="N42" s="73">
        <f t="shared" si="2"/>
        <v>60375</v>
      </c>
    </row>
    <row r="43" spans="1:14" x14ac:dyDescent="0.2">
      <c r="A43" s="3">
        <v>39</v>
      </c>
      <c r="B43" s="3" t="s">
        <v>174</v>
      </c>
      <c r="C43" s="3" t="s">
        <v>175</v>
      </c>
      <c r="D43" s="3" t="s">
        <v>159</v>
      </c>
      <c r="E43" s="16">
        <v>45170</v>
      </c>
      <c r="F43" s="17">
        <v>2.2999999999999998</v>
      </c>
      <c r="G43" s="17">
        <v>3.3</v>
      </c>
      <c r="H43" s="18">
        <v>9200</v>
      </c>
      <c r="I43" s="31">
        <v>10718</v>
      </c>
      <c r="J43" s="31">
        <v>15651</v>
      </c>
      <c r="K43" s="19">
        <f t="shared" si="3"/>
        <v>4933</v>
      </c>
      <c r="L43" s="19">
        <f t="shared" si="4"/>
        <v>411.08333333333331</v>
      </c>
      <c r="N43" s="73">
        <f t="shared" si="2"/>
        <v>15318</v>
      </c>
    </row>
    <row r="44" spans="1:14" x14ac:dyDescent="0.2">
      <c r="A44" s="3">
        <v>40</v>
      </c>
      <c r="B44" s="3" t="s">
        <v>176</v>
      </c>
      <c r="C44" s="3" t="s">
        <v>177</v>
      </c>
      <c r="D44" s="3" t="s">
        <v>159</v>
      </c>
      <c r="E44" s="16">
        <v>42614</v>
      </c>
      <c r="F44" s="17">
        <v>9.3000000000000007</v>
      </c>
      <c r="G44" s="17">
        <v>10.3</v>
      </c>
      <c r="H44" s="18">
        <v>11500</v>
      </c>
      <c r="I44" s="31">
        <v>78545</v>
      </c>
      <c r="J44" s="31">
        <v>92002</v>
      </c>
      <c r="K44" s="19">
        <f t="shared" si="3"/>
        <v>13457</v>
      </c>
      <c r="L44" s="19">
        <f t="shared" si="4"/>
        <v>1121.4166666666667</v>
      </c>
      <c r="N44" s="73">
        <f t="shared" si="2"/>
        <v>90045</v>
      </c>
    </row>
    <row r="45" spans="1:14" x14ac:dyDescent="0.2">
      <c r="A45" s="3">
        <v>41</v>
      </c>
      <c r="B45" s="3" t="s">
        <v>178</v>
      </c>
      <c r="C45" s="3" t="s">
        <v>179</v>
      </c>
      <c r="D45" s="3" t="s">
        <v>86</v>
      </c>
      <c r="E45" s="16">
        <v>44805</v>
      </c>
      <c r="F45" s="17">
        <v>3.3</v>
      </c>
      <c r="G45" s="17">
        <v>4.3</v>
      </c>
      <c r="H45" s="18">
        <v>12000</v>
      </c>
      <c r="I45" s="31">
        <v>19980</v>
      </c>
      <c r="J45" s="31">
        <v>26521</v>
      </c>
      <c r="K45" s="19">
        <f t="shared" si="3"/>
        <v>6541</v>
      </c>
      <c r="L45" s="19">
        <f t="shared" si="4"/>
        <v>545.08333333333337</v>
      </c>
      <c r="N45" s="73">
        <f t="shared" si="2"/>
        <v>25980</v>
      </c>
    </row>
    <row r="46" spans="1:14" x14ac:dyDescent="0.2">
      <c r="A46" s="3">
        <v>42</v>
      </c>
      <c r="B46" s="3" t="s">
        <v>180</v>
      </c>
      <c r="C46" s="3" t="s">
        <v>181</v>
      </c>
      <c r="D46" s="3" t="s">
        <v>182</v>
      </c>
      <c r="E46" s="16">
        <v>45908</v>
      </c>
      <c r="F46" s="17">
        <v>0.3</v>
      </c>
      <c r="G46" s="17">
        <v>1.3</v>
      </c>
      <c r="H46" s="18">
        <v>10400</v>
      </c>
      <c r="I46" s="31">
        <v>1612</v>
      </c>
      <c r="J46" s="31">
        <v>6812</v>
      </c>
      <c r="K46" s="19">
        <f t="shared" si="3"/>
        <v>5200</v>
      </c>
      <c r="L46" s="19">
        <f t="shared" si="4"/>
        <v>433.33333333333331</v>
      </c>
      <c r="N46" s="73">
        <f t="shared" si="2"/>
        <v>6812</v>
      </c>
    </row>
    <row r="47" spans="1:14" x14ac:dyDescent="0.2">
      <c r="A47" s="3">
        <v>43</v>
      </c>
      <c r="B47" s="3" t="s">
        <v>183</v>
      </c>
      <c r="C47" s="3" t="s">
        <v>184</v>
      </c>
      <c r="D47" s="3" t="s">
        <v>132</v>
      </c>
      <c r="E47" s="16">
        <v>44805</v>
      </c>
      <c r="F47" s="17">
        <v>3.3</v>
      </c>
      <c r="G47" s="17">
        <v>4.3</v>
      </c>
      <c r="H47" s="18">
        <v>11000</v>
      </c>
      <c r="I47" s="31">
        <v>18315</v>
      </c>
      <c r="J47" s="31">
        <v>24248</v>
      </c>
      <c r="K47" s="19">
        <f t="shared" si="3"/>
        <v>5933</v>
      </c>
      <c r="L47" s="19">
        <f t="shared" si="4"/>
        <v>494.41666666666669</v>
      </c>
      <c r="N47" s="73">
        <f t="shared" si="2"/>
        <v>23815</v>
      </c>
    </row>
    <row r="48" spans="1:14" x14ac:dyDescent="0.2">
      <c r="A48" s="3">
        <v>44</v>
      </c>
      <c r="B48" s="3" t="s">
        <v>185</v>
      </c>
      <c r="C48" s="3" t="s">
        <v>186</v>
      </c>
      <c r="D48" s="3" t="s">
        <v>147</v>
      </c>
      <c r="E48" s="16">
        <v>42979</v>
      </c>
      <c r="F48" s="17">
        <v>8.3000000000000007</v>
      </c>
      <c r="G48" s="17">
        <v>9.3000000000000007</v>
      </c>
      <c r="H48" s="18">
        <v>15250</v>
      </c>
      <c r="I48" s="31">
        <v>88908</v>
      </c>
      <c r="J48" s="31">
        <v>105865</v>
      </c>
      <c r="K48" s="19">
        <f t="shared" si="3"/>
        <v>16957</v>
      </c>
      <c r="L48" s="19">
        <f t="shared" si="4"/>
        <v>1413.0833333333333</v>
      </c>
      <c r="N48" s="73">
        <f t="shared" si="2"/>
        <v>104158</v>
      </c>
    </row>
    <row r="49" spans="1:14" x14ac:dyDescent="0.2">
      <c r="A49" s="3">
        <v>45</v>
      </c>
      <c r="B49" s="3" t="s">
        <v>187</v>
      </c>
      <c r="C49" s="3" t="s">
        <v>188</v>
      </c>
      <c r="D49" s="3" t="s">
        <v>132</v>
      </c>
      <c r="E49" s="16">
        <v>45194</v>
      </c>
      <c r="F49" s="17">
        <v>2.2999999999999998</v>
      </c>
      <c r="G49" s="17">
        <v>3.3</v>
      </c>
      <c r="H49" s="18">
        <v>10400</v>
      </c>
      <c r="I49" s="31">
        <v>11804</v>
      </c>
      <c r="J49" s="31">
        <v>17331</v>
      </c>
      <c r="K49" s="19">
        <f t="shared" si="3"/>
        <v>5527</v>
      </c>
      <c r="L49" s="19">
        <f t="shared" si="4"/>
        <v>460.58333333333331</v>
      </c>
      <c r="N49" s="73">
        <f t="shared" si="2"/>
        <v>17004</v>
      </c>
    </row>
    <row r="50" spans="1:14" x14ac:dyDescent="0.2">
      <c r="A50" s="3">
        <v>46</v>
      </c>
      <c r="B50" s="3" t="s">
        <v>189</v>
      </c>
      <c r="C50" s="3" t="s">
        <v>190</v>
      </c>
      <c r="D50" s="3" t="s">
        <v>86</v>
      </c>
      <c r="E50" s="16">
        <v>45170</v>
      </c>
      <c r="F50" s="17">
        <v>2.2999999999999998</v>
      </c>
      <c r="G50" s="17">
        <v>3.3</v>
      </c>
      <c r="H50" s="18">
        <v>12000</v>
      </c>
      <c r="I50" s="31">
        <v>13980</v>
      </c>
      <c r="J50" s="31">
        <v>20396</v>
      </c>
      <c r="K50" s="19">
        <f t="shared" si="3"/>
        <v>6416</v>
      </c>
      <c r="L50" s="19">
        <f t="shared" si="4"/>
        <v>534.66666666666663</v>
      </c>
      <c r="N50" s="73">
        <f t="shared" si="2"/>
        <v>19980</v>
      </c>
    </row>
    <row r="51" spans="1:14" x14ac:dyDescent="0.2">
      <c r="A51" s="3">
        <v>47</v>
      </c>
      <c r="B51" s="3" t="s">
        <v>191</v>
      </c>
      <c r="C51" s="3" t="s">
        <v>192</v>
      </c>
      <c r="D51" s="3" t="s">
        <v>121</v>
      </c>
      <c r="E51" s="16">
        <v>44440</v>
      </c>
      <c r="F51" s="17">
        <v>4.3</v>
      </c>
      <c r="G51" s="17">
        <v>5.3</v>
      </c>
      <c r="H51" s="18">
        <v>12000</v>
      </c>
      <c r="I51" s="31">
        <v>25980</v>
      </c>
      <c r="J51" s="31">
        <v>34668</v>
      </c>
      <c r="K51" s="19">
        <f t="shared" si="3"/>
        <v>8688</v>
      </c>
      <c r="L51" s="19">
        <f t="shared" si="4"/>
        <v>724</v>
      </c>
      <c r="N51" s="73">
        <f t="shared" si="2"/>
        <v>33960</v>
      </c>
    </row>
    <row r="52" spans="1:14" x14ac:dyDescent="0.2">
      <c r="A52" s="3">
        <v>48</v>
      </c>
      <c r="B52" s="3" t="s">
        <v>193</v>
      </c>
      <c r="C52" s="3" t="s">
        <v>194</v>
      </c>
      <c r="D52" s="3" t="s">
        <v>74</v>
      </c>
      <c r="E52" s="16">
        <v>45536</v>
      </c>
      <c r="F52" s="17">
        <v>1.3</v>
      </c>
      <c r="G52" s="17">
        <v>2.2999999999999998</v>
      </c>
      <c r="H52" s="18">
        <v>10200</v>
      </c>
      <c r="I52" s="31">
        <v>6783</v>
      </c>
      <c r="J52" s="31">
        <v>12116</v>
      </c>
      <c r="K52" s="19">
        <f t="shared" si="3"/>
        <v>5333</v>
      </c>
      <c r="L52" s="19">
        <f t="shared" si="4"/>
        <v>444.41666666666669</v>
      </c>
      <c r="N52" s="73">
        <f t="shared" si="2"/>
        <v>11883</v>
      </c>
    </row>
    <row r="53" spans="1:14" x14ac:dyDescent="0.2">
      <c r="A53" s="3">
        <v>49</v>
      </c>
      <c r="B53" s="3" t="s">
        <v>195</v>
      </c>
      <c r="C53" s="3" t="s">
        <v>196</v>
      </c>
      <c r="D53" s="3" t="s">
        <v>121</v>
      </c>
      <c r="E53" s="16">
        <v>44805</v>
      </c>
      <c r="F53" s="17">
        <v>3.3</v>
      </c>
      <c r="G53" s="17">
        <v>4.3</v>
      </c>
      <c r="H53" s="18">
        <v>11750</v>
      </c>
      <c r="I53" s="31">
        <v>19564</v>
      </c>
      <c r="J53" s="31">
        <v>25980</v>
      </c>
      <c r="K53" s="19">
        <f t="shared" si="3"/>
        <v>6416</v>
      </c>
      <c r="L53" s="19">
        <f t="shared" si="4"/>
        <v>534.66666666666663</v>
      </c>
      <c r="N53" s="73">
        <f t="shared" si="2"/>
        <v>25439</v>
      </c>
    </row>
    <row r="54" spans="1:14" x14ac:dyDescent="0.2">
      <c r="A54" s="3">
        <v>50</v>
      </c>
      <c r="B54" s="3" t="s">
        <v>197</v>
      </c>
      <c r="C54" s="3" t="s">
        <v>198</v>
      </c>
      <c r="D54" s="3" t="s">
        <v>132</v>
      </c>
      <c r="E54" s="16">
        <v>43054</v>
      </c>
      <c r="F54" s="17">
        <v>8.1</v>
      </c>
      <c r="G54" s="17">
        <v>9.1</v>
      </c>
      <c r="H54" s="18">
        <v>12250</v>
      </c>
      <c r="I54" s="31">
        <v>68968</v>
      </c>
      <c r="J54" s="31">
        <v>82875</v>
      </c>
      <c r="K54" s="19">
        <f t="shared" si="3"/>
        <v>13907</v>
      </c>
      <c r="L54" s="19">
        <f t="shared" si="4"/>
        <v>1158.9166666666667</v>
      </c>
      <c r="N54" s="73">
        <f t="shared" si="2"/>
        <v>81218</v>
      </c>
    </row>
    <row r="55" spans="1:14" x14ac:dyDescent="0.2">
      <c r="A55" s="3">
        <v>51</v>
      </c>
      <c r="B55" s="3" t="s">
        <v>199</v>
      </c>
      <c r="C55" s="3" t="s">
        <v>200</v>
      </c>
      <c r="D55" s="3" t="s">
        <v>86</v>
      </c>
      <c r="E55" s="16">
        <v>44805</v>
      </c>
      <c r="F55" s="17">
        <v>3.3</v>
      </c>
      <c r="G55" s="17">
        <v>4.3</v>
      </c>
      <c r="H55" s="18">
        <v>11750</v>
      </c>
      <c r="I55" s="31">
        <v>19564</v>
      </c>
      <c r="J55" s="31">
        <v>25980</v>
      </c>
      <c r="K55" s="19">
        <f t="shared" si="3"/>
        <v>6416</v>
      </c>
      <c r="L55" s="19">
        <f t="shared" si="4"/>
        <v>534.66666666666663</v>
      </c>
      <c r="N55" s="73">
        <f t="shared" si="2"/>
        <v>25439</v>
      </c>
    </row>
    <row r="56" spans="1:14" x14ac:dyDescent="0.2">
      <c r="A56" s="3">
        <v>52</v>
      </c>
      <c r="B56" s="3" t="s">
        <v>201</v>
      </c>
      <c r="C56" s="3" t="s">
        <v>202</v>
      </c>
      <c r="D56" s="3" t="s">
        <v>132</v>
      </c>
      <c r="E56" s="16">
        <v>41153</v>
      </c>
      <c r="F56" s="17">
        <v>13.3</v>
      </c>
      <c r="G56" s="17">
        <v>14.3</v>
      </c>
      <c r="H56" s="18">
        <v>13250</v>
      </c>
      <c r="I56" s="31">
        <v>143498</v>
      </c>
      <c r="J56" s="31">
        <v>159705</v>
      </c>
      <c r="K56" s="19">
        <f t="shared" si="3"/>
        <v>16207</v>
      </c>
      <c r="L56" s="19">
        <f t="shared" si="4"/>
        <v>1350.5833333333333</v>
      </c>
      <c r="N56" s="73">
        <f t="shared" si="2"/>
        <v>156748</v>
      </c>
    </row>
    <row r="57" spans="1:14" x14ac:dyDescent="0.2">
      <c r="A57" s="3">
        <v>53</v>
      </c>
      <c r="B57" s="3" t="s">
        <v>203</v>
      </c>
      <c r="C57" s="3" t="s">
        <v>204</v>
      </c>
      <c r="D57" s="3" t="s">
        <v>205</v>
      </c>
      <c r="E57" s="16">
        <v>44440</v>
      </c>
      <c r="F57" s="17">
        <v>4.3</v>
      </c>
      <c r="G57" s="17">
        <v>5.3</v>
      </c>
      <c r="H57" s="18">
        <v>16750</v>
      </c>
      <c r="I57" s="31">
        <v>36264</v>
      </c>
      <c r="J57" s="31">
        <v>48110</v>
      </c>
      <c r="K57" s="19">
        <f t="shared" si="3"/>
        <v>11846</v>
      </c>
      <c r="L57" s="19">
        <f t="shared" si="4"/>
        <v>987.16666666666663</v>
      </c>
      <c r="N57" s="73">
        <f t="shared" si="2"/>
        <v>47403</v>
      </c>
    </row>
    <row r="58" spans="1:14" x14ac:dyDescent="0.2">
      <c r="A58" s="3">
        <v>54</v>
      </c>
      <c r="B58" s="3" t="s">
        <v>206</v>
      </c>
      <c r="C58" s="3" t="s">
        <v>207</v>
      </c>
      <c r="D58" s="3" t="s">
        <v>121</v>
      </c>
      <c r="E58" s="16">
        <v>45170</v>
      </c>
      <c r="F58" s="17">
        <v>2.2999999999999998</v>
      </c>
      <c r="G58" s="17">
        <v>3.3</v>
      </c>
      <c r="H58" s="18">
        <v>13250</v>
      </c>
      <c r="I58" s="31">
        <v>15436</v>
      </c>
      <c r="J58" s="31">
        <v>24142</v>
      </c>
      <c r="K58" s="19">
        <f t="shared" si="3"/>
        <v>8706</v>
      </c>
      <c r="L58" s="19">
        <f t="shared" si="4"/>
        <v>725.5</v>
      </c>
      <c r="N58" s="73">
        <f t="shared" si="2"/>
        <v>22061</v>
      </c>
    </row>
    <row r="59" spans="1:14" x14ac:dyDescent="0.2">
      <c r="A59" s="3">
        <v>55</v>
      </c>
      <c r="B59" s="3" t="s">
        <v>208</v>
      </c>
      <c r="C59" s="3" t="s">
        <v>209</v>
      </c>
      <c r="D59" s="3" t="s">
        <v>121</v>
      </c>
      <c r="E59" s="16">
        <v>44440</v>
      </c>
      <c r="F59" s="17">
        <v>4.3</v>
      </c>
      <c r="G59" s="17">
        <v>5.3</v>
      </c>
      <c r="H59" s="18">
        <v>11000</v>
      </c>
      <c r="I59" s="31">
        <v>23815</v>
      </c>
      <c r="J59" s="31">
        <v>31838</v>
      </c>
      <c r="K59" s="19">
        <f t="shared" si="3"/>
        <v>8023</v>
      </c>
      <c r="L59" s="19">
        <f t="shared" si="4"/>
        <v>668.58333333333337</v>
      </c>
      <c r="N59" s="73">
        <f t="shared" si="2"/>
        <v>31130</v>
      </c>
    </row>
    <row r="60" spans="1:14" x14ac:dyDescent="0.2">
      <c r="A60" s="3">
        <v>56</v>
      </c>
      <c r="B60" s="3" t="s">
        <v>210</v>
      </c>
      <c r="C60" s="3" t="s">
        <v>211</v>
      </c>
      <c r="D60" s="3" t="s">
        <v>121</v>
      </c>
      <c r="E60" s="16">
        <v>44440</v>
      </c>
      <c r="F60" s="17">
        <v>4.3</v>
      </c>
      <c r="G60" s="17">
        <v>5.3</v>
      </c>
      <c r="H60" s="18">
        <v>13750</v>
      </c>
      <c r="I60" s="31">
        <v>29769</v>
      </c>
      <c r="J60" s="31">
        <v>39620</v>
      </c>
      <c r="K60" s="19">
        <f t="shared" si="3"/>
        <v>9851</v>
      </c>
      <c r="L60" s="19">
        <f t="shared" si="4"/>
        <v>820.91666666666663</v>
      </c>
      <c r="N60" s="73">
        <f t="shared" si="2"/>
        <v>38913</v>
      </c>
    </row>
    <row r="61" spans="1:14" x14ac:dyDescent="0.2">
      <c r="A61" s="3">
        <v>57</v>
      </c>
      <c r="B61" s="3" t="s">
        <v>212</v>
      </c>
      <c r="C61" s="3" t="s">
        <v>213</v>
      </c>
      <c r="D61" s="3" t="s">
        <v>86</v>
      </c>
      <c r="E61" s="16">
        <v>42248</v>
      </c>
      <c r="F61" s="17">
        <v>10.3</v>
      </c>
      <c r="G61" s="17">
        <v>11.3</v>
      </c>
      <c r="H61" s="18">
        <v>15000</v>
      </c>
      <c r="I61" s="31">
        <v>117450</v>
      </c>
      <c r="J61" s="31">
        <v>134658</v>
      </c>
      <c r="K61" s="19">
        <f t="shared" si="3"/>
        <v>17208</v>
      </c>
      <c r="L61" s="19">
        <f t="shared" si="4"/>
        <v>1434</v>
      </c>
      <c r="N61" s="73">
        <f t="shared" si="2"/>
        <v>132450</v>
      </c>
    </row>
    <row r="62" spans="1:14" x14ac:dyDescent="0.2">
      <c r="A62" s="3">
        <v>58</v>
      </c>
      <c r="B62" s="3" t="s">
        <v>214</v>
      </c>
      <c r="C62" s="3" t="s">
        <v>215</v>
      </c>
      <c r="D62" s="3" t="s">
        <v>86</v>
      </c>
      <c r="E62" s="16">
        <v>45901</v>
      </c>
      <c r="F62" s="17">
        <v>0.3</v>
      </c>
      <c r="G62" s="17">
        <v>1.3</v>
      </c>
      <c r="H62" s="18">
        <v>11250</v>
      </c>
      <c r="I62" s="31">
        <v>1856</v>
      </c>
      <c r="J62" s="31">
        <v>7481</v>
      </c>
      <c r="K62" s="19">
        <f t="shared" si="3"/>
        <v>5625</v>
      </c>
      <c r="L62" s="19">
        <f t="shared" si="4"/>
        <v>468.75</v>
      </c>
      <c r="N62" s="73">
        <f t="shared" si="2"/>
        <v>7481</v>
      </c>
    </row>
    <row r="63" spans="1:14" x14ac:dyDescent="0.2">
      <c r="A63" s="3">
        <v>59</v>
      </c>
      <c r="B63" s="3" t="s">
        <v>216</v>
      </c>
      <c r="C63" s="3" t="s">
        <v>217</v>
      </c>
      <c r="D63" s="3" t="s">
        <v>132</v>
      </c>
      <c r="E63" s="16">
        <v>45901</v>
      </c>
      <c r="F63" s="17">
        <v>0.3</v>
      </c>
      <c r="G63" s="17">
        <v>1.3</v>
      </c>
      <c r="H63" s="18">
        <v>11750</v>
      </c>
      <c r="I63" s="31">
        <v>1939</v>
      </c>
      <c r="J63" s="31">
        <v>7814</v>
      </c>
      <c r="K63" s="19">
        <f t="shared" si="3"/>
        <v>5875</v>
      </c>
      <c r="L63" s="19">
        <f t="shared" si="4"/>
        <v>489.58333333333331</v>
      </c>
      <c r="N63" s="73">
        <f t="shared" si="2"/>
        <v>7814</v>
      </c>
    </row>
    <row r="64" spans="1:14" x14ac:dyDescent="0.2">
      <c r="A64" s="3">
        <v>60</v>
      </c>
      <c r="B64" s="3" t="s">
        <v>218</v>
      </c>
      <c r="C64" s="3" t="s">
        <v>219</v>
      </c>
      <c r="D64" s="3" t="s">
        <v>86</v>
      </c>
      <c r="E64" s="16">
        <v>45901</v>
      </c>
      <c r="F64" s="17">
        <v>0.3</v>
      </c>
      <c r="G64" s="17">
        <v>1.3</v>
      </c>
      <c r="H64" s="18">
        <v>11750</v>
      </c>
      <c r="I64" s="31">
        <v>1939</v>
      </c>
      <c r="J64" s="31">
        <v>7814</v>
      </c>
      <c r="K64" s="19">
        <f t="shared" si="3"/>
        <v>5875</v>
      </c>
      <c r="L64" s="19">
        <f t="shared" si="4"/>
        <v>489.58333333333331</v>
      </c>
      <c r="N64" s="73">
        <f t="shared" si="2"/>
        <v>7814</v>
      </c>
    </row>
    <row r="65" spans="1:14" x14ac:dyDescent="0.2">
      <c r="A65" s="3">
        <v>61</v>
      </c>
      <c r="B65" s="3" t="s">
        <v>220</v>
      </c>
      <c r="C65" s="3" t="s">
        <v>142</v>
      </c>
      <c r="D65" s="3" t="s">
        <v>159</v>
      </c>
      <c r="E65" s="16">
        <v>44440</v>
      </c>
      <c r="F65" s="17">
        <v>4.3</v>
      </c>
      <c r="G65" s="17">
        <v>5.3</v>
      </c>
      <c r="H65" s="18">
        <v>9800</v>
      </c>
      <c r="I65" s="31">
        <v>21217</v>
      </c>
      <c r="J65" s="31">
        <v>28300</v>
      </c>
      <c r="K65" s="19">
        <f t="shared" si="3"/>
        <v>7083</v>
      </c>
      <c r="L65" s="19">
        <f t="shared" si="4"/>
        <v>590.25</v>
      </c>
      <c r="N65" s="73">
        <f t="shared" si="2"/>
        <v>27734</v>
      </c>
    </row>
    <row r="66" spans="1:14" x14ac:dyDescent="0.2">
      <c r="A66" s="3">
        <v>62</v>
      </c>
      <c r="B66" s="3" t="s">
        <v>221</v>
      </c>
      <c r="C66" s="3" t="s">
        <v>222</v>
      </c>
      <c r="D66" s="3" t="s">
        <v>223</v>
      </c>
      <c r="E66" s="16">
        <v>40057</v>
      </c>
      <c r="F66" s="17">
        <v>16.3</v>
      </c>
      <c r="G66" s="17">
        <v>17.3</v>
      </c>
      <c r="H66" s="18">
        <v>16500</v>
      </c>
      <c r="I66" s="31">
        <v>228195</v>
      </c>
      <c r="J66" s="31">
        <v>244695</v>
      </c>
      <c r="K66" s="19">
        <f t="shared" si="3"/>
        <v>16500</v>
      </c>
      <c r="L66" s="19">
        <f t="shared" si="4"/>
        <v>1375</v>
      </c>
      <c r="N66" s="73">
        <f t="shared" si="2"/>
        <v>244695</v>
      </c>
    </row>
    <row r="67" spans="1:14" x14ac:dyDescent="0.2">
      <c r="A67" s="3">
        <v>63</v>
      </c>
      <c r="B67" s="3" t="s">
        <v>225</v>
      </c>
      <c r="C67" s="3" t="s">
        <v>226</v>
      </c>
      <c r="D67" s="3" t="s">
        <v>227</v>
      </c>
      <c r="E67" s="16">
        <v>44440</v>
      </c>
      <c r="F67" s="17">
        <v>4.3</v>
      </c>
      <c r="G67" s="17">
        <v>5.3</v>
      </c>
      <c r="H67" s="18">
        <v>16000</v>
      </c>
      <c r="I67" s="31">
        <v>34640</v>
      </c>
      <c r="J67" s="31">
        <v>45280</v>
      </c>
      <c r="K67" s="19">
        <f t="shared" si="3"/>
        <v>10640</v>
      </c>
      <c r="L67" s="19">
        <f t="shared" si="4"/>
        <v>886.66666666666663</v>
      </c>
      <c r="N67" s="73">
        <f t="shared" si="2"/>
        <v>45280</v>
      </c>
    </row>
    <row r="68" spans="1:14" x14ac:dyDescent="0.2">
      <c r="A68" s="3">
        <v>64</v>
      </c>
      <c r="B68" s="3" t="s">
        <v>229</v>
      </c>
      <c r="C68" s="3" t="s">
        <v>230</v>
      </c>
      <c r="D68" s="3" t="s">
        <v>121</v>
      </c>
      <c r="E68" s="16">
        <v>44075</v>
      </c>
      <c r="F68" s="17">
        <v>5.3</v>
      </c>
      <c r="G68" s="17">
        <v>6.3</v>
      </c>
      <c r="H68" s="18">
        <v>15000</v>
      </c>
      <c r="I68" s="31">
        <v>42450</v>
      </c>
      <c r="J68" s="31">
        <v>58408</v>
      </c>
      <c r="K68" s="19">
        <f t="shared" si="3"/>
        <v>15958</v>
      </c>
      <c r="L68" s="19">
        <f t="shared" si="4"/>
        <v>1329.8333333333333</v>
      </c>
      <c r="N68" s="73">
        <f t="shared" si="2"/>
        <v>57450</v>
      </c>
    </row>
    <row r="69" spans="1:14" x14ac:dyDescent="0.2">
      <c r="A69" s="3">
        <v>65</v>
      </c>
      <c r="B69" s="3" t="s">
        <v>231</v>
      </c>
      <c r="C69" s="3" t="s">
        <v>232</v>
      </c>
      <c r="D69" s="3" t="s">
        <v>86</v>
      </c>
      <c r="E69" s="16">
        <v>45170</v>
      </c>
      <c r="F69" s="17">
        <v>2.2999999999999998</v>
      </c>
      <c r="G69" s="17">
        <v>3.3</v>
      </c>
      <c r="H69" s="18">
        <v>12500</v>
      </c>
      <c r="I69" s="31">
        <v>14562</v>
      </c>
      <c r="J69" s="31">
        <v>21229</v>
      </c>
      <c r="K69" s="19">
        <f t="shared" ref="K69:K100" si="5">J69-I69</f>
        <v>6667</v>
      </c>
      <c r="L69" s="19">
        <f t="shared" ref="L69:L100" si="6">K69/12</f>
        <v>555.58333333333337</v>
      </c>
      <c r="N69" s="73">
        <f t="shared" si="2"/>
        <v>20813</v>
      </c>
    </row>
    <row r="70" spans="1:14" x14ac:dyDescent="0.2">
      <c r="A70" s="3">
        <v>66</v>
      </c>
      <c r="B70" s="3" t="s">
        <v>233</v>
      </c>
      <c r="C70" s="3" t="s">
        <v>234</v>
      </c>
      <c r="D70" s="3" t="s">
        <v>159</v>
      </c>
      <c r="E70" s="16">
        <v>42979</v>
      </c>
      <c r="F70" s="17">
        <v>8.3000000000000007</v>
      </c>
      <c r="G70" s="17">
        <v>9.3000000000000007</v>
      </c>
      <c r="H70" s="18">
        <v>10200</v>
      </c>
      <c r="I70" s="31">
        <v>59466</v>
      </c>
      <c r="J70" s="31">
        <v>71032</v>
      </c>
      <c r="K70" s="19">
        <f t="shared" si="5"/>
        <v>11566</v>
      </c>
      <c r="L70" s="19">
        <f t="shared" si="6"/>
        <v>963.83333333333337</v>
      </c>
      <c r="N70" s="73">
        <f t="shared" ref="N70:N133" si="7">_xlfn.LET(_xlpm.yos,ROUND(YEARFRAC(E70,DATE(2026,12,31),0),2),IF(E70&gt;DATE(2026,12,31),0,ROUND(IF(_xlpm.yos&lt;=5,H70/2*_xlpm.yos,H70/2*5+H70*(_xlpm.yos-5)),0)))</f>
        <v>69666</v>
      </c>
    </row>
    <row r="71" spans="1:14" x14ac:dyDescent="0.2">
      <c r="A71" s="3">
        <v>67</v>
      </c>
      <c r="B71" s="3" t="s">
        <v>235</v>
      </c>
      <c r="C71" s="3" t="s">
        <v>236</v>
      </c>
      <c r="D71" s="3" t="s">
        <v>237</v>
      </c>
      <c r="E71" s="16">
        <v>44805</v>
      </c>
      <c r="F71" s="17">
        <v>3.3</v>
      </c>
      <c r="G71" s="17">
        <v>4.3</v>
      </c>
      <c r="H71" s="18">
        <v>12500</v>
      </c>
      <c r="I71" s="31">
        <v>20812</v>
      </c>
      <c r="J71" s="31">
        <v>27604</v>
      </c>
      <c r="K71" s="19">
        <f t="shared" si="5"/>
        <v>6792</v>
      </c>
      <c r="L71" s="19">
        <f t="shared" si="6"/>
        <v>566</v>
      </c>
      <c r="N71" s="73">
        <f t="shared" si="7"/>
        <v>27063</v>
      </c>
    </row>
    <row r="72" spans="1:14" x14ac:dyDescent="0.2">
      <c r="A72" s="3">
        <v>68</v>
      </c>
      <c r="B72" s="3" t="s">
        <v>238</v>
      </c>
      <c r="C72" s="3" t="s">
        <v>239</v>
      </c>
      <c r="D72" s="3" t="s">
        <v>102</v>
      </c>
      <c r="E72" s="16">
        <v>40787</v>
      </c>
      <c r="F72" s="17">
        <v>14.3</v>
      </c>
      <c r="G72" s="17">
        <v>15.3</v>
      </c>
      <c r="H72" s="18">
        <v>13500</v>
      </c>
      <c r="I72" s="31">
        <v>159705</v>
      </c>
      <c r="J72" s="31">
        <v>176412</v>
      </c>
      <c r="K72" s="19">
        <f t="shared" si="5"/>
        <v>16707</v>
      </c>
      <c r="L72" s="19">
        <f t="shared" si="6"/>
        <v>1392.25</v>
      </c>
      <c r="N72" s="73">
        <f t="shared" si="7"/>
        <v>173205</v>
      </c>
    </row>
    <row r="73" spans="1:14" x14ac:dyDescent="0.2">
      <c r="A73" s="3">
        <v>69</v>
      </c>
      <c r="B73" s="3" t="s">
        <v>240</v>
      </c>
      <c r="C73" s="3" t="s">
        <v>241</v>
      </c>
      <c r="D73" s="3" t="s">
        <v>121</v>
      </c>
      <c r="E73" s="16">
        <v>44805</v>
      </c>
      <c r="F73" s="17">
        <v>3.3</v>
      </c>
      <c r="G73" s="17">
        <v>4.3</v>
      </c>
      <c r="H73" s="18">
        <v>12750</v>
      </c>
      <c r="I73" s="31">
        <v>21229</v>
      </c>
      <c r="J73" s="31">
        <v>28145</v>
      </c>
      <c r="K73" s="19">
        <f t="shared" si="5"/>
        <v>6916</v>
      </c>
      <c r="L73" s="19">
        <f t="shared" si="6"/>
        <v>576.33333333333337</v>
      </c>
      <c r="N73" s="73">
        <f t="shared" si="7"/>
        <v>27604</v>
      </c>
    </row>
    <row r="74" spans="1:14" x14ac:dyDescent="0.2">
      <c r="A74" s="3">
        <v>70</v>
      </c>
      <c r="B74" s="3" t="s">
        <v>242</v>
      </c>
      <c r="C74" s="3" t="s">
        <v>243</v>
      </c>
      <c r="D74" s="3" t="s">
        <v>121</v>
      </c>
      <c r="E74" s="16">
        <v>45536</v>
      </c>
      <c r="F74" s="17">
        <v>1.3</v>
      </c>
      <c r="G74" s="17">
        <v>2.2999999999999998</v>
      </c>
      <c r="H74" s="18">
        <v>12250</v>
      </c>
      <c r="I74" s="31">
        <v>8146</v>
      </c>
      <c r="J74" s="31">
        <v>14271</v>
      </c>
      <c r="K74" s="19">
        <f t="shared" si="5"/>
        <v>6125</v>
      </c>
      <c r="L74" s="19">
        <f t="shared" si="6"/>
        <v>510.41666666666669</v>
      </c>
      <c r="N74" s="73">
        <f t="shared" si="7"/>
        <v>14271</v>
      </c>
    </row>
    <row r="75" spans="1:14" x14ac:dyDescent="0.2">
      <c r="A75" s="3">
        <v>71</v>
      </c>
      <c r="B75" s="3" t="s">
        <v>244</v>
      </c>
      <c r="C75" s="3" t="s">
        <v>200</v>
      </c>
      <c r="D75" s="3" t="s">
        <v>159</v>
      </c>
      <c r="E75" s="16">
        <v>43709</v>
      </c>
      <c r="F75" s="17">
        <v>6.3</v>
      </c>
      <c r="G75" s="17">
        <v>7.3</v>
      </c>
      <c r="H75" s="18">
        <v>10400</v>
      </c>
      <c r="I75" s="31">
        <v>39832</v>
      </c>
      <c r="J75" s="31">
        <v>51198</v>
      </c>
      <c r="K75" s="19">
        <f t="shared" si="5"/>
        <v>11366</v>
      </c>
      <c r="L75" s="19">
        <f t="shared" si="6"/>
        <v>947.16666666666663</v>
      </c>
      <c r="N75" s="73">
        <f t="shared" si="7"/>
        <v>50232</v>
      </c>
    </row>
    <row r="76" spans="1:14" x14ac:dyDescent="0.2">
      <c r="A76" s="3">
        <v>72</v>
      </c>
      <c r="B76" s="3" t="s">
        <v>245</v>
      </c>
      <c r="C76" s="3" t="s">
        <v>246</v>
      </c>
      <c r="D76" s="3" t="s">
        <v>74</v>
      </c>
      <c r="E76" s="16">
        <v>45536</v>
      </c>
      <c r="F76" s="17">
        <v>1.3</v>
      </c>
      <c r="G76" s="17">
        <v>2.2999999999999998</v>
      </c>
      <c r="H76" s="18">
        <v>10200</v>
      </c>
      <c r="I76" s="31">
        <v>6783</v>
      </c>
      <c r="J76" s="31">
        <v>12116</v>
      </c>
      <c r="K76" s="19">
        <f t="shared" si="5"/>
        <v>5333</v>
      </c>
      <c r="L76" s="19">
        <f t="shared" si="6"/>
        <v>444.41666666666669</v>
      </c>
      <c r="N76" s="73">
        <f t="shared" si="7"/>
        <v>11883</v>
      </c>
    </row>
    <row r="77" spans="1:14" x14ac:dyDescent="0.2">
      <c r="A77" s="3">
        <v>73</v>
      </c>
      <c r="B77" s="3" t="s">
        <v>247</v>
      </c>
      <c r="C77" s="3" t="s">
        <v>248</v>
      </c>
      <c r="D77" s="3" t="s">
        <v>86</v>
      </c>
      <c r="E77" s="16">
        <v>44440</v>
      </c>
      <c r="F77" s="17">
        <v>4.3</v>
      </c>
      <c r="G77" s="17">
        <v>5.3</v>
      </c>
      <c r="H77" s="18">
        <v>13500</v>
      </c>
      <c r="I77" s="31">
        <v>29228</v>
      </c>
      <c r="J77" s="31">
        <v>38912</v>
      </c>
      <c r="K77" s="19">
        <f t="shared" si="5"/>
        <v>9684</v>
      </c>
      <c r="L77" s="19">
        <f t="shared" si="6"/>
        <v>807</v>
      </c>
      <c r="N77" s="73">
        <f t="shared" si="7"/>
        <v>38205</v>
      </c>
    </row>
    <row r="78" spans="1:14" x14ac:dyDescent="0.2">
      <c r="A78" s="3">
        <v>74</v>
      </c>
      <c r="B78" s="3" t="s">
        <v>249</v>
      </c>
      <c r="C78" s="3" t="s">
        <v>250</v>
      </c>
      <c r="D78" s="3" t="s">
        <v>159</v>
      </c>
      <c r="E78" s="16">
        <v>44805</v>
      </c>
      <c r="F78" s="17">
        <v>3.3</v>
      </c>
      <c r="G78" s="17">
        <v>4.3</v>
      </c>
      <c r="H78" s="18">
        <v>9600</v>
      </c>
      <c r="I78" s="31">
        <v>15984</v>
      </c>
      <c r="J78" s="31">
        <v>21217</v>
      </c>
      <c r="K78" s="19">
        <f t="shared" si="5"/>
        <v>5233</v>
      </c>
      <c r="L78" s="19">
        <f t="shared" si="6"/>
        <v>436.08333333333331</v>
      </c>
      <c r="N78" s="73">
        <f t="shared" si="7"/>
        <v>20784</v>
      </c>
    </row>
    <row r="79" spans="1:14" x14ac:dyDescent="0.2">
      <c r="A79" s="3">
        <v>75</v>
      </c>
      <c r="B79" s="3" t="s">
        <v>251</v>
      </c>
      <c r="C79" s="3" t="s">
        <v>252</v>
      </c>
      <c r="D79" s="3" t="s">
        <v>253</v>
      </c>
      <c r="E79" s="16">
        <v>45901</v>
      </c>
      <c r="F79" s="17">
        <v>0.3</v>
      </c>
      <c r="G79" s="17">
        <v>1.3</v>
      </c>
      <c r="H79" s="18">
        <v>8000</v>
      </c>
      <c r="I79" s="31">
        <v>1320</v>
      </c>
      <c r="J79" s="31">
        <v>5320</v>
      </c>
      <c r="K79" s="19">
        <f t="shared" si="5"/>
        <v>4000</v>
      </c>
      <c r="L79" s="19">
        <f t="shared" si="6"/>
        <v>333.33333333333331</v>
      </c>
      <c r="N79" s="73">
        <f t="shared" si="7"/>
        <v>5320</v>
      </c>
    </row>
    <row r="80" spans="1:14" x14ac:dyDescent="0.2">
      <c r="A80" s="3">
        <v>76</v>
      </c>
      <c r="B80" s="3" t="s">
        <v>254</v>
      </c>
      <c r="C80" s="3" t="s">
        <v>255</v>
      </c>
      <c r="D80" s="3" t="s">
        <v>121</v>
      </c>
      <c r="E80" s="16">
        <v>36770</v>
      </c>
      <c r="F80" s="17">
        <v>25.3</v>
      </c>
      <c r="G80" s="17">
        <v>26.3</v>
      </c>
      <c r="H80" s="18">
        <v>13750</v>
      </c>
      <c r="I80" s="31">
        <v>313912</v>
      </c>
      <c r="J80" s="31">
        <v>333620</v>
      </c>
      <c r="K80" s="19">
        <f t="shared" si="5"/>
        <v>19708</v>
      </c>
      <c r="L80" s="19">
        <f t="shared" si="6"/>
        <v>1642.3333333333333</v>
      </c>
      <c r="N80" s="73">
        <f t="shared" si="7"/>
        <v>327663</v>
      </c>
    </row>
    <row r="81" spans="1:14" x14ac:dyDescent="0.2">
      <c r="A81" s="3">
        <v>77</v>
      </c>
      <c r="B81" s="3" t="s">
        <v>256</v>
      </c>
      <c r="C81" s="3" t="s">
        <v>257</v>
      </c>
      <c r="D81" s="3" t="s">
        <v>258</v>
      </c>
      <c r="E81" s="16">
        <v>45936</v>
      </c>
      <c r="F81" s="17">
        <v>0.2</v>
      </c>
      <c r="G81" s="17">
        <v>1.2</v>
      </c>
      <c r="H81" s="18">
        <v>10000</v>
      </c>
      <c r="I81" s="31">
        <v>1200</v>
      </c>
      <c r="J81" s="31">
        <v>6150</v>
      </c>
      <c r="K81" s="19">
        <f t="shared" si="5"/>
        <v>4950</v>
      </c>
      <c r="L81" s="19">
        <f t="shared" si="6"/>
        <v>412.5</v>
      </c>
      <c r="N81" s="73">
        <f t="shared" si="7"/>
        <v>6200</v>
      </c>
    </row>
    <row r="82" spans="1:14" x14ac:dyDescent="0.2">
      <c r="A82" s="3">
        <v>78</v>
      </c>
      <c r="B82" s="3" t="s">
        <v>259</v>
      </c>
      <c r="C82" s="3" t="s">
        <v>260</v>
      </c>
      <c r="D82" s="3" t="s">
        <v>74</v>
      </c>
      <c r="E82" s="16">
        <v>44440</v>
      </c>
      <c r="F82" s="17">
        <v>4.3</v>
      </c>
      <c r="G82" s="17">
        <v>5.3</v>
      </c>
      <c r="H82" s="18">
        <v>10800</v>
      </c>
      <c r="I82" s="31">
        <v>23382</v>
      </c>
      <c r="J82" s="31">
        <v>31130</v>
      </c>
      <c r="K82" s="19">
        <f t="shared" si="5"/>
        <v>7748</v>
      </c>
      <c r="L82" s="19">
        <f t="shared" si="6"/>
        <v>645.66666666666663</v>
      </c>
      <c r="N82" s="73">
        <f t="shared" si="7"/>
        <v>30564</v>
      </c>
    </row>
    <row r="83" spans="1:14" x14ac:dyDescent="0.2">
      <c r="A83" s="3">
        <v>79</v>
      </c>
      <c r="B83" s="3" t="s">
        <v>261</v>
      </c>
      <c r="C83" s="3" t="s">
        <v>262</v>
      </c>
      <c r="D83" s="3" t="s">
        <v>147</v>
      </c>
      <c r="E83" s="16">
        <v>45170</v>
      </c>
      <c r="F83" s="17">
        <v>2.2999999999999998</v>
      </c>
      <c r="G83" s="17">
        <v>3.3</v>
      </c>
      <c r="H83" s="18">
        <v>12750</v>
      </c>
      <c r="I83" s="31">
        <v>14854</v>
      </c>
      <c r="J83" s="31">
        <v>21645</v>
      </c>
      <c r="K83" s="19">
        <f t="shared" si="5"/>
        <v>6791</v>
      </c>
      <c r="L83" s="19">
        <f t="shared" si="6"/>
        <v>565.91666666666663</v>
      </c>
      <c r="N83" s="73">
        <f t="shared" si="7"/>
        <v>21229</v>
      </c>
    </row>
    <row r="84" spans="1:14" x14ac:dyDescent="0.2">
      <c r="A84" s="3">
        <v>80</v>
      </c>
      <c r="B84" s="3" t="s">
        <v>263</v>
      </c>
      <c r="C84" s="3" t="s">
        <v>264</v>
      </c>
      <c r="D84" s="3" t="s">
        <v>265</v>
      </c>
      <c r="E84" s="16">
        <v>40422</v>
      </c>
      <c r="F84" s="17">
        <v>15.3</v>
      </c>
      <c r="G84" s="17">
        <v>16.3</v>
      </c>
      <c r="H84" s="18">
        <v>14000</v>
      </c>
      <c r="I84" s="31">
        <v>179620</v>
      </c>
      <c r="J84" s="31">
        <v>197077</v>
      </c>
      <c r="K84" s="19">
        <f t="shared" si="5"/>
        <v>17457</v>
      </c>
      <c r="L84" s="19">
        <f t="shared" si="6"/>
        <v>1454.75</v>
      </c>
      <c r="N84" s="73">
        <f t="shared" si="7"/>
        <v>193620</v>
      </c>
    </row>
    <row r="85" spans="1:14" x14ac:dyDescent="0.2">
      <c r="A85" s="3">
        <v>81</v>
      </c>
      <c r="B85" s="3" t="s">
        <v>266</v>
      </c>
      <c r="C85" s="3" t="s">
        <v>267</v>
      </c>
      <c r="D85" s="3" t="s">
        <v>159</v>
      </c>
      <c r="E85" s="16">
        <v>45536</v>
      </c>
      <c r="F85" s="17">
        <v>1.3</v>
      </c>
      <c r="G85" s="17">
        <v>2.2999999999999998</v>
      </c>
      <c r="H85" s="18">
        <v>8800</v>
      </c>
      <c r="I85" s="31">
        <v>5852</v>
      </c>
      <c r="J85" s="31">
        <v>10485</v>
      </c>
      <c r="K85" s="19">
        <f t="shared" si="5"/>
        <v>4633</v>
      </c>
      <c r="L85" s="19">
        <f t="shared" si="6"/>
        <v>386.08333333333331</v>
      </c>
      <c r="N85" s="73">
        <f t="shared" si="7"/>
        <v>10252</v>
      </c>
    </row>
    <row r="86" spans="1:14" x14ac:dyDescent="0.2">
      <c r="A86" s="3">
        <v>82</v>
      </c>
      <c r="B86" s="3" t="s">
        <v>268</v>
      </c>
      <c r="C86" s="3" t="s">
        <v>269</v>
      </c>
      <c r="D86" s="3" t="s">
        <v>121</v>
      </c>
      <c r="E86" s="16">
        <v>45189</v>
      </c>
      <c r="F86" s="17">
        <v>2.2999999999999998</v>
      </c>
      <c r="G86" s="17">
        <v>3.3</v>
      </c>
      <c r="H86" s="18">
        <v>6806</v>
      </c>
      <c r="I86" s="31">
        <v>7759</v>
      </c>
      <c r="J86" s="31">
        <v>11572</v>
      </c>
      <c r="K86" s="19">
        <f t="shared" si="5"/>
        <v>3813</v>
      </c>
      <c r="L86" s="19">
        <f t="shared" si="6"/>
        <v>317.75</v>
      </c>
      <c r="N86" s="73">
        <f t="shared" si="7"/>
        <v>11162</v>
      </c>
    </row>
    <row r="87" spans="1:14" x14ac:dyDescent="0.2">
      <c r="A87" s="3">
        <v>83</v>
      </c>
      <c r="B87" s="3" t="s">
        <v>268</v>
      </c>
      <c r="C87" s="3" t="s">
        <v>269</v>
      </c>
      <c r="D87" s="3" t="s">
        <v>270</v>
      </c>
      <c r="E87" s="16">
        <v>45189</v>
      </c>
      <c r="F87" s="17">
        <v>2.2999999999999998</v>
      </c>
      <c r="G87" s="17">
        <v>3.3</v>
      </c>
      <c r="H87" s="18">
        <v>3942</v>
      </c>
      <c r="I87" s="31">
        <v>4494</v>
      </c>
      <c r="J87" s="31">
        <v>6793</v>
      </c>
      <c r="K87" s="19">
        <f t="shared" si="5"/>
        <v>2299</v>
      </c>
      <c r="L87" s="19">
        <f t="shared" si="6"/>
        <v>191.58333333333334</v>
      </c>
      <c r="N87" s="73">
        <f t="shared" si="7"/>
        <v>6465</v>
      </c>
    </row>
    <row r="88" spans="1:14" x14ac:dyDescent="0.2">
      <c r="A88" s="3">
        <v>84</v>
      </c>
      <c r="B88" s="3" t="s">
        <v>271</v>
      </c>
      <c r="C88" s="3" t="s">
        <v>272</v>
      </c>
      <c r="D88" s="3" t="s">
        <v>273</v>
      </c>
      <c r="E88" s="16">
        <v>44440</v>
      </c>
      <c r="F88" s="17">
        <v>4.3</v>
      </c>
      <c r="G88" s="17">
        <v>5.3</v>
      </c>
      <c r="H88" s="18">
        <v>10800</v>
      </c>
      <c r="I88" s="31">
        <v>23382</v>
      </c>
      <c r="J88" s="31">
        <v>30564</v>
      </c>
      <c r="K88" s="19">
        <f t="shared" si="5"/>
        <v>7182</v>
      </c>
      <c r="L88" s="19">
        <f t="shared" si="6"/>
        <v>598.5</v>
      </c>
      <c r="N88" s="73">
        <f t="shared" si="7"/>
        <v>30564</v>
      </c>
    </row>
    <row r="89" spans="1:14" x14ac:dyDescent="0.2">
      <c r="A89" s="3">
        <v>85</v>
      </c>
      <c r="B89" s="3" t="s">
        <v>275</v>
      </c>
      <c r="C89" s="3" t="s">
        <v>276</v>
      </c>
      <c r="D89" s="3" t="s">
        <v>102</v>
      </c>
      <c r="E89" s="16">
        <v>41153</v>
      </c>
      <c r="F89" s="17">
        <v>13.3</v>
      </c>
      <c r="G89" s="17">
        <v>14.3</v>
      </c>
      <c r="H89" s="18">
        <v>13750</v>
      </c>
      <c r="I89" s="31">
        <v>148912</v>
      </c>
      <c r="J89" s="31">
        <v>165620</v>
      </c>
      <c r="K89" s="19">
        <f t="shared" si="5"/>
        <v>16708</v>
      </c>
      <c r="L89" s="19">
        <f t="shared" si="6"/>
        <v>1392.3333333333333</v>
      </c>
      <c r="N89" s="73">
        <f t="shared" si="7"/>
        <v>162663</v>
      </c>
    </row>
    <row r="90" spans="1:14" x14ac:dyDescent="0.2">
      <c r="A90" s="3">
        <v>86</v>
      </c>
      <c r="B90" s="3" t="s">
        <v>277</v>
      </c>
      <c r="C90" s="3" t="s">
        <v>278</v>
      </c>
      <c r="D90" s="3" t="s">
        <v>279</v>
      </c>
      <c r="E90" s="16">
        <v>44805</v>
      </c>
      <c r="F90" s="17">
        <v>3.3</v>
      </c>
      <c r="G90" s="17">
        <v>4.3</v>
      </c>
      <c r="H90" s="18">
        <v>11500</v>
      </c>
      <c r="I90" s="31">
        <v>19148</v>
      </c>
      <c r="J90" s="31">
        <v>24898</v>
      </c>
      <c r="K90" s="19">
        <f t="shared" si="5"/>
        <v>5750</v>
      </c>
      <c r="L90" s="19">
        <f t="shared" si="6"/>
        <v>479.16666666666669</v>
      </c>
      <c r="N90" s="73">
        <f t="shared" si="7"/>
        <v>24898</v>
      </c>
    </row>
    <row r="91" spans="1:14" x14ac:dyDescent="0.2">
      <c r="A91" s="3">
        <v>87</v>
      </c>
      <c r="B91" s="3" t="s">
        <v>280</v>
      </c>
      <c r="C91" s="3" t="s">
        <v>281</v>
      </c>
      <c r="D91" s="3" t="s">
        <v>121</v>
      </c>
      <c r="E91" s="16">
        <v>45901</v>
      </c>
      <c r="F91" s="17">
        <v>0.3</v>
      </c>
      <c r="G91" s="17">
        <v>1.3</v>
      </c>
      <c r="H91" s="18">
        <v>5500</v>
      </c>
      <c r="I91" s="31">
        <v>908</v>
      </c>
      <c r="J91" s="31">
        <v>3658</v>
      </c>
      <c r="K91" s="19">
        <f t="shared" si="5"/>
        <v>2750</v>
      </c>
      <c r="L91" s="19">
        <f t="shared" si="6"/>
        <v>229.16666666666666</v>
      </c>
      <c r="N91" s="73">
        <f t="shared" si="7"/>
        <v>3658</v>
      </c>
    </row>
    <row r="92" spans="1:14" x14ac:dyDescent="0.2">
      <c r="A92" s="3">
        <v>88</v>
      </c>
      <c r="B92" s="3" t="s">
        <v>282</v>
      </c>
      <c r="C92" s="3" t="s">
        <v>283</v>
      </c>
      <c r="D92" s="3" t="s">
        <v>86</v>
      </c>
      <c r="E92" s="16">
        <v>44805</v>
      </c>
      <c r="F92" s="17">
        <v>3.3</v>
      </c>
      <c r="G92" s="17">
        <v>4.3</v>
      </c>
      <c r="H92" s="18">
        <v>12250</v>
      </c>
      <c r="I92" s="31">
        <v>20396</v>
      </c>
      <c r="J92" s="31">
        <v>27062</v>
      </c>
      <c r="K92" s="19">
        <f t="shared" si="5"/>
        <v>6666</v>
      </c>
      <c r="L92" s="19">
        <f t="shared" si="6"/>
        <v>555.5</v>
      </c>
      <c r="N92" s="73">
        <f t="shared" si="7"/>
        <v>26521</v>
      </c>
    </row>
    <row r="93" spans="1:14" x14ac:dyDescent="0.2">
      <c r="A93" s="3">
        <v>89</v>
      </c>
      <c r="B93" s="3" t="s">
        <v>284</v>
      </c>
      <c r="C93" s="3" t="s">
        <v>285</v>
      </c>
      <c r="D93" s="3" t="s">
        <v>86</v>
      </c>
      <c r="E93" s="16">
        <v>41883</v>
      </c>
      <c r="F93" s="17">
        <v>11.3</v>
      </c>
      <c r="G93" s="17">
        <v>12.3</v>
      </c>
      <c r="H93" s="18">
        <v>14500</v>
      </c>
      <c r="I93" s="31">
        <v>128035</v>
      </c>
      <c r="J93" s="31">
        <v>144992</v>
      </c>
      <c r="K93" s="19">
        <f t="shared" si="5"/>
        <v>16957</v>
      </c>
      <c r="L93" s="19">
        <f t="shared" si="6"/>
        <v>1413.0833333333333</v>
      </c>
      <c r="N93" s="73">
        <f t="shared" si="7"/>
        <v>142535</v>
      </c>
    </row>
    <row r="94" spans="1:14" x14ac:dyDescent="0.2">
      <c r="A94" s="3">
        <v>90</v>
      </c>
      <c r="B94" s="3" t="s">
        <v>286</v>
      </c>
      <c r="C94" s="3" t="s">
        <v>287</v>
      </c>
      <c r="D94" s="3" t="s">
        <v>288</v>
      </c>
      <c r="E94" s="16">
        <v>45901</v>
      </c>
      <c r="F94" s="17">
        <v>0.3</v>
      </c>
      <c r="G94" s="17">
        <v>1.3</v>
      </c>
      <c r="H94" s="18">
        <v>5500</v>
      </c>
      <c r="I94" s="31">
        <v>908</v>
      </c>
      <c r="J94" s="31">
        <v>3658</v>
      </c>
      <c r="K94" s="19">
        <f t="shared" si="5"/>
        <v>2750</v>
      </c>
      <c r="L94" s="19">
        <f t="shared" si="6"/>
        <v>229.16666666666666</v>
      </c>
      <c r="N94" s="73">
        <f t="shared" si="7"/>
        <v>3658</v>
      </c>
    </row>
    <row r="95" spans="1:14" x14ac:dyDescent="0.2">
      <c r="A95" s="3">
        <v>91</v>
      </c>
      <c r="B95" s="3" t="s">
        <v>289</v>
      </c>
      <c r="C95" s="3" t="s">
        <v>290</v>
      </c>
      <c r="D95" s="3" t="s">
        <v>102</v>
      </c>
      <c r="E95" s="16">
        <v>45170</v>
      </c>
      <c r="F95" s="17">
        <v>2.2999999999999998</v>
      </c>
      <c r="G95" s="17">
        <v>3.3</v>
      </c>
      <c r="H95" s="18">
        <v>10800</v>
      </c>
      <c r="I95" s="31">
        <v>12582</v>
      </c>
      <c r="J95" s="31">
        <v>18315</v>
      </c>
      <c r="K95" s="19">
        <f t="shared" si="5"/>
        <v>5733</v>
      </c>
      <c r="L95" s="19">
        <f t="shared" si="6"/>
        <v>477.75</v>
      </c>
      <c r="N95" s="73">
        <f t="shared" si="7"/>
        <v>17982</v>
      </c>
    </row>
    <row r="96" spans="1:14" x14ac:dyDescent="0.2">
      <c r="A96" s="3">
        <v>92</v>
      </c>
      <c r="B96" s="3" t="s">
        <v>291</v>
      </c>
      <c r="C96" s="3" t="s">
        <v>292</v>
      </c>
      <c r="D96" s="3" t="s">
        <v>147</v>
      </c>
      <c r="E96" s="16">
        <v>45536</v>
      </c>
      <c r="F96" s="17">
        <v>1.3</v>
      </c>
      <c r="G96" s="17">
        <v>2.2999999999999998</v>
      </c>
      <c r="H96" s="18">
        <v>11500</v>
      </c>
      <c r="I96" s="31">
        <v>7648</v>
      </c>
      <c r="J96" s="31">
        <v>13689</v>
      </c>
      <c r="K96" s="19">
        <f t="shared" si="5"/>
        <v>6041</v>
      </c>
      <c r="L96" s="19">
        <f t="shared" si="6"/>
        <v>503.41666666666669</v>
      </c>
      <c r="N96" s="73">
        <f t="shared" si="7"/>
        <v>13398</v>
      </c>
    </row>
    <row r="97" spans="1:14" x14ac:dyDescent="0.2">
      <c r="A97" s="3">
        <v>93</v>
      </c>
      <c r="B97" s="3" t="s">
        <v>293</v>
      </c>
      <c r="C97" s="3" t="s">
        <v>294</v>
      </c>
      <c r="D97" s="3" t="s">
        <v>121</v>
      </c>
      <c r="E97" s="16">
        <v>41216</v>
      </c>
      <c r="F97" s="17">
        <v>13.2</v>
      </c>
      <c r="G97" s="17">
        <v>14.2</v>
      </c>
      <c r="H97" s="18">
        <v>9333</v>
      </c>
      <c r="I97" s="31">
        <v>99490</v>
      </c>
      <c r="J97" s="31">
        <v>111738</v>
      </c>
      <c r="K97" s="19">
        <f t="shared" si="5"/>
        <v>12248</v>
      </c>
      <c r="L97" s="19">
        <f t="shared" si="6"/>
        <v>1020.6666666666666</v>
      </c>
      <c r="N97" s="73">
        <f t="shared" si="7"/>
        <v>108823</v>
      </c>
    </row>
    <row r="98" spans="1:14" x14ac:dyDescent="0.2">
      <c r="A98" s="3">
        <v>94</v>
      </c>
      <c r="B98" s="3" t="s">
        <v>295</v>
      </c>
      <c r="C98" s="3" t="s">
        <v>296</v>
      </c>
      <c r="D98" s="3" t="s">
        <v>86</v>
      </c>
      <c r="E98" s="16">
        <v>45170</v>
      </c>
      <c r="F98" s="17">
        <v>2.2999999999999998</v>
      </c>
      <c r="G98" s="17">
        <v>3.3</v>
      </c>
      <c r="H98" s="18">
        <v>11750</v>
      </c>
      <c r="I98" s="31">
        <v>13689</v>
      </c>
      <c r="J98" s="31">
        <v>19980</v>
      </c>
      <c r="K98" s="19">
        <f t="shared" si="5"/>
        <v>6291</v>
      </c>
      <c r="L98" s="19">
        <f t="shared" si="6"/>
        <v>524.25</v>
      </c>
      <c r="N98" s="73">
        <f t="shared" si="7"/>
        <v>19564</v>
      </c>
    </row>
    <row r="99" spans="1:14" x14ac:dyDescent="0.2">
      <c r="A99" s="3">
        <v>95</v>
      </c>
      <c r="B99" s="3" t="s">
        <v>297</v>
      </c>
      <c r="C99" s="3" t="s">
        <v>298</v>
      </c>
      <c r="D99" s="3" t="s">
        <v>121</v>
      </c>
      <c r="E99" s="16">
        <v>44440</v>
      </c>
      <c r="F99" s="17">
        <v>4.3</v>
      </c>
      <c r="G99" s="17">
        <v>5.3</v>
      </c>
      <c r="H99" s="18">
        <v>12000</v>
      </c>
      <c r="I99" s="31">
        <v>25980</v>
      </c>
      <c r="J99" s="31">
        <v>34668</v>
      </c>
      <c r="K99" s="19">
        <f t="shared" si="5"/>
        <v>8688</v>
      </c>
      <c r="L99" s="19">
        <f t="shared" si="6"/>
        <v>724</v>
      </c>
      <c r="N99" s="73">
        <f t="shared" si="7"/>
        <v>33960</v>
      </c>
    </row>
    <row r="100" spans="1:14" x14ac:dyDescent="0.2">
      <c r="A100" s="3">
        <v>96</v>
      </c>
      <c r="B100" s="3" t="s">
        <v>299</v>
      </c>
      <c r="C100" s="3" t="s">
        <v>300</v>
      </c>
      <c r="D100" s="3" t="s">
        <v>102</v>
      </c>
      <c r="E100" s="16">
        <v>45170</v>
      </c>
      <c r="F100" s="17">
        <v>2.2999999999999998</v>
      </c>
      <c r="G100" s="17">
        <v>3.3</v>
      </c>
      <c r="H100" s="18">
        <v>11250</v>
      </c>
      <c r="I100" s="31">
        <v>13106</v>
      </c>
      <c r="J100" s="31">
        <v>19148</v>
      </c>
      <c r="K100" s="19">
        <f t="shared" si="5"/>
        <v>6042</v>
      </c>
      <c r="L100" s="19">
        <f t="shared" si="6"/>
        <v>503.5</v>
      </c>
      <c r="N100" s="73">
        <f t="shared" si="7"/>
        <v>18731</v>
      </c>
    </row>
    <row r="101" spans="1:14" x14ac:dyDescent="0.2">
      <c r="A101" s="3">
        <v>97</v>
      </c>
      <c r="B101" s="3" t="s">
        <v>301</v>
      </c>
      <c r="C101" s="3" t="s">
        <v>302</v>
      </c>
      <c r="D101" s="3" t="s">
        <v>303</v>
      </c>
      <c r="E101" s="16">
        <v>44805</v>
      </c>
      <c r="F101" s="17">
        <v>3.3</v>
      </c>
      <c r="G101" s="17">
        <v>4.3</v>
      </c>
      <c r="H101" s="18">
        <v>16750</v>
      </c>
      <c r="I101" s="31">
        <v>27889</v>
      </c>
      <c r="J101" s="31">
        <v>36805</v>
      </c>
      <c r="K101" s="19">
        <f t="shared" ref="K101:K132" si="8">J101-I101</f>
        <v>8916</v>
      </c>
      <c r="L101" s="19">
        <f t="shared" ref="L101:L132" si="9">K101/12</f>
        <v>743</v>
      </c>
      <c r="N101" s="73">
        <f t="shared" si="7"/>
        <v>36264</v>
      </c>
    </row>
    <row r="102" spans="1:14" x14ac:dyDescent="0.2">
      <c r="A102" s="3">
        <v>98</v>
      </c>
      <c r="B102" s="3" t="s">
        <v>304</v>
      </c>
      <c r="C102" s="3" t="s">
        <v>305</v>
      </c>
      <c r="D102" s="3" t="s">
        <v>306</v>
      </c>
      <c r="E102" s="16">
        <v>44805</v>
      </c>
      <c r="F102" s="17">
        <v>3.3</v>
      </c>
      <c r="G102" s="17">
        <v>4.3</v>
      </c>
      <c r="H102" s="18">
        <v>11750</v>
      </c>
      <c r="I102" s="31">
        <v>19564</v>
      </c>
      <c r="J102" s="31">
        <v>25980</v>
      </c>
      <c r="K102" s="19">
        <f t="shared" si="8"/>
        <v>6416</v>
      </c>
      <c r="L102" s="19">
        <f t="shared" si="9"/>
        <v>534.66666666666663</v>
      </c>
      <c r="N102" s="73">
        <f t="shared" si="7"/>
        <v>25439</v>
      </c>
    </row>
    <row r="103" spans="1:14" x14ac:dyDescent="0.2">
      <c r="A103" s="3">
        <v>99</v>
      </c>
      <c r="B103" s="3" t="s">
        <v>307</v>
      </c>
      <c r="C103" s="3" t="s">
        <v>308</v>
      </c>
      <c r="D103" s="3" t="s">
        <v>86</v>
      </c>
      <c r="E103" s="16">
        <v>43344</v>
      </c>
      <c r="F103" s="17">
        <v>7.3</v>
      </c>
      <c r="G103" s="17">
        <v>8.3000000000000007</v>
      </c>
      <c r="H103" s="18">
        <v>12750</v>
      </c>
      <c r="I103" s="31">
        <v>61582</v>
      </c>
      <c r="J103" s="31">
        <v>75790</v>
      </c>
      <c r="K103" s="19">
        <f t="shared" si="8"/>
        <v>14208</v>
      </c>
      <c r="L103" s="19">
        <f t="shared" si="9"/>
        <v>1184</v>
      </c>
      <c r="N103" s="73">
        <f t="shared" si="7"/>
        <v>74333</v>
      </c>
    </row>
    <row r="104" spans="1:14" x14ac:dyDescent="0.2">
      <c r="A104" s="3">
        <v>100</v>
      </c>
      <c r="B104" s="3" t="s">
        <v>309</v>
      </c>
      <c r="C104" s="3" t="s">
        <v>310</v>
      </c>
      <c r="D104" s="3" t="s">
        <v>86</v>
      </c>
      <c r="E104" s="16">
        <v>44805</v>
      </c>
      <c r="F104" s="17">
        <v>3.3</v>
      </c>
      <c r="G104" s="17">
        <v>4.3</v>
      </c>
      <c r="H104" s="18">
        <v>13000</v>
      </c>
      <c r="I104" s="31">
        <v>21645</v>
      </c>
      <c r="J104" s="31">
        <v>28686</v>
      </c>
      <c r="K104" s="19">
        <f t="shared" si="8"/>
        <v>7041</v>
      </c>
      <c r="L104" s="19">
        <f t="shared" si="9"/>
        <v>586.75</v>
      </c>
      <c r="N104" s="73">
        <f t="shared" si="7"/>
        <v>28145</v>
      </c>
    </row>
    <row r="105" spans="1:14" x14ac:dyDescent="0.2">
      <c r="A105" s="3">
        <v>101</v>
      </c>
      <c r="B105" s="3" t="s">
        <v>311</v>
      </c>
      <c r="C105" s="3" t="s">
        <v>312</v>
      </c>
      <c r="D105" s="3" t="s">
        <v>121</v>
      </c>
      <c r="E105" s="16">
        <v>44440</v>
      </c>
      <c r="F105" s="17">
        <v>4.3</v>
      </c>
      <c r="G105" s="17">
        <v>5.3</v>
      </c>
      <c r="H105" s="18">
        <v>13500</v>
      </c>
      <c r="I105" s="31">
        <v>29228</v>
      </c>
      <c r="J105" s="31">
        <v>38912</v>
      </c>
      <c r="K105" s="19">
        <f t="shared" si="8"/>
        <v>9684</v>
      </c>
      <c r="L105" s="19">
        <f t="shared" si="9"/>
        <v>807</v>
      </c>
      <c r="N105" s="73">
        <f t="shared" si="7"/>
        <v>38205</v>
      </c>
    </row>
    <row r="106" spans="1:14" x14ac:dyDescent="0.2">
      <c r="A106" s="3">
        <v>102</v>
      </c>
      <c r="B106" s="3" t="s">
        <v>313</v>
      </c>
      <c r="C106" s="3" t="s">
        <v>314</v>
      </c>
      <c r="D106" s="3" t="s">
        <v>74</v>
      </c>
      <c r="E106" s="16">
        <v>45901</v>
      </c>
      <c r="F106" s="17">
        <v>0.3</v>
      </c>
      <c r="G106" s="17">
        <v>1.3</v>
      </c>
      <c r="H106" s="18">
        <v>10000</v>
      </c>
      <c r="I106" s="31">
        <v>1650</v>
      </c>
      <c r="J106" s="31">
        <v>6650</v>
      </c>
      <c r="K106" s="19">
        <f t="shared" si="8"/>
        <v>5000</v>
      </c>
      <c r="L106" s="19">
        <f t="shared" si="9"/>
        <v>416.66666666666669</v>
      </c>
      <c r="N106" s="73">
        <f t="shared" si="7"/>
        <v>6650</v>
      </c>
    </row>
    <row r="107" spans="1:14" x14ac:dyDescent="0.2">
      <c r="A107" s="3">
        <v>103</v>
      </c>
      <c r="B107" s="3" t="s">
        <v>315</v>
      </c>
      <c r="C107" s="3" t="s">
        <v>281</v>
      </c>
      <c r="D107" s="3" t="s">
        <v>86</v>
      </c>
      <c r="E107" s="16">
        <v>45901</v>
      </c>
      <c r="F107" s="17">
        <v>0.3</v>
      </c>
      <c r="G107" s="17">
        <v>1.3</v>
      </c>
      <c r="H107" s="18">
        <v>11000</v>
      </c>
      <c r="I107" s="31">
        <v>1815</v>
      </c>
      <c r="J107" s="31">
        <v>7315</v>
      </c>
      <c r="K107" s="19">
        <f t="shared" si="8"/>
        <v>5500</v>
      </c>
      <c r="L107" s="19">
        <f t="shared" si="9"/>
        <v>458.33333333333331</v>
      </c>
      <c r="N107" s="73">
        <f t="shared" si="7"/>
        <v>7315</v>
      </c>
    </row>
    <row r="108" spans="1:14" x14ac:dyDescent="0.2">
      <c r="A108" s="3">
        <v>104</v>
      </c>
      <c r="B108" s="3" t="s">
        <v>316</v>
      </c>
      <c r="C108" s="3" t="s">
        <v>317</v>
      </c>
      <c r="D108" s="3" t="s">
        <v>86</v>
      </c>
      <c r="E108" s="16">
        <v>45536</v>
      </c>
      <c r="F108" s="17">
        <v>1.3</v>
      </c>
      <c r="G108" s="17">
        <v>2.2999999999999998</v>
      </c>
      <c r="H108" s="18">
        <v>11250</v>
      </c>
      <c r="I108" s="31">
        <v>7481</v>
      </c>
      <c r="J108" s="31">
        <v>13398</v>
      </c>
      <c r="K108" s="19">
        <f t="shared" si="8"/>
        <v>5917</v>
      </c>
      <c r="L108" s="19">
        <f t="shared" si="9"/>
        <v>493.08333333333331</v>
      </c>
      <c r="N108" s="73">
        <f t="shared" si="7"/>
        <v>13106</v>
      </c>
    </row>
    <row r="109" spans="1:14" x14ac:dyDescent="0.2">
      <c r="A109" s="3">
        <v>105</v>
      </c>
      <c r="B109" s="3" t="s">
        <v>318</v>
      </c>
      <c r="C109" s="3" t="s">
        <v>319</v>
      </c>
      <c r="D109" s="3" t="s">
        <v>159</v>
      </c>
      <c r="E109" s="16">
        <v>44805</v>
      </c>
      <c r="F109" s="17">
        <v>3.3</v>
      </c>
      <c r="G109" s="17">
        <v>4.3</v>
      </c>
      <c r="H109" s="18">
        <v>9200</v>
      </c>
      <c r="I109" s="31">
        <v>15318</v>
      </c>
      <c r="J109" s="31">
        <v>20351</v>
      </c>
      <c r="K109" s="19">
        <f t="shared" si="8"/>
        <v>5033</v>
      </c>
      <c r="L109" s="19">
        <f t="shared" si="9"/>
        <v>419.41666666666669</v>
      </c>
      <c r="N109" s="73">
        <f t="shared" si="7"/>
        <v>19918</v>
      </c>
    </row>
    <row r="110" spans="1:14" x14ac:dyDescent="0.2">
      <c r="A110" s="3">
        <v>106</v>
      </c>
      <c r="B110" s="3" t="s">
        <v>320</v>
      </c>
      <c r="C110" s="3" t="s">
        <v>302</v>
      </c>
      <c r="D110" s="3" t="s">
        <v>74</v>
      </c>
      <c r="E110" s="16">
        <v>45901</v>
      </c>
      <c r="F110" s="17">
        <v>0.3</v>
      </c>
      <c r="G110" s="17">
        <v>1.3</v>
      </c>
      <c r="H110" s="18">
        <v>11250</v>
      </c>
      <c r="I110" s="31">
        <v>1856</v>
      </c>
      <c r="J110" s="31">
        <v>7481</v>
      </c>
      <c r="K110" s="19">
        <f t="shared" si="8"/>
        <v>5625</v>
      </c>
      <c r="L110" s="19">
        <f t="shared" si="9"/>
        <v>468.75</v>
      </c>
      <c r="N110" s="73">
        <f t="shared" si="7"/>
        <v>7481</v>
      </c>
    </row>
    <row r="111" spans="1:14" x14ac:dyDescent="0.2">
      <c r="A111" s="3">
        <v>107</v>
      </c>
      <c r="B111" s="3" t="s">
        <v>321</v>
      </c>
      <c r="C111" s="3" t="s">
        <v>234</v>
      </c>
      <c r="D111" s="3" t="s">
        <v>121</v>
      </c>
      <c r="E111" s="16">
        <v>38961</v>
      </c>
      <c r="F111" s="17">
        <v>19.3</v>
      </c>
      <c r="G111" s="17">
        <v>20.3</v>
      </c>
      <c r="H111" s="18">
        <v>13750</v>
      </c>
      <c r="I111" s="31">
        <v>231412</v>
      </c>
      <c r="J111" s="31">
        <v>249620</v>
      </c>
      <c r="K111" s="19">
        <f t="shared" si="8"/>
        <v>18208</v>
      </c>
      <c r="L111" s="19">
        <f t="shared" si="9"/>
        <v>1517.3333333333333</v>
      </c>
      <c r="N111" s="73">
        <f t="shared" si="7"/>
        <v>245163</v>
      </c>
    </row>
    <row r="112" spans="1:14" x14ac:dyDescent="0.2">
      <c r="A112" s="3">
        <v>108</v>
      </c>
      <c r="B112" s="3" t="s">
        <v>322</v>
      </c>
      <c r="C112" s="3" t="s">
        <v>213</v>
      </c>
      <c r="D112" s="3" t="s">
        <v>132</v>
      </c>
      <c r="E112" s="16">
        <v>40422</v>
      </c>
      <c r="F112" s="17">
        <v>15.3</v>
      </c>
      <c r="G112" s="17">
        <v>16.3</v>
      </c>
      <c r="H112" s="18">
        <v>13500</v>
      </c>
      <c r="I112" s="31">
        <v>173205</v>
      </c>
      <c r="J112" s="31">
        <v>190162</v>
      </c>
      <c r="K112" s="19">
        <f t="shared" si="8"/>
        <v>16957</v>
      </c>
      <c r="L112" s="19">
        <f t="shared" si="9"/>
        <v>1413.0833333333333</v>
      </c>
      <c r="N112" s="73">
        <f t="shared" si="7"/>
        <v>186705</v>
      </c>
    </row>
    <row r="113" spans="1:14" x14ac:dyDescent="0.2">
      <c r="A113" s="3">
        <v>109</v>
      </c>
      <c r="B113" s="3" t="s">
        <v>323</v>
      </c>
      <c r="C113" s="3" t="s">
        <v>324</v>
      </c>
      <c r="D113" s="3" t="s">
        <v>325</v>
      </c>
      <c r="E113" s="16">
        <v>38376</v>
      </c>
      <c r="F113" s="17">
        <v>20.9</v>
      </c>
      <c r="G113" s="17">
        <v>21.9</v>
      </c>
      <c r="H113" s="18">
        <v>17250</v>
      </c>
      <c r="I113" s="31">
        <v>317918</v>
      </c>
      <c r="J113" s="31">
        <v>340025</v>
      </c>
      <c r="K113" s="19">
        <f t="shared" si="8"/>
        <v>22107</v>
      </c>
      <c r="L113" s="19">
        <f t="shared" si="9"/>
        <v>1842.25</v>
      </c>
      <c r="N113" s="73">
        <f t="shared" si="7"/>
        <v>335340</v>
      </c>
    </row>
    <row r="114" spans="1:14" x14ac:dyDescent="0.2">
      <c r="A114" s="3">
        <v>110</v>
      </c>
      <c r="B114" s="3" t="s">
        <v>326</v>
      </c>
      <c r="C114" s="3" t="s">
        <v>327</v>
      </c>
      <c r="D114" s="3" t="s">
        <v>121</v>
      </c>
      <c r="E114" s="16">
        <v>44440</v>
      </c>
      <c r="F114" s="17">
        <v>4.3</v>
      </c>
      <c r="G114" s="17">
        <v>5.3</v>
      </c>
      <c r="H114" s="18">
        <v>13000</v>
      </c>
      <c r="I114" s="31">
        <v>28145</v>
      </c>
      <c r="J114" s="31">
        <v>37498</v>
      </c>
      <c r="K114" s="19">
        <f t="shared" si="8"/>
        <v>9353</v>
      </c>
      <c r="L114" s="19">
        <f t="shared" si="9"/>
        <v>779.41666666666663</v>
      </c>
      <c r="N114" s="73">
        <f t="shared" si="7"/>
        <v>36790</v>
      </c>
    </row>
    <row r="115" spans="1:14" x14ac:dyDescent="0.2">
      <c r="A115" s="3">
        <v>111</v>
      </c>
      <c r="B115" s="3" t="s">
        <v>328</v>
      </c>
      <c r="C115" s="3" t="s">
        <v>329</v>
      </c>
      <c r="D115" s="3" t="s">
        <v>121</v>
      </c>
      <c r="E115" s="16">
        <v>44075</v>
      </c>
      <c r="F115" s="17">
        <v>5.3</v>
      </c>
      <c r="G115" s="17">
        <v>6.3</v>
      </c>
      <c r="H115" s="18">
        <v>12500</v>
      </c>
      <c r="I115" s="31">
        <v>35375</v>
      </c>
      <c r="J115" s="31">
        <v>48832</v>
      </c>
      <c r="K115" s="19">
        <f t="shared" si="8"/>
        <v>13457</v>
      </c>
      <c r="L115" s="19">
        <f t="shared" si="9"/>
        <v>1121.4166666666667</v>
      </c>
      <c r="N115" s="73">
        <f t="shared" si="7"/>
        <v>47875</v>
      </c>
    </row>
    <row r="116" spans="1:14" x14ac:dyDescent="0.2">
      <c r="A116" s="3">
        <v>112</v>
      </c>
      <c r="B116" s="3" t="s">
        <v>330</v>
      </c>
      <c r="C116" s="3" t="s">
        <v>331</v>
      </c>
      <c r="D116" s="3" t="s">
        <v>332</v>
      </c>
      <c r="E116" s="16">
        <v>45901</v>
      </c>
      <c r="F116" s="17">
        <v>0.3</v>
      </c>
      <c r="G116" s="17">
        <v>1.3</v>
      </c>
      <c r="H116" s="18">
        <v>11500</v>
      </c>
      <c r="I116" s="31">
        <v>1898</v>
      </c>
      <c r="J116" s="31">
        <v>7648</v>
      </c>
      <c r="K116" s="19">
        <f t="shared" si="8"/>
        <v>5750</v>
      </c>
      <c r="L116" s="19">
        <f t="shared" si="9"/>
        <v>479.16666666666669</v>
      </c>
      <c r="N116" s="73">
        <f t="shared" si="7"/>
        <v>7648</v>
      </c>
    </row>
    <row r="117" spans="1:14" x14ac:dyDescent="0.2">
      <c r="A117" s="3">
        <v>113</v>
      </c>
      <c r="B117" s="3" t="s">
        <v>333</v>
      </c>
      <c r="C117" s="3" t="s">
        <v>334</v>
      </c>
      <c r="D117" s="3" t="s">
        <v>121</v>
      </c>
      <c r="E117" s="16">
        <v>44990</v>
      </c>
      <c r="F117" s="17">
        <v>2.8</v>
      </c>
      <c r="G117" s="17">
        <v>3.8</v>
      </c>
      <c r="H117" s="18">
        <v>11750</v>
      </c>
      <c r="I117" s="31">
        <v>16626</v>
      </c>
      <c r="J117" s="31">
        <v>22920</v>
      </c>
      <c r="K117" s="19">
        <f t="shared" si="8"/>
        <v>6294</v>
      </c>
      <c r="L117" s="19">
        <f t="shared" si="9"/>
        <v>524.5</v>
      </c>
      <c r="N117" s="73">
        <f t="shared" si="7"/>
        <v>22443</v>
      </c>
    </row>
    <row r="118" spans="1:14" x14ac:dyDescent="0.2">
      <c r="A118" s="3">
        <v>114</v>
      </c>
      <c r="B118" s="3" t="s">
        <v>335</v>
      </c>
      <c r="C118" s="3" t="s">
        <v>336</v>
      </c>
      <c r="D118" s="3" t="s">
        <v>132</v>
      </c>
      <c r="E118" s="16">
        <v>45901</v>
      </c>
      <c r="F118" s="17">
        <v>0.3</v>
      </c>
      <c r="G118" s="17">
        <v>1.3</v>
      </c>
      <c r="H118" s="18">
        <v>5200</v>
      </c>
      <c r="I118" s="31">
        <v>858</v>
      </c>
      <c r="J118" s="31">
        <v>3458</v>
      </c>
      <c r="K118" s="19">
        <f t="shared" si="8"/>
        <v>2600</v>
      </c>
      <c r="L118" s="19">
        <f t="shared" si="9"/>
        <v>216.66666666666666</v>
      </c>
      <c r="N118" s="73">
        <f t="shared" si="7"/>
        <v>3458</v>
      </c>
    </row>
    <row r="119" spans="1:14" x14ac:dyDescent="0.2">
      <c r="A119" s="3">
        <v>115</v>
      </c>
      <c r="B119" s="3" t="s">
        <v>337</v>
      </c>
      <c r="C119" s="3" t="s">
        <v>338</v>
      </c>
      <c r="D119" s="3" t="s">
        <v>121</v>
      </c>
      <c r="E119" s="16">
        <v>43344</v>
      </c>
      <c r="F119" s="17">
        <v>7.3</v>
      </c>
      <c r="G119" s="17">
        <v>8.3000000000000007</v>
      </c>
      <c r="H119" s="18">
        <v>12750</v>
      </c>
      <c r="I119" s="31">
        <v>61582</v>
      </c>
      <c r="J119" s="31">
        <v>75790</v>
      </c>
      <c r="K119" s="19">
        <f t="shared" si="8"/>
        <v>14208</v>
      </c>
      <c r="L119" s="19">
        <f t="shared" si="9"/>
        <v>1184</v>
      </c>
      <c r="N119" s="73">
        <f t="shared" si="7"/>
        <v>74333</v>
      </c>
    </row>
    <row r="120" spans="1:14" x14ac:dyDescent="0.2">
      <c r="A120" s="3">
        <v>116</v>
      </c>
      <c r="B120" s="3" t="s">
        <v>339</v>
      </c>
      <c r="C120" s="3" t="s">
        <v>340</v>
      </c>
      <c r="D120" s="3" t="s">
        <v>341</v>
      </c>
      <c r="E120" s="16">
        <v>45907</v>
      </c>
      <c r="F120" s="17">
        <v>0.3</v>
      </c>
      <c r="G120" s="17">
        <v>1.3</v>
      </c>
      <c r="H120" s="18">
        <v>12750</v>
      </c>
      <c r="I120" s="31">
        <v>1976</v>
      </c>
      <c r="J120" s="31">
        <v>8351</v>
      </c>
      <c r="K120" s="19">
        <f t="shared" si="8"/>
        <v>6375</v>
      </c>
      <c r="L120" s="19">
        <f t="shared" si="9"/>
        <v>531.25</v>
      </c>
      <c r="N120" s="73">
        <f t="shared" si="7"/>
        <v>8415</v>
      </c>
    </row>
    <row r="121" spans="1:14" x14ac:dyDescent="0.2">
      <c r="A121" s="3">
        <v>117</v>
      </c>
      <c r="B121" s="3" t="s">
        <v>342</v>
      </c>
      <c r="C121" s="3" t="s">
        <v>129</v>
      </c>
      <c r="D121" s="3" t="s">
        <v>343</v>
      </c>
      <c r="E121" s="16">
        <v>44805</v>
      </c>
      <c r="F121" s="17">
        <v>3.3</v>
      </c>
      <c r="G121" s="17">
        <v>4.3</v>
      </c>
      <c r="H121" s="18">
        <v>9600</v>
      </c>
      <c r="I121" s="31">
        <v>15984</v>
      </c>
      <c r="J121" s="31">
        <v>21217</v>
      </c>
      <c r="K121" s="19">
        <f t="shared" si="8"/>
        <v>5233</v>
      </c>
      <c r="L121" s="19">
        <f t="shared" si="9"/>
        <v>436.08333333333331</v>
      </c>
      <c r="N121" s="73">
        <f t="shared" si="7"/>
        <v>20784</v>
      </c>
    </row>
    <row r="122" spans="1:14" x14ac:dyDescent="0.2">
      <c r="A122" s="3">
        <v>118</v>
      </c>
      <c r="B122" s="3" t="s">
        <v>344</v>
      </c>
      <c r="C122" s="3" t="s">
        <v>345</v>
      </c>
      <c r="D122" s="3" t="s">
        <v>346</v>
      </c>
      <c r="E122" s="16">
        <v>45170</v>
      </c>
      <c r="F122" s="17">
        <v>2.2999999999999998</v>
      </c>
      <c r="G122" s="17">
        <v>3.3</v>
      </c>
      <c r="H122" s="18">
        <v>25500</v>
      </c>
      <c r="I122" s="31">
        <v>29708</v>
      </c>
      <c r="J122" s="31">
        <v>42874</v>
      </c>
      <c r="K122" s="19">
        <f t="shared" si="8"/>
        <v>13166</v>
      </c>
      <c r="L122" s="19">
        <f t="shared" si="9"/>
        <v>1097.1666666666667</v>
      </c>
      <c r="N122" s="73">
        <f t="shared" si="7"/>
        <v>42458</v>
      </c>
    </row>
    <row r="123" spans="1:14" x14ac:dyDescent="0.2">
      <c r="A123" s="3">
        <v>119</v>
      </c>
      <c r="B123" s="3" t="s">
        <v>344</v>
      </c>
      <c r="C123" s="3" t="s">
        <v>347</v>
      </c>
      <c r="D123" s="3" t="s">
        <v>159</v>
      </c>
      <c r="E123" s="16">
        <v>45170</v>
      </c>
      <c r="F123" s="17">
        <v>2.2999999999999998</v>
      </c>
      <c r="G123" s="17">
        <v>3.3</v>
      </c>
      <c r="H123" s="18">
        <v>9800</v>
      </c>
      <c r="I123" s="31">
        <v>11417</v>
      </c>
      <c r="J123" s="31">
        <v>16650</v>
      </c>
      <c r="K123" s="19">
        <f t="shared" si="8"/>
        <v>5233</v>
      </c>
      <c r="L123" s="19">
        <f t="shared" si="9"/>
        <v>436.08333333333331</v>
      </c>
      <c r="N123" s="73">
        <f t="shared" si="7"/>
        <v>16317</v>
      </c>
    </row>
    <row r="124" spans="1:14" x14ac:dyDescent="0.2">
      <c r="A124" s="3">
        <v>120</v>
      </c>
      <c r="B124" s="3" t="s">
        <v>348</v>
      </c>
      <c r="C124" s="3" t="s">
        <v>285</v>
      </c>
      <c r="D124" s="3" t="s">
        <v>349</v>
      </c>
      <c r="E124" s="16">
        <v>44075</v>
      </c>
      <c r="F124" s="17">
        <v>5.3</v>
      </c>
      <c r="G124" s="17">
        <v>6.3</v>
      </c>
      <c r="H124" s="18">
        <v>13500</v>
      </c>
      <c r="I124" s="31">
        <v>38205</v>
      </c>
      <c r="J124" s="31">
        <v>52662</v>
      </c>
      <c r="K124" s="19">
        <f t="shared" si="8"/>
        <v>14457</v>
      </c>
      <c r="L124" s="19">
        <f t="shared" si="9"/>
        <v>1204.75</v>
      </c>
      <c r="N124" s="73">
        <f t="shared" si="7"/>
        <v>51705</v>
      </c>
    </row>
    <row r="125" spans="1:14" x14ac:dyDescent="0.2">
      <c r="A125" s="3">
        <v>121</v>
      </c>
      <c r="B125" s="3" t="s">
        <v>350</v>
      </c>
      <c r="C125" s="3" t="s">
        <v>351</v>
      </c>
      <c r="D125" s="3" t="s">
        <v>121</v>
      </c>
      <c r="E125" s="16">
        <v>45298</v>
      </c>
      <c r="F125" s="17">
        <v>2</v>
      </c>
      <c r="G125" s="17">
        <v>3</v>
      </c>
      <c r="H125" s="18">
        <v>12000</v>
      </c>
      <c r="I125" s="31">
        <v>11880</v>
      </c>
      <c r="J125" s="31">
        <v>17880</v>
      </c>
      <c r="K125" s="19">
        <f t="shared" si="8"/>
        <v>6000</v>
      </c>
      <c r="L125" s="19">
        <f t="shared" si="9"/>
        <v>500</v>
      </c>
      <c r="N125" s="73">
        <f t="shared" si="7"/>
        <v>17880</v>
      </c>
    </row>
    <row r="126" spans="1:14" x14ac:dyDescent="0.2">
      <c r="A126" s="3">
        <v>122</v>
      </c>
      <c r="B126" s="3" t="s">
        <v>352</v>
      </c>
      <c r="C126" s="3" t="s">
        <v>353</v>
      </c>
      <c r="D126" s="3" t="s">
        <v>159</v>
      </c>
      <c r="E126" s="16">
        <v>44875</v>
      </c>
      <c r="F126" s="17">
        <v>3.1</v>
      </c>
      <c r="G126" s="17">
        <v>4.0999999999999996</v>
      </c>
      <c r="H126" s="18">
        <v>9600</v>
      </c>
      <c r="I126" s="31">
        <v>15072</v>
      </c>
      <c r="J126" s="31">
        <v>20286</v>
      </c>
      <c r="K126" s="19">
        <f t="shared" si="8"/>
        <v>5214</v>
      </c>
      <c r="L126" s="19">
        <f t="shared" si="9"/>
        <v>434.5</v>
      </c>
      <c r="N126" s="73">
        <f t="shared" si="7"/>
        <v>19872</v>
      </c>
    </row>
    <row r="127" spans="1:14" x14ac:dyDescent="0.2">
      <c r="A127" s="3">
        <v>123</v>
      </c>
      <c r="B127" s="3" t="s">
        <v>354</v>
      </c>
      <c r="C127" s="3" t="s">
        <v>241</v>
      </c>
      <c r="D127" s="3" t="s">
        <v>355</v>
      </c>
      <c r="E127" s="16">
        <v>44440</v>
      </c>
      <c r="F127" s="17">
        <v>4.3</v>
      </c>
      <c r="G127" s="17">
        <v>5.3</v>
      </c>
      <c r="H127" s="18">
        <v>16000</v>
      </c>
      <c r="I127" s="31">
        <v>34640</v>
      </c>
      <c r="J127" s="31">
        <v>45280</v>
      </c>
      <c r="K127" s="19">
        <f t="shared" si="8"/>
        <v>10640</v>
      </c>
      <c r="L127" s="19">
        <f t="shared" si="9"/>
        <v>886.66666666666663</v>
      </c>
      <c r="N127" s="73">
        <f t="shared" si="7"/>
        <v>45280</v>
      </c>
    </row>
    <row r="128" spans="1:14" x14ac:dyDescent="0.2">
      <c r="A128" s="3">
        <v>124</v>
      </c>
      <c r="B128" s="3" t="s">
        <v>357</v>
      </c>
      <c r="C128" s="3" t="s">
        <v>358</v>
      </c>
      <c r="D128" s="3" t="s">
        <v>132</v>
      </c>
      <c r="E128" s="16">
        <v>44440</v>
      </c>
      <c r="F128" s="17">
        <v>4.3</v>
      </c>
      <c r="G128" s="17">
        <v>5.3</v>
      </c>
      <c r="H128" s="18">
        <v>11250</v>
      </c>
      <c r="I128" s="31">
        <v>24356</v>
      </c>
      <c r="J128" s="31">
        <v>32545</v>
      </c>
      <c r="K128" s="19">
        <f t="shared" si="8"/>
        <v>8189</v>
      </c>
      <c r="L128" s="19">
        <f t="shared" si="9"/>
        <v>682.41666666666663</v>
      </c>
      <c r="N128" s="73">
        <f t="shared" si="7"/>
        <v>31838</v>
      </c>
    </row>
    <row r="129" spans="1:14" x14ac:dyDescent="0.2">
      <c r="A129" s="3">
        <v>125</v>
      </c>
      <c r="B129" s="3" t="s">
        <v>359</v>
      </c>
      <c r="C129" s="3" t="s">
        <v>360</v>
      </c>
      <c r="D129" s="3" t="s">
        <v>237</v>
      </c>
      <c r="E129" s="16">
        <v>44440</v>
      </c>
      <c r="F129" s="17">
        <v>4.3</v>
      </c>
      <c r="G129" s="17">
        <v>5.3</v>
      </c>
      <c r="H129" s="18">
        <v>12500</v>
      </c>
      <c r="I129" s="31">
        <v>27062</v>
      </c>
      <c r="J129" s="31">
        <v>36082</v>
      </c>
      <c r="K129" s="19">
        <f t="shared" si="8"/>
        <v>9020</v>
      </c>
      <c r="L129" s="19">
        <f t="shared" si="9"/>
        <v>751.66666666666663</v>
      </c>
      <c r="N129" s="73">
        <f t="shared" si="7"/>
        <v>35375</v>
      </c>
    </row>
    <row r="130" spans="1:14" x14ac:dyDescent="0.2">
      <c r="A130" s="3">
        <v>126</v>
      </c>
      <c r="B130" s="3" t="s">
        <v>361</v>
      </c>
      <c r="C130" s="3" t="s">
        <v>97</v>
      </c>
      <c r="D130" s="3" t="s">
        <v>159</v>
      </c>
      <c r="E130" s="16">
        <v>42248</v>
      </c>
      <c r="F130" s="17">
        <v>10.3</v>
      </c>
      <c r="G130" s="17">
        <v>11.3</v>
      </c>
      <c r="H130" s="18">
        <v>10600</v>
      </c>
      <c r="I130" s="31">
        <v>82998</v>
      </c>
      <c r="J130" s="31">
        <v>95364</v>
      </c>
      <c r="K130" s="19">
        <f t="shared" si="8"/>
        <v>12366</v>
      </c>
      <c r="L130" s="19">
        <f t="shared" si="9"/>
        <v>1030.5</v>
      </c>
      <c r="N130" s="73">
        <f t="shared" si="7"/>
        <v>93598</v>
      </c>
    </row>
    <row r="131" spans="1:14" x14ac:dyDescent="0.2">
      <c r="A131" s="3">
        <v>127</v>
      </c>
      <c r="B131" s="3" t="s">
        <v>362</v>
      </c>
      <c r="C131" s="3" t="s">
        <v>363</v>
      </c>
      <c r="D131" s="3" t="s">
        <v>265</v>
      </c>
      <c r="E131" s="16">
        <v>43709</v>
      </c>
      <c r="F131" s="17">
        <v>6.3</v>
      </c>
      <c r="G131" s="17">
        <v>7.3</v>
      </c>
      <c r="H131" s="18">
        <v>5625</v>
      </c>
      <c r="I131" s="31">
        <v>21544</v>
      </c>
      <c r="J131" s="31">
        <v>28376</v>
      </c>
      <c r="K131" s="19">
        <f t="shared" si="8"/>
        <v>6832</v>
      </c>
      <c r="L131" s="19">
        <f t="shared" si="9"/>
        <v>569.33333333333337</v>
      </c>
      <c r="N131" s="73">
        <f t="shared" si="7"/>
        <v>27169</v>
      </c>
    </row>
    <row r="132" spans="1:14" x14ac:dyDescent="0.2">
      <c r="A132" s="3">
        <v>128</v>
      </c>
      <c r="B132" s="3" t="s">
        <v>362</v>
      </c>
      <c r="C132" s="3" t="s">
        <v>363</v>
      </c>
      <c r="D132" s="3" t="s">
        <v>121</v>
      </c>
      <c r="E132" s="16">
        <v>43709</v>
      </c>
      <c r="F132" s="17">
        <v>6.3</v>
      </c>
      <c r="G132" s="17">
        <v>7.3</v>
      </c>
      <c r="H132" s="18">
        <v>6125</v>
      </c>
      <c r="I132" s="31">
        <v>23459</v>
      </c>
      <c r="J132" s="31">
        <v>30791</v>
      </c>
      <c r="K132" s="19">
        <f t="shared" si="8"/>
        <v>7332</v>
      </c>
      <c r="L132" s="19">
        <f t="shared" si="9"/>
        <v>611</v>
      </c>
      <c r="N132" s="73">
        <f t="shared" si="7"/>
        <v>29584</v>
      </c>
    </row>
    <row r="133" spans="1:14" x14ac:dyDescent="0.2">
      <c r="A133" s="3">
        <v>129</v>
      </c>
      <c r="B133" s="3" t="s">
        <v>364</v>
      </c>
      <c r="C133" s="3" t="s">
        <v>365</v>
      </c>
      <c r="D133" s="3" t="s">
        <v>223</v>
      </c>
      <c r="E133" s="16">
        <v>45170</v>
      </c>
      <c r="F133" s="17">
        <v>2.2999999999999998</v>
      </c>
      <c r="G133" s="17">
        <v>3.3</v>
      </c>
      <c r="H133" s="18">
        <v>16000</v>
      </c>
      <c r="I133" s="31">
        <v>18640</v>
      </c>
      <c r="J133" s="31">
        <v>26640</v>
      </c>
      <c r="K133" s="19">
        <f t="shared" ref="K133:K164" si="10">J133-I133</f>
        <v>8000</v>
      </c>
      <c r="L133" s="19">
        <f t="shared" ref="L133:L164" si="11">K133/12</f>
        <v>666.66666666666663</v>
      </c>
      <c r="N133" s="73">
        <f t="shared" si="7"/>
        <v>26640</v>
      </c>
    </row>
    <row r="134" spans="1:14" x14ac:dyDescent="0.2">
      <c r="A134" s="3">
        <v>130</v>
      </c>
      <c r="B134" s="3" t="s">
        <v>367</v>
      </c>
      <c r="C134" s="3" t="s">
        <v>317</v>
      </c>
      <c r="D134" s="3" t="s">
        <v>368</v>
      </c>
      <c r="E134" s="16">
        <v>41885</v>
      </c>
      <c r="F134" s="17">
        <v>11.3</v>
      </c>
      <c r="G134" s="17">
        <v>12.3</v>
      </c>
      <c r="H134" s="18">
        <v>10377</v>
      </c>
      <c r="I134" s="31">
        <v>91629</v>
      </c>
      <c r="J134" s="31">
        <v>104463</v>
      </c>
      <c r="K134" s="19">
        <f t="shared" si="10"/>
        <v>12834</v>
      </c>
      <c r="L134" s="19">
        <f t="shared" si="11"/>
        <v>1069.5</v>
      </c>
      <c r="N134" s="73">
        <f t="shared" ref="N134:N172" si="12">_xlfn.LET(_xlpm.yos,ROUND(YEARFRAC(E134,DATE(2026,12,31),0),2),IF(E134&gt;DATE(2026,12,31),0,ROUND(IF(_xlpm.yos&lt;=5,H134/2*_xlpm.yos,H134/2*5+H134*(_xlpm.yos-5)),0)))</f>
        <v>102006</v>
      </c>
    </row>
    <row r="135" spans="1:14" x14ac:dyDescent="0.2">
      <c r="A135" s="3">
        <v>131</v>
      </c>
      <c r="B135" s="3" t="s">
        <v>369</v>
      </c>
      <c r="C135" s="3" t="s">
        <v>177</v>
      </c>
      <c r="D135" s="3" t="s">
        <v>121</v>
      </c>
      <c r="E135" s="16">
        <v>45901</v>
      </c>
      <c r="F135" s="17">
        <v>0.3</v>
      </c>
      <c r="G135" s="17">
        <v>1.3</v>
      </c>
      <c r="H135" s="18">
        <v>13000</v>
      </c>
      <c r="I135" s="31">
        <v>2145</v>
      </c>
      <c r="J135" s="31">
        <v>8645</v>
      </c>
      <c r="K135" s="19">
        <f t="shared" si="10"/>
        <v>6500</v>
      </c>
      <c r="L135" s="19">
        <f t="shared" si="11"/>
        <v>541.66666666666663</v>
      </c>
      <c r="N135" s="73">
        <f t="shared" si="12"/>
        <v>8645</v>
      </c>
    </row>
    <row r="136" spans="1:14" x14ac:dyDescent="0.2">
      <c r="A136" s="3">
        <v>132</v>
      </c>
      <c r="B136" s="3" t="s">
        <v>370</v>
      </c>
      <c r="C136" s="3" t="s">
        <v>371</v>
      </c>
      <c r="D136" s="3" t="s">
        <v>121</v>
      </c>
      <c r="E136" s="16">
        <v>45921</v>
      </c>
      <c r="F136" s="17">
        <v>0.3</v>
      </c>
      <c r="G136" s="17">
        <v>1.3</v>
      </c>
      <c r="H136" s="18">
        <v>5500</v>
      </c>
      <c r="I136" s="31">
        <v>770</v>
      </c>
      <c r="J136" s="31">
        <v>3520</v>
      </c>
      <c r="K136" s="19">
        <f t="shared" si="10"/>
        <v>2750</v>
      </c>
      <c r="L136" s="19">
        <f t="shared" si="11"/>
        <v>229.16666666666666</v>
      </c>
      <c r="N136" s="73">
        <f t="shared" si="12"/>
        <v>3520</v>
      </c>
    </row>
    <row r="137" spans="1:14" x14ac:dyDescent="0.2">
      <c r="A137" s="3">
        <v>133</v>
      </c>
      <c r="B137" s="3" t="s">
        <v>372</v>
      </c>
      <c r="C137" s="3" t="s">
        <v>373</v>
      </c>
      <c r="D137" s="3" t="s">
        <v>86</v>
      </c>
      <c r="E137" s="16">
        <v>44805</v>
      </c>
      <c r="F137" s="17">
        <v>3.3</v>
      </c>
      <c r="G137" s="17">
        <v>4.3</v>
      </c>
      <c r="H137" s="18">
        <v>13500</v>
      </c>
      <c r="I137" s="31">
        <v>22478</v>
      </c>
      <c r="J137" s="31">
        <v>29769</v>
      </c>
      <c r="K137" s="19">
        <f t="shared" si="10"/>
        <v>7291</v>
      </c>
      <c r="L137" s="19">
        <f t="shared" si="11"/>
        <v>607.58333333333337</v>
      </c>
      <c r="N137" s="73">
        <f t="shared" si="12"/>
        <v>29228</v>
      </c>
    </row>
    <row r="138" spans="1:14" x14ac:dyDescent="0.2">
      <c r="A138" s="3">
        <v>134</v>
      </c>
      <c r="B138" s="3" t="s">
        <v>374</v>
      </c>
      <c r="C138" s="3" t="s">
        <v>375</v>
      </c>
      <c r="D138" s="3" t="s">
        <v>376</v>
      </c>
      <c r="E138" s="16">
        <v>44836</v>
      </c>
      <c r="F138" s="17">
        <v>3.2</v>
      </c>
      <c r="G138" s="17">
        <v>4.2</v>
      </c>
      <c r="H138" s="18">
        <v>12000</v>
      </c>
      <c r="I138" s="31">
        <v>19500</v>
      </c>
      <c r="J138" s="31">
        <v>26031</v>
      </c>
      <c r="K138" s="19">
        <f t="shared" si="10"/>
        <v>6531</v>
      </c>
      <c r="L138" s="19">
        <f t="shared" si="11"/>
        <v>544.25</v>
      </c>
      <c r="N138" s="73">
        <f t="shared" si="12"/>
        <v>25500</v>
      </c>
    </row>
    <row r="139" spans="1:14" x14ac:dyDescent="0.2">
      <c r="A139" s="3">
        <v>135</v>
      </c>
      <c r="B139" s="3" t="s">
        <v>377</v>
      </c>
      <c r="C139" s="3" t="s">
        <v>353</v>
      </c>
      <c r="D139" s="3" t="s">
        <v>121</v>
      </c>
      <c r="E139" s="16">
        <v>45901</v>
      </c>
      <c r="F139" s="17">
        <v>0.3</v>
      </c>
      <c r="G139" s="17">
        <v>1.3</v>
      </c>
      <c r="H139" s="18">
        <v>12000</v>
      </c>
      <c r="I139" s="31">
        <v>1980</v>
      </c>
      <c r="J139" s="31">
        <v>7980</v>
      </c>
      <c r="K139" s="19">
        <f t="shared" si="10"/>
        <v>6000</v>
      </c>
      <c r="L139" s="19">
        <f t="shared" si="11"/>
        <v>500</v>
      </c>
      <c r="N139" s="73">
        <f t="shared" si="12"/>
        <v>7980</v>
      </c>
    </row>
    <row r="140" spans="1:14" x14ac:dyDescent="0.2">
      <c r="A140" s="3">
        <v>136</v>
      </c>
      <c r="B140" s="3" t="s">
        <v>378</v>
      </c>
      <c r="C140" s="3" t="s">
        <v>375</v>
      </c>
      <c r="D140" s="3" t="s">
        <v>121</v>
      </c>
      <c r="E140" s="16">
        <v>45536</v>
      </c>
      <c r="F140" s="17">
        <v>1.3</v>
      </c>
      <c r="G140" s="17">
        <v>2.2999999999999998</v>
      </c>
      <c r="H140" s="18">
        <v>11250</v>
      </c>
      <c r="I140" s="31">
        <v>7481</v>
      </c>
      <c r="J140" s="31">
        <v>13398</v>
      </c>
      <c r="K140" s="19">
        <f t="shared" si="10"/>
        <v>5917</v>
      </c>
      <c r="L140" s="19">
        <f t="shared" si="11"/>
        <v>493.08333333333331</v>
      </c>
      <c r="N140" s="73">
        <f t="shared" si="12"/>
        <v>13106</v>
      </c>
    </row>
    <row r="141" spans="1:14" x14ac:dyDescent="0.2">
      <c r="A141" s="3">
        <v>137</v>
      </c>
      <c r="B141" s="3" t="s">
        <v>379</v>
      </c>
      <c r="C141" s="3" t="s">
        <v>380</v>
      </c>
      <c r="D141" s="3" t="s">
        <v>86</v>
      </c>
      <c r="E141" s="16">
        <v>45170</v>
      </c>
      <c r="F141" s="17">
        <v>2.2999999999999998</v>
      </c>
      <c r="G141" s="17">
        <v>3.3</v>
      </c>
      <c r="H141" s="18">
        <v>12250</v>
      </c>
      <c r="I141" s="31">
        <v>14271</v>
      </c>
      <c r="J141" s="31">
        <v>20812</v>
      </c>
      <c r="K141" s="19">
        <f t="shared" si="10"/>
        <v>6541</v>
      </c>
      <c r="L141" s="19">
        <f t="shared" si="11"/>
        <v>545.08333333333337</v>
      </c>
      <c r="N141" s="73">
        <f t="shared" si="12"/>
        <v>20396</v>
      </c>
    </row>
    <row r="142" spans="1:14" x14ac:dyDescent="0.2">
      <c r="A142" s="3">
        <v>138</v>
      </c>
      <c r="B142" s="3" t="s">
        <v>381</v>
      </c>
      <c r="C142" s="3" t="s">
        <v>382</v>
      </c>
      <c r="D142" s="3" t="s">
        <v>86</v>
      </c>
      <c r="E142" s="16">
        <v>45536</v>
      </c>
      <c r="F142" s="17">
        <v>1.3</v>
      </c>
      <c r="G142" s="17">
        <v>2.2999999999999998</v>
      </c>
      <c r="H142" s="18">
        <v>11250</v>
      </c>
      <c r="I142" s="31">
        <v>7481</v>
      </c>
      <c r="J142" s="31">
        <v>13398</v>
      </c>
      <c r="K142" s="19">
        <f t="shared" si="10"/>
        <v>5917</v>
      </c>
      <c r="L142" s="19">
        <f t="shared" si="11"/>
        <v>493.08333333333331</v>
      </c>
      <c r="N142" s="73">
        <f t="shared" si="12"/>
        <v>13106</v>
      </c>
    </row>
    <row r="143" spans="1:14" x14ac:dyDescent="0.2">
      <c r="A143" s="3">
        <v>139</v>
      </c>
      <c r="B143" s="3" t="s">
        <v>383</v>
      </c>
      <c r="C143" s="3" t="s">
        <v>360</v>
      </c>
      <c r="D143" s="3" t="s">
        <v>121</v>
      </c>
      <c r="E143" s="16">
        <v>43344</v>
      </c>
      <c r="F143" s="17">
        <v>7.3</v>
      </c>
      <c r="G143" s="17">
        <v>8.3000000000000007</v>
      </c>
      <c r="H143" s="18">
        <v>12750</v>
      </c>
      <c r="I143" s="31">
        <v>61582</v>
      </c>
      <c r="J143" s="31">
        <v>75790</v>
      </c>
      <c r="K143" s="19">
        <f t="shared" si="10"/>
        <v>14208</v>
      </c>
      <c r="L143" s="19">
        <f t="shared" si="11"/>
        <v>1184</v>
      </c>
      <c r="N143" s="73">
        <f t="shared" si="12"/>
        <v>74333</v>
      </c>
    </row>
    <row r="144" spans="1:14" x14ac:dyDescent="0.2">
      <c r="A144" s="3">
        <v>140</v>
      </c>
      <c r="B144" s="3" t="s">
        <v>384</v>
      </c>
      <c r="C144" s="3" t="s">
        <v>385</v>
      </c>
      <c r="D144" s="3" t="s">
        <v>121</v>
      </c>
      <c r="E144" s="16">
        <v>42979</v>
      </c>
      <c r="F144" s="17">
        <v>8.3000000000000007</v>
      </c>
      <c r="G144" s="17">
        <v>9.3000000000000007</v>
      </c>
      <c r="H144" s="18">
        <v>13500</v>
      </c>
      <c r="I144" s="31">
        <v>78705</v>
      </c>
      <c r="J144" s="31">
        <v>93912</v>
      </c>
      <c r="K144" s="19">
        <f t="shared" si="10"/>
        <v>15207</v>
      </c>
      <c r="L144" s="19">
        <f t="shared" si="11"/>
        <v>1267.25</v>
      </c>
      <c r="N144" s="73">
        <f t="shared" si="12"/>
        <v>92205</v>
      </c>
    </row>
    <row r="145" spans="1:14" x14ac:dyDescent="0.2">
      <c r="A145" s="3">
        <v>141</v>
      </c>
      <c r="B145" s="3" t="s">
        <v>386</v>
      </c>
      <c r="C145" s="3" t="s">
        <v>257</v>
      </c>
      <c r="D145" s="3" t="s">
        <v>74</v>
      </c>
      <c r="E145" s="16">
        <v>45901</v>
      </c>
      <c r="F145" s="17">
        <v>0.3</v>
      </c>
      <c r="G145" s="17">
        <v>1.3</v>
      </c>
      <c r="H145" s="18">
        <v>10000</v>
      </c>
      <c r="I145" s="31">
        <v>1650</v>
      </c>
      <c r="J145" s="31">
        <v>6650</v>
      </c>
      <c r="K145" s="19">
        <f t="shared" si="10"/>
        <v>5000</v>
      </c>
      <c r="L145" s="19">
        <f t="shared" si="11"/>
        <v>416.66666666666669</v>
      </c>
      <c r="N145" s="73">
        <f t="shared" si="12"/>
        <v>6650</v>
      </c>
    </row>
    <row r="146" spans="1:14" x14ac:dyDescent="0.2">
      <c r="A146" s="3">
        <v>142</v>
      </c>
      <c r="B146" s="3" t="s">
        <v>387</v>
      </c>
      <c r="C146" s="3" t="s">
        <v>388</v>
      </c>
      <c r="D146" s="3" t="s">
        <v>102</v>
      </c>
      <c r="E146" s="16">
        <v>42248</v>
      </c>
      <c r="F146" s="17">
        <v>10.3</v>
      </c>
      <c r="G146" s="17">
        <v>11.3</v>
      </c>
      <c r="H146" s="18">
        <v>12750</v>
      </c>
      <c r="I146" s="31">
        <v>99832</v>
      </c>
      <c r="J146" s="31">
        <v>114790</v>
      </c>
      <c r="K146" s="19">
        <f t="shared" si="10"/>
        <v>14958</v>
      </c>
      <c r="L146" s="19">
        <f t="shared" si="11"/>
        <v>1246.5</v>
      </c>
      <c r="N146" s="73">
        <f t="shared" si="12"/>
        <v>112583</v>
      </c>
    </row>
    <row r="147" spans="1:14" x14ac:dyDescent="0.2">
      <c r="A147" s="3">
        <v>143</v>
      </c>
      <c r="B147" s="3" t="s">
        <v>389</v>
      </c>
      <c r="C147" s="3" t="s">
        <v>390</v>
      </c>
      <c r="D147" s="3" t="s">
        <v>121</v>
      </c>
      <c r="E147" s="16">
        <v>45194</v>
      </c>
      <c r="F147" s="17">
        <v>2.2999999999999998</v>
      </c>
      <c r="G147" s="17">
        <v>3.3</v>
      </c>
      <c r="H147" s="18">
        <v>11250</v>
      </c>
      <c r="I147" s="31">
        <v>12769</v>
      </c>
      <c r="J147" s="31">
        <v>18802</v>
      </c>
      <c r="K147" s="19">
        <f t="shared" si="10"/>
        <v>6033</v>
      </c>
      <c r="L147" s="19">
        <f t="shared" si="11"/>
        <v>502.75</v>
      </c>
      <c r="N147" s="73">
        <f t="shared" si="12"/>
        <v>18394</v>
      </c>
    </row>
    <row r="148" spans="1:14" x14ac:dyDescent="0.2">
      <c r="A148" s="3">
        <v>144</v>
      </c>
      <c r="B148" s="3" t="s">
        <v>391</v>
      </c>
      <c r="C148" s="3" t="s">
        <v>392</v>
      </c>
      <c r="D148" s="3" t="s">
        <v>132</v>
      </c>
      <c r="E148" s="16">
        <v>43023</v>
      </c>
      <c r="F148" s="17">
        <v>8.1999999999999993</v>
      </c>
      <c r="G148" s="17">
        <v>9.1999999999999993</v>
      </c>
      <c r="H148" s="18">
        <v>12500</v>
      </c>
      <c r="I148" s="31">
        <v>71375</v>
      </c>
      <c r="J148" s="31">
        <v>85552</v>
      </c>
      <c r="K148" s="19">
        <f t="shared" si="10"/>
        <v>14177</v>
      </c>
      <c r="L148" s="19">
        <f t="shared" si="11"/>
        <v>1181.4166666666667</v>
      </c>
      <c r="N148" s="73">
        <f t="shared" si="12"/>
        <v>83875</v>
      </c>
    </row>
    <row r="149" spans="1:14" x14ac:dyDescent="0.2">
      <c r="A149" s="3">
        <v>145</v>
      </c>
      <c r="B149" s="3" t="s">
        <v>393</v>
      </c>
      <c r="C149" s="3" t="s">
        <v>385</v>
      </c>
      <c r="D149" s="3" t="s">
        <v>121</v>
      </c>
      <c r="E149" s="16">
        <v>45194</v>
      </c>
      <c r="F149" s="17">
        <v>2.2999999999999998</v>
      </c>
      <c r="G149" s="17">
        <v>3.3</v>
      </c>
      <c r="H149" s="18">
        <v>7667</v>
      </c>
      <c r="I149" s="31">
        <v>8702</v>
      </c>
      <c r="J149" s="31">
        <v>12944</v>
      </c>
      <c r="K149" s="19">
        <f t="shared" si="10"/>
        <v>4242</v>
      </c>
      <c r="L149" s="19">
        <f t="shared" si="11"/>
        <v>353.5</v>
      </c>
      <c r="N149" s="73">
        <f t="shared" si="12"/>
        <v>12536</v>
      </c>
    </row>
    <row r="150" spans="1:14" x14ac:dyDescent="0.2">
      <c r="A150" s="3">
        <v>146</v>
      </c>
      <c r="B150" s="3" t="s">
        <v>394</v>
      </c>
      <c r="C150" s="3" t="s">
        <v>395</v>
      </c>
      <c r="D150" s="3" t="s">
        <v>74</v>
      </c>
      <c r="E150" s="16">
        <v>45536</v>
      </c>
      <c r="F150" s="17">
        <v>1.3</v>
      </c>
      <c r="G150" s="17">
        <v>2.2999999999999998</v>
      </c>
      <c r="H150" s="18">
        <v>11250</v>
      </c>
      <c r="I150" s="31">
        <v>7481</v>
      </c>
      <c r="J150" s="31">
        <v>13398</v>
      </c>
      <c r="K150" s="19">
        <f t="shared" si="10"/>
        <v>5917</v>
      </c>
      <c r="L150" s="19">
        <f t="shared" si="11"/>
        <v>493.08333333333331</v>
      </c>
      <c r="N150" s="73">
        <f t="shared" si="12"/>
        <v>13106</v>
      </c>
    </row>
    <row r="151" spans="1:14" x14ac:dyDescent="0.2">
      <c r="A151" s="3">
        <v>147</v>
      </c>
      <c r="B151" s="3" t="s">
        <v>396</v>
      </c>
      <c r="C151" s="3" t="s">
        <v>397</v>
      </c>
      <c r="D151" s="3" t="s">
        <v>121</v>
      </c>
      <c r="E151" s="16">
        <v>42248</v>
      </c>
      <c r="F151" s="17">
        <v>10.3</v>
      </c>
      <c r="G151" s="17">
        <v>11.3</v>
      </c>
      <c r="H151" s="18">
        <v>13500</v>
      </c>
      <c r="I151" s="31">
        <v>105705</v>
      </c>
      <c r="J151" s="31">
        <v>121412</v>
      </c>
      <c r="K151" s="19">
        <f t="shared" si="10"/>
        <v>15707</v>
      </c>
      <c r="L151" s="19">
        <f t="shared" si="11"/>
        <v>1308.9166666666667</v>
      </c>
      <c r="N151" s="73">
        <f t="shared" si="12"/>
        <v>119205</v>
      </c>
    </row>
    <row r="152" spans="1:14" x14ac:dyDescent="0.2">
      <c r="A152" s="3">
        <v>148</v>
      </c>
      <c r="B152" s="3" t="s">
        <v>398</v>
      </c>
      <c r="C152" s="3" t="s">
        <v>399</v>
      </c>
      <c r="D152" s="3" t="s">
        <v>102</v>
      </c>
      <c r="E152" s="16">
        <v>34943</v>
      </c>
      <c r="F152" s="17">
        <v>30.3</v>
      </c>
      <c r="G152" s="17">
        <v>31.3</v>
      </c>
      <c r="H152" s="18">
        <v>17250</v>
      </c>
      <c r="I152" s="31">
        <v>480067</v>
      </c>
      <c r="J152" s="31">
        <v>504525</v>
      </c>
      <c r="K152" s="19">
        <f t="shared" si="10"/>
        <v>24458</v>
      </c>
      <c r="L152" s="19">
        <f t="shared" si="11"/>
        <v>2038.1666666666667</v>
      </c>
      <c r="N152" s="73">
        <f t="shared" si="12"/>
        <v>497318</v>
      </c>
    </row>
    <row r="153" spans="1:14" x14ac:dyDescent="0.2">
      <c r="A153" s="3">
        <v>149</v>
      </c>
      <c r="B153" s="3" t="s">
        <v>400</v>
      </c>
      <c r="C153" s="3" t="s">
        <v>401</v>
      </c>
      <c r="D153" s="3" t="s">
        <v>121</v>
      </c>
      <c r="E153" s="16">
        <v>41153</v>
      </c>
      <c r="F153" s="17">
        <v>13.3</v>
      </c>
      <c r="G153" s="17">
        <v>14.3</v>
      </c>
      <c r="H153" s="18">
        <v>14250</v>
      </c>
      <c r="I153" s="31">
        <v>154328</v>
      </c>
      <c r="J153" s="31">
        <v>171535</v>
      </c>
      <c r="K153" s="19">
        <f t="shared" si="10"/>
        <v>17207</v>
      </c>
      <c r="L153" s="19">
        <f t="shared" si="11"/>
        <v>1433.9166666666667</v>
      </c>
      <c r="N153" s="73">
        <f t="shared" si="12"/>
        <v>168578</v>
      </c>
    </row>
    <row r="154" spans="1:14" x14ac:dyDescent="0.2">
      <c r="A154" s="3">
        <v>150</v>
      </c>
      <c r="B154" s="3" t="s">
        <v>402</v>
      </c>
      <c r="C154" s="3" t="s">
        <v>403</v>
      </c>
      <c r="D154" s="3" t="s">
        <v>102</v>
      </c>
      <c r="E154" s="16">
        <v>39692</v>
      </c>
      <c r="F154" s="17">
        <v>17.3</v>
      </c>
      <c r="G154" s="17">
        <v>18.3</v>
      </c>
      <c r="H154" s="18">
        <v>14250</v>
      </c>
      <c r="I154" s="31">
        <v>211327</v>
      </c>
      <c r="J154" s="31">
        <v>229535</v>
      </c>
      <c r="K154" s="19">
        <f t="shared" si="10"/>
        <v>18208</v>
      </c>
      <c r="L154" s="19">
        <f t="shared" si="11"/>
        <v>1517.3333333333333</v>
      </c>
      <c r="N154" s="73">
        <f t="shared" si="12"/>
        <v>225578</v>
      </c>
    </row>
    <row r="155" spans="1:14" x14ac:dyDescent="0.2">
      <c r="A155" s="3">
        <v>151</v>
      </c>
      <c r="B155" s="3" t="s">
        <v>404</v>
      </c>
      <c r="C155" s="3" t="s">
        <v>405</v>
      </c>
      <c r="D155" s="3" t="s">
        <v>406</v>
      </c>
      <c r="E155" s="16">
        <v>45901</v>
      </c>
      <c r="F155" s="17">
        <v>0.3</v>
      </c>
      <c r="G155" s="17">
        <v>1.3</v>
      </c>
      <c r="H155" s="18">
        <v>10000</v>
      </c>
      <c r="I155" s="31">
        <v>1650</v>
      </c>
      <c r="J155" s="31">
        <v>6650</v>
      </c>
      <c r="K155" s="19">
        <f t="shared" si="10"/>
        <v>5000</v>
      </c>
      <c r="L155" s="19">
        <f t="shared" si="11"/>
        <v>416.66666666666669</v>
      </c>
      <c r="N155" s="73">
        <f t="shared" si="12"/>
        <v>6650</v>
      </c>
    </row>
    <row r="156" spans="1:14" x14ac:dyDescent="0.2">
      <c r="A156" s="3">
        <v>152</v>
      </c>
      <c r="B156" s="3" t="s">
        <v>407</v>
      </c>
      <c r="C156" s="3" t="s">
        <v>408</v>
      </c>
      <c r="D156" s="3" t="s">
        <v>121</v>
      </c>
      <c r="E156" s="16">
        <v>43709</v>
      </c>
      <c r="F156" s="17">
        <v>6.3</v>
      </c>
      <c r="G156" s="17">
        <v>7.3</v>
      </c>
      <c r="H156" s="18">
        <v>12500</v>
      </c>
      <c r="I156" s="31">
        <v>47875</v>
      </c>
      <c r="J156" s="31">
        <v>61582</v>
      </c>
      <c r="K156" s="19">
        <f t="shared" si="10"/>
        <v>13707</v>
      </c>
      <c r="L156" s="19">
        <f t="shared" si="11"/>
        <v>1142.25</v>
      </c>
      <c r="N156" s="73">
        <f t="shared" si="12"/>
        <v>60375</v>
      </c>
    </row>
    <row r="157" spans="1:14" x14ac:dyDescent="0.2">
      <c r="A157" s="3">
        <v>153</v>
      </c>
      <c r="B157" s="3" t="s">
        <v>409</v>
      </c>
      <c r="C157" s="3" t="s">
        <v>403</v>
      </c>
      <c r="D157" s="3" t="s">
        <v>410</v>
      </c>
      <c r="E157" s="16">
        <v>45901</v>
      </c>
      <c r="F157" s="17">
        <v>0.3</v>
      </c>
      <c r="G157" s="17">
        <v>1.3</v>
      </c>
      <c r="H157" s="18">
        <v>7394</v>
      </c>
      <c r="I157" s="31">
        <v>1220</v>
      </c>
      <c r="J157" s="31">
        <v>4917</v>
      </c>
      <c r="K157" s="19">
        <f t="shared" si="10"/>
        <v>3697</v>
      </c>
      <c r="L157" s="19">
        <f t="shared" si="11"/>
        <v>308.08333333333331</v>
      </c>
      <c r="N157" s="73">
        <f t="shared" si="12"/>
        <v>4917</v>
      </c>
    </row>
    <row r="158" spans="1:14" x14ac:dyDescent="0.2">
      <c r="A158" s="3">
        <v>154</v>
      </c>
      <c r="B158" s="3" t="s">
        <v>411</v>
      </c>
      <c r="C158" s="3" t="s">
        <v>412</v>
      </c>
      <c r="D158" s="3" t="s">
        <v>86</v>
      </c>
      <c r="E158" s="16">
        <v>43709</v>
      </c>
      <c r="F158" s="17">
        <v>6.3</v>
      </c>
      <c r="G158" s="17">
        <v>7.3</v>
      </c>
      <c r="H158" s="18">
        <v>12500</v>
      </c>
      <c r="I158" s="31">
        <v>47875</v>
      </c>
      <c r="J158" s="31">
        <v>61582</v>
      </c>
      <c r="K158" s="19">
        <f t="shared" si="10"/>
        <v>13707</v>
      </c>
      <c r="L158" s="19">
        <f t="shared" si="11"/>
        <v>1142.25</v>
      </c>
      <c r="N158" s="73">
        <f t="shared" si="12"/>
        <v>60375</v>
      </c>
    </row>
    <row r="159" spans="1:14" x14ac:dyDescent="0.2">
      <c r="A159" s="3">
        <v>155</v>
      </c>
      <c r="B159" s="3" t="s">
        <v>413</v>
      </c>
      <c r="C159" s="3" t="s">
        <v>414</v>
      </c>
      <c r="D159" s="3" t="s">
        <v>159</v>
      </c>
      <c r="E159" s="16">
        <v>44440</v>
      </c>
      <c r="F159" s="17">
        <v>4.3</v>
      </c>
      <c r="G159" s="17">
        <v>5.3</v>
      </c>
      <c r="H159" s="18">
        <v>9800</v>
      </c>
      <c r="I159" s="31">
        <v>21217</v>
      </c>
      <c r="J159" s="31">
        <v>28300</v>
      </c>
      <c r="K159" s="19">
        <f t="shared" si="10"/>
        <v>7083</v>
      </c>
      <c r="L159" s="19">
        <f t="shared" si="11"/>
        <v>590.25</v>
      </c>
      <c r="N159" s="73">
        <f t="shared" si="12"/>
        <v>27734</v>
      </c>
    </row>
    <row r="160" spans="1:14" x14ac:dyDescent="0.2">
      <c r="A160" s="3">
        <v>156</v>
      </c>
      <c r="B160" s="3" t="s">
        <v>415</v>
      </c>
      <c r="C160" s="3" t="s">
        <v>416</v>
      </c>
      <c r="D160" s="3" t="s">
        <v>121</v>
      </c>
      <c r="E160" s="16">
        <v>43344</v>
      </c>
      <c r="F160" s="17">
        <v>7.3</v>
      </c>
      <c r="G160" s="17">
        <v>8.3000000000000007</v>
      </c>
      <c r="H160" s="18">
        <v>12750</v>
      </c>
      <c r="I160" s="31">
        <v>61582</v>
      </c>
      <c r="J160" s="31">
        <v>75790</v>
      </c>
      <c r="K160" s="19">
        <f t="shared" si="10"/>
        <v>14208</v>
      </c>
      <c r="L160" s="19">
        <f t="shared" si="11"/>
        <v>1184</v>
      </c>
      <c r="N160" s="73">
        <f t="shared" si="12"/>
        <v>74333</v>
      </c>
    </row>
    <row r="161" spans="1:14" x14ac:dyDescent="0.2">
      <c r="A161" s="3">
        <v>157</v>
      </c>
      <c r="B161" s="3" t="s">
        <v>417</v>
      </c>
      <c r="C161" s="3" t="s">
        <v>418</v>
      </c>
      <c r="D161" s="3" t="s">
        <v>132</v>
      </c>
      <c r="E161" s="16">
        <v>44440</v>
      </c>
      <c r="F161" s="17">
        <v>4.3</v>
      </c>
      <c r="G161" s="17">
        <v>5.3</v>
      </c>
      <c r="H161" s="18">
        <v>10800</v>
      </c>
      <c r="I161" s="31">
        <v>23382</v>
      </c>
      <c r="J161" s="31">
        <v>31130</v>
      </c>
      <c r="K161" s="19">
        <f t="shared" si="10"/>
        <v>7748</v>
      </c>
      <c r="L161" s="19">
        <f t="shared" si="11"/>
        <v>645.66666666666663</v>
      </c>
      <c r="N161" s="73">
        <f t="shared" si="12"/>
        <v>30564</v>
      </c>
    </row>
    <row r="162" spans="1:14" x14ac:dyDescent="0.2">
      <c r="A162" s="3">
        <v>158</v>
      </c>
      <c r="B162" s="3" t="s">
        <v>419</v>
      </c>
      <c r="C162" s="3" t="s">
        <v>420</v>
      </c>
      <c r="D162" s="3" t="s">
        <v>132</v>
      </c>
      <c r="E162" s="16">
        <v>38248</v>
      </c>
      <c r="F162" s="17">
        <v>21.3</v>
      </c>
      <c r="G162" s="17">
        <v>22.3</v>
      </c>
      <c r="H162" s="18">
        <v>15000</v>
      </c>
      <c r="I162" s="31">
        <v>281700</v>
      </c>
      <c r="J162" s="31">
        <v>301645</v>
      </c>
      <c r="K162" s="19">
        <f t="shared" si="10"/>
        <v>19945</v>
      </c>
      <c r="L162" s="19">
        <f t="shared" si="11"/>
        <v>1662.0833333333333</v>
      </c>
      <c r="N162" s="73">
        <f t="shared" si="12"/>
        <v>296850</v>
      </c>
    </row>
    <row r="163" spans="1:14" x14ac:dyDescent="0.2">
      <c r="A163" s="3">
        <v>159</v>
      </c>
      <c r="B163" s="3" t="s">
        <v>421</v>
      </c>
      <c r="C163" s="3" t="s">
        <v>422</v>
      </c>
      <c r="D163" s="3" t="s">
        <v>423</v>
      </c>
      <c r="E163" s="16">
        <v>42817</v>
      </c>
      <c r="F163" s="17">
        <v>8.8000000000000007</v>
      </c>
      <c r="G163" s="17">
        <v>9.8000000000000007</v>
      </c>
      <c r="H163" s="18">
        <v>5550</v>
      </c>
      <c r="I163" s="31">
        <v>34798</v>
      </c>
      <c r="J163" s="31">
        <v>41802</v>
      </c>
      <c r="K163" s="19">
        <f t="shared" si="10"/>
        <v>7004</v>
      </c>
      <c r="L163" s="19">
        <f t="shared" si="11"/>
        <v>583.66666666666663</v>
      </c>
      <c r="N163" s="73">
        <f t="shared" si="12"/>
        <v>40349</v>
      </c>
    </row>
    <row r="164" spans="1:14" x14ac:dyDescent="0.2">
      <c r="A164" s="3">
        <v>160</v>
      </c>
      <c r="B164" s="3" t="s">
        <v>424</v>
      </c>
      <c r="C164" s="3" t="s">
        <v>425</v>
      </c>
      <c r="D164" s="3" t="s">
        <v>121</v>
      </c>
      <c r="E164" s="16">
        <v>45170</v>
      </c>
      <c r="F164" s="17">
        <v>2.2999999999999998</v>
      </c>
      <c r="G164" s="17">
        <v>3.3</v>
      </c>
      <c r="H164" s="18">
        <v>13500</v>
      </c>
      <c r="I164" s="31">
        <v>15728</v>
      </c>
      <c r="J164" s="31">
        <v>22894</v>
      </c>
      <c r="K164" s="19">
        <f t="shared" si="10"/>
        <v>7166</v>
      </c>
      <c r="L164" s="19">
        <f t="shared" si="11"/>
        <v>597.16666666666663</v>
      </c>
      <c r="N164" s="73">
        <f t="shared" si="12"/>
        <v>22478</v>
      </c>
    </row>
    <row r="165" spans="1:14" x14ac:dyDescent="0.2">
      <c r="A165" s="3">
        <v>161</v>
      </c>
      <c r="B165" s="3" t="s">
        <v>426</v>
      </c>
      <c r="C165" s="3" t="s">
        <v>427</v>
      </c>
      <c r="D165" s="3" t="s">
        <v>102</v>
      </c>
      <c r="E165" s="16">
        <v>45536</v>
      </c>
      <c r="F165" s="17">
        <v>1.3</v>
      </c>
      <c r="G165" s="17">
        <v>2.2999999999999998</v>
      </c>
      <c r="H165" s="18">
        <v>11500</v>
      </c>
      <c r="I165" s="31">
        <v>7648</v>
      </c>
      <c r="J165" s="31">
        <v>13689</v>
      </c>
      <c r="K165" s="19">
        <f t="shared" ref="K165:K172" si="13">J165-I165</f>
        <v>6041</v>
      </c>
      <c r="L165" s="19">
        <f t="shared" ref="L165:L172" si="14">K165/12</f>
        <v>503.41666666666669</v>
      </c>
      <c r="N165" s="73">
        <f t="shared" si="12"/>
        <v>13398</v>
      </c>
    </row>
    <row r="166" spans="1:14" x14ac:dyDescent="0.2">
      <c r="A166" s="3">
        <v>162</v>
      </c>
      <c r="B166" s="3" t="s">
        <v>428</v>
      </c>
      <c r="C166" s="3" t="s">
        <v>429</v>
      </c>
      <c r="D166" s="3" t="s">
        <v>86</v>
      </c>
      <c r="E166" s="16">
        <v>45170</v>
      </c>
      <c r="F166" s="17">
        <v>2.2999999999999998</v>
      </c>
      <c r="G166" s="17">
        <v>3.3</v>
      </c>
      <c r="H166" s="18">
        <v>15750</v>
      </c>
      <c r="I166" s="31">
        <v>18349</v>
      </c>
      <c r="J166" s="31">
        <v>26640</v>
      </c>
      <c r="K166" s="19">
        <f t="shared" si="13"/>
        <v>8291</v>
      </c>
      <c r="L166" s="19">
        <f t="shared" si="14"/>
        <v>690.91666666666663</v>
      </c>
      <c r="N166" s="73">
        <f t="shared" si="12"/>
        <v>26224</v>
      </c>
    </row>
    <row r="167" spans="1:14" x14ac:dyDescent="0.2">
      <c r="A167" s="13">
        <v>163</v>
      </c>
      <c r="B167" s="13" t="s">
        <v>430</v>
      </c>
      <c r="C167" s="13" t="s">
        <v>431</v>
      </c>
      <c r="D167" s="13" t="s">
        <v>47</v>
      </c>
      <c r="E167" s="25">
        <v>46266</v>
      </c>
      <c r="F167" s="26">
        <v>0</v>
      </c>
      <c r="G167" s="26">
        <v>0.3</v>
      </c>
      <c r="H167" s="27">
        <v>5200</v>
      </c>
      <c r="I167" s="14">
        <v>0</v>
      </c>
      <c r="J167" s="14">
        <v>858</v>
      </c>
      <c r="K167" s="28">
        <f t="shared" si="13"/>
        <v>858</v>
      </c>
      <c r="L167" s="28">
        <f t="shared" si="14"/>
        <v>71.5</v>
      </c>
      <c r="N167" s="73">
        <f t="shared" si="12"/>
        <v>858</v>
      </c>
    </row>
    <row r="168" spans="1:14" x14ac:dyDescent="0.2">
      <c r="A168" s="13">
        <v>164</v>
      </c>
      <c r="B168" s="13" t="s">
        <v>430</v>
      </c>
      <c r="C168" s="13" t="s">
        <v>431</v>
      </c>
      <c r="D168" s="13" t="s">
        <v>48</v>
      </c>
      <c r="E168" s="25">
        <v>46266</v>
      </c>
      <c r="F168" s="26">
        <v>0</v>
      </c>
      <c r="G168" s="26">
        <v>0.3</v>
      </c>
      <c r="H168" s="27">
        <v>10400</v>
      </c>
      <c r="I168" s="14">
        <v>0</v>
      </c>
      <c r="J168" s="14">
        <v>1716</v>
      </c>
      <c r="K168" s="28">
        <f t="shared" si="13"/>
        <v>1716</v>
      </c>
      <c r="L168" s="28">
        <f t="shared" si="14"/>
        <v>143</v>
      </c>
      <c r="N168" s="73">
        <f t="shared" si="12"/>
        <v>1716</v>
      </c>
    </row>
    <row r="169" spans="1:14" x14ac:dyDescent="0.2">
      <c r="A169" s="13">
        <v>165</v>
      </c>
      <c r="B169" s="13" t="s">
        <v>430</v>
      </c>
      <c r="C169" s="13" t="s">
        <v>431</v>
      </c>
      <c r="D169" s="13" t="s">
        <v>49</v>
      </c>
      <c r="E169" s="25">
        <v>46266</v>
      </c>
      <c r="F169" s="26">
        <v>0</v>
      </c>
      <c r="G169" s="26">
        <v>0.3</v>
      </c>
      <c r="H169" s="27">
        <v>10400</v>
      </c>
      <c r="I169" s="14">
        <v>0</v>
      </c>
      <c r="J169" s="14">
        <v>1716</v>
      </c>
      <c r="K169" s="28">
        <f t="shared" si="13"/>
        <v>1716</v>
      </c>
      <c r="L169" s="28">
        <f t="shared" si="14"/>
        <v>143</v>
      </c>
      <c r="N169" s="73">
        <f t="shared" si="12"/>
        <v>1716</v>
      </c>
    </row>
    <row r="170" spans="1:14" x14ac:dyDescent="0.2">
      <c r="A170" s="13">
        <v>166</v>
      </c>
      <c r="B170" s="13" t="s">
        <v>430</v>
      </c>
      <c r="C170" s="13" t="s">
        <v>431</v>
      </c>
      <c r="D170" s="13" t="s">
        <v>50</v>
      </c>
      <c r="E170" s="25">
        <v>46266</v>
      </c>
      <c r="F170" s="26">
        <v>0</v>
      </c>
      <c r="G170" s="26">
        <v>0.3</v>
      </c>
      <c r="H170" s="27">
        <v>10400</v>
      </c>
      <c r="I170" s="14">
        <v>0</v>
      </c>
      <c r="J170" s="14">
        <v>1716</v>
      </c>
      <c r="K170" s="28">
        <f t="shared" si="13"/>
        <v>1716</v>
      </c>
      <c r="L170" s="28">
        <f t="shared" si="14"/>
        <v>143</v>
      </c>
      <c r="N170" s="73">
        <f t="shared" si="12"/>
        <v>1716</v>
      </c>
    </row>
    <row r="171" spans="1:14" x14ac:dyDescent="0.2">
      <c r="A171" s="13">
        <v>167</v>
      </c>
      <c r="B171" s="13" t="s">
        <v>430</v>
      </c>
      <c r="C171" s="13" t="s">
        <v>431</v>
      </c>
      <c r="D171" s="13" t="s">
        <v>51</v>
      </c>
      <c r="E171" s="25">
        <v>46266</v>
      </c>
      <c r="F171" s="26">
        <v>0</v>
      </c>
      <c r="G171" s="26">
        <v>0.3</v>
      </c>
      <c r="H171" s="27">
        <v>10600</v>
      </c>
      <c r="I171" s="14">
        <v>0</v>
      </c>
      <c r="J171" s="14">
        <v>1749</v>
      </c>
      <c r="K171" s="28">
        <f t="shared" si="13"/>
        <v>1749</v>
      </c>
      <c r="L171" s="28">
        <f t="shared" si="14"/>
        <v>145.75</v>
      </c>
      <c r="N171" s="73">
        <f t="shared" si="12"/>
        <v>1749</v>
      </c>
    </row>
    <row r="172" spans="1:14" ht="16" thickBot="1" x14ac:dyDescent="0.25">
      <c r="A172" s="13">
        <v>168</v>
      </c>
      <c r="B172" s="13" t="s">
        <v>430</v>
      </c>
      <c r="C172" s="13" t="s">
        <v>431</v>
      </c>
      <c r="D172" s="13" t="s">
        <v>52</v>
      </c>
      <c r="E172" s="25">
        <v>46266</v>
      </c>
      <c r="F172" s="26">
        <v>0</v>
      </c>
      <c r="G172" s="26">
        <v>0.3</v>
      </c>
      <c r="H172" s="27">
        <v>10400</v>
      </c>
      <c r="I172" s="14">
        <v>0</v>
      </c>
      <c r="J172" s="14">
        <v>1716</v>
      </c>
      <c r="K172" s="28">
        <f t="shared" si="13"/>
        <v>1716</v>
      </c>
      <c r="L172" s="28">
        <f t="shared" si="14"/>
        <v>143</v>
      </c>
      <c r="N172" s="74">
        <f t="shared" si="12"/>
        <v>1716</v>
      </c>
    </row>
    <row r="173" spans="1:14" ht="16" thickBot="1" x14ac:dyDescent="0.25">
      <c r="A173" s="15" t="s">
        <v>435</v>
      </c>
      <c r="B173" s="15"/>
      <c r="C173" s="15"/>
      <c r="D173" s="15"/>
      <c r="E173" s="15"/>
      <c r="F173" s="15"/>
      <c r="G173" s="15"/>
      <c r="H173" s="15">
        <f>SUM(H5:H172)</f>
        <v>1987369</v>
      </c>
      <c r="I173" s="15">
        <f>SUM(I5:I172)</f>
        <v>8149071</v>
      </c>
      <c r="J173" s="15">
        <f>SUM(J5:J172)</f>
        <v>9656019</v>
      </c>
      <c r="K173" s="15">
        <f>SUM(K5:K172)</f>
        <v>1506948</v>
      </c>
      <c r="L173" s="15">
        <f>SUM(L5:L172)</f>
        <v>125579.00000000007</v>
      </c>
      <c r="N173" s="75">
        <f>SUM(N5:N172)</f>
        <v>10116848</v>
      </c>
    </row>
    <row r="174" spans="1:14" ht="15" customHeight="1" thickTop="1" x14ac:dyDescent="0.2">
      <c r="N174">
        <v>7948000</v>
      </c>
    </row>
    <row r="175" spans="1:14" ht="15" customHeight="1" x14ac:dyDescent="0.2">
      <c r="N175" s="76">
        <f>H173</f>
        <v>1987369</v>
      </c>
    </row>
    <row r="176" spans="1:14" ht="15" customHeight="1" x14ac:dyDescent="0.2">
      <c r="N176" s="76">
        <f>N174+N175</f>
        <v>9935369</v>
      </c>
    </row>
    <row r="177" spans="14:14" ht="15" customHeight="1" x14ac:dyDescent="0.2">
      <c r="N177" s="76">
        <f>N173-N176</f>
        <v>181479</v>
      </c>
    </row>
  </sheetData>
  <autoFilter ref="A4:L172" xr:uid="{00000000-0009-0000-0000-000003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K173"/>
  <sheetViews>
    <sheetView zoomScaleNormal="100" workbookViewId="0">
      <pane ySplit="4" topLeftCell="A5" activePane="bottomLeft" state="frozen"/>
      <selection pane="bottomLeft" sqref="A1:K1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15" customWidth="1"/>
    <col min="4" max="4" width="30" customWidth="1"/>
    <col min="5" max="6" width="14" customWidth="1"/>
    <col min="7" max="7" width="12" customWidth="1"/>
    <col min="8" max="8" width="14" customWidth="1"/>
    <col min="9" max="11" width="16" customWidth="1"/>
  </cols>
  <sheetData>
    <row r="1" spans="1:11" ht="18" x14ac:dyDescent="0.2">
      <c r="A1" s="66" t="s">
        <v>484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x14ac:dyDescent="0.2">
      <c r="A2" s="70" t="s">
        <v>485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spans="1:11" x14ac:dyDescent="0.2">
      <c r="A4" s="12" t="s">
        <v>56</v>
      </c>
      <c r="B4" s="12" t="s">
        <v>57</v>
      </c>
      <c r="C4" s="12" t="s">
        <v>58</v>
      </c>
      <c r="D4" s="12" t="s">
        <v>476</v>
      </c>
      <c r="E4" s="12" t="s">
        <v>69</v>
      </c>
      <c r="F4" s="12" t="s">
        <v>486</v>
      </c>
      <c r="G4" s="12" t="s">
        <v>487</v>
      </c>
      <c r="H4" s="12" t="s">
        <v>488</v>
      </c>
      <c r="I4" s="12" t="s">
        <v>489</v>
      </c>
      <c r="J4" s="12" t="s">
        <v>490</v>
      </c>
      <c r="K4" s="12" t="s">
        <v>451</v>
      </c>
    </row>
    <row r="5" spans="1:11" x14ac:dyDescent="0.2">
      <c r="A5" s="3">
        <v>1</v>
      </c>
      <c r="B5" s="3" t="s">
        <v>72</v>
      </c>
      <c r="C5" s="3" t="s">
        <v>73</v>
      </c>
      <c r="D5" s="3" t="s">
        <v>74</v>
      </c>
      <c r="E5" s="21" t="s">
        <v>77</v>
      </c>
      <c r="F5" s="18">
        <v>10400</v>
      </c>
      <c r="G5" s="20">
        <v>0</v>
      </c>
      <c r="H5" s="19">
        <f t="shared" ref="H5:H36" si="0">F5*G5</f>
        <v>0</v>
      </c>
      <c r="I5" s="19">
        <f t="shared" ref="I5:I36" si="1">H5*8</f>
        <v>0</v>
      </c>
      <c r="J5" s="31">
        <v>0</v>
      </c>
      <c r="K5" s="19">
        <f t="shared" ref="K5:K36" si="2">I5+J5</f>
        <v>0</v>
      </c>
    </row>
    <row r="6" spans="1:11" x14ac:dyDescent="0.2">
      <c r="A6" s="3">
        <v>2</v>
      </c>
      <c r="B6" s="3" t="s">
        <v>79</v>
      </c>
      <c r="C6" s="3" t="s">
        <v>80</v>
      </c>
      <c r="D6" s="3" t="s">
        <v>74</v>
      </c>
      <c r="E6" s="21" t="s">
        <v>77</v>
      </c>
      <c r="F6" s="18">
        <v>12000</v>
      </c>
      <c r="G6" s="20">
        <v>0</v>
      </c>
      <c r="H6" s="19">
        <f t="shared" si="0"/>
        <v>0</v>
      </c>
      <c r="I6" s="19">
        <f t="shared" si="1"/>
        <v>0</v>
      </c>
      <c r="J6" s="31">
        <v>0</v>
      </c>
      <c r="K6" s="19">
        <f t="shared" si="2"/>
        <v>0</v>
      </c>
    </row>
    <row r="7" spans="1:11" x14ac:dyDescent="0.2">
      <c r="A7" s="3">
        <v>3</v>
      </c>
      <c r="B7" s="3" t="s">
        <v>82</v>
      </c>
      <c r="C7" s="3" t="s">
        <v>83</v>
      </c>
      <c r="D7" s="3" t="s">
        <v>74</v>
      </c>
      <c r="E7" s="21" t="s">
        <v>77</v>
      </c>
      <c r="F7" s="18">
        <v>10200</v>
      </c>
      <c r="G7" s="20">
        <v>0</v>
      </c>
      <c r="H7" s="19">
        <f t="shared" si="0"/>
        <v>0</v>
      </c>
      <c r="I7" s="19">
        <f t="shared" si="1"/>
        <v>0</v>
      </c>
      <c r="J7" s="31">
        <v>0</v>
      </c>
      <c r="K7" s="19">
        <f t="shared" si="2"/>
        <v>0</v>
      </c>
    </row>
    <row r="8" spans="1:11" x14ac:dyDescent="0.2">
      <c r="A8" s="3">
        <v>4</v>
      </c>
      <c r="B8" s="3" t="s">
        <v>84</v>
      </c>
      <c r="C8" s="3" t="s">
        <v>85</v>
      </c>
      <c r="D8" s="3" t="s">
        <v>86</v>
      </c>
      <c r="E8" s="21" t="s">
        <v>77</v>
      </c>
      <c r="F8" s="18">
        <v>12000</v>
      </c>
      <c r="G8" s="20">
        <v>0</v>
      </c>
      <c r="H8" s="19">
        <f t="shared" si="0"/>
        <v>0</v>
      </c>
      <c r="I8" s="19">
        <f t="shared" si="1"/>
        <v>0</v>
      </c>
      <c r="J8" s="31">
        <v>0</v>
      </c>
      <c r="K8" s="19">
        <f t="shared" si="2"/>
        <v>0</v>
      </c>
    </row>
    <row r="9" spans="1:11" x14ac:dyDescent="0.2">
      <c r="A9" s="3">
        <v>5</v>
      </c>
      <c r="B9" s="3" t="s">
        <v>88</v>
      </c>
      <c r="C9" s="3" t="s">
        <v>89</v>
      </c>
      <c r="D9" s="3" t="s">
        <v>86</v>
      </c>
      <c r="E9" s="21" t="s">
        <v>77</v>
      </c>
      <c r="F9" s="18">
        <v>13500</v>
      </c>
      <c r="G9" s="20">
        <v>0</v>
      </c>
      <c r="H9" s="19">
        <f t="shared" si="0"/>
        <v>0</v>
      </c>
      <c r="I9" s="19">
        <f t="shared" si="1"/>
        <v>0</v>
      </c>
      <c r="J9" s="31">
        <v>0</v>
      </c>
      <c r="K9" s="19">
        <f t="shared" si="2"/>
        <v>0</v>
      </c>
    </row>
    <row r="10" spans="1:11" x14ac:dyDescent="0.2">
      <c r="A10" s="3">
        <v>6</v>
      </c>
      <c r="B10" s="3" t="s">
        <v>91</v>
      </c>
      <c r="C10" s="3" t="s">
        <v>92</v>
      </c>
      <c r="D10" s="3" t="s">
        <v>93</v>
      </c>
      <c r="E10" s="21" t="s">
        <v>77</v>
      </c>
      <c r="F10" s="18">
        <v>16250</v>
      </c>
      <c r="G10" s="20">
        <v>0</v>
      </c>
      <c r="H10" s="19">
        <f t="shared" si="0"/>
        <v>0</v>
      </c>
      <c r="I10" s="19">
        <f t="shared" si="1"/>
        <v>0</v>
      </c>
      <c r="J10" s="31">
        <v>0</v>
      </c>
      <c r="K10" s="19">
        <f t="shared" si="2"/>
        <v>0</v>
      </c>
    </row>
    <row r="11" spans="1:11" x14ac:dyDescent="0.2">
      <c r="A11" s="3">
        <v>7</v>
      </c>
      <c r="B11" s="3" t="s">
        <v>96</v>
      </c>
      <c r="C11" s="3" t="s">
        <v>97</v>
      </c>
      <c r="D11" s="3" t="s">
        <v>86</v>
      </c>
      <c r="E11" s="21" t="s">
        <v>77</v>
      </c>
      <c r="F11" s="18">
        <v>11250</v>
      </c>
      <c r="G11" s="20">
        <v>0</v>
      </c>
      <c r="H11" s="19">
        <f t="shared" si="0"/>
        <v>0</v>
      </c>
      <c r="I11" s="19">
        <f t="shared" si="1"/>
        <v>0</v>
      </c>
      <c r="J11" s="31">
        <v>0</v>
      </c>
      <c r="K11" s="19">
        <f t="shared" si="2"/>
        <v>0</v>
      </c>
    </row>
    <row r="12" spans="1:11" x14ac:dyDescent="0.2">
      <c r="A12" s="3">
        <v>8</v>
      </c>
      <c r="B12" s="3" t="s">
        <v>98</v>
      </c>
      <c r="C12" s="3" t="s">
        <v>99</v>
      </c>
      <c r="D12" s="3" t="s">
        <v>86</v>
      </c>
      <c r="E12" s="21" t="s">
        <v>77</v>
      </c>
      <c r="F12" s="18">
        <v>13250</v>
      </c>
      <c r="G12" s="20">
        <v>0</v>
      </c>
      <c r="H12" s="19">
        <f t="shared" si="0"/>
        <v>0</v>
      </c>
      <c r="I12" s="19">
        <f t="shared" si="1"/>
        <v>0</v>
      </c>
      <c r="J12" s="31">
        <v>0</v>
      </c>
      <c r="K12" s="19">
        <f t="shared" si="2"/>
        <v>0</v>
      </c>
    </row>
    <row r="13" spans="1:11" x14ac:dyDescent="0.2">
      <c r="A13" s="3">
        <v>9</v>
      </c>
      <c r="B13" s="3" t="s">
        <v>100</v>
      </c>
      <c r="C13" s="3" t="s">
        <v>101</v>
      </c>
      <c r="D13" s="3" t="s">
        <v>102</v>
      </c>
      <c r="E13" s="21" t="s">
        <v>77</v>
      </c>
      <c r="F13" s="18">
        <v>12750</v>
      </c>
      <c r="G13" s="20">
        <v>0</v>
      </c>
      <c r="H13" s="19">
        <f t="shared" si="0"/>
        <v>0</v>
      </c>
      <c r="I13" s="19">
        <f t="shared" si="1"/>
        <v>0</v>
      </c>
      <c r="J13" s="31">
        <v>0</v>
      </c>
      <c r="K13" s="19">
        <f t="shared" si="2"/>
        <v>0</v>
      </c>
    </row>
    <row r="14" spans="1:11" x14ac:dyDescent="0.2">
      <c r="A14" s="3">
        <v>10</v>
      </c>
      <c r="B14" s="3" t="s">
        <v>103</v>
      </c>
      <c r="C14" s="3" t="s">
        <v>104</v>
      </c>
      <c r="D14" s="3" t="s">
        <v>86</v>
      </c>
      <c r="E14" s="21" t="s">
        <v>77</v>
      </c>
      <c r="F14" s="18">
        <v>11750</v>
      </c>
      <c r="G14" s="20">
        <v>0</v>
      </c>
      <c r="H14" s="19">
        <f t="shared" si="0"/>
        <v>0</v>
      </c>
      <c r="I14" s="19">
        <f t="shared" si="1"/>
        <v>0</v>
      </c>
      <c r="J14" s="31">
        <v>0</v>
      </c>
      <c r="K14" s="19">
        <f t="shared" si="2"/>
        <v>0</v>
      </c>
    </row>
    <row r="15" spans="1:11" x14ac:dyDescent="0.2">
      <c r="A15" s="3">
        <v>11</v>
      </c>
      <c r="B15" s="3" t="s">
        <v>105</v>
      </c>
      <c r="C15" s="3" t="s">
        <v>106</v>
      </c>
      <c r="D15" s="3" t="s">
        <v>107</v>
      </c>
      <c r="E15" s="23" t="s">
        <v>108</v>
      </c>
      <c r="F15" s="18">
        <v>5000</v>
      </c>
      <c r="G15" s="20">
        <v>0.11749999999999999</v>
      </c>
      <c r="H15" s="19">
        <f t="shared" si="0"/>
        <v>587.5</v>
      </c>
      <c r="I15" s="19">
        <f t="shared" si="1"/>
        <v>4700</v>
      </c>
      <c r="J15" s="31">
        <v>2350</v>
      </c>
      <c r="K15" s="19">
        <f t="shared" si="2"/>
        <v>7050</v>
      </c>
    </row>
    <row r="16" spans="1:11" x14ac:dyDescent="0.2">
      <c r="A16" s="3">
        <v>12</v>
      </c>
      <c r="B16" s="3" t="s">
        <v>109</v>
      </c>
      <c r="C16" s="3" t="s">
        <v>110</v>
      </c>
      <c r="D16" s="3" t="s">
        <v>111</v>
      </c>
      <c r="E16" s="21" t="s">
        <v>77</v>
      </c>
      <c r="F16" s="18">
        <v>12500</v>
      </c>
      <c r="G16" s="20">
        <v>0</v>
      </c>
      <c r="H16" s="19">
        <f t="shared" si="0"/>
        <v>0</v>
      </c>
      <c r="I16" s="19">
        <f t="shared" si="1"/>
        <v>0</v>
      </c>
      <c r="J16" s="31">
        <v>0</v>
      </c>
      <c r="K16" s="19">
        <f t="shared" si="2"/>
        <v>0</v>
      </c>
    </row>
    <row r="17" spans="1:11" x14ac:dyDescent="0.2">
      <c r="A17" s="3">
        <v>13</v>
      </c>
      <c r="B17" s="3" t="s">
        <v>112</v>
      </c>
      <c r="C17" s="3" t="s">
        <v>113</v>
      </c>
      <c r="D17" s="3" t="s">
        <v>114</v>
      </c>
      <c r="E17" s="23" t="s">
        <v>108</v>
      </c>
      <c r="F17" s="18">
        <v>16250</v>
      </c>
      <c r="G17" s="20">
        <v>0.11749999999999999</v>
      </c>
      <c r="H17" s="19">
        <f t="shared" si="0"/>
        <v>1909.375</v>
      </c>
      <c r="I17" s="19">
        <f t="shared" si="1"/>
        <v>15275</v>
      </c>
      <c r="J17" s="31">
        <v>7755</v>
      </c>
      <c r="K17" s="19">
        <f t="shared" si="2"/>
        <v>23030</v>
      </c>
    </row>
    <row r="18" spans="1:11" x14ac:dyDescent="0.2">
      <c r="A18" s="3">
        <v>14</v>
      </c>
      <c r="B18" s="3" t="s">
        <v>115</v>
      </c>
      <c r="C18" s="3" t="s">
        <v>116</v>
      </c>
      <c r="D18" s="3" t="s">
        <v>74</v>
      </c>
      <c r="E18" s="21" t="s">
        <v>77</v>
      </c>
      <c r="F18" s="18">
        <v>10000</v>
      </c>
      <c r="G18" s="20">
        <v>0</v>
      </c>
      <c r="H18" s="19">
        <f t="shared" si="0"/>
        <v>0</v>
      </c>
      <c r="I18" s="19">
        <f t="shared" si="1"/>
        <v>0</v>
      </c>
      <c r="J18" s="31">
        <v>0</v>
      </c>
      <c r="K18" s="19">
        <f t="shared" si="2"/>
        <v>0</v>
      </c>
    </row>
    <row r="19" spans="1:11" x14ac:dyDescent="0.2">
      <c r="A19" s="3">
        <v>15</v>
      </c>
      <c r="B19" s="3" t="s">
        <v>117</v>
      </c>
      <c r="C19" s="3" t="s">
        <v>118</v>
      </c>
      <c r="D19" s="3" t="s">
        <v>86</v>
      </c>
      <c r="E19" s="21" t="s">
        <v>77</v>
      </c>
      <c r="F19" s="18">
        <v>11250</v>
      </c>
      <c r="G19" s="20">
        <v>0</v>
      </c>
      <c r="H19" s="19">
        <f t="shared" si="0"/>
        <v>0</v>
      </c>
      <c r="I19" s="19">
        <f t="shared" si="1"/>
        <v>0</v>
      </c>
      <c r="J19" s="31">
        <v>0</v>
      </c>
      <c r="K19" s="19">
        <f t="shared" si="2"/>
        <v>0</v>
      </c>
    </row>
    <row r="20" spans="1:11" x14ac:dyDescent="0.2">
      <c r="A20" s="3">
        <v>16</v>
      </c>
      <c r="B20" s="3" t="s">
        <v>119</v>
      </c>
      <c r="C20" s="3" t="s">
        <v>120</v>
      </c>
      <c r="D20" s="3" t="s">
        <v>121</v>
      </c>
      <c r="E20" s="21" t="s">
        <v>77</v>
      </c>
      <c r="F20" s="18">
        <v>15000</v>
      </c>
      <c r="G20" s="20">
        <v>0</v>
      </c>
      <c r="H20" s="19">
        <f t="shared" si="0"/>
        <v>0</v>
      </c>
      <c r="I20" s="19">
        <f t="shared" si="1"/>
        <v>0</v>
      </c>
      <c r="J20" s="31">
        <v>0</v>
      </c>
      <c r="K20" s="19">
        <f t="shared" si="2"/>
        <v>0</v>
      </c>
    </row>
    <row r="21" spans="1:11" x14ac:dyDescent="0.2">
      <c r="A21" s="3">
        <v>17</v>
      </c>
      <c r="B21" s="3" t="s">
        <v>123</v>
      </c>
      <c r="C21" s="3" t="s">
        <v>124</v>
      </c>
      <c r="D21" s="3" t="s">
        <v>121</v>
      </c>
      <c r="E21" s="21" t="s">
        <v>77</v>
      </c>
      <c r="F21" s="18">
        <v>11750</v>
      </c>
      <c r="G21" s="20">
        <v>0</v>
      </c>
      <c r="H21" s="19">
        <f t="shared" si="0"/>
        <v>0</v>
      </c>
      <c r="I21" s="19">
        <f t="shared" si="1"/>
        <v>0</v>
      </c>
      <c r="J21" s="31">
        <v>0</v>
      </c>
      <c r="K21" s="19">
        <f t="shared" si="2"/>
        <v>0</v>
      </c>
    </row>
    <row r="22" spans="1:11" x14ac:dyDescent="0.2">
      <c r="A22" s="3">
        <v>18</v>
      </c>
      <c r="B22" s="3" t="s">
        <v>125</v>
      </c>
      <c r="C22" s="3" t="s">
        <v>126</v>
      </c>
      <c r="D22" s="3" t="s">
        <v>86</v>
      </c>
      <c r="E22" s="21" t="s">
        <v>77</v>
      </c>
      <c r="F22" s="18">
        <v>12000</v>
      </c>
      <c r="G22" s="20">
        <v>0</v>
      </c>
      <c r="H22" s="19">
        <f t="shared" si="0"/>
        <v>0</v>
      </c>
      <c r="I22" s="19">
        <f t="shared" si="1"/>
        <v>0</v>
      </c>
      <c r="J22" s="31">
        <v>0</v>
      </c>
      <c r="K22" s="19">
        <f t="shared" si="2"/>
        <v>0</v>
      </c>
    </row>
    <row r="23" spans="1:11" x14ac:dyDescent="0.2">
      <c r="A23" s="3">
        <v>19</v>
      </c>
      <c r="B23" s="3" t="s">
        <v>127</v>
      </c>
      <c r="C23" s="3" t="s">
        <v>128</v>
      </c>
      <c r="D23" s="3" t="s">
        <v>102</v>
      </c>
      <c r="E23" s="21" t="s">
        <v>77</v>
      </c>
      <c r="F23" s="18">
        <v>16250</v>
      </c>
      <c r="G23" s="20">
        <v>0</v>
      </c>
      <c r="H23" s="19">
        <f t="shared" si="0"/>
        <v>0</v>
      </c>
      <c r="I23" s="19">
        <f t="shared" si="1"/>
        <v>0</v>
      </c>
      <c r="J23" s="31">
        <v>0</v>
      </c>
      <c r="K23" s="19">
        <f t="shared" si="2"/>
        <v>0</v>
      </c>
    </row>
    <row r="24" spans="1:11" x14ac:dyDescent="0.2">
      <c r="A24" s="3">
        <v>20</v>
      </c>
      <c r="B24" s="3" t="s">
        <v>106</v>
      </c>
      <c r="C24" s="3" t="s">
        <v>129</v>
      </c>
      <c r="D24" s="3" t="s">
        <v>102</v>
      </c>
      <c r="E24" s="21" t="s">
        <v>77</v>
      </c>
      <c r="F24" s="18">
        <v>13250</v>
      </c>
      <c r="G24" s="20">
        <v>0</v>
      </c>
      <c r="H24" s="19">
        <f t="shared" si="0"/>
        <v>0</v>
      </c>
      <c r="I24" s="19">
        <f t="shared" si="1"/>
        <v>0</v>
      </c>
      <c r="J24" s="31">
        <v>0</v>
      </c>
      <c r="K24" s="19">
        <f t="shared" si="2"/>
        <v>0</v>
      </c>
    </row>
    <row r="25" spans="1:11" x14ac:dyDescent="0.2">
      <c r="A25" s="3">
        <v>21</v>
      </c>
      <c r="B25" s="3" t="s">
        <v>130</v>
      </c>
      <c r="C25" s="3" t="s">
        <v>131</v>
      </c>
      <c r="D25" s="3" t="s">
        <v>132</v>
      </c>
      <c r="E25" s="21" t="s">
        <v>77</v>
      </c>
      <c r="F25" s="18">
        <v>11750</v>
      </c>
      <c r="G25" s="20">
        <v>0</v>
      </c>
      <c r="H25" s="19">
        <f t="shared" si="0"/>
        <v>0</v>
      </c>
      <c r="I25" s="19">
        <f t="shared" si="1"/>
        <v>0</v>
      </c>
      <c r="J25" s="31">
        <v>0</v>
      </c>
      <c r="K25" s="19">
        <f t="shared" si="2"/>
        <v>0</v>
      </c>
    </row>
    <row r="26" spans="1:11" x14ac:dyDescent="0.2">
      <c r="A26" s="3">
        <v>22</v>
      </c>
      <c r="B26" s="3" t="s">
        <v>133</v>
      </c>
      <c r="C26" s="3" t="s">
        <v>134</v>
      </c>
      <c r="D26" s="3" t="s">
        <v>132</v>
      </c>
      <c r="E26" s="21" t="s">
        <v>77</v>
      </c>
      <c r="F26" s="18">
        <v>12500</v>
      </c>
      <c r="G26" s="20">
        <v>0</v>
      </c>
      <c r="H26" s="19">
        <f t="shared" si="0"/>
        <v>0</v>
      </c>
      <c r="I26" s="19">
        <f t="shared" si="1"/>
        <v>0</v>
      </c>
      <c r="J26" s="31">
        <v>0</v>
      </c>
      <c r="K26" s="19">
        <f t="shared" si="2"/>
        <v>0</v>
      </c>
    </row>
    <row r="27" spans="1:11" x14ac:dyDescent="0.2">
      <c r="A27" s="3">
        <v>23</v>
      </c>
      <c r="B27" s="3" t="s">
        <v>136</v>
      </c>
      <c r="C27" s="3" t="s">
        <v>137</v>
      </c>
      <c r="D27" s="3" t="s">
        <v>138</v>
      </c>
      <c r="E27" s="21" t="s">
        <v>77</v>
      </c>
      <c r="F27" s="18">
        <v>10400</v>
      </c>
      <c r="G27" s="20">
        <v>0</v>
      </c>
      <c r="H27" s="19">
        <f t="shared" si="0"/>
        <v>0</v>
      </c>
      <c r="I27" s="19">
        <f t="shared" si="1"/>
        <v>0</v>
      </c>
      <c r="J27" s="31">
        <v>0</v>
      </c>
      <c r="K27" s="19">
        <f t="shared" si="2"/>
        <v>0</v>
      </c>
    </row>
    <row r="28" spans="1:11" x14ac:dyDescent="0.2">
      <c r="A28" s="3">
        <v>24</v>
      </c>
      <c r="B28" s="3" t="s">
        <v>139</v>
      </c>
      <c r="C28" s="3" t="s">
        <v>140</v>
      </c>
      <c r="D28" s="3" t="s">
        <v>121</v>
      </c>
      <c r="E28" s="21" t="s">
        <v>77</v>
      </c>
      <c r="F28" s="18">
        <v>12500</v>
      </c>
      <c r="G28" s="20">
        <v>0</v>
      </c>
      <c r="H28" s="19">
        <f t="shared" si="0"/>
        <v>0</v>
      </c>
      <c r="I28" s="19">
        <f t="shared" si="1"/>
        <v>0</v>
      </c>
      <c r="J28" s="31">
        <v>0</v>
      </c>
      <c r="K28" s="19">
        <f t="shared" si="2"/>
        <v>0</v>
      </c>
    </row>
    <row r="29" spans="1:11" x14ac:dyDescent="0.2">
      <c r="A29" s="3">
        <v>25</v>
      </c>
      <c r="B29" s="3" t="s">
        <v>141</v>
      </c>
      <c r="C29" s="3" t="s">
        <v>142</v>
      </c>
      <c r="D29" s="3" t="s">
        <v>86</v>
      </c>
      <c r="E29" s="21" t="s">
        <v>77</v>
      </c>
      <c r="F29" s="18">
        <v>12000</v>
      </c>
      <c r="G29" s="20">
        <v>0</v>
      </c>
      <c r="H29" s="19">
        <f t="shared" si="0"/>
        <v>0</v>
      </c>
      <c r="I29" s="19">
        <f t="shared" si="1"/>
        <v>0</v>
      </c>
      <c r="J29" s="31">
        <v>0</v>
      </c>
      <c r="K29" s="19">
        <f t="shared" si="2"/>
        <v>0</v>
      </c>
    </row>
    <row r="30" spans="1:11" x14ac:dyDescent="0.2">
      <c r="A30" s="3">
        <v>26</v>
      </c>
      <c r="B30" s="3" t="s">
        <v>143</v>
      </c>
      <c r="C30" s="3" t="s">
        <v>144</v>
      </c>
      <c r="D30" s="3" t="s">
        <v>86</v>
      </c>
      <c r="E30" s="21" t="s">
        <v>77</v>
      </c>
      <c r="F30" s="18">
        <v>14000</v>
      </c>
      <c r="G30" s="20">
        <v>0</v>
      </c>
      <c r="H30" s="19">
        <f t="shared" si="0"/>
        <v>0</v>
      </c>
      <c r="I30" s="19">
        <f t="shared" si="1"/>
        <v>0</v>
      </c>
      <c r="J30" s="31">
        <v>0</v>
      </c>
      <c r="K30" s="19">
        <f t="shared" si="2"/>
        <v>0</v>
      </c>
    </row>
    <row r="31" spans="1:11" x14ac:dyDescent="0.2">
      <c r="A31" s="3">
        <v>27</v>
      </c>
      <c r="B31" s="3" t="s">
        <v>145</v>
      </c>
      <c r="C31" s="3" t="s">
        <v>146</v>
      </c>
      <c r="D31" s="3" t="s">
        <v>147</v>
      </c>
      <c r="E31" s="21" t="s">
        <v>77</v>
      </c>
      <c r="F31" s="18">
        <v>11750</v>
      </c>
      <c r="G31" s="20">
        <v>0</v>
      </c>
      <c r="H31" s="19">
        <f t="shared" si="0"/>
        <v>0</v>
      </c>
      <c r="I31" s="19">
        <f t="shared" si="1"/>
        <v>0</v>
      </c>
      <c r="J31" s="31">
        <v>0</v>
      </c>
      <c r="K31" s="19">
        <f t="shared" si="2"/>
        <v>0</v>
      </c>
    </row>
    <row r="32" spans="1:11" x14ac:dyDescent="0.2">
      <c r="A32" s="3">
        <v>28</v>
      </c>
      <c r="B32" s="3" t="s">
        <v>148</v>
      </c>
      <c r="C32" s="3" t="s">
        <v>149</v>
      </c>
      <c r="D32" s="3" t="s">
        <v>121</v>
      </c>
      <c r="E32" s="21" t="s">
        <v>77</v>
      </c>
      <c r="F32" s="18">
        <v>9900</v>
      </c>
      <c r="G32" s="20">
        <v>0</v>
      </c>
      <c r="H32" s="19">
        <f t="shared" si="0"/>
        <v>0</v>
      </c>
      <c r="I32" s="19">
        <f t="shared" si="1"/>
        <v>0</v>
      </c>
      <c r="J32" s="31">
        <v>0</v>
      </c>
      <c r="K32" s="19">
        <f t="shared" si="2"/>
        <v>0</v>
      </c>
    </row>
    <row r="33" spans="1:11" x14ac:dyDescent="0.2">
      <c r="A33" s="3">
        <v>29</v>
      </c>
      <c r="B33" s="3" t="s">
        <v>150</v>
      </c>
      <c r="C33" s="3" t="s">
        <v>151</v>
      </c>
      <c r="D33" s="3" t="s">
        <v>152</v>
      </c>
      <c r="E33" s="21" t="s">
        <v>77</v>
      </c>
      <c r="F33" s="18">
        <v>16000</v>
      </c>
      <c r="G33" s="20">
        <v>0</v>
      </c>
      <c r="H33" s="19">
        <f t="shared" si="0"/>
        <v>0</v>
      </c>
      <c r="I33" s="19">
        <f t="shared" si="1"/>
        <v>0</v>
      </c>
      <c r="J33" s="31">
        <v>0</v>
      </c>
      <c r="K33" s="19">
        <f t="shared" si="2"/>
        <v>0</v>
      </c>
    </row>
    <row r="34" spans="1:11" x14ac:dyDescent="0.2">
      <c r="A34" s="3">
        <v>30</v>
      </c>
      <c r="B34" s="3" t="s">
        <v>153</v>
      </c>
      <c r="C34" s="3" t="s">
        <v>154</v>
      </c>
      <c r="D34" s="3" t="s">
        <v>121</v>
      </c>
      <c r="E34" s="21" t="s">
        <v>77</v>
      </c>
      <c r="F34" s="18">
        <v>12250</v>
      </c>
      <c r="G34" s="20">
        <v>0</v>
      </c>
      <c r="H34" s="19">
        <f t="shared" si="0"/>
        <v>0</v>
      </c>
      <c r="I34" s="19">
        <f t="shared" si="1"/>
        <v>0</v>
      </c>
      <c r="J34" s="31">
        <v>0</v>
      </c>
      <c r="K34" s="19">
        <f t="shared" si="2"/>
        <v>0</v>
      </c>
    </row>
    <row r="35" spans="1:11" x14ac:dyDescent="0.2">
      <c r="A35" s="3">
        <v>31</v>
      </c>
      <c r="B35" s="3" t="s">
        <v>155</v>
      </c>
      <c r="C35" s="3" t="s">
        <v>156</v>
      </c>
      <c r="D35" s="3" t="s">
        <v>121</v>
      </c>
      <c r="E35" s="21" t="s">
        <v>77</v>
      </c>
      <c r="F35" s="18">
        <v>12000</v>
      </c>
      <c r="G35" s="20">
        <v>0</v>
      </c>
      <c r="H35" s="19">
        <f t="shared" si="0"/>
        <v>0</v>
      </c>
      <c r="I35" s="19">
        <f t="shared" si="1"/>
        <v>0</v>
      </c>
      <c r="J35" s="31">
        <v>0</v>
      </c>
      <c r="K35" s="19">
        <f t="shared" si="2"/>
        <v>0</v>
      </c>
    </row>
    <row r="36" spans="1:11" x14ac:dyDescent="0.2">
      <c r="A36" s="3">
        <v>32</v>
      </c>
      <c r="B36" s="3" t="s">
        <v>157</v>
      </c>
      <c r="C36" s="3" t="s">
        <v>158</v>
      </c>
      <c r="D36" s="3" t="s">
        <v>159</v>
      </c>
      <c r="E36" s="21" t="s">
        <v>77</v>
      </c>
      <c r="F36" s="18">
        <v>10200</v>
      </c>
      <c r="G36" s="20">
        <v>0</v>
      </c>
      <c r="H36" s="19">
        <f t="shared" si="0"/>
        <v>0</v>
      </c>
      <c r="I36" s="19">
        <f t="shared" si="1"/>
        <v>0</v>
      </c>
      <c r="J36" s="31">
        <v>0</v>
      </c>
      <c r="K36" s="19">
        <f t="shared" si="2"/>
        <v>0</v>
      </c>
    </row>
    <row r="37" spans="1:11" x14ac:dyDescent="0.2">
      <c r="A37" s="3">
        <v>33</v>
      </c>
      <c r="B37" s="3" t="s">
        <v>161</v>
      </c>
      <c r="C37" s="3" t="s">
        <v>162</v>
      </c>
      <c r="D37" s="3" t="s">
        <v>121</v>
      </c>
      <c r="E37" s="21" t="s">
        <v>77</v>
      </c>
      <c r="F37" s="18">
        <v>11250</v>
      </c>
      <c r="G37" s="20">
        <v>0</v>
      </c>
      <c r="H37" s="19">
        <f t="shared" ref="H37:H68" si="3">F37*G37</f>
        <v>0</v>
      </c>
      <c r="I37" s="19">
        <f t="shared" ref="I37:I68" si="4">H37*8</f>
        <v>0</v>
      </c>
      <c r="J37" s="31">
        <v>0</v>
      </c>
      <c r="K37" s="19">
        <f t="shared" ref="K37:K68" si="5">I37+J37</f>
        <v>0</v>
      </c>
    </row>
    <row r="38" spans="1:11" x14ac:dyDescent="0.2">
      <c r="A38" s="3">
        <v>34</v>
      </c>
      <c r="B38" s="3" t="s">
        <v>163</v>
      </c>
      <c r="C38" s="3" t="s">
        <v>164</v>
      </c>
      <c r="D38" s="3" t="s">
        <v>121</v>
      </c>
      <c r="E38" s="21" t="s">
        <v>77</v>
      </c>
      <c r="F38" s="18">
        <v>13000</v>
      </c>
      <c r="G38" s="20">
        <v>0</v>
      </c>
      <c r="H38" s="19">
        <f t="shared" si="3"/>
        <v>0</v>
      </c>
      <c r="I38" s="19">
        <f t="shared" si="4"/>
        <v>0</v>
      </c>
      <c r="J38" s="31">
        <v>0</v>
      </c>
      <c r="K38" s="19">
        <f t="shared" si="5"/>
        <v>0</v>
      </c>
    </row>
    <row r="39" spans="1:11" x14ac:dyDescent="0.2">
      <c r="A39" s="3">
        <v>35</v>
      </c>
      <c r="B39" s="3" t="s">
        <v>165</v>
      </c>
      <c r="C39" s="3" t="s">
        <v>166</v>
      </c>
      <c r="D39" s="3" t="s">
        <v>167</v>
      </c>
      <c r="E39" s="21" t="s">
        <v>77</v>
      </c>
      <c r="F39" s="18">
        <v>14750</v>
      </c>
      <c r="G39" s="20">
        <v>0</v>
      </c>
      <c r="H39" s="19">
        <f t="shared" si="3"/>
        <v>0</v>
      </c>
      <c r="I39" s="19">
        <f t="shared" si="4"/>
        <v>0</v>
      </c>
      <c r="J39" s="31">
        <v>0</v>
      </c>
      <c r="K39" s="19">
        <f t="shared" si="5"/>
        <v>0</v>
      </c>
    </row>
    <row r="40" spans="1:11" x14ac:dyDescent="0.2">
      <c r="A40" s="3">
        <v>36</v>
      </c>
      <c r="B40" s="3" t="s">
        <v>168</v>
      </c>
      <c r="C40" s="3" t="s">
        <v>169</v>
      </c>
      <c r="D40" s="3" t="s">
        <v>74</v>
      </c>
      <c r="E40" s="21" t="s">
        <v>77</v>
      </c>
      <c r="F40" s="18">
        <v>10600</v>
      </c>
      <c r="G40" s="20">
        <v>0</v>
      </c>
      <c r="H40" s="19">
        <f t="shared" si="3"/>
        <v>0</v>
      </c>
      <c r="I40" s="19">
        <f t="shared" si="4"/>
        <v>0</v>
      </c>
      <c r="J40" s="31">
        <v>0</v>
      </c>
      <c r="K40" s="19">
        <f t="shared" si="5"/>
        <v>0</v>
      </c>
    </row>
    <row r="41" spans="1:11" x14ac:dyDescent="0.2">
      <c r="A41" s="3">
        <v>37</v>
      </c>
      <c r="B41" s="3" t="s">
        <v>170</v>
      </c>
      <c r="C41" s="3" t="s">
        <v>171</v>
      </c>
      <c r="D41" s="3" t="s">
        <v>121</v>
      </c>
      <c r="E41" s="21" t="s">
        <v>77</v>
      </c>
      <c r="F41" s="18">
        <v>13000</v>
      </c>
      <c r="G41" s="20">
        <v>0</v>
      </c>
      <c r="H41" s="19">
        <f t="shared" si="3"/>
        <v>0</v>
      </c>
      <c r="I41" s="19">
        <f t="shared" si="4"/>
        <v>0</v>
      </c>
      <c r="J41" s="31">
        <v>0</v>
      </c>
      <c r="K41" s="19">
        <f t="shared" si="5"/>
        <v>0</v>
      </c>
    </row>
    <row r="42" spans="1:11" x14ac:dyDescent="0.2">
      <c r="A42" s="3">
        <v>38</v>
      </c>
      <c r="B42" s="3" t="s">
        <v>172</v>
      </c>
      <c r="C42" s="3" t="s">
        <v>173</v>
      </c>
      <c r="D42" s="3" t="s">
        <v>86</v>
      </c>
      <c r="E42" s="21" t="s">
        <v>77</v>
      </c>
      <c r="F42" s="18">
        <v>12500</v>
      </c>
      <c r="G42" s="20">
        <v>0</v>
      </c>
      <c r="H42" s="19">
        <f t="shared" si="3"/>
        <v>0</v>
      </c>
      <c r="I42" s="19">
        <f t="shared" si="4"/>
        <v>0</v>
      </c>
      <c r="J42" s="31">
        <v>0</v>
      </c>
      <c r="K42" s="19">
        <f t="shared" si="5"/>
        <v>0</v>
      </c>
    </row>
    <row r="43" spans="1:11" x14ac:dyDescent="0.2">
      <c r="A43" s="3">
        <v>39</v>
      </c>
      <c r="B43" s="3" t="s">
        <v>174</v>
      </c>
      <c r="C43" s="3" t="s">
        <v>175</v>
      </c>
      <c r="D43" s="3" t="s">
        <v>159</v>
      </c>
      <c r="E43" s="21" t="s">
        <v>77</v>
      </c>
      <c r="F43" s="18">
        <v>9200</v>
      </c>
      <c r="G43" s="20">
        <v>0</v>
      </c>
      <c r="H43" s="19">
        <f t="shared" si="3"/>
        <v>0</v>
      </c>
      <c r="I43" s="19">
        <f t="shared" si="4"/>
        <v>0</v>
      </c>
      <c r="J43" s="31">
        <v>0</v>
      </c>
      <c r="K43" s="19">
        <f t="shared" si="5"/>
        <v>0</v>
      </c>
    </row>
    <row r="44" spans="1:11" x14ac:dyDescent="0.2">
      <c r="A44" s="3">
        <v>40</v>
      </c>
      <c r="B44" s="3" t="s">
        <v>176</v>
      </c>
      <c r="C44" s="3" t="s">
        <v>177</v>
      </c>
      <c r="D44" s="3" t="s">
        <v>159</v>
      </c>
      <c r="E44" s="21" t="s">
        <v>77</v>
      </c>
      <c r="F44" s="18">
        <v>11500</v>
      </c>
      <c r="G44" s="20">
        <v>0</v>
      </c>
      <c r="H44" s="19">
        <f t="shared" si="3"/>
        <v>0</v>
      </c>
      <c r="I44" s="19">
        <f t="shared" si="4"/>
        <v>0</v>
      </c>
      <c r="J44" s="31">
        <v>0</v>
      </c>
      <c r="K44" s="19">
        <f t="shared" si="5"/>
        <v>0</v>
      </c>
    </row>
    <row r="45" spans="1:11" x14ac:dyDescent="0.2">
      <c r="A45" s="3">
        <v>41</v>
      </c>
      <c r="B45" s="3" t="s">
        <v>178</v>
      </c>
      <c r="C45" s="3" t="s">
        <v>179</v>
      </c>
      <c r="D45" s="3" t="s">
        <v>86</v>
      </c>
      <c r="E45" s="21" t="s">
        <v>77</v>
      </c>
      <c r="F45" s="18">
        <v>12000</v>
      </c>
      <c r="G45" s="20">
        <v>0</v>
      </c>
      <c r="H45" s="19">
        <f t="shared" si="3"/>
        <v>0</v>
      </c>
      <c r="I45" s="19">
        <f t="shared" si="4"/>
        <v>0</v>
      </c>
      <c r="J45" s="31">
        <v>0</v>
      </c>
      <c r="K45" s="19">
        <f t="shared" si="5"/>
        <v>0</v>
      </c>
    </row>
    <row r="46" spans="1:11" x14ac:dyDescent="0.2">
      <c r="A46" s="3">
        <v>42</v>
      </c>
      <c r="B46" s="3" t="s">
        <v>180</v>
      </c>
      <c r="C46" s="3" t="s">
        <v>181</v>
      </c>
      <c r="D46" s="3" t="s">
        <v>182</v>
      </c>
      <c r="E46" s="21" t="s">
        <v>77</v>
      </c>
      <c r="F46" s="18">
        <v>10400</v>
      </c>
      <c r="G46" s="20">
        <v>0</v>
      </c>
      <c r="H46" s="19">
        <f t="shared" si="3"/>
        <v>0</v>
      </c>
      <c r="I46" s="19">
        <f t="shared" si="4"/>
        <v>0</v>
      </c>
      <c r="J46" s="31">
        <v>0</v>
      </c>
      <c r="K46" s="19">
        <f t="shared" si="5"/>
        <v>0</v>
      </c>
    </row>
    <row r="47" spans="1:11" x14ac:dyDescent="0.2">
      <c r="A47" s="3">
        <v>43</v>
      </c>
      <c r="B47" s="3" t="s">
        <v>183</v>
      </c>
      <c r="C47" s="3" t="s">
        <v>184</v>
      </c>
      <c r="D47" s="3" t="s">
        <v>132</v>
      </c>
      <c r="E47" s="21" t="s">
        <v>77</v>
      </c>
      <c r="F47" s="18">
        <v>11000</v>
      </c>
      <c r="G47" s="20">
        <v>0</v>
      </c>
      <c r="H47" s="19">
        <f t="shared" si="3"/>
        <v>0</v>
      </c>
      <c r="I47" s="19">
        <f t="shared" si="4"/>
        <v>0</v>
      </c>
      <c r="J47" s="31">
        <v>0</v>
      </c>
      <c r="K47" s="19">
        <f t="shared" si="5"/>
        <v>0</v>
      </c>
    </row>
    <row r="48" spans="1:11" x14ac:dyDescent="0.2">
      <c r="A48" s="3">
        <v>44</v>
      </c>
      <c r="B48" s="3" t="s">
        <v>185</v>
      </c>
      <c r="C48" s="3" t="s">
        <v>186</v>
      </c>
      <c r="D48" s="3" t="s">
        <v>147</v>
      </c>
      <c r="E48" s="21" t="s">
        <v>77</v>
      </c>
      <c r="F48" s="18">
        <v>15250</v>
      </c>
      <c r="G48" s="20">
        <v>0</v>
      </c>
      <c r="H48" s="19">
        <f t="shared" si="3"/>
        <v>0</v>
      </c>
      <c r="I48" s="19">
        <f t="shared" si="4"/>
        <v>0</v>
      </c>
      <c r="J48" s="31">
        <v>0</v>
      </c>
      <c r="K48" s="19">
        <f t="shared" si="5"/>
        <v>0</v>
      </c>
    </row>
    <row r="49" spans="1:11" x14ac:dyDescent="0.2">
      <c r="A49" s="3">
        <v>45</v>
      </c>
      <c r="B49" s="3" t="s">
        <v>187</v>
      </c>
      <c r="C49" s="3" t="s">
        <v>188</v>
      </c>
      <c r="D49" s="3" t="s">
        <v>132</v>
      </c>
      <c r="E49" s="21" t="s">
        <v>77</v>
      </c>
      <c r="F49" s="18">
        <v>10400</v>
      </c>
      <c r="G49" s="20">
        <v>0</v>
      </c>
      <c r="H49" s="19">
        <f t="shared" si="3"/>
        <v>0</v>
      </c>
      <c r="I49" s="19">
        <f t="shared" si="4"/>
        <v>0</v>
      </c>
      <c r="J49" s="31">
        <v>0</v>
      </c>
      <c r="K49" s="19">
        <f t="shared" si="5"/>
        <v>0</v>
      </c>
    </row>
    <row r="50" spans="1:11" x14ac:dyDescent="0.2">
      <c r="A50" s="3">
        <v>46</v>
      </c>
      <c r="B50" s="3" t="s">
        <v>189</v>
      </c>
      <c r="C50" s="3" t="s">
        <v>190</v>
      </c>
      <c r="D50" s="3" t="s">
        <v>86</v>
      </c>
      <c r="E50" s="21" t="s">
        <v>77</v>
      </c>
      <c r="F50" s="18">
        <v>12000</v>
      </c>
      <c r="G50" s="20">
        <v>0</v>
      </c>
      <c r="H50" s="19">
        <f t="shared" si="3"/>
        <v>0</v>
      </c>
      <c r="I50" s="19">
        <f t="shared" si="4"/>
        <v>0</v>
      </c>
      <c r="J50" s="31">
        <v>0</v>
      </c>
      <c r="K50" s="19">
        <f t="shared" si="5"/>
        <v>0</v>
      </c>
    </row>
    <row r="51" spans="1:11" x14ac:dyDescent="0.2">
      <c r="A51" s="3">
        <v>47</v>
      </c>
      <c r="B51" s="3" t="s">
        <v>191</v>
      </c>
      <c r="C51" s="3" t="s">
        <v>192</v>
      </c>
      <c r="D51" s="3" t="s">
        <v>121</v>
      </c>
      <c r="E51" s="21" t="s">
        <v>77</v>
      </c>
      <c r="F51" s="18">
        <v>12000</v>
      </c>
      <c r="G51" s="20">
        <v>0</v>
      </c>
      <c r="H51" s="19">
        <f t="shared" si="3"/>
        <v>0</v>
      </c>
      <c r="I51" s="19">
        <f t="shared" si="4"/>
        <v>0</v>
      </c>
      <c r="J51" s="31">
        <v>0</v>
      </c>
      <c r="K51" s="19">
        <f t="shared" si="5"/>
        <v>0</v>
      </c>
    </row>
    <row r="52" spans="1:11" x14ac:dyDescent="0.2">
      <c r="A52" s="3">
        <v>48</v>
      </c>
      <c r="B52" s="3" t="s">
        <v>193</v>
      </c>
      <c r="C52" s="3" t="s">
        <v>194</v>
      </c>
      <c r="D52" s="3" t="s">
        <v>74</v>
      </c>
      <c r="E52" s="21" t="s">
        <v>77</v>
      </c>
      <c r="F52" s="18">
        <v>10200</v>
      </c>
      <c r="G52" s="20">
        <v>0</v>
      </c>
      <c r="H52" s="19">
        <f t="shared" si="3"/>
        <v>0</v>
      </c>
      <c r="I52" s="19">
        <f t="shared" si="4"/>
        <v>0</v>
      </c>
      <c r="J52" s="31">
        <v>0</v>
      </c>
      <c r="K52" s="19">
        <f t="shared" si="5"/>
        <v>0</v>
      </c>
    </row>
    <row r="53" spans="1:11" x14ac:dyDescent="0.2">
      <c r="A53" s="3">
        <v>49</v>
      </c>
      <c r="B53" s="3" t="s">
        <v>195</v>
      </c>
      <c r="C53" s="3" t="s">
        <v>196</v>
      </c>
      <c r="D53" s="3" t="s">
        <v>121</v>
      </c>
      <c r="E53" s="21" t="s">
        <v>77</v>
      </c>
      <c r="F53" s="18">
        <v>11750</v>
      </c>
      <c r="G53" s="20">
        <v>0</v>
      </c>
      <c r="H53" s="19">
        <f t="shared" si="3"/>
        <v>0</v>
      </c>
      <c r="I53" s="19">
        <f t="shared" si="4"/>
        <v>0</v>
      </c>
      <c r="J53" s="31">
        <v>0</v>
      </c>
      <c r="K53" s="19">
        <f t="shared" si="5"/>
        <v>0</v>
      </c>
    </row>
    <row r="54" spans="1:11" x14ac:dyDescent="0.2">
      <c r="A54" s="3">
        <v>50</v>
      </c>
      <c r="B54" s="3" t="s">
        <v>197</v>
      </c>
      <c r="C54" s="3" t="s">
        <v>198</v>
      </c>
      <c r="D54" s="3" t="s">
        <v>132</v>
      </c>
      <c r="E54" s="21" t="s">
        <v>77</v>
      </c>
      <c r="F54" s="18">
        <v>12250</v>
      </c>
      <c r="G54" s="20">
        <v>0</v>
      </c>
      <c r="H54" s="19">
        <f t="shared" si="3"/>
        <v>0</v>
      </c>
      <c r="I54" s="19">
        <f t="shared" si="4"/>
        <v>0</v>
      </c>
      <c r="J54" s="31">
        <v>0</v>
      </c>
      <c r="K54" s="19">
        <f t="shared" si="5"/>
        <v>0</v>
      </c>
    </row>
    <row r="55" spans="1:11" x14ac:dyDescent="0.2">
      <c r="A55" s="3">
        <v>51</v>
      </c>
      <c r="B55" s="3" t="s">
        <v>199</v>
      </c>
      <c r="C55" s="3" t="s">
        <v>200</v>
      </c>
      <c r="D55" s="3" t="s">
        <v>86</v>
      </c>
      <c r="E55" s="21" t="s">
        <v>77</v>
      </c>
      <c r="F55" s="18">
        <v>11750</v>
      </c>
      <c r="G55" s="20">
        <v>0</v>
      </c>
      <c r="H55" s="19">
        <f t="shared" si="3"/>
        <v>0</v>
      </c>
      <c r="I55" s="19">
        <f t="shared" si="4"/>
        <v>0</v>
      </c>
      <c r="J55" s="31">
        <v>0</v>
      </c>
      <c r="K55" s="19">
        <f t="shared" si="5"/>
        <v>0</v>
      </c>
    </row>
    <row r="56" spans="1:11" x14ac:dyDescent="0.2">
      <c r="A56" s="3">
        <v>52</v>
      </c>
      <c r="B56" s="3" t="s">
        <v>201</v>
      </c>
      <c r="C56" s="3" t="s">
        <v>202</v>
      </c>
      <c r="D56" s="3" t="s">
        <v>132</v>
      </c>
      <c r="E56" s="21" t="s">
        <v>77</v>
      </c>
      <c r="F56" s="18">
        <v>13250</v>
      </c>
      <c r="G56" s="20">
        <v>0</v>
      </c>
      <c r="H56" s="19">
        <f t="shared" si="3"/>
        <v>0</v>
      </c>
      <c r="I56" s="19">
        <f t="shared" si="4"/>
        <v>0</v>
      </c>
      <c r="J56" s="31">
        <v>0</v>
      </c>
      <c r="K56" s="19">
        <f t="shared" si="5"/>
        <v>0</v>
      </c>
    </row>
    <row r="57" spans="1:11" x14ac:dyDescent="0.2">
      <c r="A57" s="3">
        <v>53</v>
      </c>
      <c r="B57" s="3" t="s">
        <v>203</v>
      </c>
      <c r="C57" s="3" t="s">
        <v>204</v>
      </c>
      <c r="D57" s="3" t="s">
        <v>205</v>
      </c>
      <c r="E57" s="21" t="s">
        <v>77</v>
      </c>
      <c r="F57" s="18">
        <v>16750</v>
      </c>
      <c r="G57" s="20">
        <v>0</v>
      </c>
      <c r="H57" s="19">
        <f t="shared" si="3"/>
        <v>0</v>
      </c>
      <c r="I57" s="19">
        <f t="shared" si="4"/>
        <v>0</v>
      </c>
      <c r="J57" s="31">
        <v>0</v>
      </c>
      <c r="K57" s="19">
        <f t="shared" si="5"/>
        <v>0</v>
      </c>
    </row>
    <row r="58" spans="1:11" x14ac:dyDescent="0.2">
      <c r="A58" s="3">
        <v>54</v>
      </c>
      <c r="B58" s="3" t="s">
        <v>206</v>
      </c>
      <c r="C58" s="3" t="s">
        <v>207</v>
      </c>
      <c r="D58" s="3" t="s">
        <v>121</v>
      </c>
      <c r="E58" s="21" t="s">
        <v>77</v>
      </c>
      <c r="F58" s="18">
        <v>13250</v>
      </c>
      <c r="G58" s="20">
        <v>0</v>
      </c>
      <c r="H58" s="19">
        <f t="shared" si="3"/>
        <v>0</v>
      </c>
      <c r="I58" s="19">
        <f t="shared" si="4"/>
        <v>0</v>
      </c>
      <c r="J58" s="31">
        <v>0</v>
      </c>
      <c r="K58" s="19">
        <f t="shared" si="5"/>
        <v>0</v>
      </c>
    </row>
    <row r="59" spans="1:11" x14ac:dyDescent="0.2">
      <c r="A59" s="3">
        <v>55</v>
      </c>
      <c r="B59" s="3" t="s">
        <v>208</v>
      </c>
      <c r="C59" s="3" t="s">
        <v>209</v>
      </c>
      <c r="D59" s="3" t="s">
        <v>121</v>
      </c>
      <c r="E59" s="21" t="s">
        <v>77</v>
      </c>
      <c r="F59" s="18">
        <v>11000</v>
      </c>
      <c r="G59" s="20">
        <v>0</v>
      </c>
      <c r="H59" s="19">
        <f t="shared" si="3"/>
        <v>0</v>
      </c>
      <c r="I59" s="19">
        <f t="shared" si="4"/>
        <v>0</v>
      </c>
      <c r="J59" s="31">
        <v>0</v>
      </c>
      <c r="K59" s="19">
        <f t="shared" si="5"/>
        <v>0</v>
      </c>
    </row>
    <row r="60" spans="1:11" x14ac:dyDescent="0.2">
      <c r="A60" s="3">
        <v>56</v>
      </c>
      <c r="B60" s="3" t="s">
        <v>210</v>
      </c>
      <c r="C60" s="3" t="s">
        <v>211</v>
      </c>
      <c r="D60" s="3" t="s">
        <v>121</v>
      </c>
      <c r="E60" s="21" t="s">
        <v>77</v>
      </c>
      <c r="F60" s="18">
        <v>13750</v>
      </c>
      <c r="G60" s="20">
        <v>0</v>
      </c>
      <c r="H60" s="19">
        <f t="shared" si="3"/>
        <v>0</v>
      </c>
      <c r="I60" s="19">
        <f t="shared" si="4"/>
        <v>0</v>
      </c>
      <c r="J60" s="31">
        <v>0</v>
      </c>
      <c r="K60" s="19">
        <f t="shared" si="5"/>
        <v>0</v>
      </c>
    </row>
    <row r="61" spans="1:11" x14ac:dyDescent="0.2">
      <c r="A61" s="3">
        <v>57</v>
      </c>
      <c r="B61" s="3" t="s">
        <v>212</v>
      </c>
      <c r="C61" s="3" t="s">
        <v>213</v>
      </c>
      <c r="D61" s="3" t="s">
        <v>86</v>
      </c>
      <c r="E61" s="21" t="s">
        <v>77</v>
      </c>
      <c r="F61" s="18">
        <v>15000</v>
      </c>
      <c r="G61" s="20">
        <v>0</v>
      </c>
      <c r="H61" s="19">
        <f t="shared" si="3"/>
        <v>0</v>
      </c>
      <c r="I61" s="19">
        <f t="shared" si="4"/>
        <v>0</v>
      </c>
      <c r="J61" s="31">
        <v>0</v>
      </c>
      <c r="K61" s="19">
        <f t="shared" si="5"/>
        <v>0</v>
      </c>
    </row>
    <row r="62" spans="1:11" x14ac:dyDescent="0.2">
      <c r="A62" s="3">
        <v>58</v>
      </c>
      <c r="B62" s="3" t="s">
        <v>214</v>
      </c>
      <c r="C62" s="3" t="s">
        <v>215</v>
      </c>
      <c r="D62" s="3" t="s">
        <v>86</v>
      </c>
      <c r="E62" s="21" t="s">
        <v>77</v>
      </c>
      <c r="F62" s="18">
        <v>11250</v>
      </c>
      <c r="G62" s="20">
        <v>0</v>
      </c>
      <c r="H62" s="19">
        <f t="shared" si="3"/>
        <v>0</v>
      </c>
      <c r="I62" s="19">
        <f t="shared" si="4"/>
        <v>0</v>
      </c>
      <c r="J62" s="31">
        <v>0</v>
      </c>
      <c r="K62" s="19">
        <f t="shared" si="5"/>
        <v>0</v>
      </c>
    </row>
    <row r="63" spans="1:11" x14ac:dyDescent="0.2">
      <c r="A63" s="3">
        <v>59</v>
      </c>
      <c r="B63" s="3" t="s">
        <v>216</v>
      </c>
      <c r="C63" s="3" t="s">
        <v>217</v>
      </c>
      <c r="D63" s="3" t="s">
        <v>132</v>
      </c>
      <c r="E63" s="21" t="s">
        <v>77</v>
      </c>
      <c r="F63" s="18">
        <v>11750</v>
      </c>
      <c r="G63" s="20">
        <v>0</v>
      </c>
      <c r="H63" s="19">
        <f t="shared" si="3"/>
        <v>0</v>
      </c>
      <c r="I63" s="19">
        <f t="shared" si="4"/>
        <v>0</v>
      </c>
      <c r="J63" s="31">
        <v>0</v>
      </c>
      <c r="K63" s="19">
        <f t="shared" si="5"/>
        <v>0</v>
      </c>
    </row>
    <row r="64" spans="1:11" x14ac:dyDescent="0.2">
      <c r="A64" s="3">
        <v>60</v>
      </c>
      <c r="B64" s="3" t="s">
        <v>218</v>
      </c>
      <c r="C64" s="3" t="s">
        <v>219</v>
      </c>
      <c r="D64" s="3" t="s">
        <v>86</v>
      </c>
      <c r="E64" s="21" t="s">
        <v>77</v>
      </c>
      <c r="F64" s="18">
        <v>11750</v>
      </c>
      <c r="G64" s="20">
        <v>0</v>
      </c>
      <c r="H64" s="19">
        <f t="shared" si="3"/>
        <v>0</v>
      </c>
      <c r="I64" s="19">
        <f t="shared" si="4"/>
        <v>0</v>
      </c>
      <c r="J64" s="31">
        <v>0</v>
      </c>
      <c r="K64" s="19">
        <f t="shared" si="5"/>
        <v>0</v>
      </c>
    </row>
    <row r="65" spans="1:11" x14ac:dyDescent="0.2">
      <c r="A65" s="3">
        <v>61</v>
      </c>
      <c r="B65" s="3" t="s">
        <v>220</v>
      </c>
      <c r="C65" s="3" t="s">
        <v>142</v>
      </c>
      <c r="D65" s="3" t="s">
        <v>159</v>
      </c>
      <c r="E65" s="21" t="s">
        <v>77</v>
      </c>
      <c r="F65" s="18">
        <v>9800</v>
      </c>
      <c r="G65" s="20">
        <v>0</v>
      </c>
      <c r="H65" s="19">
        <f t="shared" si="3"/>
        <v>0</v>
      </c>
      <c r="I65" s="19">
        <f t="shared" si="4"/>
        <v>0</v>
      </c>
      <c r="J65" s="31">
        <v>0</v>
      </c>
      <c r="K65" s="19">
        <f t="shared" si="5"/>
        <v>0</v>
      </c>
    </row>
    <row r="66" spans="1:11" x14ac:dyDescent="0.2">
      <c r="A66" s="3">
        <v>62</v>
      </c>
      <c r="B66" s="3" t="s">
        <v>221</v>
      </c>
      <c r="C66" s="3" t="s">
        <v>222</v>
      </c>
      <c r="D66" s="3" t="s">
        <v>223</v>
      </c>
      <c r="E66" s="21" t="s">
        <v>77</v>
      </c>
      <c r="F66" s="18">
        <v>16500</v>
      </c>
      <c r="G66" s="20">
        <v>0</v>
      </c>
      <c r="H66" s="19">
        <f t="shared" si="3"/>
        <v>0</v>
      </c>
      <c r="I66" s="19">
        <f t="shared" si="4"/>
        <v>0</v>
      </c>
      <c r="J66" s="31">
        <v>0</v>
      </c>
      <c r="K66" s="19">
        <f t="shared" si="5"/>
        <v>0</v>
      </c>
    </row>
    <row r="67" spans="1:11" x14ac:dyDescent="0.2">
      <c r="A67" s="3">
        <v>63</v>
      </c>
      <c r="B67" s="3" t="s">
        <v>225</v>
      </c>
      <c r="C67" s="3" t="s">
        <v>226</v>
      </c>
      <c r="D67" s="3" t="s">
        <v>227</v>
      </c>
      <c r="E67" s="21" t="s">
        <v>77</v>
      </c>
      <c r="F67" s="18">
        <v>16000</v>
      </c>
      <c r="G67" s="20">
        <v>0</v>
      </c>
      <c r="H67" s="19">
        <f t="shared" si="3"/>
        <v>0</v>
      </c>
      <c r="I67" s="19">
        <f t="shared" si="4"/>
        <v>0</v>
      </c>
      <c r="J67" s="31">
        <v>0</v>
      </c>
      <c r="K67" s="19">
        <f t="shared" si="5"/>
        <v>0</v>
      </c>
    </row>
    <row r="68" spans="1:11" x14ac:dyDescent="0.2">
      <c r="A68" s="3">
        <v>64</v>
      </c>
      <c r="B68" s="3" t="s">
        <v>229</v>
      </c>
      <c r="C68" s="3" t="s">
        <v>230</v>
      </c>
      <c r="D68" s="3" t="s">
        <v>121</v>
      </c>
      <c r="E68" s="21" t="s">
        <v>77</v>
      </c>
      <c r="F68" s="18">
        <v>15000</v>
      </c>
      <c r="G68" s="20">
        <v>0</v>
      </c>
      <c r="H68" s="19">
        <f t="shared" si="3"/>
        <v>0</v>
      </c>
      <c r="I68" s="19">
        <f t="shared" si="4"/>
        <v>0</v>
      </c>
      <c r="J68" s="31">
        <v>0</v>
      </c>
      <c r="K68" s="19">
        <f t="shared" si="5"/>
        <v>0</v>
      </c>
    </row>
    <row r="69" spans="1:11" x14ac:dyDescent="0.2">
      <c r="A69" s="3">
        <v>65</v>
      </c>
      <c r="B69" s="3" t="s">
        <v>231</v>
      </c>
      <c r="C69" s="3" t="s">
        <v>232</v>
      </c>
      <c r="D69" s="3" t="s">
        <v>86</v>
      </c>
      <c r="E69" s="21" t="s">
        <v>77</v>
      </c>
      <c r="F69" s="18">
        <v>12500</v>
      </c>
      <c r="G69" s="20">
        <v>0</v>
      </c>
      <c r="H69" s="19">
        <f t="shared" ref="H69:H100" si="6">F69*G69</f>
        <v>0</v>
      </c>
      <c r="I69" s="19">
        <f t="shared" ref="I69:I100" si="7">H69*8</f>
        <v>0</v>
      </c>
      <c r="J69" s="31">
        <v>0</v>
      </c>
      <c r="K69" s="19">
        <f t="shared" ref="K69:K100" si="8">I69+J69</f>
        <v>0</v>
      </c>
    </row>
    <row r="70" spans="1:11" x14ac:dyDescent="0.2">
      <c r="A70" s="3">
        <v>66</v>
      </c>
      <c r="B70" s="3" t="s">
        <v>233</v>
      </c>
      <c r="C70" s="3" t="s">
        <v>234</v>
      </c>
      <c r="D70" s="3" t="s">
        <v>159</v>
      </c>
      <c r="E70" s="21" t="s">
        <v>77</v>
      </c>
      <c r="F70" s="18">
        <v>10200</v>
      </c>
      <c r="G70" s="20">
        <v>0</v>
      </c>
      <c r="H70" s="19">
        <f t="shared" si="6"/>
        <v>0</v>
      </c>
      <c r="I70" s="19">
        <f t="shared" si="7"/>
        <v>0</v>
      </c>
      <c r="J70" s="31">
        <v>0</v>
      </c>
      <c r="K70" s="19">
        <f t="shared" si="8"/>
        <v>0</v>
      </c>
    </row>
    <row r="71" spans="1:11" x14ac:dyDescent="0.2">
      <c r="A71" s="3">
        <v>67</v>
      </c>
      <c r="B71" s="3" t="s">
        <v>235</v>
      </c>
      <c r="C71" s="3" t="s">
        <v>236</v>
      </c>
      <c r="D71" s="3" t="s">
        <v>237</v>
      </c>
      <c r="E71" s="21" t="s">
        <v>77</v>
      </c>
      <c r="F71" s="18">
        <v>12500</v>
      </c>
      <c r="G71" s="20">
        <v>0</v>
      </c>
      <c r="H71" s="19">
        <f t="shared" si="6"/>
        <v>0</v>
      </c>
      <c r="I71" s="19">
        <f t="shared" si="7"/>
        <v>0</v>
      </c>
      <c r="J71" s="31">
        <v>0</v>
      </c>
      <c r="K71" s="19">
        <f t="shared" si="8"/>
        <v>0</v>
      </c>
    </row>
    <row r="72" spans="1:11" x14ac:dyDescent="0.2">
      <c r="A72" s="3">
        <v>68</v>
      </c>
      <c r="B72" s="3" t="s">
        <v>238</v>
      </c>
      <c r="C72" s="3" t="s">
        <v>239</v>
      </c>
      <c r="D72" s="3" t="s">
        <v>102</v>
      </c>
      <c r="E72" s="21" t="s">
        <v>77</v>
      </c>
      <c r="F72" s="18">
        <v>13500</v>
      </c>
      <c r="G72" s="20">
        <v>0</v>
      </c>
      <c r="H72" s="19">
        <f t="shared" si="6"/>
        <v>0</v>
      </c>
      <c r="I72" s="19">
        <f t="shared" si="7"/>
        <v>0</v>
      </c>
      <c r="J72" s="31">
        <v>0</v>
      </c>
      <c r="K72" s="19">
        <f t="shared" si="8"/>
        <v>0</v>
      </c>
    </row>
    <row r="73" spans="1:11" x14ac:dyDescent="0.2">
      <c r="A73" s="3">
        <v>69</v>
      </c>
      <c r="B73" s="3" t="s">
        <v>240</v>
      </c>
      <c r="C73" s="3" t="s">
        <v>241</v>
      </c>
      <c r="D73" s="3" t="s">
        <v>121</v>
      </c>
      <c r="E73" s="21" t="s">
        <v>77</v>
      </c>
      <c r="F73" s="18">
        <v>12750</v>
      </c>
      <c r="G73" s="20">
        <v>0</v>
      </c>
      <c r="H73" s="19">
        <f t="shared" si="6"/>
        <v>0</v>
      </c>
      <c r="I73" s="19">
        <f t="shared" si="7"/>
        <v>0</v>
      </c>
      <c r="J73" s="31">
        <v>0</v>
      </c>
      <c r="K73" s="19">
        <f t="shared" si="8"/>
        <v>0</v>
      </c>
    </row>
    <row r="74" spans="1:11" x14ac:dyDescent="0.2">
      <c r="A74" s="3">
        <v>70</v>
      </c>
      <c r="B74" s="3" t="s">
        <v>242</v>
      </c>
      <c r="C74" s="3" t="s">
        <v>243</v>
      </c>
      <c r="D74" s="3" t="s">
        <v>121</v>
      </c>
      <c r="E74" s="21" t="s">
        <v>77</v>
      </c>
      <c r="F74" s="18">
        <v>12250</v>
      </c>
      <c r="G74" s="20">
        <v>0</v>
      </c>
      <c r="H74" s="19">
        <f t="shared" si="6"/>
        <v>0</v>
      </c>
      <c r="I74" s="19">
        <f t="shared" si="7"/>
        <v>0</v>
      </c>
      <c r="J74" s="31">
        <v>0</v>
      </c>
      <c r="K74" s="19">
        <f t="shared" si="8"/>
        <v>0</v>
      </c>
    </row>
    <row r="75" spans="1:11" x14ac:dyDescent="0.2">
      <c r="A75" s="3">
        <v>71</v>
      </c>
      <c r="B75" s="3" t="s">
        <v>244</v>
      </c>
      <c r="C75" s="3" t="s">
        <v>200</v>
      </c>
      <c r="D75" s="3" t="s">
        <v>159</v>
      </c>
      <c r="E75" s="21" t="s">
        <v>77</v>
      </c>
      <c r="F75" s="18">
        <v>10400</v>
      </c>
      <c r="G75" s="20">
        <v>0</v>
      </c>
      <c r="H75" s="19">
        <f t="shared" si="6"/>
        <v>0</v>
      </c>
      <c r="I75" s="19">
        <f t="shared" si="7"/>
        <v>0</v>
      </c>
      <c r="J75" s="31">
        <v>0</v>
      </c>
      <c r="K75" s="19">
        <f t="shared" si="8"/>
        <v>0</v>
      </c>
    </row>
    <row r="76" spans="1:11" x14ac:dyDescent="0.2">
      <c r="A76" s="3">
        <v>72</v>
      </c>
      <c r="B76" s="3" t="s">
        <v>245</v>
      </c>
      <c r="C76" s="3" t="s">
        <v>246</v>
      </c>
      <c r="D76" s="3" t="s">
        <v>74</v>
      </c>
      <c r="E76" s="21" t="s">
        <v>77</v>
      </c>
      <c r="F76" s="18">
        <v>10200</v>
      </c>
      <c r="G76" s="20">
        <v>0</v>
      </c>
      <c r="H76" s="19">
        <f t="shared" si="6"/>
        <v>0</v>
      </c>
      <c r="I76" s="19">
        <f t="shared" si="7"/>
        <v>0</v>
      </c>
      <c r="J76" s="31">
        <v>0</v>
      </c>
      <c r="K76" s="19">
        <f t="shared" si="8"/>
        <v>0</v>
      </c>
    </row>
    <row r="77" spans="1:11" x14ac:dyDescent="0.2">
      <c r="A77" s="3">
        <v>73</v>
      </c>
      <c r="B77" s="3" t="s">
        <v>247</v>
      </c>
      <c r="C77" s="3" t="s">
        <v>248</v>
      </c>
      <c r="D77" s="3" t="s">
        <v>86</v>
      </c>
      <c r="E77" s="21" t="s">
        <v>77</v>
      </c>
      <c r="F77" s="18">
        <v>13500</v>
      </c>
      <c r="G77" s="20">
        <v>0</v>
      </c>
      <c r="H77" s="19">
        <f t="shared" si="6"/>
        <v>0</v>
      </c>
      <c r="I77" s="19">
        <f t="shared" si="7"/>
        <v>0</v>
      </c>
      <c r="J77" s="31">
        <v>0</v>
      </c>
      <c r="K77" s="19">
        <f t="shared" si="8"/>
        <v>0</v>
      </c>
    </row>
    <row r="78" spans="1:11" x14ac:dyDescent="0.2">
      <c r="A78" s="3">
        <v>74</v>
      </c>
      <c r="B78" s="3" t="s">
        <v>249</v>
      </c>
      <c r="C78" s="3" t="s">
        <v>250</v>
      </c>
      <c r="D78" s="3" t="s">
        <v>159</v>
      </c>
      <c r="E78" s="21" t="s">
        <v>77</v>
      </c>
      <c r="F78" s="18">
        <v>9600</v>
      </c>
      <c r="G78" s="20">
        <v>0</v>
      </c>
      <c r="H78" s="19">
        <f t="shared" si="6"/>
        <v>0</v>
      </c>
      <c r="I78" s="19">
        <f t="shared" si="7"/>
        <v>0</v>
      </c>
      <c r="J78" s="31">
        <v>0</v>
      </c>
      <c r="K78" s="19">
        <f t="shared" si="8"/>
        <v>0</v>
      </c>
    </row>
    <row r="79" spans="1:11" x14ac:dyDescent="0.2">
      <c r="A79" s="3">
        <v>75</v>
      </c>
      <c r="B79" s="3" t="s">
        <v>251</v>
      </c>
      <c r="C79" s="3" t="s">
        <v>252</v>
      </c>
      <c r="D79" s="3" t="s">
        <v>253</v>
      </c>
      <c r="E79" s="21" t="s">
        <v>77</v>
      </c>
      <c r="F79" s="18">
        <v>8000</v>
      </c>
      <c r="G79" s="20">
        <v>0</v>
      </c>
      <c r="H79" s="19">
        <f t="shared" si="6"/>
        <v>0</v>
      </c>
      <c r="I79" s="19">
        <f t="shared" si="7"/>
        <v>0</v>
      </c>
      <c r="J79" s="31">
        <v>0</v>
      </c>
      <c r="K79" s="19">
        <f t="shared" si="8"/>
        <v>0</v>
      </c>
    </row>
    <row r="80" spans="1:11" x14ac:dyDescent="0.2">
      <c r="A80" s="3">
        <v>76</v>
      </c>
      <c r="B80" s="3" t="s">
        <v>254</v>
      </c>
      <c r="C80" s="3" t="s">
        <v>255</v>
      </c>
      <c r="D80" s="3" t="s">
        <v>121</v>
      </c>
      <c r="E80" s="21" t="s">
        <v>77</v>
      </c>
      <c r="F80" s="18">
        <v>13750</v>
      </c>
      <c r="G80" s="20">
        <v>0</v>
      </c>
      <c r="H80" s="19">
        <f t="shared" si="6"/>
        <v>0</v>
      </c>
      <c r="I80" s="19">
        <f t="shared" si="7"/>
        <v>0</v>
      </c>
      <c r="J80" s="31">
        <v>0</v>
      </c>
      <c r="K80" s="19">
        <f t="shared" si="8"/>
        <v>0</v>
      </c>
    </row>
    <row r="81" spans="1:11" x14ac:dyDescent="0.2">
      <c r="A81" s="3">
        <v>77</v>
      </c>
      <c r="B81" s="3" t="s">
        <v>256</v>
      </c>
      <c r="C81" s="3" t="s">
        <v>257</v>
      </c>
      <c r="D81" s="3" t="s">
        <v>258</v>
      </c>
      <c r="E81" s="21" t="s">
        <v>77</v>
      </c>
      <c r="F81" s="18">
        <v>10000</v>
      </c>
      <c r="G81" s="20">
        <v>0</v>
      </c>
      <c r="H81" s="19">
        <f t="shared" si="6"/>
        <v>0</v>
      </c>
      <c r="I81" s="19">
        <f t="shared" si="7"/>
        <v>0</v>
      </c>
      <c r="J81" s="31">
        <v>0</v>
      </c>
      <c r="K81" s="19">
        <f t="shared" si="8"/>
        <v>0</v>
      </c>
    </row>
    <row r="82" spans="1:11" x14ac:dyDescent="0.2">
      <c r="A82" s="3">
        <v>78</v>
      </c>
      <c r="B82" s="3" t="s">
        <v>259</v>
      </c>
      <c r="C82" s="3" t="s">
        <v>260</v>
      </c>
      <c r="D82" s="3" t="s">
        <v>74</v>
      </c>
      <c r="E82" s="21" t="s">
        <v>77</v>
      </c>
      <c r="F82" s="18">
        <v>10800</v>
      </c>
      <c r="G82" s="20">
        <v>0</v>
      </c>
      <c r="H82" s="19">
        <f t="shared" si="6"/>
        <v>0</v>
      </c>
      <c r="I82" s="19">
        <f t="shared" si="7"/>
        <v>0</v>
      </c>
      <c r="J82" s="31">
        <v>0</v>
      </c>
      <c r="K82" s="19">
        <f t="shared" si="8"/>
        <v>0</v>
      </c>
    </row>
    <row r="83" spans="1:11" x14ac:dyDescent="0.2">
      <c r="A83" s="3">
        <v>79</v>
      </c>
      <c r="B83" s="3" t="s">
        <v>261</v>
      </c>
      <c r="C83" s="3" t="s">
        <v>262</v>
      </c>
      <c r="D83" s="3" t="s">
        <v>147</v>
      </c>
      <c r="E83" s="21" t="s">
        <v>77</v>
      </c>
      <c r="F83" s="18">
        <v>12750</v>
      </c>
      <c r="G83" s="20">
        <v>0</v>
      </c>
      <c r="H83" s="19">
        <f t="shared" si="6"/>
        <v>0</v>
      </c>
      <c r="I83" s="19">
        <f t="shared" si="7"/>
        <v>0</v>
      </c>
      <c r="J83" s="31">
        <v>0</v>
      </c>
      <c r="K83" s="19">
        <f t="shared" si="8"/>
        <v>0</v>
      </c>
    </row>
    <row r="84" spans="1:11" x14ac:dyDescent="0.2">
      <c r="A84" s="3">
        <v>80</v>
      </c>
      <c r="B84" s="3" t="s">
        <v>263</v>
      </c>
      <c r="C84" s="3" t="s">
        <v>264</v>
      </c>
      <c r="D84" s="3" t="s">
        <v>265</v>
      </c>
      <c r="E84" s="21" t="s">
        <v>77</v>
      </c>
      <c r="F84" s="18">
        <v>14000</v>
      </c>
      <c r="G84" s="20">
        <v>0</v>
      </c>
      <c r="H84" s="19">
        <f t="shared" si="6"/>
        <v>0</v>
      </c>
      <c r="I84" s="19">
        <f t="shared" si="7"/>
        <v>0</v>
      </c>
      <c r="J84" s="31">
        <v>0</v>
      </c>
      <c r="K84" s="19">
        <f t="shared" si="8"/>
        <v>0</v>
      </c>
    </row>
    <row r="85" spans="1:11" x14ac:dyDescent="0.2">
      <c r="A85" s="3">
        <v>81</v>
      </c>
      <c r="B85" s="3" t="s">
        <v>266</v>
      </c>
      <c r="C85" s="3" t="s">
        <v>267</v>
      </c>
      <c r="D85" s="3" t="s">
        <v>159</v>
      </c>
      <c r="E85" s="21" t="s">
        <v>77</v>
      </c>
      <c r="F85" s="18">
        <v>8800</v>
      </c>
      <c r="G85" s="20">
        <v>0</v>
      </c>
      <c r="H85" s="19">
        <f t="shared" si="6"/>
        <v>0</v>
      </c>
      <c r="I85" s="19">
        <f t="shared" si="7"/>
        <v>0</v>
      </c>
      <c r="J85" s="31">
        <v>0</v>
      </c>
      <c r="K85" s="19">
        <f t="shared" si="8"/>
        <v>0</v>
      </c>
    </row>
    <row r="86" spans="1:11" x14ac:dyDescent="0.2">
      <c r="A86" s="3">
        <v>82</v>
      </c>
      <c r="B86" s="3" t="s">
        <v>268</v>
      </c>
      <c r="C86" s="3" t="s">
        <v>269</v>
      </c>
      <c r="D86" s="3" t="s">
        <v>121</v>
      </c>
      <c r="E86" s="21" t="s">
        <v>77</v>
      </c>
      <c r="F86" s="18">
        <v>6806</v>
      </c>
      <c r="G86" s="20">
        <v>0</v>
      </c>
      <c r="H86" s="19">
        <f t="shared" si="6"/>
        <v>0</v>
      </c>
      <c r="I86" s="19">
        <f t="shared" si="7"/>
        <v>0</v>
      </c>
      <c r="J86" s="31">
        <v>0</v>
      </c>
      <c r="K86" s="19">
        <f t="shared" si="8"/>
        <v>0</v>
      </c>
    </row>
    <row r="87" spans="1:11" x14ac:dyDescent="0.2">
      <c r="A87" s="3">
        <v>83</v>
      </c>
      <c r="B87" s="3" t="s">
        <v>268</v>
      </c>
      <c r="C87" s="3" t="s">
        <v>269</v>
      </c>
      <c r="D87" s="3" t="s">
        <v>270</v>
      </c>
      <c r="E87" s="21" t="s">
        <v>77</v>
      </c>
      <c r="F87" s="18">
        <v>3942</v>
      </c>
      <c r="G87" s="20">
        <v>0</v>
      </c>
      <c r="H87" s="19">
        <f t="shared" si="6"/>
        <v>0</v>
      </c>
      <c r="I87" s="19">
        <f t="shared" si="7"/>
        <v>0</v>
      </c>
      <c r="J87" s="31">
        <v>0</v>
      </c>
      <c r="K87" s="19">
        <f t="shared" si="8"/>
        <v>0</v>
      </c>
    </row>
    <row r="88" spans="1:11" x14ac:dyDescent="0.2">
      <c r="A88" s="3">
        <v>84</v>
      </c>
      <c r="B88" s="3" t="s">
        <v>271</v>
      </c>
      <c r="C88" s="3" t="s">
        <v>272</v>
      </c>
      <c r="D88" s="3" t="s">
        <v>273</v>
      </c>
      <c r="E88" s="21" t="s">
        <v>77</v>
      </c>
      <c r="F88" s="18">
        <v>10800</v>
      </c>
      <c r="G88" s="20">
        <v>0</v>
      </c>
      <c r="H88" s="19">
        <f t="shared" si="6"/>
        <v>0</v>
      </c>
      <c r="I88" s="19">
        <f t="shared" si="7"/>
        <v>0</v>
      </c>
      <c r="J88" s="31">
        <v>0</v>
      </c>
      <c r="K88" s="19">
        <f t="shared" si="8"/>
        <v>0</v>
      </c>
    </row>
    <row r="89" spans="1:11" x14ac:dyDescent="0.2">
      <c r="A89" s="3">
        <v>85</v>
      </c>
      <c r="B89" s="3" t="s">
        <v>275</v>
      </c>
      <c r="C89" s="3" t="s">
        <v>276</v>
      </c>
      <c r="D89" s="3" t="s">
        <v>102</v>
      </c>
      <c r="E89" s="21" t="s">
        <v>77</v>
      </c>
      <c r="F89" s="18">
        <v>13750</v>
      </c>
      <c r="G89" s="20">
        <v>0</v>
      </c>
      <c r="H89" s="19">
        <f t="shared" si="6"/>
        <v>0</v>
      </c>
      <c r="I89" s="19">
        <f t="shared" si="7"/>
        <v>0</v>
      </c>
      <c r="J89" s="31">
        <v>0</v>
      </c>
      <c r="K89" s="19">
        <f t="shared" si="8"/>
        <v>0</v>
      </c>
    </row>
    <row r="90" spans="1:11" x14ac:dyDescent="0.2">
      <c r="A90" s="3">
        <v>86</v>
      </c>
      <c r="B90" s="3" t="s">
        <v>277</v>
      </c>
      <c r="C90" s="3" t="s">
        <v>278</v>
      </c>
      <c r="D90" s="3" t="s">
        <v>279</v>
      </c>
      <c r="E90" s="21" t="s">
        <v>77</v>
      </c>
      <c r="F90" s="18">
        <v>11500</v>
      </c>
      <c r="G90" s="20">
        <v>0</v>
      </c>
      <c r="H90" s="19">
        <f t="shared" si="6"/>
        <v>0</v>
      </c>
      <c r="I90" s="19">
        <f t="shared" si="7"/>
        <v>0</v>
      </c>
      <c r="J90" s="31">
        <v>0</v>
      </c>
      <c r="K90" s="19">
        <f t="shared" si="8"/>
        <v>0</v>
      </c>
    </row>
    <row r="91" spans="1:11" x14ac:dyDescent="0.2">
      <c r="A91" s="3">
        <v>87</v>
      </c>
      <c r="B91" s="3" t="s">
        <v>280</v>
      </c>
      <c r="C91" s="3" t="s">
        <v>281</v>
      </c>
      <c r="D91" s="3" t="s">
        <v>121</v>
      </c>
      <c r="E91" s="21" t="s">
        <v>77</v>
      </c>
      <c r="F91" s="18">
        <v>5500</v>
      </c>
      <c r="G91" s="20">
        <v>0</v>
      </c>
      <c r="H91" s="19">
        <f t="shared" si="6"/>
        <v>0</v>
      </c>
      <c r="I91" s="19">
        <f t="shared" si="7"/>
        <v>0</v>
      </c>
      <c r="J91" s="31">
        <v>0</v>
      </c>
      <c r="K91" s="19">
        <f t="shared" si="8"/>
        <v>0</v>
      </c>
    </row>
    <row r="92" spans="1:11" x14ac:dyDescent="0.2">
      <c r="A92" s="3">
        <v>88</v>
      </c>
      <c r="B92" s="3" t="s">
        <v>282</v>
      </c>
      <c r="C92" s="3" t="s">
        <v>283</v>
      </c>
      <c r="D92" s="3" t="s">
        <v>86</v>
      </c>
      <c r="E92" s="21" t="s">
        <v>77</v>
      </c>
      <c r="F92" s="18">
        <v>12250</v>
      </c>
      <c r="G92" s="20">
        <v>0</v>
      </c>
      <c r="H92" s="19">
        <f t="shared" si="6"/>
        <v>0</v>
      </c>
      <c r="I92" s="19">
        <f t="shared" si="7"/>
        <v>0</v>
      </c>
      <c r="J92" s="31">
        <v>0</v>
      </c>
      <c r="K92" s="19">
        <f t="shared" si="8"/>
        <v>0</v>
      </c>
    </row>
    <row r="93" spans="1:11" x14ac:dyDescent="0.2">
      <c r="A93" s="3">
        <v>89</v>
      </c>
      <c r="B93" s="3" t="s">
        <v>284</v>
      </c>
      <c r="C93" s="3" t="s">
        <v>285</v>
      </c>
      <c r="D93" s="3" t="s">
        <v>86</v>
      </c>
      <c r="E93" s="21" t="s">
        <v>77</v>
      </c>
      <c r="F93" s="18">
        <v>14500</v>
      </c>
      <c r="G93" s="20">
        <v>0</v>
      </c>
      <c r="H93" s="19">
        <f t="shared" si="6"/>
        <v>0</v>
      </c>
      <c r="I93" s="19">
        <f t="shared" si="7"/>
        <v>0</v>
      </c>
      <c r="J93" s="31">
        <v>0</v>
      </c>
      <c r="K93" s="19">
        <f t="shared" si="8"/>
        <v>0</v>
      </c>
    </row>
    <row r="94" spans="1:11" x14ac:dyDescent="0.2">
      <c r="A94" s="3">
        <v>90</v>
      </c>
      <c r="B94" s="3" t="s">
        <v>286</v>
      </c>
      <c r="C94" s="3" t="s">
        <v>287</v>
      </c>
      <c r="D94" s="3" t="s">
        <v>288</v>
      </c>
      <c r="E94" s="21" t="s">
        <v>77</v>
      </c>
      <c r="F94" s="18">
        <v>5500</v>
      </c>
      <c r="G94" s="20">
        <v>0</v>
      </c>
      <c r="H94" s="19">
        <f t="shared" si="6"/>
        <v>0</v>
      </c>
      <c r="I94" s="19">
        <f t="shared" si="7"/>
        <v>0</v>
      </c>
      <c r="J94" s="31">
        <v>0</v>
      </c>
      <c r="K94" s="19">
        <f t="shared" si="8"/>
        <v>0</v>
      </c>
    </row>
    <row r="95" spans="1:11" x14ac:dyDescent="0.2">
      <c r="A95" s="3">
        <v>91</v>
      </c>
      <c r="B95" s="3" t="s">
        <v>289</v>
      </c>
      <c r="C95" s="3" t="s">
        <v>290</v>
      </c>
      <c r="D95" s="3" t="s">
        <v>102</v>
      </c>
      <c r="E95" s="21" t="s">
        <v>77</v>
      </c>
      <c r="F95" s="18">
        <v>10800</v>
      </c>
      <c r="G95" s="20">
        <v>0</v>
      </c>
      <c r="H95" s="19">
        <f t="shared" si="6"/>
        <v>0</v>
      </c>
      <c r="I95" s="19">
        <f t="shared" si="7"/>
        <v>0</v>
      </c>
      <c r="J95" s="31">
        <v>0</v>
      </c>
      <c r="K95" s="19">
        <f t="shared" si="8"/>
        <v>0</v>
      </c>
    </row>
    <row r="96" spans="1:11" x14ac:dyDescent="0.2">
      <c r="A96" s="3">
        <v>92</v>
      </c>
      <c r="B96" s="3" t="s">
        <v>291</v>
      </c>
      <c r="C96" s="3" t="s">
        <v>292</v>
      </c>
      <c r="D96" s="3" t="s">
        <v>147</v>
      </c>
      <c r="E96" s="21" t="s">
        <v>77</v>
      </c>
      <c r="F96" s="18">
        <v>11500</v>
      </c>
      <c r="G96" s="20">
        <v>0</v>
      </c>
      <c r="H96" s="19">
        <f t="shared" si="6"/>
        <v>0</v>
      </c>
      <c r="I96" s="19">
        <f t="shared" si="7"/>
        <v>0</v>
      </c>
      <c r="J96" s="31">
        <v>0</v>
      </c>
      <c r="K96" s="19">
        <f t="shared" si="8"/>
        <v>0</v>
      </c>
    </row>
    <row r="97" spans="1:11" x14ac:dyDescent="0.2">
      <c r="A97" s="3">
        <v>93</v>
      </c>
      <c r="B97" s="3" t="s">
        <v>293</v>
      </c>
      <c r="C97" s="3" t="s">
        <v>294</v>
      </c>
      <c r="D97" s="3" t="s">
        <v>121</v>
      </c>
      <c r="E97" s="21" t="s">
        <v>77</v>
      </c>
      <c r="F97" s="18">
        <v>9333</v>
      </c>
      <c r="G97" s="20">
        <v>0</v>
      </c>
      <c r="H97" s="19">
        <f t="shared" si="6"/>
        <v>0</v>
      </c>
      <c r="I97" s="19">
        <f t="shared" si="7"/>
        <v>0</v>
      </c>
      <c r="J97" s="31">
        <v>0</v>
      </c>
      <c r="K97" s="19">
        <f t="shared" si="8"/>
        <v>0</v>
      </c>
    </row>
    <row r="98" spans="1:11" x14ac:dyDescent="0.2">
      <c r="A98" s="3">
        <v>94</v>
      </c>
      <c r="B98" s="3" t="s">
        <v>295</v>
      </c>
      <c r="C98" s="3" t="s">
        <v>296</v>
      </c>
      <c r="D98" s="3" t="s">
        <v>86</v>
      </c>
      <c r="E98" s="21" t="s">
        <v>77</v>
      </c>
      <c r="F98" s="18">
        <v>11750</v>
      </c>
      <c r="G98" s="20">
        <v>0</v>
      </c>
      <c r="H98" s="19">
        <f t="shared" si="6"/>
        <v>0</v>
      </c>
      <c r="I98" s="19">
        <f t="shared" si="7"/>
        <v>0</v>
      </c>
      <c r="J98" s="31">
        <v>0</v>
      </c>
      <c r="K98" s="19">
        <f t="shared" si="8"/>
        <v>0</v>
      </c>
    </row>
    <row r="99" spans="1:11" x14ac:dyDescent="0.2">
      <c r="A99" s="3">
        <v>95</v>
      </c>
      <c r="B99" s="3" t="s">
        <v>297</v>
      </c>
      <c r="C99" s="3" t="s">
        <v>298</v>
      </c>
      <c r="D99" s="3" t="s">
        <v>121</v>
      </c>
      <c r="E99" s="21" t="s">
        <v>77</v>
      </c>
      <c r="F99" s="18">
        <v>12000</v>
      </c>
      <c r="G99" s="20">
        <v>0</v>
      </c>
      <c r="H99" s="19">
        <f t="shared" si="6"/>
        <v>0</v>
      </c>
      <c r="I99" s="19">
        <f t="shared" si="7"/>
        <v>0</v>
      </c>
      <c r="J99" s="31">
        <v>0</v>
      </c>
      <c r="K99" s="19">
        <f t="shared" si="8"/>
        <v>0</v>
      </c>
    </row>
    <row r="100" spans="1:11" x14ac:dyDescent="0.2">
      <c r="A100" s="3">
        <v>96</v>
      </c>
      <c r="B100" s="3" t="s">
        <v>299</v>
      </c>
      <c r="C100" s="3" t="s">
        <v>300</v>
      </c>
      <c r="D100" s="3" t="s">
        <v>102</v>
      </c>
      <c r="E100" s="21" t="s">
        <v>77</v>
      </c>
      <c r="F100" s="18">
        <v>11250</v>
      </c>
      <c r="G100" s="20">
        <v>0</v>
      </c>
      <c r="H100" s="19">
        <f t="shared" si="6"/>
        <v>0</v>
      </c>
      <c r="I100" s="19">
        <f t="shared" si="7"/>
        <v>0</v>
      </c>
      <c r="J100" s="31">
        <v>0</v>
      </c>
      <c r="K100" s="19">
        <f t="shared" si="8"/>
        <v>0</v>
      </c>
    </row>
    <row r="101" spans="1:11" x14ac:dyDescent="0.2">
      <c r="A101" s="3">
        <v>97</v>
      </c>
      <c r="B101" s="3" t="s">
        <v>301</v>
      </c>
      <c r="C101" s="3" t="s">
        <v>302</v>
      </c>
      <c r="D101" s="3" t="s">
        <v>303</v>
      </c>
      <c r="E101" s="21" t="s">
        <v>77</v>
      </c>
      <c r="F101" s="18">
        <v>16750</v>
      </c>
      <c r="G101" s="20">
        <v>0</v>
      </c>
      <c r="H101" s="19">
        <f t="shared" ref="H101:H132" si="9">F101*G101</f>
        <v>0</v>
      </c>
      <c r="I101" s="19">
        <f t="shared" ref="I101:I132" si="10">H101*8</f>
        <v>0</v>
      </c>
      <c r="J101" s="31">
        <v>0</v>
      </c>
      <c r="K101" s="19">
        <f t="shared" ref="K101:K132" si="11">I101+J101</f>
        <v>0</v>
      </c>
    </row>
    <row r="102" spans="1:11" x14ac:dyDescent="0.2">
      <c r="A102" s="3">
        <v>98</v>
      </c>
      <c r="B102" s="3" t="s">
        <v>304</v>
      </c>
      <c r="C102" s="3" t="s">
        <v>305</v>
      </c>
      <c r="D102" s="3" t="s">
        <v>306</v>
      </c>
      <c r="E102" s="21" t="s">
        <v>77</v>
      </c>
      <c r="F102" s="18">
        <v>11750</v>
      </c>
      <c r="G102" s="20">
        <v>0</v>
      </c>
      <c r="H102" s="19">
        <f t="shared" si="9"/>
        <v>0</v>
      </c>
      <c r="I102" s="19">
        <f t="shared" si="10"/>
        <v>0</v>
      </c>
      <c r="J102" s="31">
        <v>0</v>
      </c>
      <c r="K102" s="19">
        <f t="shared" si="11"/>
        <v>0</v>
      </c>
    </row>
    <row r="103" spans="1:11" x14ac:dyDescent="0.2">
      <c r="A103" s="3">
        <v>99</v>
      </c>
      <c r="B103" s="3" t="s">
        <v>307</v>
      </c>
      <c r="C103" s="3" t="s">
        <v>308</v>
      </c>
      <c r="D103" s="3" t="s">
        <v>86</v>
      </c>
      <c r="E103" s="21" t="s">
        <v>77</v>
      </c>
      <c r="F103" s="18">
        <v>12750</v>
      </c>
      <c r="G103" s="20">
        <v>0</v>
      </c>
      <c r="H103" s="19">
        <f t="shared" si="9"/>
        <v>0</v>
      </c>
      <c r="I103" s="19">
        <f t="shared" si="10"/>
        <v>0</v>
      </c>
      <c r="J103" s="31">
        <v>0</v>
      </c>
      <c r="K103" s="19">
        <f t="shared" si="11"/>
        <v>0</v>
      </c>
    </row>
    <row r="104" spans="1:11" x14ac:dyDescent="0.2">
      <c r="A104" s="3">
        <v>100</v>
      </c>
      <c r="B104" s="3" t="s">
        <v>309</v>
      </c>
      <c r="C104" s="3" t="s">
        <v>310</v>
      </c>
      <c r="D104" s="3" t="s">
        <v>86</v>
      </c>
      <c r="E104" s="21" t="s">
        <v>77</v>
      </c>
      <c r="F104" s="18">
        <v>13000</v>
      </c>
      <c r="G104" s="20">
        <v>0</v>
      </c>
      <c r="H104" s="19">
        <f t="shared" si="9"/>
        <v>0</v>
      </c>
      <c r="I104" s="19">
        <f t="shared" si="10"/>
        <v>0</v>
      </c>
      <c r="J104" s="31">
        <v>0</v>
      </c>
      <c r="K104" s="19">
        <f t="shared" si="11"/>
        <v>0</v>
      </c>
    </row>
    <row r="105" spans="1:11" x14ac:dyDescent="0.2">
      <c r="A105" s="3">
        <v>101</v>
      </c>
      <c r="B105" s="3" t="s">
        <v>311</v>
      </c>
      <c r="C105" s="3" t="s">
        <v>312</v>
      </c>
      <c r="D105" s="3" t="s">
        <v>121</v>
      </c>
      <c r="E105" s="21" t="s">
        <v>77</v>
      </c>
      <c r="F105" s="18">
        <v>13500</v>
      </c>
      <c r="G105" s="20">
        <v>0</v>
      </c>
      <c r="H105" s="19">
        <f t="shared" si="9"/>
        <v>0</v>
      </c>
      <c r="I105" s="19">
        <f t="shared" si="10"/>
        <v>0</v>
      </c>
      <c r="J105" s="31">
        <v>0</v>
      </c>
      <c r="K105" s="19">
        <f t="shared" si="11"/>
        <v>0</v>
      </c>
    </row>
    <row r="106" spans="1:11" x14ac:dyDescent="0.2">
      <c r="A106" s="3">
        <v>102</v>
      </c>
      <c r="B106" s="3" t="s">
        <v>313</v>
      </c>
      <c r="C106" s="3" t="s">
        <v>314</v>
      </c>
      <c r="D106" s="3" t="s">
        <v>74</v>
      </c>
      <c r="E106" s="21" t="s">
        <v>77</v>
      </c>
      <c r="F106" s="18">
        <v>10000</v>
      </c>
      <c r="G106" s="20">
        <v>0</v>
      </c>
      <c r="H106" s="19">
        <f t="shared" si="9"/>
        <v>0</v>
      </c>
      <c r="I106" s="19">
        <f t="shared" si="10"/>
        <v>0</v>
      </c>
      <c r="J106" s="31">
        <v>0</v>
      </c>
      <c r="K106" s="19">
        <f t="shared" si="11"/>
        <v>0</v>
      </c>
    </row>
    <row r="107" spans="1:11" x14ac:dyDescent="0.2">
      <c r="A107" s="3">
        <v>103</v>
      </c>
      <c r="B107" s="3" t="s">
        <v>315</v>
      </c>
      <c r="C107" s="3" t="s">
        <v>281</v>
      </c>
      <c r="D107" s="3" t="s">
        <v>86</v>
      </c>
      <c r="E107" s="21" t="s">
        <v>77</v>
      </c>
      <c r="F107" s="18">
        <v>11000</v>
      </c>
      <c r="G107" s="20">
        <v>0</v>
      </c>
      <c r="H107" s="19">
        <f t="shared" si="9"/>
        <v>0</v>
      </c>
      <c r="I107" s="19">
        <f t="shared" si="10"/>
        <v>0</v>
      </c>
      <c r="J107" s="31">
        <v>0</v>
      </c>
      <c r="K107" s="19">
        <f t="shared" si="11"/>
        <v>0</v>
      </c>
    </row>
    <row r="108" spans="1:11" x14ac:dyDescent="0.2">
      <c r="A108" s="3">
        <v>104</v>
      </c>
      <c r="B108" s="3" t="s">
        <v>316</v>
      </c>
      <c r="C108" s="3" t="s">
        <v>317</v>
      </c>
      <c r="D108" s="3" t="s">
        <v>86</v>
      </c>
      <c r="E108" s="21" t="s">
        <v>77</v>
      </c>
      <c r="F108" s="18">
        <v>11250</v>
      </c>
      <c r="G108" s="20">
        <v>0</v>
      </c>
      <c r="H108" s="19">
        <f t="shared" si="9"/>
        <v>0</v>
      </c>
      <c r="I108" s="19">
        <f t="shared" si="10"/>
        <v>0</v>
      </c>
      <c r="J108" s="31">
        <v>0</v>
      </c>
      <c r="K108" s="19">
        <f t="shared" si="11"/>
        <v>0</v>
      </c>
    </row>
    <row r="109" spans="1:11" x14ac:dyDescent="0.2">
      <c r="A109" s="3">
        <v>105</v>
      </c>
      <c r="B109" s="3" t="s">
        <v>318</v>
      </c>
      <c r="C109" s="3" t="s">
        <v>319</v>
      </c>
      <c r="D109" s="3" t="s">
        <v>159</v>
      </c>
      <c r="E109" s="21" t="s">
        <v>77</v>
      </c>
      <c r="F109" s="18">
        <v>9200</v>
      </c>
      <c r="G109" s="20">
        <v>0</v>
      </c>
      <c r="H109" s="19">
        <f t="shared" si="9"/>
        <v>0</v>
      </c>
      <c r="I109" s="19">
        <f t="shared" si="10"/>
        <v>0</v>
      </c>
      <c r="J109" s="31">
        <v>0</v>
      </c>
      <c r="K109" s="19">
        <f t="shared" si="11"/>
        <v>0</v>
      </c>
    </row>
    <row r="110" spans="1:11" x14ac:dyDescent="0.2">
      <c r="A110" s="3">
        <v>106</v>
      </c>
      <c r="B110" s="3" t="s">
        <v>320</v>
      </c>
      <c r="C110" s="3" t="s">
        <v>302</v>
      </c>
      <c r="D110" s="3" t="s">
        <v>74</v>
      </c>
      <c r="E110" s="21" t="s">
        <v>77</v>
      </c>
      <c r="F110" s="18">
        <v>11250</v>
      </c>
      <c r="G110" s="20">
        <v>0</v>
      </c>
      <c r="H110" s="19">
        <f t="shared" si="9"/>
        <v>0</v>
      </c>
      <c r="I110" s="19">
        <f t="shared" si="10"/>
        <v>0</v>
      </c>
      <c r="J110" s="31">
        <v>0</v>
      </c>
      <c r="K110" s="19">
        <f t="shared" si="11"/>
        <v>0</v>
      </c>
    </row>
    <row r="111" spans="1:11" x14ac:dyDescent="0.2">
      <c r="A111" s="3">
        <v>107</v>
      </c>
      <c r="B111" s="3" t="s">
        <v>321</v>
      </c>
      <c r="C111" s="3" t="s">
        <v>234</v>
      </c>
      <c r="D111" s="3" t="s">
        <v>121</v>
      </c>
      <c r="E111" s="21" t="s">
        <v>77</v>
      </c>
      <c r="F111" s="18">
        <v>13750</v>
      </c>
      <c r="G111" s="20">
        <v>0</v>
      </c>
      <c r="H111" s="19">
        <f t="shared" si="9"/>
        <v>0</v>
      </c>
      <c r="I111" s="19">
        <f t="shared" si="10"/>
        <v>0</v>
      </c>
      <c r="J111" s="31">
        <v>0</v>
      </c>
      <c r="K111" s="19">
        <f t="shared" si="11"/>
        <v>0</v>
      </c>
    </row>
    <row r="112" spans="1:11" x14ac:dyDescent="0.2">
      <c r="A112" s="3">
        <v>108</v>
      </c>
      <c r="B112" s="3" t="s">
        <v>322</v>
      </c>
      <c r="C112" s="3" t="s">
        <v>213</v>
      </c>
      <c r="D112" s="3" t="s">
        <v>132</v>
      </c>
      <c r="E112" s="21" t="s">
        <v>77</v>
      </c>
      <c r="F112" s="18">
        <v>13500</v>
      </c>
      <c r="G112" s="20">
        <v>0</v>
      </c>
      <c r="H112" s="19">
        <f t="shared" si="9"/>
        <v>0</v>
      </c>
      <c r="I112" s="19">
        <f t="shared" si="10"/>
        <v>0</v>
      </c>
      <c r="J112" s="31">
        <v>0</v>
      </c>
      <c r="K112" s="19">
        <f t="shared" si="11"/>
        <v>0</v>
      </c>
    </row>
    <row r="113" spans="1:11" x14ac:dyDescent="0.2">
      <c r="A113" s="3">
        <v>109</v>
      </c>
      <c r="B113" s="3" t="s">
        <v>323</v>
      </c>
      <c r="C113" s="3" t="s">
        <v>324</v>
      </c>
      <c r="D113" s="3" t="s">
        <v>325</v>
      </c>
      <c r="E113" s="21" t="s">
        <v>77</v>
      </c>
      <c r="F113" s="18">
        <v>17250</v>
      </c>
      <c r="G113" s="20">
        <v>0</v>
      </c>
      <c r="H113" s="19">
        <f t="shared" si="9"/>
        <v>0</v>
      </c>
      <c r="I113" s="19">
        <f t="shared" si="10"/>
        <v>0</v>
      </c>
      <c r="J113" s="31">
        <v>0</v>
      </c>
      <c r="K113" s="19">
        <f t="shared" si="11"/>
        <v>0</v>
      </c>
    </row>
    <row r="114" spans="1:11" x14ac:dyDescent="0.2">
      <c r="A114" s="3">
        <v>110</v>
      </c>
      <c r="B114" s="3" t="s">
        <v>326</v>
      </c>
      <c r="C114" s="3" t="s">
        <v>327</v>
      </c>
      <c r="D114" s="3" t="s">
        <v>121</v>
      </c>
      <c r="E114" s="21" t="s">
        <v>77</v>
      </c>
      <c r="F114" s="18">
        <v>13000</v>
      </c>
      <c r="G114" s="20">
        <v>0</v>
      </c>
      <c r="H114" s="19">
        <f t="shared" si="9"/>
        <v>0</v>
      </c>
      <c r="I114" s="19">
        <f t="shared" si="10"/>
        <v>0</v>
      </c>
      <c r="J114" s="31">
        <v>0</v>
      </c>
      <c r="K114" s="19">
        <f t="shared" si="11"/>
        <v>0</v>
      </c>
    </row>
    <row r="115" spans="1:11" x14ac:dyDescent="0.2">
      <c r="A115" s="3">
        <v>111</v>
      </c>
      <c r="B115" s="3" t="s">
        <v>328</v>
      </c>
      <c r="C115" s="3" t="s">
        <v>329</v>
      </c>
      <c r="D115" s="3" t="s">
        <v>121</v>
      </c>
      <c r="E115" s="21" t="s">
        <v>77</v>
      </c>
      <c r="F115" s="18">
        <v>12500</v>
      </c>
      <c r="G115" s="20">
        <v>0</v>
      </c>
      <c r="H115" s="19">
        <f t="shared" si="9"/>
        <v>0</v>
      </c>
      <c r="I115" s="19">
        <f t="shared" si="10"/>
        <v>0</v>
      </c>
      <c r="J115" s="31">
        <v>0</v>
      </c>
      <c r="K115" s="19">
        <f t="shared" si="11"/>
        <v>0</v>
      </c>
    </row>
    <row r="116" spans="1:11" x14ac:dyDescent="0.2">
      <c r="A116" s="3">
        <v>112</v>
      </c>
      <c r="B116" s="3" t="s">
        <v>330</v>
      </c>
      <c r="C116" s="3" t="s">
        <v>331</v>
      </c>
      <c r="D116" s="3" t="s">
        <v>332</v>
      </c>
      <c r="E116" s="21" t="s">
        <v>77</v>
      </c>
      <c r="F116" s="18">
        <v>11500</v>
      </c>
      <c r="G116" s="20">
        <v>0</v>
      </c>
      <c r="H116" s="19">
        <f t="shared" si="9"/>
        <v>0</v>
      </c>
      <c r="I116" s="19">
        <f t="shared" si="10"/>
        <v>0</v>
      </c>
      <c r="J116" s="31">
        <v>0</v>
      </c>
      <c r="K116" s="19">
        <f t="shared" si="11"/>
        <v>0</v>
      </c>
    </row>
    <row r="117" spans="1:11" x14ac:dyDescent="0.2">
      <c r="A117" s="3">
        <v>113</v>
      </c>
      <c r="B117" s="3" t="s">
        <v>333</v>
      </c>
      <c r="C117" s="3" t="s">
        <v>334</v>
      </c>
      <c r="D117" s="3" t="s">
        <v>121</v>
      </c>
      <c r="E117" s="21" t="s">
        <v>77</v>
      </c>
      <c r="F117" s="18">
        <v>11750</v>
      </c>
      <c r="G117" s="20">
        <v>0</v>
      </c>
      <c r="H117" s="19">
        <f t="shared" si="9"/>
        <v>0</v>
      </c>
      <c r="I117" s="19">
        <f t="shared" si="10"/>
        <v>0</v>
      </c>
      <c r="J117" s="31">
        <v>0</v>
      </c>
      <c r="K117" s="19">
        <f t="shared" si="11"/>
        <v>0</v>
      </c>
    </row>
    <row r="118" spans="1:11" x14ac:dyDescent="0.2">
      <c r="A118" s="3">
        <v>114</v>
      </c>
      <c r="B118" s="3" t="s">
        <v>335</v>
      </c>
      <c r="C118" s="3" t="s">
        <v>336</v>
      </c>
      <c r="D118" s="3" t="s">
        <v>132</v>
      </c>
      <c r="E118" s="21" t="s">
        <v>77</v>
      </c>
      <c r="F118" s="18">
        <v>5200</v>
      </c>
      <c r="G118" s="20">
        <v>0</v>
      </c>
      <c r="H118" s="19">
        <f t="shared" si="9"/>
        <v>0</v>
      </c>
      <c r="I118" s="19">
        <f t="shared" si="10"/>
        <v>0</v>
      </c>
      <c r="J118" s="31">
        <v>0</v>
      </c>
      <c r="K118" s="19">
        <f t="shared" si="11"/>
        <v>0</v>
      </c>
    </row>
    <row r="119" spans="1:11" x14ac:dyDescent="0.2">
      <c r="A119" s="3">
        <v>115</v>
      </c>
      <c r="B119" s="3" t="s">
        <v>337</v>
      </c>
      <c r="C119" s="3" t="s">
        <v>338</v>
      </c>
      <c r="D119" s="3" t="s">
        <v>121</v>
      </c>
      <c r="E119" s="21" t="s">
        <v>77</v>
      </c>
      <c r="F119" s="18">
        <v>12750</v>
      </c>
      <c r="G119" s="20">
        <v>0</v>
      </c>
      <c r="H119" s="19">
        <f t="shared" si="9"/>
        <v>0</v>
      </c>
      <c r="I119" s="19">
        <f t="shared" si="10"/>
        <v>0</v>
      </c>
      <c r="J119" s="31">
        <v>0</v>
      </c>
      <c r="K119" s="19">
        <f t="shared" si="11"/>
        <v>0</v>
      </c>
    </row>
    <row r="120" spans="1:11" x14ac:dyDescent="0.2">
      <c r="A120" s="3">
        <v>116</v>
      </c>
      <c r="B120" s="3" t="s">
        <v>339</v>
      </c>
      <c r="C120" s="3" t="s">
        <v>340</v>
      </c>
      <c r="D120" s="3" t="s">
        <v>341</v>
      </c>
      <c r="E120" s="21" t="s">
        <v>77</v>
      </c>
      <c r="F120" s="18">
        <v>12750</v>
      </c>
      <c r="G120" s="20">
        <v>0</v>
      </c>
      <c r="H120" s="19">
        <f t="shared" si="9"/>
        <v>0</v>
      </c>
      <c r="I120" s="19">
        <f t="shared" si="10"/>
        <v>0</v>
      </c>
      <c r="J120" s="31">
        <v>0</v>
      </c>
      <c r="K120" s="19">
        <f t="shared" si="11"/>
        <v>0</v>
      </c>
    </row>
    <row r="121" spans="1:11" x14ac:dyDescent="0.2">
      <c r="A121" s="3">
        <v>117</v>
      </c>
      <c r="B121" s="3" t="s">
        <v>342</v>
      </c>
      <c r="C121" s="3" t="s">
        <v>129</v>
      </c>
      <c r="D121" s="3" t="s">
        <v>343</v>
      </c>
      <c r="E121" s="21" t="s">
        <v>77</v>
      </c>
      <c r="F121" s="18">
        <v>9600</v>
      </c>
      <c r="G121" s="20">
        <v>0</v>
      </c>
      <c r="H121" s="19">
        <f t="shared" si="9"/>
        <v>0</v>
      </c>
      <c r="I121" s="19">
        <f t="shared" si="10"/>
        <v>0</v>
      </c>
      <c r="J121" s="31">
        <v>0</v>
      </c>
      <c r="K121" s="19">
        <f t="shared" si="11"/>
        <v>0</v>
      </c>
    </row>
    <row r="122" spans="1:11" x14ac:dyDescent="0.2">
      <c r="A122" s="3">
        <v>118</v>
      </c>
      <c r="B122" s="3" t="s">
        <v>344</v>
      </c>
      <c r="C122" s="3" t="s">
        <v>345</v>
      </c>
      <c r="D122" s="3" t="s">
        <v>346</v>
      </c>
      <c r="E122" s="21" t="s">
        <v>77</v>
      </c>
      <c r="F122" s="18">
        <v>25500</v>
      </c>
      <c r="G122" s="20">
        <v>0</v>
      </c>
      <c r="H122" s="19">
        <f t="shared" si="9"/>
        <v>0</v>
      </c>
      <c r="I122" s="19">
        <f t="shared" si="10"/>
        <v>0</v>
      </c>
      <c r="J122" s="31">
        <v>0</v>
      </c>
      <c r="K122" s="19">
        <f t="shared" si="11"/>
        <v>0</v>
      </c>
    </row>
    <row r="123" spans="1:11" x14ac:dyDescent="0.2">
      <c r="A123" s="3">
        <v>119</v>
      </c>
      <c r="B123" s="3" t="s">
        <v>344</v>
      </c>
      <c r="C123" s="3" t="s">
        <v>347</v>
      </c>
      <c r="D123" s="3" t="s">
        <v>159</v>
      </c>
      <c r="E123" s="21" t="s">
        <v>77</v>
      </c>
      <c r="F123" s="18">
        <v>9800</v>
      </c>
      <c r="G123" s="20">
        <v>0</v>
      </c>
      <c r="H123" s="19">
        <f t="shared" si="9"/>
        <v>0</v>
      </c>
      <c r="I123" s="19">
        <f t="shared" si="10"/>
        <v>0</v>
      </c>
      <c r="J123" s="31">
        <v>0</v>
      </c>
      <c r="K123" s="19">
        <f t="shared" si="11"/>
        <v>0</v>
      </c>
    </row>
    <row r="124" spans="1:11" x14ac:dyDescent="0.2">
      <c r="A124" s="3">
        <v>120</v>
      </c>
      <c r="B124" s="3" t="s">
        <v>348</v>
      </c>
      <c r="C124" s="3" t="s">
        <v>285</v>
      </c>
      <c r="D124" s="3" t="s">
        <v>349</v>
      </c>
      <c r="E124" s="21" t="s">
        <v>77</v>
      </c>
      <c r="F124" s="18">
        <v>13500</v>
      </c>
      <c r="G124" s="20">
        <v>0</v>
      </c>
      <c r="H124" s="19">
        <f t="shared" si="9"/>
        <v>0</v>
      </c>
      <c r="I124" s="19">
        <f t="shared" si="10"/>
        <v>0</v>
      </c>
      <c r="J124" s="31">
        <v>0</v>
      </c>
      <c r="K124" s="19">
        <f t="shared" si="11"/>
        <v>0</v>
      </c>
    </row>
    <row r="125" spans="1:11" x14ac:dyDescent="0.2">
      <c r="A125" s="3">
        <v>121</v>
      </c>
      <c r="B125" s="3" t="s">
        <v>350</v>
      </c>
      <c r="C125" s="3" t="s">
        <v>351</v>
      </c>
      <c r="D125" s="3" t="s">
        <v>121</v>
      </c>
      <c r="E125" s="21" t="s">
        <v>77</v>
      </c>
      <c r="F125" s="18">
        <v>12000</v>
      </c>
      <c r="G125" s="20">
        <v>0</v>
      </c>
      <c r="H125" s="19">
        <f t="shared" si="9"/>
        <v>0</v>
      </c>
      <c r="I125" s="19">
        <f t="shared" si="10"/>
        <v>0</v>
      </c>
      <c r="J125" s="31">
        <v>0</v>
      </c>
      <c r="K125" s="19">
        <f t="shared" si="11"/>
        <v>0</v>
      </c>
    </row>
    <row r="126" spans="1:11" x14ac:dyDescent="0.2">
      <c r="A126" s="3">
        <v>122</v>
      </c>
      <c r="B126" s="3" t="s">
        <v>352</v>
      </c>
      <c r="C126" s="3" t="s">
        <v>353</v>
      </c>
      <c r="D126" s="3" t="s">
        <v>159</v>
      </c>
      <c r="E126" s="21" t="s">
        <v>77</v>
      </c>
      <c r="F126" s="18">
        <v>9600</v>
      </c>
      <c r="G126" s="20">
        <v>0</v>
      </c>
      <c r="H126" s="19">
        <f t="shared" si="9"/>
        <v>0</v>
      </c>
      <c r="I126" s="19">
        <f t="shared" si="10"/>
        <v>0</v>
      </c>
      <c r="J126" s="31">
        <v>0</v>
      </c>
      <c r="K126" s="19">
        <f t="shared" si="11"/>
        <v>0</v>
      </c>
    </row>
    <row r="127" spans="1:11" x14ac:dyDescent="0.2">
      <c r="A127" s="3">
        <v>123</v>
      </c>
      <c r="B127" s="3" t="s">
        <v>354</v>
      </c>
      <c r="C127" s="3" t="s">
        <v>241</v>
      </c>
      <c r="D127" s="3" t="s">
        <v>355</v>
      </c>
      <c r="E127" s="21" t="s">
        <v>77</v>
      </c>
      <c r="F127" s="18">
        <v>16000</v>
      </c>
      <c r="G127" s="20">
        <v>0</v>
      </c>
      <c r="H127" s="19">
        <f t="shared" si="9"/>
        <v>0</v>
      </c>
      <c r="I127" s="19">
        <f t="shared" si="10"/>
        <v>0</v>
      </c>
      <c r="J127" s="31">
        <v>0</v>
      </c>
      <c r="K127" s="19">
        <f t="shared" si="11"/>
        <v>0</v>
      </c>
    </row>
    <row r="128" spans="1:11" x14ac:dyDescent="0.2">
      <c r="A128" s="3">
        <v>124</v>
      </c>
      <c r="B128" s="3" t="s">
        <v>357</v>
      </c>
      <c r="C128" s="3" t="s">
        <v>358</v>
      </c>
      <c r="D128" s="3" t="s">
        <v>132</v>
      </c>
      <c r="E128" s="21" t="s">
        <v>77</v>
      </c>
      <c r="F128" s="18">
        <v>11250</v>
      </c>
      <c r="G128" s="20">
        <v>0</v>
      </c>
      <c r="H128" s="19">
        <f t="shared" si="9"/>
        <v>0</v>
      </c>
      <c r="I128" s="19">
        <f t="shared" si="10"/>
        <v>0</v>
      </c>
      <c r="J128" s="31">
        <v>0</v>
      </c>
      <c r="K128" s="19">
        <f t="shared" si="11"/>
        <v>0</v>
      </c>
    </row>
    <row r="129" spans="1:11" x14ac:dyDescent="0.2">
      <c r="A129" s="3">
        <v>125</v>
      </c>
      <c r="B129" s="3" t="s">
        <v>359</v>
      </c>
      <c r="C129" s="3" t="s">
        <v>360</v>
      </c>
      <c r="D129" s="3" t="s">
        <v>237</v>
      </c>
      <c r="E129" s="21" t="s">
        <v>77</v>
      </c>
      <c r="F129" s="18">
        <v>12500</v>
      </c>
      <c r="G129" s="20">
        <v>0</v>
      </c>
      <c r="H129" s="19">
        <f t="shared" si="9"/>
        <v>0</v>
      </c>
      <c r="I129" s="19">
        <f t="shared" si="10"/>
        <v>0</v>
      </c>
      <c r="J129" s="31">
        <v>0</v>
      </c>
      <c r="K129" s="19">
        <f t="shared" si="11"/>
        <v>0</v>
      </c>
    </row>
    <row r="130" spans="1:11" x14ac:dyDescent="0.2">
      <c r="A130" s="3">
        <v>126</v>
      </c>
      <c r="B130" s="3" t="s">
        <v>361</v>
      </c>
      <c r="C130" s="3" t="s">
        <v>97</v>
      </c>
      <c r="D130" s="3" t="s">
        <v>159</v>
      </c>
      <c r="E130" s="21" t="s">
        <v>77</v>
      </c>
      <c r="F130" s="18">
        <v>10600</v>
      </c>
      <c r="G130" s="20">
        <v>0</v>
      </c>
      <c r="H130" s="19">
        <f t="shared" si="9"/>
        <v>0</v>
      </c>
      <c r="I130" s="19">
        <f t="shared" si="10"/>
        <v>0</v>
      </c>
      <c r="J130" s="31">
        <v>0</v>
      </c>
      <c r="K130" s="19">
        <f t="shared" si="11"/>
        <v>0</v>
      </c>
    </row>
    <row r="131" spans="1:11" x14ac:dyDescent="0.2">
      <c r="A131" s="3">
        <v>127</v>
      </c>
      <c r="B131" s="3" t="s">
        <v>362</v>
      </c>
      <c r="C131" s="3" t="s">
        <v>363</v>
      </c>
      <c r="D131" s="3" t="s">
        <v>265</v>
      </c>
      <c r="E131" s="21" t="s">
        <v>77</v>
      </c>
      <c r="F131" s="18">
        <v>5625</v>
      </c>
      <c r="G131" s="20">
        <v>0</v>
      </c>
      <c r="H131" s="19">
        <f t="shared" si="9"/>
        <v>0</v>
      </c>
      <c r="I131" s="19">
        <f t="shared" si="10"/>
        <v>0</v>
      </c>
      <c r="J131" s="31">
        <v>0</v>
      </c>
      <c r="K131" s="19">
        <f t="shared" si="11"/>
        <v>0</v>
      </c>
    </row>
    <row r="132" spans="1:11" x14ac:dyDescent="0.2">
      <c r="A132" s="3">
        <v>128</v>
      </c>
      <c r="B132" s="3" t="s">
        <v>362</v>
      </c>
      <c r="C132" s="3" t="s">
        <v>363</v>
      </c>
      <c r="D132" s="3" t="s">
        <v>121</v>
      </c>
      <c r="E132" s="21" t="s">
        <v>77</v>
      </c>
      <c r="F132" s="18">
        <v>6125</v>
      </c>
      <c r="G132" s="20">
        <v>0</v>
      </c>
      <c r="H132" s="19">
        <f t="shared" si="9"/>
        <v>0</v>
      </c>
      <c r="I132" s="19">
        <f t="shared" si="10"/>
        <v>0</v>
      </c>
      <c r="J132" s="31">
        <v>0</v>
      </c>
      <c r="K132" s="19">
        <f t="shared" si="11"/>
        <v>0</v>
      </c>
    </row>
    <row r="133" spans="1:11" x14ac:dyDescent="0.2">
      <c r="A133" s="3">
        <v>129</v>
      </c>
      <c r="B133" s="3" t="s">
        <v>364</v>
      </c>
      <c r="C133" s="3" t="s">
        <v>365</v>
      </c>
      <c r="D133" s="3" t="s">
        <v>223</v>
      </c>
      <c r="E133" s="21" t="s">
        <v>77</v>
      </c>
      <c r="F133" s="18">
        <v>16000</v>
      </c>
      <c r="G133" s="20">
        <v>0</v>
      </c>
      <c r="H133" s="19">
        <f t="shared" ref="H133:H164" si="12">F133*G133</f>
        <v>0</v>
      </c>
      <c r="I133" s="19">
        <f t="shared" ref="I133:I164" si="13">H133*8</f>
        <v>0</v>
      </c>
      <c r="J133" s="31">
        <v>0</v>
      </c>
      <c r="K133" s="19">
        <f t="shared" ref="K133:K164" si="14">I133+J133</f>
        <v>0</v>
      </c>
    </row>
    <row r="134" spans="1:11" x14ac:dyDescent="0.2">
      <c r="A134" s="3">
        <v>130</v>
      </c>
      <c r="B134" s="3" t="s">
        <v>367</v>
      </c>
      <c r="C134" s="3" t="s">
        <v>317</v>
      </c>
      <c r="D134" s="3" t="s">
        <v>368</v>
      </c>
      <c r="E134" s="21" t="s">
        <v>77</v>
      </c>
      <c r="F134" s="18">
        <v>10377</v>
      </c>
      <c r="G134" s="20">
        <v>0</v>
      </c>
      <c r="H134" s="19">
        <f t="shared" si="12"/>
        <v>0</v>
      </c>
      <c r="I134" s="19">
        <f t="shared" si="13"/>
        <v>0</v>
      </c>
      <c r="J134" s="31">
        <v>0</v>
      </c>
      <c r="K134" s="19">
        <f t="shared" si="14"/>
        <v>0</v>
      </c>
    </row>
    <row r="135" spans="1:11" x14ac:dyDescent="0.2">
      <c r="A135" s="3">
        <v>131</v>
      </c>
      <c r="B135" s="3" t="s">
        <v>369</v>
      </c>
      <c r="C135" s="3" t="s">
        <v>177</v>
      </c>
      <c r="D135" s="3" t="s">
        <v>121</v>
      </c>
      <c r="E135" s="21" t="s">
        <v>77</v>
      </c>
      <c r="F135" s="18">
        <v>13000</v>
      </c>
      <c r="G135" s="20">
        <v>0</v>
      </c>
      <c r="H135" s="19">
        <f t="shared" si="12"/>
        <v>0</v>
      </c>
      <c r="I135" s="19">
        <f t="shared" si="13"/>
        <v>0</v>
      </c>
      <c r="J135" s="31">
        <v>0</v>
      </c>
      <c r="K135" s="19">
        <f t="shared" si="14"/>
        <v>0</v>
      </c>
    </row>
    <row r="136" spans="1:11" x14ac:dyDescent="0.2">
      <c r="A136" s="3">
        <v>132</v>
      </c>
      <c r="B136" s="3" t="s">
        <v>370</v>
      </c>
      <c r="C136" s="3" t="s">
        <v>371</v>
      </c>
      <c r="D136" s="3" t="s">
        <v>121</v>
      </c>
      <c r="E136" s="21" t="s">
        <v>77</v>
      </c>
      <c r="F136" s="18">
        <v>5500</v>
      </c>
      <c r="G136" s="20">
        <v>0</v>
      </c>
      <c r="H136" s="19">
        <f t="shared" si="12"/>
        <v>0</v>
      </c>
      <c r="I136" s="19">
        <f t="shared" si="13"/>
        <v>0</v>
      </c>
      <c r="J136" s="31">
        <v>0</v>
      </c>
      <c r="K136" s="19">
        <f t="shared" si="14"/>
        <v>0</v>
      </c>
    </row>
    <row r="137" spans="1:11" x14ac:dyDescent="0.2">
      <c r="A137" s="3">
        <v>133</v>
      </c>
      <c r="B137" s="3" t="s">
        <v>372</v>
      </c>
      <c r="C137" s="3" t="s">
        <v>373</v>
      </c>
      <c r="D137" s="3" t="s">
        <v>86</v>
      </c>
      <c r="E137" s="21" t="s">
        <v>77</v>
      </c>
      <c r="F137" s="18">
        <v>13500</v>
      </c>
      <c r="G137" s="20">
        <v>0</v>
      </c>
      <c r="H137" s="19">
        <f t="shared" si="12"/>
        <v>0</v>
      </c>
      <c r="I137" s="19">
        <f t="shared" si="13"/>
        <v>0</v>
      </c>
      <c r="J137" s="31">
        <v>0</v>
      </c>
      <c r="K137" s="19">
        <f t="shared" si="14"/>
        <v>0</v>
      </c>
    </row>
    <row r="138" spans="1:11" x14ac:dyDescent="0.2">
      <c r="A138" s="3">
        <v>134</v>
      </c>
      <c r="B138" s="3" t="s">
        <v>374</v>
      </c>
      <c r="C138" s="3" t="s">
        <v>375</v>
      </c>
      <c r="D138" s="3" t="s">
        <v>376</v>
      </c>
      <c r="E138" s="21" t="s">
        <v>77</v>
      </c>
      <c r="F138" s="18">
        <v>12000</v>
      </c>
      <c r="G138" s="20">
        <v>0</v>
      </c>
      <c r="H138" s="19">
        <f t="shared" si="12"/>
        <v>0</v>
      </c>
      <c r="I138" s="19">
        <f t="shared" si="13"/>
        <v>0</v>
      </c>
      <c r="J138" s="31">
        <v>0</v>
      </c>
      <c r="K138" s="19">
        <f t="shared" si="14"/>
        <v>0</v>
      </c>
    </row>
    <row r="139" spans="1:11" x14ac:dyDescent="0.2">
      <c r="A139" s="3">
        <v>135</v>
      </c>
      <c r="B139" s="3" t="s">
        <v>377</v>
      </c>
      <c r="C139" s="3" t="s">
        <v>353</v>
      </c>
      <c r="D139" s="3" t="s">
        <v>121</v>
      </c>
      <c r="E139" s="21" t="s">
        <v>77</v>
      </c>
      <c r="F139" s="18">
        <v>12000</v>
      </c>
      <c r="G139" s="20">
        <v>0</v>
      </c>
      <c r="H139" s="19">
        <f t="shared" si="12"/>
        <v>0</v>
      </c>
      <c r="I139" s="19">
        <f t="shared" si="13"/>
        <v>0</v>
      </c>
      <c r="J139" s="31">
        <v>0</v>
      </c>
      <c r="K139" s="19">
        <f t="shared" si="14"/>
        <v>0</v>
      </c>
    </row>
    <row r="140" spans="1:11" x14ac:dyDescent="0.2">
      <c r="A140" s="3">
        <v>136</v>
      </c>
      <c r="B140" s="3" t="s">
        <v>378</v>
      </c>
      <c r="C140" s="3" t="s">
        <v>375</v>
      </c>
      <c r="D140" s="3" t="s">
        <v>121</v>
      </c>
      <c r="E140" s="21" t="s">
        <v>77</v>
      </c>
      <c r="F140" s="18">
        <v>11250</v>
      </c>
      <c r="G140" s="20">
        <v>0</v>
      </c>
      <c r="H140" s="19">
        <f t="shared" si="12"/>
        <v>0</v>
      </c>
      <c r="I140" s="19">
        <f t="shared" si="13"/>
        <v>0</v>
      </c>
      <c r="J140" s="31">
        <v>0</v>
      </c>
      <c r="K140" s="19">
        <f t="shared" si="14"/>
        <v>0</v>
      </c>
    </row>
    <row r="141" spans="1:11" x14ac:dyDescent="0.2">
      <c r="A141" s="3">
        <v>137</v>
      </c>
      <c r="B141" s="3" t="s">
        <v>379</v>
      </c>
      <c r="C141" s="3" t="s">
        <v>380</v>
      </c>
      <c r="D141" s="3" t="s">
        <v>86</v>
      </c>
      <c r="E141" s="21" t="s">
        <v>77</v>
      </c>
      <c r="F141" s="18">
        <v>12250</v>
      </c>
      <c r="G141" s="20">
        <v>0</v>
      </c>
      <c r="H141" s="19">
        <f t="shared" si="12"/>
        <v>0</v>
      </c>
      <c r="I141" s="19">
        <f t="shared" si="13"/>
        <v>0</v>
      </c>
      <c r="J141" s="31">
        <v>0</v>
      </c>
      <c r="K141" s="19">
        <f t="shared" si="14"/>
        <v>0</v>
      </c>
    </row>
    <row r="142" spans="1:11" x14ac:dyDescent="0.2">
      <c r="A142" s="3">
        <v>138</v>
      </c>
      <c r="B142" s="3" t="s">
        <v>381</v>
      </c>
      <c r="C142" s="3" t="s">
        <v>382</v>
      </c>
      <c r="D142" s="3" t="s">
        <v>86</v>
      </c>
      <c r="E142" s="21" t="s">
        <v>77</v>
      </c>
      <c r="F142" s="18">
        <v>11250</v>
      </c>
      <c r="G142" s="20">
        <v>0</v>
      </c>
      <c r="H142" s="19">
        <f t="shared" si="12"/>
        <v>0</v>
      </c>
      <c r="I142" s="19">
        <f t="shared" si="13"/>
        <v>0</v>
      </c>
      <c r="J142" s="31">
        <v>0</v>
      </c>
      <c r="K142" s="19">
        <f t="shared" si="14"/>
        <v>0</v>
      </c>
    </row>
    <row r="143" spans="1:11" x14ac:dyDescent="0.2">
      <c r="A143" s="3">
        <v>139</v>
      </c>
      <c r="B143" s="3" t="s">
        <v>383</v>
      </c>
      <c r="C143" s="3" t="s">
        <v>360</v>
      </c>
      <c r="D143" s="3" t="s">
        <v>121</v>
      </c>
      <c r="E143" s="21" t="s">
        <v>77</v>
      </c>
      <c r="F143" s="18">
        <v>12750</v>
      </c>
      <c r="G143" s="20">
        <v>0</v>
      </c>
      <c r="H143" s="19">
        <f t="shared" si="12"/>
        <v>0</v>
      </c>
      <c r="I143" s="19">
        <f t="shared" si="13"/>
        <v>0</v>
      </c>
      <c r="J143" s="31">
        <v>0</v>
      </c>
      <c r="K143" s="19">
        <f t="shared" si="14"/>
        <v>0</v>
      </c>
    </row>
    <row r="144" spans="1:11" x14ac:dyDescent="0.2">
      <c r="A144" s="3">
        <v>140</v>
      </c>
      <c r="B144" s="3" t="s">
        <v>384</v>
      </c>
      <c r="C144" s="3" t="s">
        <v>385</v>
      </c>
      <c r="D144" s="3" t="s">
        <v>121</v>
      </c>
      <c r="E144" s="21" t="s">
        <v>77</v>
      </c>
      <c r="F144" s="18">
        <v>13500</v>
      </c>
      <c r="G144" s="20">
        <v>0</v>
      </c>
      <c r="H144" s="19">
        <f t="shared" si="12"/>
        <v>0</v>
      </c>
      <c r="I144" s="19">
        <f t="shared" si="13"/>
        <v>0</v>
      </c>
      <c r="J144" s="31">
        <v>0</v>
      </c>
      <c r="K144" s="19">
        <f t="shared" si="14"/>
        <v>0</v>
      </c>
    </row>
    <row r="145" spans="1:11" x14ac:dyDescent="0.2">
      <c r="A145" s="3">
        <v>141</v>
      </c>
      <c r="B145" s="3" t="s">
        <v>386</v>
      </c>
      <c r="C145" s="3" t="s">
        <v>257</v>
      </c>
      <c r="D145" s="3" t="s">
        <v>74</v>
      </c>
      <c r="E145" s="21" t="s">
        <v>77</v>
      </c>
      <c r="F145" s="18">
        <v>10000</v>
      </c>
      <c r="G145" s="20">
        <v>0</v>
      </c>
      <c r="H145" s="19">
        <f t="shared" si="12"/>
        <v>0</v>
      </c>
      <c r="I145" s="19">
        <f t="shared" si="13"/>
        <v>0</v>
      </c>
      <c r="J145" s="31">
        <v>0</v>
      </c>
      <c r="K145" s="19">
        <f t="shared" si="14"/>
        <v>0</v>
      </c>
    </row>
    <row r="146" spans="1:11" x14ac:dyDescent="0.2">
      <c r="A146" s="3">
        <v>142</v>
      </c>
      <c r="B146" s="3" t="s">
        <v>387</v>
      </c>
      <c r="C146" s="3" t="s">
        <v>388</v>
      </c>
      <c r="D146" s="3" t="s">
        <v>102</v>
      </c>
      <c r="E146" s="21" t="s">
        <v>77</v>
      </c>
      <c r="F146" s="18">
        <v>12750</v>
      </c>
      <c r="G146" s="20">
        <v>0</v>
      </c>
      <c r="H146" s="19">
        <f t="shared" si="12"/>
        <v>0</v>
      </c>
      <c r="I146" s="19">
        <f t="shared" si="13"/>
        <v>0</v>
      </c>
      <c r="J146" s="31">
        <v>0</v>
      </c>
      <c r="K146" s="19">
        <f t="shared" si="14"/>
        <v>0</v>
      </c>
    </row>
    <row r="147" spans="1:11" x14ac:dyDescent="0.2">
      <c r="A147" s="3">
        <v>143</v>
      </c>
      <c r="B147" s="3" t="s">
        <v>389</v>
      </c>
      <c r="C147" s="3" t="s">
        <v>390</v>
      </c>
      <c r="D147" s="3" t="s">
        <v>121</v>
      </c>
      <c r="E147" s="21" t="s">
        <v>77</v>
      </c>
      <c r="F147" s="18">
        <v>11250</v>
      </c>
      <c r="G147" s="20">
        <v>0</v>
      </c>
      <c r="H147" s="19">
        <f t="shared" si="12"/>
        <v>0</v>
      </c>
      <c r="I147" s="19">
        <f t="shared" si="13"/>
        <v>0</v>
      </c>
      <c r="J147" s="31">
        <v>0</v>
      </c>
      <c r="K147" s="19">
        <f t="shared" si="14"/>
        <v>0</v>
      </c>
    </row>
    <row r="148" spans="1:11" x14ac:dyDescent="0.2">
      <c r="A148" s="3">
        <v>144</v>
      </c>
      <c r="B148" s="3" t="s">
        <v>391</v>
      </c>
      <c r="C148" s="3" t="s">
        <v>392</v>
      </c>
      <c r="D148" s="3" t="s">
        <v>132</v>
      </c>
      <c r="E148" s="21" t="s">
        <v>77</v>
      </c>
      <c r="F148" s="18">
        <v>12500</v>
      </c>
      <c r="G148" s="20">
        <v>0</v>
      </c>
      <c r="H148" s="19">
        <f t="shared" si="12"/>
        <v>0</v>
      </c>
      <c r="I148" s="19">
        <f t="shared" si="13"/>
        <v>0</v>
      </c>
      <c r="J148" s="31">
        <v>0</v>
      </c>
      <c r="K148" s="19">
        <f t="shared" si="14"/>
        <v>0</v>
      </c>
    </row>
    <row r="149" spans="1:11" x14ac:dyDescent="0.2">
      <c r="A149" s="3">
        <v>145</v>
      </c>
      <c r="B149" s="3" t="s">
        <v>393</v>
      </c>
      <c r="C149" s="3" t="s">
        <v>385</v>
      </c>
      <c r="D149" s="3" t="s">
        <v>121</v>
      </c>
      <c r="E149" s="21" t="s">
        <v>77</v>
      </c>
      <c r="F149" s="18">
        <v>7667</v>
      </c>
      <c r="G149" s="20">
        <v>0</v>
      </c>
      <c r="H149" s="19">
        <f t="shared" si="12"/>
        <v>0</v>
      </c>
      <c r="I149" s="19">
        <f t="shared" si="13"/>
        <v>0</v>
      </c>
      <c r="J149" s="31">
        <v>0</v>
      </c>
      <c r="K149" s="19">
        <f t="shared" si="14"/>
        <v>0</v>
      </c>
    </row>
    <row r="150" spans="1:11" x14ac:dyDescent="0.2">
      <c r="A150" s="3">
        <v>146</v>
      </c>
      <c r="B150" s="3" t="s">
        <v>394</v>
      </c>
      <c r="C150" s="3" t="s">
        <v>395</v>
      </c>
      <c r="D150" s="3" t="s">
        <v>74</v>
      </c>
      <c r="E150" s="21" t="s">
        <v>77</v>
      </c>
      <c r="F150" s="18">
        <v>11250</v>
      </c>
      <c r="G150" s="20">
        <v>0</v>
      </c>
      <c r="H150" s="19">
        <f t="shared" si="12"/>
        <v>0</v>
      </c>
      <c r="I150" s="19">
        <f t="shared" si="13"/>
        <v>0</v>
      </c>
      <c r="J150" s="31">
        <v>0</v>
      </c>
      <c r="K150" s="19">
        <f t="shared" si="14"/>
        <v>0</v>
      </c>
    </row>
    <row r="151" spans="1:11" x14ac:dyDescent="0.2">
      <c r="A151" s="3">
        <v>147</v>
      </c>
      <c r="B151" s="3" t="s">
        <v>396</v>
      </c>
      <c r="C151" s="3" t="s">
        <v>397</v>
      </c>
      <c r="D151" s="3" t="s">
        <v>121</v>
      </c>
      <c r="E151" s="21" t="s">
        <v>77</v>
      </c>
      <c r="F151" s="18">
        <v>13500</v>
      </c>
      <c r="G151" s="20">
        <v>0</v>
      </c>
      <c r="H151" s="19">
        <f t="shared" si="12"/>
        <v>0</v>
      </c>
      <c r="I151" s="19">
        <f t="shared" si="13"/>
        <v>0</v>
      </c>
      <c r="J151" s="31">
        <v>0</v>
      </c>
      <c r="K151" s="19">
        <f t="shared" si="14"/>
        <v>0</v>
      </c>
    </row>
    <row r="152" spans="1:11" x14ac:dyDescent="0.2">
      <c r="A152" s="3">
        <v>148</v>
      </c>
      <c r="B152" s="3" t="s">
        <v>398</v>
      </c>
      <c r="C152" s="3" t="s">
        <v>399</v>
      </c>
      <c r="D152" s="3" t="s">
        <v>102</v>
      </c>
      <c r="E152" s="21" t="s">
        <v>77</v>
      </c>
      <c r="F152" s="18">
        <v>17250</v>
      </c>
      <c r="G152" s="20">
        <v>0</v>
      </c>
      <c r="H152" s="19">
        <f t="shared" si="12"/>
        <v>0</v>
      </c>
      <c r="I152" s="19">
        <f t="shared" si="13"/>
        <v>0</v>
      </c>
      <c r="J152" s="31">
        <v>0</v>
      </c>
      <c r="K152" s="19">
        <f t="shared" si="14"/>
        <v>0</v>
      </c>
    </row>
    <row r="153" spans="1:11" x14ac:dyDescent="0.2">
      <c r="A153" s="3">
        <v>149</v>
      </c>
      <c r="B153" s="3" t="s">
        <v>400</v>
      </c>
      <c r="C153" s="3" t="s">
        <v>401</v>
      </c>
      <c r="D153" s="3" t="s">
        <v>121</v>
      </c>
      <c r="E153" s="21" t="s">
        <v>77</v>
      </c>
      <c r="F153" s="18">
        <v>14250</v>
      </c>
      <c r="G153" s="20">
        <v>0</v>
      </c>
      <c r="H153" s="19">
        <f t="shared" si="12"/>
        <v>0</v>
      </c>
      <c r="I153" s="19">
        <f t="shared" si="13"/>
        <v>0</v>
      </c>
      <c r="J153" s="31">
        <v>0</v>
      </c>
      <c r="K153" s="19">
        <f t="shared" si="14"/>
        <v>0</v>
      </c>
    </row>
    <row r="154" spans="1:11" x14ac:dyDescent="0.2">
      <c r="A154" s="3">
        <v>150</v>
      </c>
      <c r="B154" s="3" t="s">
        <v>402</v>
      </c>
      <c r="C154" s="3" t="s">
        <v>403</v>
      </c>
      <c r="D154" s="3" t="s">
        <v>102</v>
      </c>
      <c r="E154" s="21" t="s">
        <v>77</v>
      </c>
      <c r="F154" s="18">
        <v>14250</v>
      </c>
      <c r="G154" s="20">
        <v>0</v>
      </c>
      <c r="H154" s="19">
        <f t="shared" si="12"/>
        <v>0</v>
      </c>
      <c r="I154" s="19">
        <f t="shared" si="13"/>
        <v>0</v>
      </c>
      <c r="J154" s="31">
        <v>0</v>
      </c>
      <c r="K154" s="19">
        <f t="shared" si="14"/>
        <v>0</v>
      </c>
    </row>
    <row r="155" spans="1:11" x14ac:dyDescent="0.2">
      <c r="A155" s="3">
        <v>151</v>
      </c>
      <c r="B155" s="3" t="s">
        <v>404</v>
      </c>
      <c r="C155" s="3" t="s">
        <v>405</v>
      </c>
      <c r="D155" s="3" t="s">
        <v>406</v>
      </c>
      <c r="E155" s="21" t="s">
        <v>77</v>
      </c>
      <c r="F155" s="18">
        <v>10000</v>
      </c>
      <c r="G155" s="20">
        <v>0</v>
      </c>
      <c r="H155" s="19">
        <f t="shared" si="12"/>
        <v>0</v>
      </c>
      <c r="I155" s="19">
        <f t="shared" si="13"/>
        <v>0</v>
      </c>
      <c r="J155" s="31">
        <v>0</v>
      </c>
      <c r="K155" s="19">
        <f t="shared" si="14"/>
        <v>0</v>
      </c>
    </row>
    <row r="156" spans="1:11" x14ac:dyDescent="0.2">
      <c r="A156" s="3">
        <v>152</v>
      </c>
      <c r="B156" s="3" t="s">
        <v>407</v>
      </c>
      <c r="C156" s="3" t="s">
        <v>408</v>
      </c>
      <c r="D156" s="3" t="s">
        <v>121</v>
      </c>
      <c r="E156" s="21" t="s">
        <v>77</v>
      </c>
      <c r="F156" s="18">
        <v>12500</v>
      </c>
      <c r="G156" s="20">
        <v>0</v>
      </c>
      <c r="H156" s="19">
        <f t="shared" si="12"/>
        <v>0</v>
      </c>
      <c r="I156" s="19">
        <f t="shared" si="13"/>
        <v>0</v>
      </c>
      <c r="J156" s="31">
        <v>0</v>
      </c>
      <c r="K156" s="19">
        <f t="shared" si="14"/>
        <v>0</v>
      </c>
    </row>
    <row r="157" spans="1:11" x14ac:dyDescent="0.2">
      <c r="A157" s="3">
        <v>153</v>
      </c>
      <c r="B157" s="3" t="s">
        <v>409</v>
      </c>
      <c r="C157" s="3" t="s">
        <v>403</v>
      </c>
      <c r="D157" s="3" t="s">
        <v>410</v>
      </c>
      <c r="E157" s="21" t="s">
        <v>77</v>
      </c>
      <c r="F157" s="18">
        <v>7394</v>
      </c>
      <c r="G157" s="20">
        <v>0</v>
      </c>
      <c r="H157" s="19">
        <f t="shared" si="12"/>
        <v>0</v>
      </c>
      <c r="I157" s="19">
        <f t="shared" si="13"/>
        <v>0</v>
      </c>
      <c r="J157" s="31">
        <v>0</v>
      </c>
      <c r="K157" s="19">
        <f t="shared" si="14"/>
        <v>0</v>
      </c>
    </row>
    <row r="158" spans="1:11" x14ac:dyDescent="0.2">
      <c r="A158" s="3">
        <v>154</v>
      </c>
      <c r="B158" s="3" t="s">
        <v>411</v>
      </c>
      <c r="C158" s="3" t="s">
        <v>412</v>
      </c>
      <c r="D158" s="3" t="s">
        <v>86</v>
      </c>
      <c r="E158" s="21" t="s">
        <v>77</v>
      </c>
      <c r="F158" s="18">
        <v>12500</v>
      </c>
      <c r="G158" s="20">
        <v>0</v>
      </c>
      <c r="H158" s="19">
        <f t="shared" si="12"/>
        <v>0</v>
      </c>
      <c r="I158" s="19">
        <f t="shared" si="13"/>
        <v>0</v>
      </c>
      <c r="J158" s="31">
        <v>0</v>
      </c>
      <c r="K158" s="19">
        <f t="shared" si="14"/>
        <v>0</v>
      </c>
    </row>
    <row r="159" spans="1:11" x14ac:dyDescent="0.2">
      <c r="A159" s="3">
        <v>155</v>
      </c>
      <c r="B159" s="3" t="s">
        <v>413</v>
      </c>
      <c r="C159" s="3" t="s">
        <v>414</v>
      </c>
      <c r="D159" s="3" t="s">
        <v>159</v>
      </c>
      <c r="E159" s="21" t="s">
        <v>77</v>
      </c>
      <c r="F159" s="18">
        <v>9800</v>
      </c>
      <c r="G159" s="20">
        <v>0</v>
      </c>
      <c r="H159" s="19">
        <f t="shared" si="12"/>
        <v>0</v>
      </c>
      <c r="I159" s="19">
        <f t="shared" si="13"/>
        <v>0</v>
      </c>
      <c r="J159" s="31">
        <v>0</v>
      </c>
      <c r="K159" s="19">
        <f t="shared" si="14"/>
        <v>0</v>
      </c>
    </row>
    <row r="160" spans="1:11" x14ac:dyDescent="0.2">
      <c r="A160" s="3">
        <v>156</v>
      </c>
      <c r="B160" s="3" t="s">
        <v>415</v>
      </c>
      <c r="C160" s="3" t="s">
        <v>416</v>
      </c>
      <c r="D160" s="3" t="s">
        <v>121</v>
      </c>
      <c r="E160" s="21" t="s">
        <v>77</v>
      </c>
      <c r="F160" s="18">
        <v>12750</v>
      </c>
      <c r="G160" s="20">
        <v>0</v>
      </c>
      <c r="H160" s="19">
        <f t="shared" si="12"/>
        <v>0</v>
      </c>
      <c r="I160" s="19">
        <f t="shared" si="13"/>
        <v>0</v>
      </c>
      <c r="J160" s="31">
        <v>0</v>
      </c>
      <c r="K160" s="19">
        <f t="shared" si="14"/>
        <v>0</v>
      </c>
    </row>
    <row r="161" spans="1:11" x14ac:dyDescent="0.2">
      <c r="A161" s="3">
        <v>157</v>
      </c>
      <c r="B161" s="3" t="s">
        <v>417</v>
      </c>
      <c r="C161" s="3" t="s">
        <v>418</v>
      </c>
      <c r="D161" s="3" t="s">
        <v>132</v>
      </c>
      <c r="E161" s="21" t="s">
        <v>77</v>
      </c>
      <c r="F161" s="18">
        <v>10800</v>
      </c>
      <c r="G161" s="20">
        <v>0</v>
      </c>
      <c r="H161" s="19">
        <f t="shared" si="12"/>
        <v>0</v>
      </c>
      <c r="I161" s="19">
        <f t="shared" si="13"/>
        <v>0</v>
      </c>
      <c r="J161" s="31">
        <v>0</v>
      </c>
      <c r="K161" s="19">
        <f t="shared" si="14"/>
        <v>0</v>
      </c>
    </row>
    <row r="162" spans="1:11" x14ac:dyDescent="0.2">
      <c r="A162" s="3">
        <v>158</v>
      </c>
      <c r="B162" s="3" t="s">
        <v>419</v>
      </c>
      <c r="C162" s="3" t="s">
        <v>420</v>
      </c>
      <c r="D162" s="3" t="s">
        <v>132</v>
      </c>
      <c r="E162" s="21" t="s">
        <v>77</v>
      </c>
      <c r="F162" s="18">
        <v>15000</v>
      </c>
      <c r="G162" s="20">
        <v>0</v>
      </c>
      <c r="H162" s="19">
        <f t="shared" si="12"/>
        <v>0</v>
      </c>
      <c r="I162" s="19">
        <f t="shared" si="13"/>
        <v>0</v>
      </c>
      <c r="J162" s="31">
        <v>0</v>
      </c>
      <c r="K162" s="19">
        <f t="shared" si="14"/>
        <v>0</v>
      </c>
    </row>
    <row r="163" spans="1:11" x14ac:dyDescent="0.2">
      <c r="A163" s="3">
        <v>159</v>
      </c>
      <c r="B163" s="3" t="s">
        <v>421</v>
      </c>
      <c r="C163" s="3" t="s">
        <v>422</v>
      </c>
      <c r="D163" s="3" t="s">
        <v>423</v>
      </c>
      <c r="E163" s="21" t="s">
        <v>77</v>
      </c>
      <c r="F163" s="18">
        <v>5550</v>
      </c>
      <c r="G163" s="20">
        <v>0</v>
      </c>
      <c r="H163" s="19">
        <f t="shared" si="12"/>
        <v>0</v>
      </c>
      <c r="I163" s="19">
        <f t="shared" si="13"/>
        <v>0</v>
      </c>
      <c r="J163" s="31">
        <v>0</v>
      </c>
      <c r="K163" s="19">
        <f t="shared" si="14"/>
        <v>0</v>
      </c>
    </row>
    <row r="164" spans="1:11" x14ac:dyDescent="0.2">
      <c r="A164" s="3">
        <v>160</v>
      </c>
      <c r="B164" s="3" t="s">
        <v>424</v>
      </c>
      <c r="C164" s="3" t="s">
        <v>425</v>
      </c>
      <c r="D164" s="3" t="s">
        <v>121</v>
      </c>
      <c r="E164" s="21" t="s">
        <v>77</v>
      </c>
      <c r="F164" s="18">
        <v>13500</v>
      </c>
      <c r="G164" s="20">
        <v>0</v>
      </c>
      <c r="H164" s="19">
        <f t="shared" si="12"/>
        <v>0</v>
      </c>
      <c r="I164" s="19">
        <f t="shared" si="13"/>
        <v>0</v>
      </c>
      <c r="J164" s="31">
        <v>0</v>
      </c>
      <c r="K164" s="19">
        <f t="shared" si="14"/>
        <v>0</v>
      </c>
    </row>
    <row r="165" spans="1:11" x14ac:dyDescent="0.2">
      <c r="A165" s="3">
        <v>161</v>
      </c>
      <c r="B165" s="3" t="s">
        <v>426</v>
      </c>
      <c r="C165" s="3" t="s">
        <v>427</v>
      </c>
      <c r="D165" s="3" t="s">
        <v>102</v>
      </c>
      <c r="E165" s="21" t="s">
        <v>77</v>
      </c>
      <c r="F165" s="18">
        <v>11500</v>
      </c>
      <c r="G165" s="20">
        <v>0</v>
      </c>
      <c r="H165" s="19">
        <f t="shared" ref="H165:H172" si="15">F165*G165</f>
        <v>0</v>
      </c>
      <c r="I165" s="19">
        <f t="shared" ref="I165:I172" si="16">H165*8</f>
        <v>0</v>
      </c>
      <c r="J165" s="31">
        <v>0</v>
      </c>
      <c r="K165" s="19">
        <f t="shared" ref="K165:K172" si="17">I165+J165</f>
        <v>0</v>
      </c>
    </row>
    <row r="166" spans="1:11" x14ac:dyDescent="0.2">
      <c r="A166" s="3">
        <v>162</v>
      </c>
      <c r="B166" s="3" t="s">
        <v>428</v>
      </c>
      <c r="C166" s="3" t="s">
        <v>429</v>
      </c>
      <c r="D166" s="3" t="s">
        <v>86</v>
      </c>
      <c r="E166" s="21" t="s">
        <v>77</v>
      </c>
      <c r="F166" s="18">
        <v>15750</v>
      </c>
      <c r="G166" s="20">
        <v>0</v>
      </c>
      <c r="H166" s="19">
        <f t="shared" si="15"/>
        <v>0</v>
      </c>
      <c r="I166" s="19">
        <f t="shared" si="16"/>
        <v>0</v>
      </c>
      <c r="J166" s="31">
        <v>0</v>
      </c>
      <c r="K166" s="19">
        <f t="shared" si="17"/>
        <v>0</v>
      </c>
    </row>
    <row r="167" spans="1:11" x14ac:dyDescent="0.2">
      <c r="A167" s="13">
        <v>163</v>
      </c>
      <c r="B167" s="13" t="s">
        <v>430</v>
      </c>
      <c r="C167" s="13" t="s">
        <v>431</v>
      </c>
      <c r="D167" s="13" t="s">
        <v>47</v>
      </c>
      <c r="E167" s="21" t="s">
        <v>77</v>
      </c>
      <c r="F167" s="27">
        <v>5200</v>
      </c>
      <c r="G167" s="29">
        <v>0</v>
      </c>
      <c r="H167" s="28">
        <f t="shared" si="15"/>
        <v>0</v>
      </c>
      <c r="I167" s="28">
        <f t="shared" si="16"/>
        <v>0</v>
      </c>
      <c r="J167" s="14">
        <v>0</v>
      </c>
      <c r="K167" s="28">
        <f t="shared" si="17"/>
        <v>0</v>
      </c>
    </row>
    <row r="168" spans="1:11" x14ac:dyDescent="0.2">
      <c r="A168" s="13">
        <v>164</v>
      </c>
      <c r="B168" s="13" t="s">
        <v>430</v>
      </c>
      <c r="C168" s="13" t="s">
        <v>431</v>
      </c>
      <c r="D168" s="13" t="s">
        <v>48</v>
      </c>
      <c r="E168" s="21" t="s">
        <v>77</v>
      </c>
      <c r="F168" s="27">
        <v>10400</v>
      </c>
      <c r="G168" s="29">
        <v>0</v>
      </c>
      <c r="H168" s="28">
        <f t="shared" si="15"/>
        <v>0</v>
      </c>
      <c r="I168" s="28">
        <f t="shared" si="16"/>
        <v>0</v>
      </c>
      <c r="J168" s="14">
        <v>0</v>
      </c>
      <c r="K168" s="28">
        <f t="shared" si="17"/>
        <v>0</v>
      </c>
    </row>
    <row r="169" spans="1:11" x14ac:dyDescent="0.2">
      <c r="A169" s="13">
        <v>165</v>
      </c>
      <c r="B169" s="13" t="s">
        <v>430</v>
      </c>
      <c r="C169" s="13" t="s">
        <v>431</v>
      </c>
      <c r="D169" s="13" t="s">
        <v>49</v>
      </c>
      <c r="E169" s="21" t="s">
        <v>77</v>
      </c>
      <c r="F169" s="27">
        <v>10400</v>
      </c>
      <c r="G169" s="29">
        <v>0</v>
      </c>
      <c r="H169" s="28">
        <f t="shared" si="15"/>
        <v>0</v>
      </c>
      <c r="I169" s="28">
        <f t="shared" si="16"/>
        <v>0</v>
      </c>
      <c r="J169" s="14">
        <v>0</v>
      </c>
      <c r="K169" s="28">
        <f t="shared" si="17"/>
        <v>0</v>
      </c>
    </row>
    <row r="170" spans="1:11" x14ac:dyDescent="0.2">
      <c r="A170" s="13">
        <v>166</v>
      </c>
      <c r="B170" s="13" t="s">
        <v>430</v>
      </c>
      <c r="C170" s="13" t="s">
        <v>431</v>
      </c>
      <c r="D170" s="13" t="s">
        <v>50</v>
      </c>
      <c r="E170" s="21" t="s">
        <v>77</v>
      </c>
      <c r="F170" s="27">
        <v>10400</v>
      </c>
      <c r="G170" s="29">
        <v>0</v>
      </c>
      <c r="H170" s="28">
        <f t="shared" si="15"/>
        <v>0</v>
      </c>
      <c r="I170" s="28">
        <f t="shared" si="16"/>
        <v>0</v>
      </c>
      <c r="J170" s="14">
        <v>0</v>
      </c>
      <c r="K170" s="28">
        <f t="shared" si="17"/>
        <v>0</v>
      </c>
    </row>
    <row r="171" spans="1:11" x14ac:dyDescent="0.2">
      <c r="A171" s="13">
        <v>167</v>
      </c>
      <c r="B171" s="13" t="s">
        <v>430</v>
      </c>
      <c r="C171" s="13" t="s">
        <v>431</v>
      </c>
      <c r="D171" s="13" t="s">
        <v>51</v>
      </c>
      <c r="E171" s="21" t="s">
        <v>77</v>
      </c>
      <c r="F171" s="27">
        <v>10600</v>
      </c>
      <c r="G171" s="29">
        <v>0</v>
      </c>
      <c r="H171" s="28">
        <f t="shared" si="15"/>
        <v>0</v>
      </c>
      <c r="I171" s="28">
        <f t="shared" si="16"/>
        <v>0</v>
      </c>
      <c r="J171" s="14">
        <v>0</v>
      </c>
      <c r="K171" s="28">
        <f t="shared" si="17"/>
        <v>0</v>
      </c>
    </row>
    <row r="172" spans="1:11" x14ac:dyDescent="0.2">
      <c r="A172" s="13">
        <v>168</v>
      </c>
      <c r="B172" s="13" t="s">
        <v>430</v>
      </c>
      <c r="C172" s="13" t="s">
        <v>431</v>
      </c>
      <c r="D172" s="13" t="s">
        <v>52</v>
      </c>
      <c r="E172" s="21" t="s">
        <v>77</v>
      </c>
      <c r="F172" s="27">
        <v>10400</v>
      </c>
      <c r="G172" s="29">
        <v>0</v>
      </c>
      <c r="H172" s="28">
        <f t="shared" si="15"/>
        <v>0</v>
      </c>
      <c r="I172" s="28">
        <f t="shared" si="16"/>
        <v>0</v>
      </c>
      <c r="J172" s="14">
        <v>0</v>
      </c>
      <c r="K172" s="28">
        <f t="shared" si="17"/>
        <v>0</v>
      </c>
    </row>
    <row r="173" spans="1:11" x14ac:dyDescent="0.2">
      <c r="A173" s="15" t="s">
        <v>435</v>
      </c>
      <c r="B173" s="15"/>
      <c r="C173" s="15"/>
      <c r="D173" s="15"/>
      <c r="E173" s="15"/>
      <c r="F173" s="15">
        <f>SUM(F5:F172)</f>
        <v>1987369</v>
      </c>
      <c r="G173" s="15"/>
      <c r="H173" s="15">
        <f>SUM(H5:H172)</f>
        <v>2496.875</v>
      </c>
      <c r="I173" s="15">
        <f>SUM(I5:I172)</f>
        <v>19975</v>
      </c>
      <c r="J173" s="15">
        <f>SUM(J5:J172)</f>
        <v>10105</v>
      </c>
      <c r="K173" s="15">
        <f>SUM(K5:K172)</f>
        <v>30080</v>
      </c>
    </row>
  </sheetData>
  <autoFilter ref="A4:K172" xr:uid="{00000000-0009-0000-0000-000004000000}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177"/>
  <sheetViews>
    <sheetView zoomScaleNormal="100" workbookViewId="0"/>
  </sheetViews>
  <sheetFormatPr baseColWidth="10" defaultColWidth="8.6640625" defaultRowHeight="15" customHeight="1" x14ac:dyDescent="0.2"/>
  <cols>
    <col min="1" max="1" width="35" customWidth="1"/>
    <col min="2" max="2" width="15" customWidth="1"/>
    <col min="3" max="3" width="18" customWidth="1"/>
    <col min="4" max="4" width="30" customWidth="1"/>
    <col min="5" max="5" width="16" customWidth="1"/>
    <col min="6" max="6" width="10" customWidth="1"/>
    <col min="7" max="9" width="16" customWidth="1"/>
  </cols>
  <sheetData>
    <row r="1" spans="1:9" ht="18" x14ac:dyDescent="0.2">
      <c r="A1" s="66" t="s">
        <v>491</v>
      </c>
      <c r="B1" s="66"/>
      <c r="C1" s="66"/>
      <c r="D1" s="66"/>
      <c r="E1" s="66"/>
      <c r="F1" s="66"/>
      <c r="G1" s="66"/>
      <c r="H1" s="66"/>
      <c r="I1" s="66"/>
    </row>
    <row r="2" spans="1:9" x14ac:dyDescent="0.2">
      <c r="A2" s="69" t="s">
        <v>492</v>
      </c>
      <c r="B2" s="69"/>
      <c r="C2" s="69"/>
      <c r="D2" s="69"/>
      <c r="E2" s="69"/>
      <c r="F2" s="69"/>
      <c r="G2" s="69"/>
      <c r="H2" s="69"/>
      <c r="I2" s="69"/>
    </row>
    <row r="4" spans="1:9" x14ac:dyDescent="0.2">
      <c r="A4" s="35" t="s">
        <v>493</v>
      </c>
      <c r="C4" s="36">
        <f>'Assumptions &amp; Inputs'!B13</f>
        <v>9500</v>
      </c>
    </row>
    <row r="5" spans="1:9" x14ac:dyDescent="0.2">
      <c r="A5" s="35" t="s">
        <v>494</v>
      </c>
      <c r="C5" s="36">
        <f>'Assumptions &amp; Inputs'!B14</f>
        <v>160</v>
      </c>
    </row>
    <row r="6" spans="1:9" x14ac:dyDescent="0.2">
      <c r="A6" s="37" t="s">
        <v>495</v>
      </c>
      <c r="C6" s="38">
        <f>'Assumptions &amp; Inputs'!B17</f>
        <v>11420</v>
      </c>
    </row>
    <row r="8" spans="1:9" x14ac:dyDescent="0.2">
      <c r="A8" s="12" t="s">
        <v>56</v>
      </c>
      <c r="B8" s="12" t="s">
        <v>57</v>
      </c>
      <c r="C8" s="12" t="s">
        <v>58</v>
      </c>
      <c r="D8" s="12" t="s">
        <v>476</v>
      </c>
      <c r="E8" s="12" t="s">
        <v>69</v>
      </c>
      <c r="F8" s="12" t="s">
        <v>496</v>
      </c>
      <c r="G8" s="12" t="s">
        <v>497</v>
      </c>
      <c r="H8" s="12" t="s">
        <v>498</v>
      </c>
      <c r="I8" s="12" t="s">
        <v>499</v>
      </c>
    </row>
    <row r="9" spans="1:9" x14ac:dyDescent="0.2">
      <c r="A9" s="3">
        <v>1</v>
      </c>
      <c r="B9" s="3" t="s">
        <v>72</v>
      </c>
      <c r="C9" s="3" t="s">
        <v>73</v>
      </c>
      <c r="D9" s="3" t="s">
        <v>74</v>
      </c>
      <c r="E9" s="21" t="s">
        <v>77</v>
      </c>
      <c r="F9" s="3">
        <v>12</v>
      </c>
      <c r="G9" s="31">
        <f>'Assumptions &amp; Inputs'!B13*(F9/12)</f>
        <v>9500</v>
      </c>
      <c r="H9" s="31">
        <f>'Assumptions &amp; Inputs'!B14*F9</f>
        <v>1920</v>
      </c>
      <c r="I9" s="31">
        <f t="shared" ref="I9:I18" si="0">G9+H9</f>
        <v>11420</v>
      </c>
    </row>
    <row r="10" spans="1:9" x14ac:dyDescent="0.2">
      <c r="A10" s="3">
        <v>2</v>
      </c>
      <c r="B10" s="3" t="s">
        <v>79</v>
      </c>
      <c r="C10" s="3" t="s">
        <v>80</v>
      </c>
      <c r="D10" s="3" t="s">
        <v>74</v>
      </c>
      <c r="E10" s="21" t="s">
        <v>77</v>
      </c>
      <c r="F10" s="3">
        <v>12</v>
      </c>
      <c r="G10" s="31">
        <f>'Assumptions &amp; Inputs'!B13*(F10/12)</f>
        <v>9500</v>
      </c>
      <c r="H10" s="31">
        <f>'Assumptions &amp; Inputs'!B14*F10</f>
        <v>1920</v>
      </c>
      <c r="I10" s="31">
        <f t="shared" si="0"/>
        <v>11420</v>
      </c>
    </row>
    <row r="11" spans="1:9" x14ac:dyDescent="0.2">
      <c r="A11" s="3">
        <v>3</v>
      </c>
      <c r="B11" s="3" t="s">
        <v>82</v>
      </c>
      <c r="C11" s="3" t="s">
        <v>83</v>
      </c>
      <c r="D11" s="3" t="s">
        <v>74</v>
      </c>
      <c r="E11" s="21" t="s">
        <v>77</v>
      </c>
      <c r="F11" s="3">
        <v>12</v>
      </c>
      <c r="G11" s="31">
        <f>'Assumptions &amp; Inputs'!B13*(F11/12)</f>
        <v>9500</v>
      </c>
      <c r="H11" s="31">
        <f>'Assumptions &amp; Inputs'!B14*F11</f>
        <v>1920</v>
      </c>
      <c r="I11" s="31">
        <f t="shared" si="0"/>
        <v>11420</v>
      </c>
    </row>
    <row r="12" spans="1:9" x14ac:dyDescent="0.2">
      <c r="A12" s="3">
        <v>4</v>
      </c>
      <c r="B12" s="3" t="s">
        <v>84</v>
      </c>
      <c r="C12" s="3" t="s">
        <v>85</v>
      </c>
      <c r="D12" s="3" t="s">
        <v>86</v>
      </c>
      <c r="E12" s="21" t="s">
        <v>77</v>
      </c>
      <c r="F12" s="3">
        <v>12</v>
      </c>
      <c r="G12" s="31">
        <f>'Assumptions &amp; Inputs'!B13*(F12/12)</f>
        <v>9500</v>
      </c>
      <c r="H12" s="31">
        <f>'Assumptions &amp; Inputs'!B14*F12</f>
        <v>1920</v>
      </c>
      <c r="I12" s="31">
        <f t="shared" si="0"/>
        <v>11420</v>
      </c>
    </row>
    <row r="13" spans="1:9" x14ac:dyDescent="0.2">
      <c r="A13" s="3">
        <v>5</v>
      </c>
      <c r="B13" s="3" t="s">
        <v>88</v>
      </c>
      <c r="C13" s="3" t="s">
        <v>89</v>
      </c>
      <c r="D13" s="3" t="s">
        <v>86</v>
      </c>
      <c r="E13" s="21" t="s">
        <v>77</v>
      </c>
      <c r="F13" s="3">
        <v>12</v>
      </c>
      <c r="G13" s="31">
        <f>'Assumptions &amp; Inputs'!B13*(F13/12)</f>
        <v>9500</v>
      </c>
      <c r="H13" s="31">
        <f>'Assumptions &amp; Inputs'!B14*F13</f>
        <v>1920</v>
      </c>
      <c r="I13" s="31">
        <f t="shared" si="0"/>
        <v>11420</v>
      </c>
    </row>
    <row r="14" spans="1:9" x14ac:dyDescent="0.2">
      <c r="A14" s="3">
        <v>6</v>
      </c>
      <c r="B14" s="3" t="s">
        <v>91</v>
      </c>
      <c r="C14" s="3" t="s">
        <v>92</v>
      </c>
      <c r="D14" s="3" t="s">
        <v>93</v>
      </c>
      <c r="E14" s="21" t="s">
        <v>77</v>
      </c>
      <c r="F14" s="3">
        <v>12</v>
      </c>
      <c r="G14" s="31">
        <f>'Assumptions &amp; Inputs'!B13*(F14/12)</f>
        <v>9500</v>
      </c>
      <c r="H14" s="31">
        <f>'Assumptions &amp; Inputs'!B14*F14</f>
        <v>1920</v>
      </c>
      <c r="I14" s="31">
        <f t="shared" si="0"/>
        <v>11420</v>
      </c>
    </row>
    <row r="15" spans="1:9" x14ac:dyDescent="0.2">
      <c r="A15" s="3">
        <v>7</v>
      </c>
      <c r="B15" s="3" t="s">
        <v>96</v>
      </c>
      <c r="C15" s="3" t="s">
        <v>97</v>
      </c>
      <c r="D15" s="3" t="s">
        <v>86</v>
      </c>
      <c r="E15" s="21" t="s">
        <v>77</v>
      </c>
      <c r="F15" s="3">
        <v>12</v>
      </c>
      <c r="G15" s="31">
        <f>'Assumptions &amp; Inputs'!B13*(F15/12)</f>
        <v>9500</v>
      </c>
      <c r="H15" s="31">
        <f>'Assumptions &amp; Inputs'!B14*F15</f>
        <v>1920</v>
      </c>
      <c r="I15" s="31">
        <f t="shared" si="0"/>
        <v>11420</v>
      </c>
    </row>
    <row r="16" spans="1:9" x14ac:dyDescent="0.2">
      <c r="A16" s="3">
        <v>8</v>
      </c>
      <c r="B16" s="3" t="s">
        <v>98</v>
      </c>
      <c r="C16" s="3" t="s">
        <v>99</v>
      </c>
      <c r="D16" s="3" t="s">
        <v>86</v>
      </c>
      <c r="E16" s="21" t="s">
        <v>77</v>
      </c>
      <c r="F16" s="3">
        <v>12</v>
      </c>
      <c r="G16" s="31">
        <f>'Assumptions &amp; Inputs'!B13*(F16/12)</f>
        <v>9500</v>
      </c>
      <c r="H16" s="31">
        <f>'Assumptions &amp; Inputs'!B14*F16</f>
        <v>1920</v>
      </c>
      <c r="I16" s="31">
        <f t="shared" si="0"/>
        <v>11420</v>
      </c>
    </row>
    <row r="17" spans="1:9" x14ac:dyDescent="0.2">
      <c r="A17" s="3">
        <v>9</v>
      </c>
      <c r="B17" s="3" t="s">
        <v>100</v>
      </c>
      <c r="C17" s="3" t="s">
        <v>101</v>
      </c>
      <c r="D17" s="3" t="s">
        <v>102</v>
      </c>
      <c r="E17" s="21" t="s">
        <v>77</v>
      </c>
      <c r="F17" s="3">
        <v>12</v>
      </c>
      <c r="G17" s="31">
        <f>'Assumptions &amp; Inputs'!B13*(F17/12)</f>
        <v>9500</v>
      </c>
      <c r="H17" s="31">
        <f>'Assumptions &amp; Inputs'!B14*F17</f>
        <v>1920</v>
      </c>
      <c r="I17" s="31">
        <f t="shared" si="0"/>
        <v>11420</v>
      </c>
    </row>
    <row r="18" spans="1:9" x14ac:dyDescent="0.2">
      <c r="A18" s="3">
        <v>10</v>
      </c>
      <c r="B18" s="3" t="s">
        <v>103</v>
      </c>
      <c r="C18" s="3" t="s">
        <v>104</v>
      </c>
      <c r="D18" s="3" t="s">
        <v>86</v>
      </c>
      <c r="E18" s="21" t="s">
        <v>77</v>
      </c>
      <c r="F18" s="3">
        <v>12</v>
      </c>
      <c r="G18" s="31">
        <f>'Assumptions &amp; Inputs'!B13*(F18/12)</f>
        <v>9500</v>
      </c>
      <c r="H18" s="31">
        <f>'Assumptions &amp; Inputs'!B14*F18</f>
        <v>1920</v>
      </c>
      <c r="I18" s="31">
        <f t="shared" si="0"/>
        <v>11420</v>
      </c>
    </row>
    <row r="19" spans="1:9" x14ac:dyDescent="0.2">
      <c r="A19" s="3">
        <v>11</v>
      </c>
      <c r="B19" s="3" t="s">
        <v>105</v>
      </c>
      <c r="C19" s="3" t="s">
        <v>106</v>
      </c>
      <c r="D19" s="3" t="s">
        <v>107</v>
      </c>
      <c r="E19" s="23" t="s">
        <v>108</v>
      </c>
      <c r="F19" s="3">
        <v>0</v>
      </c>
      <c r="G19" s="31">
        <v>0</v>
      </c>
      <c r="H19" s="31">
        <v>0</v>
      </c>
      <c r="I19" s="31">
        <v>0</v>
      </c>
    </row>
    <row r="20" spans="1:9" x14ac:dyDescent="0.2">
      <c r="A20" s="3">
        <v>12</v>
      </c>
      <c r="B20" s="3" t="s">
        <v>109</v>
      </c>
      <c r="C20" s="3" t="s">
        <v>110</v>
      </c>
      <c r="D20" s="3" t="s">
        <v>111</v>
      </c>
      <c r="E20" s="21" t="s">
        <v>77</v>
      </c>
      <c r="F20" s="3">
        <v>12</v>
      </c>
      <c r="G20" s="31">
        <f>'Assumptions &amp; Inputs'!B13*(F20/12)</f>
        <v>9500</v>
      </c>
      <c r="H20" s="31">
        <f>'Assumptions &amp; Inputs'!B14*F20</f>
        <v>1920</v>
      </c>
      <c r="I20" s="31">
        <f>G20+H20</f>
        <v>11420</v>
      </c>
    </row>
    <row r="21" spans="1:9" x14ac:dyDescent="0.2">
      <c r="A21" s="3">
        <v>13</v>
      </c>
      <c r="B21" s="3" t="s">
        <v>112</v>
      </c>
      <c r="C21" s="3" t="s">
        <v>113</v>
      </c>
      <c r="D21" s="3" t="s">
        <v>114</v>
      </c>
      <c r="E21" s="23" t="s">
        <v>108</v>
      </c>
      <c r="F21" s="3">
        <v>0</v>
      </c>
      <c r="G21" s="31">
        <v>0</v>
      </c>
      <c r="H21" s="31">
        <v>0</v>
      </c>
      <c r="I21" s="31">
        <v>0</v>
      </c>
    </row>
    <row r="22" spans="1:9" x14ac:dyDescent="0.2">
      <c r="A22" s="3">
        <v>14</v>
      </c>
      <c r="B22" s="3" t="s">
        <v>115</v>
      </c>
      <c r="C22" s="3" t="s">
        <v>116</v>
      </c>
      <c r="D22" s="3" t="s">
        <v>74</v>
      </c>
      <c r="E22" s="21" t="s">
        <v>77</v>
      </c>
      <c r="F22" s="3">
        <v>12</v>
      </c>
      <c r="G22" s="31">
        <f>'Assumptions &amp; Inputs'!B13*(F22/12)</f>
        <v>9500</v>
      </c>
      <c r="H22" s="31">
        <f>'Assumptions &amp; Inputs'!B14*F22</f>
        <v>1920</v>
      </c>
      <c r="I22" s="31">
        <f t="shared" ref="I22:I53" si="1">G22+H22</f>
        <v>11420</v>
      </c>
    </row>
    <row r="23" spans="1:9" x14ac:dyDescent="0.2">
      <c r="A23" s="3">
        <v>15</v>
      </c>
      <c r="B23" s="3" t="s">
        <v>117</v>
      </c>
      <c r="C23" s="3" t="s">
        <v>118</v>
      </c>
      <c r="D23" s="3" t="s">
        <v>86</v>
      </c>
      <c r="E23" s="21" t="s">
        <v>77</v>
      </c>
      <c r="F23" s="3">
        <v>12</v>
      </c>
      <c r="G23" s="31">
        <f>'Assumptions &amp; Inputs'!B13*(F23/12)</f>
        <v>9500</v>
      </c>
      <c r="H23" s="31">
        <f>'Assumptions &amp; Inputs'!B14*F23</f>
        <v>1920</v>
      </c>
      <c r="I23" s="31">
        <f t="shared" si="1"/>
        <v>11420</v>
      </c>
    </row>
    <row r="24" spans="1:9" x14ac:dyDescent="0.2">
      <c r="A24" s="3">
        <v>16</v>
      </c>
      <c r="B24" s="3" t="s">
        <v>119</v>
      </c>
      <c r="C24" s="3" t="s">
        <v>120</v>
      </c>
      <c r="D24" s="3" t="s">
        <v>121</v>
      </c>
      <c r="E24" s="21" t="s">
        <v>77</v>
      </c>
      <c r="F24" s="3">
        <v>12</v>
      </c>
      <c r="G24" s="31">
        <f>'Assumptions &amp; Inputs'!B13*(F24/12)</f>
        <v>9500</v>
      </c>
      <c r="H24" s="31">
        <f>'Assumptions &amp; Inputs'!B14*F24</f>
        <v>1920</v>
      </c>
      <c r="I24" s="31">
        <f t="shared" si="1"/>
        <v>11420</v>
      </c>
    </row>
    <row r="25" spans="1:9" x14ac:dyDescent="0.2">
      <c r="A25" s="3">
        <v>17</v>
      </c>
      <c r="B25" s="3" t="s">
        <v>123</v>
      </c>
      <c r="C25" s="3" t="s">
        <v>124</v>
      </c>
      <c r="D25" s="3" t="s">
        <v>121</v>
      </c>
      <c r="E25" s="21" t="s">
        <v>77</v>
      </c>
      <c r="F25" s="3">
        <v>12</v>
      </c>
      <c r="G25" s="31">
        <f>'Assumptions &amp; Inputs'!B13*(F25/12)</f>
        <v>9500</v>
      </c>
      <c r="H25" s="31">
        <f>'Assumptions &amp; Inputs'!B14*F25</f>
        <v>1920</v>
      </c>
      <c r="I25" s="31">
        <f t="shared" si="1"/>
        <v>11420</v>
      </c>
    </row>
    <row r="26" spans="1:9" x14ac:dyDescent="0.2">
      <c r="A26" s="3">
        <v>18</v>
      </c>
      <c r="B26" s="3" t="s">
        <v>125</v>
      </c>
      <c r="C26" s="3" t="s">
        <v>126</v>
      </c>
      <c r="D26" s="3" t="s">
        <v>86</v>
      </c>
      <c r="E26" s="21" t="s">
        <v>77</v>
      </c>
      <c r="F26" s="3">
        <v>12</v>
      </c>
      <c r="G26" s="31">
        <f>'Assumptions &amp; Inputs'!B13*(F26/12)</f>
        <v>9500</v>
      </c>
      <c r="H26" s="31">
        <f>'Assumptions &amp; Inputs'!B14*F26</f>
        <v>1920</v>
      </c>
      <c r="I26" s="31">
        <f t="shared" si="1"/>
        <v>11420</v>
      </c>
    </row>
    <row r="27" spans="1:9" x14ac:dyDescent="0.2">
      <c r="A27" s="3">
        <v>19</v>
      </c>
      <c r="B27" s="3" t="s">
        <v>127</v>
      </c>
      <c r="C27" s="3" t="s">
        <v>128</v>
      </c>
      <c r="D27" s="3" t="s">
        <v>102</v>
      </c>
      <c r="E27" s="21" t="s">
        <v>77</v>
      </c>
      <c r="F27" s="3">
        <v>12</v>
      </c>
      <c r="G27" s="31">
        <f>'Assumptions &amp; Inputs'!B13*(F27/12)</f>
        <v>9500</v>
      </c>
      <c r="H27" s="31">
        <f>'Assumptions &amp; Inputs'!B14*F27</f>
        <v>1920</v>
      </c>
      <c r="I27" s="31">
        <f t="shared" si="1"/>
        <v>11420</v>
      </c>
    </row>
    <row r="28" spans="1:9" x14ac:dyDescent="0.2">
      <c r="A28" s="3">
        <v>20</v>
      </c>
      <c r="B28" s="3" t="s">
        <v>106</v>
      </c>
      <c r="C28" s="3" t="s">
        <v>129</v>
      </c>
      <c r="D28" s="3" t="s">
        <v>102</v>
      </c>
      <c r="E28" s="21" t="s">
        <v>77</v>
      </c>
      <c r="F28" s="3">
        <v>12</v>
      </c>
      <c r="G28" s="31">
        <f>'Assumptions &amp; Inputs'!B13*(F28/12)</f>
        <v>9500</v>
      </c>
      <c r="H28" s="31">
        <f>'Assumptions &amp; Inputs'!B14*F28</f>
        <v>1920</v>
      </c>
      <c r="I28" s="31">
        <f t="shared" si="1"/>
        <v>11420</v>
      </c>
    </row>
    <row r="29" spans="1:9" x14ac:dyDescent="0.2">
      <c r="A29" s="3">
        <v>21</v>
      </c>
      <c r="B29" s="3" t="s">
        <v>130</v>
      </c>
      <c r="C29" s="3" t="s">
        <v>131</v>
      </c>
      <c r="D29" s="3" t="s">
        <v>132</v>
      </c>
      <c r="E29" s="21" t="s">
        <v>77</v>
      </c>
      <c r="F29" s="3">
        <v>12</v>
      </c>
      <c r="G29" s="31">
        <f>'Assumptions &amp; Inputs'!B13*(F29/12)</f>
        <v>9500</v>
      </c>
      <c r="H29" s="31">
        <f>'Assumptions &amp; Inputs'!B14*F29</f>
        <v>1920</v>
      </c>
      <c r="I29" s="31">
        <f t="shared" si="1"/>
        <v>11420</v>
      </c>
    </row>
    <row r="30" spans="1:9" x14ac:dyDescent="0.2">
      <c r="A30" s="3">
        <v>22</v>
      </c>
      <c r="B30" s="3" t="s">
        <v>133</v>
      </c>
      <c r="C30" s="3" t="s">
        <v>134</v>
      </c>
      <c r="D30" s="3" t="s">
        <v>132</v>
      </c>
      <c r="E30" s="21" t="s">
        <v>77</v>
      </c>
      <c r="F30" s="3">
        <v>12</v>
      </c>
      <c r="G30" s="31">
        <f>'Assumptions &amp; Inputs'!B13*(F30/12)</f>
        <v>9500</v>
      </c>
      <c r="H30" s="31">
        <f>'Assumptions &amp; Inputs'!B14*F30</f>
        <v>1920</v>
      </c>
      <c r="I30" s="31">
        <f t="shared" si="1"/>
        <v>11420</v>
      </c>
    </row>
    <row r="31" spans="1:9" x14ac:dyDescent="0.2">
      <c r="A31" s="3">
        <v>23</v>
      </c>
      <c r="B31" s="3" t="s">
        <v>136</v>
      </c>
      <c r="C31" s="3" t="s">
        <v>137</v>
      </c>
      <c r="D31" s="3" t="s">
        <v>138</v>
      </c>
      <c r="E31" s="21" t="s">
        <v>77</v>
      </c>
      <c r="F31" s="3">
        <v>12</v>
      </c>
      <c r="G31" s="31">
        <f>'Assumptions &amp; Inputs'!B13*(F31/12)</f>
        <v>9500</v>
      </c>
      <c r="H31" s="31">
        <f>'Assumptions &amp; Inputs'!B14*F31</f>
        <v>1920</v>
      </c>
      <c r="I31" s="31">
        <f t="shared" si="1"/>
        <v>11420</v>
      </c>
    </row>
    <row r="32" spans="1:9" x14ac:dyDescent="0.2">
      <c r="A32" s="3">
        <v>24</v>
      </c>
      <c r="B32" s="3" t="s">
        <v>139</v>
      </c>
      <c r="C32" s="3" t="s">
        <v>140</v>
      </c>
      <c r="D32" s="3" t="s">
        <v>121</v>
      </c>
      <c r="E32" s="21" t="s">
        <v>77</v>
      </c>
      <c r="F32" s="3">
        <v>12</v>
      </c>
      <c r="G32" s="31">
        <f>'Assumptions &amp; Inputs'!B13*(F32/12)</f>
        <v>9500</v>
      </c>
      <c r="H32" s="31">
        <f>'Assumptions &amp; Inputs'!B14*F32</f>
        <v>1920</v>
      </c>
      <c r="I32" s="31">
        <f t="shared" si="1"/>
        <v>11420</v>
      </c>
    </row>
    <row r="33" spans="1:9" x14ac:dyDescent="0.2">
      <c r="A33" s="3">
        <v>25</v>
      </c>
      <c r="B33" s="3" t="s">
        <v>141</v>
      </c>
      <c r="C33" s="3" t="s">
        <v>142</v>
      </c>
      <c r="D33" s="3" t="s">
        <v>86</v>
      </c>
      <c r="E33" s="21" t="s">
        <v>77</v>
      </c>
      <c r="F33" s="3">
        <v>12</v>
      </c>
      <c r="G33" s="31">
        <f>'Assumptions &amp; Inputs'!B13*(F33/12)</f>
        <v>9500</v>
      </c>
      <c r="H33" s="31">
        <f>'Assumptions &amp; Inputs'!B14*F33</f>
        <v>1920</v>
      </c>
      <c r="I33" s="31">
        <f t="shared" si="1"/>
        <v>11420</v>
      </c>
    </row>
    <row r="34" spans="1:9" x14ac:dyDescent="0.2">
      <c r="A34" s="3">
        <v>26</v>
      </c>
      <c r="B34" s="3" t="s">
        <v>143</v>
      </c>
      <c r="C34" s="3" t="s">
        <v>144</v>
      </c>
      <c r="D34" s="3" t="s">
        <v>86</v>
      </c>
      <c r="E34" s="21" t="s">
        <v>77</v>
      </c>
      <c r="F34" s="3">
        <v>12</v>
      </c>
      <c r="G34" s="31">
        <f>'Assumptions &amp; Inputs'!B13*(F34/12)</f>
        <v>9500</v>
      </c>
      <c r="H34" s="31">
        <f>'Assumptions &amp; Inputs'!B14*F34</f>
        <v>1920</v>
      </c>
      <c r="I34" s="31">
        <f t="shared" si="1"/>
        <v>11420</v>
      </c>
    </row>
    <row r="35" spans="1:9" x14ac:dyDescent="0.2">
      <c r="A35" s="3">
        <v>27</v>
      </c>
      <c r="B35" s="3" t="s">
        <v>145</v>
      </c>
      <c r="C35" s="3" t="s">
        <v>146</v>
      </c>
      <c r="D35" s="3" t="s">
        <v>147</v>
      </c>
      <c r="E35" s="21" t="s">
        <v>77</v>
      </c>
      <c r="F35" s="3">
        <v>12</v>
      </c>
      <c r="G35" s="31">
        <f>'Assumptions &amp; Inputs'!B13*(F35/12)</f>
        <v>9500</v>
      </c>
      <c r="H35" s="31">
        <f>'Assumptions &amp; Inputs'!B14*F35</f>
        <v>1920</v>
      </c>
      <c r="I35" s="31">
        <f t="shared" si="1"/>
        <v>11420</v>
      </c>
    </row>
    <row r="36" spans="1:9" x14ac:dyDescent="0.2">
      <c r="A36" s="3">
        <v>28</v>
      </c>
      <c r="B36" s="3" t="s">
        <v>148</v>
      </c>
      <c r="C36" s="3" t="s">
        <v>149</v>
      </c>
      <c r="D36" s="3" t="s">
        <v>121</v>
      </c>
      <c r="E36" s="21" t="s">
        <v>77</v>
      </c>
      <c r="F36" s="3">
        <v>12</v>
      </c>
      <c r="G36" s="31">
        <f>'Assumptions &amp; Inputs'!B13*(F36/12)</f>
        <v>9500</v>
      </c>
      <c r="H36" s="31">
        <f>'Assumptions &amp; Inputs'!B14*F36</f>
        <v>1920</v>
      </c>
      <c r="I36" s="31">
        <f t="shared" si="1"/>
        <v>11420</v>
      </c>
    </row>
    <row r="37" spans="1:9" x14ac:dyDescent="0.2">
      <c r="A37" s="3">
        <v>29</v>
      </c>
      <c r="B37" s="3" t="s">
        <v>150</v>
      </c>
      <c r="C37" s="3" t="s">
        <v>151</v>
      </c>
      <c r="D37" s="3" t="s">
        <v>152</v>
      </c>
      <c r="E37" s="21" t="s">
        <v>77</v>
      </c>
      <c r="F37" s="3">
        <v>12</v>
      </c>
      <c r="G37" s="31">
        <f>'Assumptions &amp; Inputs'!B13*(F37/12)</f>
        <v>9500</v>
      </c>
      <c r="H37" s="31">
        <f>'Assumptions &amp; Inputs'!B14*F37</f>
        <v>1920</v>
      </c>
      <c r="I37" s="31">
        <f t="shared" si="1"/>
        <v>11420</v>
      </c>
    </row>
    <row r="38" spans="1:9" x14ac:dyDescent="0.2">
      <c r="A38" s="3">
        <v>30</v>
      </c>
      <c r="B38" s="3" t="s">
        <v>153</v>
      </c>
      <c r="C38" s="3" t="s">
        <v>154</v>
      </c>
      <c r="D38" s="3" t="s">
        <v>121</v>
      </c>
      <c r="E38" s="21" t="s">
        <v>77</v>
      </c>
      <c r="F38" s="3">
        <v>12</v>
      </c>
      <c r="G38" s="31">
        <f>'Assumptions &amp; Inputs'!B13*(F38/12)</f>
        <v>9500</v>
      </c>
      <c r="H38" s="31">
        <f>'Assumptions &amp; Inputs'!B14*F38</f>
        <v>1920</v>
      </c>
      <c r="I38" s="31">
        <f t="shared" si="1"/>
        <v>11420</v>
      </c>
    </row>
    <row r="39" spans="1:9" x14ac:dyDescent="0.2">
      <c r="A39" s="3">
        <v>31</v>
      </c>
      <c r="B39" s="3" t="s">
        <v>155</v>
      </c>
      <c r="C39" s="3" t="s">
        <v>156</v>
      </c>
      <c r="D39" s="3" t="s">
        <v>121</v>
      </c>
      <c r="E39" s="21" t="s">
        <v>77</v>
      </c>
      <c r="F39" s="3">
        <v>12</v>
      </c>
      <c r="G39" s="31">
        <f>'Assumptions &amp; Inputs'!B13*(F39/12)</f>
        <v>9500</v>
      </c>
      <c r="H39" s="31">
        <f>'Assumptions &amp; Inputs'!B14*F39</f>
        <v>1920</v>
      </c>
      <c r="I39" s="31">
        <f t="shared" si="1"/>
        <v>11420</v>
      </c>
    </row>
    <row r="40" spans="1:9" x14ac:dyDescent="0.2">
      <c r="A40" s="3">
        <v>32</v>
      </c>
      <c r="B40" s="3" t="s">
        <v>157</v>
      </c>
      <c r="C40" s="3" t="s">
        <v>158</v>
      </c>
      <c r="D40" s="3" t="s">
        <v>159</v>
      </c>
      <c r="E40" s="21" t="s">
        <v>77</v>
      </c>
      <c r="F40" s="3">
        <v>12</v>
      </c>
      <c r="G40" s="31">
        <f>'Assumptions &amp; Inputs'!B13*(F40/12)</f>
        <v>9500</v>
      </c>
      <c r="H40" s="31">
        <f>'Assumptions &amp; Inputs'!B14*F40</f>
        <v>1920</v>
      </c>
      <c r="I40" s="31">
        <f t="shared" si="1"/>
        <v>11420</v>
      </c>
    </row>
    <row r="41" spans="1:9" x14ac:dyDescent="0.2">
      <c r="A41" s="3">
        <v>33</v>
      </c>
      <c r="B41" s="3" t="s">
        <v>161</v>
      </c>
      <c r="C41" s="3" t="s">
        <v>162</v>
      </c>
      <c r="D41" s="3" t="s">
        <v>121</v>
      </c>
      <c r="E41" s="21" t="s">
        <v>77</v>
      </c>
      <c r="F41" s="3">
        <v>12</v>
      </c>
      <c r="G41" s="31">
        <f>'Assumptions &amp; Inputs'!B13*(F41/12)</f>
        <v>9500</v>
      </c>
      <c r="H41" s="31">
        <f>'Assumptions &amp; Inputs'!B14*F41</f>
        <v>1920</v>
      </c>
      <c r="I41" s="31">
        <f t="shared" si="1"/>
        <v>11420</v>
      </c>
    </row>
    <row r="42" spans="1:9" x14ac:dyDescent="0.2">
      <c r="A42" s="3">
        <v>34</v>
      </c>
      <c r="B42" s="3" t="s">
        <v>163</v>
      </c>
      <c r="C42" s="3" t="s">
        <v>164</v>
      </c>
      <c r="D42" s="3" t="s">
        <v>121</v>
      </c>
      <c r="E42" s="21" t="s">
        <v>77</v>
      </c>
      <c r="F42" s="3">
        <v>12</v>
      </c>
      <c r="G42" s="31">
        <f>'Assumptions &amp; Inputs'!B13*(F42/12)</f>
        <v>9500</v>
      </c>
      <c r="H42" s="31">
        <f>'Assumptions &amp; Inputs'!B14*F42</f>
        <v>1920</v>
      </c>
      <c r="I42" s="31">
        <f t="shared" si="1"/>
        <v>11420</v>
      </c>
    </row>
    <row r="43" spans="1:9" x14ac:dyDescent="0.2">
      <c r="A43" s="3">
        <v>35</v>
      </c>
      <c r="B43" s="3" t="s">
        <v>165</v>
      </c>
      <c r="C43" s="3" t="s">
        <v>166</v>
      </c>
      <c r="D43" s="3" t="s">
        <v>167</v>
      </c>
      <c r="E43" s="21" t="s">
        <v>77</v>
      </c>
      <c r="F43" s="3">
        <v>12</v>
      </c>
      <c r="G43" s="31">
        <f>'Assumptions &amp; Inputs'!B13*(F43/12)</f>
        <v>9500</v>
      </c>
      <c r="H43" s="31">
        <f>'Assumptions &amp; Inputs'!B14*F43</f>
        <v>1920</v>
      </c>
      <c r="I43" s="31">
        <f t="shared" si="1"/>
        <v>11420</v>
      </c>
    </row>
    <row r="44" spans="1:9" x14ac:dyDescent="0.2">
      <c r="A44" s="3">
        <v>36</v>
      </c>
      <c r="B44" s="3" t="s">
        <v>168</v>
      </c>
      <c r="C44" s="3" t="s">
        <v>169</v>
      </c>
      <c r="D44" s="3" t="s">
        <v>74</v>
      </c>
      <c r="E44" s="21" t="s">
        <v>77</v>
      </c>
      <c r="F44" s="3">
        <v>12</v>
      </c>
      <c r="G44" s="31">
        <f>'Assumptions &amp; Inputs'!B13*(F44/12)</f>
        <v>9500</v>
      </c>
      <c r="H44" s="31">
        <f>'Assumptions &amp; Inputs'!B14*F44</f>
        <v>1920</v>
      </c>
      <c r="I44" s="31">
        <f t="shared" si="1"/>
        <v>11420</v>
      </c>
    </row>
    <row r="45" spans="1:9" x14ac:dyDescent="0.2">
      <c r="A45" s="3">
        <v>37</v>
      </c>
      <c r="B45" s="3" t="s">
        <v>170</v>
      </c>
      <c r="C45" s="3" t="s">
        <v>171</v>
      </c>
      <c r="D45" s="3" t="s">
        <v>121</v>
      </c>
      <c r="E45" s="21" t="s">
        <v>77</v>
      </c>
      <c r="F45" s="3">
        <v>12</v>
      </c>
      <c r="G45" s="31">
        <f>'Assumptions &amp; Inputs'!B13*(F45/12)</f>
        <v>9500</v>
      </c>
      <c r="H45" s="31">
        <f>'Assumptions &amp; Inputs'!B14*F45</f>
        <v>1920</v>
      </c>
      <c r="I45" s="31">
        <f t="shared" si="1"/>
        <v>11420</v>
      </c>
    </row>
    <row r="46" spans="1:9" x14ac:dyDescent="0.2">
      <c r="A46" s="3">
        <v>38</v>
      </c>
      <c r="B46" s="3" t="s">
        <v>172</v>
      </c>
      <c r="C46" s="3" t="s">
        <v>173</v>
      </c>
      <c r="D46" s="3" t="s">
        <v>86</v>
      </c>
      <c r="E46" s="21" t="s">
        <v>77</v>
      </c>
      <c r="F46" s="3">
        <v>12</v>
      </c>
      <c r="G46" s="31">
        <f>'Assumptions &amp; Inputs'!B13*(F46/12)</f>
        <v>9500</v>
      </c>
      <c r="H46" s="31">
        <f>'Assumptions &amp; Inputs'!B14*F46</f>
        <v>1920</v>
      </c>
      <c r="I46" s="31">
        <f t="shared" si="1"/>
        <v>11420</v>
      </c>
    </row>
    <row r="47" spans="1:9" x14ac:dyDescent="0.2">
      <c r="A47" s="3">
        <v>39</v>
      </c>
      <c r="B47" s="3" t="s">
        <v>174</v>
      </c>
      <c r="C47" s="3" t="s">
        <v>175</v>
      </c>
      <c r="D47" s="3" t="s">
        <v>159</v>
      </c>
      <c r="E47" s="21" t="s">
        <v>77</v>
      </c>
      <c r="F47" s="3">
        <v>12</v>
      </c>
      <c r="G47" s="31">
        <f>'Assumptions &amp; Inputs'!B13*(F47/12)</f>
        <v>9500</v>
      </c>
      <c r="H47" s="31">
        <f>'Assumptions &amp; Inputs'!B14*F47</f>
        <v>1920</v>
      </c>
      <c r="I47" s="31">
        <f t="shared" si="1"/>
        <v>11420</v>
      </c>
    </row>
    <row r="48" spans="1:9" x14ac:dyDescent="0.2">
      <c r="A48" s="3">
        <v>40</v>
      </c>
      <c r="B48" s="3" t="s">
        <v>176</v>
      </c>
      <c r="C48" s="3" t="s">
        <v>177</v>
      </c>
      <c r="D48" s="3" t="s">
        <v>159</v>
      </c>
      <c r="E48" s="21" t="s">
        <v>77</v>
      </c>
      <c r="F48" s="3">
        <v>12</v>
      </c>
      <c r="G48" s="31">
        <f>'Assumptions &amp; Inputs'!B13*(F48/12)</f>
        <v>9500</v>
      </c>
      <c r="H48" s="31">
        <f>'Assumptions &amp; Inputs'!B14*F48</f>
        <v>1920</v>
      </c>
      <c r="I48" s="31">
        <f t="shared" si="1"/>
        <v>11420</v>
      </c>
    </row>
    <row r="49" spans="1:9" x14ac:dyDescent="0.2">
      <c r="A49" s="3">
        <v>41</v>
      </c>
      <c r="B49" s="3" t="s">
        <v>178</v>
      </c>
      <c r="C49" s="3" t="s">
        <v>179</v>
      </c>
      <c r="D49" s="3" t="s">
        <v>86</v>
      </c>
      <c r="E49" s="21" t="s">
        <v>77</v>
      </c>
      <c r="F49" s="3">
        <v>12</v>
      </c>
      <c r="G49" s="31">
        <f>'Assumptions &amp; Inputs'!B13*(F49/12)</f>
        <v>9500</v>
      </c>
      <c r="H49" s="31">
        <f>'Assumptions &amp; Inputs'!B14*F49</f>
        <v>1920</v>
      </c>
      <c r="I49" s="31">
        <f t="shared" si="1"/>
        <v>11420</v>
      </c>
    </row>
    <row r="50" spans="1:9" x14ac:dyDescent="0.2">
      <c r="A50" s="3">
        <v>42</v>
      </c>
      <c r="B50" s="3" t="s">
        <v>180</v>
      </c>
      <c r="C50" s="3" t="s">
        <v>181</v>
      </c>
      <c r="D50" s="3" t="s">
        <v>182</v>
      </c>
      <c r="E50" s="21" t="s">
        <v>77</v>
      </c>
      <c r="F50" s="3">
        <v>12</v>
      </c>
      <c r="G50" s="31">
        <f>'Assumptions &amp; Inputs'!B13*(F50/12)</f>
        <v>9500</v>
      </c>
      <c r="H50" s="31">
        <f>'Assumptions &amp; Inputs'!B14*F50</f>
        <v>1920</v>
      </c>
      <c r="I50" s="31">
        <f t="shared" si="1"/>
        <v>11420</v>
      </c>
    </row>
    <row r="51" spans="1:9" x14ac:dyDescent="0.2">
      <c r="A51" s="3">
        <v>43</v>
      </c>
      <c r="B51" s="3" t="s">
        <v>183</v>
      </c>
      <c r="C51" s="3" t="s">
        <v>184</v>
      </c>
      <c r="D51" s="3" t="s">
        <v>132</v>
      </c>
      <c r="E51" s="21" t="s">
        <v>77</v>
      </c>
      <c r="F51" s="3">
        <v>12</v>
      </c>
      <c r="G51" s="31">
        <f>'Assumptions &amp; Inputs'!B13*(F51/12)</f>
        <v>9500</v>
      </c>
      <c r="H51" s="31">
        <f>'Assumptions &amp; Inputs'!B14*F51</f>
        <v>1920</v>
      </c>
      <c r="I51" s="31">
        <f t="shared" si="1"/>
        <v>11420</v>
      </c>
    </row>
    <row r="52" spans="1:9" x14ac:dyDescent="0.2">
      <c r="A52" s="3">
        <v>44</v>
      </c>
      <c r="B52" s="3" t="s">
        <v>185</v>
      </c>
      <c r="C52" s="3" t="s">
        <v>186</v>
      </c>
      <c r="D52" s="3" t="s">
        <v>147</v>
      </c>
      <c r="E52" s="21" t="s">
        <v>77</v>
      </c>
      <c r="F52" s="3">
        <v>12</v>
      </c>
      <c r="G52" s="31">
        <f>'Assumptions &amp; Inputs'!B13*(F52/12)</f>
        <v>9500</v>
      </c>
      <c r="H52" s="31">
        <f>'Assumptions &amp; Inputs'!B14*F52</f>
        <v>1920</v>
      </c>
      <c r="I52" s="31">
        <f t="shared" si="1"/>
        <v>11420</v>
      </c>
    </row>
    <row r="53" spans="1:9" x14ac:dyDescent="0.2">
      <c r="A53" s="3">
        <v>45</v>
      </c>
      <c r="B53" s="3" t="s">
        <v>187</v>
      </c>
      <c r="C53" s="3" t="s">
        <v>188</v>
      </c>
      <c r="D53" s="3" t="s">
        <v>132</v>
      </c>
      <c r="E53" s="21" t="s">
        <v>77</v>
      </c>
      <c r="F53" s="3">
        <v>12</v>
      </c>
      <c r="G53" s="31">
        <f>'Assumptions &amp; Inputs'!B13*(F53/12)</f>
        <v>9500</v>
      </c>
      <c r="H53" s="31">
        <f>'Assumptions &amp; Inputs'!B14*F53</f>
        <v>1920</v>
      </c>
      <c r="I53" s="31">
        <f t="shared" si="1"/>
        <v>11420</v>
      </c>
    </row>
    <row r="54" spans="1:9" x14ac:dyDescent="0.2">
      <c r="A54" s="3">
        <v>46</v>
      </c>
      <c r="B54" s="3" t="s">
        <v>189</v>
      </c>
      <c r="C54" s="3" t="s">
        <v>190</v>
      </c>
      <c r="D54" s="3" t="s">
        <v>86</v>
      </c>
      <c r="E54" s="21" t="s">
        <v>77</v>
      </c>
      <c r="F54" s="3">
        <v>12</v>
      </c>
      <c r="G54" s="31">
        <f>'Assumptions &amp; Inputs'!B13*(F54/12)</f>
        <v>9500</v>
      </c>
      <c r="H54" s="31">
        <f>'Assumptions &amp; Inputs'!B14*F54</f>
        <v>1920</v>
      </c>
      <c r="I54" s="31">
        <f t="shared" ref="I54:I85" si="2">G54+H54</f>
        <v>11420</v>
      </c>
    </row>
    <row r="55" spans="1:9" x14ac:dyDescent="0.2">
      <c r="A55" s="3">
        <v>47</v>
      </c>
      <c r="B55" s="3" t="s">
        <v>191</v>
      </c>
      <c r="C55" s="3" t="s">
        <v>192</v>
      </c>
      <c r="D55" s="3" t="s">
        <v>121</v>
      </c>
      <c r="E55" s="21" t="s">
        <v>77</v>
      </c>
      <c r="F55" s="3">
        <v>12</v>
      </c>
      <c r="G55" s="31">
        <f>'Assumptions &amp; Inputs'!B13*(F55/12)</f>
        <v>9500</v>
      </c>
      <c r="H55" s="31">
        <f>'Assumptions &amp; Inputs'!B14*F55</f>
        <v>1920</v>
      </c>
      <c r="I55" s="31">
        <f t="shared" si="2"/>
        <v>11420</v>
      </c>
    </row>
    <row r="56" spans="1:9" x14ac:dyDescent="0.2">
      <c r="A56" s="3">
        <v>48</v>
      </c>
      <c r="B56" s="3" t="s">
        <v>193</v>
      </c>
      <c r="C56" s="3" t="s">
        <v>194</v>
      </c>
      <c r="D56" s="3" t="s">
        <v>74</v>
      </c>
      <c r="E56" s="21" t="s">
        <v>77</v>
      </c>
      <c r="F56" s="3">
        <v>12</v>
      </c>
      <c r="G56" s="31">
        <f>'Assumptions &amp; Inputs'!B13*(F56/12)</f>
        <v>9500</v>
      </c>
      <c r="H56" s="31">
        <f>'Assumptions &amp; Inputs'!B14*F56</f>
        <v>1920</v>
      </c>
      <c r="I56" s="31">
        <f t="shared" si="2"/>
        <v>11420</v>
      </c>
    </row>
    <row r="57" spans="1:9" x14ac:dyDescent="0.2">
      <c r="A57" s="3">
        <v>49</v>
      </c>
      <c r="B57" s="3" t="s">
        <v>195</v>
      </c>
      <c r="C57" s="3" t="s">
        <v>196</v>
      </c>
      <c r="D57" s="3" t="s">
        <v>121</v>
      </c>
      <c r="E57" s="21" t="s">
        <v>77</v>
      </c>
      <c r="F57" s="3">
        <v>12</v>
      </c>
      <c r="G57" s="31">
        <f>'Assumptions &amp; Inputs'!B13*(F57/12)</f>
        <v>9500</v>
      </c>
      <c r="H57" s="31">
        <f>'Assumptions &amp; Inputs'!B14*F57</f>
        <v>1920</v>
      </c>
      <c r="I57" s="31">
        <f t="shared" si="2"/>
        <v>11420</v>
      </c>
    </row>
    <row r="58" spans="1:9" x14ac:dyDescent="0.2">
      <c r="A58" s="3">
        <v>50</v>
      </c>
      <c r="B58" s="3" t="s">
        <v>197</v>
      </c>
      <c r="C58" s="3" t="s">
        <v>198</v>
      </c>
      <c r="D58" s="3" t="s">
        <v>132</v>
      </c>
      <c r="E58" s="21" t="s">
        <v>77</v>
      </c>
      <c r="F58" s="3">
        <v>12</v>
      </c>
      <c r="G58" s="31">
        <f>'Assumptions &amp; Inputs'!B13*(F58/12)</f>
        <v>9500</v>
      </c>
      <c r="H58" s="31">
        <f>'Assumptions &amp; Inputs'!B14*F58</f>
        <v>1920</v>
      </c>
      <c r="I58" s="31">
        <f t="shared" si="2"/>
        <v>11420</v>
      </c>
    </row>
    <row r="59" spans="1:9" x14ac:dyDescent="0.2">
      <c r="A59" s="3">
        <v>51</v>
      </c>
      <c r="B59" s="3" t="s">
        <v>199</v>
      </c>
      <c r="C59" s="3" t="s">
        <v>200</v>
      </c>
      <c r="D59" s="3" t="s">
        <v>86</v>
      </c>
      <c r="E59" s="21" t="s">
        <v>77</v>
      </c>
      <c r="F59" s="3">
        <v>12</v>
      </c>
      <c r="G59" s="31">
        <f>'Assumptions &amp; Inputs'!B13*(F59/12)</f>
        <v>9500</v>
      </c>
      <c r="H59" s="31">
        <f>'Assumptions &amp; Inputs'!B14*F59</f>
        <v>1920</v>
      </c>
      <c r="I59" s="31">
        <f t="shared" si="2"/>
        <v>11420</v>
      </c>
    </row>
    <row r="60" spans="1:9" x14ac:dyDescent="0.2">
      <c r="A60" s="3">
        <v>52</v>
      </c>
      <c r="B60" s="3" t="s">
        <v>201</v>
      </c>
      <c r="C60" s="3" t="s">
        <v>202</v>
      </c>
      <c r="D60" s="3" t="s">
        <v>132</v>
      </c>
      <c r="E60" s="21" t="s">
        <v>77</v>
      </c>
      <c r="F60" s="3">
        <v>12</v>
      </c>
      <c r="G60" s="31">
        <f>'Assumptions &amp; Inputs'!B13*(F60/12)</f>
        <v>9500</v>
      </c>
      <c r="H60" s="31">
        <f>'Assumptions &amp; Inputs'!B14*F60</f>
        <v>1920</v>
      </c>
      <c r="I60" s="31">
        <f t="shared" si="2"/>
        <v>11420</v>
      </c>
    </row>
    <row r="61" spans="1:9" x14ac:dyDescent="0.2">
      <c r="A61" s="3">
        <v>53</v>
      </c>
      <c r="B61" s="3" t="s">
        <v>203</v>
      </c>
      <c r="C61" s="3" t="s">
        <v>204</v>
      </c>
      <c r="D61" s="3" t="s">
        <v>205</v>
      </c>
      <c r="E61" s="21" t="s">
        <v>77</v>
      </c>
      <c r="F61" s="3">
        <v>12</v>
      </c>
      <c r="G61" s="31">
        <f>'Assumptions &amp; Inputs'!B13*(F61/12)</f>
        <v>9500</v>
      </c>
      <c r="H61" s="31">
        <f>'Assumptions &amp; Inputs'!B14*F61</f>
        <v>1920</v>
      </c>
      <c r="I61" s="31">
        <f t="shared" si="2"/>
        <v>11420</v>
      </c>
    </row>
    <row r="62" spans="1:9" x14ac:dyDescent="0.2">
      <c r="A62" s="3">
        <v>54</v>
      </c>
      <c r="B62" s="3" t="s">
        <v>206</v>
      </c>
      <c r="C62" s="3" t="s">
        <v>207</v>
      </c>
      <c r="D62" s="3" t="s">
        <v>121</v>
      </c>
      <c r="E62" s="21" t="s">
        <v>77</v>
      </c>
      <c r="F62" s="3">
        <v>12</v>
      </c>
      <c r="G62" s="31">
        <f>'Assumptions &amp; Inputs'!B13*(F62/12)</f>
        <v>9500</v>
      </c>
      <c r="H62" s="31">
        <f>'Assumptions &amp; Inputs'!B14*F62</f>
        <v>1920</v>
      </c>
      <c r="I62" s="31">
        <f t="shared" si="2"/>
        <v>11420</v>
      </c>
    </row>
    <row r="63" spans="1:9" x14ac:dyDescent="0.2">
      <c r="A63" s="3">
        <v>55</v>
      </c>
      <c r="B63" s="3" t="s">
        <v>208</v>
      </c>
      <c r="C63" s="3" t="s">
        <v>209</v>
      </c>
      <c r="D63" s="3" t="s">
        <v>121</v>
      </c>
      <c r="E63" s="21" t="s">
        <v>77</v>
      </c>
      <c r="F63" s="3">
        <v>12</v>
      </c>
      <c r="G63" s="31">
        <f>'Assumptions &amp; Inputs'!B13*(F63/12)</f>
        <v>9500</v>
      </c>
      <c r="H63" s="31">
        <f>'Assumptions &amp; Inputs'!B14*F63</f>
        <v>1920</v>
      </c>
      <c r="I63" s="31">
        <f t="shared" si="2"/>
        <v>11420</v>
      </c>
    </row>
    <row r="64" spans="1:9" x14ac:dyDescent="0.2">
      <c r="A64" s="3">
        <v>56</v>
      </c>
      <c r="B64" s="3" t="s">
        <v>210</v>
      </c>
      <c r="C64" s="3" t="s">
        <v>211</v>
      </c>
      <c r="D64" s="3" t="s">
        <v>121</v>
      </c>
      <c r="E64" s="21" t="s">
        <v>77</v>
      </c>
      <c r="F64" s="3">
        <v>12</v>
      </c>
      <c r="G64" s="31">
        <f>'Assumptions &amp; Inputs'!B13*(F64/12)</f>
        <v>9500</v>
      </c>
      <c r="H64" s="31">
        <f>'Assumptions &amp; Inputs'!B14*F64</f>
        <v>1920</v>
      </c>
      <c r="I64" s="31">
        <f t="shared" si="2"/>
        <v>11420</v>
      </c>
    </row>
    <row r="65" spans="1:9" x14ac:dyDescent="0.2">
      <c r="A65" s="3">
        <v>57</v>
      </c>
      <c r="B65" s="3" t="s">
        <v>212</v>
      </c>
      <c r="C65" s="3" t="s">
        <v>213</v>
      </c>
      <c r="D65" s="3" t="s">
        <v>86</v>
      </c>
      <c r="E65" s="21" t="s">
        <v>77</v>
      </c>
      <c r="F65" s="3">
        <v>12</v>
      </c>
      <c r="G65" s="31">
        <f>'Assumptions &amp; Inputs'!B13*(F65/12)</f>
        <v>9500</v>
      </c>
      <c r="H65" s="31">
        <f>'Assumptions &amp; Inputs'!B14*F65</f>
        <v>1920</v>
      </c>
      <c r="I65" s="31">
        <f t="shared" si="2"/>
        <v>11420</v>
      </c>
    </row>
    <row r="66" spans="1:9" x14ac:dyDescent="0.2">
      <c r="A66" s="3">
        <v>58</v>
      </c>
      <c r="B66" s="3" t="s">
        <v>214</v>
      </c>
      <c r="C66" s="3" t="s">
        <v>215</v>
      </c>
      <c r="D66" s="3" t="s">
        <v>86</v>
      </c>
      <c r="E66" s="21" t="s">
        <v>77</v>
      </c>
      <c r="F66" s="3">
        <v>12</v>
      </c>
      <c r="G66" s="31">
        <f>'Assumptions &amp; Inputs'!B13*(F66/12)</f>
        <v>9500</v>
      </c>
      <c r="H66" s="31">
        <f>'Assumptions &amp; Inputs'!B14*F66</f>
        <v>1920</v>
      </c>
      <c r="I66" s="31">
        <f t="shared" si="2"/>
        <v>11420</v>
      </c>
    </row>
    <row r="67" spans="1:9" x14ac:dyDescent="0.2">
      <c r="A67" s="3">
        <v>59</v>
      </c>
      <c r="B67" s="3" t="s">
        <v>216</v>
      </c>
      <c r="C67" s="3" t="s">
        <v>217</v>
      </c>
      <c r="D67" s="3" t="s">
        <v>132</v>
      </c>
      <c r="E67" s="21" t="s">
        <v>77</v>
      </c>
      <c r="F67" s="3">
        <v>12</v>
      </c>
      <c r="G67" s="31">
        <f>'Assumptions &amp; Inputs'!B13*(F67/12)</f>
        <v>9500</v>
      </c>
      <c r="H67" s="31">
        <f>'Assumptions &amp; Inputs'!B14*F67</f>
        <v>1920</v>
      </c>
      <c r="I67" s="31">
        <f t="shared" si="2"/>
        <v>11420</v>
      </c>
    </row>
    <row r="68" spans="1:9" x14ac:dyDescent="0.2">
      <c r="A68" s="3">
        <v>60</v>
      </c>
      <c r="B68" s="3" t="s">
        <v>218</v>
      </c>
      <c r="C68" s="3" t="s">
        <v>219</v>
      </c>
      <c r="D68" s="3" t="s">
        <v>86</v>
      </c>
      <c r="E68" s="21" t="s">
        <v>77</v>
      </c>
      <c r="F68" s="3">
        <v>12</v>
      </c>
      <c r="G68" s="31">
        <f>'Assumptions &amp; Inputs'!B13*(F68/12)</f>
        <v>9500</v>
      </c>
      <c r="H68" s="31">
        <f>'Assumptions &amp; Inputs'!B14*F68</f>
        <v>1920</v>
      </c>
      <c r="I68" s="31">
        <f t="shared" si="2"/>
        <v>11420</v>
      </c>
    </row>
    <row r="69" spans="1:9" x14ac:dyDescent="0.2">
      <c r="A69" s="3">
        <v>61</v>
      </c>
      <c r="B69" s="3" t="s">
        <v>220</v>
      </c>
      <c r="C69" s="3" t="s">
        <v>142</v>
      </c>
      <c r="D69" s="3" t="s">
        <v>159</v>
      </c>
      <c r="E69" s="21" t="s">
        <v>77</v>
      </c>
      <c r="F69" s="3">
        <v>12</v>
      </c>
      <c r="G69" s="31">
        <f>'Assumptions &amp; Inputs'!B13*(F69/12)</f>
        <v>9500</v>
      </c>
      <c r="H69" s="31">
        <f>'Assumptions &amp; Inputs'!B14*F69</f>
        <v>1920</v>
      </c>
      <c r="I69" s="31">
        <f t="shared" si="2"/>
        <v>11420</v>
      </c>
    </row>
    <row r="70" spans="1:9" x14ac:dyDescent="0.2">
      <c r="A70" s="3">
        <v>62</v>
      </c>
      <c r="B70" s="3" t="s">
        <v>221</v>
      </c>
      <c r="C70" s="3" t="s">
        <v>222</v>
      </c>
      <c r="D70" s="3" t="s">
        <v>223</v>
      </c>
      <c r="E70" s="21" t="s">
        <v>77</v>
      </c>
      <c r="F70" s="3">
        <v>12</v>
      </c>
      <c r="G70" s="31">
        <f>'Assumptions &amp; Inputs'!B13*(F70/12)</f>
        <v>9500</v>
      </c>
      <c r="H70" s="31">
        <f>'Assumptions &amp; Inputs'!B14*F70</f>
        <v>1920</v>
      </c>
      <c r="I70" s="31">
        <f t="shared" si="2"/>
        <v>11420</v>
      </c>
    </row>
    <row r="71" spans="1:9" x14ac:dyDescent="0.2">
      <c r="A71" s="3">
        <v>63</v>
      </c>
      <c r="B71" s="3" t="s">
        <v>225</v>
      </c>
      <c r="C71" s="3" t="s">
        <v>226</v>
      </c>
      <c r="D71" s="3" t="s">
        <v>227</v>
      </c>
      <c r="E71" s="21" t="s">
        <v>77</v>
      </c>
      <c r="F71" s="3">
        <v>12</v>
      </c>
      <c r="G71" s="31">
        <f>'Assumptions &amp; Inputs'!B13*(F71/12)</f>
        <v>9500</v>
      </c>
      <c r="H71" s="31">
        <f>'Assumptions &amp; Inputs'!B14*F71</f>
        <v>1920</v>
      </c>
      <c r="I71" s="31">
        <f t="shared" si="2"/>
        <v>11420</v>
      </c>
    </row>
    <row r="72" spans="1:9" x14ac:dyDescent="0.2">
      <c r="A72" s="3">
        <v>64</v>
      </c>
      <c r="B72" s="3" t="s">
        <v>229</v>
      </c>
      <c r="C72" s="3" t="s">
        <v>230</v>
      </c>
      <c r="D72" s="3" t="s">
        <v>121</v>
      </c>
      <c r="E72" s="21" t="s">
        <v>77</v>
      </c>
      <c r="F72" s="3">
        <v>12</v>
      </c>
      <c r="G72" s="31">
        <f>'Assumptions &amp; Inputs'!B13*(F72/12)</f>
        <v>9500</v>
      </c>
      <c r="H72" s="31">
        <f>'Assumptions &amp; Inputs'!B14*F72</f>
        <v>1920</v>
      </c>
      <c r="I72" s="31">
        <f t="shared" si="2"/>
        <v>11420</v>
      </c>
    </row>
    <row r="73" spans="1:9" x14ac:dyDescent="0.2">
      <c r="A73" s="3">
        <v>65</v>
      </c>
      <c r="B73" s="3" t="s">
        <v>231</v>
      </c>
      <c r="C73" s="3" t="s">
        <v>232</v>
      </c>
      <c r="D73" s="3" t="s">
        <v>86</v>
      </c>
      <c r="E73" s="21" t="s">
        <v>77</v>
      </c>
      <c r="F73" s="3">
        <v>12</v>
      </c>
      <c r="G73" s="31">
        <f>'Assumptions &amp; Inputs'!B13*(F73/12)</f>
        <v>9500</v>
      </c>
      <c r="H73" s="31">
        <f>'Assumptions &amp; Inputs'!B14*F73</f>
        <v>1920</v>
      </c>
      <c r="I73" s="31">
        <f t="shared" si="2"/>
        <v>11420</v>
      </c>
    </row>
    <row r="74" spans="1:9" x14ac:dyDescent="0.2">
      <c r="A74" s="3">
        <v>66</v>
      </c>
      <c r="B74" s="3" t="s">
        <v>233</v>
      </c>
      <c r="C74" s="3" t="s">
        <v>234</v>
      </c>
      <c r="D74" s="3" t="s">
        <v>159</v>
      </c>
      <c r="E74" s="21" t="s">
        <v>77</v>
      </c>
      <c r="F74" s="3">
        <v>12</v>
      </c>
      <c r="G74" s="31">
        <f>'Assumptions &amp; Inputs'!B13*(F74/12)</f>
        <v>9500</v>
      </c>
      <c r="H74" s="31">
        <f>'Assumptions &amp; Inputs'!B14*F74</f>
        <v>1920</v>
      </c>
      <c r="I74" s="31">
        <f t="shared" si="2"/>
        <v>11420</v>
      </c>
    </row>
    <row r="75" spans="1:9" x14ac:dyDescent="0.2">
      <c r="A75" s="3">
        <v>67</v>
      </c>
      <c r="B75" s="3" t="s">
        <v>235</v>
      </c>
      <c r="C75" s="3" t="s">
        <v>236</v>
      </c>
      <c r="D75" s="3" t="s">
        <v>237</v>
      </c>
      <c r="E75" s="21" t="s">
        <v>77</v>
      </c>
      <c r="F75" s="3">
        <v>12</v>
      </c>
      <c r="G75" s="31">
        <f>'Assumptions &amp; Inputs'!B13*(F75/12)</f>
        <v>9500</v>
      </c>
      <c r="H75" s="31">
        <f>'Assumptions &amp; Inputs'!B14*F75</f>
        <v>1920</v>
      </c>
      <c r="I75" s="31">
        <f t="shared" si="2"/>
        <v>11420</v>
      </c>
    </row>
    <row r="76" spans="1:9" x14ac:dyDescent="0.2">
      <c r="A76" s="3">
        <v>68</v>
      </c>
      <c r="B76" s="3" t="s">
        <v>238</v>
      </c>
      <c r="C76" s="3" t="s">
        <v>239</v>
      </c>
      <c r="D76" s="3" t="s">
        <v>102</v>
      </c>
      <c r="E76" s="21" t="s">
        <v>77</v>
      </c>
      <c r="F76" s="3">
        <v>12</v>
      </c>
      <c r="G76" s="31">
        <f>'Assumptions &amp; Inputs'!B13*(F76/12)</f>
        <v>9500</v>
      </c>
      <c r="H76" s="31">
        <f>'Assumptions &amp; Inputs'!B14*F76</f>
        <v>1920</v>
      </c>
      <c r="I76" s="31">
        <f t="shared" si="2"/>
        <v>11420</v>
      </c>
    </row>
    <row r="77" spans="1:9" x14ac:dyDescent="0.2">
      <c r="A77" s="3">
        <v>69</v>
      </c>
      <c r="B77" s="3" t="s">
        <v>240</v>
      </c>
      <c r="C77" s="3" t="s">
        <v>241</v>
      </c>
      <c r="D77" s="3" t="s">
        <v>121</v>
      </c>
      <c r="E77" s="21" t="s">
        <v>77</v>
      </c>
      <c r="F77" s="3">
        <v>12</v>
      </c>
      <c r="G77" s="31">
        <f>'Assumptions &amp; Inputs'!B13*(F77/12)</f>
        <v>9500</v>
      </c>
      <c r="H77" s="31">
        <f>'Assumptions &amp; Inputs'!B14*F77</f>
        <v>1920</v>
      </c>
      <c r="I77" s="31">
        <f t="shared" si="2"/>
        <v>11420</v>
      </c>
    </row>
    <row r="78" spans="1:9" x14ac:dyDescent="0.2">
      <c r="A78" s="3">
        <v>70</v>
      </c>
      <c r="B78" s="3" t="s">
        <v>242</v>
      </c>
      <c r="C78" s="3" t="s">
        <v>243</v>
      </c>
      <c r="D78" s="3" t="s">
        <v>121</v>
      </c>
      <c r="E78" s="21" t="s">
        <v>77</v>
      </c>
      <c r="F78" s="3">
        <v>12</v>
      </c>
      <c r="G78" s="31">
        <f>'Assumptions &amp; Inputs'!B13*(F78/12)</f>
        <v>9500</v>
      </c>
      <c r="H78" s="31">
        <f>'Assumptions &amp; Inputs'!B14*F78</f>
        <v>1920</v>
      </c>
      <c r="I78" s="31">
        <f t="shared" si="2"/>
        <v>11420</v>
      </c>
    </row>
    <row r="79" spans="1:9" x14ac:dyDescent="0.2">
      <c r="A79" s="3">
        <v>71</v>
      </c>
      <c r="B79" s="3" t="s">
        <v>244</v>
      </c>
      <c r="C79" s="3" t="s">
        <v>200</v>
      </c>
      <c r="D79" s="3" t="s">
        <v>159</v>
      </c>
      <c r="E79" s="21" t="s">
        <v>77</v>
      </c>
      <c r="F79" s="3">
        <v>12</v>
      </c>
      <c r="G79" s="31">
        <f>'Assumptions &amp; Inputs'!B13*(F79/12)</f>
        <v>9500</v>
      </c>
      <c r="H79" s="31">
        <f>'Assumptions &amp; Inputs'!B14*F79</f>
        <v>1920</v>
      </c>
      <c r="I79" s="31">
        <f t="shared" si="2"/>
        <v>11420</v>
      </c>
    </row>
    <row r="80" spans="1:9" x14ac:dyDescent="0.2">
      <c r="A80" s="3">
        <v>72</v>
      </c>
      <c r="B80" s="3" t="s">
        <v>245</v>
      </c>
      <c r="C80" s="3" t="s">
        <v>246</v>
      </c>
      <c r="D80" s="3" t="s">
        <v>74</v>
      </c>
      <c r="E80" s="21" t="s">
        <v>77</v>
      </c>
      <c r="F80" s="3">
        <v>12</v>
      </c>
      <c r="G80" s="31">
        <f>'Assumptions &amp; Inputs'!B13*(F80/12)</f>
        <v>9500</v>
      </c>
      <c r="H80" s="31">
        <f>'Assumptions &amp; Inputs'!B14*F80</f>
        <v>1920</v>
      </c>
      <c r="I80" s="31">
        <f t="shared" si="2"/>
        <v>11420</v>
      </c>
    </row>
    <row r="81" spans="1:9" x14ac:dyDescent="0.2">
      <c r="A81" s="3">
        <v>73</v>
      </c>
      <c r="B81" s="3" t="s">
        <v>247</v>
      </c>
      <c r="C81" s="3" t="s">
        <v>248</v>
      </c>
      <c r="D81" s="3" t="s">
        <v>86</v>
      </c>
      <c r="E81" s="21" t="s">
        <v>77</v>
      </c>
      <c r="F81" s="3">
        <v>12</v>
      </c>
      <c r="G81" s="31">
        <f>'Assumptions &amp; Inputs'!B13*(F81/12)</f>
        <v>9500</v>
      </c>
      <c r="H81" s="31">
        <f>'Assumptions &amp; Inputs'!B14*F81</f>
        <v>1920</v>
      </c>
      <c r="I81" s="31">
        <f t="shared" si="2"/>
        <v>11420</v>
      </c>
    </row>
    <row r="82" spans="1:9" x14ac:dyDescent="0.2">
      <c r="A82" s="3">
        <v>74</v>
      </c>
      <c r="B82" s="3" t="s">
        <v>249</v>
      </c>
      <c r="C82" s="3" t="s">
        <v>250</v>
      </c>
      <c r="D82" s="3" t="s">
        <v>159</v>
      </c>
      <c r="E82" s="21" t="s">
        <v>77</v>
      </c>
      <c r="F82" s="3">
        <v>12</v>
      </c>
      <c r="G82" s="31">
        <f>'Assumptions &amp; Inputs'!B13*(F82/12)</f>
        <v>9500</v>
      </c>
      <c r="H82" s="31">
        <f>'Assumptions &amp; Inputs'!B14*F82</f>
        <v>1920</v>
      </c>
      <c r="I82" s="31">
        <f t="shared" si="2"/>
        <v>11420</v>
      </c>
    </row>
    <row r="83" spans="1:9" x14ac:dyDescent="0.2">
      <c r="A83" s="3">
        <v>75</v>
      </c>
      <c r="B83" s="3" t="s">
        <v>251</v>
      </c>
      <c r="C83" s="3" t="s">
        <v>252</v>
      </c>
      <c r="D83" s="3" t="s">
        <v>253</v>
      </c>
      <c r="E83" s="21" t="s">
        <v>77</v>
      </c>
      <c r="F83" s="3">
        <v>12</v>
      </c>
      <c r="G83" s="31">
        <f>'Assumptions &amp; Inputs'!B13*(F83/12)</f>
        <v>9500</v>
      </c>
      <c r="H83" s="31">
        <f>'Assumptions &amp; Inputs'!B14*F83</f>
        <v>1920</v>
      </c>
      <c r="I83" s="31">
        <f t="shared" si="2"/>
        <v>11420</v>
      </c>
    </row>
    <row r="84" spans="1:9" x14ac:dyDescent="0.2">
      <c r="A84" s="3">
        <v>76</v>
      </c>
      <c r="B84" s="3" t="s">
        <v>254</v>
      </c>
      <c r="C84" s="3" t="s">
        <v>255</v>
      </c>
      <c r="D84" s="3" t="s">
        <v>121</v>
      </c>
      <c r="E84" s="21" t="s">
        <v>77</v>
      </c>
      <c r="F84" s="3">
        <v>12</v>
      </c>
      <c r="G84" s="31">
        <f>'Assumptions &amp; Inputs'!B13*(F84/12)</f>
        <v>9500</v>
      </c>
      <c r="H84" s="31">
        <f>'Assumptions &amp; Inputs'!B14*F84</f>
        <v>1920</v>
      </c>
      <c r="I84" s="31">
        <f t="shared" si="2"/>
        <v>11420</v>
      </c>
    </row>
    <row r="85" spans="1:9" x14ac:dyDescent="0.2">
      <c r="A85" s="3">
        <v>77</v>
      </c>
      <c r="B85" s="3" t="s">
        <v>256</v>
      </c>
      <c r="C85" s="3" t="s">
        <v>257</v>
      </c>
      <c r="D85" s="3" t="s">
        <v>258</v>
      </c>
      <c r="E85" s="21" t="s">
        <v>77</v>
      </c>
      <c r="F85" s="3">
        <v>12</v>
      </c>
      <c r="G85" s="31">
        <f>'Assumptions &amp; Inputs'!B13*(F85/12)</f>
        <v>9500</v>
      </c>
      <c r="H85" s="31">
        <f>'Assumptions &amp; Inputs'!B14*F85</f>
        <v>1920</v>
      </c>
      <c r="I85" s="31">
        <f t="shared" si="2"/>
        <v>11420</v>
      </c>
    </row>
    <row r="86" spans="1:9" x14ac:dyDescent="0.2">
      <c r="A86" s="3">
        <v>78</v>
      </c>
      <c r="B86" s="3" t="s">
        <v>259</v>
      </c>
      <c r="C86" s="3" t="s">
        <v>260</v>
      </c>
      <c r="D86" s="3" t="s">
        <v>74</v>
      </c>
      <c r="E86" s="21" t="s">
        <v>77</v>
      </c>
      <c r="F86" s="3">
        <v>12</v>
      </c>
      <c r="G86" s="31">
        <f>'Assumptions &amp; Inputs'!B13*(F86/12)</f>
        <v>9500</v>
      </c>
      <c r="H86" s="31">
        <f>'Assumptions &amp; Inputs'!B14*F86</f>
        <v>1920</v>
      </c>
      <c r="I86" s="31">
        <f t="shared" ref="I86:I117" si="3">G86+H86</f>
        <v>11420</v>
      </c>
    </row>
    <row r="87" spans="1:9" x14ac:dyDescent="0.2">
      <c r="A87" s="3">
        <v>79</v>
      </c>
      <c r="B87" s="3" t="s">
        <v>261</v>
      </c>
      <c r="C87" s="3" t="s">
        <v>262</v>
      </c>
      <c r="D87" s="3" t="s">
        <v>147</v>
      </c>
      <c r="E87" s="21" t="s">
        <v>77</v>
      </c>
      <c r="F87" s="3">
        <v>12</v>
      </c>
      <c r="G87" s="31">
        <f>'Assumptions &amp; Inputs'!B13*(F87/12)</f>
        <v>9500</v>
      </c>
      <c r="H87" s="31">
        <f>'Assumptions &amp; Inputs'!B14*F87</f>
        <v>1920</v>
      </c>
      <c r="I87" s="31">
        <f t="shared" si="3"/>
        <v>11420</v>
      </c>
    </row>
    <row r="88" spans="1:9" x14ac:dyDescent="0.2">
      <c r="A88" s="3">
        <v>80</v>
      </c>
      <c r="B88" s="3" t="s">
        <v>263</v>
      </c>
      <c r="C88" s="3" t="s">
        <v>264</v>
      </c>
      <c r="D88" s="3" t="s">
        <v>265</v>
      </c>
      <c r="E88" s="21" t="s">
        <v>77</v>
      </c>
      <c r="F88" s="3">
        <v>12</v>
      </c>
      <c r="G88" s="31">
        <f>'Assumptions &amp; Inputs'!B13*(F88/12)</f>
        <v>9500</v>
      </c>
      <c r="H88" s="31">
        <f>'Assumptions &amp; Inputs'!B14*F88</f>
        <v>1920</v>
      </c>
      <c r="I88" s="31">
        <f t="shared" si="3"/>
        <v>11420</v>
      </c>
    </row>
    <row r="89" spans="1:9" x14ac:dyDescent="0.2">
      <c r="A89" s="3">
        <v>81</v>
      </c>
      <c r="B89" s="3" t="s">
        <v>266</v>
      </c>
      <c r="C89" s="3" t="s">
        <v>267</v>
      </c>
      <c r="D89" s="3" t="s">
        <v>159</v>
      </c>
      <c r="E89" s="21" t="s">
        <v>77</v>
      </c>
      <c r="F89" s="3">
        <v>12</v>
      </c>
      <c r="G89" s="31">
        <f>'Assumptions &amp; Inputs'!B13*(F89/12)</f>
        <v>9500</v>
      </c>
      <c r="H89" s="31">
        <f>'Assumptions &amp; Inputs'!B14*F89</f>
        <v>1920</v>
      </c>
      <c r="I89" s="31">
        <f t="shared" si="3"/>
        <v>11420</v>
      </c>
    </row>
    <row r="90" spans="1:9" x14ac:dyDescent="0.2">
      <c r="A90" s="3">
        <v>82</v>
      </c>
      <c r="B90" s="3" t="s">
        <v>268</v>
      </c>
      <c r="C90" s="3" t="s">
        <v>269</v>
      </c>
      <c r="D90" s="3" t="s">
        <v>121</v>
      </c>
      <c r="E90" s="21" t="s">
        <v>77</v>
      </c>
      <c r="F90" s="3">
        <v>12</v>
      </c>
      <c r="G90" s="31">
        <f>'Assumptions &amp; Inputs'!B13*(F90/12)</f>
        <v>9500</v>
      </c>
      <c r="H90" s="31">
        <f>'Assumptions &amp; Inputs'!B14*F90</f>
        <v>1920</v>
      </c>
      <c r="I90" s="31">
        <f t="shared" si="3"/>
        <v>11420</v>
      </c>
    </row>
    <row r="91" spans="1:9" x14ac:dyDescent="0.2">
      <c r="A91" s="3">
        <v>83</v>
      </c>
      <c r="B91" s="3" t="s">
        <v>268</v>
      </c>
      <c r="C91" s="3" t="s">
        <v>269</v>
      </c>
      <c r="D91" s="3" t="s">
        <v>270</v>
      </c>
      <c r="E91" s="21" t="s">
        <v>77</v>
      </c>
      <c r="F91" s="3">
        <v>12</v>
      </c>
      <c r="G91" s="31">
        <f>'Assumptions &amp; Inputs'!B13*(F91/12)</f>
        <v>9500</v>
      </c>
      <c r="H91" s="31">
        <f>'Assumptions &amp; Inputs'!B14*F91</f>
        <v>1920</v>
      </c>
      <c r="I91" s="31">
        <f t="shared" si="3"/>
        <v>11420</v>
      </c>
    </row>
    <row r="92" spans="1:9" x14ac:dyDescent="0.2">
      <c r="A92" s="3">
        <v>84</v>
      </c>
      <c r="B92" s="3" t="s">
        <v>271</v>
      </c>
      <c r="C92" s="3" t="s">
        <v>272</v>
      </c>
      <c r="D92" s="3" t="s">
        <v>273</v>
      </c>
      <c r="E92" s="21" t="s">
        <v>77</v>
      </c>
      <c r="F92" s="3">
        <v>12</v>
      </c>
      <c r="G92" s="31">
        <f>'Assumptions &amp; Inputs'!B13*(F92/12)</f>
        <v>9500</v>
      </c>
      <c r="H92" s="31">
        <f>'Assumptions &amp; Inputs'!B14*F92</f>
        <v>1920</v>
      </c>
      <c r="I92" s="31">
        <f t="shared" si="3"/>
        <v>11420</v>
      </c>
    </row>
    <row r="93" spans="1:9" x14ac:dyDescent="0.2">
      <c r="A93" s="3">
        <v>85</v>
      </c>
      <c r="B93" s="3" t="s">
        <v>275</v>
      </c>
      <c r="C93" s="3" t="s">
        <v>276</v>
      </c>
      <c r="D93" s="3" t="s">
        <v>102</v>
      </c>
      <c r="E93" s="21" t="s">
        <v>77</v>
      </c>
      <c r="F93" s="3">
        <v>12</v>
      </c>
      <c r="G93" s="31">
        <f>'Assumptions &amp; Inputs'!B13*(F93/12)</f>
        <v>9500</v>
      </c>
      <c r="H93" s="31">
        <f>'Assumptions &amp; Inputs'!B14*F93</f>
        <v>1920</v>
      </c>
      <c r="I93" s="31">
        <f t="shared" si="3"/>
        <v>11420</v>
      </c>
    </row>
    <row r="94" spans="1:9" x14ac:dyDescent="0.2">
      <c r="A94" s="3">
        <v>86</v>
      </c>
      <c r="B94" s="3" t="s">
        <v>277</v>
      </c>
      <c r="C94" s="3" t="s">
        <v>278</v>
      </c>
      <c r="D94" s="3" t="s">
        <v>279</v>
      </c>
      <c r="E94" s="21" t="s">
        <v>77</v>
      </c>
      <c r="F94" s="3">
        <v>12</v>
      </c>
      <c r="G94" s="31">
        <f>'Assumptions &amp; Inputs'!B13*(F94/12)</f>
        <v>9500</v>
      </c>
      <c r="H94" s="31">
        <f>'Assumptions &amp; Inputs'!B14*F94</f>
        <v>1920</v>
      </c>
      <c r="I94" s="31">
        <f t="shared" si="3"/>
        <v>11420</v>
      </c>
    </row>
    <row r="95" spans="1:9" x14ac:dyDescent="0.2">
      <c r="A95" s="3">
        <v>87</v>
      </c>
      <c r="B95" s="3" t="s">
        <v>280</v>
      </c>
      <c r="C95" s="3" t="s">
        <v>281</v>
      </c>
      <c r="D95" s="3" t="s">
        <v>121</v>
      </c>
      <c r="E95" s="21" t="s">
        <v>77</v>
      </c>
      <c r="F95" s="3">
        <v>12</v>
      </c>
      <c r="G95" s="31">
        <f>'Assumptions &amp; Inputs'!B13*(F95/12)</f>
        <v>9500</v>
      </c>
      <c r="H95" s="31">
        <f>'Assumptions &amp; Inputs'!B14*F95</f>
        <v>1920</v>
      </c>
      <c r="I95" s="31">
        <f t="shared" si="3"/>
        <v>11420</v>
      </c>
    </row>
    <row r="96" spans="1:9" x14ac:dyDescent="0.2">
      <c r="A96" s="3">
        <v>88</v>
      </c>
      <c r="B96" s="3" t="s">
        <v>282</v>
      </c>
      <c r="C96" s="3" t="s">
        <v>283</v>
      </c>
      <c r="D96" s="3" t="s">
        <v>86</v>
      </c>
      <c r="E96" s="21" t="s">
        <v>77</v>
      </c>
      <c r="F96" s="3">
        <v>12</v>
      </c>
      <c r="G96" s="31">
        <f>'Assumptions &amp; Inputs'!B13*(F96/12)</f>
        <v>9500</v>
      </c>
      <c r="H96" s="31">
        <f>'Assumptions &amp; Inputs'!B14*F96</f>
        <v>1920</v>
      </c>
      <c r="I96" s="31">
        <f t="shared" si="3"/>
        <v>11420</v>
      </c>
    </row>
    <row r="97" spans="1:9" x14ac:dyDescent="0.2">
      <c r="A97" s="3">
        <v>89</v>
      </c>
      <c r="B97" s="3" t="s">
        <v>284</v>
      </c>
      <c r="C97" s="3" t="s">
        <v>285</v>
      </c>
      <c r="D97" s="3" t="s">
        <v>86</v>
      </c>
      <c r="E97" s="21" t="s">
        <v>77</v>
      </c>
      <c r="F97" s="3">
        <v>12</v>
      </c>
      <c r="G97" s="31">
        <f>'Assumptions &amp; Inputs'!B13*(F97/12)</f>
        <v>9500</v>
      </c>
      <c r="H97" s="31">
        <f>'Assumptions &amp; Inputs'!B14*F97</f>
        <v>1920</v>
      </c>
      <c r="I97" s="31">
        <f t="shared" si="3"/>
        <v>11420</v>
      </c>
    </row>
    <row r="98" spans="1:9" x14ac:dyDescent="0.2">
      <c r="A98" s="3">
        <v>90</v>
      </c>
      <c r="B98" s="3" t="s">
        <v>286</v>
      </c>
      <c r="C98" s="3" t="s">
        <v>287</v>
      </c>
      <c r="D98" s="3" t="s">
        <v>288</v>
      </c>
      <c r="E98" s="21" t="s">
        <v>77</v>
      </c>
      <c r="F98" s="3">
        <v>12</v>
      </c>
      <c r="G98" s="31">
        <f>'Assumptions &amp; Inputs'!B13*(F98/12)</f>
        <v>9500</v>
      </c>
      <c r="H98" s="31">
        <f>'Assumptions &amp; Inputs'!B14*F98</f>
        <v>1920</v>
      </c>
      <c r="I98" s="31">
        <f t="shared" si="3"/>
        <v>11420</v>
      </c>
    </row>
    <row r="99" spans="1:9" x14ac:dyDescent="0.2">
      <c r="A99" s="3">
        <v>91</v>
      </c>
      <c r="B99" s="3" t="s">
        <v>289</v>
      </c>
      <c r="C99" s="3" t="s">
        <v>290</v>
      </c>
      <c r="D99" s="3" t="s">
        <v>102</v>
      </c>
      <c r="E99" s="21" t="s">
        <v>77</v>
      </c>
      <c r="F99" s="3">
        <v>12</v>
      </c>
      <c r="G99" s="31">
        <f>'Assumptions &amp; Inputs'!B13*(F99/12)</f>
        <v>9500</v>
      </c>
      <c r="H99" s="31">
        <f>'Assumptions &amp; Inputs'!B14*F99</f>
        <v>1920</v>
      </c>
      <c r="I99" s="31">
        <f t="shared" si="3"/>
        <v>11420</v>
      </c>
    </row>
    <row r="100" spans="1:9" x14ac:dyDescent="0.2">
      <c r="A100" s="3">
        <v>92</v>
      </c>
      <c r="B100" s="3" t="s">
        <v>291</v>
      </c>
      <c r="C100" s="3" t="s">
        <v>292</v>
      </c>
      <c r="D100" s="3" t="s">
        <v>147</v>
      </c>
      <c r="E100" s="21" t="s">
        <v>77</v>
      </c>
      <c r="F100" s="3">
        <v>12</v>
      </c>
      <c r="G100" s="31">
        <f>'Assumptions &amp; Inputs'!B13*(F100/12)</f>
        <v>9500</v>
      </c>
      <c r="H100" s="31">
        <f>'Assumptions &amp; Inputs'!B14*F100</f>
        <v>1920</v>
      </c>
      <c r="I100" s="31">
        <f t="shared" si="3"/>
        <v>11420</v>
      </c>
    </row>
    <row r="101" spans="1:9" x14ac:dyDescent="0.2">
      <c r="A101" s="3">
        <v>93</v>
      </c>
      <c r="B101" s="3" t="s">
        <v>293</v>
      </c>
      <c r="C101" s="3" t="s">
        <v>294</v>
      </c>
      <c r="D101" s="3" t="s">
        <v>121</v>
      </c>
      <c r="E101" s="21" t="s">
        <v>77</v>
      </c>
      <c r="F101" s="3">
        <v>12</v>
      </c>
      <c r="G101" s="31">
        <f>'Assumptions &amp; Inputs'!B13*(F101/12)</f>
        <v>9500</v>
      </c>
      <c r="H101" s="31">
        <f>'Assumptions &amp; Inputs'!B14*F101</f>
        <v>1920</v>
      </c>
      <c r="I101" s="31">
        <f t="shared" si="3"/>
        <v>11420</v>
      </c>
    </row>
    <row r="102" spans="1:9" x14ac:dyDescent="0.2">
      <c r="A102" s="3">
        <v>94</v>
      </c>
      <c r="B102" s="3" t="s">
        <v>295</v>
      </c>
      <c r="C102" s="3" t="s">
        <v>296</v>
      </c>
      <c r="D102" s="3" t="s">
        <v>86</v>
      </c>
      <c r="E102" s="21" t="s">
        <v>77</v>
      </c>
      <c r="F102" s="3">
        <v>12</v>
      </c>
      <c r="G102" s="31">
        <f>'Assumptions &amp; Inputs'!B13*(F102/12)</f>
        <v>9500</v>
      </c>
      <c r="H102" s="31">
        <f>'Assumptions &amp; Inputs'!B14*F102</f>
        <v>1920</v>
      </c>
      <c r="I102" s="31">
        <f t="shared" si="3"/>
        <v>11420</v>
      </c>
    </row>
    <row r="103" spans="1:9" x14ac:dyDescent="0.2">
      <c r="A103" s="3">
        <v>95</v>
      </c>
      <c r="B103" s="3" t="s">
        <v>297</v>
      </c>
      <c r="C103" s="3" t="s">
        <v>298</v>
      </c>
      <c r="D103" s="3" t="s">
        <v>121</v>
      </c>
      <c r="E103" s="21" t="s">
        <v>77</v>
      </c>
      <c r="F103" s="3">
        <v>12</v>
      </c>
      <c r="G103" s="31">
        <f>'Assumptions &amp; Inputs'!B13*(F103/12)</f>
        <v>9500</v>
      </c>
      <c r="H103" s="31">
        <f>'Assumptions &amp; Inputs'!B14*F103</f>
        <v>1920</v>
      </c>
      <c r="I103" s="31">
        <f t="shared" si="3"/>
        <v>11420</v>
      </c>
    </row>
    <row r="104" spans="1:9" x14ac:dyDescent="0.2">
      <c r="A104" s="3">
        <v>96</v>
      </c>
      <c r="B104" s="3" t="s">
        <v>299</v>
      </c>
      <c r="C104" s="3" t="s">
        <v>300</v>
      </c>
      <c r="D104" s="3" t="s">
        <v>102</v>
      </c>
      <c r="E104" s="21" t="s">
        <v>77</v>
      </c>
      <c r="F104" s="3">
        <v>12</v>
      </c>
      <c r="G104" s="31">
        <f>'Assumptions &amp; Inputs'!B13*(F104/12)</f>
        <v>9500</v>
      </c>
      <c r="H104" s="31">
        <f>'Assumptions &amp; Inputs'!B14*F104</f>
        <v>1920</v>
      </c>
      <c r="I104" s="31">
        <f t="shared" si="3"/>
        <v>11420</v>
      </c>
    </row>
    <row r="105" spans="1:9" x14ac:dyDescent="0.2">
      <c r="A105" s="3">
        <v>97</v>
      </c>
      <c r="B105" s="3" t="s">
        <v>301</v>
      </c>
      <c r="C105" s="3" t="s">
        <v>302</v>
      </c>
      <c r="D105" s="3" t="s">
        <v>303</v>
      </c>
      <c r="E105" s="21" t="s">
        <v>77</v>
      </c>
      <c r="F105" s="3">
        <v>12</v>
      </c>
      <c r="G105" s="31">
        <f>'Assumptions &amp; Inputs'!B13*(F105/12)</f>
        <v>9500</v>
      </c>
      <c r="H105" s="31">
        <f>'Assumptions &amp; Inputs'!B14*F105</f>
        <v>1920</v>
      </c>
      <c r="I105" s="31">
        <f t="shared" si="3"/>
        <v>11420</v>
      </c>
    </row>
    <row r="106" spans="1:9" x14ac:dyDescent="0.2">
      <c r="A106" s="3">
        <v>98</v>
      </c>
      <c r="B106" s="3" t="s">
        <v>304</v>
      </c>
      <c r="C106" s="3" t="s">
        <v>305</v>
      </c>
      <c r="D106" s="3" t="s">
        <v>306</v>
      </c>
      <c r="E106" s="21" t="s">
        <v>77</v>
      </c>
      <c r="F106" s="3">
        <v>12</v>
      </c>
      <c r="G106" s="31">
        <f>'Assumptions &amp; Inputs'!B13*(F106/12)</f>
        <v>9500</v>
      </c>
      <c r="H106" s="31">
        <f>'Assumptions &amp; Inputs'!B14*F106</f>
        <v>1920</v>
      </c>
      <c r="I106" s="31">
        <f t="shared" si="3"/>
        <v>11420</v>
      </c>
    </row>
    <row r="107" spans="1:9" x14ac:dyDescent="0.2">
      <c r="A107" s="3">
        <v>99</v>
      </c>
      <c r="B107" s="3" t="s">
        <v>307</v>
      </c>
      <c r="C107" s="3" t="s">
        <v>308</v>
      </c>
      <c r="D107" s="3" t="s">
        <v>86</v>
      </c>
      <c r="E107" s="21" t="s">
        <v>77</v>
      </c>
      <c r="F107" s="3">
        <v>12</v>
      </c>
      <c r="G107" s="31">
        <f>'Assumptions &amp; Inputs'!B13*(F107/12)</f>
        <v>9500</v>
      </c>
      <c r="H107" s="31">
        <f>'Assumptions &amp; Inputs'!B14*F107</f>
        <v>1920</v>
      </c>
      <c r="I107" s="31">
        <f t="shared" si="3"/>
        <v>11420</v>
      </c>
    </row>
    <row r="108" spans="1:9" x14ac:dyDescent="0.2">
      <c r="A108" s="3">
        <v>100</v>
      </c>
      <c r="B108" s="3" t="s">
        <v>309</v>
      </c>
      <c r="C108" s="3" t="s">
        <v>310</v>
      </c>
      <c r="D108" s="3" t="s">
        <v>86</v>
      </c>
      <c r="E108" s="21" t="s">
        <v>77</v>
      </c>
      <c r="F108" s="3">
        <v>12</v>
      </c>
      <c r="G108" s="31">
        <f>'Assumptions &amp; Inputs'!B13*(F108/12)</f>
        <v>9500</v>
      </c>
      <c r="H108" s="31">
        <f>'Assumptions &amp; Inputs'!B14*F108</f>
        <v>1920</v>
      </c>
      <c r="I108" s="31">
        <f t="shared" si="3"/>
        <v>11420</v>
      </c>
    </row>
    <row r="109" spans="1:9" x14ac:dyDescent="0.2">
      <c r="A109" s="3">
        <v>101</v>
      </c>
      <c r="B109" s="3" t="s">
        <v>311</v>
      </c>
      <c r="C109" s="3" t="s">
        <v>312</v>
      </c>
      <c r="D109" s="3" t="s">
        <v>121</v>
      </c>
      <c r="E109" s="21" t="s">
        <v>77</v>
      </c>
      <c r="F109" s="3">
        <v>12</v>
      </c>
      <c r="G109" s="31">
        <f>'Assumptions &amp; Inputs'!B13*(F109/12)</f>
        <v>9500</v>
      </c>
      <c r="H109" s="31">
        <f>'Assumptions &amp; Inputs'!B14*F109</f>
        <v>1920</v>
      </c>
      <c r="I109" s="31">
        <f t="shared" si="3"/>
        <v>11420</v>
      </c>
    </row>
    <row r="110" spans="1:9" x14ac:dyDescent="0.2">
      <c r="A110" s="3">
        <v>102</v>
      </c>
      <c r="B110" s="3" t="s">
        <v>313</v>
      </c>
      <c r="C110" s="3" t="s">
        <v>314</v>
      </c>
      <c r="D110" s="3" t="s">
        <v>74</v>
      </c>
      <c r="E110" s="21" t="s">
        <v>77</v>
      </c>
      <c r="F110" s="3">
        <v>12</v>
      </c>
      <c r="G110" s="31">
        <f>'Assumptions &amp; Inputs'!B13*(F110/12)</f>
        <v>9500</v>
      </c>
      <c r="H110" s="31">
        <f>'Assumptions &amp; Inputs'!B14*F110</f>
        <v>1920</v>
      </c>
      <c r="I110" s="31">
        <f t="shared" si="3"/>
        <v>11420</v>
      </c>
    </row>
    <row r="111" spans="1:9" x14ac:dyDescent="0.2">
      <c r="A111" s="3">
        <v>103</v>
      </c>
      <c r="B111" s="3" t="s">
        <v>315</v>
      </c>
      <c r="C111" s="3" t="s">
        <v>281</v>
      </c>
      <c r="D111" s="3" t="s">
        <v>86</v>
      </c>
      <c r="E111" s="21" t="s">
        <v>77</v>
      </c>
      <c r="F111" s="3">
        <v>12</v>
      </c>
      <c r="G111" s="31">
        <f>'Assumptions &amp; Inputs'!B13*(F111/12)</f>
        <v>9500</v>
      </c>
      <c r="H111" s="31">
        <f>'Assumptions &amp; Inputs'!B14*F111</f>
        <v>1920</v>
      </c>
      <c r="I111" s="31">
        <f t="shared" si="3"/>
        <v>11420</v>
      </c>
    </row>
    <row r="112" spans="1:9" x14ac:dyDescent="0.2">
      <c r="A112" s="3">
        <v>104</v>
      </c>
      <c r="B112" s="3" t="s">
        <v>316</v>
      </c>
      <c r="C112" s="3" t="s">
        <v>317</v>
      </c>
      <c r="D112" s="3" t="s">
        <v>86</v>
      </c>
      <c r="E112" s="21" t="s">
        <v>77</v>
      </c>
      <c r="F112" s="3">
        <v>12</v>
      </c>
      <c r="G112" s="31">
        <f>'Assumptions &amp; Inputs'!B13*(F112/12)</f>
        <v>9500</v>
      </c>
      <c r="H112" s="31">
        <f>'Assumptions &amp; Inputs'!B14*F112</f>
        <v>1920</v>
      </c>
      <c r="I112" s="31">
        <f t="shared" si="3"/>
        <v>11420</v>
      </c>
    </row>
    <row r="113" spans="1:9" x14ac:dyDescent="0.2">
      <c r="A113" s="3">
        <v>105</v>
      </c>
      <c r="B113" s="3" t="s">
        <v>318</v>
      </c>
      <c r="C113" s="3" t="s">
        <v>319</v>
      </c>
      <c r="D113" s="3" t="s">
        <v>159</v>
      </c>
      <c r="E113" s="21" t="s">
        <v>77</v>
      </c>
      <c r="F113" s="3">
        <v>12</v>
      </c>
      <c r="G113" s="31">
        <f>'Assumptions &amp; Inputs'!B13*(F113/12)</f>
        <v>9500</v>
      </c>
      <c r="H113" s="31">
        <f>'Assumptions &amp; Inputs'!B14*F113</f>
        <v>1920</v>
      </c>
      <c r="I113" s="31">
        <f t="shared" si="3"/>
        <v>11420</v>
      </c>
    </row>
    <row r="114" spans="1:9" x14ac:dyDescent="0.2">
      <c r="A114" s="3">
        <v>106</v>
      </c>
      <c r="B114" s="3" t="s">
        <v>320</v>
      </c>
      <c r="C114" s="3" t="s">
        <v>302</v>
      </c>
      <c r="D114" s="3" t="s">
        <v>74</v>
      </c>
      <c r="E114" s="21" t="s">
        <v>77</v>
      </c>
      <c r="F114" s="3">
        <v>12</v>
      </c>
      <c r="G114" s="31">
        <f>'Assumptions &amp; Inputs'!B13*(F114/12)</f>
        <v>9500</v>
      </c>
      <c r="H114" s="31">
        <f>'Assumptions &amp; Inputs'!B14*F114</f>
        <v>1920</v>
      </c>
      <c r="I114" s="31">
        <f t="shared" si="3"/>
        <v>11420</v>
      </c>
    </row>
    <row r="115" spans="1:9" x14ac:dyDescent="0.2">
      <c r="A115" s="3">
        <v>107</v>
      </c>
      <c r="B115" s="3" t="s">
        <v>321</v>
      </c>
      <c r="C115" s="3" t="s">
        <v>234</v>
      </c>
      <c r="D115" s="3" t="s">
        <v>121</v>
      </c>
      <c r="E115" s="21" t="s">
        <v>77</v>
      </c>
      <c r="F115" s="3">
        <v>12</v>
      </c>
      <c r="G115" s="31">
        <f>'Assumptions &amp; Inputs'!B13*(F115/12)</f>
        <v>9500</v>
      </c>
      <c r="H115" s="31">
        <f>'Assumptions &amp; Inputs'!B14*F115</f>
        <v>1920</v>
      </c>
      <c r="I115" s="31">
        <f t="shared" si="3"/>
        <v>11420</v>
      </c>
    </row>
    <row r="116" spans="1:9" x14ac:dyDescent="0.2">
      <c r="A116" s="3">
        <v>108</v>
      </c>
      <c r="B116" s="3" t="s">
        <v>322</v>
      </c>
      <c r="C116" s="3" t="s">
        <v>213</v>
      </c>
      <c r="D116" s="3" t="s">
        <v>132</v>
      </c>
      <c r="E116" s="21" t="s">
        <v>77</v>
      </c>
      <c r="F116" s="3">
        <v>12</v>
      </c>
      <c r="G116" s="31">
        <f>'Assumptions &amp; Inputs'!B13*(F116/12)</f>
        <v>9500</v>
      </c>
      <c r="H116" s="31">
        <f>'Assumptions &amp; Inputs'!B14*F116</f>
        <v>1920</v>
      </c>
      <c r="I116" s="31">
        <f t="shared" si="3"/>
        <v>11420</v>
      </c>
    </row>
    <row r="117" spans="1:9" x14ac:dyDescent="0.2">
      <c r="A117" s="3">
        <v>109</v>
      </c>
      <c r="B117" s="3" t="s">
        <v>323</v>
      </c>
      <c r="C117" s="3" t="s">
        <v>324</v>
      </c>
      <c r="D117" s="3" t="s">
        <v>325</v>
      </c>
      <c r="E117" s="21" t="s">
        <v>77</v>
      </c>
      <c r="F117" s="3">
        <v>12</v>
      </c>
      <c r="G117" s="31">
        <f>'Assumptions &amp; Inputs'!B13*(F117/12)</f>
        <v>9500</v>
      </c>
      <c r="H117" s="31">
        <f>'Assumptions &amp; Inputs'!B14*F117</f>
        <v>1920</v>
      </c>
      <c r="I117" s="31">
        <f t="shared" si="3"/>
        <v>11420</v>
      </c>
    </row>
    <row r="118" spans="1:9" x14ac:dyDescent="0.2">
      <c r="A118" s="3">
        <v>110</v>
      </c>
      <c r="B118" s="3" t="s">
        <v>326</v>
      </c>
      <c r="C118" s="3" t="s">
        <v>327</v>
      </c>
      <c r="D118" s="3" t="s">
        <v>121</v>
      </c>
      <c r="E118" s="21" t="s">
        <v>77</v>
      </c>
      <c r="F118" s="3">
        <v>12</v>
      </c>
      <c r="G118" s="31">
        <f>'Assumptions &amp; Inputs'!B13*(F118/12)</f>
        <v>9500</v>
      </c>
      <c r="H118" s="31">
        <f>'Assumptions &amp; Inputs'!B14*F118</f>
        <v>1920</v>
      </c>
      <c r="I118" s="31">
        <f t="shared" ref="I118:I149" si="4">G118+H118</f>
        <v>11420</v>
      </c>
    </row>
    <row r="119" spans="1:9" x14ac:dyDescent="0.2">
      <c r="A119" s="3">
        <v>111</v>
      </c>
      <c r="B119" s="3" t="s">
        <v>328</v>
      </c>
      <c r="C119" s="3" t="s">
        <v>329</v>
      </c>
      <c r="D119" s="3" t="s">
        <v>121</v>
      </c>
      <c r="E119" s="21" t="s">
        <v>77</v>
      </c>
      <c r="F119" s="3">
        <v>12</v>
      </c>
      <c r="G119" s="31">
        <f>'Assumptions &amp; Inputs'!B13*(F119/12)</f>
        <v>9500</v>
      </c>
      <c r="H119" s="31">
        <f>'Assumptions &amp; Inputs'!B14*F119</f>
        <v>1920</v>
      </c>
      <c r="I119" s="31">
        <f t="shared" si="4"/>
        <v>11420</v>
      </c>
    </row>
    <row r="120" spans="1:9" x14ac:dyDescent="0.2">
      <c r="A120" s="3">
        <v>112</v>
      </c>
      <c r="B120" s="3" t="s">
        <v>330</v>
      </c>
      <c r="C120" s="3" t="s">
        <v>331</v>
      </c>
      <c r="D120" s="3" t="s">
        <v>332</v>
      </c>
      <c r="E120" s="21" t="s">
        <v>77</v>
      </c>
      <c r="F120" s="3">
        <v>12</v>
      </c>
      <c r="G120" s="31">
        <f>'Assumptions &amp; Inputs'!B13*(F120/12)</f>
        <v>9500</v>
      </c>
      <c r="H120" s="31">
        <f>'Assumptions &amp; Inputs'!B14*F120</f>
        <v>1920</v>
      </c>
      <c r="I120" s="31">
        <f t="shared" si="4"/>
        <v>11420</v>
      </c>
    </row>
    <row r="121" spans="1:9" x14ac:dyDescent="0.2">
      <c r="A121" s="3">
        <v>113</v>
      </c>
      <c r="B121" s="3" t="s">
        <v>333</v>
      </c>
      <c r="C121" s="3" t="s">
        <v>334</v>
      </c>
      <c r="D121" s="3" t="s">
        <v>121</v>
      </c>
      <c r="E121" s="21" t="s">
        <v>77</v>
      </c>
      <c r="F121" s="3">
        <v>12</v>
      </c>
      <c r="G121" s="31">
        <f>'Assumptions &amp; Inputs'!B13*(F121/12)</f>
        <v>9500</v>
      </c>
      <c r="H121" s="31">
        <f>'Assumptions &amp; Inputs'!B14*F121</f>
        <v>1920</v>
      </c>
      <c r="I121" s="31">
        <f t="shared" si="4"/>
        <v>11420</v>
      </c>
    </row>
    <row r="122" spans="1:9" x14ac:dyDescent="0.2">
      <c r="A122" s="3">
        <v>114</v>
      </c>
      <c r="B122" s="3" t="s">
        <v>335</v>
      </c>
      <c r="C122" s="3" t="s">
        <v>336</v>
      </c>
      <c r="D122" s="3" t="s">
        <v>132</v>
      </c>
      <c r="E122" s="21" t="s">
        <v>77</v>
      </c>
      <c r="F122" s="3">
        <v>12</v>
      </c>
      <c r="G122" s="31">
        <f>'Assumptions &amp; Inputs'!B13*(F122/12)</f>
        <v>9500</v>
      </c>
      <c r="H122" s="31">
        <f>'Assumptions &amp; Inputs'!B14*F122</f>
        <v>1920</v>
      </c>
      <c r="I122" s="31">
        <f t="shared" si="4"/>
        <v>11420</v>
      </c>
    </row>
    <row r="123" spans="1:9" x14ac:dyDescent="0.2">
      <c r="A123" s="3">
        <v>115</v>
      </c>
      <c r="B123" s="3" t="s">
        <v>337</v>
      </c>
      <c r="C123" s="3" t="s">
        <v>338</v>
      </c>
      <c r="D123" s="3" t="s">
        <v>121</v>
      </c>
      <c r="E123" s="21" t="s">
        <v>77</v>
      </c>
      <c r="F123" s="3">
        <v>12</v>
      </c>
      <c r="G123" s="31">
        <f>'Assumptions &amp; Inputs'!B13*(F123/12)</f>
        <v>9500</v>
      </c>
      <c r="H123" s="31">
        <f>'Assumptions &amp; Inputs'!B14*F123</f>
        <v>1920</v>
      </c>
      <c r="I123" s="31">
        <f t="shared" si="4"/>
        <v>11420</v>
      </c>
    </row>
    <row r="124" spans="1:9" x14ac:dyDescent="0.2">
      <c r="A124" s="3">
        <v>116</v>
      </c>
      <c r="B124" s="3" t="s">
        <v>339</v>
      </c>
      <c r="C124" s="3" t="s">
        <v>340</v>
      </c>
      <c r="D124" s="3" t="s">
        <v>341</v>
      </c>
      <c r="E124" s="21" t="s">
        <v>77</v>
      </c>
      <c r="F124" s="3">
        <v>12</v>
      </c>
      <c r="G124" s="31">
        <f>'Assumptions &amp; Inputs'!B13*(F124/12)</f>
        <v>9500</v>
      </c>
      <c r="H124" s="31">
        <f>'Assumptions &amp; Inputs'!B14*F124</f>
        <v>1920</v>
      </c>
      <c r="I124" s="31">
        <f t="shared" si="4"/>
        <v>11420</v>
      </c>
    </row>
    <row r="125" spans="1:9" x14ac:dyDescent="0.2">
      <c r="A125" s="3">
        <v>117</v>
      </c>
      <c r="B125" s="3" t="s">
        <v>342</v>
      </c>
      <c r="C125" s="3" t="s">
        <v>129</v>
      </c>
      <c r="D125" s="3" t="s">
        <v>343</v>
      </c>
      <c r="E125" s="21" t="s">
        <v>77</v>
      </c>
      <c r="F125" s="3">
        <v>12</v>
      </c>
      <c r="G125" s="31">
        <f>'Assumptions &amp; Inputs'!B13*(F125/12)</f>
        <v>9500</v>
      </c>
      <c r="H125" s="31">
        <f>'Assumptions &amp; Inputs'!B14*F125</f>
        <v>1920</v>
      </c>
      <c r="I125" s="31">
        <f t="shared" si="4"/>
        <v>11420</v>
      </c>
    </row>
    <row r="126" spans="1:9" x14ac:dyDescent="0.2">
      <c r="A126" s="3">
        <v>118</v>
      </c>
      <c r="B126" s="3" t="s">
        <v>344</v>
      </c>
      <c r="C126" s="3" t="s">
        <v>345</v>
      </c>
      <c r="D126" s="3" t="s">
        <v>346</v>
      </c>
      <c r="E126" s="21" t="s">
        <v>77</v>
      </c>
      <c r="F126" s="3">
        <v>12</v>
      </c>
      <c r="G126" s="31">
        <f>'Assumptions &amp; Inputs'!B13*(F126/12)</f>
        <v>9500</v>
      </c>
      <c r="H126" s="31">
        <f>'Assumptions &amp; Inputs'!B14*F126</f>
        <v>1920</v>
      </c>
      <c r="I126" s="31">
        <f t="shared" si="4"/>
        <v>11420</v>
      </c>
    </row>
    <row r="127" spans="1:9" x14ac:dyDescent="0.2">
      <c r="A127" s="3">
        <v>119</v>
      </c>
      <c r="B127" s="3" t="s">
        <v>344</v>
      </c>
      <c r="C127" s="3" t="s">
        <v>347</v>
      </c>
      <c r="D127" s="3" t="s">
        <v>159</v>
      </c>
      <c r="E127" s="21" t="s">
        <v>77</v>
      </c>
      <c r="F127" s="3">
        <v>12</v>
      </c>
      <c r="G127" s="31">
        <f>'Assumptions &amp; Inputs'!B13*(F127/12)</f>
        <v>9500</v>
      </c>
      <c r="H127" s="31">
        <f>'Assumptions &amp; Inputs'!B14*F127</f>
        <v>1920</v>
      </c>
      <c r="I127" s="31">
        <f t="shared" si="4"/>
        <v>11420</v>
      </c>
    </row>
    <row r="128" spans="1:9" x14ac:dyDescent="0.2">
      <c r="A128" s="3">
        <v>120</v>
      </c>
      <c r="B128" s="3" t="s">
        <v>348</v>
      </c>
      <c r="C128" s="3" t="s">
        <v>285</v>
      </c>
      <c r="D128" s="3" t="s">
        <v>349</v>
      </c>
      <c r="E128" s="21" t="s">
        <v>77</v>
      </c>
      <c r="F128" s="3">
        <v>12</v>
      </c>
      <c r="G128" s="31">
        <f>'Assumptions &amp; Inputs'!B13*(F128/12)</f>
        <v>9500</v>
      </c>
      <c r="H128" s="31">
        <f>'Assumptions &amp; Inputs'!B14*F128</f>
        <v>1920</v>
      </c>
      <c r="I128" s="31">
        <f t="shared" si="4"/>
        <v>11420</v>
      </c>
    </row>
    <row r="129" spans="1:9" x14ac:dyDescent="0.2">
      <c r="A129" s="3">
        <v>121</v>
      </c>
      <c r="B129" s="3" t="s">
        <v>350</v>
      </c>
      <c r="C129" s="3" t="s">
        <v>351</v>
      </c>
      <c r="D129" s="3" t="s">
        <v>121</v>
      </c>
      <c r="E129" s="21" t="s">
        <v>77</v>
      </c>
      <c r="F129" s="3">
        <v>12</v>
      </c>
      <c r="G129" s="31">
        <f>'Assumptions &amp; Inputs'!B13*(F129/12)</f>
        <v>9500</v>
      </c>
      <c r="H129" s="31">
        <f>'Assumptions &amp; Inputs'!B14*F129</f>
        <v>1920</v>
      </c>
      <c r="I129" s="31">
        <f t="shared" si="4"/>
        <v>11420</v>
      </c>
    </row>
    <row r="130" spans="1:9" x14ac:dyDescent="0.2">
      <c r="A130" s="3">
        <v>122</v>
      </c>
      <c r="B130" s="3" t="s">
        <v>352</v>
      </c>
      <c r="C130" s="3" t="s">
        <v>353</v>
      </c>
      <c r="D130" s="3" t="s">
        <v>159</v>
      </c>
      <c r="E130" s="21" t="s">
        <v>77</v>
      </c>
      <c r="F130" s="3">
        <v>12</v>
      </c>
      <c r="G130" s="31">
        <f>'Assumptions &amp; Inputs'!B13*(F130/12)</f>
        <v>9500</v>
      </c>
      <c r="H130" s="31">
        <f>'Assumptions &amp; Inputs'!B14*F130</f>
        <v>1920</v>
      </c>
      <c r="I130" s="31">
        <f t="shared" si="4"/>
        <v>11420</v>
      </c>
    </row>
    <row r="131" spans="1:9" x14ac:dyDescent="0.2">
      <c r="A131" s="3">
        <v>123</v>
      </c>
      <c r="B131" s="3" t="s">
        <v>354</v>
      </c>
      <c r="C131" s="3" t="s">
        <v>241</v>
      </c>
      <c r="D131" s="3" t="s">
        <v>355</v>
      </c>
      <c r="E131" s="21" t="s">
        <v>77</v>
      </c>
      <c r="F131" s="3">
        <v>12</v>
      </c>
      <c r="G131" s="31">
        <f>'Assumptions &amp; Inputs'!B13*(F131/12)</f>
        <v>9500</v>
      </c>
      <c r="H131" s="31">
        <f>'Assumptions &amp; Inputs'!B14*F131</f>
        <v>1920</v>
      </c>
      <c r="I131" s="31">
        <f t="shared" si="4"/>
        <v>11420</v>
      </c>
    </row>
    <row r="132" spans="1:9" x14ac:dyDescent="0.2">
      <c r="A132" s="3">
        <v>124</v>
      </c>
      <c r="B132" s="3" t="s">
        <v>357</v>
      </c>
      <c r="C132" s="3" t="s">
        <v>358</v>
      </c>
      <c r="D132" s="3" t="s">
        <v>132</v>
      </c>
      <c r="E132" s="21" t="s">
        <v>77</v>
      </c>
      <c r="F132" s="3">
        <v>12</v>
      </c>
      <c r="G132" s="31">
        <f>'Assumptions &amp; Inputs'!B13*(F132/12)</f>
        <v>9500</v>
      </c>
      <c r="H132" s="31">
        <f>'Assumptions &amp; Inputs'!B14*F132</f>
        <v>1920</v>
      </c>
      <c r="I132" s="31">
        <f t="shared" si="4"/>
        <v>11420</v>
      </c>
    </row>
    <row r="133" spans="1:9" x14ac:dyDescent="0.2">
      <c r="A133" s="3">
        <v>125</v>
      </c>
      <c r="B133" s="3" t="s">
        <v>359</v>
      </c>
      <c r="C133" s="3" t="s">
        <v>360</v>
      </c>
      <c r="D133" s="3" t="s">
        <v>237</v>
      </c>
      <c r="E133" s="21" t="s">
        <v>77</v>
      </c>
      <c r="F133" s="3">
        <v>12</v>
      </c>
      <c r="G133" s="31">
        <f>'Assumptions &amp; Inputs'!B13*(F133/12)</f>
        <v>9500</v>
      </c>
      <c r="H133" s="31">
        <f>'Assumptions &amp; Inputs'!B14*F133</f>
        <v>1920</v>
      </c>
      <c r="I133" s="31">
        <f t="shared" si="4"/>
        <v>11420</v>
      </c>
    </row>
    <row r="134" spans="1:9" x14ac:dyDescent="0.2">
      <c r="A134" s="3">
        <v>126</v>
      </c>
      <c r="B134" s="3" t="s">
        <v>361</v>
      </c>
      <c r="C134" s="3" t="s">
        <v>97</v>
      </c>
      <c r="D134" s="3" t="s">
        <v>159</v>
      </c>
      <c r="E134" s="21" t="s">
        <v>77</v>
      </c>
      <c r="F134" s="3">
        <v>12</v>
      </c>
      <c r="G134" s="31">
        <f>'Assumptions &amp; Inputs'!B13*(F134/12)</f>
        <v>9500</v>
      </c>
      <c r="H134" s="31">
        <f>'Assumptions &amp; Inputs'!B14*F134</f>
        <v>1920</v>
      </c>
      <c r="I134" s="31">
        <f t="shared" si="4"/>
        <v>11420</v>
      </c>
    </row>
    <row r="135" spans="1:9" x14ac:dyDescent="0.2">
      <c r="A135" s="3">
        <v>127</v>
      </c>
      <c r="B135" s="3" t="s">
        <v>362</v>
      </c>
      <c r="C135" s="3" t="s">
        <v>363</v>
      </c>
      <c r="D135" s="3" t="s">
        <v>265</v>
      </c>
      <c r="E135" s="21" t="s">
        <v>77</v>
      </c>
      <c r="F135" s="3">
        <v>12</v>
      </c>
      <c r="G135" s="31">
        <f>'Assumptions &amp; Inputs'!B13*(F135/12)</f>
        <v>9500</v>
      </c>
      <c r="H135" s="31">
        <f>'Assumptions &amp; Inputs'!B14*F135</f>
        <v>1920</v>
      </c>
      <c r="I135" s="31">
        <f t="shared" si="4"/>
        <v>11420</v>
      </c>
    </row>
    <row r="136" spans="1:9" x14ac:dyDescent="0.2">
      <c r="A136" s="3">
        <v>128</v>
      </c>
      <c r="B136" s="3" t="s">
        <v>362</v>
      </c>
      <c r="C136" s="3" t="s">
        <v>363</v>
      </c>
      <c r="D136" s="3" t="s">
        <v>121</v>
      </c>
      <c r="E136" s="21" t="s">
        <v>77</v>
      </c>
      <c r="F136" s="3">
        <v>12</v>
      </c>
      <c r="G136" s="31">
        <f>'Assumptions &amp; Inputs'!B13*(F136/12)</f>
        <v>9500</v>
      </c>
      <c r="H136" s="31">
        <f>'Assumptions &amp; Inputs'!B14*F136</f>
        <v>1920</v>
      </c>
      <c r="I136" s="31">
        <f t="shared" si="4"/>
        <v>11420</v>
      </c>
    </row>
    <row r="137" spans="1:9" x14ac:dyDescent="0.2">
      <c r="A137" s="3">
        <v>129</v>
      </c>
      <c r="B137" s="3" t="s">
        <v>364</v>
      </c>
      <c r="C137" s="3" t="s">
        <v>365</v>
      </c>
      <c r="D137" s="3" t="s">
        <v>223</v>
      </c>
      <c r="E137" s="21" t="s">
        <v>77</v>
      </c>
      <c r="F137" s="3">
        <v>12</v>
      </c>
      <c r="G137" s="31">
        <f>'Assumptions &amp; Inputs'!B13*(F137/12)</f>
        <v>9500</v>
      </c>
      <c r="H137" s="31">
        <f>'Assumptions &amp; Inputs'!B14*F137</f>
        <v>1920</v>
      </c>
      <c r="I137" s="31">
        <f t="shared" si="4"/>
        <v>11420</v>
      </c>
    </row>
    <row r="138" spans="1:9" x14ac:dyDescent="0.2">
      <c r="A138" s="3">
        <v>130</v>
      </c>
      <c r="B138" s="3" t="s">
        <v>367</v>
      </c>
      <c r="C138" s="3" t="s">
        <v>317</v>
      </c>
      <c r="D138" s="3" t="s">
        <v>368</v>
      </c>
      <c r="E138" s="21" t="s">
        <v>77</v>
      </c>
      <c r="F138" s="3">
        <v>12</v>
      </c>
      <c r="G138" s="31">
        <f>'Assumptions &amp; Inputs'!B13*(F138/12)</f>
        <v>9500</v>
      </c>
      <c r="H138" s="31">
        <f>'Assumptions &amp; Inputs'!B14*F138</f>
        <v>1920</v>
      </c>
      <c r="I138" s="31">
        <f t="shared" si="4"/>
        <v>11420</v>
      </c>
    </row>
    <row r="139" spans="1:9" x14ac:dyDescent="0.2">
      <c r="A139" s="3">
        <v>131</v>
      </c>
      <c r="B139" s="3" t="s">
        <v>369</v>
      </c>
      <c r="C139" s="3" t="s">
        <v>177</v>
      </c>
      <c r="D139" s="3" t="s">
        <v>121</v>
      </c>
      <c r="E139" s="21" t="s">
        <v>77</v>
      </c>
      <c r="F139" s="3">
        <v>12</v>
      </c>
      <c r="G139" s="31">
        <f>'Assumptions &amp; Inputs'!B13*(F139/12)</f>
        <v>9500</v>
      </c>
      <c r="H139" s="31">
        <f>'Assumptions &amp; Inputs'!B14*F139</f>
        <v>1920</v>
      </c>
      <c r="I139" s="31">
        <f t="shared" si="4"/>
        <v>11420</v>
      </c>
    </row>
    <row r="140" spans="1:9" x14ac:dyDescent="0.2">
      <c r="A140" s="3">
        <v>132</v>
      </c>
      <c r="B140" s="3" t="s">
        <v>370</v>
      </c>
      <c r="C140" s="3" t="s">
        <v>371</v>
      </c>
      <c r="D140" s="3" t="s">
        <v>121</v>
      </c>
      <c r="E140" s="21" t="s">
        <v>77</v>
      </c>
      <c r="F140" s="3">
        <v>12</v>
      </c>
      <c r="G140" s="31">
        <f>'Assumptions &amp; Inputs'!B13*(F140/12)</f>
        <v>9500</v>
      </c>
      <c r="H140" s="31">
        <f>'Assumptions &amp; Inputs'!B14*F140</f>
        <v>1920</v>
      </c>
      <c r="I140" s="31">
        <f t="shared" si="4"/>
        <v>11420</v>
      </c>
    </row>
    <row r="141" spans="1:9" x14ac:dyDescent="0.2">
      <c r="A141" s="3">
        <v>133</v>
      </c>
      <c r="B141" s="3" t="s">
        <v>372</v>
      </c>
      <c r="C141" s="3" t="s">
        <v>373</v>
      </c>
      <c r="D141" s="3" t="s">
        <v>86</v>
      </c>
      <c r="E141" s="21" t="s">
        <v>77</v>
      </c>
      <c r="F141" s="3">
        <v>12</v>
      </c>
      <c r="G141" s="31">
        <f>'Assumptions &amp; Inputs'!B13*(F141/12)</f>
        <v>9500</v>
      </c>
      <c r="H141" s="31">
        <f>'Assumptions &amp; Inputs'!B14*F141</f>
        <v>1920</v>
      </c>
      <c r="I141" s="31">
        <f t="shared" si="4"/>
        <v>11420</v>
      </c>
    </row>
    <row r="142" spans="1:9" x14ac:dyDescent="0.2">
      <c r="A142" s="3">
        <v>134</v>
      </c>
      <c r="B142" s="3" t="s">
        <v>374</v>
      </c>
      <c r="C142" s="3" t="s">
        <v>375</v>
      </c>
      <c r="D142" s="3" t="s">
        <v>376</v>
      </c>
      <c r="E142" s="21" t="s">
        <v>77</v>
      </c>
      <c r="F142" s="3">
        <v>12</v>
      </c>
      <c r="G142" s="31">
        <f>'Assumptions &amp; Inputs'!B13*(F142/12)</f>
        <v>9500</v>
      </c>
      <c r="H142" s="31">
        <f>'Assumptions &amp; Inputs'!B14*F142</f>
        <v>1920</v>
      </c>
      <c r="I142" s="31">
        <f t="shared" si="4"/>
        <v>11420</v>
      </c>
    </row>
    <row r="143" spans="1:9" x14ac:dyDescent="0.2">
      <c r="A143" s="3">
        <v>135</v>
      </c>
      <c r="B143" s="3" t="s">
        <v>377</v>
      </c>
      <c r="C143" s="3" t="s">
        <v>353</v>
      </c>
      <c r="D143" s="3" t="s">
        <v>121</v>
      </c>
      <c r="E143" s="21" t="s">
        <v>77</v>
      </c>
      <c r="F143" s="3">
        <v>12</v>
      </c>
      <c r="G143" s="31">
        <f>'Assumptions &amp; Inputs'!B13*(F143/12)</f>
        <v>9500</v>
      </c>
      <c r="H143" s="31">
        <f>'Assumptions &amp; Inputs'!B14*F143</f>
        <v>1920</v>
      </c>
      <c r="I143" s="31">
        <f t="shared" si="4"/>
        <v>11420</v>
      </c>
    </row>
    <row r="144" spans="1:9" x14ac:dyDescent="0.2">
      <c r="A144" s="3">
        <v>136</v>
      </c>
      <c r="B144" s="3" t="s">
        <v>378</v>
      </c>
      <c r="C144" s="3" t="s">
        <v>375</v>
      </c>
      <c r="D144" s="3" t="s">
        <v>121</v>
      </c>
      <c r="E144" s="21" t="s">
        <v>77</v>
      </c>
      <c r="F144" s="3">
        <v>12</v>
      </c>
      <c r="G144" s="31">
        <f>'Assumptions &amp; Inputs'!B13*(F144/12)</f>
        <v>9500</v>
      </c>
      <c r="H144" s="31">
        <f>'Assumptions &amp; Inputs'!B14*F144</f>
        <v>1920</v>
      </c>
      <c r="I144" s="31">
        <f t="shared" si="4"/>
        <v>11420</v>
      </c>
    </row>
    <row r="145" spans="1:9" x14ac:dyDescent="0.2">
      <c r="A145" s="3">
        <v>137</v>
      </c>
      <c r="B145" s="3" t="s">
        <v>379</v>
      </c>
      <c r="C145" s="3" t="s">
        <v>380</v>
      </c>
      <c r="D145" s="3" t="s">
        <v>86</v>
      </c>
      <c r="E145" s="21" t="s">
        <v>77</v>
      </c>
      <c r="F145" s="3">
        <v>12</v>
      </c>
      <c r="G145" s="31">
        <f>'Assumptions &amp; Inputs'!B13*(F145/12)</f>
        <v>9500</v>
      </c>
      <c r="H145" s="31">
        <f>'Assumptions &amp; Inputs'!B14*F145</f>
        <v>1920</v>
      </c>
      <c r="I145" s="31">
        <f t="shared" si="4"/>
        <v>11420</v>
      </c>
    </row>
    <row r="146" spans="1:9" x14ac:dyDescent="0.2">
      <c r="A146" s="3">
        <v>138</v>
      </c>
      <c r="B146" s="3" t="s">
        <v>381</v>
      </c>
      <c r="C146" s="3" t="s">
        <v>382</v>
      </c>
      <c r="D146" s="3" t="s">
        <v>86</v>
      </c>
      <c r="E146" s="21" t="s">
        <v>77</v>
      </c>
      <c r="F146" s="3">
        <v>12</v>
      </c>
      <c r="G146" s="31">
        <f>'Assumptions &amp; Inputs'!B13*(F146/12)</f>
        <v>9500</v>
      </c>
      <c r="H146" s="31">
        <f>'Assumptions &amp; Inputs'!B14*F146</f>
        <v>1920</v>
      </c>
      <c r="I146" s="31">
        <f t="shared" si="4"/>
        <v>11420</v>
      </c>
    </row>
    <row r="147" spans="1:9" x14ac:dyDescent="0.2">
      <c r="A147" s="3">
        <v>139</v>
      </c>
      <c r="B147" s="3" t="s">
        <v>383</v>
      </c>
      <c r="C147" s="3" t="s">
        <v>360</v>
      </c>
      <c r="D147" s="3" t="s">
        <v>121</v>
      </c>
      <c r="E147" s="21" t="s">
        <v>77</v>
      </c>
      <c r="F147" s="3">
        <v>12</v>
      </c>
      <c r="G147" s="31">
        <f>'Assumptions &amp; Inputs'!B13*(F147/12)</f>
        <v>9500</v>
      </c>
      <c r="H147" s="31">
        <f>'Assumptions &amp; Inputs'!B14*F147</f>
        <v>1920</v>
      </c>
      <c r="I147" s="31">
        <f t="shared" si="4"/>
        <v>11420</v>
      </c>
    </row>
    <row r="148" spans="1:9" x14ac:dyDescent="0.2">
      <c r="A148" s="3">
        <v>140</v>
      </c>
      <c r="B148" s="3" t="s">
        <v>384</v>
      </c>
      <c r="C148" s="3" t="s">
        <v>385</v>
      </c>
      <c r="D148" s="3" t="s">
        <v>121</v>
      </c>
      <c r="E148" s="21" t="s">
        <v>77</v>
      </c>
      <c r="F148" s="3">
        <v>12</v>
      </c>
      <c r="G148" s="31">
        <f>'Assumptions &amp; Inputs'!B13*(F148/12)</f>
        <v>9500</v>
      </c>
      <c r="H148" s="31">
        <f>'Assumptions &amp; Inputs'!B14*F148</f>
        <v>1920</v>
      </c>
      <c r="I148" s="31">
        <f t="shared" si="4"/>
        <v>11420</v>
      </c>
    </row>
    <row r="149" spans="1:9" x14ac:dyDescent="0.2">
      <c r="A149" s="3">
        <v>141</v>
      </c>
      <c r="B149" s="3" t="s">
        <v>386</v>
      </c>
      <c r="C149" s="3" t="s">
        <v>257</v>
      </c>
      <c r="D149" s="3" t="s">
        <v>74</v>
      </c>
      <c r="E149" s="21" t="s">
        <v>77</v>
      </c>
      <c r="F149" s="3">
        <v>12</v>
      </c>
      <c r="G149" s="31">
        <f>'Assumptions &amp; Inputs'!B13*(F149/12)</f>
        <v>9500</v>
      </c>
      <c r="H149" s="31">
        <f>'Assumptions &amp; Inputs'!B14*F149</f>
        <v>1920</v>
      </c>
      <c r="I149" s="31">
        <f t="shared" si="4"/>
        <v>11420</v>
      </c>
    </row>
    <row r="150" spans="1:9" x14ac:dyDescent="0.2">
      <c r="A150" s="3">
        <v>142</v>
      </c>
      <c r="B150" s="3" t="s">
        <v>387</v>
      </c>
      <c r="C150" s="3" t="s">
        <v>388</v>
      </c>
      <c r="D150" s="3" t="s">
        <v>102</v>
      </c>
      <c r="E150" s="21" t="s">
        <v>77</v>
      </c>
      <c r="F150" s="3">
        <v>12</v>
      </c>
      <c r="G150" s="31">
        <f>'Assumptions &amp; Inputs'!B13*(F150/12)</f>
        <v>9500</v>
      </c>
      <c r="H150" s="31">
        <f>'Assumptions &amp; Inputs'!B14*F150</f>
        <v>1920</v>
      </c>
      <c r="I150" s="31">
        <f t="shared" ref="I150:I176" si="5">G150+H150</f>
        <v>11420</v>
      </c>
    </row>
    <row r="151" spans="1:9" x14ac:dyDescent="0.2">
      <c r="A151" s="3">
        <v>143</v>
      </c>
      <c r="B151" s="3" t="s">
        <v>389</v>
      </c>
      <c r="C151" s="3" t="s">
        <v>390</v>
      </c>
      <c r="D151" s="3" t="s">
        <v>121</v>
      </c>
      <c r="E151" s="21" t="s">
        <v>77</v>
      </c>
      <c r="F151" s="3">
        <v>12</v>
      </c>
      <c r="G151" s="31">
        <f>'Assumptions &amp; Inputs'!B13*(F151/12)</f>
        <v>9500</v>
      </c>
      <c r="H151" s="31">
        <f>'Assumptions &amp; Inputs'!B14*F151</f>
        <v>1920</v>
      </c>
      <c r="I151" s="31">
        <f t="shared" si="5"/>
        <v>11420</v>
      </c>
    </row>
    <row r="152" spans="1:9" x14ac:dyDescent="0.2">
      <c r="A152" s="3">
        <v>144</v>
      </c>
      <c r="B152" s="3" t="s">
        <v>391</v>
      </c>
      <c r="C152" s="3" t="s">
        <v>392</v>
      </c>
      <c r="D152" s="3" t="s">
        <v>132</v>
      </c>
      <c r="E152" s="21" t="s">
        <v>77</v>
      </c>
      <c r="F152" s="3">
        <v>12</v>
      </c>
      <c r="G152" s="31">
        <f>'Assumptions &amp; Inputs'!B13*(F152/12)</f>
        <v>9500</v>
      </c>
      <c r="H152" s="31">
        <f>'Assumptions &amp; Inputs'!B14*F152</f>
        <v>1920</v>
      </c>
      <c r="I152" s="31">
        <f t="shared" si="5"/>
        <v>11420</v>
      </c>
    </row>
    <row r="153" spans="1:9" x14ac:dyDescent="0.2">
      <c r="A153" s="3">
        <v>145</v>
      </c>
      <c r="B153" s="3" t="s">
        <v>393</v>
      </c>
      <c r="C153" s="3" t="s">
        <v>385</v>
      </c>
      <c r="D153" s="3" t="s">
        <v>121</v>
      </c>
      <c r="E153" s="21" t="s">
        <v>77</v>
      </c>
      <c r="F153" s="3">
        <v>12</v>
      </c>
      <c r="G153" s="31">
        <f>'Assumptions &amp; Inputs'!B13*(F153/12)</f>
        <v>9500</v>
      </c>
      <c r="H153" s="31">
        <f>'Assumptions &amp; Inputs'!B14*F153</f>
        <v>1920</v>
      </c>
      <c r="I153" s="31">
        <f t="shared" si="5"/>
        <v>11420</v>
      </c>
    </row>
    <row r="154" spans="1:9" x14ac:dyDescent="0.2">
      <c r="A154" s="3">
        <v>146</v>
      </c>
      <c r="B154" s="3" t="s">
        <v>394</v>
      </c>
      <c r="C154" s="3" t="s">
        <v>395</v>
      </c>
      <c r="D154" s="3" t="s">
        <v>74</v>
      </c>
      <c r="E154" s="21" t="s">
        <v>77</v>
      </c>
      <c r="F154" s="3">
        <v>12</v>
      </c>
      <c r="G154" s="31">
        <f>'Assumptions &amp; Inputs'!B13*(F154/12)</f>
        <v>9500</v>
      </c>
      <c r="H154" s="31">
        <f>'Assumptions &amp; Inputs'!B14*F154</f>
        <v>1920</v>
      </c>
      <c r="I154" s="31">
        <f t="shared" si="5"/>
        <v>11420</v>
      </c>
    </row>
    <row r="155" spans="1:9" x14ac:dyDescent="0.2">
      <c r="A155" s="3">
        <v>147</v>
      </c>
      <c r="B155" s="3" t="s">
        <v>396</v>
      </c>
      <c r="C155" s="3" t="s">
        <v>397</v>
      </c>
      <c r="D155" s="3" t="s">
        <v>121</v>
      </c>
      <c r="E155" s="21" t="s">
        <v>77</v>
      </c>
      <c r="F155" s="3">
        <v>12</v>
      </c>
      <c r="G155" s="31">
        <f>'Assumptions &amp; Inputs'!B13*(F155/12)</f>
        <v>9500</v>
      </c>
      <c r="H155" s="31">
        <f>'Assumptions &amp; Inputs'!B14*F155</f>
        <v>1920</v>
      </c>
      <c r="I155" s="31">
        <f t="shared" si="5"/>
        <v>11420</v>
      </c>
    </row>
    <row r="156" spans="1:9" x14ac:dyDescent="0.2">
      <c r="A156" s="3">
        <v>148</v>
      </c>
      <c r="B156" s="3" t="s">
        <v>398</v>
      </c>
      <c r="C156" s="3" t="s">
        <v>399</v>
      </c>
      <c r="D156" s="3" t="s">
        <v>102</v>
      </c>
      <c r="E156" s="21" t="s">
        <v>77</v>
      </c>
      <c r="F156" s="3">
        <v>12</v>
      </c>
      <c r="G156" s="31">
        <f>'Assumptions &amp; Inputs'!B13*(F156/12)</f>
        <v>9500</v>
      </c>
      <c r="H156" s="31">
        <f>'Assumptions &amp; Inputs'!B14*F156</f>
        <v>1920</v>
      </c>
      <c r="I156" s="31">
        <f t="shared" si="5"/>
        <v>11420</v>
      </c>
    </row>
    <row r="157" spans="1:9" x14ac:dyDescent="0.2">
      <c r="A157" s="3">
        <v>149</v>
      </c>
      <c r="B157" s="3" t="s">
        <v>400</v>
      </c>
      <c r="C157" s="3" t="s">
        <v>401</v>
      </c>
      <c r="D157" s="3" t="s">
        <v>121</v>
      </c>
      <c r="E157" s="21" t="s">
        <v>77</v>
      </c>
      <c r="F157" s="3">
        <v>12</v>
      </c>
      <c r="G157" s="31">
        <f>'Assumptions &amp; Inputs'!B13*(F157/12)</f>
        <v>9500</v>
      </c>
      <c r="H157" s="31">
        <f>'Assumptions &amp; Inputs'!B14*F157</f>
        <v>1920</v>
      </c>
      <c r="I157" s="31">
        <f t="shared" si="5"/>
        <v>11420</v>
      </c>
    </row>
    <row r="158" spans="1:9" x14ac:dyDescent="0.2">
      <c r="A158" s="3">
        <v>150</v>
      </c>
      <c r="B158" s="3" t="s">
        <v>402</v>
      </c>
      <c r="C158" s="3" t="s">
        <v>403</v>
      </c>
      <c r="D158" s="3" t="s">
        <v>102</v>
      </c>
      <c r="E158" s="21" t="s">
        <v>77</v>
      </c>
      <c r="F158" s="3">
        <v>12</v>
      </c>
      <c r="G158" s="31">
        <f>'Assumptions &amp; Inputs'!B13*(F158/12)</f>
        <v>9500</v>
      </c>
      <c r="H158" s="31">
        <f>'Assumptions &amp; Inputs'!B14*F158</f>
        <v>1920</v>
      </c>
      <c r="I158" s="31">
        <f t="shared" si="5"/>
        <v>11420</v>
      </c>
    </row>
    <row r="159" spans="1:9" x14ac:dyDescent="0.2">
      <c r="A159" s="3">
        <v>151</v>
      </c>
      <c r="B159" s="3" t="s">
        <v>404</v>
      </c>
      <c r="C159" s="3" t="s">
        <v>405</v>
      </c>
      <c r="D159" s="3" t="s">
        <v>406</v>
      </c>
      <c r="E159" s="21" t="s">
        <v>77</v>
      </c>
      <c r="F159" s="3">
        <v>12</v>
      </c>
      <c r="G159" s="31">
        <f>'Assumptions &amp; Inputs'!B13*(F159/12)</f>
        <v>9500</v>
      </c>
      <c r="H159" s="31">
        <f>'Assumptions &amp; Inputs'!B14*F159</f>
        <v>1920</v>
      </c>
      <c r="I159" s="31">
        <f t="shared" si="5"/>
        <v>11420</v>
      </c>
    </row>
    <row r="160" spans="1:9" x14ac:dyDescent="0.2">
      <c r="A160" s="3">
        <v>152</v>
      </c>
      <c r="B160" s="3" t="s">
        <v>407</v>
      </c>
      <c r="C160" s="3" t="s">
        <v>408</v>
      </c>
      <c r="D160" s="3" t="s">
        <v>121</v>
      </c>
      <c r="E160" s="21" t="s">
        <v>77</v>
      </c>
      <c r="F160" s="3">
        <v>12</v>
      </c>
      <c r="G160" s="31">
        <f>'Assumptions &amp; Inputs'!B13*(F160/12)</f>
        <v>9500</v>
      </c>
      <c r="H160" s="31">
        <f>'Assumptions &amp; Inputs'!B14*F160</f>
        <v>1920</v>
      </c>
      <c r="I160" s="31">
        <f t="shared" si="5"/>
        <v>11420</v>
      </c>
    </row>
    <row r="161" spans="1:9" x14ac:dyDescent="0.2">
      <c r="A161" s="3">
        <v>153</v>
      </c>
      <c r="B161" s="3" t="s">
        <v>409</v>
      </c>
      <c r="C161" s="3" t="s">
        <v>403</v>
      </c>
      <c r="D161" s="3" t="s">
        <v>410</v>
      </c>
      <c r="E161" s="21" t="s">
        <v>77</v>
      </c>
      <c r="F161" s="3">
        <v>12</v>
      </c>
      <c r="G161" s="31">
        <f>'Assumptions &amp; Inputs'!B13*(F161/12)</f>
        <v>9500</v>
      </c>
      <c r="H161" s="31">
        <f>'Assumptions &amp; Inputs'!B14*F161</f>
        <v>1920</v>
      </c>
      <c r="I161" s="31">
        <f t="shared" si="5"/>
        <v>11420</v>
      </c>
    </row>
    <row r="162" spans="1:9" x14ac:dyDescent="0.2">
      <c r="A162" s="3">
        <v>154</v>
      </c>
      <c r="B162" s="3" t="s">
        <v>411</v>
      </c>
      <c r="C162" s="3" t="s">
        <v>412</v>
      </c>
      <c r="D162" s="3" t="s">
        <v>86</v>
      </c>
      <c r="E162" s="21" t="s">
        <v>77</v>
      </c>
      <c r="F162" s="3">
        <v>12</v>
      </c>
      <c r="G162" s="31">
        <f>'Assumptions &amp; Inputs'!B13*(F162/12)</f>
        <v>9500</v>
      </c>
      <c r="H162" s="31">
        <f>'Assumptions &amp; Inputs'!B14*F162</f>
        <v>1920</v>
      </c>
      <c r="I162" s="31">
        <f t="shared" si="5"/>
        <v>11420</v>
      </c>
    </row>
    <row r="163" spans="1:9" x14ac:dyDescent="0.2">
      <c r="A163" s="3">
        <v>155</v>
      </c>
      <c r="B163" s="3" t="s">
        <v>413</v>
      </c>
      <c r="C163" s="3" t="s">
        <v>414</v>
      </c>
      <c r="D163" s="3" t="s">
        <v>159</v>
      </c>
      <c r="E163" s="21" t="s">
        <v>77</v>
      </c>
      <c r="F163" s="3">
        <v>12</v>
      </c>
      <c r="G163" s="31">
        <f>'Assumptions &amp; Inputs'!B13*(F163/12)</f>
        <v>9500</v>
      </c>
      <c r="H163" s="31">
        <f>'Assumptions &amp; Inputs'!B14*F163</f>
        <v>1920</v>
      </c>
      <c r="I163" s="31">
        <f t="shared" si="5"/>
        <v>11420</v>
      </c>
    </row>
    <row r="164" spans="1:9" x14ac:dyDescent="0.2">
      <c r="A164" s="3">
        <v>156</v>
      </c>
      <c r="B164" s="3" t="s">
        <v>415</v>
      </c>
      <c r="C164" s="3" t="s">
        <v>416</v>
      </c>
      <c r="D164" s="3" t="s">
        <v>121</v>
      </c>
      <c r="E164" s="21" t="s">
        <v>77</v>
      </c>
      <c r="F164" s="3">
        <v>12</v>
      </c>
      <c r="G164" s="31">
        <f>'Assumptions &amp; Inputs'!B13*(F164/12)</f>
        <v>9500</v>
      </c>
      <c r="H164" s="31">
        <f>'Assumptions &amp; Inputs'!B14*F164</f>
        <v>1920</v>
      </c>
      <c r="I164" s="31">
        <f t="shared" si="5"/>
        <v>11420</v>
      </c>
    </row>
    <row r="165" spans="1:9" x14ac:dyDescent="0.2">
      <c r="A165" s="3">
        <v>157</v>
      </c>
      <c r="B165" s="3" t="s">
        <v>417</v>
      </c>
      <c r="C165" s="3" t="s">
        <v>418</v>
      </c>
      <c r="D165" s="3" t="s">
        <v>132</v>
      </c>
      <c r="E165" s="21" t="s">
        <v>77</v>
      </c>
      <c r="F165" s="3">
        <v>12</v>
      </c>
      <c r="G165" s="31">
        <f>'Assumptions &amp; Inputs'!B13*(F165/12)</f>
        <v>9500</v>
      </c>
      <c r="H165" s="31">
        <f>'Assumptions &amp; Inputs'!B14*F165</f>
        <v>1920</v>
      </c>
      <c r="I165" s="31">
        <f t="shared" si="5"/>
        <v>11420</v>
      </c>
    </row>
    <row r="166" spans="1:9" x14ac:dyDescent="0.2">
      <c r="A166" s="3">
        <v>158</v>
      </c>
      <c r="B166" s="3" t="s">
        <v>419</v>
      </c>
      <c r="C166" s="3" t="s">
        <v>420</v>
      </c>
      <c r="D166" s="3" t="s">
        <v>132</v>
      </c>
      <c r="E166" s="21" t="s">
        <v>77</v>
      </c>
      <c r="F166" s="3">
        <v>12</v>
      </c>
      <c r="G166" s="31">
        <f>'Assumptions &amp; Inputs'!B13*(F166/12)</f>
        <v>9500</v>
      </c>
      <c r="H166" s="31">
        <f>'Assumptions &amp; Inputs'!B14*F166</f>
        <v>1920</v>
      </c>
      <c r="I166" s="31">
        <f t="shared" si="5"/>
        <v>11420</v>
      </c>
    </row>
    <row r="167" spans="1:9" x14ac:dyDescent="0.2">
      <c r="A167" s="3">
        <v>159</v>
      </c>
      <c r="B167" s="3" t="s">
        <v>421</v>
      </c>
      <c r="C167" s="3" t="s">
        <v>422</v>
      </c>
      <c r="D167" s="3" t="s">
        <v>423</v>
      </c>
      <c r="E167" s="21" t="s">
        <v>77</v>
      </c>
      <c r="F167" s="3">
        <v>12</v>
      </c>
      <c r="G167" s="31">
        <f>'Assumptions &amp; Inputs'!B13*(F167/12)</f>
        <v>9500</v>
      </c>
      <c r="H167" s="31">
        <f>'Assumptions &amp; Inputs'!B14*F167</f>
        <v>1920</v>
      </c>
      <c r="I167" s="31">
        <f t="shared" si="5"/>
        <v>11420</v>
      </c>
    </row>
    <row r="168" spans="1:9" x14ac:dyDescent="0.2">
      <c r="A168" s="3">
        <v>160</v>
      </c>
      <c r="B168" s="3" t="s">
        <v>424</v>
      </c>
      <c r="C168" s="3" t="s">
        <v>425</v>
      </c>
      <c r="D168" s="3" t="s">
        <v>121</v>
      </c>
      <c r="E168" s="21" t="s">
        <v>77</v>
      </c>
      <c r="F168" s="3">
        <v>12</v>
      </c>
      <c r="G168" s="31">
        <f>'Assumptions &amp; Inputs'!B13*(F168/12)</f>
        <v>9500</v>
      </c>
      <c r="H168" s="31">
        <f>'Assumptions &amp; Inputs'!B14*F168</f>
        <v>1920</v>
      </c>
      <c r="I168" s="31">
        <f t="shared" si="5"/>
        <v>11420</v>
      </c>
    </row>
    <row r="169" spans="1:9" x14ac:dyDescent="0.2">
      <c r="A169" s="3">
        <v>161</v>
      </c>
      <c r="B169" s="3" t="s">
        <v>426</v>
      </c>
      <c r="C169" s="3" t="s">
        <v>427</v>
      </c>
      <c r="D169" s="3" t="s">
        <v>102</v>
      </c>
      <c r="E169" s="21" t="s">
        <v>77</v>
      </c>
      <c r="F169" s="3">
        <v>12</v>
      </c>
      <c r="G169" s="31">
        <f>'Assumptions &amp; Inputs'!B13*(F169/12)</f>
        <v>9500</v>
      </c>
      <c r="H169" s="31">
        <f>'Assumptions &amp; Inputs'!B14*F169</f>
        <v>1920</v>
      </c>
      <c r="I169" s="31">
        <f t="shared" si="5"/>
        <v>11420</v>
      </c>
    </row>
    <row r="170" spans="1:9" x14ac:dyDescent="0.2">
      <c r="A170" s="3">
        <v>162</v>
      </c>
      <c r="B170" s="3" t="s">
        <v>428</v>
      </c>
      <c r="C170" s="3" t="s">
        <v>429</v>
      </c>
      <c r="D170" s="3" t="s">
        <v>86</v>
      </c>
      <c r="E170" s="21" t="s">
        <v>77</v>
      </c>
      <c r="F170" s="3">
        <v>12</v>
      </c>
      <c r="G170" s="31">
        <f>'Assumptions &amp; Inputs'!B13*(F170/12)</f>
        <v>9500</v>
      </c>
      <c r="H170" s="31">
        <f>'Assumptions &amp; Inputs'!B14*F170</f>
        <v>1920</v>
      </c>
      <c r="I170" s="31">
        <f t="shared" si="5"/>
        <v>11420</v>
      </c>
    </row>
    <row r="171" spans="1:9" x14ac:dyDescent="0.2">
      <c r="A171" s="13">
        <v>163</v>
      </c>
      <c r="B171" s="13" t="s">
        <v>430</v>
      </c>
      <c r="C171" s="13" t="s">
        <v>431</v>
      </c>
      <c r="D171" s="13" t="s">
        <v>47</v>
      </c>
      <c r="E171" s="21" t="s">
        <v>77</v>
      </c>
      <c r="F171" s="13">
        <v>4</v>
      </c>
      <c r="G171" s="14">
        <f>'Assumptions &amp; Inputs'!B13*(F171/12)</f>
        <v>3166.6666666666665</v>
      </c>
      <c r="H171" s="14">
        <f>'Assumptions &amp; Inputs'!B14*F171</f>
        <v>640</v>
      </c>
      <c r="I171" s="14">
        <f t="shared" si="5"/>
        <v>3806.6666666666665</v>
      </c>
    </row>
    <row r="172" spans="1:9" x14ac:dyDescent="0.2">
      <c r="A172" s="13">
        <v>164</v>
      </c>
      <c r="B172" s="13" t="s">
        <v>430</v>
      </c>
      <c r="C172" s="13" t="s">
        <v>431</v>
      </c>
      <c r="D172" s="13" t="s">
        <v>48</v>
      </c>
      <c r="E172" s="21" t="s">
        <v>77</v>
      </c>
      <c r="F172" s="13">
        <v>4</v>
      </c>
      <c r="G172" s="14">
        <f>'Assumptions &amp; Inputs'!B13*(F172/12)</f>
        <v>3166.6666666666665</v>
      </c>
      <c r="H172" s="14">
        <f>'Assumptions &amp; Inputs'!B14*F172</f>
        <v>640</v>
      </c>
      <c r="I172" s="14">
        <f t="shared" si="5"/>
        <v>3806.6666666666665</v>
      </c>
    </row>
    <row r="173" spans="1:9" x14ac:dyDescent="0.2">
      <c r="A173" s="13">
        <v>165</v>
      </c>
      <c r="B173" s="13" t="s">
        <v>430</v>
      </c>
      <c r="C173" s="13" t="s">
        <v>431</v>
      </c>
      <c r="D173" s="13" t="s">
        <v>49</v>
      </c>
      <c r="E173" s="21" t="s">
        <v>77</v>
      </c>
      <c r="F173" s="13">
        <v>4</v>
      </c>
      <c r="G173" s="14">
        <f>'Assumptions &amp; Inputs'!B13*(F173/12)</f>
        <v>3166.6666666666665</v>
      </c>
      <c r="H173" s="14">
        <f>'Assumptions &amp; Inputs'!B14*F173</f>
        <v>640</v>
      </c>
      <c r="I173" s="14">
        <f t="shared" si="5"/>
        <v>3806.6666666666665</v>
      </c>
    </row>
    <row r="174" spans="1:9" x14ac:dyDescent="0.2">
      <c r="A174" s="13">
        <v>166</v>
      </c>
      <c r="B174" s="13" t="s">
        <v>430</v>
      </c>
      <c r="C174" s="13" t="s">
        <v>431</v>
      </c>
      <c r="D174" s="13" t="s">
        <v>50</v>
      </c>
      <c r="E174" s="21" t="s">
        <v>77</v>
      </c>
      <c r="F174" s="13">
        <v>4</v>
      </c>
      <c r="G174" s="14">
        <f>'Assumptions &amp; Inputs'!B13*(F174/12)</f>
        <v>3166.6666666666665</v>
      </c>
      <c r="H174" s="14">
        <f>'Assumptions &amp; Inputs'!B14*F174</f>
        <v>640</v>
      </c>
      <c r="I174" s="14">
        <f t="shared" si="5"/>
        <v>3806.6666666666665</v>
      </c>
    </row>
    <row r="175" spans="1:9" x14ac:dyDescent="0.2">
      <c r="A175" s="13">
        <v>167</v>
      </c>
      <c r="B175" s="13" t="s">
        <v>430</v>
      </c>
      <c r="C175" s="13" t="s">
        <v>431</v>
      </c>
      <c r="D175" s="13" t="s">
        <v>51</v>
      </c>
      <c r="E175" s="21" t="s">
        <v>77</v>
      </c>
      <c r="F175" s="13">
        <v>4</v>
      </c>
      <c r="G175" s="14">
        <f>'Assumptions &amp; Inputs'!B13*(F175/12)</f>
        <v>3166.6666666666665</v>
      </c>
      <c r="H175" s="14">
        <f>'Assumptions &amp; Inputs'!B14*F175</f>
        <v>640</v>
      </c>
      <c r="I175" s="14">
        <f t="shared" si="5"/>
        <v>3806.6666666666665</v>
      </c>
    </row>
    <row r="176" spans="1:9" x14ac:dyDescent="0.2">
      <c r="A176" s="13">
        <v>168</v>
      </c>
      <c r="B176" s="13" t="s">
        <v>430</v>
      </c>
      <c r="C176" s="13" t="s">
        <v>431</v>
      </c>
      <c r="D176" s="13" t="s">
        <v>52</v>
      </c>
      <c r="E176" s="21" t="s">
        <v>77</v>
      </c>
      <c r="F176" s="13">
        <v>4</v>
      </c>
      <c r="G176" s="14">
        <f>'Assumptions &amp; Inputs'!B13*(F176/12)</f>
        <v>3166.6666666666665</v>
      </c>
      <c r="H176" s="14">
        <f>'Assumptions &amp; Inputs'!B14*F176</f>
        <v>640</v>
      </c>
      <c r="I176" s="14">
        <f t="shared" si="5"/>
        <v>3806.6666666666665</v>
      </c>
    </row>
    <row r="177" spans="1:9" x14ac:dyDescent="0.2">
      <c r="A177" s="15" t="s">
        <v>435</v>
      </c>
      <c r="B177" s="15"/>
      <c r="C177" s="15"/>
      <c r="D177" s="15"/>
      <c r="E177" s="15"/>
      <c r="F177" s="15"/>
      <c r="G177" s="15">
        <f>SUM(G9:G176)</f>
        <v>1539000.0000000005</v>
      </c>
      <c r="H177" s="15">
        <f>SUM(H9:H176)</f>
        <v>311040</v>
      </c>
      <c r="I177" s="15">
        <f>SUM(I9:I176)</f>
        <v>1850040.0000000005</v>
      </c>
    </row>
  </sheetData>
  <autoFilter ref="A8:I176" xr:uid="{00000000-0009-0000-0000-000005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DC3E6"/>
  </sheetPr>
  <dimension ref="A1:L192"/>
  <sheetViews>
    <sheetView zoomScaleNormal="100" workbookViewId="0">
      <pane ySplit="3" topLeftCell="A4" activePane="bottomLeft" state="frozen"/>
      <selection pane="bottomLeft" sqref="A1:L1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15" customWidth="1"/>
    <col min="4" max="4" width="30" customWidth="1"/>
    <col min="5" max="8" width="14" customWidth="1"/>
    <col min="9" max="9" width="12" customWidth="1"/>
  </cols>
  <sheetData>
    <row r="1" spans="1:12" ht="18" x14ac:dyDescent="0.2">
      <c r="A1" s="66" t="s">
        <v>500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3" spans="1:12" x14ac:dyDescent="0.2">
      <c r="A3" s="12" t="s">
        <v>56</v>
      </c>
      <c r="B3" s="12" t="s">
        <v>57</v>
      </c>
      <c r="C3" s="12" t="s">
        <v>58</v>
      </c>
      <c r="D3" s="12" t="s">
        <v>476</v>
      </c>
      <c r="E3" s="12" t="s">
        <v>61</v>
      </c>
      <c r="F3" s="12" t="s">
        <v>501</v>
      </c>
      <c r="G3" s="12" t="s">
        <v>502</v>
      </c>
      <c r="H3" s="12" t="s">
        <v>503</v>
      </c>
      <c r="I3" s="12" t="s">
        <v>504</v>
      </c>
    </row>
    <row r="4" spans="1:12" x14ac:dyDescent="0.2">
      <c r="A4" s="3">
        <v>1</v>
      </c>
      <c r="B4" s="3" t="s">
        <v>72</v>
      </c>
      <c r="C4" s="3" t="s">
        <v>73</v>
      </c>
      <c r="D4" s="3" t="s">
        <v>74</v>
      </c>
      <c r="E4" s="3" t="s">
        <v>505</v>
      </c>
      <c r="F4" s="31">
        <v>10200</v>
      </c>
      <c r="G4" s="31">
        <v>10400</v>
      </c>
      <c r="H4" s="31">
        <f t="shared" ref="H4:H35" si="0">G4-F4</f>
        <v>200</v>
      </c>
      <c r="I4" s="20">
        <f t="shared" ref="I4:I35" si="1">IF(F4=0,"N/A",H4/F4)</f>
        <v>1.9607843137254902E-2</v>
      </c>
    </row>
    <row r="5" spans="1:12" x14ac:dyDescent="0.2">
      <c r="A5" s="3">
        <v>2</v>
      </c>
      <c r="B5" s="3" t="s">
        <v>79</v>
      </c>
      <c r="C5" s="3" t="s">
        <v>80</v>
      </c>
      <c r="D5" s="3" t="s">
        <v>74</v>
      </c>
      <c r="E5" s="3" t="s">
        <v>505</v>
      </c>
      <c r="F5" s="31">
        <v>11600</v>
      </c>
      <c r="G5" s="31">
        <v>12000</v>
      </c>
      <c r="H5" s="31">
        <f t="shared" si="0"/>
        <v>400</v>
      </c>
      <c r="I5" s="20">
        <f t="shared" si="1"/>
        <v>3.4482758620689655E-2</v>
      </c>
    </row>
    <row r="6" spans="1:12" x14ac:dyDescent="0.2">
      <c r="A6" s="3">
        <v>3</v>
      </c>
      <c r="B6" s="3" t="s">
        <v>82</v>
      </c>
      <c r="C6" s="3" t="s">
        <v>83</v>
      </c>
      <c r="D6" s="3" t="s">
        <v>74</v>
      </c>
      <c r="E6" s="3" t="s">
        <v>505</v>
      </c>
      <c r="F6" s="31">
        <v>10000</v>
      </c>
      <c r="G6" s="31">
        <v>10200</v>
      </c>
      <c r="H6" s="31">
        <f t="shared" si="0"/>
        <v>200</v>
      </c>
      <c r="I6" s="20">
        <f t="shared" si="1"/>
        <v>0.02</v>
      </c>
    </row>
    <row r="7" spans="1:12" x14ac:dyDescent="0.2">
      <c r="A7" s="3">
        <v>4</v>
      </c>
      <c r="B7" s="3" t="s">
        <v>84</v>
      </c>
      <c r="C7" s="3" t="s">
        <v>85</v>
      </c>
      <c r="D7" s="3" t="s">
        <v>86</v>
      </c>
      <c r="E7" s="3" t="s">
        <v>505</v>
      </c>
      <c r="F7" s="31">
        <v>11750</v>
      </c>
      <c r="G7" s="31">
        <v>12000</v>
      </c>
      <c r="H7" s="31">
        <f t="shared" si="0"/>
        <v>250</v>
      </c>
      <c r="I7" s="20">
        <f t="shared" si="1"/>
        <v>2.1276595744680851E-2</v>
      </c>
    </row>
    <row r="8" spans="1:12" x14ac:dyDescent="0.2">
      <c r="A8" s="3">
        <v>5</v>
      </c>
      <c r="B8" s="3" t="s">
        <v>88</v>
      </c>
      <c r="C8" s="3" t="s">
        <v>89</v>
      </c>
      <c r="D8" s="3" t="s">
        <v>86</v>
      </c>
      <c r="E8" s="23" t="s">
        <v>506</v>
      </c>
      <c r="F8" s="31">
        <v>0</v>
      </c>
      <c r="G8" s="31">
        <v>13500</v>
      </c>
      <c r="H8" s="31">
        <f t="shared" si="0"/>
        <v>13500</v>
      </c>
      <c r="I8" s="20" t="str">
        <f t="shared" si="1"/>
        <v>N/A</v>
      </c>
    </row>
    <row r="9" spans="1:12" x14ac:dyDescent="0.2">
      <c r="A9" s="3">
        <v>6</v>
      </c>
      <c r="B9" s="3" t="s">
        <v>91</v>
      </c>
      <c r="C9" s="3" t="s">
        <v>92</v>
      </c>
      <c r="D9" s="3" t="s">
        <v>93</v>
      </c>
      <c r="E9" s="3" t="s">
        <v>505</v>
      </c>
      <c r="F9" s="31">
        <v>16000</v>
      </c>
      <c r="G9" s="31">
        <v>16250</v>
      </c>
      <c r="H9" s="31">
        <f t="shared" si="0"/>
        <v>250</v>
      </c>
      <c r="I9" s="20">
        <f t="shared" si="1"/>
        <v>1.5625E-2</v>
      </c>
    </row>
    <row r="10" spans="1:12" x14ac:dyDescent="0.2">
      <c r="A10" s="3">
        <v>7</v>
      </c>
      <c r="B10" s="3" t="s">
        <v>96</v>
      </c>
      <c r="C10" s="3" t="s">
        <v>97</v>
      </c>
      <c r="D10" s="3" t="s">
        <v>86</v>
      </c>
      <c r="E10" s="23" t="s">
        <v>506</v>
      </c>
      <c r="F10" s="31">
        <v>0</v>
      </c>
      <c r="G10" s="31">
        <v>11250</v>
      </c>
      <c r="H10" s="31">
        <f t="shared" si="0"/>
        <v>11250</v>
      </c>
      <c r="I10" s="20" t="str">
        <f t="shared" si="1"/>
        <v>N/A</v>
      </c>
    </row>
    <row r="11" spans="1:12" x14ac:dyDescent="0.2">
      <c r="A11" s="3">
        <v>8</v>
      </c>
      <c r="B11" s="3" t="s">
        <v>98</v>
      </c>
      <c r="C11" s="3" t="s">
        <v>99</v>
      </c>
      <c r="D11" s="3" t="s">
        <v>86</v>
      </c>
      <c r="E11" s="3" t="s">
        <v>505</v>
      </c>
      <c r="F11" s="31">
        <v>13000</v>
      </c>
      <c r="G11" s="31">
        <v>13250</v>
      </c>
      <c r="H11" s="31">
        <f t="shared" si="0"/>
        <v>250</v>
      </c>
      <c r="I11" s="20">
        <f t="shared" si="1"/>
        <v>1.9230769230769232E-2</v>
      </c>
    </row>
    <row r="12" spans="1:12" x14ac:dyDescent="0.2">
      <c r="A12" s="3">
        <v>9</v>
      </c>
      <c r="B12" s="3" t="s">
        <v>100</v>
      </c>
      <c r="C12" s="3" t="s">
        <v>101</v>
      </c>
      <c r="D12" s="3" t="s">
        <v>102</v>
      </c>
      <c r="E12" s="3" t="s">
        <v>505</v>
      </c>
      <c r="F12" s="31">
        <v>13640</v>
      </c>
      <c r="G12" s="31">
        <v>13890</v>
      </c>
      <c r="H12" s="31">
        <f t="shared" si="0"/>
        <v>250</v>
      </c>
      <c r="I12" s="20">
        <f t="shared" si="1"/>
        <v>1.8328445747800588E-2</v>
      </c>
    </row>
    <row r="13" spans="1:12" x14ac:dyDescent="0.2">
      <c r="A13" s="3">
        <v>10</v>
      </c>
      <c r="B13" s="3" t="s">
        <v>103</v>
      </c>
      <c r="C13" s="3" t="s">
        <v>104</v>
      </c>
      <c r="D13" s="3" t="s">
        <v>86</v>
      </c>
      <c r="E13" s="3" t="s">
        <v>505</v>
      </c>
      <c r="F13" s="31">
        <v>11500</v>
      </c>
      <c r="G13" s="31">
        <v>11750</v>
      </c>
      <c r="H13" s="31">
        <f t="shared" si="0"/>
        <v>250</v>
      </c>
      <c r="I13" s="20">
        <f t="shared" si="1"/>
        <v>2.1739130434782608E-2</v>
      </c>
    </row>
    <row r="14" spans="1:12" x14ac:dyDescent="0.2">
      <c r="A14" s="3">
        <v>11</v>
      </c>
      <c r="B14" s="3" t="s">
        <v>105</v>
      </c>
      <c r="C14" s="3" t="s">
        <v>106</v>
      </c>
      <c r="D14" s="3" t="s">
        <v>107</v>
      </c>
      <c r="E14" s="3" t="s">
        <v>505</v>
      </c>
      <c r="F14" s="31">
        <v>5000</v>
      </c>
      <c r="G14" s="31">
        <v>5000</v>
      </c>
      <c r="H14" s="31">
        <f t="shared" si="0"/>
        <v>0</v>
      </c>
      <c r="I14" s="20">
        <f t="shared" si="1"/>
        <v>0</v>
      </c>
    </row>
    <row r="15" spans="1:12" x14ac:dyDescent="0.2">
      <c r="A15" s="3">
        <v>12</v>
      </c>
      <c r="B15" s="3" t="s">
        <v>109</v>
      </c>
      <c r="C15" s="3" t="s">
        <v>110</v>
      </c>
      <c r="D15" s="3" t="s">
        <v>111</v>
      </c>
      <c r="E15" s="3" t="s">
        <v>505</v>
      </c>
      <c r="F15" s="31">
        <v>12250</v>
      </c>
      <c r="G15" s="31">
        <v>12500</v>
      </c>
      <c r="H15" s="31">
        <f t="shared" si="0"/>
        <v>250</v>
      </c>
      <c r="I15" s="20">
        <f t="shared" si="1"/>
        <v>2.0408163265306121E-2</v>
      </c>
    </row>
    <row r="16" spans="1:12" x14ac:dyDescent="0.2">
      <c r="A16" s="3">
        <v>13</v>
      </c>
      <c r="B16" s="3" t="s">
        <v>112</v>
      </c>
      <c r="C16" s="3" t="s">
        <v>113</v>
      </c>
      <c r="D16" s="3" t="s">
        <v>114</v>
      </c>
      <c r="E16" s="3" t="s">
        <v>505</v>
      </c>
      <c r="F16" s="31">
        <v>16000</v>
      </c>
      <c r="G16" s="31">
        <v>16250</v>
      </c>
      <c r="H16" s="31">
        <f t="shared" si="0"/>
        <v>250</v>
      </c>
      <c r="I16" s="20">
        <f t="shared" si="1"/>
        <v>1.5625E-2</v>
      </c>
    </row>
    <row r="17" spans="1:9" x14ac:dyDescent="0.2">
      <c r="A17" s="3">
        <v>14</v>
      </c>
      <c r="B17" s="3" t="s">
        <v>115</v>
      </c>
      <c r="C17" s="3" t="s">
        <v>116</v>
      </c>
      <c r="D17" s="3" t="s">
        <v>74</v>
      </c>
      <c r="E17" s="23" t="s">
        <v>506</v>
      </c>
      <c r="F17" s="31">
        <v>0</v>
      </c>
      <c r="G17" s="31">
        <v>10000</v>
      </c>
      <c r="H17" s="31">
        <f t="shared" si="0"/>
        <v>10000</v>
      </c>
      <c r="I17" s="20" t="str">
        <f t="shared" si="1"/>
        <v>N/A</v>
      </c>
    </row>
    <row r="18" spans="1:9" x14ac:dyDescent="0.2">
      <c r="A18" s="3">
        <v>15</v>
      </c>
      <c r="B18" s="3" t="s">
        <v>117</v>
      </c>
      <c r="C18" s="3" t="s">
        <v>118</v>
      </c>
      <c r="D18" s="3" t="s">
        <v>86</v>
      </c>
      <c r="E18" s="3" t="s">
        <v>505</v>
      </c>
      <c r="F18" s="31">
        <v>11000</v>
      </c>
      <c r="G18" s="31">
        <v>11250</v>
      </c>
      <c r="H18" s="31">
        <f t="shared" si="0"/>
        <v>250</v>
      </c>
      <c r="I18" s="20">
        <f t="shared" si="1"/>
        <v>2.2727272727272728E-2</v>
      </c>
    </row>
    <row r="19" spans="1:9" x14ac:dyDescent="0.2">
      <c r="A19" s="3">
        <v>16</v>
      </c>
      <c r="B19" s="3" t="s">
        <v>507</v>
      </c>
      <c r="C19" s="3" t="s">
        <v>508</v>
      </c>
      <c r="D19" s="3"/>
      <c r="E19" s="24" t="s">
        <v>509</v>
      </c>
      <c r="F19" s="31">
        <v>14250</v>
      </c>
      <c r="G19" s="31">
        <v>0</v>
      </c>
      <c r="H19" s="31">
        <f t="shared" si="0"/>
        <v>-14250</v>
      </c>
      <c r="I19" s="20">
        <f t="shared" si="1"/>
        <v>-1</v>
      </c>
    </row>
    <row r="20" spans="1:9" x14ac:dyDescent="0.2">
      <c r="A20" s="3">
        <v>17</v>
      </c>
      <c r="B20" s="3" t="s">
        <v>119</v>
      </c>
      <c r="C20" s="3" t="s">
        <v>120</v>
      </c>
      <c r="D20" s="3" t="s">
        <v>121</v>
      </c>
      <c r="E20" s="3" t="s">
        <v>505</v>
      </c>
      <c r="F20" s="31">
        <v>15650</v>
      </c>
      <c r="G20" s="31">
        <v>15900</v>
      </c>
      <c r="H20" s="31">
        <f t="shared" si="0"/>
        <v>250</v>
      </c>
      <c r="I20" s="20">
        <f t="shared" si="1"/>
        <v>1.5974440894568689E-2</v>
      </c>
    </row>
    <row r="21" spans="1:9" x14ac:dyDescent="0.2">
      <c r="A21" s="3">
        <v>18</v>
      </c>
      <c r="B21" s="3" t="s">
        <v>123</v>
      </c>
      <c r="C21" s="3" t="s">
        <v>124</v>
      </c>
      <c r="D21" s="3" t="s">
        <v>121</v>
      </c>
      <c r="E21" s="23" t="s">
        <v>506</v>
      </c>
      <c r="F21" s="31">
        <v>0</v>
      </c>
      <c r="G21" s="31">
        <v>12450</v>
      </c>
      <c r="H21" s="31">
        <f t="shared" si="0"/>
        <v>12450</v>
      </c>
      <c r="I21" s="20" t="str">
        <f t="shared" si="1"/>
        <v>N/A</v>
      </c>
    </row>
    <row r="22" spans="1:9" x14ac:dyDescent="0.2">
      <c r="A22" s="3">
        <v>19</v>
      </c>
      <c r="B22" s="3" t="s">
        <v>125</v>
      </c>
      <c r="C22" s="3" t="s">
        <v>126</v>
      </c>
      <c r="D22" s="3" t="s">
        <v>86</v>
      </c>
      <c r="E22" s="3" t="s">
        <v>505</v>
      </c>
      <c r="F22" s="31">
        <v>11750</v>
      </c>
      <c r="G22" s="31">
        <v>12000</v>
      </c>
      <c r="H22" s="31">
        <f t="shared" si="0"/>
        <v>250</v>
      </c>
      <c r="I22" s="20">
        <f t="shared" si="1"/>
        <v>2.1276595744680851E-2</v>
      </c>
    </row>
    <row r="23" spans="1:9" x14ac:dyDescent="0.2">
      <c r="A23" s="3">
        <v>20</v>
      </c>
      <c r="B23" s="3" t="s">
        <v>127</v>
      </c>
      <c r="C23" s="3" t="s">
        <v>128</v>
      </c>
      <c r="D23" s="3" t="s">
        <v>102</v>
      </c>
      <c r="E23" s="3" t="s">
        <v>505</v>
      </c>
      <c r="F23" s="31">
        <v>17140</v>
      </c>
      <c r="G23" s="31">
        <v>17390</v>
      </c>
      <c r="H23" s="31">
        <f t="shared" si="0"/>
        <v>250</v>
      </c>
      <c r="I23" s="20">
        <f t="shared" si="1"/>
        <v>1.4585764294049008E-2</v>
      </c>
    </row>
    <row r="24" spans="1:9" x14ac:dyDescent="0.2">
      <c r="A24" s="3">
        <v>21</v>
      </c>
      <c r="B24" s="3" t="s">
        <v>510</v>
      </c>
      <c r="C24" s="3" t="s">
        <v>511</v>
      </c>
      <c r="D24" s="3"/>
      <c r="E24" s="24" t="s">
        <v>509</v>
      </c>
      <c r="F24" s="31">
        <v>12000</v>
      </c>
      <c r="G24" s="31">
        <v>0</v>
      </c>
      <c r="H24" s="31">
        <f t="shared" si="0"/>
        <v>-12000</v>
      </c>
      <c r="I24" s="20">
        <f t="shared" si="1"/>
        <v>-1</v>
      </c>
    </row>
    <row r="25" spans="1:9" x14ac:dyDescent="0.2">
      <c r="A25" s="3">
        <v>22</v>
      </c>
      <c r="B25" s="3" t="s">
        <v>106</v>
      </c>
      <c r="C25" s="3" t="s">
        <v>129</v>
      </c>
      <c r="D25" s="3" t="s">
        <v>102</v>
      </c>
      <c r="E25" s="3" t="s">
        <v>505</v>
      </c>
      <c r="F25" s="31">
        <v>13035</v>
      </c>
      <c r="G25" s="31">
        <v>13320</v>
      </c>
      <c r="H25" s="31">
        <f t="shared" si="0"/>
        <v>285</v>
      </c>
      <c r="I25" s="20">
        <f t="shared" si="1"/>
        <v>2.1864211737629459E-2</v>
      </c>
    </row>
    <row r="26" spans="1:9" x14ac:dyDescent="0.2">
      <c r="A26" s="3">
        <v>23</v>
      </c>
      <c r="B26" s="3" t="s">
        <v>130</v>
      </c>
      <c r="C26" s="3" t="s">
        <v>131</v>
      </c>
      <c r="D26" s="3" t="s">
        <v>132</v>
      </c>
      <c r="E26" s="3" t="s">
        <v>505</v>
      </c>
      <c r="F26" s="31">
        <v>12800</v>
      </c>
      <c r="G26" s="31">
        <v>13050</v>
      </c>
      <c r="H26" s="31">
        <f t="shared" si="0"/>
        <v>250</v>
      </c>
      <c r="I26" s="20">
        <f t="shared" si="1"/>
        <v>1.953125E-2</v>
      </c>
    </row>
    <row r="27" spans="1:9" x14ac:dyDescent="0.2">
      <c r="A27" s="3">
        <v>24</v>
      </c>
      <c r="B27" s="3" t="s">
        <v>133</v>
      </c>
      <c r="C27" s="3" t="s">
        <v>134</v>
      </c>
      <c r="D27" s="3" t="s">
        <v>132</v>
      </c>
      <c r="E27" s="3" t="s">
        <v>505</v>
      </c>
      <c r="F27" s="31">
        <v>16150</v>
      </c>
      <c r="G27" s="31">
        <v>12900</v>
      </c>
      <c r="H27" s="31">
        <f t="shared" si="0"/>
        <v>-3250</v>
      </c>
      <c r="I27" s="20">
        <f t="shared" si="1"/>
        <v>-0.20123839009287925</v>
      </c>
    </row>
    <row r="28" spans="1:9" x14ac:dyDescent="0.2">
      <c r="A28" s="3">
        <v>25</v>
      </c>
      <c r="B28" s="3" t="s">
        <v>136</v>
      </c>
      <c r="C28" s="3" t="s">
        <v>137</v>
      </c>
      <c r="D28" s="3" t="s">
        <v>138</v>
      </c>
      <c r="E28" s="23" t="s">
        <v>506</v>
      </c>
      <c r="F28" s="31">
        <v>0</v>
      </c>
      <c r="G28" s="31">
        <v>10400</v>
      </c>
      <c r="H28" s="31">
        <f t="shared" si="0"/>
        <v>10400</v>
      </c>
      <c r="I28" s="20" t="str">
        <f t="shared" si="1"/>
        <v>N/A</v>
      </c>
    </row>
    <row r="29" spans="1:9" x14ac:dyDescent="0.2">
      <c r="A29" s="3">
        <v>26</v>
      </c>
      <c r="B29" s="3" t="s">
        <v>139</v>
      </c>
      <c r="C29" s="3" t="s">
        <v>140</v>
      </c>
      <c r="D29" s="3" t="s">
        <v>121</v>
      </c>
      <c r="E29" s="3" t="s">
        <v>505</v>
      </c>
      <c r="F29" s="31">
        <v>13910</v>
      </c>
      <c r="G29" s="31">
        <v>13380</v>
      </c>
      <c r="H29" s="31">
        <f t="shared" si="0"/>
        <v>-530</v>
      </c>
      <c r="I29" s="20">
        <f t="shared" si="1"/>
        <v>-3.8102084831056794E-2</v>
      </c>
    </row>
    <row r="30" spans="1:9" x14ac:dyDescent="0.2">
      <c r="A30" s="3">
        <v>27</v>
      </c>
      <c r="B30" s="3" t="s">
        <v>141</v>
      </c>
      <c r="C30" s="3" t="s">
        <v>142</v>
      </c>
      <c r="D30" s="3" t="s">
        <v>86</v>
      </c>
      <c r="E30" s="3" t="s">
        <v>505</v>
      </c>
      <c r="F30" s="31">
        <v>11750</v>
      </c>
      <c r="G30" s="31">
        <v>12000</v>
      </c>
      <c r="H30" s="31">
        <f t="shared" si="0"/>
        <v>250</v>
      </c>
      <c r="I30" s="20">
        <f t="shared" si="1"/>
        <v>2.1276595744680851E-2</v>
      </c>
    </row>
    <row r="31" spans="1:9" x14ac:dyDescent="0.2">
      <c r="A31" s="3">
        <v>28</v>
      </c>
      <c r="B31" s="3" t="s">
        <v>143</v>
      </c>
      <c r="C31" s="3" t="s">
        <v>144</v>
      </c>
      <c r="D31" s="3" t="s">
        <v>86</v>
      </c>
      <c r="E31" s="3" t="s">
        <v>505</v>
      </c>
      <c r="F31" s="31">
        <v>13750</v>
      </c>
      <c r="G31" s="31">
        <v>14000</v>
      </c>
      <c r="H31" s="31">
        <f t="shared" si="0"/>
        <v>250</v>
      </c>
      <c r="I31" s="20">
        <f t="shared" si="1"/>
        <v>1.8181818181818181E-2</v>
      </c>
    </row>
    <row r="32" spans="1:9" x14ac:dyDescent="0.2">
      <c r="A32" s="3">
        <v>29</v>
      </c>
      <c r="B32" s="3" t="s">
        <v>145</v>
      </c>
      <c r="C32" s="3" t="s">
        <v>146</v>
      </c>
      <c r="D32" s="3" t="s">
        <v>147</v>
      </c>
      <c r="E32" s="3" t="s">
        <v>505</v>
      </c>
      <c r="F32" s="31">
        <v>12800</v>
      </c>
      <c r="G32" s="31">
        <v>12250</v>
      </c>
      <c r="H32" s="31">
        <f t="shared" si="0"/>
        <v>-550</v>
      </c>
      <c r="I32" s="20">
        <f t="shared" si="1"/>
        <v>-4.296875E-2</v>
      </c>
    </row>
    <row r="33" spans="1:9" x14ac:dyDescent="0.2">
      <c r="A33" s="3">
        <v>30</v>
      </c>
      <c r="B33" s="3" t="s">
        <v>148</v>
      </c>
      <c r="C33" s="3" t="s">
        <v>149</v>
      </c>
      <c r="D33" s="3" t="s">
        <v>121</v>
      </c>
      <c r="E33" s="23" t="s">
        <v>506</v>
      </c>
      <c r="F33" s="31">
        <v>0</v>
      </c>
      <c r="G33" s="31">
        <v>9900</v>
      </c>
      <c r="H33" s="31">
        <f t="shared" si="0"/>
        <v>9900</v>
      </c>
      <c r="I33" s="20" t="str">
        <f t="shared" si="1"/>
        <v>N/A</v>
      </c>
    </row>
    <row r="34" spans="1:9" x14ac:dyDescent="0.2">
      <c r="A34" s="3">
        <v>31</v>
      </c>
      <c r="B34" s="3" t="s">
        <v>150</v>
      </c>
      <c r="C34" s="3" t="s">
        <v>151</v>
      </c>
      <c r="D34" s="3" t="s">
        <v>152</v>
      </c>
      <c r="E34" s="23" t="s">
        <v>506</v>
      </c>
      <c r="F34" s="31">
        <v>0</v>
      </c>
      <c r="G34" s="31">
        <v>16000</v>
      </c>
      <c r="H34" s="31">
        <f t="shared" si="0"/>
        <v>16000</v>
      </c>
      <c r="I34" s="20" t="str">
        <f t="shared" si="1"/>
        <v>N/A</v>
      </c>
    </row>
    <row r="35" spans="1:9" x14ac:dyDescent="0.2">
      <c r="A35" s="3">
        <v>32</v>
      </c>
      <c r="B35" s="3" t="s">
        <v>153</v>
      </c>
      <c r="C35" s="3" t="s">
        <v>154</v>
      </c>
      <c r="D35" s="3" t="s">
        <v>121</v>
      </c>
      <c r="E35" s="3" t="s">
        <v>505</v>
      </c>
      <c r="F35" s="31">
        <v>11333</v>
      </c>
      <c r="G35" s="31">
        <v>12250</v>
      </c>
      <c r="H35" s="31">
        <f t="shared" si="0"/>
        <v>917</v>
      </c>
      <c r="I35" s="20">
        <f t="shared" si="1"/>
        <v>8.091414453366276E-2</v>
      </c>
    </row>
    <row r="36" spans="1:9" x14ac:dyDescent="0.2">
      <c r="A36" s="3">
        <v>33</v>
      </c>
      <c r="B36" s="3" t="s">
        <v>155</v>
      </c>
      <c r="C36" s="3" t="s">
        <v>156</v>
      </c>
      <c r="D36" s="3" t="s">
        <v>121</v>
      </c>
      <c r="E36" s="3" t="s">
        <v>505</v>
      </c>
      <c r="F36" s="31">
        <v>12530</v>
      </c>
      <c r="G36" s="31">
        <v>13080</v>
      </c>
      <c r="H36" s="31">
        <f t="shared" ref="H36:H67" si="2">G36-F36</f>
        <v>550</v>
      </c>
      <c r="I36" s="20">
        <f t="shared" ref="I36:I67" si="3">IF(F36=0,"N/A",H36/F36)</f>
        <v>4.3894652833200321E-2</v>
      </c>
    </row>
    <row r="37" spans="1:9" x14ac:dyDescent="0.2">
      <c r="A37" s="3">
        <v>34</v>
      </c>
      <c r="B37" s="3" t="s">
        <v>157</v>
      </c>
      <c r="C37" s="3" t="s">
        <v>158</v>
      </c>
      <c r="D37" s="3" t="s">
        <v>159</v>
      </c>
      <c r="E37" s="3" t="s">
        <v>505</v>
      </c>
      <c r="F37" s="31">
        <v>10000</v>
      </c>
      <c r="G37" s="31">
        <v>10200</v>
      </c>
      <c r="H37" s="31">
        <f t="shared" si="2"/>
        <v>200</v>
      </c>
      <c r="I37" s="20">
        <f t="shared" si="3"/>
        <v>0.02</v>
      </c>
    </row>
    <row r="38" spans="1:9" x14ac:dyDescent="0.2">
      <c r="A38" s="3">
        <v>35</v>
      </c>
      <c r="B38" s="3" t="s">
        <v>161</v>
      </c>
      <c r="C38" s="3" t="s">
        <v>162</v>
      </c>
      <c r="D38" s="3" t="s">
        <v>121</v>
      </c>
      <c r="E38" s="23" t="s">
        <v>506</v>
      </c>
      <c r="F38" s="31">
        <v>0</v>
      </c>
      <c r="G38" s="31">
        <v>11250</v>
      </c>
      <c r="H38" s="31">
        <f t="shared" si="2"/>
        <v>11250</v>
      </c>
      <c r="I38" s="20" t="str">
        <f t="shared" si="3"/>
        <v>N/A</v>
      </c>
    </row>
    <row r="39" spans="1:9" x14ac:dyDescent="0.2">
      <c r="A39" s="3">
        <v>36</v>
      </c>
      <c r="B39" s="3" t="s">
        <v>163</v>
      </c>
      <c r="C39" s="3" t="s">
        <v>164</v>
      </c>
      <c r="D39" s="3" t="s">
        <v>121</v>
      </c>
      <c r="E39" s="3" t="s">
        <v>505</v>
      </c>
      <c r="F39" s="31">
        <v>13450</v>
      </c>
      <c r="G39" s="31">
        <v>14300</v>
      </c>
      <c r="H39" s="31">
        <f t="shared" si="2"/>
        <v>850</v>
      </c>
      <c r="I39" s="20">
        <f t="shared" si="3"/>
        <v>6.3197026022304828E-2</v>
      </c>
    </row>
    <row r="40" spans="1:9" x14ac:dyDescent="0.2">
      <c r="A40" s="3">
        <v>37</v>
      </c>
      <c r="B40" s="3" t="s">
        <v>165</v>
      </c>
      <c r="C40" s="3" t="s">
        <v>166</v>
      </c>
      <c r="D40" s="3" t="s">
        <v>167</v>
      </c>
      <c r="E40" s="3" t="s">
        <v>505</v>
      </c>
      <c r="F40" s="31">
        <v>14500</v>
      </c>
      <c r="G40" s="31">
        <v>14750</v>
      </c>
      <c r="H40" s="31">
        <f t="shared" si="2"/>
        <v>250</v>
      </c>
      <c r="I40" s="20">
        <f t="shared" si="3"/>
        <v>1.7241379310344827E-2</v>
      </c>
    </row>
    <row r="41" spans="1:9" x14ac:dyDescent="0.2">
      <c r="A41" s="3">
        <v>38</v>
      </c>
      <c r="B41" s="3" t="s">
        <v>168</v>
      </c>
      <c r="C41" s="3" t="s">
        <v>169</v>
      </c>
      <c r="D41" s="3" t="s">
        <v>74</v>
      </c>
      <c r="E41" s="3" t="s">
        <v>505</v>
      </c>
      <c r="F41" s="31">
        <v>10400</v>
      </c>
      <c r="G41" s="31">
        <v>10600</v>
      </c>
      <c r="H41" s="31">
        <f t="shared" si="2"/>
        <v>200</v>
      </c>
      <c r="I41" s="20">
        <f t="shared" si="3"/>
        <v>1.9230769230769232E-2</v>
      </c>
    </row>
    <row r="42" spans="1:9" x14ac:dyDescent="0.2">
      <c r="A42" s="3">
        <v>39</v>
      </c>
      <c r="B42" s="3" t="s">
        <v>170</v>
      </c>
      <c r="C42" s="3" t="s">
        <v>171</v>
      </c>
      <c r="D42" s="3" t="s">
        <v>121</v>
      </c>
      <c r="E42" s="3" t="s">
        <v>505</v>
      </c>
      <c r="F42" s="31">
        <v>9562</v>
      </c>
      <c r="G42" s="31">
        <v>13900</v>
      </c>
      <c r="H42" s="31">
        <f t="shared" si="2"/>
        <v>4338</v>
      </c>
      <c r="I42" s="20">
        <f t="shared" si="3"/>
        <v>0.45367078017151224</v>
      </c>
    </row>
    <row r="43" spans="1:9" x14ac:dyDescent="0.2">
      <c r="A43" s="3">
        <v>40</v>
      </c>
      <c r="B43" s="3" t="s">
        <v>172</v>
      </c>
      <c r="C43" s="3" t="s">
        <v>173</v>
      </c>
      <c r="D43" s="3" t="s">
        <v>86</v>
      </c>
      <c r="E43" s="3" t="s">
        <v>505</v>
      </c>
      <c r="F43" s="31">
        <v>12250</v>
      </c>
      <c r="G43" s="31">
        <v>12500</v>
      </c>
      <c r="H43" s="31">
        <f t="shared" si="2"/>
        <v>250</v>
      </c>
      <c r="I43" s="20">
        <f t="shared" si="3"/>
        <v>2.0408163265306121E-2</v>
      </c>
    </row>
    <row r="44" spans="1:9" x14ac:dyDescent="0.2">
      <c r="A44" s="3">
        <v>41</v>
      </c>
      <c r="B44" s="3" t="s">
        <v>512</v>
      </c>
      <c r="C44" s="3" t="s">
        <v>513</v>
      </c>
      <c r="D44" s="3"/>
      <c r="E44" s="24" t="s">
        <v>509</v>
      </c>
      <c r="F44" s="31">
        <v>12500</v>
      </c>
      <c r="G44" s="31">
        <v>0</v>
      </c>
      <c r="H44" s="31">
        <f t="shared" si="2"/>
        <v>-12500</v>
      </c>
      <c r="I44" s="20">
        <f t="shared" si="3"/>
        <v>-1</v>
      </c>
    </row>
    <row r="45" spans="1:9" x14ac:dyDescent="0.2">
      <c r="A45" s="3">
        <v>42</v>
      </c>
      <c r="B45" s="3" t="s">
        <v>514</v>
      </c>
      <c r="C45" s="3" t="s">
        <v>515</v>
      </c>
      <c r="D45" s="3"/>
      <c r="E45" s="24" t="s">
        <v>509</v>
      </c>
      <c r="F45" s="31">
        <v>11900</v>
      </c>
      <c r="G45" s="31">
        <v>0</v>
      </c>
      <c r="H45" s="31">
        <f t="shared" si="2"/>
        <v>-11900</v>
      </c>
      <c r="I45" s="20">
        <f t="shared" si="3"/>
        <v>-1</v>
      </c>
    </row>
    <row r="46" spans="1:9" x14ac:dyDescent="0.2">
      <c r="A46" s="3">
        <v>43</v>
      </c>
      <c r="B46" s="3" t="s">
        <v>174</v>
      </c>
      <c r="C46" s="3" t="s">
        <v>175</v>
      </c>
      <c r="D46" s="3" t="s">
        <v>159</v>
      </c>
      <c r="E46" s="3" t="s">
        <v>505</v>
      </c>
      <c r="F46" s="31">
        <v>9000</v>
      </c>
      <c r="G46" s="31">
        <v>9200</v>
      </c>
      <c r="H46" s="31">
        <f t="shared" si="2"/>
        <v>200</v>
      </c>
      <c r="I46" s="20">
        <f t="shared" si="3"/>
        <v>2.2222222222222223E-2</v>
      </c>
    </row>
    <row r="47" spans="1:9" x14ac:dyDescent="0.2">
      <c r="A47" s="3">
        <v>44</v>
      </c>
      <c r="B47" s="3" t="s">
        <v>176</v>
      </c>
      <c r="C47" s="3" t="s">
        <v>177</v>
      </c>
      <c r="D47" s="3" t="s">
        <v>159</v>
      </c>
      <c r="E47" s="3" t="s">
        <v>505</v>
      </c>
      <c r="F47" s="31">
        <v>11250</v>
      </c>
      <c r="G47" s="31">
        <v>11500</v>
      </c>
      <c r="H47" s="31">
        <f t="shared" si="2"/>
        <v>250</v>
      </c>
      <c r="I47" s="20">
        <f t="shared" si="3"/>
        <v>2.2222222222222223E-2</v>
      </c>
    </row>
    <row r="48" spans="1:9" x14ac:dyDescent="0.2">
      <c r="A48" s="3">
        <v>45</v>
      </c>
      <c r="B48" s="3" t="s">
        <v>178</v>
      </c>
      <c r="C48" s="3" t="s">
        <v>179</v>
      </c>
      <c r="D48" s="3" t="s">
        <v>86</v>
      </c>
      <c r="E48" s="3" t="s">
        <v>505</v>
      </c>
      <c r="F48" s="31">
        <v>11750</v>
      </c>
      <c r="G48" s="31">
        <v>12000</v>
      </c>
      <c r="H48" s="31">
        <f t="shared" si="2"/>
        <v>250</v>
      </c>
      <c r="I48" s="20">
        <f t="shared" si="3"/>
        <v>2.1276595744680851E-2</v>
      </c>
    </row>
    <row r="49" spans="1:9" x14ac:dyDescent="0.2">
      <c r="A49" s="3">
        <v>46</v>
      </c>
      <c r="B49" s="3" t="s">
        <v>180</v>
      </c>
      <c r="C49" s="3" t="s">
        <v>181</v>
      </c>
      <c r="D49" s="3" t="s">
        <v>182</v>
      </c>
      <c r="E49" s="23" t="s">
        <v>506</v>
      </c>
      <c r="F49" s="31">
        <v>0</v>
      </c>
      <c r="G49" s="31">
        <v>10400</v>
      </c>
      <c r="H49" s="31">
        <f t="shared" si="2"/>
        <v>10400</v>
      </c>
      <c r="I49" s="20" t="str">
        <f t="shared" si="3"/>
        <v>N/A</v>
      </c>
    </row>
    <row r="50" spans="1:9" x14ac:dyDescent="0.2">
      <c r="A50" s="3">
        <v>47</v>
      </c>
      <c r="B50" s="3" t="s">
        <v>183</v>
      </c>
      <c r="C50" s="3" t="s">
        <v>184</v>
      </c>
      <c r="D50" s="3" t="s">
        <v>132</v>
      </c>
      <c r="E50" s="3" t="s">
        <v>505</v>
      </c>
      <c r="F50" s="31">
        <v>11700</v>
      </c>
      <c r="G50" s="31">
        <v>11900</v>
      </c>
      <c r="H50" s="31">
        <f t="shared" si="2"/>
        <v>200</v>
      </c>
      <c r="I50" s="20">
        <f t="shared" si="3"/>
        <v>1.7094017094017096E-2</v>
      </c>
    </row>
    <row r="51" spans="1:9" x14ac:dyDescent="0.2">
      <c r="A51" s="3">
        <v>48</v>
      </c>
      <c r="B51" s="3" t="s">
        <v>185</v>
      </c>
      <c r="C51" s="3" t="s">
        <v>186</v>
      </c>
      <c r="D51" s="3" t="s">
        <v>147</v>
      </c>
      <c r="E51" s="3" t="s">
        <v>505</v>
      </c>
      <c r="F51" s="31">
        <v>15900</v>
      </c>
      <c r="G51" s="31">
        <v>15250</v>
      </c>
      <c r="H51" s="31">
        <f t="shared" si="2"/>
        <v>-650</v>
      </c>
      <c r="I51" s="20">
        <f t="shared" si="3"/>
        <v>-4.0880503144654086E-2</v>
      </c>
    </row>
    <row r="52" spans="1:9" x14ac:dyDescent="0.2">
      <c r="A52" s="3">
        <v>49</v>
      </c>
      <c r="B52" s="3" t="s">
        <v>187</v>
      </c>
      <c r="C52" s="3" t="s">
        <v>188</v>
      </c>
      <c r="D52" s="3" t="s">
        <v>132</v>
      </c>
      <c r="E52" s="3" t="s">
        <v>505</v>
      </c>
      <c r="F52" s="31">
        <v>10200</v>
      </c>
      <c r="G52" s="31">
        <v>10400</v>
      </c>
      <c r="H52" s="31">
        <f t="shared" si="2"/>
        <v>200</v>
      </c>
      <c r="I52" s="20">
        <f t="shared" si="3"/>
        <v>1.9607843137254902E-2</v>
      </c>
    </row>
    <row r="53" spans="1:9" x14ac:dyDescent="0.2">
      <c r="A53" s="3">
        <v>50</v>
      </c>
      <c r="B53" s="3" t="s">
        <v>189</v>
      </c>
      <c r="C53" s="3" t="s">
        <v>190</v>
      </c>
      <c r="D53" s="3" t="s">
        <v>86</v>
      </c>
      <c r="E53" s="3" t="s">
        <v>505</v>
      </c>
      <c r="F53" s="31">
        <v>11750</v>
      </c>
      <c r="G53" s="31">
        <v>12000</v>
      </c>
      <c r="H53" s="31">
        <f t="shared" si="2"/>
        <v>250</v>
      </c>
      <c r="I53" s="20">
        <f t="shared" si="3"/>
        <v>2.1276595744680851E-2</v>
      </c>
    </row>
    <row r="54" spans="1:9" x14ac:dyDescent="0.2">
      <c r="A54" s="3">
        <v>51</v>
      </c>
      <c r="B54" s="3" t="s">
        <v>191</v>
      </c>
      <c r="C54" s="3" t="s">
        <v>192</v>
      </c>
      <c r="D54" s="3" t="s">
        <v>121</v>
      </c>
      <c r="E54" s="3" t="s">
        <v>505</v>
      </c>
      <c r="F54" s="31">
        <v>13610</v>
      </c>
      <c r="G54" s="31">
        <v>13860</v>
      </c>
      <c r="H54" s="31">
        <f t="shared" si="2"/>
        <v>250</v>
      </c>
      <c r="I54" s="20">
        <f t="shared" si="3"/>
        <v>1.8368846436443792E-2</v>
      </c>
    </row>
    <row r="55" spans="1:9" x14ac:dyDescent="0.2">
      <c r="A55" s="3">
        <v>52</v>
      </c>
      <c r="B55" s="3" t="s">
        <v>193</v>
      </c>
      <c r="C55" s="3" t="s">
        <v>194</v>
      </c>
      <c r="D55" s="3" t="s">
        <v>74</v>
      </c>
      <c r="E55" s="3" t="s">
        <v>505</v>
      </c>
      <c r="F55" s="31">
        <v>10000</v>
      </c>
      <c r="G55" s="31">
        <v>10200</v>
      </c>
      <c r="H55" s="31">
        <f t="shared" si="2"/>
        <v>200</v>
      </c>
      <c r="I55" s="20">
        <f t="shared" si="3"/>
        <v>0.02</v>
      </c>
    </row>
    <row r="56" spans="1:9" x14ac:dyDescent="0.2">
      <c r="A56" s="3">
        <v>53</v>
      </c>
      <c r="B56" s="3" t="s">
        <v>195</v>
      </c>
      <c r="C56" s="3" t="s">
        <v>196</v>
      </c>
      <c r="D56" s="3" t="s">
        <v>121</v>
      </c>
      <c r="E56" s="3" t="s">
        <v>505</v>
      </c>
      <c r="F56" s="31">
        <v>11500</v>
      </c>
      <c r="G56" s="31">
        <v>11750</v>
      </c>
      <c r="H56" s="31">
        <f t="shared" si="2"/>
        <v>250</v>
      </c>
      <c r="I56" s="20">
        <f t="shared" si="3"/>
        <v>2.1739130434782608E-2</v>
      </c>
    </row>
    <row r="57" spans="1:9" x14ac:dyDescent="0.2">
      <c r="A57" s="3">
        <v>54</v>
      </c>
      <c r="B57" s="3" t="s">
        <v>197</v>
      </c>
      <c r="C57" s="3" t="s">
        <v>198</v>
      </c>
      <c r="D57" s="3" t="s">
        <v>132</v>
      </c>
      <c r="E57" s="3" t="s">
        <v>505</v>
      </c>
      <c r="F57" s="31">
        <v>13100</v>
      </c>
      <c r="G57" s="31">
        <v>13350</v>
      </c>
      <c r="H57" s="31">
        <f t="shared" si="2"/>
        <v>250</v>
      </c>
      <c r="I57" s="20">
        <f t="shared" si="3"/>
        <v>1.9083969465648856E-2</v>
      </c>
    </row>
    <row r="58" spans="1:9" x14ac:dyDescent="0.2">
      <c r="A58" s="3">
        <v>55</v>
      </c>
      <c r="B58" s="3" t="s">
        <v>199</v>
      </c>
      <c r="C58" s="3" t="s">
        <v>200</v>
      </c>
      <c r="D58" s="3" t="s">
        <v>86</v>
      </c>
      <c r="E58" s="3" t="s">
        <v>505</v>
      </c>
      <c r="F58" s="31">
        <v>11500</v>
      </c>
      <c r="G58" s="31">
        <v>11750</v>
      </c>
      <c r="H58" s="31">
        <f t="shared" si="2"/>
        <v>250</v>
      </c>
      <c r="I58" s="20">
        <f t="shared" si="3"/>
        <v>2.1739130434782608E-2</v>
      </c>
    </row>
    <row r="59" spans="1:9" x14ac:dyDescent="0.2">
      <c r="A59" s="3">
        <v>56</v>
      </c>
      <c r="B59" s="3" t="s">
        <v>201</v>
      </c>
      <c r="C59" s="3" t="s">
        <v>202</v>
      </c>
      <c r="D59" s="3" t="s">
        <v>132</v>
      </c>
      <c r="E59" s="3" t="s">
        <v>505</v>
      </c>
      <c r="F59" s="31">
        <v>13000</v>
      </c>
      <c r="G59" s="31">
        <v>13250</v>
      </c>
      <c r="H59" s="31">
        <f t="shared" si="2"/>
        <v>250</v>
      </c>
      <c r="I59" s="20">
        <f t="shared" si="3"/>
        <v>1.9230769230769232E-2</v>
      </c>
    </row>
    <row r="60" spans="1:9" x14ac:dyDescent="0.2">
      <c r="A60" s="3">
        <v>57</v>
      </c>
      <c r="B60" s="3" t="s">
        <v>203</v>
      </c>
      <c r="C60" s="3" t="s">
        <v>204</v>
      </c>
      <c r="D60" s="3" t="s">
        <v>205</v>
      </c>
      <c r="E60" s="3" t="s">
        <v>505</v>
      </c>
      <c r="F60" s="31">
        <v>16500</v>
      </c>
      <c r="G60" s="31">
        <v>16750</v>
      </c>
      <c r="H60" s="31">
        <f t="shared" si="2"/>
        <v>250</v>
      </c>
      <c r="I60" s="20">
        <f t="shared" si="3"/>
        <v>1.5151515151515152E-2</v>
      </c>
    </row>
    <row r="61" spans="1:9" x14ac:dyDescent="0.2">
      <c r="A61" s="3">
        <v>58</v>
      </c>
      <c r="B61" s="3" t="s">
        <v>206</v>
      </c>
      <c r="C61" s="3" t="s">
        <v>207</v>
      </c>
      <c r="D61" s="3" t="s">
        <v>121</v>
      </c>
      <c r="E61" s="3" t="s">
        <v>505</v>
      </c>
      <c r="F61" s="31">
        <v>12000</v>
      </c>
      <c r="G61" s="31">
        <v>13250</v>
      </c>
      <c r="H61" s="31">
        <f t="shared" si="2"/>
        <v>1250</v>
      </c>
      <c r="I61" s="20">
        <f t="shared" si="3"/>
        <v>0.10416666666666667</v>
      </c>
    </row>
    <row r="62" spans="1:9" x14ac:dyDescent="0.2">
      <c r="A62" s="3">
        <v>59</v>
      </c>
      <c r="B62" s="3" t="s">
        <v>208</v>
      </c>
      <c r="C62" s="3" t="s">
        <v>209</v>
      </c>
      <c r="D62" s="3" t="s">
        <v>121</v>
      </c>
      <c r="E62" s="3" t="s">
        <v>505</v>
      </c>
      <c r="F62" s="31">
        <v>9139</v>
      </c>
      <c r="G62" s="31">
        <v>11000</v>
      </c>
      <c r="H62" s="31">
        <f t="shared" si="2"/>
        <v>1861</v>
      </c>
      <c r="I62" s="20">
        <f t="shared" si="3"/>
        <v>0.20363278258015099</v>
      </c>
    </row>
    <row r="63" spans="1:9" x14ac:dyDescent="0.2">
      <c r="A63" s="3">
        <v>60</v>
      </c>
      <c r="B63" s="3" t="s">
        <v>210</v>
      </c>
      <c r="C63" s="3" t="s">
        <v>211</v>
      </c>
      <c r="D63" s="3" t="s">
        <v>121</v>
      </c>
      <c r="E63" s="3" t="s">
        <v>505</v>
      </c>
      <c r="F63" s="31">
        <v>13942</v>
      </c>
      <c r="G63" s="31">
        <v>14650</v>
      </c>
      <c r="H63" s="31">
        <f t="shared" si="2"/>
        <v>708</v>
      </c>
      <c r="I63" s="20">
        <f t="shared" si="3"/>
        <v>5.078181035719409E-2</v>
      </c>
    </row>
    <row r="64" spans="1:9" x14ac:dyDescent="0.2">
      <c r="A64" s="3">
        <v>61</v>
      </c>
      <c r="B64" s="3" t="s">
        <v>212</v>
      </c>
      <c r="C64" s="3" t="s">
        <v>213</v>
      </c>
      <c r="D64" s="3" t="s">
        <v>86</v>
      </c>
      <c r="E64" s="3" t="s">
        <v>505</v>
      </c>
      <c r="F64" s="31">
        <v>14750</v>
      </c>
      <c r="G64" s="31">
        <v>15000</v>
      </c>
      <c r="H64" s="31">
        <f t="shared" si="2"/>
        <v>250</v>
      </c>
      <c r="I64" s="20">
        <f t="shared" si="3"/>
        <v>1.6949152542372881E-2</v>
      </c>
    </row>
    <row r="65" spans="1:9" x14ac:dyDescent="0.2">
      <c r="A65" s="3">
        <v>62</v>
      </c>
      <c r="B65" s="3" t="s">
        <v>214</v>
      </c>
      <c r="C65" s="3" t="s">
        <v>215</v>
      </c>
      <c r="D65" s="3" t="s">
        <v>86</v>
      </c>
      <c r="E65" s="23" t="s">
        <v>506</v>
      </c>
      <c r="F65" s="31">
        <v>0</v>
      </c>
      <c r="G65" s="31">
        <v>11250</v>
      </c>
      <c r="H65" s="31">
        <f t="shared" si="2"/>
        <v>11250</v>
      </c>
      <c r="I65" s="20" t="str">
        <f t="shared" si="3"/>
        <v>N/A</v>
      </c>
    </row>
    <row r="66" spans="1:9" x14ac:dyDescent="0.2">
      <c r="A66" s="3">
        <v>63</v>
      </c>
      <c r="B66" s="3" t="s">
        <v>216</v>
      </c>
      <c r="C66" s="3" t="s">
        <v>217</v>
      </c>
      <c r="D66" s="3" t="s">
        <v>132</v>
      </c>
      <c r="E66" s="23" t="s">
        <v>506</v>
      </c>
      <c r="F66" s="31">
        <v>0</v>
      </c>
      <c r="G66" s="31">
        <v>11750</v>
      </c>
      <c r="H66" s="31">
        <f t="shared" si="2"/>
        <v>11750</v>
      </c>
      <c r="I66" s="20" t="str">
        <f t="shared" si="3"/>
        <v>N/A</v>
      </c>
    </row>
    <row r="67" spans="1:9" x14ac:dyDescent="0.2">
      <c r="A67" s="3">
        <v>64</v>
      </c>
      <c r="B67" s="3" t="s">
        <v>218</v>
      </c>
      <c r="C67" s="3" t="s">
        <v>219</v>
      </c>
      <c r="D67" s="3" t="s">
        <v>86</v>
      </c>
      <c r="E67" s="23" t="s">
        <v>506</v>
      </c>
      <c r="F67" s="31">
        <v>0</v>
      </c>
      <c r="G67" s="31">
        <v>11750</v>
      </c>
      <c r="H67" s="31">
        <f t="shared" si="2"/>
        <v>11750</v>
      </c>
      <c r="I67" s="20" t="str">
        <f t="shared" si="3"/>
        <v>N/A</v>
      </c>
    </row>
    <row r="68" spans="1:9" x14ac:dyDescent="0.2">
      <c r="A68" s="3">
        <v>65</v>
      </c>
      <c r="B68" s="3" t="s">
        <v>220</v>
      </c>
      <c r="C68" s="3" t="s">
        <v>142</v>
      </c>
      <c r="D68" s="3" t="s">
        <v>159</v>
      </c>
      <c r="E68" s="3" t="s">
        <v>505</v>
      </c>
      <c r="F68" s="31">
        <v>9600</v>
      </c>
      <c r="G68" s="31">
        <v>9800</v>
      </c>
      <c r="H68" s="31">
        <f t="shared" ref="H68:H99" si="4">G68-F68</f>
        <v>200</v>
      </c>
      <c r="I68" s="20">
        <f t="shared" ref="I68:I99" si="5">IF(F68=0,"N/A",H68/F68)</f>
        <v>2.0833333333333332E-2</v>
      </c>
    </row>
    <row r="69" spans="1:9" x14ac:dyDescent="0.2">
      <c r="A69" s="3">
        <v>66</v>
      </c>
      <c r="B69" s="3" t="s">
        <v>221</v>
      </c>
      <c r="C69" s="3" t="s">
        <v>222</v>
      </c>
      <c r="D69" s="3" t="s">
        <v>223</v>
      </c>
      <c r="E69" s="3" t="s">
        <v>505</v>
      </c>
      <c r="F69" s="31">
        <v>13500</v>
      </c>
      <c r="G69" s="31">
        <v>16500</v>
      </c>
      <c r="H69" s="31">
        <f t="shared" si="4"/>
        <v>3000</v>
      </c>
      <c r="I69" s="20">
        <f t="shared" si="5"/>
        <v>0.22222222222222221</v>
      </c>
    </row>
    <row r="70" spans="1:9" x14ac:dyDescent="0.2">
      <c r="A70" s="3">
        <v>67</v>
      </c>
      <c r="B70" s="3" t="s">
        <v>225</v>
      </c>
      <c r="C70" s="3" t="s">
        <v>226</v>
      </c>
      <c r="D70" s="3" t="s">
        <v>227</v>
      </c>
      <c r="E70" s="3" t="s">
        <v>505</v>
      </c>
      <c r="F70" s="31">
        <v>15500</v>
      </c>
      <c r="G70" s="31">
        <v>16000</v>
      </c>
      <c r="H70" s="31">
        <f t="shared" si="4"/>
        <v>500</v>
      </c>
      <c r="I70" s="20">
        <f t="shared" si="5"/>
        <v>3.2258064516129031E-2</v>
      </c>
    </row>
    <row r="71" spans="1:9" x14ac:dyDescent="0.2">
      <c r="A71" s="3">
        <v>68</v>
      </c>
      <c r="B71" s="3" t="s">
        <v>229</v>
      </c>
      <c r="C71" s="3" t="s">
        <v>230</v>
      </c>
      <c r="D71" s="3" t="s">
        <v>121</v>
      </c>
      <c r="E71" s="3" t="s">
        <v>505</v>
      </c>
      <c r="F71" s="31">
        <v>15610</v>
      </c>
      <c r="G71" s="31">
        <v>16300</v>
      </c>
      <c r="H71" s="31">
        <f t="shared" si="4"/>
        <v>690</v>
      </c>
      <c r="I71" s="20">
        <f t="shared" si="5"/>
        <v>4.4202434336963484E-2</v>
      </c>
    </row>
    <row r="72" spans="1:9" x14ac:dyDescent="0.2">
      <c r="A72" s="3">
        <v>69</v>
      </c>
      <c r="B72" s="3" t="s">
        <v>516</v>
      </c>
      <c r="C72" s="3" t="s">
        <v>272</v>
      </c>
      <c r="D72" s="3"/>
      <c r="E72" s="24" t="s">
        <v>509</v>
      </c>
      <c r="F72" s="31">
        <v>10400</v>
      </c>
      <c r="G72" s="31">
        <v>0</v>
      </c>
      <c r="H72" s="31">
        <f t="shared" si="4"/>
        <v>-10400</v>
      </c>
      <c r="I72" s="20">
        <f t="shared" si="5"/>
        <v>-1</v>
      </c>
    </row>
    <row r="73" spans="1:9" x14ac:dyDescent="0.2">
      <c r="A73" s="3">
        <v>70</v>
      </c>
      <c r="B73" s="3" t="s">
        <v>231</v>
      </c>
      <c r="C73" s="3" t="s">
        <v>232</v>
      </c>
      <c r="D73" s="3" t="s">
        <v>86</v>
      </c>
      <c r="E73" s="3" t="s">
        <v>505</v>
      </c>
      <c r="F73" s="31">
        <v>12250</v>
      </c>
      <c r="G73" s="31">
        <v>12500</v>
      </c>
      <c r="H73" s="31">
        <f t="shared" si="4"/>
        <v>250</v>
      </c>
      <c r="I73" s="20">
        <f t="shared" si="5"/>
        <v>2.0408163265306121E-2</v>
      </c>
    </row>
    <row r="74" spans="1:9" x14ac:dyDescent="0.2">
      <c r="A74" s="3">
        <v>71</v>
      </c>
      <c r="B74" s="3" t="s">
        <v>233</v>
      </c>
      <c r="C74" s="3" t="s">
        <v>234</v>
      </c>
      <c r="D74" s="3" t="s">
        <v>159</v>
      </c>
      <c r="E74" s="3" t="s">
        <v>505</v>
      </c>
      <c r="F74" s="31">
        <v>10000</v>
      </c>
      <c r="G74" s="31">
        <v>10200</v>
      </c>
      <c r="H74" s="31">
        <f t="shared" si="4"/>
        <v>200</v>
      </c>
      <c r="I74" s="20">
        <f t="shared" si="5"/>
        <v>0.02</v>
      </c>
    </row>
    <row r="75" spans="1:9" x14ac:dyDescent="0.2">
      <c r="A75" s="3">
        <v>72</v>
      </c>
      <c r="B75" s="3" t="s">
        <v>235</v>
      </c>
      <c r="C75" s="3" t="s">
        <v>236</v>
      </c>
      <c r="D75" s="3" t="s">
        <v>237</v>
      </c>
      <c r="E75" s="3" t="s">
        <v>505</v>
      </c>
      <c r="F75" s="31">
        <v>12250</v>
      </c>
      <c r="G75" s="31">
        <v>12500</v>
      </c>
      <c r="H75" s="31">
        <f t="shared" si="4"/>
        <v>250</v>
      </c>
      <c r="I75" s="20">
        <f t="shared" si="5"/>
        <v>2.0408163265306121E-2</v>
      </c>
    </row>
    <row r="76" spans="1:9" x14ac:dyDescent="0.2">
      <c r="A76" s="3">
        <v>73</v>
      </c>
      <c r="B76" s="3" t="s">
        <v>238</v>
      </c>
      <c r="C76" s="3" t="s">
        <v>239</v>
      </c>
      <c r="D76" s="3" t="s">
        <v>102</v>
      </c>
      <c r="E76" s="3" t="s">
        <v>505</v>
      </c>
      <c r="F76" s="31">
        <v>15274</v>
      </c>
      <c r="G76" s="31">
        <v>15452</v>
      </c>
      <c r="H76" s="31">
        <f t="shared" si="4"/>
        <v>178</v>
      </c>
      <c r="I76" s="20">
        <f t="shared" si="5"/>
        <v>1.1653790755532276E-2</v>
      </c>
    </row>
    <row r="77" spans="1:9" x14ac:dyDescent="0.2">
      <c r="A77" s="3">
        <v>74</v>
      </c>
      <c r="B77" s="3" t="s">
        <v>240</v>
      </c>
      <c r="C77" s="3" t="s">
        <v>241</v>
      </c>
      <c r="D77" s="3" t="s">
        <v>121</v>
      </c>
      <c r="E77" s="3" t="s">
        <v>505</v>
      </c>
      <c r="F77" s="31">
        <v>13400</v>
      </c>
      <c r="G77" s="31">
        <v>13850</v>
      </c>
      <c r="H77" s="31">
        <f t="shared" si="4"/>
        <v>450</v>
      </c>
      <c r="I77" s="20">
        <f t="shared" si="5"/>
        <v>3.3582089552238806E-2</v>
      </c>
    </row>
    <row r="78" spans="1:9" x14ac:dyDescent="0.2">
      <c r="A78" s="3">
        <v>75</v>
      </c>
      <c r="B78" s="3" t="s">
        <v>517</v>
      </c>
      <c r="C78" s="3" t="s">
        <v>518</v>
      </c>
      <c r="D78" s="3"/>
      <c r="E78" s="24" t="s">
        <v>509</v>
      </c>
      <c r="F78" s="31">
        <v>10200</v>
      </c>
      <c r="G78" s="31">
        <v>0</v>
      </c>
      <c r="H78" s="31">
        <f t="shared" si="4"/>
        <v>-10200</v>
      </c>
      <c r="I78" s="20">
        <f t="shared" si="5"/>
        <v>-1</v>
      </c>
    </row>
    <row r="79" spans="1:9" x14ac:dyDescent="0.2">
      <c r="A79" s="3">
        <v>76</v>
      </c>
      <c r="B79" s="3" t="s">
        <v>242</v>
      </c>
      <c r="C79" s="3" t="s">
        <v>243</v>
      </c>
      <c r="D79" s="3" t="s">
        <v>121</v>
      </c>
      <c r="E79" s="3" t="s">
        <v>505</v>
      </c>
      <c r="F79" s="31">
        <v>11000</v>
      </c>
      <c r="G79" s="31">
        <v>12250</v>
      </c>
      <c r="H79" s="31">
        <f t="shared" si="4"/>
        <v>1250</v>
      </c>
      <c r="I79" s="20">
        <f t="shared" si="5"/>
        <v>0.11363636363636363</v>
      </c>
    </row>
    <row r="80" spans="1:9" x14ac:dyDescent="0.2">
      <c r="A80" s="3">
        <v>77</v>
      </c>
      <c r="B80" s="3" t="s">
        <v>244</v>
      </c>
      <c r="C80" s="3" t="s">
        <v>200</v>
      </c>
      <c r="D80" s="3" t="s">
        <v>159</v>
      </c>
      <c r="E80" s="3" t="s">
        <v>505</v>
      </c>
      <c r="F80" s="31">
        <v>10200</v>
      </c>
      <c r="G80" s="31">
        <v>10400</v>
      </c>
      <c r="H80" s="31">
        <f t="shared" si="4"/>
        <v>200</v>
      </c>
      <c r="I80" s="20">
        <f t="shared" si="5"/>
        <v>1.9607843137254902E-2</v>
      </c>
    </row>
    <row r="81" spans="1:9" x14ac:dyDescent="0.2">
      <c r="A81" s="3">
        <v>78</v>
      </c>
      <c r="B81" s="3" t="s">
        <v>245</v>
      </c>
      <c r="C81" s="3" t="s">
        <v>246</v>
      </c>
      <c r="D81" s="3" t="s">
        <v>74</v>
      </c>
      <c r="E81" s="3" t="s">
        <v>505</v>
      </c>
      <c r="F81" s="31">
        <v>10000</v>
      </c>
      <c r="G81" s="31">
        <v>10200</v>
      </c>
      <c r="H81" s="31">
        <f t="shared" si="4"/>
        <v>200</v>
      </c>
      <c r="I81" s="20">
        <f t="shared" si="5"/>
        <v>0.02</v>
      </c>
    </row>
    <row r="82" spans="1:9" x14ac:dyDescent="0.2">
      <c r="A82" s="3">
        <v>79</v>
      </c>
      <c r="B82" s="3" t="s">
        <v>247</v>
      </c>
      <c r="C82" s="3" t="s">
        <v>248</v>
      </c>
      <c r="D82" s="3" t="s">
        <v>86</v>
      </c>
      <c r="E82" s="3" t="s">
        <v>505</v>
      </c>
      <c r="F82" s="31">
        <v>13250</v>
      </c>
      <c r="G82" s="31">
        <v>13500</v>
      </c>
      <c r="H82" s="31">
        <f t="shared" si="4"/>
        <v>250</v>
      </c>
      <c r="I82" s="20">
        <f t="shared" si="5"/>
        <v>1.8867924528301886E-2</v>
      </c>
    </row>
    <row r="83" spans="1:9" x14ac:dyDescent="0.2">
      <c r="A83" s="3">
        <v>80</v>
      </c>
      <c r="B83" s="3" t="s">
        <v>249</v>
      </c>
      <c r="C83" s="3" t="s">
        <v>250</v>
      </c>
      <c r="D83" s="3" t="s">
        <v>159</v>
      </c>
      <c r="E83" s="3" t="s">
        <v>505</v>
      </c>
      <c r="F83" s="31">
        <v>9400</v>
      </c>
      <c r="G83" s="31">
        <v>9600</v>
      </c>
      <c r="H83" s="31">
        <f t="shared" si="4"/>
        <v>200</v>
      </c>
      <c r="I83" s="20">
        <f t="shared" si="5"/>
        <v>2.1276595744680851E-2</v>
      </c>
    </row>
    <row r="84" spans="1:9" x14ac:dyDescent="0.2">
      <c r="A84" s="3">
        <v>81</v>
      </c>
      <c r="B84" s="3" t="s">
        <v>251</v>
      </c>
      <c r="C84" s="3" t="s">
        <v>252</v>
      </c>
      <c r="D84" s="3" t="s">
        <v>253</v>
      </c>
      <c r="E84" s="23" t="s">
        <v>506</v>
      </c>
      <c r="F84" s="31">
        <v>0</v>
      </c>
      <c r="G84" s="31">
        <v>8000</v>
      </c>
      <c r="H84" s="31">
        <f t="shared" si="4"/>
        <v>8000</v>
      </c>
      <c r="I84" s="20" t="str">
        <f t="shared" si="5"/>
        <v>N/A</v>
      </c>
    </row>
    <row r="85" spans="1:9" x14ac:dyDescent="0.2">
      <c r="A85" s="3">
        <v>82</v>
      </c>
      <c r="B85" s="3" t="s">
        <v>254</v>
      </c>
      <c r="C85" s="3" t="s">
        <v>255</v>
      </c>
      <c r="D85" s="3" t="s">
        <v>121</v>
      </c>
      <c r="E85" s="3" t="s">
        <v>505</v>
      </c>
      <c r="F85" s="31">
        <v>14800</v>
      </c>
      <c r="G85" s="31">
        <v>15650</v>
      </c>
      <c r="H85" s="31">
        <f t="shared" si="4"/>
        <v>850</v>
      </c>
      <c r="I85" s="20">
        <f t="shared" si="5"/>
        <v>5.7432432432432436E-2</v>
      </c>
    </row>
    <row r="86" spans="1:9" x14ac:dyDescent="0.2">
      <c r="A86" s="3">
        <v>83</v>
      </c>
      <c r="B86" s="3" t="s">
        <v>256</v>
      </c>
      <c r="C86" s="3" t="s">
        <v>257</v>
      </c>
      <c r="D86" s="3" t="s">
        <v>258</v>
      </c>
      <c r="E86" s="23" t="s">
        <v>506</v>
      </c>
      <c r="F86" s="31">
        <v>0</v>
      </c>
      <c r="G86" s="31">
        <v>10000</v>
      </c>
      <c r="H86" s="31">
        <f t="shared" si="4"/>
        <v>10000</v>
      </c>
      <c r="I86" s="20" t="str">
        <f t="shared" si="5"/>
        <v>N/A</v>
      </c>
    </row>
    <row r="87" spans="1:9" x14ac:dyDescent="0.2">
      <c r="A87" s="3">
        <v>84</v>
      </c>
      <c r="B87" s="3" t="s">
        <v>259</v>
      </c>
      <c r="C87" s="3" t="s">
        <v>260</v>
      </c>
      <c r="D87" s="3" t="s">
        <v>74</v>
      </c>
      <c r="E87" s="3" t="s">
        <v>505</v>
      </c>
      <c r="F87" s="31">
        <v>10600</v>
      </c>
      <c r="G87" s="31">
        <v>10800</v>
      </c>
      <c r="H87" s="31">
        <f t="shared" si="4"/>
        <v>200</v>
      </c>
      <c r="I87" s="20">
        <f t="shared" si="5"/>
        <v>1.8867924528301886E-2</v>
      </c>
    </row>
    <row r="88" spans="1:9" x14ac:dyDescent="0.2">
      <c r="A88" s="3">
        <v>85</v>
      </c>
      <c r="B88" s="3" t="s">
        <v>261</v>
      </c>
      <c r="C88" s="3" t="s">
        <v>262</v>
      </c>
      <c r="D88" s="3" t="s">
        <v>147</v>
      </c>
      <c r="E88" s="3" t="s">
        <v>505</v>
      </c>
      <c r="F88" s="31">
        <v>13800</v>
      </c>
      <c r="G88" s="31">
        <v>13250</v>
      </c>
      <c r="H88" s="31">
        <f t="shared" si="4"/>
        <v>-550</v>
      </c>
      <c r="I88" s="20">
        <f t="shared" si="5"/>
        <v>-3.9855072463768113E-2</v>
      </c>
    </row>
    <row r="89" spans="1:9" x14ac:dyDescent="0.2">
      <c r="A89" s="3">
        <v>86</v>
      </c>
      <c r="B89" s="3" t="s">
        <v>263</v>
      </c>
      <c r="C89" s="3" t="s">
        <v>264</v>
      </c>
      <c r="D89" s="3" t="s">
        <v>265</v>
      </c>
      <c r="E89" s="3" t="s">
        <v>505</v>
      </c>
      <c r="F89" s="31">
        <v>13750</v>
      </c>
      <c r="G89" s="31">
        <v>14000</v>
      </c>
      <c r="H89" s="31">
        <f t="shared" si="4"/>
        <v>250</v>
      </c>
      <c r="I89" s="20">
        <f t="shared" si="5"/>
        <v>1.8181818181818181E-2</v>
      </c>
    </row>
    <row r="90" spans="1:9" x14ac:dyDescent="0.2">
      <c r="A90" s="3">
        <v>87</v>
      </c>
      <c r="B90" s="3" t="s">
        <v>266</v>
      </c>
      <c r="C90" s="3" t="s">
        <v>267</v>
      </c>
      <c r="D90" s="3" t="s">
        <v>159</v>
      </c>
      <c r="E90" s="3" t="s">
        <v>505</v>
      </c>
      <c r="F90" s="31">
        <v>8600</v>
      </c>
      <c r="G90" s="31">
        <v>8800</v>
      </c>
      <c r="H90" s="31">
        <f t="shared" si="4"/>
        <v>200</v>
      </c>
      <c r="I90" s="20">
        <f t="shared" si="5"/>
        <v>2.3255813953488372E-2</v>
      </c>
    </row>
    <row r="91" spans="1:9" x14ac:dyDescent="0.2">
      <c r="A91" s="3">
        <v>88</v>
      </c>
      <c r="B91" s="3" t="s">
        <v>268</v>
      </c>
      <c r="C91" s="3" t="s">
        <v>269</v>
      </c>
      <c r="D91" s="3" t="s">
        <v>121</v>
      </c>
      <c r="E91" s="3" t="s">
        <v>505</v>
      </c>
      <c r="F91" s="31">
        <v>6667</v>
      </c>
      <c r="G91" s="31">
        <v>6806</v>
      </c>
      <c r="H91" s="31">
        <f t="shared" si="4"/>
        <v>139</v>
      </c>
      <c r="I91" s="20">
        <f t="shared" si="5"/>
        <v>2.0848957552122394E-2</v>
      </c>
    </row>
    <row r="92" spans="1:9" x14ac:dyDescent="0.2">
      <c r="A92" s="3">
        <v>89</v>
      </c>
      <c r="B92" s="3" t="s">
        <v>268</v>
      </c>
      <c r="C92" s="3" t="s">
        <v>269</v>
      </c>
      <c r="D92" s="3" t="s">
        <v>121</v>
      </c>
      <c r="E92" s="3" t="s">
        <v>505</v>
      </c>
      <c r="F92" s="31">
        <v>3856</v>
      </c>
      <c r="G92" s="31">
        <v>6806</v>
      </c>
      <c r="H92" s="31">
        <f t="shared" si="4"/>
        <v>2950</v>
      </c>
      <c r="I92" s="20">
        <f t="shared" si="5"/>
        <v>0.76504149377593356</v>
      </c>
    </row>
    <row r="93" spans="1:9" x14ac:dyDescent="0.2">
      <c r="A93" s="3">
        <v>90</v>
      </c>
      <c r="B93" s="3" t="s">
        <v>268</v>
      </c>
      <c r="C93" s="3" t="s">
        <v>269</v>
      </c>
      <c r="D93" s="3" t="s">
        <v>270</v>
      </c>
      <c r="E93" s="3" t="s">
        <v>505</v>
      </c>
      <c r="F93" s="31">
        <v>6667</v>
      </c>
      <c r="G93" s="31">
        <v>3942</v>
      </c>
      <c r="H93" s="31">
        <f t="shared" si="4"/>
        <v>-2725</v>
      </c>
      <c r="I93" s="20">
        <f t="shared" si="5"/>
        <v>-0.40872956352182394</v>
      </c>
    </row>
    <row r="94" spans="1:9" x14ac:dyDescent="0.2">
      <c r="A94" s="3">
        <v>91</v>
      </c>
      <c r="B94" s="3" t="s">
        <v>268</v>
      </c>
      <c r="C94" s="3" t="s">
        <v>269</v>
      </c>
      <c r="D94" s="3" t="s">
        <v>270</v>
      </c>
      <c r="E94" s="3" t="s">
        <v>505</v>
      </c>
      <c r="F94" s="31">
        <v>3856</v>
      </c>
      <c r="G94" s="31">
        <v>3942</v>
      </c>
      <c r="H94" s="31">
        <f t="shared" si="4"/>
        <v>86</v>
      </c>
      <c r="I94" s="20">
        <f t="shared" si="5"/>
        <v>2.2302904564315353E-2</v>
      </c>
    </row>
    <row r="95" spans="1:9" x14ac:dyDescent="0.2">
      <c r="A95" s="3">
        <v>92</v>
      </c>
      <c r="B95" s="3" t="s">
        <v>271</v>
      </c>
      <c r="C95" s="3" t="s">
        <v>272</v>
      </c>
      <c r="D95" s="3" t="s">
        <v>273</v>
      </c>
      <c r="E95" s="3" t="s">
        <v>505</v>
      </c>
      <c r="F95" s="31">
        <v>8600</v>
      </c>
      <c r="G95" s="31">
        <v>10800</v>
      </c>
      <c r="H95" s="31">
        <f t="shared" si="4"/>
        <v>2200</v>
      </c>
      <c r="I95" s="20">
        <f t="shared" si="5"/>
        <v>0.2558139534883721</v>
      </c>
    </row>
    <row r="96" spans="1:9" x14ac:dyDescent="0.2">
      <c r="A96" s="3">
        <v>93</v>
      </c>
      <c r="B96" s="3" t="s">
        <v>275</v>
      </c>
      <c r="C96" s="3" t="s">
        <v>276</v>
      </c>
      <c r="D96" s="3" t="s">
        <v>102</v>
      </c>
      <c r="E96" s="3" t="s">
        <v>505</v>
      </c>
      <c r="F96" s="31">
        <v>15524</v>
      </c>
      <c r="G96" s="31">
        <v>15690</v>
      </c>
      <c r="H96" s="31">
        <f t="shared" si="4"/>
        <v>166</v>
      </c>
      <c r="I96" s="20">
        <f t="shared" si="5"/>
        <v>1.0693120329811904E-2</v>
      </c>
    </row>
    <row r="97" spans="1:9" x14ac:dyDescent="0.2">
      <c r="A97" s="3">
        <v>94</v>
      </c>
      <c r="B97" s="3" t="s">
        <v>277</v>
      </c>
      <c r="C97" s="3" t="s">
        <v>278</v>
      </c>
      <c r="D97" s="3" t="s">
        <v>279</v>
      </c>
      <c r="E97" s="3" t="s">
        <v>505</v>
      </c>
      <c r="F97" s="31">
        <v>11500</v>
      </c>
      <c r="G97" s="31">
        <v>11500</v>
      </c>
      <c r="H97" s="31">
        <f t="shared" si="4"/>
        <v>0</v>
      </c>
      <c r="I97" s="20">
        <f t="shared" si="5"/>
        <v>0</v>
      </c>
    </row>
    <row r="98" spans="1:9" x14ac:dyDescent="0.2">
      <c r="A98" s="3">
        <v>95</v>
      </c>
      <c r="B98" s="3" t="s">
        <v>280</v>
      </c>
      <c r="C98" s="3" t="s">
        <v>281</v>
      </c>
      <c r="D98" s="3" t="s">
        <v>121</v>
      </c>
      <c r="E98" s="23" t="s">
        <v>506</v>
      </c>
      <c r="F98" s="31">
        <v>0</v>
      </c>
      <c r="G98" s="31">
        <v>5500</v>
      </c>
      <c r="H98" s="31">
        <f t="shared" si="4"/>
        <v>5500</v>
      </c>
      <c r="I98" s="20" t="str">
        <f t="shared" si="5"/>
        <v>N/A</v>
      </c>
    </row>
    <row r="99" spans="1:9" x14ac:dyDescent="0.2">
      <c r="A99" s="3">
        <v>96</v>
      </c>
      <c r="B99" s="3" t="s">
        <v>282</v>
      </c>
      <c r="C99" s="3" t="s">
        <v>283</v>
      </c>
      <c r="D99" s="3" t="s">
        <v>86</v>
      </c>
      <c r="E99" s="3" t="s">
        <v>505</v>
      </c>
      <c r="F99" s="31">
        <v>12000</v>
      </c>
      <c r="G99" s="31">
        <v>12250</v>
      </c>
      <c r="H99" s="31">
        <f t="shared" si="4"/>
        <v>250</v>
      </c>
      <c r="I99" s="20">
        <f t="shared" si="5"/>
        <v>2.0833333333333332E-2</v>
      </c>
    </row>
    <row r="100" spans="1:9" x14ac:dyDescent="0.2">
      <c r="A100" s="3">
        <v>97</v>
      </c>
      <c r="B100" s="3" t="s">
        <v>284</v>
      </c>
      <c r="C100" s="3" t="s">
        <v>285</v>
      </c>
      <c r="D100" s="3" t="s">
        <v>86</v>
      </c>
      <c r="E100" s="3" t="s">
        <v>505</v>
      </c>
      <c r="F100" s="31">
        <v>14250</v>
      </c>
      <c r="G100" s="31">
        <v>14500</v>
      </c>
      <c r="H100" s="31">
        <f t="shared" ref="H100:H131" si="6">G100-F100</f>
        <v>250</v>
      </c>
      <c r="I100" s="20">
        <f t="shared" ref="I100:I131" si="7">IF(F100=0,"N/A",H100/F100)</f>
        <v>1.7543859649122806E-2</v>
      </c>
    </row>
    <row r="101" spans="1:9" x14ac:dyDescent="0.2">
      <c r="A101" s="3">
        <v>98</v>
      </c>
      <c r="B101" s="3" t="s">
        <v>286</v>
      </c>
      <c r="C101" s="3" t="s">
        <v>287</v>
      </c>
      <c r="D101" s="3" t="s">
        <v>288</v>
      </c>
      <c r="E101" s="23" t="s">
        <v>506</v>
      </c>
      <c r="F101" s="31">
        <v>0</v>
      </c>
      <c r="G101" s="31">
        <v>5500</v>
      </c>
      <c r="H101" s="31">
        <f t="shared" si="6"/>
        <v>5500</v>
      </c>
      <c r="I101" s="20" t="str">
        <f t="shared" si="7"/>
        <v>N/A</v>
      </c>
    </row>
    <row r="102" spans="1:9" x14ac:dyDescent="0.2">
      <c r="A102" s="3">
        <v>99</v>
      </c>
      <c r="B102" s="3" t="s">
        <v>289</v>
      </c>
      <c r="C102" s="3" t="s">
        <v>290</v>
      </c>
      <c r="D102" s="3" t="s">
        <v>102</v>
      </c>
      <c r="E102" s="3" t="s">
        <v>505</v>
      </c>
      <c r="F102" s="31">
        <v>10615</v>
      </c>
      <c r="G102" s="31">
        <v>10890</v>
      </c>
      <c r="H102" s="31">
        <f t="shared" si="6"/>
        <v>275</v>
      </c>
      <c r="I102" s="20">
        <f t="shared" si="7"/>
        <v>2.5906735751295335E-2</v>
      </c>
    </row>
    <row r="103" spans="1:9" x14ac:dyDescent="0.2">
      <c r="A103" s="3">
        <v>100</v>
      </c>
      <c r="B103" s="3" t="s">
        <v>291</v>
      </c>
      <c r="C103" s="3" t="s">
        <v>292</v>
      </c>
      <c r="D103" s="3" t="s">
        <v>147</v>
      </c>
      <c r="E103" s="3" t="s">
        <v>505</v>
      </c>
      <c r="F103" s="31">
        <v>11250</v>
      </c>
      <c r="G103" s="31">
        <v>11500</v>
      </c>
      <c r="H103" s="31">
        <f t="shared" si="6"/>
        <v>250</v>
      </c>
      <c r="I103" s="20">
        <f t="shared" si="7"/>
        <v>2.2222222222222223E-2</v>
      </c>
    </row>
    <row r="104" spans="1:9" x14ac:dyDescent="0.2">
      <c r="A104" s="3">
        <v>101</v>
      </c>
      <c r="B104" s="3" t="s">
        <v>293</v>
      </c>
      <c r="C104" s="3" t="s">
        <v>294</v>
      </c>
      <c r="D104" s="3" t="s">
        <v>121</v>
      </c>
      <c r="E104" s="3" t="s">
        <v>505</v>
      </c>
      <c r="F104" s="31">
        <v>8403</v>
      </c>
      <c r="G104" s="31">
        <v>9333</v>
      </c>
      <c r="H104" s="31">
        <f t="shared" si="6"/>
        <v>930</v>
      </c>
      <c r="I104" s="20">
        <f t="shared" si="7"/>
        <v>0.11067475901463764</v>
      </c>
    </row>
    <row r="105" spans="1:9" x14ac:dyDescent="0.2">
      <c r="A105" s="3">
        <v>102</v>
      </c>
      <c r="B105" s="3" t="s">
        <v>295</v>
      </c>
      <c r="C105" s="3" t="s">
        <v>296</v>
      </c>
      <c r="D105" s="3" t="s">
        <v>86</v>
      </c>
      <c r="E105" s="3" t="s">
        <v>505</v>
      </c>
      <c r="F105" s="31">
        <v>11500</v>
      </c>
      <c r="G105" s="31">
        <v>11750</v>
      </c>
      <c r="H105" s="31">
        <f t="shared" si="6"/>
        <v>250</v>
      </c>
      <c r="I105" s="20">
        <f t="shared" si="7"/>
        <v>2.1739130434782608E-2</v>
      </c>
    </row>
    <row r="106" spans="1:9" x14ac:dyDescent="0.2">
      <c r="A106" s="3">
        <v>103</v>
      </c>
      <c r="B106" s="3" t="s">
        <v>297</v>
      </c>
      <c r="C106" s="3" t="s">
        <v>298</v>
      </c>
      <c r="D106" s="3" t="s">
        <v>121</v>
      </c>
      <c r="E106" s="3" t="s">
        <v>505</v>
      </c>
      <c r="F106" s="31">
        <v>12530</v>
      </c>
      <c r="G106" s="31">
        <v>13640</v>
      </c>
      <c r="H106" s="31">
        <f t="shared" si="6"/>
        <v>1110</v>
      </c>
      <c r="I106" s="20">
        <f t="shared" si="7"/>
        <v>8.8587390263367913E-2</v>
      </c>
    </row>
    <row r="107" spans="1:9" x14ac:dyDescent="0.2">
      <c r="A107" s="3">
        <v>104</v>
      </c>
      <c r="B107" s="3" t="s">
        <v>299</v>
      </c>
      <c r="C107" s="3" t="s">
        <v>300</v>
      </c>
      <c r="D107" s="3" t="s">
        <v>102</v>
      </c>
      <c r="E107" s="3" t="s">
        <v>505</v>
      </c>
      <c r="F107" s="31">
        <v>12700</v>
      </c>
      <c r="G107" s="31">
        <v>13190</v>
      </c>
      <c r="H107" s="31">
        <f t="shared" si="6"/>
        <v>490</v>
      </c>
      <c r="I107" s="20">
        <f t="shared" si="7"/>
        <v>3.858267716535433E-2</v>
      </c>
    </row>
    <row r="108" spans="1:9" x14ac:dyDescent="0.2">
      <c r="A108" s="3">
        <v>105</v>
      </c>
      <c r="B108" s="3" t="s">
        <v>519</v>
      </c>
      <c r="C108" s="3" t="s">
        <v>520</v>
      </c>
      <c r="D108" s="3"/>
      <c r="E108" s="24" t="s">
        <v>509</v>
      </c>
      <c r="F108" s="31">
        <v>15000</v>
      </c>
      <c r="G108" s="31">
        <v>0</v>
      </c>
      <c r="H108" s="31">
        <f t="shared" si="6"/>
        <v>-15000</v>
      </c>
      <c r="I108" s="20">
        <f t="shared" si="7"/>
        <v>-1</v>
      </c>
    </row>
    <row r="109" spans="1:9" x14ac:dyDescent="0.2">
      <c r="A109" s="3">
        <v>106</v>
      </c>
      <c r="B109" s="3" t="s">
        <v>301</v>
      </c>
      <c r="C109" s="3" t="s">
        <v>302</v>
      </c>
      <c r="D109" s="3" t="s">
        <v>303</v>
      </c>
      <c r="E109" s="3" t="s">
        <v>505</v>
      </c>
      <c r="F109" s="31">
        <v>16500</v>
      </c>
      <c r="G109" s="31">
        <v>16750</v>
      </c>
      <c r="H109" s="31">
        <f t="shared" si="6"/>
        <v>250</v>
      </c>
      <c r="I109" s="20">
        <f t="shared" si="7"/>
        <v>1.5151515151515152E-2</v>
      </c>
    </row>
    <row r="110" spans="1:9" x14ac:dyDescent="0.2">
      <c r="A110" s="3">
        <v>107</v>
      </c>
      <c r="B110" s="3" t="s">
        <v>304</v>
      </c>
      <c r="C110" s="3" t="s">
        <v>305</v>
      </c>
      <c r="D110" s="3" t="s">
        <v>306</v>
      </c>
      <c r="E110" s="3" t="s">
        <v>505</v>
      </c>
      <c r="F110" s="31">
        <v>11500</v>
      </c>
      <c r="G110" s="31">
        <v>11750</v>
      </c>
      <c r="H110" s="31">
        <f t="shared" si="6"/>
        <v>250</v>
      </c>
      <c r="I110" s="20">
        <f t="shared" si="7"/>
        <v>2.1739130434782608E-2</v>
      </c>
    </row>
    <row r="111" spans="1:9" x14ac:dyDescent="0.2">
      <c r="A111" s="3">
        <v>108</v>
      </c>
      <c r="B111" s="3" t="s">
        <v>307</v>
      </c>
      <c r="C111" s="3" t="s">
        <v>308</v>
      </c>
      <c r="D111" s="3" t="s">
        <v>86</v>
      </c>
      <c r="E111" s="3" t="s">
        <v>505</v>
      </c>
      <c r="F111" s="31">
        <v>12500</v>
      </c>
      <c r="G111" s="31">
        <v>12750</v>
      </c>
      <c r="H111" s="31">
        <f t="shared" si="6"/>
        <v>250</v>
      </c>
      <c r="I111" s="20">
        <f t="shared" si="7"/>
        <v>0.02</v>
      </c>
    </row>
    <row r="112" spans="1:9" x14ac:dyDescent="0.2">
      <c r="A112" s="3">
        <v>109</v>
      </c>
      <c r="B112" s="3" t="s">
        <v>521</v>
      </c>
      <c r="C112" s="3" t="s">
        <v>522</v>
      </c>
      <c r="D112" s="3"/>
      <c r="E112" s="24" t="s">
        <v>509</v>
      </c>
      <c r="F112" s="31">
        <v>9000</v>
      </c>
      <c r="G112" s="31">
        <v>0</v>
      </c>
      <c r="H112" s="31">
        <f t="shared" si="6"/>
        <v>-9000</v>
      </c>
      <c r="I112" s="20">
        <f t="shared" si="7"/>
        <v>-1</v>
      </c>
    </row>
    <row r="113" spans="1:9" x14ac:dyDescent="0.2">
      <c r="A113" s="3">
        <v>110</v>
      </c>
      <c r="B113" s="3" t="s">
        <v>309</v>
      </c>
      <c r="C113" s="3" t="s">
        <v>310</v>
      </c>
      <c r="D113" s="3" t="s">
        <v>86</v>
      </c>
      <c r="E113" s="3" t="s">
        <v>505</v>
      </c>
      <c r="F113" s="31">
        <v>12750</v>
      </c>
      <c r="G113" s="31">
        <v>13000</v>
      </c>
      <c r="H113" s="31">
        <f t="shared" si="6"/>
        <v>250</v>
      </c>
      <c r="I113" s="20">
        <f t="shared" si="7"/>
        <v>1.9607843137254902E-2</v>
      </c>
    </row>
    <row r="114" spans="1:9" x14ac:dyDescent="0.2">
      <c r="A114" s="3">
        <v>111</v>
      </c>
      <c r="B114" s="3" t="s">
        <v>311</v>
      </c>
      <c r="C114" s="3" t="s">
        <v>312</v>
      </c>
      <c r="D114" s="3" t="s">
        <v>121</v>
      </c>
      <c r="E114" s="23" t="s">
        <v>506</v>
      </c>
      <c r="F114" s="31">
        <v>0</v>
      </c>
      <c r="G114" s="31">
        <v>14400</v>
      </c>
      <c r="H114" s="31">
        <f t="shared" si="6"/>
        <v>14400</v>
      </c>
      <c r="I114" s="20" t="str">
        <f t="shared" si="7"/>
        <v>N/A</v>
      </c>
    </row>
    <row r="115" spans="1:9" x14ac:dyDescent="0.2">
      <c r="A115" s="3">
        <v>112</v>
      </c>
      <c r="B115" s="3" t="s">
        <v>523</v>
      </c>
      <c r="C115" s="3" t="s">
        <v>312</v>
      </c>
      <c r="D115" s="3"/>
      <c r="E115" s="24" t="s">
        <v>509</v>
      </c>
      <c r="F115" s="31">
        <v>14950</v>
      </c>
      <c r="G115" s="31">
        <v>0</v>
      </c>
      <c r="H115" s="31">
        <f t="shared" si="6"/>
        <v>-14950</v>
      </c>
      <c r="I115" s="20">
        <f t="shared" si="7"/>
        <v>-1</v>
      </c>
    </row>
    <row r="116" spans="1:9" x14ac:dyDescent="0.2">
      <c r="A116" s="3">
        <v>113</v>
      </c>
      <c r="B116" s="3" t="s">
        <v>313</v>
      </c>
      <c r="C116" s="3" t="s">
        <v>314</v>
      </c>
      <c r="D116" s="3" t="s">
        <v>74</v>
      </c>
      <c r="E116" s="23" t="s">
        <v>506</v>
      </c>
      <c r="F116" s="31">
        <v>0</v>
      </c>
      <c r="G116" s="31">
        <v>10000</v>
      </c>
      <c r="H116" s="31">
        <f t="shared" si="6"/>
        <v>10000</v>
      </c>
      <c r="I116" s="20" t="str">
        <f t="shared" si="7"/>
        <v>N/A</v>
      </c>
    </row>
    <row r="117" spans="1:9" x14ac:dyDescent="0.2">
      <c r="A117" s="3">
        <v>114</v>
      </c>
      <c r="B117" s="3" t="s">
        <v>315</v>
      </c>
      <c r="C117" s="3" t="s">
        <v>281</v>
      </c>
      <c r="D117" s="3" t="s">
        <v>86</v>
      </c>
      <c r="E117" s="23" t="s">
        <v>506</v>
      </c>
      <c r="F117" s="31">
        <v>0</v>
      </c>
      <c r="G117" s="31">
        <v>11000</v>
      </c>
      <c r="H117" s="31">
        <f t="shared" si="6"/>
        <v>11000</v>
      </c>
      <c r="I117" s="20" t="str">
        <f t="shared" si="7"/>
        <v>N/A</v>
      </c>
    </row>
    <row r="118" spans="1:9" x14ac:dyDescent="0.2">
      <c r="A118" s="3">
        <v>115</v>
      </c>
      <c r="B118" s="3" t="s">
        <v>316</v>
      </c>
      <c r="C118" s="3" t="s">
        <v>317</v>
      </c>
      <c r="D118" s="3" t="s">
        <v>86</v>
      </c>
      <c r="E118" s="3" t="s">
        <v>505</v>
      </c>
      <c r="F118" s="31">
        <v>11000</v>
      </c>
      <c r="G118" s="31">
        <v>11250</v>
      </c>
      <c r="H118" s="31">
        <f t="shared" si="6"/>
        <v>250</v>
      </c>
      <c r="I118" s="20">
        <f t="shared" si="7"/>
        <v>2.2727272727272728E-2</v>
      </c>
    </row>
    <row r="119" spans="1:9" x14ac:dyDescent="0.2">
      <c r="A119" s="3">
        <v>116</v>
      </c>
      <c r="B119" s="3" t="s">
        <v>318</v>
      </c>
      <c r="C119" s="3" t="s">
        <v>524</v>
      </c>
      <c r="D119" s="3"/>
      <c r="E119" s="24" t="s">
        <v>509</v>
      </c>
      <c r="F119" s="31">
        <v>14000</v>
      </c>
      <c r="G119" s="31">
        <v>0</v>
      </c>
      <c r="H119" s="31">
        <f t="shared" si="6"/>
        <v>-14000</v>
      </c>
      <c r="I119" s="20">
        <f t="shared" si="7"/>
        <v>-1</v>
      </c>
    </row>
    <row r="120" spans="1:9" x14ac:dyDescent="0.2">
      <c r="A120" s="3">
        <v>117</v>
      </c>
      <c r="B120" s="3" t="s">
        <v>318</v>
      </c>
      <c r="C120" s="3" t="s">
        <v>319</v>
      </c>
      <c r="D120" s="3" t="s">
        <v>159</v>
      </c>
      <c r="E120" s="3" t="s">
        <v>505</v>
      </c>
      <c r="F120" s="31">
        <v>9000</v>
      </c>
      <c r="G120" s="31">
        <v>9200</v>
      </c>
      <c r="H120" s="31">
        <f t="shared" si="6"/>
        <v>200</v>
      </c>
      <c r="I120" s="20">
        <f t="shared" si="7"/>
        <v>2.2222222222222223E-2</v>
      </c>
    </row>
    <row r="121" spans="1:9" x14ac:dyDescent="0.2">
      <c r="A121" s="3">
        <v>118</v>
      </c>
      <c r="B121" s="3" t="s">
        <v>320</v>
      </c>
      <c r="C121" s="3" t="s">
        <v>302</v>
      </c>
      <c r="D121" s="3" t="s">
        <v>74</v>
      </c>
      <c r="E121" s="23" t="s">
        <v>506</v>
      </c>
      <c r="F121" s="31">
        <v>0</v>
      </c>
      <c r="G121" s="31">
        <v>11250</v>
      </c>
      <c r="H121" s="31">
        <f t="shared" si="6"/>
        <v>11250</v>
      </c>
      <c r="I121" s="20" t="str">
        <f t="shared" si="7"/>
        <v>N/A</v>
      </c>
    </row>
    <row r="122" spans="1:9" x14ac:dyDescent="0.2">
      <c r="A122" s="3">
        <v>119</v>
      </c>
      <c r="B122" s="3" t="s">
        <v>321</v>
      </c>
      <c r="C122" s="3" t="s">
        <v>234</v>
      </c>
      <c r="D122" s="3" t="s">
        <v>121</v>
      </c>
      <c r="E122" s="3" t="s">
        <v>505</v>
      </c>
      <c r="F122" s="31">
        <v>14600</v>
      </c>
      <c r="G122" s="31">
        <v>15450</v>
      </c>
      <c r="H122" s="31">
        <f t="shared" si="6"/>
        <v>850</v>
      </c>
      <c r="I122" s="20">
        <f t="shared" si="7"/>
        <v>5.8219178082191778E-2</v>
      </c>
    </row>
    <row r="123" spans="1:9" x14ac:dyDescent="0.2">
      <c r="A123" s="3">
        <v>120</v>
      </c>
      <c r="B123" s="3" t="s">
        <v>322</v>
      </c>
      <c r="C123" s="3" t="s">
        <v>213</v>
      </c>
      <c r="D123" s="3" t="s">
        <v>132</v>
      </c>
      <c r="E123" s="3" t="s">
        <v>505</v>
      </c>
      <c r="F123" s="31">
        <v>13790</v>
      </c>
      <c r="G123" s="31">
        <v>15240</v>
      </c>
      <c r="H123" s="31">
        <f t="shared" si="6"/>
        <v>1450</v>
      </c>
      <c r="I123" s="20">
        <f t="shared" si="7"/>
        <v>0.10514865844815083</v>
      </c>
    </row>
    <row r="124" spans="1:9" x14ac:dyDescent="0.2">
      <c r="A124" s="3">
        <v>121</v>
      </c>
      <c r="B124" s="3" t="s">
        <v>323</v>
      </c>
      <c r="C124" s="3" t="s">
        <v>324</v>
      </c>
      <c r="D124" s="3" t="s">
        <v>325</v>
      </c>
      <c r="E124" s="3" t="s">
        <v>505</v>
      </c>
      <c r="F124" s="31">
        <v>17000</v>
      </c>
      <c r="G124" s="31">
        <v>17250</v>
      </c>
      <c r="H124" s="31">
        <f t="shared" si="6"/>
        <v>250</v>
      </c>
      <c r="I124" s="20">
        <f t="shared" si="7"/>
        <v>1.4705882352941176E-2</v>
      </c>
    </row>
    <row r="125" spans="1:9" x14ac:dyDescent="0.2">
      <c r="A125" s="3">
        <v>122</v>
      </c>
      <c r="B125" s="3" t="s">
        <v>326</v>
      </c>
      <c r="C125" s="3" t="s">
        <v>327</v>
      </c>
      <c r="D125" s="3" t="s">
        <v>121</v>
      </c>
      <c r="E125" s="3" t="s">
        <v>505</v>
      </c>
      <c r="F125" s="31">
        <v>13050</v>
      </c>
      <c r="G125" s="31">
        <v>13300</v>
      </c>
      <c r="H125" s="31">
        <f t="shared" si="6"/>
        <v>250</v>
      </c>
      <c r="I125" s="20">
        <f t="shared" si="7"/>
        <v>1.9157088122605363E-2</v>
      </c>
    </row>
    <row r="126" spans="1:9" x14ac:dyDescent="0.2">
      <c r="A126" s="3">
        <v>123</v>
      </c>
      <c r="B126" s="3" t="s">
        <v>328</v>
      </c>
      <c r="C126" s="3" t="s">
        <v>329</v>
      </c>
      <c r="D126" s="3" t="s">
        <v>121</v>
      </c>
      <c r="E126" s="3" t="s">
        <v>505</v>
      </c>
      <c r="F126" s="31">
        <v>15750</v>
      </c>
      <c r="G126" s="31">
        <v>14000</v>
      </c>
      <c r="H126" s="31">
        <f t="shared" si="6"/>
        <v>-1750</v>
      </c>
      <c r="I126" s="20">
        <f t="shared" si="7"/>
        <v>-0.1111111111111111</v>
      </c>
    </row>
    <row r="127" spans="1:9" x14ac:dyDescent="0.2">
      <c r="A127" s="3">
        <v>124</v>
      </c>
      <c r="B127" s="3" t="s">
        <v>330</v>
      </c>
      <c r="C127" s="3" t="s">
        <v>331</v>
      </c>
      <c r="D127" s="3" t="s">
        <v>332</v>
      </c>
      <c r="E127" s="23" t="s">
        <v>506</v>
      </c>
      <c r="F127" s="31">
        <v>0</v>
      </c>
      <c r="G127" s="31">
        <v>11500</v>
      </c>
      <c r="H127" s="31">
        <f t="shared" si="6"/>
        <v>11500</v>
      </c>
      <c r="I127" s="20" t="str">
        <f t="shared" si="7"/>
        <v>N/A</v>
      </c>
    </row>
    <row r="128" spans="1:9" x14ac:dyDescent="0.2">
      <c r="A128" s="3">
        <v>125</v>
      </c>
      <c r="B128" s="3" t="s">
        <v>333</v>
      </c>
      <c r="C128" s="3" t="s">
        <v>334</v>
      </c>
      <c r="D128" s="3" t="s">
        <v>121</v>
      </c>
      <c r="E128" s="3" t="s">
        <v>505</v>
      </c>
      <c r="F128" s="31">
        <v>10350</v>
      </c>
      <c r="G128" s="31">
        <v>12250</v>
      </c>
      <c r="H128" s="31">
        <f t="shared" si="6"/>
        <v>1900</v>
      </c>
      <c r="I128" s="20">
        <f t="shared" si="7"/>
        <v>0.18357487922705315</v>
      </c>
    </row>
    <row r="129" spans="1:9" x14ac:dyDescent="0.2">
      <c r="A129" s="3">
        <v>126</v>
      </c>
      <c r="B129" s="3" t="s">
        <v>335</v>
      </c>
      <c r="C129" s="3" t="s">
        <v>336</v>
      </c>
      <c r="D129" s="3" t="s">
        <v>132</v>
      </c>
      <c r="E129" s="23" t="s">
        <v>506</v>
      </c>
      <c r="F129" s="31">
        <v>0</v>
      </c>
      <c r="G129" s="31">
        <v>5200</v>
      </c>
      <c r="H129" s="31">
        <f t="shared" si="6"/>
        <v>5200</v>
      </c>
      <c r="I129" s="20" t="str">
        <f t="shared" si="7"/>
        <v>N/A</v>
      </c>
    </row>
    <row r="130" spans="1:9" x14ac:dyDescent="0.2">
      <c r="A130" s="3">
        <v>127</v>
      </c>
      <c r="B130" s="3" t="s">
        <v>525</v>
      </c>
      <c r="C130" s="3" t="s">
        <v>526</v>
      </c>
      <c r="D130" s="3"/>
      <c r="E130" s="24" t="s">
        <v>509</v>
      </c>
      <c r="F130" s="31">
        <v>10600</v>
      </c>
      <c r="G130" s="31">
        <v>0</v>
      </c>
      <c r="H130" s="31">
        <f t="shared" si="6"/>
        <v>-10600</v>
      </c>
      <c r="I130" s="20">
        <f t="shared" si="7"/>
        <v>-1</v>
      </c>
    </row>
    <row r="131" spans="1:9" x14ac:dyDescent="0.2">
      <c r="A131" s="3">
        <v>128</v>
      </c>
      <c r="B131" s="3" t="s">
        <v>337</v>
      </c>
      <c r="C131" s="3" t="s">
        <v>338</v>
      </c>
      <c r="D131" s="3" t="s">
        <v>121</v>
      </c>
      <c r="E131" s="3" t="s">
        <v>505</v>
      </c>
      <c r="F131" s="31">
        <v>14600</v>
      </c>
      <c r="G131" s="31">
        <v>14850</v>
      </c>
      <c r="H131" s="31">
        <f t="shared" si="6"/>
        <v>250</v>
      </c>
      <c r="I131" s="20">
        <f t="shared" si="7"/>
        <v>1.7123287671232876E-2</v>
      </c>
    </row>
    <row r="132" spans="1:9" x14ac:dyDescent="0.2">
      <c r="A132" s="3">
        <v>129</v>
      </c>
      <c r="B132" s="3" t="s">
        <v>339</v>
      </c>
      <c r="C132" s="3" t="s">
        <v>340</v>
      </c>
      <c r="D132" s="3" t="s">
        <v>341</v>
      </c>
      <c r="E132" s="23" t="s">
        <v>506</v>
      </c>
      <c r="F132" s="31">
        <v>0</v>
      </c>
      <c r="G132" s="31">
        <v>12750</v>
      </c>
      <c r="H132" s="31">
        <f t="shared" ref="H132:H163" si="8">G132-F132</f>
        <v>12750</v>
      </c>
      <c r="I132" s="20" t="str">
        <f t="shared" ref="I132:I163" si="9">IF(F132=0,"N/A",H132/F132)</f>
        <v>N/A</v>
      </c>
    </row>
    <row r="133" spans="1:9" x14ac:dyDescent="0.2">
      <c r="A133" s="3">
        <v>130</v>
      </c>
      <c r="B133" s="3" t="s">
        <v>342</v>
      </c>
      <c r="C133" s="3" t="s">
        <v>129</v>
      </c>
      <c r="D133" s="3" t="s">
        <v>343</v>
      </c>
      <c r="E133" s="3" t="s">
        <v>505</v>
      </c>
      <c r="F133" s="31">
        <v>9400</v>
      </c>
      <c r="G133" s="31">
        <v>9600</v>
      </c>
      <c r="H133" s="31">
        <f t="shared" si="8"/>
        <v>200</v>
      </c>
      <c r="I133" s="20">
        <f t="shared" si="9"/>
        <v>2.1276595744680851E-2</v>
      </c>
    </row>
    <row r="134" spans="1:9" x14ac:dyDescent="0.2">
      <c r="A134" s="3">
        <v>131</v>
      </c>
      <c r="B134" s="3" t="s">
        <v>344</v>
      </c>
      <c r="C134" s="3" t="s">
        <v>345</v>
      </c>
      <c r="D134" s="3" t="s">
        <v>346</v>
      </c>
      <c r="E134" s="3" t="s">
        <v>505</v>
      </c>
      <c r="F134" s="31">
        <v>25250</v>
      </c>
      <c r="G134" s="31">
        <v>25500</v>
      </c>
      <c r="H134" s="31">
        <f t="shared" si="8"/>
        <v>250</v>
      </c>
      <c r="I134" s="20">
        <f t="shared" si="9"/>
        <v>9.9009900990099011E-3</v>
      </c>
    </row>
    <row r="135" spans="1:9" x14ac:dyDescent="0.2">
      <c r="A135" s="3">
        <v>132</v>
      </c>
      <c r="B135" s="3" t="s">
        <v>344</v>
      </c>
      <c r="C135" s="3" t="s">
        <v>347</v>
      </c>
      <c r="D135" s="3" t="s">
        <v>159</v>
      </c>
      <c r="E135" s="3" t="s">
        <v>505</v>
      </c>
      <c r="F135" s="31">
        <v>9600</v>
      </c>
      <c r="G135" s="31">
        <v>9800</v>
      </c>
      <c r="H135" s="31">
        <f t="shared" si="8"/>
        <v>200</v>
      </c>
      <c r="I135" s="20">
        <f t="shared" si="9"/>
        <v>2.0833333333333332E-2</v>
      </c>
    </row>
    <row r="136" spans="1:9" x14ac:dyDescent="0.2">
      <c r="A136" s="3">
        <v>133</v>
      </c>
      <c r="B136" s="3" t="s">
        <v>348</v>
      </c>
      <c r="C136" s="3" t="s">
        <v>285</v>
      </c>
      <c r="D136" s="3" t="s">
        <v>349</v>
      </c>
      <c r="E136" s="3" t="s">
        <v>505</v>
      </c>
      <c r="F136" s="31">
        <v>13250</v>
      </c>
      <c r="G136" s="31">
        <v>13500</v>
      </c>
      <c r="H136" s="31">
        <f t="shared" si="8"/>
        <v>250</v>
      </c>
      <c r="I136" s="20">
        <f t="shared" si="9"/>
        <v>1.8867924528301886E-2</v>
      </c>
    </row>
    <row r="137" spans="1:9" x14ac:dyDescent="0.2">
      <c r="A137" s="3">
        <v>134</v>
      </c>
      <c r="B137" s="3" t="s">
        <v>350</v>
      </c>
      <c r="C137" s="3" t="s">
        <v>351</v>
      </c>
      <c r="D137" s="3" t="s">
        <v>121</v>
      </c>
      <c r="E137" s="3" t="s">
        <v>505</v>
      </c>
      <c r="F137" s="31">
        <v>12000</v>
      </c>
      <c r="G137" s="31">
        <v>12000</v>
      </c>
      <c r="H137" s="31">
        <f t="shared" si="8"/>
        <v>0</v>
      </c>
      <c r="I137" s="20">
        <f t="shared" si="9"/>
        <v>0</v>
      </c>
    </row>
    <row r="138" spans="1:9" x14ac:dyDescent="0.2">
      <c r="A138" s="3">
        <v>135</v>
      </c>
      <c r="B138" s="3" t="s">
        <v>352</v>
      </c>
      <c r="C138" s="3" t="s">
        <v>353</v>
      </c>
      <c r="D138" s="3" t="s">
        <v>159</v>
      </c>
      <c r="E138" s="3" t="s">
        <v>505</v>
      </c>
      <c r="F138" s="31">
        <v>9400</v>
      </c>
      <c r="G138" s="31">
        <v>9600</v>
      </c>
      <c r="H138" s="31">
        <f t="shared" si="8"/>
        <v>200</v>
      </c>
      <c r="I138" s="20">
        <f t="shared" si="9"/>
        <v>2.1276595744680851E-2</v>
      </c>
    </row>
    <row r="139" spans="1:9" x14ac:dyDescent="0.2">
      <c r="A139" s="3">
        <v>136</v>
      </c>
      <c r="B139" s="3" t="s">
        <v>354</v>
      </c>
      <c r="C139" s="3" t="s">
        <v>241</v>
      </c>
      <c r="D139" s="3" t="s">
        <v>355</v>
      </c>
      <c r="E139" s="3" t="s">
        <v>505</v>
      </c>
      <c r="F139" s="31">
        <v>13750</v>
      </c>
      <c r="G139" s="31">
        <v>16000</v>
      </c>
      <c r="H139" s="31">
        <f t="shared" si="8"/>
        <v>2250</v>
      </c>
      <c r="I139" s="20">
        <f t="shared" si="9"/>
        <v>0.16363636363636364</v>
      </c>
    </row>
    <row r="140" spans="1:9" x14ac:dyDescent="0.2">
      <c r="A140" s="3">
        <v>137</v>
      </c>
      <c r="B140" s="3" t="s">
        <v>357</v>
      </c>
      <c r="C140" s="3" t="s">
        <v>358</v>
      </c>
      <c r="D140" s="3" t="s">
        <v>132</v>
      </c>
      <c r="E140" s="3" t="s">
        <v>505</v>
      </c>
      <c r="F140" s="31">
        <v>12100</v>
      </c>
      <c r="G140" s="31">
        <v>12350</v>
      </c>
      <c r="H140" s="31">
        <f t="shared" si="8"/>
        <v>250</v>
      </c>
      <c r="I140" s="20">
        <f t="shared" si="9"/>
        <v>2.0661157024793389E-2</v>
      </c>
    </row>
    <row r="141" spans="1:9" x14ac:dyDescent="0.2">
      <c r="A141" s="3">
        <v>138</v>
      </c>
      <c r="B141" s="3" t="s">
        <v>359</v>
      </c>
      <c r="C141" s="3" t="s">
        <v>360</v>
      </c>
      <c r="D141" s="3" t="s">
        <v>237</v>
      </c>
      <c r="E141" s="3" t="s">
        <v>505</v>
      </c>
      <c r="F141" s="31">
        <v>12250</v>
      </c>
      <c r="G141" s="31">
        <v>12500</v>
      </c>
      <c r="H141" s="31">
        <f t="shared" si="8"/>
        <v>250</v>
      </c>
      <c r="I141" s="20">
        <f t="shared" si="9"/>
        <v>2.0408163265306121E-2</v>
      </c>
    </row>
    <row r="142" spans="1:9" x14ac:dyDescent="0.2">
      <c r="A142" s="3">
        <v>139</v>
      </c>
      <c r="B142" s="3" t="s">
        <v>361</v>
      </c>
      <c r="C142" s="3" t="s">
        <v>97</v>
      </c>
      <c r="D142" s="3" t="s">
        <v>159</v>
      </c>
      <c r="E142" s="3" t="s">
        <v>505</v>
      </c>
      <c r="F142" s="31">
        <v>10400</v>
      </c>
      <c r="G142" s="31">
        <v>10600</v>
      </c>
      <c r="H142" s="31">
        <f t="shared" si="8"/>
        <v>200</v>
      </c>
      <c r="I142" s="20">
        <f t="shared" si="9"/>
        <v>1.9230769230769232E-2</v>
      </c>
    </row>
    <row r="143" spans="1:9" x14ac:dyDescent="0.2">
      <c r="A143" s="3">
        <v>140</v>
      </c>
      <c r="B143" s="3" t="s">
        <v>362</v>
      </c>
      <c r="C143" s="3" t="s">
        <v>363</v>
      </c>
      <c r="D143" s="3" t="s">
        <v>265</v>
      </c>
      <c r="E143" s="3" t="s">
        <v>505</v>
      </c>
      <c r="F143" s="31">
        <v>5500</v>
      </c>
      <c r="G143" s="31">
        <v>5625</v>
      </c>
      <c r="H143" s="31">
        <f t="shared" si="8"/>
        <v>125</v>
      </c>
      <c r="I143" s="20">
        <f t="shared" si="9"/>
        <v>2.2727272727272728E-2</v>
      </c>
    </row>
    <row r="144" spans="1:9" x14ac:dyDescent="0.2">
      <c r="A144" s="3">
        <v>141</v>
      </c>
      <c r="B144" s="3" t="s">
        <v>362</v>
      </c>
      <c r="C144" s="3" t="s">
        <v>363</v>
      </c>
      <c r="D144" s="3" t="s">
        <v>265</v>
      </c>
      <c r="E144" s="3" t="s">
        <v>505</v>
      </c>
      <c r="F144" s="31">
        <v>6000</v>
      </c>
      <c r="G144" s="31">
        <v>5625</v>
      </c>
      <c r="H144" s="31">
        <f t="shared" si="8"/>
        <v>-375</v>
      </c>
      <c r="I144" s="20">
        <f t="shared" si="9"/>
        <v>-6.25E-2</v>
      </c>
    </row>
    <row r="145" spans="1:9" x14ac:dyDescent="0.2">
      <c r="A145" s="3">
        <v>142</v>
      </c>
      <c r="B145" s="3" t="s">
        <v>362</v>
      </c>
      <c r="C145" s="3" t="s">
        <v>363</v>
      </c>
      <c r="D145" s="3" t="s">
        <v>121</v>
      </c>
      <c r="E145" s="3" t="s">
        <v>505</v>
      </c>
      <c r="F145" s="31">
        <v>5500</v>
      </c>
      <c r="G145" s="31">
        <v>6125</v>
      </c>
      <c r="H145" s="31">
        <f t="shared" si="8"/>
        <v>625</v>
      </c>
      <c r="I145" s="20">
        <f t="shared" si="9"/>
        <v>0.11363636363636363</v>
      </c>
    </row>
    <row r="146" spans="1:9" x14ac:dyDescent="0.2">
      <c r="A146" s="3">
        <v>143</v>
      </c>
      <c r="B146" s="3" t="s">
        <v>362</v>
      </c>
      <c r="C146" s="3" t="s">
        <v>363</v>
      </c>
      <c r="D146" s="3" t="s">
        <v>121</v>
      </c>
      <c r="E146" s="3" t="s">
        <v>505</v>
      </c>
      <c r="F146" s="31">
        <v>6000</v>
      </c>
      <c r="G146" s="31">
        <v>6125</v>
      </c>
      <c r="H146" s="31">
        <f t="shared" si="8"/>
        <v>125</v>
      </c>
      <c r="I146" s="20">
        <f t="shared" si="9"/>
        <v>2.0833333333333332E-2</v>
      </c>
    </row>
    <row r="147" spans="1:9" x14ac:dyDescent="0.2">
      <c r="A147" s="3">
        <v>144</v>
      </c>
      <c r="B147" s="3" t="s">
        <v>364</v>
      </c>
      <c r="C147" s="3" t="s">
        <v>365</v>
      </c>
      <c r="D147" s="3" t="s">
        <v>223</v>
      </c>
      <c r="E147" s="3" t="s">
        <v>505</v>
      </c>
      <c r="F147" s="31">
        <v>10200</v>
      </c>
      <c r="G147" s="31">
        <v>16000</v>
      </c>
      <c r="H147" s="31">
        <f t="shared" si="8"/>
        <v>5800</v>
      </c>
      <c r="I147" s="20">
        <f t="shared" si="9"/>
        <v>0.56862745098039214</v>
      </c>
    </row>
    <row r="148" spans="1:9" x14ac:dyDescent="0.2">
      <c r="A148" s="3">
        <v>145</v>
      </c>
      <c r="B148" s="3" t="s">
        <v>527</v>
      </c>
      <c r="C148" s="3" t="s">
        <v>528</v>
      </c>
      <c r="D148" s="3"/>
      <c r="E148" s="24" t="s">
        <v>509</v>
      </c>
      <c r="F148" s="31">
        <v>18500</v>
      </c>
      <c r="G148" s="31">
        <v>0</v>
      </c>
      <c r="H148" s="31">
        <f t="shared" si="8"/>
        <v>-18500</v>
      </c>
      <c r="I148" s="20">
        <f t="shared" si="9"/>
        <v>-1</v>
      </c>
    </row>
    <row r="149" spans="1:9" x14ac:dyDescent="0.2">
      <c r="A149" s="3">
        <v>146</v>
      </c>
      <c r="B149" s="3" t="s">
        <v>367</v>
      </c>
      <c r="C149" s="3" t="s">
        <v>317</v>
      </c>
      <c r="D149" s="3" t="s">
        <v>368</v>
      </c>
      <c r="E149" s="3" t="s">
        <v>505</v>
      </c>
      <c r="F149" s="31">
        <v>10174</v>
      </c>
      <c r="G149" s="31">
        <v>10377</v>
      </c>
      <c r="H149" s="31">
        <f t="shared" si="8"/>
        <v>203</v>
      </c>
      <c r="I149" s="20">
        <f t="shared" si="9"/>
        <v>1.9952820916060546E-2</v>
      </c>
    </row>
    <row r="150" spans="1:9" x14ac:dyDescent="0.2">
      <c r="A150" s="3">
        <v>147</v>
      </c>
      <c r="B150" s="3" t="s">
        <v>369</v>
      </c>
      <c r="C150" s="3" t="s">
        <v>177</v>
      </c>
      <c r="D150" s="3" t="s">
        <v>121</v>
      </c>
      <c r="E150" s="23" t="s">
        <v>506</v>
      </c>
      <c r="F150" s="31">
        <v>0</v>
      </c>
      <c r="G150" s="31">
        <v>13000</v>
      </c>
      <c r="H150" s="31">
        <f t="shared" si="8"/>
        <v>13000</v>
      </c>
      <c r="I150" s="20" t="str">
        <f t="shared" si="9"/>
        <v>N/A</v>
      </c>
    </row>
    <row r="151" spans="1:9" x14ac:dyDescent="0.2">
      <c r="A151" s="3">
        <v>148</v>
      </c>
      <c r="B151" s="3" t="s">
        <v>370</v>
      </c>
      <c r="C151" s="3" t="s">
        <v>371</v>
      </c>
      <c r="D151" s="3" t="s">
        <v>121</v>
      </c>
      <c r="E151" s="23" t="s">
        <v>506</v>
      </c>
      <c r="F151" s="31">
        <v>0</v>
      </c>
      <c r="G151" s="31">
        <v>5500</v>
      </c>
      <c r="H151" s="31">
        <f t="shared" si="8"/>
        <v>5500</v>
      </c>
      <c r="I151" s="20" t="str">
        <f t="shared" si="9"/>
        <v>N/A</v>
      </c>
    </row>
    <row r="152" spans="1:9" x14ac:dyDescent="0.2">
      <c r="A152" s="3">
        <v>149</v>
      </c>
      <c r="B152" s="3" t="s">
        <v>372</v>
      </c>
      <c r="C152" s="3" t="s">
        <v>373</v>
      </c>
      <c r="D152" s="3" t="s">
        <v>86</v>
      </c>
      <c r="E152" s="3" t="s">
        <v>505</v>
      </c>
      <c r="F152" s="31">
        <v>13250</v>
      </c>
      <c r="G152" s="31">
        <v>13500</v>
      </c>
      <c r="H152" s="31">
        <f t="shared" si="8"/>
        <v>250</v>
      </c>
      <c r="I152" s="20">
        <f t="shared" si="9"/>
        <v>1.8867924528301886E-2</v>
      </c>
    </row>
    <row r="153" spans="1:9" x14ac:dyDescent="0.2">
      <c r="A153" s="3">
        <v>150</v>
      </c>
      <c r="B153" s="3" t="s">
        <v>374</v>
      </c>
      <c r="C153" s="3" t="s">
        <v>375</v>
      </c>
      <c r="D153" s="3" t="s">
        <v>376</v>
      </c>
      <c r="E153" s="3" t="s">
        <v>505</v>
      </c>
      <c r="F153" s="31">
        <v>11750</v>
      </c>
      <c r="G153" s="31">
        <v>12000</v>
      </c>
      <c r="H153" s="31">
        <f t="shared" si="8"/>
        <v>250</v>
      </c>
      <c r="I153" s="20">
        <f t="shared" si="9"/>
        <v>2.1276595744680851E-2</v>
      </c>
    </row>
    <row r="154" spans="1:9" x14ac:dyDescent="0.2">
      <c r="A154" s="3">
        <v>151</v>
      </c>
      <c r="B154" s="3" t="s">
        <v>377</v>
      </c>
      <c r="C154" s="3" t="s">
        <v>353</v>
      </c>
      <c r="D154" s="3" t="s">
        <v>121</v>
      </c>
      <c r="E154" s="23" t="s">
        <v>506</v>
      </c>
      <c r="F154" s="31">
        <v>0</v>
      </c>
      <c r="G154" s="31">
        <v>12700</v>
      </c>
      <c r="H154" s="31">
        <f t="shared" si="8"/>
        <v>12700</v>
      </c>
      <c r="I154" s="20" t="str">
        <f t="shared" si="9"/>
        <v>N/A</v>
      </c>
    </row>
    <row r="155" spans="1:9" x14ac:dyDescent="0.2">
      <c r="A155" s="3">
        <v>152</v>
      </c>
      <c r="B155" s="3" t="s">
        <v>378</v>
      </c>
      <c r="C155" s="3" t="s">
        <v>375</v>
      </c>
      <c r="D155" s="3" t="s">
        <v>121</v>
      </c>
      <c r="E155" s="3" t="s">
        <v>505</v>
      </c>
      <c r="F155" s="31">
        <v>8250</v>
      </c>
      <c r="G155" s="31">
        <v>12550</v>
      </c>
      <c r="H155" s="31">
        <f t="shared" si="8"/>
        <v>4300</v>
      </c>
      <c r="I155" s="20">
        <f t="shared" si="9"/>
        <v>0.52121212121212124</v>
      </c>
    </row>
    <row r="156" spans="1:9" x14ac:dyDescent="0.2">
      <c r="A156" s="3">
        <v>153</v>
      </c>
      <c r="B156" s="3" t="s">
        <v>379</v>
      </c>
      <c r="C156" s="3" t="s">
        <v>380</v>
      </c>
      <c r="D156" s="3" t="s">
        <v>86</v>
      </c>
      <c r="E156" s="3" t="s">
        <v>505</v>
      </c>
      <c r="F156" s="31">
        <v>12000</v>
      </c>
      <c r="G156" s="31">
        <v>12250</v>
      </c>
      <c r="H156" s="31">
        <f t="shared" si="8"/>
        <v>250</v>
      </c>
      <c r="I156" s="20">
        <f t="shared" si="9"/>
        <v>2.0833333333333332E-2</v>
      </c>
    </row>
    <row r="157" spans="1:9" x14ac:dyDescent="0.2">
      <c r="A157" s="3">
        <v>154</v>
      </c>
      <c r="B157" s="3" t="s">
        <v>381</v>
      </c>
      <c r="C157" s="3" t="s">
        <v>382</v>
      </c>
      <c r="D157" s="3" t="s">
        <v>86</v>
      </c>
      <c r="E157" s="3" t="s">
        <v>505</v>
      </c>
      <c r="F157" s="31">
        <v>11000</v>
      </c>
      <c r="G157" s="31">
        <v>11250</v>
      </c>
      <c r="H157" s="31">
        <f t="shared" si="8"/>
        <v>250</v>
      </c>
      <c r="I157" s="20">
        <f t="shared" si="9"/>
        <v>2.2727272727272728E-2</v>
      </c>
    </row>
    <row r="158" spans="1:9" x14ac:dyDescent="0.2">
      <c r="A158" s="3">
        <v>155</v>
      </c>
      <c r="B158" s="3" t="s">
        <v>383</v>
      </c>
      <c r="C158" s="3" t="s">
        <v>360</v>
      </c>
      <c r="D158" s="3" t="s">
        <v>121</v>
      </c>
      <c r="E158" s="3" t="s">
        <v>505</v>
      </c>
      <c r="F158" s="31">
        <v>13200</v>
      </c>
      <c r="G158" s="31">
        <v>14050</v>
      </c>
      <c r="H158" s="31">
        <f t="shared" si="8"/>
        <v>850</v>
      </c>
      <c r="I158" s="20">
        <f t="shared" si="9"/>
        <v>6.4393939393939392E-2</v>
      </c>
    </row>
    <row r="159" spans="1:9" x14ac:dyDescent="0.2">
      <c r="A159" s="3">
        <v>156</v>
      </c>
      <c r="B159" s="3" t="s">
        <v>384</v>
      </c>
      <c r="C159" s="3" t="s">
        <v>385</v>
      </c>
      <c r="D159" s="3" t="s">
        <v>121</v>
      </c>
      <c r="E159" s="3" t="s">
        <v>505</v>
      </c>
      <c r="F159" s="31">
        <v>14550</v>
      </c>
      <c r="G159" s="31">
        <v>15400</v>
      </c>
      <c r="H159" s="31">
        <f t="shared" si="8"/>
        <v>850</v>
      </c>
      <c r="I159" s="20">
        <f t="shared" si="9"/>
        <v>5.8419243986254296E-2</v>
      </c>
    </row>
    <row r="160" spans="1:9" x14ac:dyDescent="0.2">
      <c r="A160" s="3">
        <v>157</v>
      </c>
      <c r="B160" s="3" t="s">
        <v>386</v>
      </c>
      <c r="C160" s="3" t="s">
        <v>257</v>
      </c>
      <c r="D160" s="3" t="s">
        <v>74</v>
      </c>
      <c r="E160" s="23" t="s">
        <v>506</v>
      </c>
      <c r="F160" s="31">
        <v>0</v>
      </c>
      <c r="G160" s="31">
        <v>10000</v>
      </c>
      <c r="H160" s="31">
        <f t="shared" si="8"/>
        <v>10000</v>
      </c>
      <c r="I160" s="20" t="str">
        <f t="shared" si="9"/>
        <v>N/A</v>
      </c>
    </row>
    <row r="161" spans="1:9" x14ac:dyDescent="0.2">
      <c r="A161" s="3">
        <v>158</v>
      </c>
      <c r="B161" s="3" t="s">
        <v>387</v>
      </c>
      <c r="C161" s="3" t="s">
        <v>388</v>
      </c>
      <c r="D161" s="3" t="s">
        <v>102</v>
      </c>
      <c r="E161" s="3" t="s">
        <v>505</v>
      </c>
      <c r="F161" s="31">
        <v>12535</v>
      </c>
      <c r="G161" s="31">
        <v>13546</v>
      </c>
      <c r="H161" s="31">
        <f t="shared" si="8"/>
        <v>1011</v>
      </c>
      <c r="I161" s="20">
        <f t="shared" si="9"/>
        <v>8.0654168328679693E-2</v>
      </c>
    </row>
    <row r="162" spans="1:9" x14ac:dyDescent="0.2">
      <c r="A162" s="3">
        <v>159</v>
      </c>
      <c r="B162" s="3" t="s">
        <v>389</v>
      </c>
      <c r="C162" s="3" t="s">
        <v>390</v>
      </c>
      <c r="D162" s="3" t="s">
        <v>121</v>
      </c>
      <c r="E162" s="23" t="s">
        <v>506</v>
      </c>
      <c r="F162" s="31">
        <v>0</v>
      </c>
      <c r="G162" s="31">
        <v>12950</v>
      </c>
      <c r="H162" s="31">
        <f t="shared" si="8"/>
        <v>12950</v>
      </c>
      <c r="I162" s="20" t="str">
        <f t="shared" si="9"/>
        <v>N/A</v>
      </c>
    </row>
    <row r="163" spans="1:9" x14ac:dyDescent="0.2">
      <c r="A163" s="3">
        <v>160</v>
      </c>
      <c r="B163" s="3" t="s">
        <v>391</v>
      </c>
      <c r="C163" s="3" t="s">
        <v>392</v>
      </c>
      <c r="D163" s="3" t="s">
        <v>132</v>
      </c>
      <c r="E163" s="3" t="s">
        <v>505</v>
      </c>
      <c r="F163" s="31">
        <v>12046</v>
      </c>
      <c r="G163" s="31">
        <v>13080</v>
      </c>
      <c r="H163" s="31">
        <f t="shared" si="8"/>
        <v>1034</v>
      </c>
      <c r="I163" s="20">
        <f t="shared" si="9"/>
        <v>8.5837622447285405E-2</v>
      </c>
    </row>
    <row r="164" spans="1:9" x14ac:dyDescent="0.2">
      <c r="A164" s="3">
        <v>161</v>
      </c>
      <c r="B164" s="3" t="s">
        <v>393</v>
      </c>
      <c r="C164" s="3" t="s">
        <v>385</v>
      </c>
      <c r="D164" s="3" t="s">
        <v>121</v>
      </c>
      <c r="E164" s="3" t="s">
        <v>505</v>
      </c>
      <c r="F164" s="31">
        <v>6876</v>
      </c>
      <c r="G164" s="31">
        <v>7667</v>
      </c>
      <c r="H164" s="31">
        <f t="shared" ref="H164:H182" si="10">G164-F164</f>
        <v>791</v>
      </c>
      <c r="I164" s="20">
        <f t="shared" ref="I164:I183" si="11">IF(F164=0,"N/A",H164/F164)</f>
        <v>0.11503781268179174</v>
      </c>
    </row>
    <row r="165" spans="1:9" x14ac:dyDescent="0.2">
      <c r="A165" s="3">
        <v>162</v>
      </c>
      <c r="B165" s="3" t="s">
        <v>394</v>
      </c>
      <c r="C165" s="3" t="s">
        <v>395</v>
      </c>
      <c r="D165" s="3" t="s">
        <v>74</v>
      </c>
      <c r="E165" s="3" t="s">
        <v>505</v>
      </c>
      <c r="F165" s="31">
        <v>11000</v>
      </c>
      <c r="G165" s="31">
        <v>11250</v>
      </c>
      <c r="H165" s="31">
        <f t="shared" si="10"/>
        <v>250</v>
      </c>
      <c r="I165" s="20">
        <f t="shared" si="11"/>
        <v>2.2727272727272728E-2</v>
      </c>
    </row>
    <row r="166" spans="1:9" x14ac:dyDescent="0.2">
      <c r="A166" s="3">
        <v>163</v>
      </c>
      <c r="B166" s="3" t="s">
        <v>396</v>
      </c>
      <c r="C166" s="3" t="s">
        <v>397</v>
      </c>
      <c r="D166" s="3" t="s">
        <v>121</v>
      </c>
      <c r="E166" s="3" t="s">
        <v>505</v>
      </c>
      <c r="F166" s="31">
        <v>13950</v>
      </c>
      <c r="G166" s="31">
        <v>14800</v>
      </c>
      <c r="H166" s="31">
        <f t="shared" si="10"/>
        <v>850</v>
      </c>
      <c r="I166" s="20">
        <f t="shared" si="11"/>
        <v>6.093189964157706E-2</v>
      </c>
    </row>
    <row r="167" spans="1:9" x14ac:dyDescent="0.2">
      <c r="A167" s="3">
        <v>164</v>
      </c>
      <c r="B167" s="3" t="s">
        <v>398</v>
      </c>
      <c r="C167" s="3" t="s">
        <v>399</v>
      </c>
      <c r="D167" s="3" t="s">
        <v>102</v>
      </c>
      <c r="E167" s="3" t="s">
        <v>505</v>
      </c>
      <c r="F167" s="31">
        <v>18576</v>
      </c>
      <c r="G167" s="31">
        <v>18826</v>
      </c>
      <c r="H167" s="31">
        <f t="shared" si="10"/>
        <v>250</v>
      </c>
      <c r="I167" s="20">
        <f t="shared" si="11"/>
        <v>1.3458225667527994E-2</v>
      </c>
    </row>
    <row r="168" spans="1:9" x14ac:dyDescent="0.2">
      <c r="A168" s="3">
        <v>165</v>
      </c>
      <c r="B168" s="3" t="s">
        <v>400</v>
      </c>
      <c r="C168" s="3" t="s">
        <v>401</v>
      </c>
      <c r="D168" s="3" t="s">
        <v>121</v>
      </c>
      <c r="E168" s="3" t="s">
        <v>505</v>
      </c>
      <c r="F168" s="31">
        <v>14350</v>
      </c>
      <c r="G168" s="31">
        <v>14600</v>
      </c>
      <c r="H168" s="31">
        <f t="shared" si="10"/>
        <v>250</v>
      </c>
      <c r="I168" s="20">
        <f t="shared" si="11"/>
        <v>1.7421602787456445E-2</v>
      </c>
    </row>
    <row r="169" spans="1:9" x14ac:dyDescent="0.2">
      <c r="A169" s="3">
        <v>166</v>
      </c>
      <c r="B169" s="3" t="s">
        <v>529</v>
      </c>
      <c r="C169" s="3" t="s">
        <v>530</v>
      </c>
      <c r="D169" s="3"/>
      <c r="E169" s="24" t="s">
        <v>509</v>
      </c>
      <c r="F169" s="31">
        <v>10600</v>
      </c>
      <c r="G169" s="31">
        <v>0</v>
      </c>
      <c r="H169" s="31">
        <f t="shared" si="10"/>
        <v>-10600</v>
      </c>
      <c r="I169" s="20">
        <f t="shared" si="11"/>
        <v>-1</v>
      </c>
    </row>
    <row r="170" spans="1:9" x14ac:dyDescent="0.2">
      <c r="A170" s="3">
        <v>167</v>
      </c>
      <c r="B170" s="3" t="s">
        <v>402</v>
      </c>
      <c r="C170" s="3" t="s">
        <v>403</v>
      </c>
      <c r="D170" s="3" t="s">
        <v>102</v>
      </c>
      <c r="E170" s="3" t="s">
        <v>505</v>
      </c>
      <c r="F170" s="31">
        <v>16060</v>
      </c>
      <c r="G170" s="31">
        <v>16630</v>
      </c>
      <c r="H170" s="31">
        <f t="shared" si="10"/>
        <v>570</v>
      </c>
      <c r="I170" s="20">
        <f t="shared" si="11"/>
        <v>3.5491905354919057E-2</v>
      </c>
    </row>
    <row r="171" spans="1:9" x14ac:dyDescent="0.2">
      <c r="A171" s="3">
        <v>168</v>
      </c>
      <c r="B171" s="3" t="s">
        <v>404</v>
      </c>
      <c r="C171" s="3" t="s">
        <v>405</v>
      </c>
      <c r="D171" s="3" t="s">
        <v>406</v>
      </c>
      <c r="E171" s="23" t="s">
        <v>506</v>
      </c>
      <c r="F171" s="31">
        <v>0</v>
      </c>
      <c r="G171" s="31">
        <v>10000</v>
      </c>
      <c r="H171" s="31">
        <f t="shared" si="10"/>
        <v>10000</v>
      </c>
      <c r="I171" s="20" t="str">
        <f t="shared" si="11"/>
        <v>N/A</v>
      </c>
    </row>
    <row r="172" spans="1:9" x14ac:dyDescent="0.2">
      <c r="A172" s="3">
        <v>169</v>
      </c>
      <c r="B172" s="3" t="s">
        <v>407</v>
      </c>
      <c r="C172" s="3" t="s">
        <v>408</v>
      </c>
      <c r="D172" s="3" t="s">
        <v>121</v>
      </c>
      <c r="E172" s="3" t="s">
        <v>505</v>
      </c>
      <c r="F172" s="31">
        <v>9188</v>
      </c>
      <c r="G172" s="31">
        <v>13800</v>
      </c>
      <c r="H172" s="31">
        <f t="shared" si="10"/>
        <v>4612</v>
      </c>
      <c r="I172" s="20">
        <f t="shared" si="11"/>
        <v>0.50195907705703091</v>
      </c>
    </row>
    <row r="173" spans="1:9" x14ac:dyDescent="0.2">
      <c r="A173" s="3">
        <v>170</v>
      </c>
      <c r="B173" s="3" t="s">
        <v>409</v>
      </c>
      <c r="C173" s="3" t="s">
        <v>403</v>
      </c>
      <c r="D173" s="3" t="s">
        <v>410</v>
      </c>
      <c r="E173" s="23" t="s">
        <v>506</v>
      </c>
      <c r="F173" s="31">
        <v>0</v>
      </c>
      <c r="G173" s="31">
        <v>7394</v>
      </c>
      <c r="H173" s="31">
        <f t="shared" si="10"/>
        <v>7394</v>
      </c>
      <c r="I173" s="20" t="str">
        <f t="shared" si="11"/>
        <v>N/A</v>
      </c>
    </row>
    <row r="174" spans="1:9" x14ac:dyDescent="0.2">
      <c r="A174" s="3">
        <v>171</v>
      </c>
      <c r="B174" s="3" t="s">
        <v>411</v>
      </c>
      <c r="C174" s="3" t="s">
        <v>412</v>
      </c>
      <c r="D174" s="3" t="s">
        <v>86</v>
      </c>
      <c r="E174" s="3" t="s">
        <v>505</v>
      </c>
      <c r="F174" s="31">
        <v>12250</v>
      </c>
      <c r="G174" s="31">
        <v>12500</v>
      </c>
      <c r="H174" s="31">
        <f t="shared" si="10"/>
        <v>250</v>
      </c>
      <c r="I174" s="20">
        <f t="shared" si="11"/>
        <v>2.0408163265306121E-2</v>
      </c>
    </row>
    <row r="175" spans="1:9" x14ac:dyDescent="0.2">
      <c r="A175" s="3">
        <v>172</v>
      </c>
      <c r="B175" s="3" t="s">
        <v>413</v>
      </c>
      <c r="C175" s="3" t="s">
        <v>414</v>
      </c>
      <c r="D175" s="3" t="s">
        <v>159</v>
      </c>
      <c r="E175" s="3" t="s">
        <v>505</v>
      </c>
      <c r="F175" s="31">
        <v>9600</v>
      </c>
      <c r="G175" s="31">
        <v>9800</v>
      </c>
      <c r="H175" s="31">
        <f t="shared" si="10"/>
        <v>200</v>
      </c>
      <c r="I175" s="20">
        <f t="shared" si="11"/>
        <v>2.0833333333333332E-2</v>
      </c>
    </row>
    <row r="176" spans="1:9" x14ac:dyDescent="0.2">
      <c r="A176" s="3">
        <v>173</v>
      </c>
      <c r="B176" s="3" t="s">
        <v>415</v>
      </c>
      <c r="C176" s="3" t="s">
        <v>416</v>
      </c>
      <c r="D176" s="3" t="s">
        <v>121</v>
      </c>
      <c r="E176" s="3" t="s">
        <v>505</v>
      </c>
      <c r="F176" s="31">
        <v>15200</v>
      </c>
      <c r="G176" s="31">
        <v>14450</v>
      </c>
      <c r="H176" s="31">
        <f t="shared" si="10"/>
        <v>-750</v>
      </c>
      <c r="I176" s="20">
        <f t="shared" si="11"/>
        <v>-4.9342105263157895E-2</v>
      </c>
    </row>
    <row r="177" spans="1:9" x14ac:dyDescent="0.2">
      <c r="A177" s="3">
        <v>174</v>
      </c>
      <c r="B177" s="3" t="s">
        <v>417</v>
      </c>
      <c r="C177" s="3" t="s">
        <v>418</v>
      </c>
      <c r="D177" s="3" t="s">
        <v>132</v>
      </c>
      <c r="E177" s="3" t="s">
        <v>505</v>
      </c>
      <c r="F177" s="31">
        <v>10850</v>
      </c>
      <c r="G177" s="31">
        <v>12100</v>
      </c>
      <c r="H177" s="31">
        <f t="shared" si="10"/>
        <v>1250</v>
      </c>
      <c r="I177" s="20">
        <f t="shared" si="11"/>
        <v>0.1152073732718894</v>
      </c>
    </row>
    <row r="178" spans="1:9" x14ac:dyDescent="0.2">
      <c r="A178" s="3">
        <v>175</v>
      </c>
      <c r="B178" s="3" t="s">
        <v>419</v>
      </c>
      <c r="C178" s="3" t="s">
        <v>420</v>
      </c>
      <c r="D178" s="3" t="s">
        <v>132</v>
      </c>
      <c r="E178" s="3" t="s">
        <v>505</v>
      </c>
      <c r="F178" s="31">
        <v>16050</v>
      </c>
      <c r="G178" s="31">
        <v>16100</v>
      </c>
      <c r="H178" s="31">
        <f t="shared" si="10"/>
        <v>50</v>
      </c>
      <c r="I178" s="20">
        <f t="shared" si="11"/>
        <v>3.1152647975077881E-3</v>
      </c>
    </row>
    <row r="179" spans="1:9" x14ac:dyDescent="0.2">
      <c r="A179" s="3">
        <v>176</v>
      </c>
      <c r="B179" s="3" t="s">
        <v>421</v>
      </c>
      <c r="C179" s="3" t="s">
        <v>422</v>
      </c>
      <c r="D179" s="3" t="s">
        <v>423</v>
      </c>
      <c r="E179" s="3" t="s">
        <v>505</v>
      </c>
      <c r="F179" s="31">
        <v>5400</v>
      </c>
      <c r="G179" s="31">
        <v>5550</v>
      </c>
      <c r="H179" s="31">
        <f t="shared" si="10"/>
        <v>150</v>
      </c>
      <c r="I179" s="20">
        <f t="shared" si="11"/>
        <v>2.7777777777777776E-2</v>
      </c>
    </row>
    <row r="180" spans="1:9" x14ac:dyDescent="0.2">
      <c r="A180" s="3">
        <v>177</v>
      </c>
      <c r="B180" s="3" t="s">
        <v>424</v>
      </c>
      <c r="C180" s="3" t="s">
        <v>425</v>
      </c>
      <c r="D180" s="3" t="s">
        <v>121</v>
      </c>
      <c r="E180" s="3" t="s">
        <v>505</v>
      </c>
      <c r="F180" s="31">
        <v>15150</v>
      </c>
      <c r="G180" s="31">
        <v>14280</v>
      </c>
      <c r="H180" s="31">
        <f t="shared" si="10"/>
        <v>-870</v>
      </c>
      <c r="I180" s="20">
        <f t="shared" si="11"/>
        <v>-5.7425742574257428E-2</v>
      </c>
    </row>
    <row r="181" spans="1:9" x14ac:dyDescent="0.2">
      <c r="A181" s="3">
        <v>178</v>
      </c>
      <c r="B181" s="3" t="s">
        <v>426</v>
      </c>
      <c r="C181" s="3" t="s">
        <v>427</v>
      </c>
      <c r="D181" s="3" t="s">
        <v>102</v>
      </c>
      <c r="E181" s="3" t="s">
        <v>505</v>
      </c>
      <c r="F181" s="31">
        <v>7282</v>
      </c>
      <c r="G181" s="31">
        <v>11590</v>
      </c>
      <c r="H181" s="31">
        <f t="shared" si="10"/>
        <v>4308</v>
      </c>
      <c r="I181" s="20">
        <f t="shared" si="11"/>
        <v>0.591595715462785</v>
      </c>
    </row>
    <row r="182" spans="1:9" x14ac:dyDescent="0.2">
      <c r="A182" s="3">
        <v>179</v>
      </c>
      <c r="B182" s="3" t="s">
        <v>428</v>
      </c>
      <c r="C182" s="3" t="s">
        <v>429</v>
      </c>
      <c r="D182" s="3" t="s">
        <v>86</v>
      </c>
      <c r="E182" s="3" t="s">
        <v>505</v>
      </c>
      <c r="F182" s="31">
        <v>15500</v>
      </c>
      <c r="G182" s="31">
        <v>15750</v>
      </c>
      <c r="H182" s="31">
        <f t="shared" si="10"/>
        <v>250</v>
      </c>
      <c r="I182" s="20">
        <f t="shared" si="11"/>
        <v>1.6129032258064516E-2</v>
      </c>
    </row>
    <row r="183" spans="1:9" x14ac:dyDescent="0.2">
      <c r="A183" s="15" t="s">
        <v>435</v>
      </c>
      <c r="B183" s="15"/>
      <c r="C183" s="15"/>
      <c r="D183" s="15"/>
      <c r="E183" s="15"/>
      <c r="F183" s="15">
        <f>SUM(F4:F182)</f>
        <v>1790920</v>
      </c>
      <c r="G183" s="15">
        <f>SUM(G4:G182)</f>
        <v>2009891</v>
      </c>
      <c r="H183" s="15">
        <f>SUM(H4:H182)</f>
        <v>218971</v>
      </c>
      <c r="I183" s="15">
        <f t="shared" si="11"/>
        <v>0.12226732629039823</v>
      </c>
    </row>
    <row r="185" spans="1:9" x14ac:dyDescent="0.2">
      <c r="A185" s="35" t="s">
        <v>531</v>
      </c>
      <c r="C185" s="38">
        <v>145</v>
      </c>
    </row>
    <row r="186" spans="1:9" x14ac:dyDescent="0.2">
      <c r="A186" s="35" t="s">
        <v>532</v>
      </c>
      <c r="C186" s="38">
        <v>162</v>
      </c>
    </row>
    <row r="187" spans="1:9" x14ac:dyDescent="0.2">
      <c r="A187" s="35" t="s">
        <v>533</v>
      </c>
      <c r="C187" s="37">
        <v>17</v>
      </c>
    </row>
    <row r="188" spans="1:9" x14ac:dyDescent="0.2">
      <c r="A188" s="35" t="s">
        <v>534</v>
      </c>
      <c r="C188" s="37">
        <v>30</v>
      </c>
    </row>
    <row r="189" spans="1:9" x14ac:dyDescent="0.2">
      <c r="A189" s="35" t="s">
        <v>535</v>
      </c>
      <c r="C189" s="37">
        <v>13</v>
      </c>
    </row>
    <row r="190" spans="1:9" x14ac:dyDescent="0.2">
      <c r="A190" s="35" t="s">
        <v>536</v>
      </c>
      <c r="C190" s="38">
        <v>1768897</v>
      </c>
    </row>
    <row r="191" spans="1:9" x14ac:dyDescent="0.2">
      <c r="A191" s="35" t="s">
        <v>537</v>
      </c>
      <c r="C191" s="38">
        <v>1987393</v>
      </c>
    </row>
    <row r="192" spans="1:9" x14ac:dyDescent="0.2">
      <c r="A192" s="35" t="s">
        <v>538</v>
      </c>
      <c r="C192" s="37" t="s">
        <v>539</v>
      </c>
    </row>
  </sheetData>
  <autoFilter ref="A3:I182" xr:uid="{00000000-0009-0000-0000-000006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H149"/>
  <sheetViews>
    <sheetView zoomScaleNormal="100" workbookViewId="0">
      <pane ySplit="3" topLeftCell="A4" activePane="bottomLeft" state="frozen"/>
      <selection pane="bottomLeft" activeCell="D38" sqref="D38"/>
    </sheetView>
  </sheetViews>
  <sheetFormatPr baseColWidth="10" defaultColWidth="8.6640625" defaultRowHeight="15" customHeight="1" x14ac:dyDescent="0.2"/>
  <cols>
    <col min="1" max="1" width="45" customWidth="1"/>
    <col min="2" max="4" width="20" customWidth="1"/>
    <col min="5" max="7" width="18" customWidth="1"/>
    <col min="8" max="8" width="35" customWidth="1"/>
  </cols>
  <sheetData>
    <row r="1" spans="1:8" ht="18" x14ac:dyDescent="0.2">
      <c r="A1" s="66" t="s">
        <v>540</v>
      </c>
      <c r="B1" s="66"/>
      <c r="C1" s="66"/>
      <c r="D1" s="66"/>
      <c r="E1" s="66"/>
      <c r="F1" s="66"/>
      <c r="G1" s="66"/>
      <c r="H1" s="66"/>
    </row>
    <row r="3" spans="1:8" x14ac:dyDescent="0.2">
      <c r="A3" s="71" t="s">
        <v>541</v>
      </c>
      <c r="B3" s="71"/>
      <c r="C3" s="71"/>
      <c r="D3" s="71"/>
    </row>
    <row r="4" spans="1:8" x14ac:dyDescent="0.2">
      <c r="A4" s="39" t="s">
        <v>542</v>
      </c>
      <c r="B4" s="5"/>
      <c r="C4" s="5"/>
    </row>
    <row r="5" spans="1:8" x14ac:dyDescent="0.2">
      <c r="A5" s="3" t="s">
        <v>543</v>
      </c>
      <c r="B5" s="40">
        <v>168</v>
      </c>
      <c r="C5" s="5"/>
    </row>
    <row r="6" spans="1:8" x14ac:dyDescent="0.2">
      <c r="A6" s="3" t="s">
        <v>544</v>
      </c>
      <c r="B6" s="40">
        <v>162</v>
      </c>
      <c r="C6" s="5"/>
    </row>
    <row r="7" spans="1:8" x14ac:dyDescent="0.2">
      <c r="A7" s="3" t="s">
        <v>545</v>
      </c>
      <c r="B7" s="40">
        <v>6</v>
      </c>
      <c r="C7" s="5"/>
    </row>
    <row r="8" spans="1:8" x14ac:dyDescent="0.2">
      <c r="A8" s="3" t="s">
        <v>546</v>
      </c>
      <c r="B8" s="41" t="s">
        <v>547</v>
      </c>
      <c r="C8" s="5"/>
    </row>
    <row r="9" spans="1:8" x14ac:dyDescent="0.2">
      <c r="A9" s="3" t="s">
        <v>548</v>
      </c>
      <c r="B9" s="42">
        <v>162</v>
      </c>
      <c r="C9" s="5"/>
    </row>
    <row r="10" spans="1:8" x14ac:dyDescent="0.2">
      <c r="A10" s="39"/>
      <c r="B10" s="5"/>
      <c r="C10" s="5"/>
    </row>
    <row r="11" spans="1:8" x14ac:dyDescent="0.2">
      <c r="A11" s="39" t="s">
        <v>549</v>
      </c>
      <c r="B11" s="43" t="s">
        <v>550</v>
      </c>
      <c r="C11" s="5"/>
    </row>
    <row r="12" spans="1:8" x14ac:dyDescent="0.2">
      <c r="A12" s="3" t="s">
        <v>551</v>
      </c>
      <c r="B12" s="40">
        <v>23857468</v>
      </c>
      <c r="C12" s="20">
        <v>0.66168088790192003</v>
      </c>
    </row>
    <row r="13" spans="1:8" x14ac:dyDescent="0.2">
      <c r="A13" s="3" t="s">
        <v>552</v>
      </c>
      <c r="B13" s="40">
        <v>229600</v>
      </c>
      <c r="C13" s="20">
        <v>6.3678983814326297E-3</v>
      </c>
    </row>
    <row r="14" spans="1:8" x14ac:dyDescent="0.2">
      <c r="A14" s="3" t="s">
        <v>553</v>
      </c>
      <c r="B14" s="40">
        <v>272167</v>
      </c>
      <c r="C14" s="20">
        <v>7.5484834441610403E-3</v>
      </c>
    </row>
    <row r="15" spans="1:8" x14ac:dyDescent="0.2">
      <c r="A15" s="3" t="s">
        <v>554</v>
      </c>
      <c r="B15" s="40">
        <v>306046</v>
      </c>
      <c r="C15" s="20">
        <v>8.4881090071599798E-3</v>
      </c>
    </row>
    <row r="16" spans="1:8" x14ac:dyDescent="0.2">
      <c r="A16" s="3" t="s">
        <v>555</v>
      </c>
      <c r="B16" s="40">
        <v>7356097</v>
      </c>
      <c r="C16" s="20">
        <v>0.20401950426812501</v>
      </c>
    </row>
    <row r="17" spans="1:8" x14ac:dyDescent="0.2">
      <c r="A17" s="3" t="s">
        <v>556</v>
      </c>
      <c r="B17" s="40">
        <v>647400</v>
      </c>
      <c r="C17" s="20">
        <v>1.79554765337086E-2</v>
      </c>
    </row>
    <row r="18" spans="1:8" x14ac:dyDescent="0.2">
      <c r="A18" s="3" t="s">
        <v>557</v>
      </c>
      <c r="B18" s="40">
        <v>30080</v>
      </c>
      <c r="C18" s="20">
        <v>8.3426125136538997E-4</v>
      </c>
    </row>
    <row r="19" spans="1:8" x14ac:dyDescent="0.2">
      <c r="A19" s="3" t="s">
        <v>558</v>
      </c>
      <c r="B19" s="40">
        <v>1506954</v>
      </c>
      <c r="C19" s="20">
        <v>4.1794991016957501E-2</v>
      </c>
    </row>
    <row r="20" spans="1:8" x14ac:dyDescent="0.2">
      <c r="A20" s="3" t="s">
        <v>559</v>
      </c>
      <c r="B20" s="40">
        <v>1850040</v>
      </c>
      <c r="C20" s="20">
        <v>5.1310395128857302E-2</v>
      </c>
    </row>
    <row r="21" spans="1:8" x14ac:dyDescent="0.2">
      <c r="A21" s="39"/>
      <c r="B21" s="5"/>
      <c r="C21" s="5"/>
    </row>
    <row r="22" spans="1:8" x14ac:dyDescent="0.2">
      <c r="A22" s="44" t="s">
        <v>560</v>
      </c>
      <c r="B22" s="45">
        <v>36055852</v>
      </c>
      <c r="C22" s="44"/>
    </row>
    <row r="24" spans="1:8" x14ac:dyDescent="0.2">
      <c r="A24" s="71" t="s">
        <v>561</v>
      </c>
      <c r="B24" s="71"/>
      <c r="C24" s="71"/>
      <c r="D24" s="71"/>
      <c r="E24" s="71"/>
      <c r="F24" s="71"/>
      <c r="G24" s="71"/>
      <c r="H24" s="71"/>
    </row>
    <row r="25" spans="1:8" x14ac:dyDescent="0.2">
      <c r="A25" s="12" t="s">
        <v>60</v>
      </c>
      <c r="B25" s="12" t="s">
        <v>562</v>
      </c>
      <c r="C25" s="12" t="s">
        <v>563</v>
      </c>
      <c r="D25" s="12" t="s">
        <v>42</v>
      </c>
      <c r="E25" s="12" t="s">
        <v>564</v>
      </c>
      <c r="F25" s="12" t="s">
        <v>565</v>
      </c>
      <c r="G25" s="12" t="s">
        <v>566</v>
      </c>
      <c r="H25" s="12" t="s">
        <v>567</v>
      </c>
    </row>
    <row r="26" spans="1:8" x14ac:dyDescent="0.2">
      <c r="A26" s="22" t="s">
        <v>94</v>
      </c>
      <c r="B26" s="31">
        <v>23</v>
      </c>
      <c r="C26" s="17">
        <v>23</v>
      </c>
      <c r="D26" s="31">
        <v>298050</v>
      </c>
      <c r="E26" s="31">
        <v>3159000</v>
      </c>
      <c r="F26" s="31">
        <v>174121</v>
      </c>
      <c r="G26" s="31">
        <v>201753</v>
      </c>
      <c r="H26" s="31">
        <f>SUM(E26:G26)</f>
        <v>3534874</v>
      </c>
    </row>
    <row r="27" spans="1:8" x14ac:dyDescent="0.2">
      <c r="A27" s="23" t="s">
        <v>160</v>
      </c>
      <c r="B27" s="31">
        <v>13</v>
      </c>
      <c r="C27" s="17">
        <v>13</v>
      </c>
      <c r="D27" s="31">
        <v>128700</v>
      </c>
      <c r="E27" s="31">
        <v>1544400</v>
      </c>
      <c r="F27" s="31">
        <v>104766</v>
      </c>
      <c r="G27" s="31">
        <v>148460</v>
      </c>
      <c r="H27" s="31">
        <f>SUM(E27:G27)</f>
        <v>1797626</v>
      </c>
    </row>
    <row r="28" spans="1:8" x14ac:dyDescent="0.2">
      <c r="A28" s="21" t="s">
        <v>87</v>
      </c>
      <c r="B28" s="31">
        <v>42</v>
      </c>
      <c r="C28" s="17">
        <v>41.8</v>
      </c>
      <c r="D28" s="31">
        <v>542808</v>
      </c>
      <c r="E28" s="31">
        <v>6513696</v>
      </c>
      <c r="F28" s="31">
        <v>421991</v>
      </c>
      <c r="G28" s="31">
        <v>479640</v>
      </c>
      <c r="H28" s="31">
        <f>SUM(E28:G28)</f>
        <v>7415327</v>
      </c>
    </row>
    <row r="29" spans="1:8" x14ac:dyDescent="0.2">
      <c r="A29" s="24" t="s">
        <v>122</v>
      </c>
      <c r="B29" s="31">
        <v>63</v>
      </c>
      <c r="C29" s="17">
        <v>59.7</v>
      </c>
      <c r="D29" s="31">
        <v>797791</v>
      </c>
      <c r="E29" s="31">
        <v>9573492</v>
      </c>
      <c r="F29" s="31">
        <v>617385</v>
      </c>
      <c r="G29" s="31">
        <v>719460</v>
      </c>
      <c r="H29" s="31">
        <f>SUM(E29:G29)</f>
        <v>10910337</v>
      </c>
    </row>
    <row r="30" spans="1:8" x14ac:dyDescent="0.2">
      <c r="A30" s="13" t="s">
        <v>75</v>
      </c>
      <c r="B30" s="31">
        <v>27</v>
      </c>
      <c r="C30" s="17">
        <v>24.5</v>
      </c>
      <c r="D30" s="31">
        <v>277444</v>
      </c>
      <c r="E30" s="31">
        <v>3287728</v>
      </c>
      <c r="F30" s="31">
        <v>188690</v>
      </c>
      <c r="G30" s="31">
        <v>300727</v>
      </c>
      <c r="H30" s="31">
        <f>SUM(E30:G30)</f>
        <v>3777145</v>
      </c>
    </row>
    <row r="31" spans="1:8" x14ac:dyDescent="0.2">
      <c r="A31" s="15" t="s">
        <v>568</v>
      </c>
      <c r="B31" s="15">
        <f t="shared" ref="B31:H31" si="0">SUM(B26:B30)</f>
        <v>168</v>
      </c>
      <c r="C31" s="15">
        <f t="shared" si="0"/>
        <v>162</v>
      </c>
      <c r="D31" s="15">
        <f t="shared" si="0"/>
        <v>2044793</v>
      </c>
      <c r="E31" s="15">
        <f t="shared" si="0"/>
        <v>24078316</v>
      </c>
      <c r="F31" s="15">
        <f t="shared" si="0"/>
        <v>1506953</v>
      </c>
      <c r="G31" s="15">
        <f t="shared" si="0"/>
        <v>1850040</v>
      </c>
      <c r="H31" s="15">
        <f t="shared" si="0"/>
        <v>27435309</v>
      </c>
    </row>
    <row r="33" spans="1:8" x14ac:dyDescent="0.2">
      <c r="A33" s="46" t="s">
        <v>569</v>
      </c>
    </row>
    <row r="34" spans="1:8" x14ac:dyDescent="0.2">
      <c r="A34" s="22" t="s">
        <v>570</v>
      </c>
      <c r="B34" s="20">
        <f>H26/H31</f>
        <v>0.12884396527117664</v>
      </c>
    </row>
    <row r="35" spans="1:8" x14ac:dyDescent="0.2">
      <c r="A35" s="23" t="s">
        <v>571</v>
      </c>
      <c r="B35" s="20">
        <f>H27/H31</f>
        <v>6.552235296493289E-2</v>
      </c>
    </row>
    <row r="36" spans="1:8" x14ac:dyDescent="0.2">
      <c r="A36" s="21" t="s">
        <v>572</v>
      </c>
      <c r="B36" s="20">
        <f>H28/H31</f>
        <v>0.2702840707935894</v>
      </c>
    </row>
    <row r="37" spans="1:8" x14ac:dyDescent="0.2">
      <c r="A37" s="24" t="s">
        <v>573</v>
      </c>
      <c r="B37" s="20">
        <f>H29/H31</f>
        <v>0.3976750179850353</v>
      </c>
    </row>
    <row r="38" spans="1:8" x14ac:dyDescent="0.2">
      <c r="A38" s="13" t="s">
        <v>574</v>
      </c>
      <c r="B38" s="20">
        <f>H30/H31</f>
        <v>0.13767459298526583</v>
      </c>
    </row>
    <row r="40" spans="1:8" x14ac:dyDescent="0.2">
      <c r="A40" s="71" t="s">
        <v>575</v>
      </c>
      <c r="B40" s="71"/>
      <c r="C40" s="71"/>
      <c r="D40" s="71"/>
      <c r="E40" s="71"/>
      <c r="F40" s="71"/>
      <c r="G40" s="71"/>
      <c r="H40" s="71"/>
    </row>
    <row r="41" spans="1:8" x14ac:dyDescent="0.2">
      <c r="A41" s="12" t="s">
        <v>576</v>
      </c>
      <c r="B41" s="12" t="s">
        <v>550</v>
      </c>
      <c r="C41" s="12" t="s">
        <v>577</v>
      </c>
      <c r="D41" s="12" t="s">
        <v>578</v>
      </c>
    </row>
    <row r="42" spans="1:8" x14ac:dyDescent="0.2">
      <c r="A42" s="3" t="s">
        <v>579</v>
      </c>
      <c r="B42" s="31">
        <v>24087068</v>
      </c>
      <c r="C42" s="20">
        <v>0.66804878628335296</v>
      </c>
      <c r="D42" s="47" t="s">
        <v>580</v>
      </c>
    </row>
    <row r="43" spans="1:8" x14ac:dyDescent="0.2">
      <c r="A43" s="3" t="s">
        <v>581</v>
      </c>
      <c r="B43" s="31">
        <v>8581710</v>
      </c>
      <c r="C43" s="20">
        <v>0.238011573253154</v>
      </c>
      <c r="D43" s="47" t="s">
        <v>582</v>
      </c>
    </row>
    <row r="44" spans="1:8" x14ac:dyDescent="0.2">
      <c r="A44" s="3" t="s">
        <v>583</v>
      </c>
      <c r="B44" s="31">
        <v>3387074</v>
      </c>
      <c r="C44" s="20">
        <v>9.3939647397180095E-2</v>
      </c>
      <c r="D44" s="47" t="s">
        <v>584</v>
      </c>
    </row>
    <row r="45" spans="1:8" x14ac:dyDescent="0.2">
      <c r="A45" s="15" t="s">
        <v>585</v>
      </c>
      <c r="B45" s="15">
        <v>36055852</v>
      </c>
      <c r="C45" s="15">
        <v>1</v>
      </c>
      <c r="D45" s="15"/>
    </row>
    <row r="47" spans="1:8" x14ac:dyDescent="0.2">
      <c r="A47" s="71" t="s">
        <v>586</v>
      </c>
      <c r="B47" s="71"/>
      <c r="C47" s="71"/>
      <c r="D47" s="71"/>
      <c r="E47" s="71"/>
      <c r="F47" s="71"/>
      <c r="G47" s="71"/>
      <c r="H47" s="71"/>
    </row>
    <row r="48" spans="1:8" x14ac:dyDescent="0.2">
      <c r="A48" s="3" t="s">
        <v>587</v>
      </c>
      <c r="B48" s="4">
        <v>12171</v>
      </c>
    </row>
    <row r="49" spans="1:8" x14ac:dyDescent="0.2">
      <c r="A49" s="3" t="s">
        <v>588</v>
      </c>
      <c r="B49" s="4">
        <v>8970</v>
      </c>
    </row>
    <row r="50" spans="1:8" x14ac:dyDescent="0.2">
      <c r="A50" s="3" t="s">
        <v>589</v>
      </c>
      <c r="B50" s="4">
        <v>214618</v>
      </c>
    </row>
    <row r="51" spans="1:8" x14ac:dyDescent="0.2">
      <c r="A51" s="3" t="s">
        <v>590</v>
      </c>
      <c r="B51" s="4">
        <v>222540</v>
      </c>
    </row>
    <row r="52" spans="1:8" x14ac:dyDescent="0.2">
      <c r="A52" s="3" t="s">
        <v>591</v>
      </c>
      <c r="B52" s="4">
        <v>36055852</v>
      </c>
    </row>
    <row r="53" spans="1:8" x14ac:dyDescent="0.2">
      <c r="A53" s="3" t="s">
        <v>592</v>
      </c>
      <c r="B53" s="4">
        <v>3004654</v>
      </c>
    </row>
    <row r="55" spans="1:8" x14ac:dyDescent="0.2">
      <c r="A55" s="71" t="s">
        <v>593</v>
      </c>
      <c r="B55" s="71"/>
      <c r="C55" s="71"/>
      <c r="D55" s="71"/>
      <c r="E55" s="71"/>
      <c r="F55" s="71"/>
      <c r="G55" s="71"/>
      <c r="H55" s="71"/>
    </row>
    <row r="56" spans="1:8" x14ac:dyDescent="0.2">
      <c r="A56" s="48" t="s">
        <v>94</v>
      </c>
      <c r="B56" s="49"/>
      <c r="C56" s="49"/>
      <c r="D56" s="49"/>
      <c r="E56" s="49"/>
      <c r="F56" s="49"/>
    </row>
    <row r="57" spans="1:8" x14ac:dyDescent="0.2">
      <c r="A57" s="50" t="s">
        <v>476</v>
      </c>
      <c r="B57" s="50" t="s">
        <v>594</v>
      </c>
      <c r="C57" s="50" t="s">
        <v>595</v>
      </c>
      <c r="D57" s="50" t="s">
        <v>596</v>
      </c>
      <c r="E57" s="50" t="s">
        <v>61</v>
      </c>
    </row>
    <row r="58" spans="1:8" x14ac:dyDescent="0.2">
      <c r="A58" s="3" t="s">
        <v>52</v>
      </c>
      <c r="B58" s="3">
        <v>1</v>
      </c>
      <c r="C58" s="31">
        <v>10400</v>
      </c>
      <c r="D58" s="31">
        <v>10400</v>
      </c>
      <c r="E58" s="13" t="s">
        <v>597</v>
      </c>
    </row>
    <row r="59" spans="1:8" x14ac:dyDescent="0.2">
      <c r="A59" s="3" t="s">
        <v>50</v>
      </c>
      <c r="B59" s="3">
        <v>1</v>
      </c>
      <c r="C59" s="31">
        <v>10400</v>
      </c>
      <c r="D59" s="31">
        <v>10400</v>
      </c>
      <c r="E59" s="13" t="s">
        <v>597</v>
      </c>
    </row>
    <row r="60" spans="1:8" x14ac:dyDescent="0.2">
      <c r="A60" s="3" t="s">
        <v>49</v>
      </c>
      <c r="B60" s="3">
        <v>1</v>
      </c>
      <c r="C60" s="31">
        <v>10400</v>
      </c>
      <c r="D60" s="31">
        <v>10400</v>
      </c>
      <c r="E60" s="13" t="s">
        <v>597</v>
      </c>
    </row>
    <row r="61" spans="1:8" x14ac:dyDescent="0.2">
      <c r="A61" s="3" t="s">
        <v>48</v>
      </c>
      <c r="B61" s="3">
        <v>1</v>
      </c>
      <c r="C61" s="31">
        <v>10400</v>
      </c>
      <c r="D61" s="31">
        <v>10400</v>
      </c>
      <c r="E61" s="13" t="s">
        <v>597</v>
      </c>
    </row>
    <row r="62" spans="1:8" x14ac:dyDescent="0.2">
      <c r="A62" s="3" t="s">
        <v>51</v>
      </c>
      <c r="B62" s="3">
        <v>1</v>
      </c>
      <c r="C62" s="31">
        <v>10600</v>
      </c>
      <c r="D62" s="31">
        <v>10600</v>
      </c>
      <c r="E62" s="13" t="s">
        <v>597</v>
      </c>
    </row>
    <row r="63" spans="1:8" x14ac:dyDescent="0.2">
      <c r="A63" s="3" t="s">
        <v>138</v>
      </c>
      <c r="B63" s="3">
        <v>1</v>
      </c>
      <c r="C63" s="31">
        <v>10400</v>
      </c>
      <c r="D63" s="31">
        <v>10400</v>
      </c>
      <c r="E63" s="3" t="s">
        <v>76</v>
      </c>
    </row>
    <row r="64" spans="1:8" x14ac:dyDescent="0.2">
      <c r="A64" s="3" t="s">
        <v>332</v>
      </c>
      <c r="B64" s="3">
        <v>1</v>
      </c>
      <c r="C64" s="31">
        <v>11500</v>
      </c>
      <c r="D64" s="31">
        <v>11500</v>
      </c>
      <c r="E64" s="3" t="s">
        <v>76</v>
      </c>
    </row>
    <row r="65" spans="1:5" x14ac:dyDescent="0.2">
      <c r="A65" s="3" t="s">
        <v>114</v>
      </c>
      <c r="B65" s="3">
        <v>1</v>
      </c>
      <c r="C65" s="31">
        <v>16250</v>
      </c>
      <c r="D65" s="31">
        <v>16250</v>
      </c>
      <c r="E65" s="3" t="s">
        <v>76</v>
      </c>
    </row>
    <row r="66" spans="1:5" x14ac:dyDescent="0.2">
      <c r="A66" s="3" t="s">
        <v>111</v>
      </c>
      <c r="B66" s="3">
        <v>1</v>
      </c>
      <c r="C66" s="31">
        <v>12500</v>
      </c>
      <c r="D66" s="31">
        <v>12500</v>
      </c>
      <c r="E66" s="3" t="s">
        <v>76</v>
      </c>
    </row>
    <row r="67" spans="1:5" x14ac:dyDescent="0.2">
      <c r="A67" s="3" t="s">
        <v>376</v>
      </c>
      <c r="B67" s="3">
        <v>1</v>
      </c>
      <c r="C67" s="31">
        <v>12000</v>
      </c>
      <c r="D67" s="31">
        <v>12000</v>
      </c>
      <c r="E67" s="3" t="s">
        <v>76</v>
      </c>
    </row>
    <row r="68" spans="1:5" x14ac:dyDescent="0.2">
      <c r="A68" s="3" t="s">
        <v>306</v>
      </c>
      <c r="B68" s="3">
        <v>1</v>
      </c>
      <c r="C68" s="31">
        <v>11750</v>
      </c>
      <c r="D68" s="31">
        <v>11750</v>
      </c>
      <c r="E68" s="3" t="s">
        <v>76</v>
      </c>
    </row>
    <row r="69" spans="1:5" x14ac:dyDescent="0.2">
      <c r="A69" s="3" t="s">
        <v>182</v>
      </c>
      <c r="B69" s="3">
        <v>1</v>
      </c>
      <c r="C69" s="31">
        <v>10400</v>
      </c>
      <c r="D69" s="31">
        <v>10400</v>
      </c>
      <c r="E69" s="3" t="s">
        <v>76</v>
      </c>
    </row>
    <row r="70" spans="1:5" x14ac:dyDescent="0.2">
      <c r="A70" s="3" t="s">
        <v>253</v>
      </c>
      <c r="B70" s="3">
        <v>1</v>
      </c>
      <c r="C70" s="31">
        <v>8000</v>
      </c>
      <c r="D70" s="31">
        <v>8000</v>
      </c>
      <c r="E70" s="3" t="s">
        <v>76</v>
      </c>
    </row>
    <row r="71" spans="1:5" x14ac:dyDescent="0.2">
      <c r="A71" s="3" t="s">
        <v>303</v>
      </c>
      <c r="B71" s="3">
        <v>1</v>
      </c>
      <c r="C71" s="31">
        <v>16750</v>
      </c>
      <c r="D71" s="31">
        <v>16750</v>
      </c>
      <c r="E71" s="3" t="s">
        <v>76</v>
      </c>
    </row>
    <row r="72" spans="1:5" x14ac:dyDescent="0.2">
      <c r="A72" s="3" t="s">
        <v>341</v>
      </c>
      <c r="B72" s="3">
        <v>1</v>
      </c>
      <c r="C72" s="31">
        <v>12750</v>
      </c>
      <c r="D72" s="31">
        <v>12750</v>
      </c>
      <c r="E72" s="3" t="s">
        <v>76</v>
      </c>
    </row>
    <row r="73" spans="1:5" x14ac:dyDescent="0.2">
      <c r="A73" s="3" t="s">
        <v>107</v>
      </c>
      <c r="B73" s="3">
        <v>1</v>
      </c>
      <c r="C73" s="31">
        <v>5000</v>
      </c>
      <c r="D73" s="31">
        <v>5000</v>
      </c>
      <c r="E73" s="3" t="s">
        <v>76</v>
      </c>
    </row>
    <row r="74" spans="1:5" x14ac:dyDescent="0.2">
      <c r="A74" s="3" t="s">
        <v>93</v>
      </c>
      <c r="B74" s="3">
        <v>1</v>
      </c>
      <c r="C74" s="31">
        <v>16250</v>
      </c>
      <c r="D74" s="31">
        <v>16250</v>
      </c>
      <c r="E74" s="3" t="s">
        <v>76</v>
      </c>
    </row>
    <row r="75" spans="1:5" x14ac:dyDescent="0.2">
      <c r="A75" s="3" t="s">
        <v>325</v>
      </c>
      <c r="B75" s="3">
        <v>1</v>
      </c>
      <c r="C75" s="31">
        <v>17250</v>
      </c>
      <c r="D75" s="31">
        <v>17250</v>
      </c>
      <c r="E75" s="3" t="s">
        <v>76</v>
      </c>
    </row>
    <row r="76" spans="1:5" x14ac:dyDescent="0.2">
      <c r="A76" s="3" t="s">
        <v>355</v>
      </c>
      <c r="B76" s="3">
        <v>1</v>
      </c>
      <c r="C76" s="31">
        <v>16000</v>
      </c>
      <c r="D76" s="31">
        <v>16000</v>
      </c>
      <c r="E76" s="3" t="s">
        <v>76</v>
      </c>
    </row>
    <row r="77" spans="1:5" x14ac:dyDescent="0.2">
      <c r="A77" s="3" t="s">
        <v>205</v>
      </c>
      <c r="B77" s="3">
        <v>1</v>
      </c>
      <c r="C77" s="31">
        <v>16750</v>
      </c>
      <c r="D77" s="31">
        <v>16750</v>
      </c>
      <c r="E77" s="3" t="s">
        <v>76</v>
      </c>
    </row>
    <row r="78" spans="1:5" x14ac:dyDescent="0.2">
      <c r="A78" s="3" t="s">
        <v>227</v>
      </c>
      <c r="B78" s="3">
        <v>1</v>
      </c>
      <c r="C78" s="31">
        <v>16000</v>
      </c>
      <c r="D78" s="31">
        <v>16000</v>
      </c>
      <c r="E78" s="3" t="s">
        <v>76</v>
      </c>
    </row>
    <row r="79" spans="1:5" x14ac:dyDescent="0.2">
      <c r="A79" s="3" t="s">
        <v>346</v>
      </c>
      <c r="B79" s="3">
        <v>1</v>
      </c>
      <c r="C79" s="31">
        <v>25500</v>
      </c>
      <c r="D79" s="31">
        <v>25500</v>
      </c>
      <c r="E79" s="3" t="s">
        <v>76</v>
      </c>
    </row>
    <row r="80" spans="1:5" x14ac:dyDescent="0.2">
      <c r="A80" s="3" t="s">
        <v>273</v>
      </c>
      <c r="B80" s="3">
        <v>1</v>
      </c>
      <c r="C80" s="31">
        <v>10800</v>
      </c>
      <c r="D80" s="31">
        <v>10800</v>
      </c>
      <c r="E80" s="3" t="s">
        <v>76</v>
      </c>
    </row>
    <row r="81" spans="1:6" x14ac:dyDescent="0.2">
      <c r="A81" s="51" t="s">
        <v>598</v>
      </c>
      <c r="B81" s="51">
        <v>23</v>
      </c>
      <c r="C81" s="52"/>
      <c r="D81" s="53">
        <v>298050</v>
      </c>
      <c r="E81" s="52"/>
    </row>
    <row r="83" spans="1:6" x14ac:dyDescent="0.2">
      <c r="A83" s="54" t="s">
        <v>160</v>
      </c>
      <c r="B83" s="55"/>
      <c r="C83" s="55"/>
      <c r="D83" s="55"/>
      <c r="E83" s="55"/>
      <c r="F83" s="55"/>
    </row>
    <row r="84" spans="1:6" x14ac:dyDescent="0.2">
      <c r="A84" s="50" t="s">
        <v>476</v>
      </c>
      <c r="B84" s="50" t="s">
        <v>594</v>
      </c>
      <c r="C84" s="50" t="s">
        <v>595</v>
      </c>
      <c r="D84" s="50" t="s">
        <v>596</v>
      </c>
      <c r="E84" s="50" t="s">
        <v>61</v>
      </c>
    </row>
    <row r="85" spans="1:6" x14ac:dyDescent="0.2">
      <c r="A85" s="3" t="s">
        <v>159</v>
      </c>
      <c r="B85" s="3">
        <v>13</v>
      </c>
      <c r="C85" s="31">
        <v>9900</v>
      </c>
      <c r="D85" s="31">
        <v>128700</v>
      </c>
      <c r="E85" s="3" t="s">
        <v>76</v>
      </c>
    </row>
    <row r="86" spans="1:6" x14ac:dyDescent="0.2">
      <c r="A86" s="51" t="s">
        <v>599</v>
      </c>
      <c r="B86" s="51">
        <v>13</v>
      </c>
      <c r="C86" s="52"/>
      <c r="D86" s="53">
        <v>128700</v>
      </c>
      <c r="E86" s="52"/>
    </row>
    <row r="88" spans="1:6" x14ac:dyDescent="0.2">
      <c r="A88" s="56" t="s">
        <v>87</v>
      </c>
      <c r="B88" s="57"/>
      <c r="C88" s="57"/>
      <c r="D88" s="57"/>
      <c r="E88" s="57"/>
      <c r="F88" s="57"/>
    </row>
    <row r="89" spans="1:6" x14ac:dyDescent="0.2">
      <c r="A89" s="50" t="s">
        <v>476</v>
      </c>
      <c r="B89" s="50" t="s">
        <v>594</v>
      </c>
      <c r="C89" s="50" t="s">
        <v>595</v>
      </c>
      <c r="D89" s="50" t="s">
        <v>596</v>
      </c>
      <c r="E89" s="50" t="s">
        <v>61</v>
      </c>
    </row>
    <row r="90" spans="1:6" x14ac:dyDescent="0.2">
      <c r="A90" s="3" t="s">
        <v>410</v>
      </c>
      <c r="B90" s="3">
        <v>1</v>
      </c>
      <c r="C90" s="31">
        <v>7394</v>
      </c>
      <c r="D90" s="31">
        <v>7394</v>
      </c>
      <c r="E90" s="3" t="s">
        <v>76</v>
      </c>
    </row>
    <row r="91" spans="1:6" x14ac:dyDescent="0.2">
      <c r="A91" s="3" t="s">
        <v>102</v>
      </c>
      <c r="B91" s="3">
        <v>11</v>
      </c>
      <c r="C91" s="31">
        <v>14583</v>
      </c>
      <c r="D91" s="31">
        <v>160414</v>
      </c>
      <c r="E91" s="3" t="s">
        <v>76</v>
      </c>
    </row>
    <row r="92" spans="1:6" x14ac:dyDescent="0.2">
      <c r="A92" s="3" t="s">
        <v>86</v>
      </c>
      <c r="B92" s="3">
        <v>30</v>
      </c>
      <c r="C92" s="31">
        <v>12500</v>
      </c>
      <c r="D92" s="31">
        <v>375000</v>
      </c>
      <c r="E92" s="3" t="s">
        <v>76</v>
      </c>
    </row>
    <row r="93" spans="1:6" x14ac:dyDescent="0.2">
      <c r="A93" s="51" t="s">
        <v>600</v>
      </c>
      <c r="B93" s="51">
        <v>42</v>
      </c>
      <c r="C93" s="52"/>
      <c r="D93" s="53">
        <v>542808</v>
      </c>
      <c r="E93" s="52"/>
    </row>
    <row r="95" spans="1:6" x14ac:dyDescent="0.2">
      <c r="A95" s="58" t="s">
        <v>122</v>
      </c>
      <c r="B95" s="59"/>
      <c r="C95" s="59"/>
      <c r="D95" s="59"/>
      <c r="E95" s="59"/>
      <c r="F95" s="59"/>
    </row>
    <row r="96" spans="1:6" x14ac:dyDescent="0.2">
      <c r="A96" s="50" t="s">
        <v>476</v>
      </c>
      <c r="B96" s="50" t="s">
        <v>594</v>
      </c>
      <c r="C96" s="50" t="s">
        <v>595</v>
      </c>
      <c r="D96" s="50" t="s">
        <v>596</v>
      </c>
      <c r="E96" s="50" t="s">
        <v>61</v>
      </c>
    </row>
    <row r="97" spans="1:6" x14ac:dyDescent="0.2">
      <c r="A97" s="3" t="s">
        <v>258</v>
      </c>
      <c r="B97" s="3">
        <v>1</v>
      </c>
      <c r="C97" s="31">
        <v>10000</v>
      </c>
      <c r="D97" s="31">
        <v>10000</v>
      </c>
      <c r="E97" s="3" t="s">
        <v>76</v>
      </c>
    </row>
    <row r="98" spans="1:6" x14ac:dyDescent="0.2">
      <c r="A98" s="3" t="s">
        <v>223</v>
      </c>
      <c r="B98" s="3">
        <v>2</v>
      </c>
      <c r="C98" s="31">
        <v>16250</v>
      </c>
      <c r="D98" s="31">
        <v>32500</v>
      </c>
      <c r="E98" s="3" t="s">
        <v>76</v>
      </c>
    </row>
    <row r="99" spans="1:6" x14ac:dyDescent="0.2">
      <c r="A99" s="3" t="s">
        <v>132</v>
      </c>
      <c r="B99" s="3">
        <v>13</v>
      </c>
      <c r="C99" s="31">
        <v>12359</v>
      </c>
      <c r="D99" s="31">
        <v>160670</v>
      </c>
      <c r="E99" s="3" t="s">
        <v>76</v>
      </c>
    </row>
    <row r="100" spans="1:6" x14ac:dyDescent="0.2">
      <c r="A100" s="3" t="s">
        <v>121</v>
      </c>
      <c r="B100" s="3">
        <v>43</v>
      </c>
      <c r="C100" s="31">
        <v>12613</v>
      </c>
      <c r="D100" s="31">
        <v>542371</v>
      </c>
      <c r="E100" s="3" t="s">
        <v>76</v>
      </c>
    </row>
    <row r="101" spans="1:6" x14ac:dyDescent="0.2">
      <c r="A101" s="3" t="s">
        <v>147</v>
      </c>
      <c r="B101" s="3">
        <v>4</v>
      </c>
      <c r="C101" s="31">
        <v>13062</v>
      </c>
      <c r="D101" s="31">
        <v>52250</v>
      </c>
      <c r="E101" s="3" t="s">
        <v>76</v>
      </c>
    </row>
    <row r="102" spans="1:6" x14ac:dyDescent="0.2">
      <c r="A102" s="51" t="s">
        <v>601</v>
      </c>
      <c r="B102" s="51">
        <v>63</v>
      </c>
      <c r="C102" s="52"/>
      <c r="D102" s="53">
        <v>797791</v>
      </c>
      <c r="E102" s="52"/>
    </row>
    <row r="104" spans="1:6" x14ac:dyDescent="0.2">
      <c r="A104" s="60" t="s">
        <v>75</v>
      </c>
      <c r="B104" s="61"/>
      <c r="C104" s="61"/>
      <c r="D104" s="61"/>
      <c r="E104" s="61"/>
      <c r="F104" s="61"/>
    </row>
    <row r="105" spans="1:6" x14ac:dyDescent="0.2">
      <c r="A105" s="50" t="s">
        <v>476</v>
      </c>
      <c r="B105" s="50" t="s">
        <v>594</v>
      </c>
      <c r="C105" s="50" t="s">
        <v>595</v>
      </c>
      <c r="D105" s="50" t="s">
        <v>596</v>
      </c>
      <c r="E105" s="50" t="s">
        <v>61</v>
      </c>
    </row>
    <row r="106" spans="1:6" x14ac:dyDescent="0.2">
      <c r="A106" s="3" t="s">
        <v>343</v>
      </c>
      <c r="B106" s="3">
        <v>1</v>
      </c>
      <c r="C106" s="31">
        <v>9600</v>
      </c>
      <c r="D106" s="31">
        <v>9600</v>
      </c>
      <c r="E106" s="3" t="s">
        <v>76</v>
      </c>
    </row>
    <row r="107" spans="1:6" x14ac:dyDescent="0.2">
      <c r="A107" s="3" t="s">
        <v>270</v>
      </c>
      <c r="B107" s="3">
        <v>1</v>
      </c>
      <c r="C107" s="31">
        <v>3942</v>
      </c>
      <c r="D107" s="31">
        <v>3942</v>
      </c>
      <c r="E107" s="3" t="s">
        <v>76</v>
      </c>
    </row>
    <row r="108" spans="1:6" x14ac:dyDescent="0.2">
      <c r="A108" s="3" t="s">
        <v>74</v>
      </c>
      <c r="B108" s="3">
        <v>12</v>
      </c>
      <c r="C108" s="31">
        <v>10575</v>
      </c>
      <c r="D108" s="31">
        <v>126900</v>
      </c>
      <c r="E108" s="3" t="s">
        <v>76</v>
      </c>
    </row>
    <row r="109" spans="1:6" x14ac:dyDescent="0.2">
      <c r="A109" s="3" t="s">
        <v>265</v>
      </c>
      <c r="B109" s="3">
        <v>2</v>
      </c>
      <c r="C109" s="31">
        <v>9812</v>
      </c>
      <c r="D109" s="31">
        <v>19625</v>
      </c>
      <c r="E109" s="3" t="s">
        <v>76</v>
      </c>
    </row>
    <row r="110" spans="1:6" x14ac:dyDescent="0.2">
      <c r="A110" s="3" t="s">
        <v>167</v>
      </c>
      <c r="B110" s="3">
        <v>1</v>
      </c>
      <c r="C110" s="31">
        <v>14750</v>
      </c>
      <c r="D110" s="31">
        <v>14750</v>
      </c>
      <c r="E110" s="3" t="s">
        <v>76</v>
      </c>
    </row>
    <row r="111" spans="1:6" x14ac:dyDescent="0.2">
      <c r="A111" s="3" t="s">
        <v>368</v>
      </c>
      <c r="B111" s="3">
        <v>1</v>
      </c>
      <c r="C111" s="31">
        <v>10377</v>
      </c>
      <c r="D111" s="31">
        <v>10377</v>
      </c>
      <c r="E111" s="3" t="s">
        <v>76</v>
      </c>
    </row>
    <row r="112" spans="1:6" x14ac:dyDescent="0.2">
      <c r="A112" s="3" t="s">
        <v>279</v>
      </c>
      <c r="B112" s="3">
        <v>1</v>
      </c>
      <c r="C112" s="31">
        <v>11500</v>
      </c>
      <c r="D112" s="31">
        <v>11500</v>
      </c>
      <c r="E112" s="3" t="s">
        <v>76</v>
      </c>
    </row>
    <row r="113" spans="1:8" x14ac:dyDescent="0.2">
      <c r="A113" s="3" t="s">
        <v>237</v>
      </c>
      <c r="B113" s="3">
        <v>2</v>
      </c>
      <c r="C113" s="31">
        <v>12500</v>
      </c>
      <c r="D113" s="31">
        <v>25000</v>
      </c>
      <c r="E113" s="3" t="s">
        <v>76</v>
      </c>
    </row>
    <row r="114" spans="1:8" x14ac:dyDescent="0.2">
      <c r="A114" s="3" t="s">
        <v>47</v>
      </c>
      <c r="B114" s="3">
        <v>1</v>
      </c>
      <c r="C114" s="31">
        <v>5200</v>
      </c>
      <c r="D114" s="31">
        <v>5200</v>
      </c>
      <c r="E114" s="13" t="s">
        <v>597</v>
      </c>
    </row>
    <row r="115" spans="1:8" x14ac:dyDescent="0.2">
      <c r="A115" s="3" t="s">
        <v>406</v>
      </c>
      <c r="B115" s="3">
        <v>1</v>
      </c>
      <c r="C115" s="31">
        <v>10000</v>
      </c>
      <c r="D115" s="31">
        <v>10000</v>
      </c>
      <c r="E115" s="3" t="s">
        <v>76</v>
      </c>
    </row>
    <row r="116" spans="1:8" x14ac:dyDescent="0.2">
      <c r="A116" s="3" t="s">
        <v>288</v>
      </c>
      <c r="B116" s="3">
        <v>1</v>
      </c>
      <c r="C116" s="31">
        <v>5500</v>
      </c>
      <c r="D116" s="31">
        <v>5500</v>
      </c>
      <c r="E116" s="3" t="s">
        <v>76</v>
      </c>
    </row>
    <row r="117" spans="1:8" x14ac:dyDescent="0.2">
      <c r="A117" s="3" t="s">
        <v>349</v>
      </c>
      <c r="B117" s="3">
        <v>1</v>
      </c>
      <c r="C117" s="31">
        <v>13500</v>
      </c>
      <c r="D117" s="31">
        <v>13500</v>
      </c>
      <c r="E117" s="3" t="s">
        <v>76</v>
      </c>
    </row>
    <row r="118" spans="1:8" x14ac:dyDescent="0.2">
      <c r="A118" s="3" t="s">
        <v>152</v>
      </c>
      <c r="B118" s="3">
        <v>1</v>
      </c>
      <c r="C118" s="31">
        <v>16000</v>
      </c>
      <c r="D118" s="31">
        <v>16000</v>
      </c>
      <c r="E118" s="3" t="s">
        <v>76</v>
      </c>
    </row>
    <row r="119" spans="1:8" x14ac:dyDescent="0.2">
      <c r="A119" s="3" t="s">
        <v>423</v>
      </c>
      <c r="B119" s="3">
        <v>1</v>
      </c>
      <c r="C119" s="31">
        <v>5550</v>
      </c>
      <c r="D119" s="31">
        <v>5550</v>
      </c>
      <c r="E119" s="3" t="s">
        <v>76</v>
      </c>
    </row>
    <row r="120" spans="1:8" x14ac:dyDescent="0.2">
      <c r="A120" s="51" t="s">
        <v>602</v>
      </c>
      <c r="B120" s="51">
        <v>27</v>
      </c>
      <c r="C120" s="52"/>
      <c r="D120" s="53">
        <v>277444</v>
      </c>
      <c r="E120" s="52"/>
    </row>
    <row r="122" spans="1:8" x14ac:dyDescent="0.2">
      <c r="A122" s="71" t="s">
        <v>603</v>
      </c>
      <c r="B122" s="71"/>
      <c r="C122" s="71"/>
      <c r="D122" s="71"/>
      <c r="E122" s="71"/>
      <c r="F122" s="71"/>
      <c r="G122" s="71"/>
      <c r="H122" s="71"/>
    </row>
    <row r="123" spans="1:8" x14ac:dyDescent="0.2">
      <c r="A123" s="12" t="s">
        <v>604</v>
      </c>
      <c r="B123" s="12" t="s">
        <v>605</v>
      </c>
      <c r="C123" s="12" t="s">
        <v>606</v>
      </c>
      <c r="D123" s="12" t="s">
        <v>503</v>
      </c>
      <c r="E123" s="12" t="s">
        <v>578</v>
      </c>
    </row>
    <row r="124" spans="1:8" x14ac:dyDescent="0.2">
      <c r="A124" s="3" t="s">
        <v>607</v>
      </c>
      <c r="B124" s="31">
        <v>23848716</v>
      </c>
      <c r="C124" s="31">
        <v>23857468</v>
      </c>
      <c r="D124" s="62">
        <v>8752</v>
      </c>
      <c r="E124" s="47" t="s">
        <v>608</v>
      </c>
    </row>
    <row r="125" spans="1:8" x14ac:dyDescent="0.2">
      <c r="A125" s="3" t="s">
        <v>609</v>
      </c>
      <c r="B125" s="31">
        <v>0</v>
      </c>
      <c r="C125" s="31">
        <v>229600</v>
      </c>
      <c r="D125" s="62">
        <v>229600</v>
      </c>
      <c r="E125" s="47" t="s">
        <v>610</v>
      </c>
    </row>
    <row r="126" spans="1:8" x14ac:dyDescent="0.2">
      <c r="A126" s="3" t="s">
        <v>27</v>
      </c>
      <c r="B126" s="31">
        <v>0</v>
      </c>
      <c r="C126" s="31">
        <v>272167</v>
      </c>
      <c r="D126" s="62">
        <v>272167</v>
      </c>
      <c r="E126" s="47" t="s">
        <v>611</v>
      </c>
    </row>
    <row r="127" spans="1:8" x14ac:dyDescent="0.2">
      <c r="A127" s="3" t="s">
        <v>612</v>
      </c>
      <c r="B127" s="31">
        <v>0</v>
      </c>
      <c r="C127" s="31">
        <v>306046</v>
      </c>
      <c r="D127" s="62">
        <v>306046</v>
      </c>
      <c r="E127" s="47" t="s">
        <v>611</v>
      </c>
    </row>
    <row r="128" spans="1:8" x14ac:dyDescent="0.2">
      <c r="A128" s="3" t="s">
        <v>31</v>
      </c>
      <c r="B128" s="31">
        <v>0</v>
      </c>
      <c r="C128" s="31">
        <v>7356097</v>
      </c>
      <c r="D128" s="62">
        <v>7356097</v>
      </c>
      <c r="E128" s="47" t="s">
        <v>611</v>
      </c>
    </row>
    <row r="129" spans="1:8" x14ac:dyDescent="0.2">
      <c r="A129" s="3" t="s">
        <v>33</v>
      </c>
      <c r="B129" s="31">
        <v>0</v>
      </c>
      <c r="C129" s="31">
        <v>647400</v>
      </c>
      <c r="D129" s="62">
        <v>647400</v>
      </c>
      <c r="E129" s="47" t="s">
        <v>611</v>
      </c>
    </row>
    <row r="130" spans="1:8" x14ac:dyDescent="0.2">
      <c r="A130" s="3" t="s">
        <v>613</v>
      </c>
      <c r="B130" s="31">
        <v>30080</v>
      </c>
      <c r="C130" s="31">
        <v>30080</v>
      </c>
      <c r="D130" s="31">
        <v>0</v>
      </c>
      <c r="E130" s="47" t="s">
        <v>614</v>
      </c>
    </row>
    <row r="131" spans="1:8" x14ac:dyDescent="0.2">
      <c r="A131" s="3" t="s">
        <v>615</v>
      </c>
      <c r="B131" s="31">
        <v>1497480</v>
      </c>
      <c r="C131" s="31">
        <v>1506954</v>
      </c>
      <c r="D131" s="62">
        <v>9474</v>
      </c>
      <c r="E131" s="47" t="s">
        <v>616</v>
      </c>
    </row>
    <row r="132" spans="1:8" x14ac:dyDescent="0.2">
      <c r="A132" s="3" t="s">
        <v>617</v>
      </c>
      <c r="B132" s="31">
        <v>1827200</v>
      </c>
      <c r="C132" s="31">
        <v>1850040</v>
      </c>
      <c r="D132" s="62">
        <v>22840</v>
      </c>
      <c r="E132" s="47" t="s">
        <v>618</v>
      </c>
    </row>
    <row r="133" spans="1:8" x14ac:dyDescent="0.2">
      <c r="A133" s="63" t="s">
        <v>585</v>
      </c>
      <c r="B133" s="9">
        <v>27212228</v>
      </c>
      <c r="C133" s="9">
        <v>36055852</v>
      </c>
      <c r="D133" s="9">
        <v>8843624</v>
      </c>
      <c r="E133" s="63" t="s">
        <v>619</v>
      </c>
    </row>
    <row r="135" spans="1:8" x14ac:dyDescent="0.2">
      <c r="A135" s="71" t="s">
        <v>620</v>
      </c>
      <c r="B135" s="71"/>
      <c r="C135" s="71"/>
      <c r="D135" s="71"/>
      <c r="E135" s="71"/>
      <c r="F135" s="71"/>
      <c r="G135" s="71"/>
      <c r="H135" s="71"/>
    </row>
    <row r="136" spans="1:8" x14ac:dyDescent="0.2">
      <c r="A136" s="2" t="s">
        <v>621</v>
      </c>
    </row>
    <row r="137" spans="1:8" x14ac:dyDescent="0.2">
      <c r="A137" s="2" t="s">
        <v>622</v>
      </c>
    </row>
    <row r="138" spans="1:8" x14ac:dyDescent="0.2">
      <c r="A138" s="2" t="s">
        <v>623</v>
      </c>
    </row>
    <row r="139" spans="1:8" x14ac:dyDescent="0.2">
      <c r="A139" s="2" t="s">
        <v>624</v>
      </c>
    </row>
    <row r="140" spans="1:8" x14ac:dyDescent="0.2">
      <c r="A140" s="2" t="s">
        <v>625</v>
      </c>
    </row>
    <row r="141" spans="1:8" x14ac:dyDescent="0.2">
      <c r="A141" s="2" t="s">
        <v>626</v>
      </c>
    </row>
    <row r="142" spans="1:8" x14ac:dyDescent="0.2">
      <c r="A142" s="2" t="s">
        <v>627</v>
      </c>
    </row>
    <row r="143" spans="1:8" x14ac:dyDescent="0.2">
      <c r="A143" s="2" t="s">
        <v>628</v>
      </c>
    </row>
    <row r="144" spans="1:8" x14ac:dyDescent="0.2">
      <c r="A144" s="2" t="s">
        <v>629</v>
      </c>
    </row>
    <row r="145" spans="1:1" x14ac:dyDescent="0.2">
      <c r="A145" s="2" t="s">
        <v>630</v>
      </c>
    </row>
    <row r="146" spans="1:1" x14ac:dyDescent="0.2">
      <c r="A146" s="2" t="s">
        <v>631</v>
      </c>
    </row>
    <row r="147" spans="1:1" x14ac:dyDescent="0.2">
      <c r="A147" s="2" t="s">
        <v>632</v>
      </c>
    </row>
    <row r="148" spans="1:1" x14ac:dyDescent="0.2">
      <c r="A148" s="2" t="s">
        <v>633</v>
      </c>
    </row>
    <row r="149" spans="1:1" x14ac:dyDescent="0.2">
      <c r="A149" s="2" t="s">
        <v>634</v>
      </c>
    </row>
  </sheetData>
  <mergeCells count="8">
    <mergeCell ref="A55:H55"/>
    <mergeCell ref="A122:H122"/>
    <mergeCell ref="A135:H135"/>
    <mergeCell ref="A1:H1"/>
    <mergeCell ref="A3:D3"/>
    <mergeCell ref="A24:H24"/>
    <mergeCell ref="A40:H40"/>
    <mergeCell ref="A47:H4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 &amp; Inputs</vt:lpstr>
      <vt:lpstr>Staff Master Data</vt:lpstr>
      <vt:lpstr>FY2026 Monthly Budget</vt:lpstr>
      <vt:lpstr>End of Service</vt:lpstr>
      <vt:lpstr>GOSI</vt:lpstr>
      <vt:lpstr>Ajeer Costs</vt:lpstr>
      <vt:lpstr>YoY Comparison</vt:lpstr>
      <vt:lpstr>Analysis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Faker Helali</cp:lastModifiedBy>
  <cp:revision>0</cp:revision>
  <dcterms:created xsi:type="dcterms:W3CDTF">2026-02-06T14:49:00Z</dcterms:created>
  <dcterms:modified xsi:type="dcterms:W3CDTF">2026-02-09T18:48:02Z</dcterms:modified>
  <dc:language>en-US</dc:language>
</cp:coreProperties>
</file>