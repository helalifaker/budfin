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esktop/Budget 2026 EFIR/Budget 2026/"/>
    </mc:Choice>
  </mc:AlternateContent>
  <xr:revisionPtr revIDLastSave="0" documentId="13_ncr:1_{DEA398A2-DBEC-8948-8B6D-19946F141ED0}" xr6:coauthVersionLast="47" xr6:coauthVersionMax="47" xr10:uidLastSave="{00000000-0000-0000-0000-000000000000}"/>
  <bookViews>
    <workbookView xWindow="0" yWindow="600" windowWidth="51200" windowHeight="26420" tabRatio="500" activeTab="1" xr2:uid="{00000000-000D-0000-FFFF-FFFF00000000}"/>
  </bookViews>
  <sheets>
    <sheet name="Data_Links" sheetId="1" r:id="rId1"/>
    <sheet name="IFRS_Mapping" sheetId="2" r:id="rId2"/>
    <sheet name="IFRS_Income_Statement" sheetId="3" r:id="rId3"/>
  </sheets>
  <externalReferences>
    <externalReference r:id="rId4"/>
    <externalReference r:id="rId5"/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1" i="2" l="1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M11" i="3" l="1"/>
  <c r="L11" i="3"/>
  <c r="K11" i="3"/>
  <c r="J11" i="3"/>
  <c r="I11" i="3"/>
  <c r="H11" i="3"/>
  <c r="G11" i="3"/>
  <c r="F11" i="3"/>
  <c r="E11" i="3"/>
  <c r="D11" i="3"/>
  <c r="C11" i="3"/>
  <c r="B11" i="3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O9" i="2"/>
  <c r="N9" i="2"/>
  <c r="M9" i="2"/>
  <c r="L9" i="2"/>
  <c r="K9" i="2"/>
  <c r="J9" i="2"/>
  <c r="I9" i="2"/>
  <c r="H9" i="2"/>
  <c r="G9" i="2"/>
  <c r="F9" i="2"/>
  <c r="E9" i="2"/>
  <c r="D9" i="2"/>
  <c r="C9" i="2"/>
  <c r="O8" i="2"/>
  <c r="N8" i="2"/>
  <c r="M8" i="2"/>
  <c r="L8" i="2"/>
  <c r="K8" i="2"/>
  <c r="J8" i="2"/>
  <c r="I8" i="2"/>
  <c r="H8" i="2"/>
  <c r="G8" i="2"/>
  <c r="F8" i="2"/>
  <c r="E8" i="2"/>
  <c r="D8" i="2"/>
  <c r="C8" i="2"/>
  <c r="O7" i="2"/>
  <c r="N7" i="2"/>
  <c r="M7" i="2"/>
  <c r="L7" i="2"/>
  <c r="K7" i="2"/>
  <c r="J7" i="2"/>
  <c r="I7" i="2"/>
  <c r="H7" i="2"/>
  <c r="G7" i="2"/>
  <c r="F7" i="2"/>
  <c r="E7" i="2"/>
  <c r="D7" i="2"/>
  <c r="C7" i="2"/>
  <c r="O6" i="2"/>
  <c r="N6" i="2"/>
  <c r="M6" i="2"/>
  <c r="L6" i="2"/>
  <c r="K6" i="2"/>
  <c r="J6" i="2"/>
  <c r="I6" i="2"/>
  <c r="H6" i="2"/>
  <c r="G6" i="2"/>
  <c r="F6" i="2"/>
  <c r="E6" i="2"/>
  <c r="D6" i="2"/>
  <c r="C6" i="2"/>
  <c r="K9" i="3" l="1"/>
  <c r="D6" i="3"/>
  <c r="K7" i="3"/>
  <c r="G9" i="3"/>
  <c r="L9" i="3"/>
  <c r="G7" i="3"/>
  <c r="E9" i="3"/>
  <c r="J6" i="3"/>
  <c r="I9" i="3"/>
  <c r="C7" i="3"/>
  <c r="M7" i="3"/>
  <c r="M22" i="2"/>
  <c r="L10" i="3" s="1"/>
  <c r="D8" i="3"/>
  <c r="E22" i="2"/>
  <c r="E23" i="2" s="1"/>
  <c r="D12" i="3" s="1"/>
  <c r="B8" i="3"/>
  <c r="C8" i="3"/>
  <c r="F9" i="3"/>
  <c r="F8" i="3"/>
  <c r="D7" i="3"/>
  <c r="J9" i="3"/>
  <c r="H8" i="3"/>
  <c r="F7" i="3"/>
  <c r="H7" i="3"/>
  <c r="K8" i="3"/>
  <c r="J22" i="2"/>
  <c r="I10" i="3" s="1"/>
  <c r="B7" i="3"/>
  <c r="H9" i="3"/>
  <c r="L6" i="3"/>
  <c r="J8" i="3"/>
  <c r="E7" i="3"/>
  <c r="O22" i="2"/>
  <c r="O23" i="2" s="1"/>
  <c r="C22" i="2"/>
  <c r="B10" i="3" s="1"/>
  <c r="M6" i="3"/>
  <c r="K6" i="3"/>
  <c r="G8" i="3"/>
  <c r="L8" i="3"/>
  <c r="E6" i="3"/>
  <c r="B9" i="3"/>
  <c r="M8" i="3"/>
  <c r="L7" i="3"/>
  <c r="C9" i="3"/>
  <c r="C6" i="3"/>
  <c r="F22" i="2"/>
  <c r="F23" i="2" s="1"/>
  <c r="E12" i="3" s="1"/>
  <c r="D22" i="2"/>
  <c r="D23" i="2" s="1"/>
  <c r="C12" i="3" s="1"/>
  <c r="G22" i="2"/>
  <c r="G23" i="2" s="1"/>
  <c r="F12" i="3" s="1"/>
  <c r="J7" i="3"/>
  <c r="G6" i="3"/>
  <c r="K22" i="2"/>
  <c r="J10" i="3" s="1"/>
  <c r="D9" i="3"/>
  <c r="E8" i="3"/>
  <c r="I8" i="3"/>
  <c r="M9" i="3"/>
  <c r="I7" i="3"/>
  <c r="H6" i="3"/>
  <c r="L22" i="2"/>
  <c r="K10" i="3" s="1"/>
  <c r="F6" i="3"/>
  <c r="H22" i="2"/>
  <c r="I6" i="3"/>
  <c r="I22" i="2"/>
  <c r="N22" i="2"/>
  <c r="B6" i="3"/>
  <c r="M23" i="2" l="1"/>
  <c r="L12" i="3" s="1"/>
  <c r="C10" i="3"/>
  <c r="D10" i="3"/>
  <c r="L23" i="2"/>
  <c r="K12" i="3" s="1"/>
  <c r="J23" i="2"/>
  <c r="I12" i="3" s="1"/>
  <c r="K23" i="2"/>
  <c r="J12" i="3" s="1"/>
  <c r="F10" i="3"/>
  <c r="C23" i="2"/>
  <c r="B12" i="3" s="1"/>
  <c r="E10" i="3"/>
  <c r="M10" i="3"/>
  <c r="N23" i="2"/>
  <c r="M12" i="3" s="1"/>
  <c r="I23" i="2"/>
  <c r="H12" i="3" s="1"/>
  <c r="H10" i="3"/>
  <c r="G10" i="3"/>
  <c r="H23" i="2"/>
  <c r="G12" i="3" s="1"/>
  <c r="N57" i="2" l="1"/>
  <c r="N58" i="2" s="1"/>
  <c r="M18" i="3" s="1"/>
  <c r="D57" i="2"/>
  <c r="D58" i="2" s="1"/>
  <c r="C18" i="3" s="1"/>
  <c r="C57" i="2"/>
  <c r="N54" i="2"/>
  <c r="N55" i="2" s="1"/>
  <c r="M17" i="3" s="1"/>
  <c r="F54" i="2"/>
  <c r="F55" i="2" s="1"/>
  <c r="E17" i="3" s="1"/>
  <c r="D54" i="2"/>
  <c r="D55" i="2" s="1"/>
  <c r="C17" i="3" s="1"/>
  <c r="C54" i="2"/>
  <c r="C55" i="2" s="1"/>
  <c r="B17" i="3" s="1"/>
  <c r="N45" i="2"/>
  <c r="M45" i="2"/>
  <c r="L45" i="2"/>
  <c r="K45" i="2"/>
  <c r="J45" i="2"/>
  <c r="E45" i="2"/>
  <c r="N44" i="2"/>
  <c r="M44" i="2"/>
  <c r="L44" i="2"/>
  <c r="K44" i="2"/>
  <c r="J44" i="2"/>
  <c r="N43" i="2"/>
  <c r="M43" i="2"/>
  <c r="L43" i="2"/>
  <c r="K43" i="2"/>
  <c r="C43" i="2"/>
  <c r="N42" i="2"/>
  <c r="M42" i="2"/>
  <c r="L42" i="2"/>
  <c r="N41" i="2"/>
  <c r="M41" i="2"/>
  <c r="F40" i="2"/>
  <c r="N9" i="3"/>
  <c r="N67" i="2"/>
  <c r="M67" i="2"/>
  <c r="L67" i="2"/>
  <c r="K67" i="2"/>
  <c r="J67" i="2"/>
  <c r="I67" i="2"/>
  <c r="H67" i="2"/>
  <c r="G67" i="2"/>
  <c r="F67" i="2"/>
  <c r="E67" i="2"/>
  <c r="D67" i="2"/>
  <c r="C67" i="2"/>
  <c r="N66" i="2"/>
  <c r="M66" i="2"/>
  <c r="L66" i="2"/>
  <c r="K66" i="2"/>
  <c r="J66" i="2"/>
  <c r="I66" i="2"/>
  <c r="H66" i="2"/>
  <c r="G66" i="2"/>
  <c r="F66" i="2"/>
  <c r="E66" i="2"/>
  <c r="D66" i="2"/>
  <c r="C66" i="2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M57" i="2"/>
  <c r="M58" i="2" s="1"/>
  <c r="L18" i="3" s="1"/>
  <c r="L57" i="2"/>
  <c r="L58" i="2" s="1"/>
  <c r="K18" i="3" s="1"/>
  <c r="K57" i="2"/>
  <c r="K58" i="2" s="1"/>
  <c r="J18" i="3" s="1"/>
  <c r="J57" i="2"/>
  <c r="J58" i="2" s="1"/>
  <c r="I18" i="3" s="1"/>
  <c r="I57" i="2"/>
  <c r="I58" i="2" s="1"/>
  <c r="H18" i="3" s="1"/>
  <c r="H57" i="2"/>
  <c r="H58" i="2" s="1"/>
  <c r="G18" i="3" s="1"/>
  <c r="G57" i="2"/>
  <c r="G58" i="2" s="1"/>
  <c r="F18" i="3" s="1"/>
  <c r="F57" i="2"/>
  <c r="F58" i="2" s="1"/>
  <c r="E18" i="3" s="1"/>
  <c r="E57" i="2"/>
  <c r="E58" i="2" s="1"/>
  <c r="D18" i="3" s="1"/>
  <c r="M54" i="2"/>
  <c r="M55" i="2" s="1"/>
  <c r="L17" i="3" s="1"/>
  <c r="L54" i="2"/>
  <c r="L55" i="2" s="1"/>
  <c r="K17" i="3" s="1"/>
  <c r="K54" i="2"/>
  <c r="K55" i="2" s="1"/>
  <c r="J17" i="3" s="1"/>
  <c r="J54" i="2"/>
  <c r="J55" i="2" s="1"/>
  <c r="I17" i="3" s="1"/>
  <c r="I54" i="2"/>
  <c r="I55" i="2" s="1"/>
  <c r="H17" i="3" s="1"/>
  <c r="H54" i="2"/>
  <c r="H55" i="2" s="1"/>
  <c r="G17" i="3" s="1"/>
  <c r="G54" i="2"/>
  <c r="G55" i="2" s="1"/>
  <c r="F17" i="3" s="1"/>
  <c r="I45" i="2"/>
  <c r="H45" i="2"/>
  <c r="G45" i="2"/>
  <c r="F45" i="2"/>
  <c r="D45" i="2"/>
  <c r="C45" i="2"/>
  <c r="I44" i="2"/>
  <c r="H44" i="2"/>
  <c r="G44" i="2"/>
  <c r="F44" i="2"/>
  <c r="E44" i="2"/>
  <c r="D44" i="2"/>
  <c r="C44" i="2"/>
  <c r="J43" i="2"/>
  <c r="I43" i="2"/>
  <c r="H43" i="2"/>
  <c r="G43" i="2"/>
  <c r="F43" i="2"/>
  <c r="E43" i="2"/>
  <c r="D43" i="2"/>
  <c r="K42" i="2"/>
  <c r="J42" i="2"/>
  <c r="I42" i="2"/>
  <c r="H42" i="2"/>
  <c r="G42" i="2"/>
  <c r="F42" i="2"/>
  <c r="E42" i="2"/>
  <c r="D42" i="2"/>
  <c r="C42" i="2"/>
  <c r="L41" i="2"/>
  <c r="K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E40" i="2"/>
  <c r="D40" i="2"/>
  <c r="C40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H68" i="2" l="1"/>
  <c r="G25" i="3" s="1"/>
  <c r="O36" i="2"/>
  <c r="D64" i="2"/>
  <c r="C24" i="3" s="1"/>
  <c r="K68" i="2"/>
  <c r="J25" i="3" s="1"/>
  <c r="E64" i="2"/>
  <c r="F64" i="2"/>
  <c r="E24" i="3" s="1"/>
  <c r="L68" i="2"/>
  <c r="K25" i="3" s="1"/>
  <c r="N68" i="2"/>
  <c r="M25" i="3" s="1"/>
  <c r="C68" i="2"/>
  <c r="B25" i="3" s="1"/>
  <c r="E52" i="2"/>
  <c r="M68" i="2"/>
  <c r="L25" i="3" s="1"/>
  <c r="O37" i="2"/>
  <c r="G64" i="2"/>
  <c r="F24" i="3" s="1"/>
  <c r="O48" i="2"/>
  <c r="H64" i="2"/>
  <c r="G24" i="3" s="1"/>
  <c r="J38" i="2"/>
  <c r="J74" i="2" s="1"/>
  <c r="I64" i="2"/>
  <c r="H24" i="3" s="1"/>
  <c r="O63" i="2"/>
  <c r="D52" i="2"/>
  <c r="D75" i="2" s="1"/>
  <c r="O67" i="2"/>
  <c r="O26" i="2"/>
  <c r="O33" i="2"/>
  <c r="O66" i="2"/>
  <c r="J64" i="2"/>
  <c r="I24" i="3" s="1"/>
  <c r="O34" i="2"/>
  <c r="O32" i="2"/>
  <c r="E68" i="2"/>
  <c r="D25" i="3" s="1"/>
  <c r="I68" i="2"/>
  <c r="H25" i="3" s="1"/>
  <c r="N64" i="2"/>
  <c r="M24" i="3" s="1"/>
  <c r="F68" i="2"/>
  <c r="E25" i="3" s="1"/>
  <c r="J68" i="2"/>
  <c r="I25" i="3" s="1"/>
  <c r="O29" i="2"/>
  <c r="O28" i="2"/>
  <c r="M64" i="2"/>
  <c r="L24" i="3" s="1"/>
  <c r="O27" i="2"/>
  <c r="C38" i="2"/>
  <c r="C74" i="2" s="1"/>
  <c r="E38" i="2"/>
  <c r="O31" i="2"/>
  <c r="G68" i="2"/>
  <c r="F25" i="3" s="1"/>
  <c r="N8" i="3"/>
  <c r="N6" i="3"/>
  <c r="D38" i="2"/>
  <c r="F38" i="2"/>
  <c r="F74" i="2" s="1"/>
  <c r="O35" i="2"/>
  <c r="G38" i="2"/>
  <c r="G74" i="2" s="1"/>
  <c r="H38" i="2"/>
  <c r="H74" i="2" s="1"/>
  <c r="I38" i="2"/>
  <c r="M38" i="2"/>
  <c r="M74" i="2" s="1"/>
  <c r="K38" i="2"/>
  <c r="K74" i="2" s="1"/>
  <c r="L38" i="2"/>
  <c r="L74" i="2" s="1"/>
  <c r="N38" i="2"/>
  <c r="N74" i="2" s="1"/>
  <c r="O25" i="2"/>
  <c r="O30" i="2"/>
  <c r="O43" i="2"/>
  <c r="D24" i="3"/>
  <c r="F52" i="2"/>
  <c r="F75" i="2" s="1"/>
  <c r="O40" i="2"/>
  <c r="O42" i="2"/>
  <c r="O46" i="2"/>
  <c r="O47" i="2"/>
  <c r="O49" i="2"/>
  <c r="O44" i="2"/>
  <c r="O51" i="2"/>
  <c r="C58" i="2"/>
  <c r="B18" i="3" s="1"/>
  <c r="N18" i="3" s="1"/>
  <c r="O57" i="2"/>
  <c r="O58" i="2" s="1"/>
  <c r="O50" i="2"/>
  <c r="L52" i="2"/>
  <c r="C52" i="2"/>
  <c r="K64" i="2"/>
  <c r="H52" i="2"/>
  <c r="I41" i="2"/>
  <c r="I52" i="2" s="1"/>
  <c r="I75" i="2" s="1"/>
  <c r="E54" i="2"/>
  <c r="E55" i="2" s="1"/>
  <c r="D17" i="3" s="1"/>
  <c r="N17" i="3" s="1"/>
  <c r="J41" i="2"/>
  <c r="J52" i="2" s="1"/>
  <c r="J75" i="2" s="1"/>
  <c r="C64" i="2"/>
  <c r="B24" i="3" s="1"/>
  <c r="G52" i="2"/>
  <c r="L64" i="2"/>
  <c r="K24" i="3" s="1"/>
  <c r="K52" i="2"/>
  <c r="K75" i="2" s="1"/>
  <c r="D68" i="2"/>
  <c r="C25" i="3" s="1"/>
  <c r="O45" i="2"/>
  <c r="M52" i="2"/>
  <c r="N52" i="2"/>
  <c r="N10" i="3"/>
  <c r="N7" i="3"/>
  <c r="N11" i="3"/>
  <c r="O62" i="2"/>
  <c r="F15" i="3" l="1"/>
  <c r="O64" i="2"/>
  <c r="L15" i="3"/>
  <c r="C16" i="3"/>
  <c r="E69" i="2"/>
  <c r="D26" i="3" s="1"/>
  <c r="M69" i="2"/>
  <c r="L26" i="3" s="1"/>
  <c r="H15" i="3"/>
  <c r="I74" i="2"/>
  <c r="C15" i="3"/>
  <c r="D74" i="2"/>
  <c r="D59" i="2"/>
  <c r="C19" i="3" s="1"/>
  <c r="D15" i="3"/>
  <c r="E74" i="2"/>
  <c r="E15" i="3"/>
  <c r="K16" i="3"/>
  <c r="L75" i="2"/>
  <c r="L16" i="3"/>
  <c r="M75" i="2"/>
  <c r="G59" i="2"/>
  <c r="G75" i="2"/>
  <c r="D16" i="3"/>
  <c r="E75" i="2"/>
  <c r="G16" i="3"/>
  <c r="H75" i="2"/>
  <c r="M16" i="3"/>
  <c r="N75" i="2"/>
  <c r="C75" i="2"/>
  <c r="F69" i="2"/>
  <c r="E26" i="3" s="1"/>
  <c r="F16" i="3"/>
  <c r="J16" i="3"/>
  <c r="N69" i="2"/>
  <c r="M26" i="3" s="1"/>
  <c r="H69" i="2"/>
  <c r="G26" i="3" s="1"/>
  <c r="J69" i="2"/>
  <c r="I26" i="3" s="1"/>
  <c r="M59" i="2"/>
  <c r="C69" i="2"/>
  <c r="B26" i="3" s="1"/>
  <c r="O68" i="2"/>
  <c r="O69" i="2" s="1"/>
  <c r="K59" i="2"/>
  <c r="I69" i="2"/>
  <c r="H26" i="3" s="1"/>
  <c r="I15" i="3"/>
  <c r="C59" i="2"/>
  <c r="C60" i="2" s="1"/>
  <c r="C76" i="2" s="1"/>
  <c r="B15" i="3"/>
  <c r="F59" i="2"/>
  <c r="F60" i="2" s="1"/>
  <c r="F76" i="2" s="1"/>
  <c r="O41" i="2"/>
  <c r="O52" i="2" s="1"/>
  <c r="N25" i="3"/>
  <c r="J15" i="3"/>
  <c r="E16" i="3"/>
  <c r="G69" i="2"/>
  <c r="F26" i="3" s="1"/>
  <c r="L69" i="2"/>
  <c r="K26" i="3" s="1"/>
  <c r="O38" i="2"/>
  <c r="O74" i="2" s="1"/>
  <c r="K15" i="3"/>
  <c r="G15" i="3"/>
  <c r="M15" i="3"/>
  <c r="L59" i="2"/>
  <c r="N59" i="2"/>
  <c r="H16" i="3"/>
  <c r="I59" i="2"/>
  <c r="H59" i="2"/>
  <c r="B16" i="3"/>
  <c r="K69" i="2"/>
  <c r="J26" i="3" s="1"/>
  <c r="J24" i="3"/>
  <c r="N24" i="3" s="1"/>
  <c r="O54" i="2"/>
  <c r="O55" i="2" s="1"/>
  <c r="I16" i="3"/>
  <c r="J59" i="2"/>
  <c r="J60" i="2" s="1"/>
  <c r="J76" i="2" s="1"/>
  <c r="D69" i="2"/>
  <c r="C26" i="3" s="1"/>
  <c r="E59" i="2"/>
  <c r="D60" i="2" l="1"/>
  <c r="D76" i="2" s="1"/>
  <c r="N15" i="3"/>
  <c r="M19" i="3"/>
  <c r="N60" i="2"/>
  <c r="N76" i="2" s="1"/>
  <c r="K19" i="3"/>
  <c r="L60" i="2"/>
  <c r="L76" i="2" s="1"/>
  <c r="J19" i="3"/>
  <c r="K60" i="2"/>
  <c r="K76" i="2" s="1"/>
  <c r="L19" i="3"/>
  <c r="M60" i="2"/>
  <c r="M76" i="2" s="1"/>
  <c r="D19" i="3"/>
  <c r="E60" i="2"/>
  <c r="E76" i="2" s="1"/>
  <c r="G19" i="3"/>
  <c r="H60" i="2"/>
  <c r="H76" i="2" s="1"/>
  <c r="O75" i="2"/>
  <c r="H19" i="3"/>
  <c r="I60" i="2"/>
  <c r="I76" i="2" s="1"/>
  <c r="F19" i="3"/>
  <c r="G60" i="2"/>
  <c r="G76" i="2" s="1"/>
  <c r="N16" i="3"/>
  <c r="B19" i="3"/>
  <c r="N26" i="3"/>
  <c r="E19" i="3"/>
  <c r="N12" i="3"/>
  <c r="O59" i="2"/>
  <c r="O60" i="2" s="1"/>
  <c r="O76" i="2" s="1"/>
  <c r="I19" i="3"/>
  <c r="D70" i="2"/>
  <c r="C21" i="3"/>
  <c r="C70" i="2"/>
  <c r="B21" i="3"/>
  <c r="J21" i="3" l="1"/>
  <c r="N70" i="2"/>
  <c r="N71" i="2" s="1"/>
  <c r="M29" i="3" s="1"/>
  <c r="G70" i="2"/>
  <c r="F28" i="3" s="1"/>
  <c r="N19" i="3"/>
  <c r="L70" i="2"/>
  <c r="K28" i="3" s="1"/>
  <c r="F21" i="3"/>
  <c r="K70" i="2"/>
  <c r="K71" i="2" s="1"/>
  <c r="J29" i="3" s="1"/>
  <c r="L21" i="3"/>
  <c r="D21" i="3"/>
  <c r="M70" i="2"/>
  <c r="L28" i="3" s="1"/>
  <c r="G21" i="3"/>
  <c r="M21" i="3"/>
  <c r="E70" i="2"/>
  <c r="E71" i="2" s="1"/>
  <c r="D29" i="3" s="1"/>
  <c r="K21" i="3"/>
  <c r="I70" i="2"/>
  <c r="I71" i="2" s="1"/>
  <c r="H29" i="3" s="1"/>
  <c r="H21" i="3"/>
  <c r="F70" i="2"/>
  <c r="E21" i="3"/>
  <c r="H70" i="2"/>
  <c r="G28" i="3" s="1"/>
  <c r="J70" i="2"/>
  <c r="I21" i="3"/>
  <c r="O70" i="2"/>
  <c r="O71" i="2" s="1"/>
  <c r="O72" i="2" s="1"/>
  <c r="O77" i="2" s="1"/>
  <c r="D71" i="2"/>
  <c r="C29" i="3" s="1"/>
  <c r="C28" i="3"/>
  <c r="C71" i="2"/>
  <c r="B29" i="3" s="1"/>
  <c r="B28" i="3"/>
  <c r="G71" i="2" l="1"/>
  <c r="F29" i="3" s="1"/>
  <c r="M28" i="3"/>
  <c r="L71" i="2"/>
  <c r="K29" i="3" s="1"/>
  <c r="J28" i="3"/>
  <c r="M71" i="2"/>
  <c r="L29" i="3" s="1"/>
  <c r="H28" i="3"/>
  <c r="D28" i="3"/>
  <c r="N21" i="3"/>
  <c r="K72" i="2"/>
  <c r="H71" i="2"/>
  <c r="G29" i="3" s="1"/>
  <c r="E72" i="2"/>
  <c r="E77" i="2" s="1"/>
  <c r="F71" i="2"/>
  <c r="E28" i="3"/>
  <c r="C72" i="2"/>
  <c r="C77" i="2" s="1"/>
  <c r="J71" i="2"/>
  <c r="I29" i="3" s="1"/>
  <c r="I28" i="3"/>
  <c r="G72" i="2"/>
  <c r="G77" i="2" s="1"/>
  <c r="D72" i="2"/>
  <c r="D77" i="2" s="1"/>
  <c r="I72" i="2"/>
  <c r="I77" i="2" s="1"/>
  <c r="N72" i="2"/>
  <c r="N77" i="2" s="1"/>
  <c r="L72" i="2" l="1"/>
  <c r="L77" i="2" s="1"/>
  <c r="H72" i="2"/>
  <c r="H77" i="2" s="1"/>
  <c r="M72" i="2"/>
  <c r="M77" i="2" s="1"/>
  <c r="J31" i="3"/>
  <c r="K77" i="2"/>
  <c r="G31" i="3"/>
  <c r="D31" i="3"/>
  <c r="N28" i="3"/>
  <c r="B31" i="3"/>
  <c r="K31" i="3"/>
  <c r="E29" i="3"/>
  <c r="N29" i="3" s="1"/>
  <c r="F72" i="2"/>
  <c r="F77" i="2" s="1"/>
  <c r="J72" i="2"/>
  <c r="J77" i="2" s="1"/>
  <c r="C31" i="3"/>
  <c r="F31" i="3"/>
  <c r="M31" i="3"/>
  <c r="H31" i="3"/>
  <c r="L31" i="3" l="1"/>
  <c r="I31" i="3"/>
  <c r="E31" i="3"/>
  <c r="N3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D8" authorId="0" shapeId="0" xr:uid="{E23A7112-F588-F940-ADAD-D424A80BFA75}">
      <text>
        <r>
          <rPr>
            <b/>
            <sz val="10"/>
            <color rgb="FF000000"/>
            <rFont val="Tahoma"/>
            <family val="2"/>
          </rPr>
          <t>AUDIT LOG: Original documentation listed Rows 7,11,16,22. Actual source rows are 6(detail)/7(total), 10(detail)/11(total), 14-15(detail)/16(total), 19-20(detail)/21(total). IFRS_Mapping links to detail rows (6→7 for D&amp;A, 14-15 for Finance Income, 19-20 for Finance Costs). Row 21 (subtotal) was previously included causing double-counting — REMOVED. Corrected by audit Mar 2026.</t>
        </r>
      </text>
    </comment>
  </commentList>
</comments>
</file>

<file path=xl/sharedStrings.xml><?xml version="1.0" encoding="utf-8"?>
<sst xmlns="http://schemas.openxmlformats.org/spreadsheetml/2006/main" count="305" uniqueCount="259">
  <si>
    <t>EFIR — Budget Suite FY2026 — Data Links Map</t>
  </si>
  <si>
    <t>This sheet documents all external references used in the consolidated budget</t>
  </si>
  <si>
    <t>#</t>
  </si>
  <si>
    <t>Source File</t>
  </si>
  <si>
    <t>Source Sheet</t>
  </si>
  <si>
    <t>Source Row/Range</t>
  </si>
  <si>
    <t>Data Pulled</t>
  </si>
  <si>
    <t>Used In</t>
  </si>
  <si>
    <t>Status</t>
  </si>
  <si>
    <t>01_EFIR_Revenue_FY2026.xlsx</t>
  </si>
  <si>
    <t>EXECUTIVE_SUMMARY</t>
  </si>
  <si>
    <t>Row 31 (monthly totals)</t>
  </si>
  <si>
    <t>Revenue by category (monthly)</t>
  </si>
  <si>
    <t>IFRS_Mapping rows 6-22</t>
  </si>
  <si>
    <t>Active</t>
  </si>
  <si>
    <t>02_EFIR_Staff_Costs_FY2026.xlsx</t>
  </si>
  <si>
    <t>Budget Summary</t>
  </si>
  <si>
    <t>Rows 11,23,28,33,36</t>
  </si>
  <si>
    <t>Staff costs by component</t>
  </si>
  <si>
    <t>IFRS_Mapping rows 30-46</t>
  </si>
  <si>
    <t>03_EFIR_OpEx_FY2026.xlsx</t>
  </si>
  <si>
    <t>Operating_Expenses</t>
  </si>
  <si>
    <t>Other operating expenses</t>
  </si>
  <si>
    <t>IFRS_Mapping rows 49-81</t>
  </si>
  <si>
    <t>Non_Operating_Items</t>
  </si>
  <si>
    <t>04_EFIR_CapEx_FY2026.xlsx</t>
  </si>
  <si>
    <t>CAPEX_Summary</t>
  </si>
  <si>
    <t>Row 14 (total monthly depr)</t>
  </si>
  <si>
    <t>Monthly depreciation (new)</t>
  </si>
  <si>
    <t>IFRS_Mapping row 84</t>
  </si>
  <si>
    <t>IMPORTANT NOTES:</t>
  </si>
  <si>
    <t>1. All source files must be in the SAME folder as this consolidated file for links to work.</t>
  </si>
  <si>
    <t>2. Red text in formulas = external file link. Green text = cross-sheet link within this file.</t>
  </si>
  <si>
    <t>3. To refresh links: Data → Edit Links → Update Values (or open all source files).</t>
  </si>
  <si>
    <t>4. File naming: 01_Revenue, 02_Staff_Costs, 03_OpEx, 04_CapEx, 05_Consolidated</t>
  </si>
  <si>
    <t>EFIR – IFRS RECLASSIFIED MONTHLY BUDGET FY2026</t>
  </si>
  <si>
    <t>Reclassified per IAS 1 Presentation — Currency: SAR — All data linked to source files</t>
  </si>
  <si>
    <t>IFRS Category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</si>
  <si>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</si>
  <si>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</si>
  <si>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</si>
  <si>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</si>
  <si>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</si>
  <si>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</si>
  <si>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</si>
  <si>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</si>
  <si>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</si>
  <si>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</si>
  <si>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</si>
  <si>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</si>
  <si>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</si>
  <si>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FY2026 Total</t>
  </si>
  <si>
    <t>Source</t>
  </si>
  <si>
    <t>REVENUE FROM CONTRACTS WITH CUSTOMERS (IFRS 15)</t>
  </si>
  <si>
    <t>Tuition Fees</t>
  </si>
  <si>
    <t>Registration Fees</t>
  </si>
  <si>
    <t xml:space="preserve">  Re-registration (DAI)</t>
  </si>
  <si>
    <t xml:space="preserve">  Evaluation Tests</t>
  </si>
  <si>
    <t>Activities &amp; Services</t>
  </si>
  <si>
    <t xml:space="preserve">  After-School Activities (APS)</t>
  </si>
  <si>
    <t xml:space="preserve">  Daycare (Garderie)</t>
  </si>
  <si>
    <t xml:space="preserve">  Class Photos</t>
  </si>
  <si>
    <t>Examination Fees</t>
  </si>
  <si>
    <t xml:space="preserve">  BAC Examination Fees</t>
  </si>
  <si>
    <t xml:space="preserve">  DNB Examination Fees</t>
  </si>
  <si>
    <t xml:space="preserve">  EAF Examination Fees</t>
  </si>
  <si>
    <t>Total Revenue from Contracts with Customers</t>
  </si>
  <si>
    <t>TOTAL REVENUE</t>
  </si>
  <si>
    <t>STAFF COSTS</t>
  </si>
  <si>
    <t>Local Staff Salaries</t>
  </si>
  <si>
    <t xml:space="preserve">  Existing Staff Salaries</t>
  </si>
  <si>
    <t>'02_efir_staff_costs_fy2026.xlsx' → Budget Summary!Row 10</t>
  </si>
  <si>
    <t xml:space="preserve">  New Positions (Sep-Dec)</t>
  </si>
  <si>
    <t>'02_efir_staff_costs_fy2026.xlsx' → Budget Summary!Row 30</t>
  </si>
  <si>
    <t>Additional Staff Costs</t>
  </si>
  <si>
    <t xml:space="preserve">  Replacement Contracts</t>
  </si>
  <si>
    <t>'02_efir_staff_costs_fy2026.xlsx' → Budget Summary!Row 13</t>
  </si>
  <si>
    <t xml:space="preserve">  Continuing Education (1%)</t>
  </si>
  <si>
    <t>'02_efir_staff_costs_fy2026.xlsx' → Budget Summary!Row 14</t>
  </si>
  <si>
    <t xml:space="preserve">  Garderie Salaries</t>
  </si>
  <si>
    <t>'02_efir_staff_costs_fy2026.xlsx' → Budget Summary!Row 16</t>
  </si>
  <si>
    <t xml:space="preserve">  APS Salaries</t>
  </si>
  <si>
    <t>'02_efir_staff_costs_fy2026.xlsx' → Budget Summary!Row 17</t>
  </si>
  <si>
    <t xml:space="preserve">  Études Dirigées</t>
  </si>
  <si>
    <t>'02_efir_staff_costs_fy2026.xlsx' → Budget Summary!Row 18</t>
  </si>
  <si>
    <t xml:space="preserve">  Resident Salaries</t>
  </si>
  <si>
    <t>'02_efir_staff_costs_fy2026.xlsx' → Budget Summary!Row 20</t>
  </si>
  <si>
    <t xml:space="preserve">  Resident Housing &amp; Flights</t>
  </si>
  <si>
    <t>'02_efir_staff_costs_fy2026.xlsx' → Budget Summary!Row 22</t>
  </si>
  <si>
    <t>Employer Charges</t>
  </si>
  <si>
    <t xml:space="preserve">  GOSI – Saudi Employees</t>
  </si>
  <si>
    <t>'02_efir_staff_costs_fy2026.xlsx' → Budget Summary!Row 25</t>
  </si>
  <si>
    <t xml:space="preserve">  End of Service Provision</t>
  </si>
  <si>
    <t>'02_efir_staff_costs_fy2026.xlsx' → Budget Summary!Row 26</t>
  </si>
  <si>
    <t xml:space="preserve">  Ajeer Costs – Existing</t>
  </si>
  <si>
    <t>'02_efir_staff_costs_fy2026.xlsx' → Budget Summary!Row 27</t>
  </si>
  <si>
    <t xml:space="preserve">  Ajeer Costs – New Positions</t>
  </si>
  <si>
    <t>'02_efir_staff_costs_fy2026.xlsx' → Budget Summary!Row 32</t>
  </si>
  <si>
    <t>Total Staff Costs</t>
  </si>
  <si>
    <t>OTHER OPERATING EXPENSES</t>
  </si>
  <si>
    <t>Rent &amp; Utilities</t>
  </si>
  <si>
    <t xml:space="preserve">  Rent &amp; Utilities</t>
  </si>
  <si>
    <t>'03_efir_opex_fy2026.xlsx' → Operating_Expenses!Row 9</t>
  </si>
  <si>
    <t>Building Services</t>
  </si>
  <si>
    <t xml:space="preserve">  Building Services</t>
  </si>
  <si>
    <t>'03_efir_opex_fy2026.xlsx' → Operating_Expenses!Row 15</t>
  </si>
  <si>
    <t>Office &amp; Supplies</t>
  </si>
  <si>
    <t xml:space="preserve">  Office &amp; Supplies</t>
  </si>
  <si>
    <t>'03_efir_opex_fy2026.xlsx' → Operating_Expenses!Row 20</t>
  </si>
  <si>
    <t>Insurance</t>
  </si>
  <si>
    <t xml:space="preserve">  Insurance</t>
  </si>
  <si>
    <t>'03_efir_opex_fy2026.xlsx' → Operating_Expenses!Row 25</t>
  </si>
  <si>
    <t>Professional Services</t>
  </si>
  <si>
    <t xml:space="preserve">  Professional Services</t>
  </si>
  <si>
    <t>'03_efir_opex_fy2026.xlsx' → Operating_Expenses!Row 30</t>
  </si>
  <si>
    <t>IT &amp; Telecom</t>
  </si>
  <si>
    <t xml:space="preserve">  IT &amp; Telecom</t>
  </si>
  <si>
    <t>'03_efir_opex_fy2026.xlsx' → Operating_Expenses!Row 35</t>
  </si>
  <si>
    <t>Other General</t>
  </si>
  <si>
    <t xml:space="preserve">  Other General</t>
  </si>
  <si>
    <t>School Materials</t>
  </si>
  <si>
    <t xml:space="preserve">  School Materials</t>
  </si>
  <si>
    <t>Pedagogical</t>
  </si>
  <si>
    <t xml:space="preserve">  Pedagogical</t>
  </si>
  <si>
    <t>Library &amp; Subscriptions</t>
  </si>
  <si>
    <t xml:space="preserve">  Library &amp; Subscriptions</t>
  </si>
  <si>
    <t>Evaluation &amp; Testing</t>
  </si>
  <si>
    <t xml:space="preserve">  Evaluation &amp; Testing</t>
  </si>
  <si>
    <t>Activities &amp; Projects</t>
  </si>
  <si>
    <t xml:space="preserve">  Activities &amp; Projects</t>
  </si>
  <si>
    <t>Total Other Operating Expenses</t>
  </si>
  <si>
    <t>DEPRECIATION &amp; AMORTIZATION</t>
  </si>
  <si>
    <t>Depreciation</t>
  </si>
  <si>
    <t xml:space="preserve">  Depreciation of Assets</t>
  </si>
  <si>
    <t>'03_efir_opex_fy2026.xlsx' → Non_Operating_Items!Row 7</t>
  </si>
  <si>
    <t>Total Depreciation &amp; Amortization</t>
  </si>
  <si>
    <t>IMPAIRMENT LOSSES (IFRS 9)</t>
  </si>
  <si>
    <t>Impairment</t>
  </si>
  <si>
    <t xml:space="preserve">  Expected Credit Loss – Bad Debt</t>
  </si>
  <si>
    <t>'03_efir_opex_fy2026.xlsx' → Non_Operating_Items!Row 11</t>
  </si>
  <si>
    <t>Total Impairment Losses</t>
  </si>
  <si>
    <t>TOTAL OPERATING EXPENSES</t>
  </si>
  <si>
    <t>OPERATING PROFIT / (LOSS)</t>
  </si>
  <si>
    <t>FINANCE INCOME</t>
  </si>
  <si>
    <t>Finance Income</t>
  </si>
  <si>
    <t xml:space="preserve">  Investment Income (Placements)</t>
  </si>
  <si>
    <t xml:space="preserve">  Foreign Exchange Gains</t>
  </si>
  <si>
    <t>Total Finance Income</t>
  </si>
  <si>
    <t>FINANCE COSTS</t>
  </si>
  <si>
    <t>Finance Costs</t>
  </si>
  <si>
    <t xml:space="preserve">  Bank Charges</t>
  </si>
  <si>
    <t xml:space="preserve">  Foreign Exchange Losses</t>
  </si>
  <si>
    <t>Total Finance Costs</t>
  </si>
  <si>
    <t>Net Finance Income / (Cost)</t>
  </si>
  <si>
    <t>PROFIT / (LOSS) BEFORE ZAKAT</t>
  </si>
  <si>
    <t>Zakat</t>
  </si>
  <si>
    <t xml:space="preserve">  Estimated Zakat (2.5%)</t>
  </si>
  <si>
    <t>2.5% on positive profit per ZATCA</t>
  </si>
  <si>
    <t>NET PROFIT / (LOSS) FOR THE PERIOD</t>
  </si>
  <si>
    <t>KEY METRICS</t>
  </si>
  <si>
    <t>Staff Cost Ratio</t>
  </si>
  <si>
    <t>OpEx Ratio</t>
  </si>
  <si>
    <t>Operating Margin</t>
  </si>
  <si>
    <t>Net Margin</t>
  </si>
  <si>
    <t>Notes:</t>
  </si>
  <si>
    <t>1. Revenue presented net per IFRS 15.</t>
  </si>
  <si>
    <t>2. Bad debt provision reclassified to Impairment Losses per IFRS 9 (ECL model).</t>
  </si>
  <si>
    <t>3. Bank charges and FX losses reclassified to Finance Costs per IAS 1.</t>
  </si>
  <si>
    <t>4. Zakat estimated at 2.5% on positive monthly profit — actual per ZATCA.</t>
  </si>
  <si>
    <t>5. All data linked to source files — refresh links when source files are updated.</t>
  </si>
  <si>
    <t>EFIR – BUDGET INCOME STATEMENT FY2026</t>
  </si>
  <si>
    <t>Presented per IAS 1 — Function of Expense Method — Currency: SAR</t>
  </si>
  <si>
    <t>Revenue</t>
  </si>
  <si>
    <t xml:space="preserve">    Tuition fees</t>
  </si>
  <si>
    <t xml:space="preserve">    Registration &amp; re-registration fees</t>
  </si>
  <si>
    <t xml:space="preserve">    Activities &amp; services</t>
  </si>
  <si>
    <t xml:space="preserve">    Examination fees</t>
  </si>
  <si>
    <t>Revenue from contracts with customers</t>
  </si>
  <si>
    <t xml:space="preserve">    Rental income</t>
  </si>
  <si>
    <t>Total Revenue</t>
  </si>
  <si>
    <t>Operating Expenses</t>
  </si>
  <si>
    <t xml:space="preserve">    Staff costs</t>
  </si>
  <si>
    <t xml:space="preserve">    Other operating expenses</t>
  </si>
  <si>
    <t xml:space="preserve">    Depreciation &amp; amortization</t>
  </si>
  <si>
    <t xml:space="preserve">    Impairment losses on receivables</t>
  </si>
  <si>
    <t>Total Operating Expenses</t>
  </si>
  <si>
    <t>Finance</t>
  </si>
  <si>
    <t xml:space="preserve">    Finance income</t>
  </si>
  <si>
    <t xml:space="preserve">    Finance costs</t>
  </si>
  <si>
    <t xml:space="preserve">    Estimated Zakat (2.5%)</t>
  </si>
  <si>
    <t>1. Revenue presented net per IFRS 15 — Moyasar processing fees reclassified to Finance Costs.</t>
  </si>
  <si>
    <t>2. Bad debt provision reclassified to Impairment Losses per IFRS 9 (Expected Credit Loss model).</t>
  </si>
  <si>
    <t>3. Bank charges and FX losses reclassified from Administrative &amp; General to Finance Costs per IAS 1.</t>
  </si>
  <si>
    <t>4. Financial income (investment returns &amp; FX gains) separated from operating revenue per IAS 1.</t>
  </si>
  <si>
    <t>5. Zakat estimated at 2.5% on positive monthly profit — actual computation per ZATCA regulations may differ.</t>
  </si>
  <si>
    <t xml:space="preserve">  Maternelle PS - Tuition</t>
  </si>
  <si>
    <t>01_efir_revenue_fy2026.xlsx' → REVENUE_ENGINE!Row 6</t>
  </si>
  <si>
    <t xml:space="preserve">  Maternelle - Tuition</t>
  </si>
  <si>
    <t>01_efir_revenue_fy2026.xlsx' → REVENUE_ENGINE!Row 7</t>
  </si>
  <si>
    <t xml:space="preserve">  Élémentaire - Tuition</t>
  </si>
  <si>
    <t>01_efir_revenue_fy2026.xlsx' → REVENUE_ENGINE!Row 8</t>
  </si>
  <si>
    <t xml:space="preserve">  Collège - Tuition</t>
  </si>
  <si>
    <t>01_efir_revenue_fy2026.xlsx' → REVENUE_ENGINE!Row 9</t>
  </si>
  <si>
    <t xml:space="preserve">  Lycée - Tuition</t>
  </si>
  <si>
    <t>01_efir_revenue_fy2026.xlsx' → REVENUE_ENGINE!Row 10</t>
  </si>
  <si>
    <t>Discount Impact</t>
  </si>
  <si>
    <t xml:space="preserve">  New Student Fees (Dossier+DPI)</t>
  </si>
  <si>
    <t>01_efir_revenue_fy2026.xlsx' → REVENUE_ENGINE!Row 19</t>
  </si>
  <si>
    <t>01_efir_revenue_fy2026.xlsx' → REVENUE_ENGINE!Row 20</t>
  </si>
  <si>
    <t>01_efir_revenue_fy2026.xlsx' → REVENUE_ENGINE!Row 21</t>
  </si>
  <si>
    <t>01_efir_revenue_fy2026.xlsx' → REVENUE_ENGINE!Row 25</t>
  </si>
  <si>
    <t>01_efir_revenue_fy2026.xlsx' → REVENUE_ENGINE!Row 26</t>
  </si>
  <si>
    <t>01_efir_revenue_fy2026.xlsx' → REVENUE_ENGINE!Row 27</t>
  </si>
  <si>
    <t>01_efir_revenue_fy2026.xlsx' → REVENUE_ENGINE!Row 31</t>
  </si>
  <si>
    <t>01_efir_revenue_fy2026.xlsx' → REVENUE_ENGINE!Row 32</t>
  </si>
  <si>
    <t>01_efir_revenue_fy2026.xlsx' → REVENUE_ENGINE!Row 33</t>
  </si>
  <si>
    <t xml:space="preserve">  SIELE Examination Fees</t>
  </si>
  <si>
    <t>01_efir_revenue_fy2026.xlsx' → REVENUE_ENGINE!Row 34</t>
  </si>
  <si>
    <t xml:space="preserve">  Discount Impact</t>
  </si>
  <si>
    <t>01_efir_revenue_fy2026.xlsx' → REVENUE_ENGINE!Row 16</t>
  </si>
  <si>
    <t>03_efir_opex_fy2026.xlsx' → Operating_Expenses!Row 45</t>
  </si>
  <si>
    <t>03_efir_opex_fy2026.xlsx' → Operating_Expenses!Row 51</t>
  </si>
  <si>
    <t>03_efir_opex_fy2026.xlsx' → Operating_Expenses!Row 56</t>
  </si>
  <si>
    <t>03_efir_opex_fy2026.xlsx' → Operating_Expenses!Row 61</t>
  </si>
  <si>
    <t>03_efir_opex_fy2026.xlsx' → Operating_Expenses!Row 65</t>
  </si>
  <si>
    <t>03_efir_opex_fy2026.xlsx' → Operating_Expenses!Row 71</t>
  </si>
  <si>
    <t>Row 73 (grand total) + subtotals (9,15,20,25,30,35,45,51,56,61,65,71)</t>
  </si>
  <si>
    <t>D&amp;A, Impairment, Finance Income, Finance Costs</t>
  </si>
  <si>
    <t>IFRS_Mapping rows 62-84</t>
  </si>
  <si>
    <t>03_efir_opex_fy2026.xlsx' → Non_Operating_Items!Row 14</t>
  </si>
  <si>
    <t>03_efir_opex_fy2026.xlsx' → Non_Operating_Items!Row 15</t>
  </si>
  <si>
    <t>✅ Links to source Row 7 — verified</t>
  </si>
  <si>
    <t>✅ Links to source Row 11 — verified</t>
  </si>
  <si>
    <t>✅ =C44+C59+C63+C67 — formula verified</t>
  </si>
  <si>
    <t>✅ =Revenue - Total OpEx — verified</t>
  </si>
  <si>
    <t>✅ Links to source Row 14 — verified</t>
  </si>
  <si>
    <t>✅ Links to source Row 15 — verified</t>
  </si>
  <si>
    <t>✅ =SUM(C74:C75) — verified</t>
  </si>
  <si>
    <t>✅ Links to source Row 19</t>
  </si>
  <si>
    <t>✅ Links to source Row 20</t>
  </si>
  <si>
    <t>Audit Flags</t>
  </si>
  <si>
    <t>✅ FIXED: Removed subtotal row (source Row 21). Now =SUM(C79:C80)</t>
  </si>
  <si>
    <t>✅ FIXED: Net Finance now correct (-34,143/mo vs -118,214 before)</t>
  </si>
  <si>
    <t>03_efir_opex_fy2026.xlsx' → Non_Operating_Items!Row 19 (Bank Charges)</t>
  </si>
  <si>
    <t>03_efir_opex_fy2026.xlsx' → Non_Operating_Items!Row 20 (FX Losses)</t>
  </si>
  <si>
    <t>Rows 6→7 (D&amp;A), 10→11 (Impairment), 14-15 (Finance Income), 19-20 (Finance Costs)</t>
  </si>
  <si>
    <t>✅ Verified vs source Row 9 — all 12 months match</t>
  </si>
  <si>
    <t>✅ Verified vs source Row 15 — seasonal drops Jul/Aug match</t>
  </si>
  <si>
    <t>✅ Verified vs source Row 20 — seasonal drops Jul/Aug match</t>
  </si>
  <si>
    <t>✅ Verified vs source Row 25 — all 12 months match</t>
  </si>
  <si>
    <t>✅ Verified vs source Row 30 — all 12 months match</t>
  </si>
  <si>
    <t>✅ Verified vs source Row 35 — seasonal drops Jul/Aug match</t>
  </si>
  <si>
    <t>✅ Verified vs source Row 45 — seasonal variation Jun/Jul/Aug/Sep/Oct match</t>
  </si>
  <si>
    <t>✅ Verified vs source Row 51 — all 12 months match</t>
  </si>
  <si>
    <t>✅ Verified vs source Row 56 — all 12 months match</t>
  </si>
  <si>
    <t>✅ Verified vs source Row 61 — all 12 months match</t>
  </si>
  <si>
    <t>✅ Verified vs source Row 65 — all 12 months match</t>
  </si>
  <si>
    <t>✅ Verified vs source Row 71 — all 12 months match</t>
  </si>
  <si>
    <t>✅ Total = 22,473,182 matches source Row 73 grand total exactly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</si>
</sst>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&quot;-&quot;"/>
  </numFmts>
  <fonts count="2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i/>
      <sz val="9"/>
      <name val="Arial"/>
      <family val="2"/>
    </font>
    <font>
      <b/>
      <sz val="10"/>
      <color rgb="FF000000"/>
      <name val="Tahoma"/>
      <family val="2"/>
    </font>
    <font>
      <sz val="8"/>
      <color rgb="FF008000"/>
      <name val="Arial"/>
      <family val="2"/>
    </font>
    <font>
      <b/>
      <sz val="8"/>
      <color rgb="FF008000"/>
      <name val="Arial"/>
      <family val="2"/>
    </font>
    <font>
      <b/>
      <sz val="16"/>
      <color rgb="FF1F3864"/>
      <name val="Arial"/>
      <family val="2"/>
    </font>
    <font>
      <i/>
      <sz val="9.5"/>
      <color rgb="FF666666"/>
      <name val="Arial"/>
      <family val="2"/>
    </font>
    <font>
      <b/>
      <sz val="9"/>
      <color rgb="FFFFFFFF"/>
      <name val="Arial"/>
      <family val="2"/>
    </font>
    <font>
      <b/>
      <sz val="9.5"/>
      <color rgb="FFFFFFFF"/>
      <name val="Arial"/>
      <family val="2"/>
    </font>
    <font>
      <sz val="9"/>
      <color rgb="FF333333"/>
      <name val="Arial"/>
      <family val="2"/>
    </font>
    <font>
      <i/>
      <sz val="8.5"/>
      <color rgb="FF666666"/>
      <name val="Arial"/>
      <family val="2"/>
    </font>
    <font>
      <b/>
      <sz val="9"/>
      <color rgb="FF333333"/>
      <name val="Arial"/>
      <family val="2"/>
    </font>
    <font>
      <b/>
      <sz val="10"/>
      <color rgb="FF1D6B35"/>
      <name val="Arial"/>
      <family val="2"/>
    </font>
    <font>
      <b/>
      <sz val="9.5"/>
      <color rgb="FF1F3864"/>
      <name val="Arial"/>
      <family val="2"/>
    </font>
    <font>
      <b/>
      <sz val="10.5"/>
      <color rgb="FFFFFFFF"/>
      <name val="Arial"/>
      <family val="2"/>
    </font>
    <font>
      <i/>
      <sz val="9"/>
      <color rgb="FF333333"/>
      <name val="Arial"/>
      <family val="2"/>
    </font>
    <font>
      <b/>
      <i/>
      <sz val="9"/>
      <color rgb="FF1F3864"/>
      <name val="Arial"/>
      <family val="2"/>
    </font>
    <font>
      <b/>
      <sz val="9"/>
      <color rgb="FF1F3864"/>
      <name val="Arial"/>
      <family val="2"/>
    </font>
    <font>
      <i/>
      <sz val="8"/>
      <color rgb="FF666666"/>
      <name val="Arial"/>
      <family val="2"/>
    </font>
    <font>
      <sz val="9"/>
      <color rgb="FFCC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u/>
      <sz val="9"/>
      <color rgb="FF333333"/>
      <name val="Arial"/>
      <family val="2"/>
    </font>
    <font>
      <b/>
      <sz val="9"/>
      <color rgb="FF1D6B3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8CBAD"/>
        <bgColor rgb="FFC0C0C0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5FA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D6B35"/>
        <bgColor indexed="64"/>
      </patternFill>
    </fill>
    <fill>
      <patternFill patternType="solid">
        <fgColor rgb="FFD5EDD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8FAFB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1F3864"/>
      </top>
      <bottom/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1D6B35"/>
      </bottom>
      <diagonal/>
    </border>
    <border>
      <left/>
      <right/>
      <top style="thin">
        <color rgb="FF1F3864"/>
      </top>
      <bottom style="thin">
        <color rgb="FF1D6B35"/>
      </bottom>
      <diagonal/>
    </border>
    <border>
      <left/>
      <right/>
      <top/>
      <bottom style="thin">
        <color rgb="FF1F3864"/>
      </bottom>
      <diagonal/>
    </border>
    <border>
      <left style="thin">
        <color rgb="FF1F3864"/>
      </left>
      <right/>
      <top/>
      <bottom style="thin">
        <color rgb="FF1F3864"/>
      </bottom>
      <diagonal/>
    </border>
    <border>
      <left style="thin">
        <color rgb="FF1F3864"/>
      </left>
      <right/>
      <top/>
      <bottom style="medium">
        <color rgb="FF1F3864"/>
      </bottom>
      <diagonal/>
    </border>
    <border>
      <left style="thin">
        <color rgb="FF1F3864"/>
      </left>
      <right/>
      <top/>
      <bottom/>
      <diagonal/>
    </border>
    <border>
      <left style="thin">
        <color rgb="FF1F3864"/>
      </left>
      <right/>
      <top style="thin">
        <color rgb="FF1F3864"/>
      </top>
      <bottom/>
      <diagonal/>
    </border>
    <border>
      <left style="thin">
        <color rgb="FF1F3864"/>
      </left>
      <right/>
      <top style="double">
        <color rgb="FF000000"/>
      </top>
      <bottom style="double">
        <color rgb="FF000000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/>
      <top style="double">
        <color rgb="FF000000"/>
      </top>
      <bottom/>
      <diagonal/>
    </border>
    <border>
      <left style="thin">
        <color rgb="FF1F3864"/>
      </left>
      <right/>
      <top style="double">
        <color rgb="FF000000"/>
      </top>
      <bottom style="double">
        <color rgb="FF1D6B35"/>
      </bottom>
      <diagonal/>
    </border>
    <border>
      <left style="thin">
        <color rgb="FF1F3864"/>
      </left>
      <right/>
      <top style="thin">
        <color rgb="FF1F3864"/>
      </top>
      <bottom style="thin">
        <color rgb="FF1D6B35"/>
      </bottom>
      <diagonal/>
    </border>
    <border>
      <left/>
      <right/>
      <top style="thin">
        <color rgb="FF1D6B35"/>
      </top>
      <bottom style="medium">
        <color rgb="FF1D6B35"/>
      </bottom>
      <diagonal/>
    </border>
    <border>
      <left style="thin">
        <color rgb="FF1F3864"/>
      </left>
      <right/>
      <top style="thin">
        <color rgb="FF1D6B35"/>
      </top>
      <bottom style="medium">
        <color rgb="FF1D6B35"/>
      </bottom>
      <diagonal/>
    </border>
    <border>
      <left/>
      <right/>
      <top style="thin">
        <color rgb="FF1F3864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3" fillId="0" borderId="0" xfId="0" quotePrefix="1" applyFont="1"/>
    <xf numFmtId="0" fontId="0" fillId="5" borderId="0" xfId="0" applyFill="1"/>
    <xf numFmtId="0" fontId="0" fillId="6" borderId="0" xfId="0" applyFill="1"/>
    <xf numFmtId="0" fontId="6" fillId="0" borderId="0" xfId="0" applyFont="1"/>
    <xf numFmtId="0" fontId="1" fillId="7" borderId="0" xfId="0" applyFont="1" applyFill="1" applyAlignment="1">
      <alignment horizontal="center"/>
    </xf>
    <xf numFmtId="0" fontId="6" fillId="8" borderId="0" xfId="0" applyFont="1" applyFill="1"/>
    <xf numFmtId="0" fontId="7" fillId="0" borderId="0" xfId="0" applyFont="1"/>
    <xf numFmtId="0" fontId="0" fillId="8" borderId="0" xfId="0" applyFill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/>
    </xf>
    <xf numFmtId="165" fontId="12" fillId="8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14" fillId="5" borderId="2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165" fontId="14" fillId="5" borderId="3" xfId="0" applyNumberFormat="1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left" vertical="center"/>
    </xf>
    <xf numFmtId="165" fontId="1" fillId="11" borderId="5" xfId="0" applyNumberFormat="1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left" vertical="center"/>
    </xf>
    <xf numFmtId="165" fontId="1" fillId="10" borderId="4" xfId="0" applyNumberFormat="1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left" vertical="center"/>
    </xf>
    <xf numFmtId="165" fontId="15" fillId="12" borderId="6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left" vertical="center"/>
    </xf>
    <xf numFmtId="165" fontId="16" fillId="13" borderId="2" xfId="0" applyNumberFormat="1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left" vertical="center"/>
    </xf>
    <xf numFmtId="165" fontId="15" fillId="12" borderId="7" xfId="0" applyNumberFormat="1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left" vertical="center"/>
    </xf>
    <xf numFmtId="165" fontId="17" fillId="11" borderId="5" xfId="0" applyNumberFormat="1" applyFont="1" applyFill="1" applyBorder="1" applyAlignment="1">
      <alignment horizontal="center" vertical="center"/>
    </xf>
    <xf numFmtId="0" fontId="12" fillId="14" borderId="0" xfId="0" applyFont="1" applyFill="1" applyAlignment="1">
      <alignment horizontal="left"/>
    </xf>
    <xf numFmtId="164" fontId="18" fillId="14" borderId="0" xfId="0" applyNumberFormat="1" applyFont="1" applyFill="1" applyAlignment="1">
      <alignment horizontal="center"/>
    </xf>
    <xf numFmtId="0" fontId="19" fillId="14" borderId="0" xfId="0" applyFont="1" applyFill="1" applyAlignment="1">
      <alignment horizontal="left"/>
    </xf>
    <xf numFmtId="164" fontId="18" fillId="8" borderId="0" xfId="0" applyNumberFormat="1" applyFont="1" applyFill="1" applyAlignment="1">
      <alignment horizontal="center"/>
    </xf>
    <xf numFmtId="0" fontId="19" fillId="8" borderId="0" xfId="0" applyFont="1" applyFill="1" applyAlignment="1">
      <alignment horizontal="left"/>
    </xf>
    <xf numFmtId="0" fontId="12" fillId="8" borderId="8" xfId="0" applyFont="1" applyFill="1" applyBorder="1" applyAlignment="1">
      <alignment horizontal="left"/>
    </xf>
    <xf numFmtId="0" fontId="19" fillId="8" borderId="8" xfId="0" applyFont="1" applyFill="1" applyBorder="1" applyAlignment="1">
      <alignment horizontal="left"/>
    </xf>
    <xf numFmtId="164" fontId="18" fillId="8" borderId="8" xfId="0" applyNumberFormat="1" applyFont="1" applyFill="1" applyBorder="1" applyAlignment="1">
      <alignment horizontal="center"/>
    </xf>
    <xf numFmtId="0" fontId="20" fillId="8" borderId="2" xfId="0" applyFont="1" applyFill="1" applyBorder="1" applyAlignment="1">
      <alignment horizontal="left"/>
    </xf>
    <xf numFmtId="0" fontId="20" fillId="8" borderId="2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0" fontId="21" fillId="8" borderId="0" xfId="0" applyFont="1" applyFill="1" applyAlignment="1">
      <alignment horizontal="center"/>
    </xf>
    <xf numFmtId="0" fontId="10" fillId="9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165" fontId="12" fillId="8" borderId="11" xfId="0" applyNumberFormat="1" applyFont="1" applyFill="1" applyBorder="1" applyAlignment="1">
      <alignment horizontal="center"/>
    </xf>
    <xf numFmtId="165" fontId="1" fillId="11" borderId="13" xfId="0" applyNumberFormat="1" applyFont="1" applyFill="1" applyBorder="1" applyAlignment="1">
      <alignment horizontal="center" vertical="center"/>
    </xf>
    <xf numFmtId="165" fontId="14" fillId="5" borderId="14" xfId="0" applyNumberFormat="1" applyFont="1" applyFill="1" applyBorder="1" applyAlignment="1">
      <alignment horizontal="center" vertical="center"/>
    </xf>
    <xf numFmtId="165" fontId="1" fillId="10" borderId="15" xfId="0" applyNumberFormat="1" applyFont="1" applyFill="1" applyBorder="1" applyAlignment="1">
      <alignment horizontal="center" vertical="center"/>
    </xf>
    <xf numFmtId="165" fontId="15" fillId="12" borderId="16" xfId="0" applyNumberFormat="1" applyFont="1" applyFill="1" applyBorder="1" applyAlignment="1">
      <alignment horizontal="center" vertical="center"/>
    </xf>
    <xf numFmtId="165" fontId="16" fillId="13" borderId="12" xfId="0" applyNumberFormat="1" applyFont="1" applyFill="1" applyBorder="1" applyAlignment="1">
      <alignment horizontal="center" vertical="center"/>
    </xf>
    <xf numFmtId="165" fontId="15" fillId="12" borderId="17" xfId="0" applyNumberFormat="1" applyFont="1" applyFill="1" applyBorder="1" applyAlignment="1">
      <alignment horizontal="center" vertical="center"/>
    </xf>
    <xf numFmtId="165" fontId="17" fillId="11" borderId="13" xfId="0" applyNumberFormat="1" applyFont="1" applyFill="1" applyBorder="1" applyAlignment="1">
      <alignment horizontal="center" vertical="center"/>
    </xf>
    <xf numFmtId="164" fontId="18" fillId="14" borderId="11" xfId="0" applyNumberFormat="1" applyFont="1" applyFill="1" applyBorder="1" applyAlignment="1">
      <alignment horizontal="center"/>
    </xf>
    <xf numFmtId="164" fontId="18" fillId="8" borderId="11" xfId="0" applyNumberFormat="1" applyFont="1" applyFill="1" applyBorder="1" applyAlignment="1">
      <alignment horizontal="center"/>
    </xf>
    <xf numFmtId="164" fontId="18" fillId="8" borderId="9" xfId="0" applyNumberFormat="1" applyFont="1" applyFill="1" applyBorder="1" applyAlignment="1">
      <alignment horizontal="center"/>
    </xf>
    <xf numFmtId="165" fontId="14" fillId="8" borderId="11" xfId="0" applyNumberFormat="1" applyFont="1" applyFill="1" applyBorder="1" applyAlignment="1">
      <alignment horizontal="center"/>
    </xf>
    <xf numFmtId="0" fontId="13" fillId="15" borderId="0" xfId="0" applyFont="1" applyFill="1" applyAlignment="1">
      <alignment horizontal="left"/>
    </xf>
    <xf numFmtId="0" fontId="12" fillId="15" borderId="0" xfId="0" applyFont="1" applyFill="1" applyAlignment="1">
      <alignment horizontal="left"/>
    </xf>
    <xf numFmtId="165" fontId="12" fillId="15" borderId="0" xfId="0" applyNumberFormat="1" applyFont="1" applyFill="1" applyAlignment="1">
      <alignment horizontal="center"/>
    </xf>
    <xf numFmtId="165" fontId="14" fillId="15" borderId="11" xfId="0" applyNumberFormat="1" applyFont="1" applyFill="1" applyBorder="1" applyAlignment="1">
      <alignment horizontal="center"/>
    </xf>
    <xf numFmtId="165" fontId="22" fillId="15" borderId="0" xfId="0" applyNumberFormat="1" applyFont="1" applyFill="1" applyAlignment="1">
      <alignment horizontal="center"/>
    </xf>
    <xf numFmtId="165" fontId="22" fillId="8" borderId="0" xfId="0" applyNumberFormat="1" applyFont="1" applyFill="1" applyAlignment="1">
      <alignment horizontal="center"/>
    </xf>
    <xf numFmtId="165" fontId="23" fillId="5" borderId="2" xfId="0" applyNumberFormat="1" applyFont="1" applyFill="1" applyBorder="1" applyAlignment="1">
      <alignment horizontal="center" vertical="center"/>
    </xf>
    <xf numFmtId="165" fontId="23" fillId="5" borderId="12" xfId="0" applyNumberFormat="1" applyFont="1" applyFill="1" applyBorder="1" applyAlignment="1">
      <alignment horizontal="center" vertical="center"/>
    </xf>
    <xf numFmtId="165" fontId="23" fillId="5" borderId="3" xfId="0" applyNumberFormat="1" applyFont="1" applyFill="1" applyBorder="1" applyAlignment="1">
      <alignment horizontal="center" vertical="center"/>
    </xf>
    <xf numFmtId="165" fontId="23" fillId="5" borderId="14" xfId="0" applyNumberFormat="1" applyFont="1" applyFill="1" applyBorder="1" applyAlignment="1">
      <alignment horizontal="center" vertical="center"/>
    </xf>
    <xf numFmtId="165" fontId="11" fillId="10" borderId="0" xfId="0" applyNumberFormat="1" applyFont="1" applyFill="1" applyAlignment="1">
      <alignment horizontal="center" vertical="center"/>
    </xf>
    <xf numFmtId="165" fontId="11" fillId="10" borderId="11" xfId="0" applyNumberFormat="1" applyFont="1" applyFill="1" applyBorder="1" applyAlignment="1">
      <alignment horizontal="center" vertical="center"/>
    </xf>
    <xf numFmtId="165" fontId="12" fillId="15" borderId="11" xfId="0" applyNumberFormat="1" applyFont="1" applyFill="1" applyBorder="1" applyAlignment="1">
      <alignment horizontal="center"/>
    </xf>
    <xf numFmtId="165" fontId="0" fillId="8" borderId="0" xfId="0" applyNumberFormat="1" applyFill="1" applyAlignment="1">
      <alignment horizontal="center"/>
    </xf>
    <xf numFmtId="165" fontId="24" fillId="8" borderId="11" xfId="0" applyNumberFormat="1" applyFont="1" applyFill="1" applyBorder="1" applyAlignment="1">
      <alignment horizontal="center"/>
    </xf>
    <xf numFmtId="0" fontId="15" fillId="12" borderId="18" xfId="0" applyFont="1" applyFill="1" applyBorder="1" applyAlignment="1">
      <alignment horizontal="left" vertical="center"/>
    </xf>
    <xf numFmtId="165" fontId="15" fillId="12" borderId="18" xfId="0" applyNumberFormat="1" applyFont="1" applyFill="1" applyBorder="1" applyAlignment="1">
      <alignment horizontal="center" vertical="center"/>
    </xf>
    <xf numFmtId="165" fontId="15" fillId="12" borderId="19" xfId="0" applyNumberFormat="1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/>
    </xf>
    <xf numFmtId="0" fontId="20" fillId="8" borderId="2" xfId="0" applyFont="1" applyFill="1" applyBorder="1"/>
    <xf numFmtId="0" fontId="21" fillId="8" borderId="0" xfId="0" applyFont="1" applyFill="1"/>
    <xf numFmtId="0" fontId="10" fillId="9" borderId="8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vertical="center"/>
    </xf>
    <xf numFmtId="0" fontId="26" fillId="8" borderId="20" xfId="0" applyFont="1" applyFill="1" applyBorder="1" applyAlignment="1">
      <alignment vertical="center"/>
    </xf>
    <xf numFmtId="0" fontId="12" fillId="15" borderId="21" xfId="0" applyFont="1" applyFill="1" applyBorder="1" applyAlignment="1">
      <alignment vertical="center"/>
    </xf>
    <xf numFmtId="0" fontId="26" fillId="15" borderId="21" xfId="0" applyFont="1" applyFill="1" applyBorder="1" applyAlignment="1">
      <alignment vertical="center"/>
    </xf>
    <xf numFmtId="0" fontId="12" fillId="8" borderId="21" xfId="0" applyFont="1" applyFill="1" applyBorder="1" applyAlignment="1">
      <alignment vertical="center"/>
    </xf>
    <xf numFmtId="0" fontId="26" fillId="8" borderId="21" xfId="0" applyFont="1" applyFill="1" applyBorder="1" applyAlignment="1">
      <alignment vertical="center"/>
    </xf>
    <xf numFmtId="0" fontId="27" fillId="8" borderId="20" xfId="0" applyFont="1" applyFill="1" applyBorder="1" applyAlignment="1">
      <alignment horizontal="center" vertical="center"/>
    </xf>
    <xf numFmtId="0" fontId="27" fillId="15" borderId="21" xfId="0" applyFont="1" applyFill="1" applyBorder="1" applyAlignment="1">
      <alignment horizontal="center" vertical="center"/>
    </xf>
    <xf numFmtId="0" fontId="27" fillId="8" borderId="21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15" borderId="21" xfId="0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6" fillId="8" borderId="2" xfId="0" applyFont="1" applyFill="1" applyBorder="1"/>
    <xf numFmtId="0" fontId="13" fillId="8" borderId="0" xfId="0" applyFont="1" applyFill="1"/>
    <xf numFmtId="0" fontId="1" fillId="8" borderId="0" xfId="0" applyFont="1" applyFill="1" applyAlignment="1">
      <alignment horizontal="left"/>
    </xf>
    <xf numFmtId="0" fontId="8" fillId="8" borderId="0" xfId="0" applyFont="1" applyFill="1"/>
    <xf numFmtId="0" fontId="9" fillId="8" borderId="0" xfId="0" applyFont="1" applyFill="1"/>
    <xf numFmtId="0" fontId="25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4472C4"/>
      <rgbColor rgb="FF33CCCC"/>
      <rgbColor rgb="FF92D050"/>
      <rgbColor rgb="FFFFCC00"/>
      <rgbColor rgb="FFFF9900"/>
      <rgbColor rgb="FFED7D31"/>
      <rgbColor rgb="FF555555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kerhelali/Desktop/Budget%202026%20EFIR/Budget%202026/01_EFIR_Revenue_FY2026.xlsx" TargetMode="External"/><Relationship Id="rId1" Type="http://schemas.openxmlformats.org/officeDocument/2006/relationships/externalLinkPath" Target="01_EFIR_Revenue_FY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kerhelali/Desktop/Budget%202026%20EFIR/Budget%202026/02_EFIR_Staff_Costs_FY2026.xlsx" TargetMode="External"/><Relationship Id="rId1" Type="http://schemas.openxmlformats.org/officeDocument/2006/relationships/externalLinkPath" Target="02_EFIR_Staff_Costs_FY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kerhelali/Desktop/Budget%202026%20EFIR/Budget%202026/03_EFIR_OpEx_FY2026.xlsx" TargetMode="External"/><Relationship Id="rId1" Type="http://schemas.openxmlformats.org/officeDocument/2006/relationships/externalLinkPath" Target="03_EFIR_OpEx_FY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_MAP"/>
      <sheetName val="ASSUMPTIONS"/>
      <sheetName val="FEE_GRID"/>
      <sheetName val="DISCOUNTS"/>
      <sheetName val="HISTORICAL"/>
      <sheetName val="ENROLLMENT_HEADCOUNT"/>
      <sheetName val="ENROLLMENT_DETAIL"/>
      <sheetName val="CLASS_CAPACITY"/>
      <sheetName val="OTHER_REVENUES"/>
      <sheetName val="REVENUE_ENGINE"/>
      <sheetName val="SCEN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C6">
            <v>195434.85108695654</v>
          </cell>
          <cell r="D6">
            <v>195434.85108695654</v>
          </cell>
          <cell r="E6">
            <v>195434.85108695654</v>
          </cell>
          <cell r="F6">
            <v>195434.85108695654</v>
          </cell>
          <cell r="G6">
            <v>195434.85108695654</v>
          </cell>
          <cell r="H6">
            <v>195434.85108695654</v>
          </cell>
          <cell r="I6">
            <v>0</v>
          </cell>
          <cell r="J6">
            <v>0</v>
          </cell>
          <cell r="K6">
            <v>195434.85108695654</v>
          </cell>
          <cell r="L6">
            <v>195434.85108695654</v>
          </cell>
          <cell r="M6">
            <v>195434.85108695654</v>
          </cell>
          <cell r="N6">
            <v>195434.85108695654</v>
          </cell>
          <cell r="O6">
            <v>1954348.510869565</v>
          </cell>
        </row>
        <row r="7">
          <cell r="C7">
            <v>632161.90217391308</v>
          </cell>
          <cell r="D7">
            <v>632161.90217391308</v>
          </cell>
          <cell r="E7">
            <v>632161.90217391308</v>
          </cell>
          <cell r="F7">
            <v>632161.90217391308</v>
          </cell>
          <cell r="G7">
            <v>632161.90217391308</v>
          </cell>
          <cell r="H7">
            <v>632161.90217391308</v>
          </cell>
          <cell r="I7">
            <v>0</v>
          </cell>
          <cell r="J7">
            <v>0</v>
          </cell>
          <cell r="K7">
            <v>651056.46739130444</v>
          </cell>
          <cell r="L7">
            <v>651056.46739130444</v>
          </cell>
          <cell r="M7">
            <v>651056.46739130444</v>
          </cell>
          <cell r="N7">
            <v>651056.46739130444</v>
          </cell>
          <cell r="O7">
            <v>6397197.2826086972</v>
          </cell>
        </row>
        <row r="8">
          <cell r="C8">
            <v>1979312.2282608696</v>
          </cell>
          <cell r="D8">
            <v>1979312.2282608696</v>
          </cell>
          <cell r="E8">
            <v>1979312.2282608696</v>
          </cell>
          <cell r="F8">
            <v>1979312.2282608696</v>
          </cell>
          <cell r="G8">
            <v>1979312.2282608696</v>
          </cell>
          <cell r="H8">
            <v>1979312.2282608696</v>
          </cell>
          <cell r="I8">
            <v>0</v>
          </cell>
          <cell r="J8">
            <v>0</v>
          </cell>
          <cell r="K8">
            <v>2033664.2391304348</v>
          </cell>
          <cell r="L8">
            <v>2033664.2391304348</v>
          </cell>
          <cell r="M8">
            <v>2033664.2391304348</v>
          </cell>
          <cell r="N8">
            <v>2033664.2391304348</v>
          </cell>
          <cell r="O8">
            <v>20010530.326086957</v>
          </cell>
        </row>
        <row r="9">
          <cell r="C9">
            <v>1688552.1739130435</v>
          </cell>
          <cell r="D9">
            <v>1688552.1739130435</v>
          </cell>
          <cell r="E9">
            <v>1688552.1739130435</v>
          </cell>
          <cell r="F9">
            <v>1688552.1739130435</v>
          </cell>
          <cell r="G9">
            <v>1688552.1739130435</v>
          </cell>
          <cell r="H9">
            <v>1688552.1739130435</v>
          </cell>
          <cell r="I9">
            <v>0</v>
          </cell>
          <cell r="J9">
            <v>0</v>
          </cell>
          <cell r="K9">
            <v>1749529.1847826089</v>
          </cell>
          <cell r="L9">
            <v>1749529.1847826089</v>
          </cell>
          <cell r="M9">
            <v>1749529.1847826089</v>
          </cell>
          <cell r="N9">
            <v>1749529.1847826089</v>
          </cell>
          <cell r="O9">
            <v>17129429.782608695</v>
          </cell>
        </row>
        <row r="10">
          <cell r="C10">
            <v>1329934.7826086958</v>
          </cell>
          <cell r="D10">
            <v>1329934.7826086958</v>
          </cell>
          <cell r="E10">
            <v>1329934.7826086958</v>
          </cell>
          <cell r="F10">
            <v>1329934.7826086958</v>
          </cell>
          <cell r="G10">
            <v>1329934.7826086958</v>
          </cell>
          <cell r="H10">
            <v>1329934.7826086958</v>
          </cell>
          <cell r="I10">
            <v>0</v>
          </cell>
          <cell r="J10">
            <v>0</v>
          </cell>
          <cell r="K10">
            <v>1375284.7826086958</v>
          </cell>
          <cell r="L10">
            <v>1375284.7826086958</v>
          </cell>
          <cell r="M10">
            <v>1375284.7826086958</v>
          </cell>
          <cell r="N10">
            <v>1375284.7826086958</v>
          </cell>
          <cell r="O10">
            <v>13480747.826086955</v>
          </cell>
        </row>
        <row r="16">
          <cell r="C16">
            <v>-223032.1836956522</v>
          </cell>
          <cell r="D16">
            <v>-223032.1836956522</v>
          </cell>
          <cell r="E16">
            <v>-223032.1836956522</v>
          </cell>
          <cell r="F16">
            <v>-223032.1836956522</v>
          </cell>
          <cell r="G16">
            <v>-223032.1836956522</v>
          </cell>
          <cell r="H16">
            <v>-223032.1836956522</v>
          </cell>
          <cell r="I16">
            <v>0</v>
          </cell>
          <cell r="J16">
            <v>0</v>
          </cell>
          <cell r="K16">
            <v>-248879.90108695655</v>
          </cell>
          <cell r="L16">
            <v>-248879.90108695655</v>
          </cell>
          <cell r="M16">
            <v>-248879.90108695655</v>
          </cell>
          <cell r="N16">
            <v>-248879.90108695655</v>
          </cell>
          <cell r="O16">
            <v>-2333712.7065217393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334500.00000000012</v>
          </cell>
          <cell r="H19">
            <v>334500.00000000012</v>
          </cell>
          <cell r="I19">
            <v>0</v>
          </cell>
          <cell r="J19">
            <v>0</v>
          </cell>
          <cell r="K19">
            <v>0</v>
          </cell>
          <cell r="L19">
            <v>24400</v>
          </cell>
          <cell r="M19">
            <v>24400</v>
          </cell>
          <cell r="N19">
            <v>0</v>
          </cell>
          <cell r="O19">
            <v>717800.00000000023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4368525</v>
          </cell>
          <cell r="H20">
            <v>4368525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8737050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24400</v>
          </cell>
          <cell r="M21">
            <v>24400</v>
          </cell>
          <cell r="N21">
            <v>0</v>
          </cell>
          <cell r="O21">
            <v>48800</v>
          </cell>
        </row>
        <row r="25">
          <cell r="C25">
            <v>123000</v>
          </cell>
          <cell r="D25">
            <v>123000</v>
          </cell>
          <cell r="E25">
            <v>123000</v>
          </cell>
          <cell r="F25">
            <v>123000</v>
          </cell>
          <cell r="G25">
            <v>123000</v>
          </cell>
          <cell r="H25">
            <v>123000</v>
          </cell>
          <cell r="I25">
            <v>0</v>
          </cell>
          <cell r="J25">
            <v>0</v>
          </cell>
          <cell r="K25">
            <v>123000</v>
          </cell>
          <cell r="L25">
            <v>123000</v>
          </cell>
          <cell r="M25">
            <v>123000</v>
          </cell>
          <cell r="N25">
            <v>123000</v>
          </cell>
          <cell r="O25">
            <v>1230000</v>
          </cell>
        </row>
        <row r="26">
          <cell r="C26">
            <v>3000</v>
          </cell>
          <cell r="D26">
            <v>3000</v>
          </cell>
          <cell r="E26">
            <v>3000</v>
          </cell>
          <cell r="F26">
            <v>3000</v>
          </cell>
          <cell r="G26">
            <v>3000</v>
          </cell>
          <cell r="H26">
            <v>3000</v>
          </cell>
          <cell r="I26">
            <v>0</v>
          </cell>
          <cell r="J26">
            <v>0</v>
          </cell>
          <cell r="K26">
            <v>3000</v>
          </cell>
          <cell r="L26">
            <v>3000</v>
          </cell>
          <cell r="M26">
            <v>3000</v>
          </cell>
          <cell r="N26">
            <v>3000</v>
          </cell>
          <cell r="O26">
            <v>30000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26400</v>
          </cell>
          <cell r="N27">
            <v>26400</v>
          </cell>
          <cell r="O27">
            <v>52800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111000</v>
          </cell>
          <cell r="G31">
            <v>111000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222000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30900</v>
          </cell>
          <cell r="G32">
            <v>30900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61800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48000</v>
          </cell>
          <cell r="G33">
            <v>48000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96000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7500</v>
          </cell>
          <cell r="M34">
            <v>7500</v>
          </cell>
          <cell r="N34">
            <v>0</v>
          </cell>
          <cell r="O34">
            <v>15000</v>
          </cell>
        </row>
      </sheetData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Number of class 2025-26"/>
      <sheetName val="Teacher Requirements"/>
      <sheetName val="Curriculum_Detail"/>
      <sheetName val="Master Data"/>
      <sheetName val="Budget Summary"/>
    </sheetNames>
    <sheetDataSet>
      <sheetData sheetId="0"/>
      <sheetData sheetId="1"/>
      <sheetData sheetId="2"/>
      <sheetData sheetId="3"/>
      <sheetData sheetId="4"/>
      <sheetData sheetId="5">
        <row r="10">
          <cell r="B10">
            <v>1895394.4094443331</v>
          </cell>
          <cell r="C10">
            <v>1895394.4094443331</v>
          </cell>
          <cell r="D10">
            <v>1895394.4094443331</v>
          </cell>
          <cell r="E10">
            <v>1895394.4094443331</v>
          </cell>
          <cell r="F10">
            <v>1895394.4094443331</v>
          </cell>
          <cell r="G10">
            <v>1895394.4094443331</v>
          </cell>
          <cell r="H10">
            <v>1895394.4094443331</v>
          </cell>
          <cell r="I10">
            <v>1895394.4094443331</v>
          </cell>
          <cell r="J10">
            <v>1924743.7149998886</v>
          </cell>
          <cell r="K10">
            <v>1924743.7149998886</v>
          </cell>
          <cell r="L10">
            <v>1924743.7149998886</v>
          </cell>
          <cell r="M10">
            <v>1924743.7149998886</v>
          </cell>
        </row>
        <row r="13">
          <cell r="B13">
            <v>30000</v>
          </cell>
          <cell r="C13">
            <v>30000</v>
          </cell>
          <cell r="D13">
            <v>30000</v>
          </cell>
          <cell r="E13">
            <v>30000</v>
          </cell>
          <cell r="F13">
            <v>30000</v>
          </cell>
          <cell r="G13">
            <v>30000</v>
          </cell>
          <cell r="H13">
            <v>0</v>
          </cell>
          <cell r="I13">
            <v>0</v>
          </cell>
          <cell r="J13">
            <v>30000</v>
          </cell>
          <cell r="K13">
            <v>30000</v>
          </cell>
          <cell r="L13">
            <v>30000</v>
          </cell>
          <cell r="M13">
            <v>30000</v>
          </cell>
        </row>
        <row r="14">
          <cell r="B14">
            <v>18953.94409444333</v>
          </cell>
          <cell r="C14">
            <v>18953.94409444333</v>
          </cell>
          <cell r="D14">
            <v>18953.94409444333</v>
          </cell>
          <cell r="E14">
            <v>18953.94409444333</v>
          </cell>
          <cell r="F14">
            <v>18953.94409444333</v>
          </cell>
          <cell r="G14">
            <v>18953.94409444333</v>
          </cell>
          <cell r="H14">
            <v>18953.94409444333</v>
          </cell>
          <cell r="I14">
            <v>18953.94409444333</v>
          </cell>
          <cell r="J14">
            <v>19247.437149998885</v>
          </cell>
          <cell r="K14">
            <v>19247.437149998885</v>
          </cell>
          <cell r="L14">
            <v>19247.437149998885</v>
          </cell>
          <cell r="M14">
            <v>19247.437149998885</v>
          </cell>
        </row>
        <row r="16">
          <cell r="B16">
            <v>6000</v>
          </cell>
          <cell r="C16">
            <v>6000</v>
          </cell>
          <cell r="D16">
            <v>6000</v>
          </cell>
          <cell r="E16">
            <v>6000</v>
          </cell>
          <cell r="F16">
            <v>6000</v>
          </cell>
          <cell r="G16">
            <v>6000</v>
          </cell>
          <cell r="H16">
            <v>0</v>
          </cell>
          <cell r="I16">
            <v>0</v>
          </cell>
          <cell r="J16">
            <v>6000</v>
          </cell>
          <cell r="K16">
            <v>6000</v>
          </cell>
          <cell r="L16">
            <v>6000</v>
          </cell>
          <cell r="M16">
            <v>6000</v>
          </cell>
        </row>
        <row r="17">
          <cell r="B17">
            <v>60000</v>
          </cell>
          <cell r="C17">
            <v>60000</v>
          </cell>
          <cell r="D17">
            <v>60000</v>
          </cell>
          <cell r="E17">
            <v>60000</v>
          </cell>
          <cell r="F17">
            <v>60000</v>
          </cell>
          <cell r="G17">
            <v>60000</v>
          </cell>
          <cell r="H17">
            <v>0</v>
          </cell>
          <cell r="I17">
            <v>0</v>
          </cell>
          <cell r="J17">
            <v>60000</v>
          </cell>
          <cell r="K17">
            <v>60000</v>
          </cell>
          <cell r="L17">
            <v>60000</v>
          </cell>
          <cell r="M17">
            <v>60000</v>
          </cell>
        </row>
        <row r="18">
          <cell r="B18">
            <v>4000</v>
          </cell>
          <cell r="C18">
            <v>4000</v>
          </cell>
          <cell r="D18">
            <v>4000</v>
          </cell>
          <cell r="E18">
            <v>4000</v>
          </cell>
          <cell r="F18">
            <v>4000</v>
          </cell>
          <cell r="G18">
            <v>4000</v>
          </cell>
          <cell r="H18">
            <v>0</v>
          </cell>
          <cell r="I18">
            <v>0</v>
          </cell>
          <cell r="J18">
            <v>4000</v>
          </cell>
          <cell r="K18">
            <v>4000</v>
          </cell>
          <cell r="L18">
            <v>4000</v>
          </cell>
          <cell r="M18">
            <v>4000</v>
          </cell>
        </row>
        <row r="20">
          <cell r="B20">
            <v>800000</v>
          </cell>
          <cell r="C20">
            <v>800000</v>
          </cell>
          <cell r="D20">
            <v>800000</v>
          </cell>
          <cell r="E20">
            <v>800000</v>
          </cell>
          <cell r="F20">
            <v>800000</v>
          </cell>
          <cell r="G20">
            <v>800000</v>
          </cell>
          <cell r="H20">
            <v>0</v>
          </cell>
          <cell r="I20">
            <v>0</v>
          </cell>
          <cell r="J20">
            <v>800000</v>
          </cell>
          <cell r="K20">
            <v>800000</v>
          </cell>
          <cell r="L20">
            <v>800000</v>
          </cell>
          <cell r="M20">
            <v>800000</v>
          </cell>
        </row>
        <row r="22">
          <cell r="B22">
            <v>40000</v>
          </cell>
          <cell r="C22">
            <v>40000</v>
          </cell>
          <cell r="D22">
            <v>40000</v>
          </cell>
          <cell r="E22">
            <v>40000</v>
          </cell>
          <cell r="F22">
            <v>40000</v>
          </cell>
          <cell r="G22">
            <v>40000</v>
          </cell>
          <cell r="H22">
            <v>0</v>
          </cell>
          <cell r="I22">
            <v>0</v>
          </cell>
          <cell r="J22">
            <v>40000</v>
          </cell>
          <cell r="K22">
            <v>40000</v>
          </cell>
          <cell r="L22">
            <v>40000</v>
          </cell>
          <cell r="M22">
            <v>40000</v>
          </cell>
        </row>
        <row r="25">
          <cell r="B25">
            <v>1733.125</v>
          </cell>
          <cell r="C25">
            <v>1733.125</v>
          </cell>
          <cell r="D25">
            <v>1733.125</v>
          </cell>
          <cell r="E25">
            <v>1733.125</v>
          </cell>
          <cell r="F25">
            <v>1733.125</v>
          </cell>
          <cell r="G25">
            <v>1733.125</v>
          </cell>
          <cell r="H25">
            <v>1733.125</v>
          </cell>
          <cell r="I25">
            <v>1733.125</v>
          </cell>
          <cell r="J25">
            <v>1762.5</v>
          </cell>
          <cell r="K25">
            <v>1762.5</v>
          </cell>
          <cell r="L25">
            <v>1762.5</v>
          </cell>
          <cell r="M25">
            <v>1762.5</v>
          </cell>
        </row>
        <row r="26">
          <cell r="B26">
            <v>109531.25964102894</v>
          </cell>
          <cell r="C26">
            <v>109531.25964103453</v>
          </cell>
          <cell r="D26">
            <v>98931.460320930928</v>
          </cell>
          <cell r="E26">
            <v>109531.25964102708</v>
          </cell>
          <cell r="F26">
            <v>105997.9932010062</v>
          </cell>
          <cell r="G26">
            <v>109531.25964102708</v>
          </cell>
          <cell r="H26">
            <v>105997.99320099875</v>
          </cell>
          <cell r="I26">
            <v>109531.25964103825</v>
          </cell>
          <cell r="J26">
            <v>268683.51632405072</v>
          </cell>
          <cell r="K26">
            <v>117920.45498515852</v>
          </cell>
          <cell r="L26">
            <v>121851.13681800663</v>
          </cell>
          <cell r="M26">
            <v>117920.45498516411</v>
          </cell>
        </row>
        <row r="27">
          <cell r="B27">
            <v>136562.5000000002</v>
          </cell>
          <cell r="C27">
            <v>136562.5000000002</v>
          </cell>
          <cell r="D27">
            <v>136562.5000000002</v>
          </cell>
          <cell r="E27">
            <v>136562.5000000002</v>
          </cell>
          <cell r="F27">
            <v>136562.5000000002</v>
          </cell>
          <cell r="G27">
            <v>136562.5000000002</v>
          </cell>
          <cell r="H27">
            <v>136562.5000000002</v>
          </cell>
          <cell r="I27">
            <v>136562.5000000002</v>
          </cell>
          <cell r="J27">
            <v>136562.5000000002</v>
          </cell>
          <cell r="K27">
            <v>136562.5000000002</v>
          </cell>
          <cell r="L27">
            <v>136562.5000000002</v>
          </cell>
          <cell r="M27">
            <v>136562.5000000002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57400</v>
          </cell>
          <cell r="K30">
            <v>57400</v>
          </cell>
          <cell r="L30">
            <v>57400</v>
          </cell>
          <cell r="M30">
            <v>57400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5462.5</v>
          </cell>
          <cell r="K32">
            <v>5462.5</v>
          </cell>
          <cell r="L32">
            <v>5462.5</v>
          </cell>
          <cell r="M32">
            <v>5462.5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erence_Data"/>
      <sheetName val="Operating_Expenses"/>
      <sheetName val="Non_Operating_Items"/>
      <sheetName val="Summary"/>
    </sheetNames>
    <sheetDataSet>
      <sheetData sheetId="0" refreshError="1"/>
      <sheetData sheetId="1">
        <row r="9">
          <cell r="C9">
            <v>748459.83</v>
          </cell>
          <cell r="D9">
            <v>748459.83</v>
          </cell>
          <cell r="E9">
            <v>748459.83</v>
          </cell>
          <cell r="F9">
            <v>748459.83</v>
          </cell>
          <cell r="G9">
            <v>748459.83</v>
          </cell>
          <cell r="H9">
            <v>748459.83</v>
          </cell>
          <cell r="I9">
            <v>748459.83</v>
          </cell>
          <cell r="J9">
            <v>748459.83</v>
          </cell>
          <cell r="K9">
            <v>748459.83</v>
          </cell>
          <cell r="L9">
            <v>748459.83</v>
          </cell>
          <cell r="M9">
            <v>748459.83</v>
          </cell>
          <cell r="N9">
            <v>748459.83</v>
          </cell>
        </row>
        <row r="15">
          <cell r="C15">
            <v>409721</v>
          </cell>
          <cell r="D15">
            <v>409721</v>
          </cell>
          <cell r="E15">
            <v>409721</v>
          </cell>
          <cell r="F15">
            <v>409721</v>
          </cell>
          <cell r="G15">
            <v>409721</v>
          </cell>
          <cell r="H15">
            <v>409721</v>
          </cell>
          <cell r="I15">
            <v>374721</v>
          </cell>
          <cell r="J15">
            <v>374721</v>
          </cell>
          <cell r="K15">
            <v>409721</v>
          </cell>
          <cell r="L15">
            <v>409721</v>
          </cell>
          <cell r="M15">
            <v>409721</v>
          </cell>
          <cell r="N15">
            <v>409721</v>
          </cell>
        </row>
        <row r="20">
          <cell r="C20">
            <v>53192.67</v>
          </cell>
          <cell r="D20">
            <v>53192.67</v>
          </cell>
          <cell r="E20">
            <v>53192.67</v>
          </cell>
          <cell r="F20">
            <v>53192.67</v>
          </cell>
          <cell r="G20">
            <v>53192.67</v>
          </cell>
          <cell r="H20">
            <v>53192.67</v>
          </cell>
          <cell r="I20">
            <v>6192.67</v>
          </cell>
          <cell r="J20">
            <v>6192.67</v>
          </cell>
          <cell r="K20">
            <v>53192.67</v>
          </cell>
          <cell r="L20">
            <v>53192.67</v>
          </cell>
          <cell r="M20">
            <v>53192.67</v>
          </cell>
          <cell r="N20">
            <v>53192.67</v>
          </cell>
        </row>
        <row r="25">
          <cell r="C25">
            <v>23794.42</v>
          </cell>
          <cell r="D25">
            <v>23794.42</v>
          </cell>
          <cell r="E25">
            <v>23794.42</v>
          </cell>
          <cell r="F25">
            <v>23794.42</v>
          </cell>
          <cell r="G25">
            <v>23794.42</v>
          </cell>
          <cell r="H25">
            <v>23794.42</v>
          </cell>
          <cell r="I25">
            <v>23794.42</v>
          </cell>
          <cell r="J25">
            <v>23794.42</v>
          </cell>
          <cell r="K25">
            <v>23794.42</v>
          </cell>
          <cell r="L25">
            <v>23794.42</v>
          </cell>
          <cell r="M25">
            <v>23794.42</v>
          </cell>
          <cell r="N25">
            <v>23794.42</v>
          </cell>
        </row>
        <row r="30">
          <cell r="C30">
            <v>5500</v>
          </cell>
          <cell r="D30">
            <v>5500</v>
          </cell>
          <cell r="E30">
            <v>5500</v>
          </cell>
          <cell r="F30">
            <v>5500</v>
          </cell>
          <cell r="G30">
            <v>5500</v>
          </cell>
          <cell r="H30">
            <v>5500</v>
          </cell>
          <cell r="I30">
            <v>5500</v>
          </cell>
          <cell r="J30">
            <v>5500</v>
          </cell>
          <cell r="K30">
            <v>5500</v>
          </cell>
          <cell r="L30">
            <v>5500</v>
          </cell>
          <cell r="M30">
            <v>5500</v>
          </cell>
          <cell r="N30">
            <v>5500</v>
          </cell>
        </row>
        <row r="35">
          <cell r="C35">
            <v>65000</v>
          </cell>
          <cell r="D35">
            <v>65000</v>
          </cell>
          <cell r="E35">
            <v>65000</v>
          </cell>
          <cell r="F35">
            <v>65000</v>
          </cell>
          <cell r="G35">
            <v>65000</v>
          </cell>
          <cell r="H35">
            <v>65000</v>
          </cell>
          <cell r="I35">
            <v>25000</v>
          </cell>
          <cell r="J35">
            <v>25000</v>
          </cell>
          <cell r="K35">
            <v>65000</v>
          </cell>
          <cell r="L35">
            <v>65000</v>
          </cell>
          <cell r="M35">
            <v>65000</v>
          </cell>
          <cell r="N35">
            <v>65000</v>
          </cell>
        </row>
        <row r="45">
          <cell r="C45">
            <v>418799.12829199998</v>
          </cell>
          <cell r="D45">
            <v>418799.12829199998</v>
          </cell>
          <cell r="E45">
            <v>418799.12829199998</v>
          </cell>
          <cell r="F45">
            <v>418799.12829199998</v>
          </cell>
          <cell r="G45">
            <v>418799.12829199998</v>
          </cell>
          <cell r="H45">
            <v>848583.54069200007</v>
          </cell>
          <cell r="I45">
            <v>0</v>
          </cell>
          <cell r="J45">
            <v>0</v>
          </cell>
          <cell r="K45">
            <v>471942.028292</v>
          </cell>
          <cell r="L45">
            <v>419151.62829199998</v>
          </cell>
          <cell r="M45">
            <v>418799.12829199998</v>
          </cell>
          <cell r="N45">
            <v>418799.12829199998</v>
          </cell>
        </row>
        <row r="51">
          <cell r="C51">
            <v>88904.67</v>
          </cell>
          <cell r="D51">
            <v>88904.67</v>
          </cell>
          <cell r="E51">
            <v>88904.67</v>
          </cell>
          <cell r="F51">
            <v>88904.67</v>
          </cell>
          <cell r="G51">
            <v>88904.67</v>
          </cell>
          <cell r="H51">
            <v>88904.67</v>
          </cell>
          <cell r="I51">
            <v>88904.67</v>
          </cell>
          <cell r="J51">
            <v>88904.67</v>
          </cell>
          <cell r="K51">
            <v>88904.67</v>
          </cell>
          <cell r="L51">
            <v>88904.67</v>
          </cell>
          <cell r="M51">
            <v>88904.67</v>
          </cell>
          <cell r="N51">
            <v>88904.67</v>
          </cell>
        </row>
        <row r="56">
          <cell r="C56">
            <v>59956.75</v>
          </cell>
          <cell r="D56">
            <v>59956.75</v>
          </cell>
          <cell r="E56">
            <v>59956.75</v>
          </cell>
          <cell r="F56">
            <v>59956.75</v>
          </cell>
          <cell r="G56">
            <v>59956.75</v>
          </cell>
          <cell r="H56">
            <v>59956.75</v>
          </cell>
          <cell r="I56">
            <v>59956.75</v>
          </cell>
          <cell r="J56">
            <v>59956.75</v>
          </cell>
          <cell r="K56">
            <v>59956.75</v>
          </cell>
          <cell r="L56">
            <v>59956.75</v>
          </cell>
          <cell r="M56">
            <v>59956.75</v>
          </cell>
          <cell r="N56">
            <v>59956.75</v>
          </cell>
        </row>
        <row r="61">
          <cell r="C61">
            <v>2838.21</v>
          </cell>
          <cell r="D61">
            <v>2838.21</v>
          </cell>
          <cell r="E61">
            <v>2838.21</v>
          </cell>
          <cell r="F61">
            <v>2838.21</v>
          </cell>
          <cell r="G61">
            <v>2838.21</v>
          </cell>
          <cell r="H61">
            <v>2838.21</v>
          </cell>
          <cell r="I61">
            <v>2838.21</v>
          </cell>
          <cell r="J61">
            <v>2838.21</v>
          </cell>
          <cell r="K61">
            <v>2838.21</v>
          </cell>
          <cell r="L61">
            <v>2838.21</v>
          </cell>
          <cell r="M61">
            <v>2838.21</v>
          </cell>
          <cell r="N61">
            <v>2838.21</v>
          </cell>
        </row>
        <row r="65">
          <cell r="C65">
            <v>1041.67</v>
          </cell>
          <cell r="D65">
            <v>1041.67</v>
          </cell>
          <cell r="E65">
            <v>1041.67</v>
          </cell>
          <cell r="F65">
            <v>1041.67</v>
          </cell>
          <cell r="G65">
            <v>1041.67</v>
          </cell>
          <cell r="H65">
            <v>1041.67</v>
          </cell>
          <cell r="I65">
            <v>1041.67</v>
          </cell>
          <cell r="J65">
            <v>1041.67</v>
          </cell>
          <cell r="K65">
            <v>1041.67</v>
          </cell>
          <cell r="L65">
            <v>1041.67</v>
          </cell>
          <cell r="M65">
            <v>1041.67</v>
          </cell>
          <cell r="N65">
            <v>1041.67</v>
          </cell>
        </row>
        <row r="71">
          <cell r="C71">
            <v>45416.67</v>
          </cell>
          <cell r="D71">
            <v>45416.67</v>
          </cell>
          <cell r="E71">
            <v>45416.67</v>
          </cell>
          <cell r="F71">
            <v>45416.67</v>
          </cell>
          <cell r="G71">
            <v>45416.67</v>
          </cell>
          <cell r="H71">
            <v>45416.67</v>
          </cell>
          <cell r="I71">
            <v>45416.67</v>
          </cell>
          <cell r="J71">
            <v>45416.67</v>
          </cell>
          <cell r="K71">
            <v>45416.67</v>
          </cell>
          <cell r="L71">
            <v>45416.67</v>
          </cell>
          <cell r="M71">
            <v>45416.67</v>
          </cell>
          <cell r="N71">
            <v>45416.67</v>
          </cell>
        </row>
      </sheetData>
      <sheetData sheetId="2">
        <row r="7">
          <cell r="C7">
            <v>439818</v>
          </cell>
          <cell r="D7">
            <v>439818</v>
          </cell>
          <cell r="E7">
            <v>439818</v>
          </cell>
          <cell r="F7">
            <v>439818</v>
          </cell>
          <cell r="G7">
            <v>439818</v>
          </cell>
          <cell r="H7">
            <v>439818</v>
          </cell>
          <cell r="I7">
            <v>439818</v>
          </cell>
          <cell r="J7">
            <v>439818</v>
          </cell>
          <cell r="K7">
            <v>439818</v>
          </cell>
          <cell r="L7">
            <v>439818</v>
          </cell>
          <cell r="M7">
            <v>439818</v>
          </cell>
          <cell r="N7">
            <v>439818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4">
          <cell r="C14">
            <v>41666.67</v>
          </cell>
          <cell r="D14">
            <v>41666.67</v>
          </cell>
          <cell r="E14">
            <v>41666.67</v>
          </cell>
          <cell r="F14">
            <v>41666.67</v>
          </cell>
          <cell r="G14">
            <v>41666.67</v>
          </cell>
          <cell r="H14">
            <v>41666.67</v>
          </cell>
          <cell r="I14">
            <v>41666.67</v>
          </cell>
          <cell r="J14">
            <v>41666.67</v>
          </cell>
          <cell r="K14">
            <v>41666.67</v>
          </cell>
          <cell r="L14">
            <v>41666.67</v>
          </cell>
          <cell r="M14">
            <v>41666.67</v>
          </cell>
          <cell r="N14">
            <v>41666.67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9">
          <cell r="C19">
            <v>23820.85</v>
          </cell>
          <cell r="D19">
            <v>23820.85</v>
          </cell>
          <cell r="E19">
            <v>23820.85</v>
          </cell>
          <cell r="F19">
            <v>23820.85</v>
          </cell>
          <cell r="G19">
            <v>23820.85</v>
          </cell>
          <cell r="H19">
            <v>23820.85</v>
          </cell>
          <cell r="I19">
            <v>23820.85</v>
          </cell>
          <cell r="J19">
            <v>23820.85</v>
          </cell>
          <cell r="K19">
            <v>23820.85</v>
          </cell>
          <cell r="L19">
            <v>23820.85</v>
          </cell>
          <cell r="M19">
            <v>23820.85</v>
          </cell>
          <cell r="N19">
            <v>23820.85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1AD156-C2F1-B444-BF0A-CBD9B3B892DD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G16"/>
  <sheetViews>
    <sheetView showGridLines="0" zoomScaleNormal="100" workbookViewId="0">
      <selection activeCell="E47" sqref="E47"/>
    </sheetView>
  </sheetViews>
  <sheetFormatPr baseColWidth="10" defaultColWidth="8.6640625" defaultRowHeight="15" customHeight="1" x14ac:dyDescent="0.2"/>
  <cols>
    <col min="1" max="1" width="5" customWidth="1"/>
    <col min="2" max="2" width="35" customWidth="1"/>
    <col min="3" max="3" width="21.6640625" customWidth="1"/>
    <col min="4" max="5" width="33.33203125" customWidth="1"/>
    <col min="6" max="6" width="30" customWidth="1"/>
    <col min="7" max="7" width="11.6640625" customWidth="1"/>
  </cols>
  <sheetData>
    <row r="1" spans="1:7" ht="30" customHeight="1" x14ac:dyDescent="0.2">
      <c r="A1" s="103" t="s">
        <v>0</v>
      </c>
      <c r="B1" s="103"/>
      <c r="C1" s="103"/>
      <c r="D1" s="103"/>
      <c r="E1" s="103"/>
      <c r="F1" s="103"/>
      <c r="G1" s="103"/>
    </row>
    <row r="2" spans="1:7" ht="20" customHeight="1" x14ac:dyDescent="0.2">
      <c r="A2" s="102" t="s">
        <v>1</v>
      </c>
      <c r="B2" s="102"/>
      <c r="C2" s="102"/>
      <c r="D2" s="102"/>
      <c r="E2" s="102"/>
      <c r="F2" s="102"/>
      <c r="G2" s="102"/>
    </row>
    <row r="3" spans="1:7" ht="6" customHeight="1" x14ac:dyDescent="0.2">
      <c r="A3" s="13"/>
      <c r="B3" s="13"/>
      <c r="C3" s="13"/>
      <c r="D3" s="13"/>
      <c r="E3" s="13"/>
      <c r="F3" s="13"/>
      <c r="G3" s="13"/>
    </row>
    <row r="4" spans="1:7" ht="26" customHeight="1" x14ac:dyDescent="0.2">
      <c r="A4" s="85" t="s">
        <v>2</v>
      </c>
      <c r="B4" s="85" t="s">
        <v>3</v>
      </c>
      <c r="C4" s="85" t="s">
        <v>4</v>
      </c>
      <c r="D4" s="85" t="s">
        <v>5</v>
      </c>
      <c r="E4" s="85" t="s">
        <v>6</v>
      </c>
      <c r="F4" s="85" t="s">
        <v>7</v>
      </c>
      <c r="G4" s="85" t="s">
        <v>8</v>
      </c>
    </row>
    <row r="5" spans="1:7" ht="22" customHeight="1" x14ac:dyDescent="0.2">
      <c r="A5" s="95">
        <v>1</v>
      </c>
      <c r="B5" s="87" t="s">
        <v>9</v>
      </c>
      <c r="C5" s="86" t="s">
        <v>10</v>
      </c>
      <c r="D5" s="86" t="s">
        <v>11</v>
      </c>
      <c r="E5" s="86" t="s">
        <v>12</v>
      </c>
      <c r="F5" s="86" t="s">
        <v>13</v>
      </c>
      <c r="G5" s="92" t="s">
        <v>14</v>
      </c>
    </row>
    <row r="6" spans="1:7" ht="22" customHeight="1" x14ac:dyDescent="0.2">
      <c r="A6" s="96">
        <v>2</v>
      </c>
      <c r="B6" s="89" t="s">
        <v>15</v>
      </c>
      <c r="C6" s="88" t="s">
        <v>16</v>
      </c>
      <c r="D6" s="88" t="s">
        <v>17</v>
      </c>
      <c r="E6" s="88" t="s">
        <v>18</v>
      </c>
      <c r="F6" s="88" t="s">
        <v>19</v>
      </c>
      <c r="G6" s="93" t="s">
        <v>14</v>
      </c>
    </row>
    <row r="7" spans="1:7" ht="22" customHeight="1" x14ac:dyDescent="0.2">
      <c r="A7" s="97">
        <v>3</v>
      </c>
      <c r="B7" s="91" t="s">
        <v>20</v>
      </c>
      <c r="C7" s="90" t="s">
        <v>21</v>
      </c>
      <c r="D7" s="90" t="s">
        <v>226</v>
      </c>
      <c r="E7" s="90" t="s">
        <v>22</v>
      </c>
      <c r="F7" s="90" t="s">
        <v>23</v>
      </c>
      <c r="G7" s="94" t="s">
        <v>14</v>
      </c>
    </row>
    <row r="8" spans="1:7" ht="22" customHeight="1" x14ac:dyDescent="0.2">
      <c r="A8" s="96">
        <v>4</v>
      </c>
      <c r="B8" s="89" t="s">
        <v>20</v>
      </c>
      <c r="C8" s="88" t="s">
        <v>24</v>
      </c>
      <c r="D8" s="88" t="s">
        <v>245</v>
      </c>
      <c r="E8" s="88" t="s">
        <v>227</v>
      </c>
      <c r="F8" s="88" t="s">
        <v>228</v>
      </c>
      <c r="G8" s="93" t="s">
        <v>14</v>
      </c>
    </row>
    <row r="9" spans="1:7" ht="22" customHeight="1" x14ac:dyDescent="0.2">
      <c r="A9" s="97">
        <v>5</v>
      </c>
      <c r="B9" s="91" t="s">
        <v>25</v>
      </c>
      <c r="C9" s="90" t="s">
        <v>26</v>
      </c>
      <c r="D9" s="90" t="s">
        <v>27</v>
      </c>
      <c r="E9" s="90" t="s">
        <v>28</v>
      </c>
      <c r="F9" s="90" t="s">
        <v>29</v>
      </c>
      <c r="G9" s="94" t="s">
        <v>14</v>
      </c>
    </row>
    <row r="10" spans="1:7" ht="8" customHeight="1" x14ac:dyDescent="0.2">
      <c r="A10" s="13"/>
      <c r="B10" s="13"/>
      <c r="C10" s="13"/>
      <c r="D10" s="13"/>
      <c r="E10" s="13"/>
      <c r="F10" s="13"/>
      <c r="G10" s="13"/>
    </row>
    <row r="11" spans="1:7" ht="8" customHeight="1" x14ac:dyDescent="0.2">
      <c r="A11" s="13"/>
      <c r="B11" s="13"/>
      <c r="C11" s="13"/>
      <c r="D11" s="13"/>
      <c r="E11" s="13"/>
      <c r="F11" s="13"/>
      <c r="G11" s="13"/>
    </row>
    <row r="12" spans="1:7" ht="24" customHeight="1" x14ac:dyDescent="0.2">
      <c r="A12" s="98" t="s">
        <v>30</v>
      </c>
      <c r="B12" s="98"/>
      <c r="C12" s="98"/>
      <c r="D12" s="98"/>
      <c r="E12" s="98"/>
      <c r="F12" s="98"/>
      <c r="G12" s="98"/>
    </row>
    <row r="13" spans="1:7" ht="18" customHeight="1" x14ac:dyDescent="0.2">
      <c r="A13" s="99" t="s">
        <v>31</v>
      </c>
      <c r="B13" s="99"/>
      <c r="C13" s="99"/>
      <c r="D13" s="99"/>
      <c r="E13" s="99"/>
      <c r="F13" s="99"/>
      <c r="G13" s="99"/>
    </row>
    <row r="14" spans="1:7" ht="18" customHeight="1" x14ac:dyDescent="0.2">
      <c r="A14" s="99" t="s">
        <v>32</v>
      </c>
      <c r="B14" s="99"/>
      <c r="C14" s="99"/>
      <c r="D14" s="99"/>
      <c r="E14" s="99"/>
      <c r="F14" s="99"/>
      <c r="G14" s="99"/>
    </row>
    <row r="15" spans="1:7" ht="18" customHeight="1" x14ac:dyDescent="0.2">
      <c r="A15" s="99" t="s">
        <v>33</v>
      </c>
      <c r="B15" s="99"/>
      <c r="C15" s="99"/>
      <c r="D15" s="99"/>
      <c r="E15" s="99"/>
      <c r="F15" s="99"/>
      <c r="G15" s="99"/>
    </row>
    <row r="16" spans="1:7" ht="18" customHeight="1" x14ac:dyDescent="0.2">
      <c r="A16" s="99" t="s">
        <v>34</v>
      </c>
      <c r="B16" s="99"/>
      <c r="C16" s="99"/>
      <c r="D16" s="99"/>
      <c r="E16" s="99"/>
      <c r="F16" s="99"/>
      <c r="G16" s="9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S83"/>
  <sheetViews>
    <sheetView showGridLines="0" tabSelected="1" zoomScaleNormal="100" workbookViewId="0">
      <pane xSplit="2" ySplit="4" topLeftCell="C22" activePane="bottomRight" state="frozen"/>
      <selection pane="topRight" activeCell="C1" sqref="C1"/>
      <selection pane="bottomLeft" activeCell="A5" sqref="A5"/>
      <selection pane="bottomRight" activeCell="J59" sqref="J59"/>
    </sheetView>
  </sheetViews>
  <sheetFormatPr baseColWidth="10" defaultColWidth="8.6640625" defaultRowHeight="15" customHeight="1" outlineLevelCol="1" x14ac:dyDescent="0.2"/>
  <cols>
    <col min="1" max="1" width="30" customWidth="1"/>
    <col min="2" max="2" width="38.33203125" customWidth="1"/>
    <col min="3" max="14" width="14.1640625" customWidth="1"/>
    <col min="15" max="15" width="16.6640625" customWidth="1"/>
    <col min="16" max="16" width="0.5" style="13" customWidth="1"/>
    <col min="17" max="17" width="50" hidden="1" customWidth="1" outlineLevel="1"/>
    <col min="18" max="18" width="58.33203125" hidden="1" customWidth="1" outlineLevel="1"/>
    <col min="19" max="19" width="8.6640625" collapsed="1"/>
  </cols>
  <sheetData>
    <row r="1" spans="1:18" ht="30" customHeight="1" x14ac:dyDescent="0.2">
      <c r="A1" s="101" t="s">
        <v>35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</row>
    <row r="2" spans="1:18" ht="20" customHeight="1" x14ac:dyDescent="0.2">
      <c r="A2" s="102" t="s">
        <v>36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 spans="1:18" ht="6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8" ht="28" customHeight="1" thickBot="1" x14ac:dyDescent="0.25">
      <c r="A4" s="14" t="s">
        <v>37</v>
      </c>
      <c r="B4" s="14" t="s">
        <v>38</v>
      </c>
      <c r="C4" s="15" t="s">
        <v>39</v>
      </c>
      <c r="D4" s="15" t="s">
        <v>40</v>
      </c>
      <c r="E4" s="15" t="s">
        <v>41</v>
      </c>
      <c r="F4" s="15" t="s">
        <v>42</v>
      </c>
      <c r="G4" s="15" t="s">
        <v>43</v>
      </c>
      <c r="H4" s="15" t="s">
        <v>44</v>
      </c>
      <c r="I4" s="15" t="s">
        <v>45</v>
      </c>
      <c r="J4" s="15" t="s">
        <v>46</v>
      </c>
      <c r="K4" s="15" t="s">
        <v>47</v>
      </c>
      <c r="L4" s="15" t="s">
        <v>48</v>
      </c>
      <c r="M4" s="15" t="s">
        <v>49</v>
      </c>
      <c r="N4" s="15" t="s">
        <v>50</v>
      </c>
      <c r="O4" s="50" t="s">
        <v>51</v>
      </c>
      <c r="P4" s="100"/>
      <c r="Q4" s="1" t="s">
        <v>52</v>
      </c>
      <c r="R4" s="10" t="s">
        <v>240</v>
      </c>
    </row>
    <row r="5" spans="1:18" ht="22" customHeight="1" x14ac:dyDescent="0.2">
      <c r="A5" s="16" t="s">
        <v>53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51"/>
      <c r="Q5" s="5"/>
      <c r="R5" s="5"/>
    </row>
    <row r="6" spans="1:18" ht="18" customHeight="1" x14ac:dyDescent="0.2">
      <c r="A6" s="64" t="s">
        <v>54</v>
      </c>
      <c r="B6" s="65" t="s">
        <v>195</v>
      </c>
      <c r="C6" s="68">
        <f>[1]REVENUE_ENGINE!C6</f>
        <v>195434.85108695654</v>
      </c>
      <c r="D6" s="68">
        <f>[1]REVENUE_ENGINE!D6</f>
        <v>195434.85108695654</v>
      </c>
      <c r="E6" s="68">
        <f>[1]REVENUE_ENGINE!E6</f>
        <v>195434.85108695654</v>
      </c>
      <c r="F6" s="68">
        <f>[1]REVENUE_ENGINE!F6</f>
        <v>195434.85108695654</v>
      </c>
      <c r="G6" s="68">
        <f>[1]REVENUE_ENGINE!G6</f>
        <v>195434.85108695654</v>
      </c>
      <c r="H6" s="68">
        <f>[1]REVENUE_ENGINE!H6</f>
        <v>195434.85108695654</v>
      </c>
      <c r="I6" s="68">
        <f>[1]REVENUE_ENGINE!I6</f>
        <v>0</v>
      </c>
      <c r="J6" s="68">
        <f>[1]REVENUE_ENGINE!J6</f>
        <v>0</v>
      </c>
      <c r="K6" s="68">
        <f>[1]REVENUE_ENGINE!K6</f>
        <v>195434.85108695654</v>
      </c>
      <c r="L6" s="68">
        <f>[1]REVENUE_ENGINE!L6</f>
        <v>195434.85108695654</v>
      </c>
      <c r="M6" s="68">
        <f>[1]REVENUE_ENGINE!M6</f>
        <v>195434.85108695654</v>
      </c>
      <c r="N6" s="68">
        <f>[1]REVENUE_ENGINE!N6</f>
        <v>195434.85108695654</v>
      </c>
      <c r="O6" s="67">
        <f>[1]REVENUE_ENGINE!O6</f>
        <v>1954348.510869565</v>
      </c>
      <c r="Q6" s="6" t="s">
        <v>196</v>
      </c>
    </row>
    <row r="7" spans="1:18" ht="18" customHeight="1" x14ac:dyDescent="0.2">
      <c r="A7" s="20" t="s">
        <v>54</v>
      </c>
      <c r="B7" s="18" t="s">
        <v>197</v>
      </c>
      <c r="C7" s="69">
        <f>[1]REVENUE_ENGINE!C7</f>
        <v>632161.90217391308</v>
      </c>
      <c r="D7" s="69">
        <f>[1]REVENUE_ENGINE!D7</f>
        <v>632161.90217391308</v>
      </c>
      <c r="E7" s="69">
        <f>[1]REVENUE_ENGINE!E7</f>
        <v>632161.90217391308</v>
      </c>
      <c r="F7" s="69">
        <f>[1]REVENUE_ENGINE!F7</f>
        <v>632161.90217391308</v>
      </c>
      <c r="G7" s="69">
        <f>[1]REVENUE_ENGINE!G7</f>
        <v>632161.90217391308</v>
      </c>
      <c r="H7" s="69">
        <f>[1]REVENUE_ENGINE!H7</f>
        <v>632161.90217391308</v>
      </c>
      <c r="I7" s="69">
        <f>[1]REVENUE_ENGINE!I7</f>
        <v>0</v>
      </c>
      <c r="J7" s="69">
        <f>[1]REVENUE_ENGINE!J7</f>
        <v>0</v>
      </c>
      <c r="K7" s="69">
        <f>[1]REVENUE_ENGINE!K7</f>
        <v>651056.46739130444</v>
      </c>
      <c r="L7" s="69">
        <f>[1]REVENUE_ENGINE!L7</f>
        <v>651056.46739130444</v>
      </c>
      <c r="M7" s="69">
        <f>[1]REVENUE_ENGINE!M7</f>
        <v>651056.46739130444</v>
      </c>
      <c r="N7" s="69">
        <f>[1]REVENUE_ENGINE!N7</f>
        <v>651056.46739130444</v>
      </c>
      <c r="O7" s="63">
        <f>[1]REVENUE_ENGINE!O7</f>
        <v>6397197.2826086972</v>
      </c>
      <c r="Q7" s="6" t="s">
        <v>198</v>
      </c>
    </row>
    <row r="8" spans="1:18" ht="18" customHeight="1" x14ac:dyDescent="0.2">
      <c r="A8" s="64" t="s">
        <v>54</v>
      </c>
      <c r="B8" s="65" t="s">
        <v>199</v>
      </c>
      <c r="C8" s="68">
        <f>[1]REVENUE_ENGINE!C8</f>
        <v>1979312.2282608696</v>
      </c>
      <c r="D8" s="68">
        <f>[1]REVENUE_ENGINE!D8</f>
        <v>1979312.2282608696</v>
      </c>
      <c r="E8" s="68">
        <f>[1]REVENUE_ENGINE!E8</f>
        <v>1979312.2282608696</v>
      </c>
      <c r="F8" s="68">
        <f>[1]REVENUE_ENGINE!F8</f>
        <v>1979312.2282608696</v>
      </c>
      <c r="G8" s="68">
        <f>[1]REVENUE_ENGINE!G8</f>
        <v>1979312.2282608696</v>
      </c>
      <c r="H8" s="68">
        <f>[1]REVENUE_ENGINE!H8</f>
        <v>1979312.2282608696</v>
      </c>
      <c r="I8" s="68">
        <f>[1]REVENUE_ENGINE!I8</f>
        <v>0</v>
      </c>
      <c r="J8" s="68">
        <f>[1]REVENUE_ENGINE!J8</f>
        <v>0</v>
      </c>
      <c r="K8" s="68">
        <f>[1]REVENUE_ENGINE!K8</f>
        <v>2033664.2391304348</v>
      </c>
      <c r="L8" s="68">
        <f>[1]REVENUE_ENGINE!L8</f>
        <v>2033664.2391304348</v>
      </c>
      <c r="M8" s="68">
        <f>[1]REVENUE_ENGINE!M8</f>
        <v>2033664.2391304348</v>
      </c>
      <c r="N8" s="68">
        <f>[1]REVENUE_ENGINE!N8</f>
        <v>2033664.2391304348</v>
      </c>
      <c r="O8" s="67">
        <f>[1]REVENUE_ENGINE!O8</f>
        <v>20010530.326086957</v>
      </c>
      <c r="Q8" s="6" t="s">
        <v>200</v>
      </c>
    </row>
    <row r="9" spans="1:18" ht="18" customHeight="1" x14ac:dyDescent="0.2">
      <c r="A9" s="20" t="s">
        <v>54</v>
      </c>
      <c r="B9" s="18" t="s">
        <v>201</v>
      </c>
      <c r="C9" s="69">
        <f>[1]REVENUE_ENGINE!C9</f>
        <v>1688552.1739130435</v>
      </c>
      <c r="D9" s="69">
        <f>[1]REVENUE_ENGINE!D9</f>
        <v>1688552.1739130435</v>
      </c>
      <c r="E9" s="69">
        <f>[1]REVENUE_ENGINE!E9</f>
        <v>1688552.1739130435</v>
      </c>
      <c r="F9" s="69">
        <f>[1]REVENUE_ENGINE!F9</f>
        <v>1688552.1739130435</v>
      </c>
      <c r="G9" s="69">
        <f>[1]REVENUE_ENGINE!G9</f>
        <v>1688552.1739130435</v>
      </c>
      <c r="H9" s="69">
        <f>[1]REVENUE_ENGINE!H9</f>
        <v>1688552.1739130435</v>
      </c>
      <c r="I9" s="69">
        <f>[1]REVENUE_ENGINE!I9</f>
        <v>0</v>
      </c>
      <c r="J9" s="69">
        <f>[1]REVENUE_ENGINE!J9</f>
        <v>0</v>
      </c>
      <c r="K9" s="69">
        <f>[1]REVENUE_ENGINE!K9</f>
        <v>1749529.1847826089</v>
      </c>
      <c r="L9" s="69">
        <f>[1]REVENUE_ENGINE!L9</f>
        <v>1749529.1847826089</v>
      </c>
      <c r="M9" s="69">
        <f>[1]REVENUE_ENGINE!M9</f>
        <v>1749529.1847826089</v>
      </c>
      <c r="N9" s="69">
        <f>[1]REVENUE_ENGINE!N9</f>
        <v>1749529.1847826089</v>
      </c>
      <c r="O9" s="63">
        <f>[1]REVENUE_ENGINE!O9</f>
        <v>17129429.782608695</v>
      </c>
      <c r="Q9" s="6" t="s">
        <v>202</v>
      </c>
    </row>
    <row r="10" spans="1:18" ht="18" customHeight="1" x14ac:dyDescent="0.2">
      <c r="A10" s="64" t="s">
        <v>54</v>
      </c>
      <c r="B10" s="65" t="s">
        <v>203</v>
      </c>
      <c r="C10" s="68">
        <f>[1]REVENUE_ENGINE!C10</f>
        <v>1329934.7826086958</v>
      </c>
      <c r="D10" s="68">
        <f>[1]REVENUE_ENGINE!D10</f>
        <v>1329934.7826086958</v>
      </c>
      <c r="E10" s="68">
        <f>[1]REVENUE_ENGINE!E10</f>
        <v>1329934.7826086958</v>
      </c>
      <c r="F10" s="68">
        <f>[1]REVENUE_ENGINE!F10</f>
        <v>1329934.7826086958</v>
      </c>
      <c r="G10" s="68">
        <f>[1]REVENUE_ENGINE!G10</f>
        <v>1329934.7826086958</v>
      </c>
      <c r="H10" s="68">
        <f>[1]REVENUE_ENGINE!H10</f>
        <v>1329934.7826086958</v>
      </c>
      <c r="I10" s="68">
        <f>[1]REVENUE_ENGINE!I10</f>
        <v>0</v>
      </c>
      <c r="J10" s="68">
        <f>[1]REVENUE_ENGINE!J10</f>
        <v>0</v>
      </c>
      <c r="K10" s="68">
        <f>[1]REVENUE_ENGINE!K10</f>
        <v>1375284.7826086958</v>
      </c>
      <c r="L10" s="68">
        <f>[1]REVENUE_ENGINE!L10</f>
        <v>1375284.7826086958</v>
      </c>
      <c r="M10" s="68">
        <f>[1]REVENUE_ENGINE!M10</f>
        <v>1375284.7826086958</v>
      </c>
      <c r="N10" s="68">
        <f>[1]REVENUE_ENGINE!N10</f>
        <v>1375284.7826086958</v>
      </c>
      <c r="O10" s="67">
        <f>[1]REVENUE_ENGINE!O10</f>
        <v>13480747.826086955</v>
      </c>
      <c r="Q10" s="6" t="s">
        <v>204</v>
      </c>
    </row>
    <row r="11" spans="1:18" ht="18" customHeight="1" x14ac:dyDescent="0.2">
      <c r="A11" s="20" t="s">
        <v>205</v>
      </c>
      <c r="B11" s="18" t="s">
        <v>218</v>
      </c>
      <c r="C11" s="69">
        <f>[1]REVENUE_ENGINE!C16</f>
        <v>-223032.1836956522</v>
      </c>
      <c r="D11" s="69">
        <f>[1]REVENUE_ENGINE!D16</f>
        <v>-223032.1836956522</v>
      </c>
      <c r="E11" s="69">
        <f>[1]REVENUE_ENGINE!E16</f>
        <v>-223032.1836956522</v>
      </c>
      <c r="F11" s="69">
        <f>[1]REVENUE_ENGINE!F16</f>
        <v>-223032.1836956522</v>
      </c>
      <c r="G11" s="69">
        <f>[1]REVENUE_ENGINE!G16</f>
        <v>-223032.1836956522</v>
      </c>
      <c r="H11" s="69">
        <f>[1]REVENUE_ENGINE!H16</f>
        <v>-223032.1836956522</v>
      </c>
      <c r="I11" s="69">
        <f>[1]REVENUE_ENGINE!I16</f>
        <v>0</v>
      </c>
      <c r="J11" s="69">
        <f>[1]REVENUE_ENGINE!J16</f>
        <v>0</v>
      </c>
      <c r="K11" s="69">
        <f>[1]REVENUE_ENGINE!K16</f>
        <v>-248879.90108695655</v>
      </c>
      <c r="L11" s="69">
        <f>[1]REVENUE_ENGINE!L16</f>
        <v>-248879.90108695655</v>
      </c>
      <c r="M11" s="69">
        <f>[1]REVENUE_ENGINE!M16</f>
        <v>-248879.90108695655</v>
      </c>
      <c r="N11" s="69">
        <f>[1]REVENUE_ENGINE!N16</f>
        <v>-248879.90108695655</v>
      </c>
      <c r="O11" s="63">
        <f>[1]REVENUE_ENGINE!O16</f>
        <v>-2333712.7065217393</v>
      </c>
      <c r="Q11" s="6" t="s">
        <v>219</v>
      </c>
    </row>
    <row r="12" spans="1:18" ht="18" customHeight="1" x14ac:dyDescent="0.2">
      <c r="A12" s="64" t="s">
        <v>55</v>
      </c>
      <c r="B12" s="65" t="s">
        <v>206</v>
      </c>
      <c r="C12" s="68">
        <f>[1]REVENUE_ENGINE!C19</f>
        <v>0</v>
      </c>
      <c r="D12" s="68">
        <f>[1]REVENUE_ENGINE!D19</f>
        <v>0</v>
      </c>
      <c r="E12" s="68">
        <f>[1]REVENUE_ENGINE!E19</f>
        <v>0</v>
      </c>
      <c r="F12" s="68">
        <f>[1]REVENUE_ENGINE!F19</f>
        <v>0</v>
      </c>
      <c r="G12" s="68">
        <f>[1]REVENUE_ENGINE!G19</f>
        <v>334500.00000000012</v>
      </c>
      <c r="H12" s="68">
        <f>[1]REVENUE_ENGINE!H19</f>
        <v>334500.00000000012</v>
      </c>
      <c r="I12" s="68">
        <f>[1]REVENUE_ENGINE!I19</f>
        <v>0</v>
      </c>
      <c r="J12" s="68">
        <f>[1]REVENUE_ENGINE!J19</f>
        <v>0</v>
      </c>
      <c r="K12" s="68">
        <f>[1]REVENUE_ENGINE!K19</f>
        <v>0</v>
      </c>
      <c r="L12" s="68">
        <f>[1]REVENUE_ENGINE!L19</f>
        <v>24400</v>
      </c>
      <c r="M12" s="68">
        <f>[1]REVENUE_ENGINE!M19</f>
        <v>24400</v>
      </c>
      <c r="N12" s="68">
        <f>[1]REVENUE_ENGINE!N19</f>
        <v>0</v>
      </c>
      <c r="O12" s="67">
        <f>[1]REVENUE_ENGINE!O19</f>
        <v>717800.00000000023</v>
      </c>
      <c r="Q12" s="6" t="s">
        <v>207</v>
      </c>
    </row>
    <row r="13" spans="1:18" ht="18" customHeight="1" x14ac:dyDescent="0.2">
      <c r="A13" s="20" t="s">
        <v>55</v>
      </c>
      <c r="B13" s="18" t="s">
        <v>56</v>
      </c>
      <c r="C13" s="69">
        <f>[1]REVENUE_ENGINE!C20</f>
        <v>0</v>
      </c>
      <c r="D13" s="69">
        <f>[1]REVENUE_ENGINE!D20</f>
        <v>0</v>
      </c>
      <c r="E13" s="69">
        <f>[1]REVENUE_ENGINE!E20</f>
        <v>0</v>
      </c>
      <c r="F13" s="69">
        <f>[1]REVENUE_ENGINE!F20</f>
        <v>0</v>
      </c>
      <c r="G13" s="69">
        <f>[1]REVENUE_ENGINE!G20</f>
        <v>4368525</v>
      </c>
      <c r="H13" s="69">
        <f>[1]REVENUE_ENGINE!H20</f>
        <v>4368525</v>
      </c>
      <c r="I13" s="69">
        <f>[1]REVENUE_ENGINE!I20</f>
        <v>0</v>
      </c>
      <c r="J13" s="69">
        <f>[1]REVENUE_ENGINE!J20</f>
        <v>0</v>
      </c>
      <c r="K13" s="69">
        <f>[1]REVENUE_ENGINE!K20</f>
        <v>0</v>
      </c>
      <c r="L13" s="69">
        <f>[1]REVENUE_ENGINE!L20</f>
        <v>0</v>
      </c>
      <c r="M13" s="69">
        <f>[1]REVENUE_ENGINE!M20</f>
        <v>0</v>
      </c>
      <c r="N13" s="69">
        <f>[1]REVENUE_ENGINE!N20</f>
        <v>0</v>
      </c>
      <c r="O13" s="63">
        <f>[1]REVENUE_ENGINE!O20</f>
        <v>8737050</v>
      </c>
      <c r="Q13" s="6" t="s">
        <v>208</v>
      </c>
    </row>
    <row r="14" spans="1:18" ht="18" customHeight="1" x14ac:dyDescent="0.2">
      <c r="A14" s="64" t="s">
        <v>55</v>
      </c>
      <c r="B14" s="65" t="s">
        <v>57</v>
      </c>
      <c r="C14" s="68">
        <f>[1]REVENUE_ENGINE!C21</f>
        <v>0</v>
      </c>
      <c r="D14" s="68">
        <f>[1]REVENUE_ENGINE!D21</f>
        <v>0</v>
      </c>
      <c r="E14" s="68">
        <f>[1]REVENUE_ENGINE!E21</f>
        <v>0</v>
      </c>
      <c r="F14" s="68">
        <f>[1]REVENUE_ENGINE!F21</f>
        <v>0</v>
      </c>
      <c r="G14" s="68">
        <f>[1]REVENUE_ENGINE!G21</f>
        <v>0</v>
      </c>
      <c r="H14" s="68">
        <f>[1]REVENUE_ENGINE!H21</f>
        <v>0</v>
      </c>
      <c r="I14" s="68">
        <f>[1]REVENUE_ENGINE!I21</f>
        <v>0</v>
      </c>
      <c r="J14" s="68">
        <f>[1]REVENUE_ENGINE!J21</f>
        <v>0</v>
      </c>
      <c r="K14" s="68">
        <f>[1]REVENUE_ENGINE!K21</f>
        <v>0</v>
      </c>
      <c r="L14" s="68">
        <f>[1]REVENUE_ENGINE!L21</f>
        <v>24400</v>
      </c>
      <c r="M14" s="68">
        <f>[1]REVENUE_ENGINE!M21</f>
        <v>24400</v>
      </c>
      <c r="N14" s="68">
        <f>[1]REVENUE_ENGINE!N21</f>
        <v>0</v>
      </c>
      <c r="O14" s="67">
        <f>[1]REVENUE_ENGINE!O21</f>
        <v>48800</v>
      </c>
      <c r="Q14" s="6" t="s">
        <v>209</v>
      </c>
    </row>
    <row r="15" spans="1:18" ht="18" customHeight="1" x14ac:dyDescent="0.2">
      <c r="A15" s="20" t="s">
        <v>58</v>
      </c>
      <c r="B15" s="18" t="s">
        <v>59</v>
      </c>
      <c r="C15" s="69">
        <f>[1]REVENUE_ENGINE!C25</f>
        <v>123000</v>
      </c>
      <c r="D15" s="69">
        <f>[1]REVENUE_ENGINE!D25</f>
        <v>123000</v>
      </c>
      <c r="E15" s="69">
        <f>[1]REVENUE_ENGINE!E25</f>
        <v>123000</v>
      </c>
      <c r="F15" s="69">
        <f>[1]REVENUE_ENGINE!F25</f>
        <v>123000</v>
      </c>
      <c r="G15" s="69">
        <f>[1]REVENUE_ENGINE!G25</f>
        <v>123000</v>
      </c>
      <c r="H15" s="69">
        <f>[1]REVENUE_ENGINE!H25</f>
        <v>123000</v>
      </c>
      <c r="I15" s="69">
        <f>[1]REVENUE_ENGINE!I25</f>
        <v>0</v>
      </c>
      <c r="J15" s="69">
        <f>[1]REVENUE_ENGINE!J25</f>
        <v>0</v>
      </c>
      <c r="K15" s="69">
        <f>[1]REVENUE_ENGINE!K25</f>
        <v>123000</v>
      </c>
      <c r="L15" s="69">
        <f>[1]REVENUE_ENGINE!L25</f>
        <v>123000</v>
      </c>
      <c r="M15" s="69">
        <f>[1]REVENUE_ENGINE!M25</f>
        <v>123000</v>
      </c>
      <c r="N15" s="69">
        <f>[1]REVENUE_ENGINE!N25</f>
        <v>123000</v>
      </c>
      <c r="O15" s="63">
        <f>[1]REVENUE_ENGINE!O25</f>
        <v>1230000</v>
      </c>
      <c r="Q15" s="6" t="s">
        <v>210</v>
      </c>
    </row>
    <row r="16" spans="1:18" ht="18" customHeight="1" x14ac:dyDescent="0.2">
      <c r="A16" s="64" t="s">
        <v>58</v>
      </c>
      <c r="B16" s="65" t="s">
        <v>60</v>
      </c>
      <c r="C16" s="68">
        <f>[1]REVENUE_ENGINE!C26</f>
        <v>3000</v>
      </c>
      <c r="D16" s="68">
        <f>[1]REVENUE_ENGINE!D26</f>
        <v>3000</v>
      </c>
      <c r="E16" s="68">
        <f>[1]REVENUE_ENGINE!E26</f>
        <v>3000</v>
      </c>
      <c r="F16" s="68">
        <f>[1]REVENUE_ENGINE!F26</f>
        <v>3000</v>
      </c>
      <c r="G16" s="68">
        <f>[1]REVENUE_ENGINE!G26</f>
        <v>3000</v>
      </c>
      <c r="H16" s="68">
        <f>[1]REVENUE_ENGINE!H26</f>
        <v>3000</v>
      </c>
      <c r="I16" s="68">
        <f>[1]REVENUE_ENGINE!I26</f>
        <v>0</v>
      </c>
      <c r="J16" s="68">
        <f>[1]REVENUE_ENGINE!J26</f>
        <v>0</v>
      </c>
      <c r="K16" s="68">
        <f>[1]REVENUE_ENGINE!K26</f>
        <v>3000</v>
      </c>
      <c r="L16" s="68">
        <f>[1]REVENUE_ENGINE!L26</f>
        <v>3000</v>
      </c>
      <c r="M16" s="68">
        <f>[1]REVENUE_ENGINE!M26</f>
        <v>3000</v>
      </c>
      <c r="N16" s="68">
        <f>[1]REVENUE_ENGINE!N26</f>
        <v>3000</v>
      </c>
      <c r="O16" s="67">
        <f>[1]REVENUE_ENGINE!O26</f>
        <v>30000</v>
      </c>
      <c r="Q16" s="6" t="s">
        <v>211</v>
      </c>
    </row>
    <row r="17" spans="1:18" ht="18" customHeight="1" x14ac:dyDescent="0.2">
      <c r="A17" s="20" t="s">
        <v>58</v>
      </c>
      <c r="B17" s="18" t="s">
        <v>61</v>
      </c>
      <c r="C17" s="69">
        <f>[1]REVENUE_ENGINE!C27</f>
        <v>0</v>
      </c>
      <c r="D17" s="69">
        <f>[1]REVENUE_ENGINE!D27</f>
        <v>0</v>
      </c>
      <c r="E17" s="69">
        <f>[1]REVENUE_ENGINE!E27</f>
        <v>0</v>
      </c>
      <c r="F17" s="69">
        <f>[1]REVENUE_ENGINE!F27</f>
        <v>0</v>
      </c>
      <c r="G17" s="69">
        <f>[1]REVENUE_ENGINE!G27</f>
        <v>0</v>
      </c>
      <c r="H17" s="69">
        <f>[1]REVENUE_ENGINE!H27</f>
        <v>0</v>
      </c>
      <c r="I17" s="69">
        <f>[1]REVENUE_ENGINE!I27</f>
        <v>0</v>
      </c>
      <c r="J17" s="69">
        <f>[1]REVENUE_ENGINE!J27</f>
        <v>0</v>
      </c>
      <c r="K17" s="69">
        <f>[1]REVENUE_ENGINE!K27</f>
        <v>0</v>
      </c>
      <c r="L17" s="69">
        <f>[1]REVENUE_ENGINE!L27</f>
        <v>0</v>
      </c>
      <c r="M17" s="69">
        <f>[1]REVENUE_ENGINE!M27</f>
        <v>26400</v>
      </c>
      <c r="N17" s="69">
        <f>[1]REVENUE_ENGINE!N27</f>
        <v>26400</v>
      </c>
      <c r="O17" s="63">
        <f>[1]REVENUE_ENGINE!O27</f>
        <v>52800</v>
      </c>
      <c r="Q17" s="6" t="s">
        <v>212</v>
      </c>
    </row>
    <row r="18" spans="1:18" ht="18" customHeight="1" x14ac:dyDescent="0.2">
      <c r="A18" s="64" t="s">
        <v>62</v>
      </c>
      <c r="B18" s="65" t="s">
        <v>63</v>
      </c>
      <c r="C18" s="68">
        <f>[1]REVENUE_ENGINE!C31</f>
        <v>0</v>
      </c>
      <c r="D18" s="68">
        <f>[1]REVENUE_ENGINE!D31</f>
        <v>0</v>
      </c>
      <c r="E18" s="68">
        <f>[1]REVENUE_ENGINE!E31</f>
        <v>0</v>
      </c>
      <c r="F18" s="68">
        <f>[1]REVENUE_ENGINE!F31</f>
        <v>111000</v>
      </c>
      <c r="G18" s="68">
        <f>[1]REVENUE_ENGINE!G31</f>
        <v>111000</v>
      </c>
      <c r="H18" s="68">
        <f>[1]REVENUE_ENGINE!H31</f>
        <v>0</v>
      </c>
      <c r="I18" s="68">
        <f>[1]REVENUE_ENGINE!I31</f>
        <v>0</v>
      </c>
      <c r="J18" s="68">
        <f>[1]REVENUE_ENGINE!J31</f>
        <v>0</v>
      </c>
      <c r="K18" s="68">
        <f>[1]REVENUE_ENGINE!K31</f>
        <v>0</v>
      </c>
      <c r="L18" s="68">
        <f>[1]REVENUE_ENGINE!L31</f>
        <v>0</v>
      </c>
      <c r="M18" s="68">
        <f>[1]REVENUE_ENGINE!M31</f>
        <v>0</v>
      </c>
      <c r="N18" s="68">
        <f>[1]REVENUE_ENGINE!N31</f>
        <v>0</v>
      </c>
      <c r="O18" s="67">
        <f>[1]REVENUE_ENGINE!O31</f>
        <v>222000</v>
      </c>
      <c r="Q18" s="6" t="s">
        <v>213</v>
      </c>
    </row>
    <row r="19" spans="1:18" ht="18" customHeight="1" x14ac:dyDescent="0.2">
      <c r="A19" s="20" t="s">
        <v>62</v>
      </c>
      <c r="B19" s="18" t="s">
        <v>64</v>
      </c>
      <c r="C19" s="69">
        <f>[1]REVENUE_ENGINE!C32</f>
        <v>0</v>
      </c>
      <c r="D19" s="69">
        <f>[1]REVENUE_ENGINE!D32</f>
        <v>0</v>
      </c>
      <c r="E19" s="69">
        <f>[1]REVENUE_ENGINE!E32</f>
        <v>0</v>
      </c>
      <c r="F19" s="69">
        <f>[1]REVENUE_ENGINE!F32</f>
        <v>30900</v>
      </c>
      <c r="G19" s="69">
        <f>[1]REVENUE_ENGINE!G32</f>
        <v>30900</v>
      </c>
      <c r="H19" s="69">
        <f>[1]REVENUE_ENGINE!H32</f>
        <v>0</v>
      </c>
      <c r="I19" s="69">
        <f>[1]REVENUE_ENGINE!I32</f>
        <v>0</v>
      </c>
      <c r="J19" s="69">
        <f>[1]REVENUE_ENGINE!J32</f>
        <v>0</v>
      </c>
      <c r="K19" s="69">
        <f>[1]REVENUE_ENGINE!K32</f>
        <v>0</v>
      </c>
      <c r="L19" s="69">
        <f>[1]REVENUE_ENGINE!L32</f>
        <v>0</v>
      </c>
      <c r="M19" s="69">
        <f>[1]REVENUE_ENGINE!M32</f>
        <v>0</v>
      </c>
      <c r="N19" s="69">
        <f>[1]REVENUE_ENGINE!N32</f>
        <v>0</v>
      </c>
      <c r="O19" s="63">
        <f>[1]REVENUE_ENGINE!O32</f>
        <v>61800</v>
      </c>
      <c r="Q19" s="6" t="s">
        <v>214</v>
      </c>
    </row>
    <row r="20" spans="1:18" ht="18" customHeight="1" x14ac:dyDescent="0.2">
      <c r="A20" s="64" t="s">
        <v>62</v>
      </c>
      <c r="B20" s="65" t="s">
        <v>65</v>
      </c>
      <c r="C20" s="68">
        <f>[1]REVENUE_ENGINE!C33</f>
        <v>0</v>
      </c>
      <c r="D20" s="68">
        <f>[1]REVENUE_ENGINE!D33</f>
        <v>0</v>
      </c>
      <c r="E20" s="68">
        <f>[1]REVENUE_ENGINE!E33</f>
        <v>0</v>
      </c>
      <c r="F20" s="68">
        <f>[1]REVENUE_ENGINE!F33</f>
        <v>48000</v>
      </c>
      <c r="G20" s="68">
        <f>[1]REVENUE_ENGINE!G33</f>
        <v>48000</v>
      </c>
      <c r="H20" s="68">
        <f>[1]REVENUE_ENGINE!H33</f>
        <v>0</v>
      </c>
      <c r="I20" s="68">
        <f>[1]REVENUE_ENGINE!I33</f>
        <v>0</v>
      </c>
      <c r="J20" s="68">
        <f>[1]REVENUE_ENGINE!J33</f>
        <v>0</v>
      </c>
      <c r="K20" s="68">
        <f>[1]REVENUE_ENGINE!K33</f>
        <v>0</v>
      </c>
      <c r="L20" s="68">
        <f>[1]REVENUE_ENGINE!L33</f>
        <v>0</v>
      </c>
      <c r="M20" s="68">
        <f>[1]REVENUE_ENGINE!M33</f>
        <v>0</v>
      </c>
      <c r="N20" s="68">
        <f>[1]REVENUE_ENGINE!N33</f>
        <v>0</v>
      </c>
      <c r="O20" s="67">
        <f>[1]REVENUE_ENGINE!O33</f>
        <v>96000</v>
      </c>
      <c r="Q20" s="6" t="s">
        <v>215</v>
      </c>
    </row>
    <row r="21" spans="1:18" ht="18" customHeight="1" x14ac:dyDescent="0.2">
      <c r="A21" s="20" t="s">
        <v>62</v>
      </c>
      <c r="B21" s="18" t="s">
        <v>216</v>
      </c>
      <c r="C21" s="69">
        <f>[1]REVENUE_ENGINE!C34</f>
        <v>0</v>
      </c>
      <c r="D21" s="69">
        <f>[1]REVENUE_ENGINE!D34</f>
        <v>0</v>
      </c>
      <c r="E21" s="69">
        <f>[1]REVENUE_ENGINE!E34</f>
        <v>0</v>
      </c>
      <c r="F21" s="69">
        <f>[1]REVENUE_ENGINE!F34</f>
        <v>0</v>
      </c>
      <c r="G21" s="69">
        <f>[1]REVENUE_ENGINE!G34</f>
        <v>0</v>
      </c>
      <c r="H21" s="69">
        <f>[1]REVENUE_ENGINE!H34</f>
        <v>0</v>
      </c>
      <c r="I21" s="69">
        <f>[1]REVENUE_ENGINE!I34</f>
        <v>0</v>
      </c>
      <c r="J21" s="69">
        <f>[1]REVENUE_ENGINE!J34</f>
        <v>0</v>
      </c>
      <c r="K21" s="69">
        <f>[1]REVENUE_ENGINE!K34</f>
        <v>0</v>
      </c>
      <c r="L21" s="69">
        <f>[1]REVENUE_ENGINE!L34</f>
        <v>7500</v>
      </c>
      <c r="M21" s="69">
        <f>[1]REVENUE_ENGINE!M34</f>
        <v>7500</v>
      </c>
      <c r="N21" s="69">
        <f>[1]REVENUE_ENGINE!N34</f>
        <v>0</v>
      </c>
      <c r="O21" s="63">
        <f>[1]REVENUE_ENGINE!O34</f>
        <v>15000</v>
      </c>
      <c r="Q21" s="6" t="s">
        <v>217</v>
      </c>
    </row>
    <row r="22" spans="1:18" ht="22" customHeight="1" thickBot="1" x14ac:dyDescent="0.25">
      <c r="A22" s="23"/>
      <c r="B22" s="23" t="s">
        <v>66</v>
      </c>
      <c r="C22" s="70">
        <f t="shared" ref="C22:O22" si="0">SUM(C6:C21)</f>
        <v>5728363.7543478264</v>
      </c>
      <c r="D22" s="70">
        <f t="shared" si="0"/>
        <v>5728363.7543478264</v>
      </c>
      <c r="E22" s="70">
        <f t="shared" si="0"/>
        <v>5728363.7543478264</v>
      </c>
      <c r="F22" s="70">
        <f t="shared" si="0"/>
        <v>5918263.7543478264</v>
      </c>
      <c r="G22" s="70">
        <f t="shared" si="0"/>
        <v>10621288.754347827</v>
      </c>
      <c r="H22" s="70">
        <f t="shared" si="0"/>
        <v>10431388.754347827</v>
      </c>
      <c r="I22" s="70">
        <f t="shared" si="0"/>
        <v>0</v>
      </c>
      <c r="J22" s="70">
        <f t="shared" si="0"/>
        <v>0</v>
      </c>
      <c r="K22" s="70">
        <f t="shared" si="0"/>
        <v>5882089.6239130441</v>
      </c>
      <c r="L22" s="70">
        <f t="shared" si="0"/>
        <v>5938389.6239130441</v>
      </c>
      <c r="M22" s="70">
        <f t="shared" si="0"/>
        <v>5964789.6239130441</v>
      </c>
      <c r="N22" s="70">
        <f t="shared" si="0"/>
        <v>5908489.6239130441</v>
      </c>
      <c r="O22" s="71">
        <f t="shared" si="0"/>
        <v>67849791.021739125</v>
      </c>
      <c r="Q22" s="7"/>
      <c r="R22" s="7"/>
    </row>
    <row r="23" spans="1:18" ht="24" customHeight="1" thickTop="1" thickBot="1" x14ac:dyDescent="0.25">
      <c r="A23" s="26"/>
      <c r="B23" s="26" t="s">
        <v>67</v>
      </c>
      <c r="C23" s="27">
        <f t="shared" ref="C23:O23" si="1">C22</f>
        <v>5728363.7543478264</v>
      </c>
      <c r="D23" s="27">
        <f t="shared" si="1"/>
        <v>5728363.7543478264</v>
      </c>
      <c r="E23" s="27">
        <f t="shared" si="1"/>
        <v>5728363.7543478264</v>
      </c>
      <c r="F23" s="27">
        <f t="shared" si="1"/>
        <v>5918263.7543478264</v>
      </c>
      <c r="G23" s="27">
        <f t="shared" si="1"/>
        <v>10621288.754347827</v>
      </c>
      <c r="H23" s="27">
        <f t="shared" si="1"/>
        <v>10431388.754347827</v>
      </c>
      <c r="I23" s="27">
        <f t="shared" si="1"/>
        <v>0</v>
      </c>
      <c r="J23" s="27">
        <f t="shared" si="1"/>
        <v>0</v>
      </c>
      <c r="K23" s="27">
        <f t="shared" si="1"/>
        <v>5882089.6239130441</v>
      </c>
      <c r="L23" s="27">
        <f t="shared" si="1"/>
        <v>5938389.6239130441</v>
      </c>
      <c r="M23" s="27">
        <f t="shared" si="1"/>
        <v>5964789.6239130441</v>
      </c>
      <c r="N23" s="27">
        <f t="shared" si="1"/>
        <v>5908489.6239130441</v>
      </c>
      <c r="O23" s="53">
        <f t="shared" si="1"/>
        <v>67849791.021739125</v>
      </c>
      <c r="Q23" s="8"/>
      <c r="R23" s="8"/>
    </row>
    <row r="24" spans="1:18" ht="22" customHeight="1" thickTop="1" x14ac:dyDescent="0.2">
      <c r="A24" s="16" t="s">
        <v>68</v>
      </c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51"/>
      <c r="Q24" s="2"/>
      <c r="R24" s="2"/>
    </row>
    <row r="25" spans="1:18" ht="18" customHeight="1" x14ac:dyDescent="0.2">
      <c r="A25" s="64" t="s">
        <v>69</v>
      </c>
      <c r="B25" s="65" t="s">
        <v>70</v>
      </c>
      <c r="C25" s="68">
        <f>'[2]Budget Summary'!B10</f>
        <v>1895394.4094443331</v>
      </c>
      <c r="D25" s="68">
        <f>'[2]Budget Summary'!C10</f>
        <v>1895394.4094443331</v>
      </c>
      <c r="E25" s="68">
        <f>'[2]Budget Summary'!D10</f>
        <v>1895394.4094443331</v>
      </c>
      <c r="F25" s="68">
        <f>'[2]Budget Summary'!E10</f>
        <v>1895394.4094443331</v>
      </c>
      <c r="G25" s="68">
        <f>'[2]Budget Summary'!F10</f>
        <v>1895394.4094443331</v>
      </c>
      <c r="H25" s="68">
        <f>'[2]Budget Summary'!G10</f>
        <v>1895394.4094443331</v>
      </c>
      <c r="I25" s="68">
        <f>'[2]Budget Summary'!H10</f>
        <v>1895394.4094443331</v>
      </c>
      <c r="J25" s="68">
        <f>'[2]Budget Summary'!I10</f>
        <v>1895394.4094443331</v>
      </c>
      <c r="K25" s="68">
        <f>'[2]Budget Summary'!J10</f>
        <v>1924743.7149998886</v>
      </c>
      <c r="L25" s="68">
        <f>'[2]Budget Summary'!K10</f>
        <v>1924743.7149998886</v>
      </c>
      <c r="M25" s="68">
        <f>'[2]Budget Summary'!L10</f>
        <v>1924743.7149998886</v>
      </c>
      <c r="N25" s="68">
        <f>'[2]Budget Summary'!M10</f>
        <v>1924743.7149998886</v>
      </c>
      <c r="O25" s="67">
        <f t="shared" ref="O25:O37" si="2">SUM(C25:N25)</f>
        <v>22862130.135554213</v>
      </c>
      <c r="Q25" s="3" t="s">
        <v>71</v>
      </c>
    </row>
    <row r="26" spans="1:18" ht="18" customHeight="1" x14ac:dyDescent="0.2">
      <c r="A26" s="20" t="s">
        <v>69</v>
      </c>
      <c r="B26" s="18" t="s">
        <v>72</v>
      </c>
      <c r="C26" s="69">
        <f>'[2]Budget Summary'!B30</f>
        <v>0</v>
      </c>
      <c r="D26" s="69">
        <f>'[2]Budget Summary'!C30</f>
        <v>0</v>
      </c>
      <c r="E26" s="69">
        <f>'[2]Budget Summary'!D30</f>
        <v>0</v>
      </c>
      <c r="F26" s="69">
        <f>'[2]Budget Summary'!E30</f>
        <v>0</v>
      </c>
      <c r="G26" s="69">
        <f>'[2]Budget Summary'!F30</f>
        <v>0</v>
      </c>
      <c r="H26" s="69">
        <f>'[2]Budget Summary'!G30</f>
        <v>0</v>
      </c>
      <c r="I26" s="69">
        <f>'[2]Budget Summary'!H30</f>
        <v>0</v>
      </c>
      <c r="J26" s="69">
        <f>'[2]Budget Summary'!I30</f>
        <v>0</v>
      </c>
      <c r="K26" s="69">
        <f>'[2]Budget Summary'!J30</f>
        <v>57400</v>
      </c>
      <c r="L26" s="69">
        <f>'[2]Budget Summary'!K30</f>
        <v>57400</v>
      </c>
      <c r="M26" s="69">
        <f>'[2]Budget Summary'!L30</f>
        <v>57400</v>
      </c>
      <c r="N26" s="69">
        <f>'[2]Budget Summary'!M30</f>
        <v>57400</v>
      </c>
      <c r="O26" s="63">
        <f t="shared" si="2"/>
        <v>229600</v>
      </c>
      <c r="Q26" s="3" t="s">
        <v>73</v>
      </c>
    </row>
    <row r="27" spans="1:18" ht="18" customHeight="1" x14ac:dyDescent="0.2">
      <c r="A27" s="64" t="s">
        <v>74</v>
      </c>
      <c r="B27" s="65" t="s">
        <v>75</v>
      </c>
      <c r="C27" s="68">
        <f>'[2]Budget Summary'!B13</f>
        <v>30000</v>
      </c>
      <c r="D27" s="68">
        <f>'[2]Budget Summary'!C13</f>
        <v>30000</v>
      </c>
      <c r="E27" s="68">
        <f>'[2]Budget Summary'!D13</f>
        <v>30000</v>
      </c>
      <c r="F27" s="68">
        <f>'[2]Budget Summary'!E13</f>
        <v>30000</v>
      </c>
      <c r="G27" s="68">
        <f>'[2]Budget Summary'!F13</f>
        <v>30000</v>
      </c>
      <c r="H27" s="68">
        <f>'[2]Budget Summary'!G13</f>
        <v>30000</v>
      </c>
      <c r="I27" s="68">
        <f>'[2]Budget Summary'!H13</f>
        <v>0</v>
      </c>
      <c r="J27" s="68">
        <f>'[2]Budget Summary'!I13</f>
        <v>0</v>
      </c>
      <c r="K27" s="68">
        <f>'[2]Budget Summary'!J13</f>
        <v>30000</v>
      </c>
      <c r="L27" s="68">
        <f>'[2]Budget Summary'!K13</f>
        <v>30000</v>
      </c>
      <c r="M27" s="68">
        <f>'[2]Budget Summary'!L13</f>
        <v>30000</v>
      </c>
      <c r="N27" s="68">
        <f>'[2]Budget Summary'!M13</f>
        <v>30000</v>
      </c>
      <c r="O27" s="67">
        <f t="shared" si="2"/>
        <v>300000</v>
      </c>
      <c r="Q27" s="3" t="s">
        <v>76</v>
      </c>
    </row>
    <row r="28" spans="1:18" ht="18" customHeight="1" x14ac:dyDescent="0.2">
      <c r="A28" s="20" t="s">
        <v>74</v>
      </c>
      <c r="B28" s="18" t="s">
        <v>77</v>
      </c>
      <c r="C28" s="69">
        <f>'[2]Budget Summary'!B14</f>
        <v>18953.94409444333</v>
      </c>
      <c r="D28" s="69">
        <f>'[2]Budget Summary'!C14</f>
        <v>18953.94409444333</v>
      </c>
      <c r="E28" s="69">
        <f>'[2]Budget Summary'!D14</f>
        <v>18953.94409444333</v>
      </c>
      <c r="F28" s="69">
        <f>'[2]Budget Summary'!E14</f>
        <v>18953.94409444333</v>
      </c>
      <c r="G28" s="69">
        <f>'[2]Budget Summary'!F14</f>
        <v>18953.94409444333</v>
      </c>
      <c r="H28" s="69">
        <f>'[2]Budget Summary'!G14</f>
        <v>18953.94409444333</v>
      </c>
      <c r="I28" s="69">
        <f>'[2]Budget Summary'!H14</f>
        <v>18953.94409444333</v>
      </c>
      <c r="J28" s="69">
        <f>'[2]Budget Summary'!I14</f>
        <v>18953.94409444333</v>
      </c>
      <c r="K28" s="69">
        <f>'[2]Budget Summary'!J14</f>
        <v>19247.437149998885</v>
      </c>
      <c r="L28" s="69">
        <f>'[2]Budget Summary'!K14</f>
        <v>19247.437149998885</v>
      </c>
      <c r="M28" s="69">
        <f>'[2]Budget Summary'!L14</f>
        <v>19247.437149998885</v>
      </c>
      <c r="N28" s="69">
        <f>'[2]Budget Summary'!M14</f>
        <v>19247.437149998885</v>
      </c>
      <c r="O28" s="63">
        <f t="shared" si="2"/>
        <v>228621.30135554215</v>
      </c>
      <c r="Q28" s="3" t="s">
        <v>78</v>
      </c>
    </row>
    <row r="29" spans="1:18" ht="18" customHeight="1" x14ac:dyDescent="0.2">
      <c r="A29" s="64" t="s">
        <v>74</v>
      </c>
      <c r="B29" s="65" t="s">
        <v>79</v>
      </c>
      <c r="C29" s="68">
        <f>'[2]Budget Summary'!B16</f>
        <v>6000</v>
      </c>
      <c r="D29" s="68">
        <f>'[2]Budget Summary'!C16</f>
        <v>6000</v>
      </c>
      <c r="E29" s="68">
        <f>'[2]Budget Summary'!D16</f>
        <v>6000</v>
      </c>
      <c r="F29" s="68">
        <f>'[2]Budget Summary'!E16</f>
        <v>6000</v>
      </c>
      <c r="G29" s="68">
        <f>'[2]Budget Summary'!F16</f>
        <v>6000</v>
      </c>
      <c r="H29" s="68">
        <f>'[2]Budget Summary'!G16</f>
        <v>6000</v>
      </c>
      <c r="I29" s="68">
        <f>'[2]Budget Summary'!H16</f>
        <v>0</v>
      </c>
      <c r="J29" s="68">
        <f>'[2]Budget Summary'!I16</f>
        <v>0</v>
      </c>
      <c r="K29" s="68">
        <f>'[2]Budget Summary'!J16</f>
        <v>6000</v>
      </c>
      <c r="L29" s="68">
        <f>'[2]Budget Summary'!K16</f>
        <v>6000</v>
      </c>
      <c r="M29" s="68">
        <f>'[2]Budget Summary'!L16</f>
        <v>6000</v>
      </c>
      <c r="N29" s="68">
        <f>'[2]Budget Summary'!M16</f>
        <v>6000</v>
      </c>
      <c r="O29" s="67">
        <f t="shared" si="2"/>
        <v>60000</v>
      </c>
      <c r="Q29" s="3" t="s">
        <v>80</v>
      </c>
    </row>
    <row r="30" spans="1:18" ht="18" customHeight="1" x14ac:dyDescent="0.2">
      <c r="A30" s="20" t="s">
        <v>74</v>
      </c>
      <c r="B30" s="18" t="s">
        <v>81</v>
      </c>
      <c r="C30" s="69">
        <f>'[2]Budget Summary'!B17</f>
        <v>60000</v>
      </c>
      <c r="D30" s="69">
        <f>'[2]Budget Summary'!C17</f>
        <v>60000</v>
      </c>
      <c r="E30" s="69">
        <f>'[2]Budget Summary'!D17</f>
        <v>60000</v>
      </c>
      <c r="F30" s="69">
        <f>'[2]Budget Summary'!E17</f>
        <v>60000</v>
      </c>
      <c r="G30" s="69">
        <f>'[2]Budget Summary'!F17</f>
        <v>60000</v>
      </c>
      <c r="H30" s="69">
        <f>'[2]Budget Summary'!G17</f>
        <v>60000</v>
      </c>
      <c r="I30" s="69">
        <f>'[2]Budget Summary'!H17</f>
        <v>0</v>
      </c>
      <c r="J30" s="69">
        <f>'[2]Budget Summary'!I17</f>
        <v>0</v>
      </c>
      <c r="K30" s="69">
        <f>'[2]Budget Summary'!J17</f>
        <v>60000</v>
      </c>
      <c r="L30" s="69">
        <f>'[2]Budget Summary'!K17</f>
        <v>60000</v>
      </c>
      <c r="M30" s="69">
        <f>'[2]Budget Summary'!L17</f>
        <v>60000</v>
      </c>
      <c r="N30" s="69">
        <f>'[2]Budget Summary'!M17</f>
        <v>60000</v>
      </c>
      <c r="O30" s="63">
        <f t="shared" si="2"/>
        <v>600000</v>
      </c>
      <c r="Q30" s="3" t="s">
        <v>82</v>
      </c>
    </row>
    <row r="31" spans="1:18" ht="18" customHeight="1" x14ac:dyDescent="0.2">
      <c r="A31" s="64" t="s">
        <v>74</v>
      </c>
      <c r="B31" s="65" t="s">
        <v>83</v>
      </c>
      <c r="C31" s="68">
        <f>'[2]Budget Summary'!B18</f>
        <v>4000</v>
      </c>
      <c r="D31" s="68">
        <f>'[2]Budget Summary'!C18</f>
        <v>4000</v>
      </c>
      <c r="E31" s="68">
        <f>'[2]Budget Summary'!D18</f>
        <v>4000</v>
      </c>
      <c r="F31" s="68">
        <f>'[2]Budget Summary'!E18</f>
        <v>4000</v>
      </c>
      <c r="G31" s="68">
        <f>'[2]Budget Summary'!F18</f>
        <v>4000</v>
      </c>
      <c r="H31" s="68">
        <f>'[2]Budget Summary'!G18</f>
        <v>4000</v>
      </c>
      <c r="I31" s="68">
        <f>'[2]Budget Summary'!H18</f>
        <v>0</v>
      </c>
      <c r="J31" s="68">
        <f>'[2]Budget Summary'!I18</f>
        <v>0</v>
      </c>
      <c r="K31" s="68">
        <f>'[2]Budget Summary'!J18</f>
        <v>4000</v>
      </c>
      <c r="L31" s="68">
        <f>'[2]Budget Summary'!K18</f>
        <v>4000</v>
      </c>
      <c r="M31" s="68">
        <f>'[2]Budget Summary'!L18</f>
        <v>4000</v>
      </c>
      <c r="N31" s="68">
        <f>'[2]Budget Summary'!M18</f>
        <v>4000</v>
      </c>
      <c r="O31" s="67">
        <f t="shared" si="2"/>
        <v>40000</v>
      </c>
      <c r="Q31" s="3" t="s">
        <v>84</v>
      </c>
    </row>
    <row r="32" spans="1:18" ht="18" customHeight="1" x14ac:dyDescent="0.2">
      <c r="A32" s="20" t="s">
        <v>74</v>
      </c>
      <c r="B32" s="18" t="s">
        <v>85</v>
      </c>
      <c r="C32" s="69">
        <f>'[2]Budget Summary'!B20</f>
        <v>800000</v>
      </c>
      <c r="D32" s="69">
        <f>'[2]Budget Summary'!C20</f>
        <v>800000</v>
      </c>
      <c r="E32" s="69">
        <f>'[2]Budget Summary'!D20</f>
        <v>800000</v>
      </c>
      <c r="F32" s="69">
        <f>'[2]Budget Summary'!E20</f>
        <v>800000</v>
      </c>
      <c r="G32" s="69">
        <f>'[2]Budget Summary'!F20</f>
        <v>800000</v>
      </c>
      <c r="H32" s="69">
        <f>'[2]Budget Summary'!G20</f>
        <v>800000</v>
      </c>
      <c r="I32" s="69">
        <f>'[2]Budget Summary'!H20</f>
        <v>0</v>
      </c>
      <c r="J32" s="69">
        <f>'[2]Budget Summary'!I20</f>
        <v>0</v>
      </c>
      <c r="K32" s="69">
        <f>'[2]Budget Summary'!J20</f>
        <v>800000</v>
      </c>
      <c r="L32" s="69">
        <f>'[2]Budget Summary'!K20</f>
        <v>800000</v>
      </c>
      <c r="M32" s="69">
        <f>'[2]Budget Summary'!L20</f>
        <v>800000</v>
      </c>
      <c r="N32" s="69">
        <f>'[2]Budget Summary'!M20</f>
        <v>800000</v>
      </c>
      <c r="O32" s="63">
        <f t="shared" si="2"/>
        <v>8000000</v>
      </c>
      <c r="Q32" s="3" t="s">
        <v>86</v>
      </c>
    </row>
    <row r="33" spans="1:18" ht="18" customHeight="1" x14ac:dyDescent="0.2">
      <c r="A33" s="64" t="s">
        <v>74</v>
      </c>
      <c r="B33" s="65" t="s">
        <v>87</v>
      </c>
      <c r="C33" s="68">
        <f>'[2]Budget Summary'!B22</f>
        <v>40000</v>
      </c>
      <c r="D33" s="68">
        <f>'[2]Budget Summary'!C22</f>
        <v>40000</v>
      </c>
      <c r="E33" s="68">
        <f>'[2]Budget Summary'!D22</f>
        <v>40000</v>
      </c>
      <c r="F33" s="68">
        <f>'[2]Budget Summary'!E22</f>
        <v>40000</v>
      </c>
      <c r="G33" s="68">
        <f>'[2]Budget Summary'!F22</f>
        <v>40000</v>
      </c>
      <c r="H33" s="68">
        <f>'[2]Budget Summary'!G22</f>
        <v>40000</v>
      </c>
      <c r="I33" s="68">
        <f>'[2]Budget Summary'!H22</f>
        <v>0</v>
      </c>
      <c r="J33" s="68">
        <f>'[2]Budget Summary'!I22</f>
        <v>0</v>
      </c>
      <c r="K33" s="68">
        <f>'[2]Budget Summary'!J22</f>
        <v>40000</v>
      </c>
      <c r="L33" s="68">
        <f>'[2]Budget Summary'!K22</f>
        <v>40000</v>
      </c>
      <c r="M33" s="68">
        <f>'[2]Budget Summary'!L22</f>
        <v>40000</v>
      </c>
      <c r="N33" s="68">
        <f>'[2]Budget Summary'!M22</f>
        <v>40000</v>
      </c>
      <c r="O33" s="67">
        <f t="shared" si="2"/>
        <v>400000</v>
      </c>
      <c r="Q33" s="3" t="s">
        <v>88</v>
      </c>
    </row>
    <row r="34" spans="1:18" ht="18" customHeight="1" x14ac:dyDescent="0.2">
      <c r="A34" s="20" t="s">
        <v>89</v>
      </c>
      <c r="B34" s="18" t="s">
        <v>90</v>
      </c>
      <c r="C34" s="69">
        <f>'[2]Budget Summary'!B25</f>
        <v>1733.125</v>
      </c>
      <c r="D34" s="69">
        <f>'[2]Budget Summary'!C25</f>
        <v>1733.125</v>
      </c>
      <c r="E34" s="69">
        <f>'[2]Budget Summary'!D25</f>
        <v>1733.125</v>
      </c>
      <c r="F34" s="69">
        <f>'[2]Budget Summary'!E25</f>
        <v>1733.125</v>
      </c>
      <c r="G34" s="69">
        <f>'[2]Budget Summary'!F25</f>
        <v>1733.125</v>
      </c>
      <c r="H34" s="69">
        <f>'[2]Budget Summary'!G25</f>
        <v>1733.125</v>
      </c>
      <c r="I34" s="69">
        <f>'[2]Budget Summary'!H25</f>
        <v>1733.125</v>
      </c>
      <c r="J34" s="69">
        <f>'[2]Budget Summary'!I25</f>
        <v>1733.125</v>
      </c>
      <c r="K34" s="69">
        <f>'[2]Budget Summary'!J25</f>
        <v>1762.5</v>
      </c>
      <c r="L34" s="69">
        <f>'[2]Budget Summary'!K25</f>
        <v>1762.5</v>
      </c>
      <c r="M34" s="69">
        <f>'[2]Budget Summary'!L25</f>
        <v>1762.5</v>
      </c>
      <c r="N34" s="69">
        <f>'[2]Budget Summary'!M25</f>
        <v>1762.5</v>
      </c>
      <c r="O34" s="63">
        <f t="shared" si="2"/>
        <v>20915</v>
      </c>
      <c r="Q34" s="3" t="s">
        <v>91</v>
      </c>
    </row>
    <row r="35" spans="1:18" ht="18" customHeight="1" x14ac:dyDescent="0.2">
      <c r="A35" s="64" t="s">
        <v>89</v>
      </c>
      <c r="B35" s="65" t="s">
        <v>92</v>
      </c>
      <c r="C35" s="68">
        <f>'[2]Budget Summary'!B26</f>
        <v>109531.25964102894</v>
      </c>
      <c r="D35" s="68">
        <f>'[2]Budget Summary'!C26</f>
        <v>109531.25964103453</v>
      </c>
      <c r="E35" s="68">
        <f>'[2]Budget Summary'!D26</f>
        <v>98931.460320930928</v>
      </c>
      <c r="F35" s="68">
        <f>'[2]Budget Summary'!E26</f>
        <v>109531.25964102708</v>
      </c>
      <c r="G35" s="68">
        <f>'[2]Budget Summary'!F26</f>
        <v>105997.9932010062</v>
      </c>
      <c r="H35" s="68">
        <f>'[2]Budget Summary'!G26</f>
        <v>109531.25964102708</v>
      </c>
      <c r="I35" s="68">
        <f>'[2]Budget Summary'!H26</f>
        <v>105997.99320099875</v>
      </c>
      <c r="J35" s="68">
        <f>'[2]Budget Summary'!I26</f>
        <v>109531.25964103825</v>
      </c>
      <c r="K35" s="68">
        <f>'[2]Budget Summary'!J26</f>
        <v>268683.51632405072</v>
      </c>
      <c r="L35" s="68">
        <f>'[2]Budget Summary'!K26</f>
        <v>117920.45498515852</v>
      </c>
      <c r="M35" s="68">
        <f>'[2]Budget Summary'!L26</f>
        <v>121851.13681800663</v>
      </c>
      <c r="N35" s="68">
        <f>'[2]Budget Summary'!M26</f>
        <v>117920.45498516411</v>
      </c>
      <c r="O35" s="67">
        <f t="shared" si="2"/>
        <v>1484959.3080404717</v>
      </c>
      <c r="Q35" s="3" t="s">
        <v>93</v>
      </c>
    </row>
    <row r="36" spans="1:18" ht="18" customHeight="1" x14ac:dyDescent="0.2">
      <c r="A36" s="20" t="s">
        <v>89</v>
      </c>
      <c r="B36" s="18" t="s">
        <v>94</v>
      </c>
      <c r="C36" s="69">
        <f>'[2]Budget Summary'!B27</f>
        <v>136562.5000000002</v>
      </c>
      <c r="D36" s="69">
        <f>'[2]Budget Summary'!C27</f>
        <v>136562.5000000002</v>
      </c>
      <c r="E36" s="69">
        <f>'[2]Budget Summary'!D27</f>
        <v>136562.5000000002</v>
      </c>
      <c r="F36" s="69">
        <f>'[2]Budget Summary'!E27</f>
        <v>136562.5000000002</v>
      </c>
      <c r="G36" s="69">
        <f>'[2]Budget Summary'!F27</f>
        <v>136562.5000000002</v>
      </c>
      <c r="H36" s="69">
        <f>'[2]Budget Summary'!G27</f>
        <v>136562.5000000002</v>
      </c>
      <c r="I36" s="69">
        <f>'[2]Budget Summary'!H27</f>
        <v>136562.5000000002</v>
      </c>
      <c r="J36" s="69">
        <f>'[2]Budget Summary'!I27</f>
        <v>136562.5000000002</v>
      </c>
      <c r="K36" s="69">
        <f>'[2]Budget Summary'!J27</f>
        <v>136562.5000000002</v>
      </c>
      <c r="L36" s="69">
        <f>'[2]Budget Summary'!K27</f>
        <v>136562.5000000002</v>
      </c>
      <c r="M36" s="69">
        <f>'[2]Budget Summary'!L27</f>
        <v>136562.5000000002</v>
      </c>
      <c r="N36" s="69">
        <f>'[2]Budget Summary'!M27</f>
        <v>136562.5000000002</v>
      </c>
      <c r="O36" s="63">
        <f t="shared" si="2"/>
        <v>1638750.0000000026</v>
      </c>
      <c r="Q36" s="3" t="s">
        <v>95</v>
      </c>
    </row>
    <row r="37" spans="1:18" ht="18" customHeight="1" x14ac:dyDescent="0.2">
      <c r="A37" s="64" t="s">
        <v>89</v>
      </c>
      <c r="B37" s="65" t="s">
        <v>96</v>
      </c>
      <c r="C37" s="68">
        <f>'[2]Budget Summary'!B32</f>
        <v>0</v>
      </c>
      <c r="D37" s="68">
        <f>'[2]Budget Summary'!C32</f>
        <v>0</v>
      </c>
      <c r="E37" s="68">
        <f>'[2]Budget Summary'!D32</f>
        <v>0</v>
      </c>
      <c r="F37" s="68">
        <f>'[2]Budget Summary'!E32</f>
        <v>0</v>
      </c>
      <c r="G37" s="68">
        <f>'[2]Budget Summary'!F32</f>
        <v>0</v>
      </c>
      <c r="H37" s="68">
        <f>'[2]Budget Summary'!G32</f>
        <v>0</v>
      </c>
      <c r="I37" s="68">
        <f>'[2]Budget Summary'!H32</f>
        <v>0</v>
      </c>
      <c r="J37" s="68">
        <f>'[2]Budget Summary'!I32</f>
        <v>0</v>
      </c>
      <c r="K37" s="68">
        <f>'[2]Budget Summary'!J32</f>
        <v>5462.5</v>
      </c>
      <c r="L37" s="68">
        <f>'[2]Budget Summary'!K32</f>
        <v>5462.5</v>
      </c>
      <c r="M37" s="68">
        <f>'[2]Budget Summary'!L32</f>
        <v>5462.5</v>
      </c>
      <c r="N37" s="68">
        <f>'[2]Budget Summary'!M32</f>
        <v>5462.5</v>
      </c>
      <c r="O37" s="67">
        <f t="shared" si="2"/>
        <v>21850</v>
      </c>
      <c r="Q37" s="3" t="s">
        <v>97</v>
      </c>
    </row>
    <row r="38" spans="1:18" ht="22" customHeight="1" x14ac:dyDescent="0.2">
      <c r="A38" s="24"/>
      <c r="B38" s="24" t="s">
        <v>98</v>
      </c>
      <c r="C38" s="72">
        <f t="shared" ref="C38:O38" si="3">SUM(C25:C37)</f>
        <v>3102175.2381798052</v>
      </c>
      <c r="D38" s="72">
        <f t="shared" si="3"/>
        <v>3102175.2381798108</v>
      </c>
      <c r="E38" s="72">
        <f t="shared" si="3"/>
        <v>3091575.4388597072</v>
      </c>
      <c r="F38" s="72">
        <f t="shared" si="3"/>
        <v>3102175.2381798034</v>
      </c>
      <c r="G38" s="72">
        <f t="shared" si="3"/>
        <v>3098641.9717397825</v>
      </c>
      <c r="H38" s="72">
        <f t="shared" si="3"/>
        <v>3102175.2381798034</v>
      </c>
      <c r="I38" s="72">
        <f t="shared" si="3"/>
        <v>2158641.971739775</v>
      </c>
      <c r="J38" s="72">
        <f t="shared" si="3"/>
        <v>2162175.2381798145</v>
      </c>
      <c r="K38" s="72">
        <f t="shared" si="3"/>
        <v>3353862.1684739385</v>
      </c>
      <c r="L38" s="72">
        <f t="shared" si="3"/>
        <v>3203099.1071350463</v>
      </c>
      <c r="M38" s="72">
        <f t="shared" si="3"/>
        <v>3207029.7889678944</v>
      </c>
      <c r="N38" s="72">
        <f t="shared" si="3"/>
        <v>3203099.1071350519</v>
      </c>
      <c r="O38" s="73">
        <f t="shared" si="3"/>
        <v>35886825.744950227</v>
      </c>
    </row>
    <row r="39" spans="1:18" ht="22" customHeight="1" x14ac:dyDescent="0.2">
      <c r="A39" s="16" t="s">
        <v>99</v>
      </c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51"/>
      <c r="Q39" s="2"/>
      <c r="R39" s="2"/>
    </row>
    <row r="40" spans="1:18" ht="18" customHeight="1" x14ac:dyDescent="0.2">
      <c r="A40" s="64" t="s">
        <v>100</v>
      </c>
      <c r="B40" s="65" t="s">
        <v>101</v>
      </c>
      <c r="C40" s="68">
        <f>[3]Operating_Expenses!C9</f>
        <v>748459.83</v>
      </c>
      <c r="D40" s="68">
        <f>[3]Operating_Expenses!D9</f>
        <v>748459.83</v>
      </c>
      <c r="E40" s="68">
        <f>[3]Operating_Expenses!E9</f>
        <v>748459.83</v>
      </c>
      <c r="F40" s="68">
        <f>[3]Operating_Expenses!F9</f>
        <v>748459.83</v>
      </c>
      <c r="G40" s="68">
        <f>[3]Operating_Expenses!G9</f>
        <v>748459.83</v>
      </c>
      <c r="H40" s="68">
        <f>[3]Operating_Expenses!H9</f>
        <v>748459.83</v>
      </c>
      <c r="I40" s="68">
        <f>[3]Operating_Expenses!I9</f>
        <v>748459.83</v>
      </c>
      <c r="J40" s="68">
        <f>[3]Operating_Expenses!J9</f>
        <v>748459.83</v>
      </c>
      <c r="K40" s="68">
        <f>[3]Operating_Expenses!K9</f>
        <v>748459.83</v>
      </c>
      <c r="L40" s="68">
        <f>[3]Operating_Expenses!L9</f>
        <v>748459.83</v>
      </c>
      <c r="M40" s="68">
        <f>[3]Operating_Expenses!M9</f>
        <v>748459.83</v>
      </c>
      <c r="N40" s="68">
        <f>[3]Operating_Expenses!N9</f>
        <v>748459.83</v>
      </c>
      <c r="O40" s="67">
        <f t="shared" ref="O40:O51" si="4">SUM(C40:N40)</f>
        <v>8981517.959999999</v>
      </c>
      <c r="Q40" s="3" t="s">
        <v>102</v>
      </c>
      <c r="R40" s="9" t="s">
        <v>246</v>
      </c>
    </row>
    <row r="41" spans="1:18" ht="18" customHeight="1" x14ac:dyDescent="0.2">
      <c r="A41" s="20" t="s">
        <v>103</v>
      </c>
      <c r="B41" s="18" t="s">
        <v>104</v>
      </c>
      <c r="C41" s="69">
        <f>[3]Operating_Expenses!C15</f>
        <v>409721</v>
      </c>
      <c r="D41" s="69">
        <f>[3]Operating_Expenses!D15</f>
        <v>409721</v>
      </c>
      <c r="E41" s="69">
        <f>[3]Operating_Expenses!E15</f>
        <v>409721</v>
      </c>
      <c r="F41" s="69">
        <f>[3]Operating_Expenses!F15</f>
        <v>409721</v>
      </c>
      <c r="G41" s="69">
        <f>[3]Operating_Expenses!G15</f>
        <v>409721</v>
      </c>
      <c r="H41" s="69">
        <f>[3]Operating_Expenses!H15</f>
        <v>409721</v>
      </c>
      <c r="I41" s="69">
        <f>[3]Operating_Expenses!I15</f>
        <v>374721</v>
      </c>
      <c r="J41" s="69">
        <f>[3]Operating_Expenses!J15</f>
        <v>374721</v>
      </c>
      <c r="K41" s="69">
        <f>[3]Operating_Expenses!K15</f>
        <v>409721</v>
      </c>
      <c r="L41" s="69">
        <f>[3]Operating_Expenses!L15</f>
        <v>409721</v>
      </c>
      <c r="M41" s="69">
        <f>[3]Operating_Expenses!M15</f>
        <v>409721</v>
      </c>
      <c r="N41" s="69">
        <f>[3]Operating_Expenses!N15</f>
        <v>409721</v>
      </c>
      <c r="O41" s="63">
        <f t="shared" si="4"/>
        <v>4846652</v>
      </c>
      <c r="Q41" s="3" t="s">
        <v>105</v>
      </c>
      <c r="R41" s="9" t="s">
        <v>247</v>
      </c>
    </row>
    <row r="42" spans="1:18" ht="18" customHeight="1" x14ac:dyDescent="0.2">
      <c r="A42" s="64" t="s">
        <v>106</v>
      </c>
      <c r="B42" s="65" t="s">
        <v>107</v>
      </c>
      <c r="C42" s="68">
        <f>[3]Operating_Expenses!C20</f>
        <v>53192.67</v>
      </c>
      <c r="D42" s="68">
        <f>[3]Operating_Expenses!D20</f>
        <v>53192.67</v>
      </c>
      <c r="E42" s="68">
        <f>[3]Operating_Expenses!E20</f>
        <v>53192.67</v>
      </c>
      <c r="F42" s="68">
        <f>[3]Operating_Expenses!F20</f>
        <v>53192.67</v>
      </c>
      <c r="G42" s="68">
        <f>[3]Operating_Expenses!G20</f>
        <v>53192.67</v>
      </c>
      <c r="H42" s="68">
        <f>[3]Operating_Expenses!H20</f>
        <v>53192.67</v>
      </c>
      <c r="I42" s="68">
        <f>[3]Operating_Expenses!I20</f>
        <v>6192.67</v>
      </c>
      <c r="J42" s="68">
        <f>[3]Operating_Expenses!J20</f>
        <v>6192.67</v>
      </c>
      <c r="K42" s="68">
        <f>[3]Operating_Expenses!K20</f>
        <v>53192.67</v>
      </c>
      <c r="L42" s="68">
        <f>[3]Operating_Expenses!L20</f>
        <v>53192.67</v>
      </c>
      <c r="M42" s="68">
        <f>[3]Operating_Expenses!M20</f>
        <v>53192.67</v>
      </c>
      <c r="N42" s="68">
        <f>[3]Operating_Expenses!N20</f>
        <v>53192.67</v>
      </c>
      <c r="O42" s="67">
        <f t="shared" si="4"/>
        <v>544312.03999999992</v>
      </c>
      <c r="Q42" s="3" t="s">
        <v>108</v>
      </c>
      <c r="R42" s="9" t="s">
        <v>248</v>
      </c>
    </row>
    <row r="43" spans="1:18" ht="18" customHeight="1" x14ac:dyDescent="0.2">
      <c r="A43" s="20" t="s">
        <v>109</v>
      </c>
      <c r="B43" s="18" t="s">
        <v>110</v>
      </c>
      <c r="C43" s="69">
        <f>[3]Operating_Expenses!C25</f>
        <v>23794.42</v>
      </c>
      <c r="D43" s="69">
        <f>[3]Operating_Expenses!D25</f>
        <v>23794.42</v>
      </c>
      <c r="E43" s="69">
        <f>[3]Operating_Expenses!E25</f>
        <v>23794.42</v>
      </c>
      <c r="F43" s="69">
        <f>[3]Operating_Expenses!F25</f>
        <v>23794.42</v>
      </c>
      <c r="G43" s="69">
        <f>[3]Operating_Expenses!G25</f>
        <v>23794.42</v>
      </c>
      <c r="H43" s="69">
        <f>[3]Operating_Expenses!H25</f>
        <v>23794.42</v>
      </c>
      <c r="I43" s="69">
        <f>[3]Operating_Expenses!I25</f>
        <v>23794.42</v>
      </c>
      <c r="J43" s="69">
        <f>[3]Operating_Expenses!J25</f>
        <v>23794.42</v>
      </c>
      <c r="K43" s="69">
        <f>[3]Operating_Expenses!K25</f>
        <v>23794.42</v>
      </c>
      <c r="L43" s="69">
        <f>[3]Operating_Expenses!L25</f>
        <v>23794.42</v>
      </c>
      <c r="M43" s="69">
        <f>[3]Operating_Expenses!M25</f>
        <v>23794.42</v>
      </c>
      <c r="N43" s="69">
        <f>[3]Operating_Expenses!N25</f>
        <v>23794.42</v>
      </c>
      <c r="O43" s="63">
        <f t="shared" si="4"/>
        <v>285533.03999999992</v>
      </c>
      <c r="Q43" s="3" t="s">
        <v>111</v>
      </c>
      <c r="R43" s="9" t="s">
        <v>249</v>
      </c>
    </row>
    <row r="44" spans="1:18" ht="18" customHeight="1" x14ac:dyDescent="0.2">
      <c r="A44" s="64" t="s">
        <v>112</v>
      </c>
      <c r="B44" s="65" t="s">
        <v>113</v>
      </c>
      <c r="C44" s="68">
        <f>[3]Operating_Expenses!C30</f>
        <v>5500</v>
      </c>
      <c r="D44" s="68">
        <f>[3]Operating_Expenses!D30</f>
        <v>5500</v>
      </c>
      <c r="E44" s="68">
        <f>[3]Operating_Expenses!E30</f>
        <v>5500</v>
      </c>
      <c r="F44" s="68">
        <f>[3]Operating_Expenses!F30</f>
        <v>5500</v>
      </c>
      <c r="G44" s="68">
        <f>[3]Operating_Expenses!G30</f>
        <v>5500</v>
      </c>
      <c r="H44" s="68">
        <f>[3]Operating_Expenses!H30</f>
        <v>5500</v>
      </c>
      <c r="I44" s="68">
        <f>[3]Operating_Expenses!I30</f>
        <v>5500</v>
      </c>
      <c r="J44" s="68">
        <f>[3]Operating_Expenses!J30</f>
        <v>5500</v>
      </c>
      <c r="K44" s="68">
        <f>[3]Operating_Expenses!K30</f>
        <v>5500</v>
      </c>
      <c r="L44" s="68">
        <f>[3]Operating_Expenses!L30</f>
        <v>5500</v>
      </c>
      <c r="M44" s="68">
        <f>[3]Operating_Expenses!M30</f>
        <v>5500</v>
      </c>
      <c r="N44" s="68">
        <f>[3]Operating_Expenses!N30</f>
        <v>5500</v>
      </c>
      <c r="O44" s="67">
        <f t="shared" si="4"/>
        <v>66000</v>
      </c>
      <c r="Q44" s="3" t="s">
        <v>114</v>
      </c>
      <c r="R44" s="9" t="s">
        <v>250</v>
      </c>
    </row>
    <row r="45" spans="1:18" ht="18" customHeight="1" x14ac:dyDescent="0.2">
      <c r="A45" s="20" t="s">
        <v>115</v>
      </c>
      <c r="B45" s="18" t="s">
        <v>116</v>
      </c>
      <c r="C45" s="69">
        <f>[3]Operating_Expenses!C35</f>
        <v>65000</v>
      </c>
      <c r="D45" s="69">
        <f>[3]Operating_Expenses!D35</f>
        <v>65000</v>
      </c>
      <c r="E45" s="69">
        <f>[3]Operating_Expenses!E35</f>
        <v>65000</v>
      </c>
      <c r="F45" s="69">
        <f>[3]Operating_Expenses!F35</f>
        <v>65000</v>
      </c>
      <c r="G45" s="69">
        <f>[3]Operating_Expenses!G35</f>
        <v>65000</v>
      </c>
      <c r="H45" s="69">
        <f>[3]Operating_Expenses!H35</f>
        <v>65000</v>
      </c>
      <c r="I45" s="69">
        <f>[3]Operating_Expenses!I35</f>
        <v>25000</v>
      </c>
      <c r="J45" s="69">
        <f>[3]Operating_Expenses!J35</f>
        <v>25000</v>
      </c>
      <c r="K45" s="69">
        <f>[3]Operating_Expenses!K35</f>
        <v>65000</v>
      </c>
      <c r="L45" s="69">
        <f>[3]Operating_Expenses!L35</f>
        <v>65000</v>
      </c>
      <c r="M45" s="69">
        <f>[3]Operating_Expenses!M35</f>
        <v>65000</v>
      </c>
      <c r="N45" s="69">
        <f>[3]Operating_Expenses!N35</f>
        <v>65000</v>
      </c>
      <c r="O45" s="63">
        <f t="shared" si="4"/>
        <v>700000</v>
      </c>
      <c r="Q45" s="3" t="s">
        <v>117</v>
      </c>
      <c r="R45" s="9" t="s">
        <v>251</v>
      </c>
    </row>
    <row r="46" spans="1:18" ht="18" customHeight="1" x14ac:dyDescent="0.2">
      <c r="A46" s="64" t="s">
        <v>118</v>
      </c>
      <c r="B46" s="65" t="s">
        <v>119</v>
      </c>
      <c r="C46" s="68">
        <f>[3]Operating_Expenses!C45</f>
        <v>418799.12829199998</v>
      </c>
      <c r="D46" s="68">
        <f>[3]Operating_Expenses!D45</f>
        <v>418799.12829199998</v>
      </c>
      <c r="E46" s="68">
        <f>[3]Operating_Expenses!E45</f>
        <v>418799.12829199998</v>
      </c>
      <c r="F46" s="68">
        <f>[3]Operating_Expenses!F45</f>
        <v>418799.12829199998</v>
      </c>
      <c r="G46" s="68">
        <f>[3]Operating_Expenses!G45</f>
        <v>418799.12829199998</v>
      </c>
      <c r="H46" s="68">
        <f>[3]Operating_Expenses!H45</f>
        <v>848583.54069200007</v>
      </c>
      <c r="I46" s="68">
        <f>[3]Operating_Expenses!I45</f>
        <v>0</v>
      </c>
      <c r="J46" s="68">
        <f>[3]Operating_Expenses!J45</f>
        <v>0</v>
      </c>
      <c r="K46" s="68">
        <f>[3]Operating_Expenses!K45</f>
        <v>471942.028292</v>
      </c>
      <c r="L46" s="68">
        <f>[3]Operating_Expenses!L45</f>
        <v>419151.62829199998</v>
      </c>
      <c r="M46" s="68">
        <f>[3]Operating_Expenses!M45</f>
        <v>418799.12829199998</v>
      </c>
      <c r="N46" s="68">
        <f>[3]Operating_Expenses!N45</f>
        <v>418799.12829199998</v>
      </c>
      <c r="O46" s="67">
        <f t="shared" si="4"/>
        <v>4671271.0953199994</v>
      </c>
      <c r="Q46" s="6" t="s">
        <v>220</v>
      </c>
      <c r="R46" s="9" t="s">
        <v>252</v>
      </c>
    </row>
    <row r="47" spans="1:18" ht="18" customHeight="1" x14ac:dyDescent="0.2">
      <c r="A47" s="20" t="s">
        <v>120</v>
      </c>
      <c r="B47" s="18" t="s">
        <v>121</v>
      </c>
      <c r="C47" s="69">
        <f>[3]Operating_Expenses!C51</f>
        <v>88904.67</v>
      </c>
      <c r="D47" s="69">
        <f>[3]Operating_Expenses!D51</f>
        <v>88904.67</v>
      </c>
      <c r="E47" s="69">
        <f>[3]Operating_Expenses!E51</f>
        <v>88904.67</v>
      </c>
      <c r="F47" s="69">
        <f>[3]Operating_Expenses!F51</f>
        <v>88904.67</v>
      </c>
      <c r="G47" s="69">
        <f>[3]Operating_Expenses!G51</f>
        <v>88904.67</v>
      </c>
      <c r="H47" s="69">
        <f>[3]Operating_Expenses!H51</f>
        <v>88904.67</v>
      </c>
      <c r="I47" s="69">
        <f>[3]Operating_Expenses!I51</f>
        <v>88904.67</v>
      </c>
      <c r="J47" s="69">
        <f>[3]Operating_Expenses!J51</f>
        <v>88904.67</v>
      </c>
      <c r="K47" s="69">
        <f>[3]Operating_Expenses!K51</f>
        <v>88904.67</v>
      </c>
      <c r="L47" s="69">
        <f>[3]Operating_Expenses!L51</f>
        <v>88904.67</v>
      </c>
      <c r="M47" s="69">
        <f>[3]Operating_Expenses!M51</f>
        <v>88904.67</v>
      </c>
      <c r="N47" s="69">
        <f>[3]Operating_Expenses!N51</f>
        <v>88904.67</v>
      </c>
      <c r="O47" s="63">
        <f t="shared" si="4"/>
        <v>1066856.0400000003</v>
      </c>
      <c r="Q47" s="6" t="s">
        <v>221</v>
      </c>
      <c r="R47" s="9" t="s">
        <v>253</v>
      </c>
    </row>
    <row r="48" spans="1:18" ht="18" customHeight="1" x14ac:dyDescent="0.2">
      <c r="A48" s="64" t="s">
        <v>122</v>
      </c>
      <c r="B48" s="65" t="s">
        <v>123</v>
      </c>
      <c r="C48" s="68">
        <f>[3]Operating_Expenses!C56</f>
        <v>59956.75</v>
      </c>
      <c r="D48" s="68">
        <f>[3]Operating_Expenses!D56</f>
        <v>59956.75</v>
      </c>
      <c r="E48" s="68">
        <f>[3]Operating_Expenses!E56</f>
        <v>59956.75</v>
      </c>
      <c r="F48" s="68">
        <f>[3]Operating_Expenses!F56</f>
        <v>59956.75</v>
      </c>
      <c r="G48" s="68">
        <f>[3]Operating_Expenses!G56</f>
        <v>59956.75</v>
      </c>
      <c r="H48" s="68">
        <f>[3]Operating_Expenses!H56</f>
        <v>59956.75</v>
      </c>
      <c r="I48" s="68">
        <f>[3]Operating_Expenses!I56</f>
        <v>59956.75</v>
      </c>
      <c r="J48" s="68">
        <f>[3]Operating_Expenses!J56</f>
        <v>59956.75</v>
      </c>
      <c r="K48" s="68">
        <f>[3]Operating_Expenses!K56</f>
        <v>59956.75</v>
      </c>
      <c r="L48" s="68">
        <f>[3]Operating_Expenses!L56</f>
        <v>59956.75</v>
      </c>
      <c r="M48" s="68">
        <f>[3]Operating_Expenses!M56</f>
        <v>59956.75</v>
      </c>
      <c r="N48" s="68">
        <f>[3]Operating_Expenses!N56</f>
        <v>59956.75</v>
      </c>
      <c r="O48" s="67">
        <f t="shared" si="4"/>
        <v>719481</v>
      </c>
      <c r="Q48" s="6" t="s">
        <v>222</v>
      </c>
      <c r="R48" s="9" t="s">
        <v>254</v>
      </c>
    </row>
    <row r="49" spans="1:18" ht="18" customHeight="1" x14ac:dyDescent="0.2">
      <c r="A49" s="20" t="s">
        <v>124</v>
      </c>
      <c r="B49" s="18" t="s">
        <v>125</v>
      </c>
      <c r="C49" s="69">
        <f>[3]Operating_Expenses!C61</f>
        <v>2838.21</v>
      </c>
      <c r="D49" s="69">
        <f>[3]Operating_Expenses!D61</f>
        <v>2838.21</v>
      </c>
      <c r="E49" s="69">
        <f>[3]Operating_Expenses!E61</f>
        <v>2838.21</v>
      </c>
      <c r="F49" s="69">
        <f>[3]Operating_Expenses!F61</f>
        <v>2838.21</v>
      </c>
      <c r="G49" s="69">
        <f>[3]Operating_Expenses!G61</f>
        <v>2838.21</v>
      </c>
      <c r="H49" s="69">
        <f>[3]Operating_Expenses!H61</f>
        <v>2838.21</v>
      </c>
      <c r="I49" s="69">
        <f>[3]Operating_Expenses!I61</f>
        <v>2838.21</v>
      </c>
      <c r="J49" s="69">
        <f>[3]Operating_Expenses!J61</f>
        <v>2838.21</v>
      </c>
      <c r="K49" s="69">
        <f>[3]Operating_Expenses!K61</f>
        <v>2838.21</v>
      </c>
      <c r="L49" s="69">
        <f>[3]Operating_Expenses!L61</f>
        <v>2838.21</v>
      </c>
      <c r="M49" s="69">
        <f>[3]Operating_Expenses!M61</f>
        <v>2838.21</v>
      </c>
      <c r="N49" s="69">
        <f>[3]Operating_Expenses!N61</f>
        <v>2838.21</v>
      </c>
      <c r="O49" s="63">
        <f t="shared" si="4"/>
        <v>34058.519999999997</v>
      </c>
      <c r="Q49" s="6" t="s">
        <v>223</v>
      </c>
      <c r="R49" s="9" t="s">
        <v>255</v>
      </c>
    </row>
    <row r="50" spans="1:18" ht="18" customHeight="1" x14ac:dyDescent="0.2">
      <c r="A50" s="64" t="s">
        <v>126</v>
      </c>
      <c r="B50" s="65" t="s">
        <v>127</v>
      </c>
      <c r="C50" s="68">
        <f>[3]Operating_Expenses!C65</f>
        <v>1041.67</v>
      </c>
      <c r="D50" s="68">
        <f>[3]Operating_Expenses!D65</f>
        <v>1041.67</v>
      </c>
      <c r="E50" s="68">
        <f>[3]Operating_Expenses!E65</f>
        <v>1041.67</v>
      </c>
      <c r="F50" s="68">
        <f>[3]Operating_Expenses!F65</f>
        <v>1041.67</v>
      </c>
      <c r="G50" s="68">
        <f>[3]Operating_Expenses!G65</f>
        <v>1041.67</v>
      </c>
      <c r="H50" s="68">
        <f>[3]Operating_Expenses!H65</f>
        <v>1041.67</v>
      </c>
      <c r="I50" s="68">
        <f>[3]Operating_Expenses!I65</f>
        <v>1041.67</v>
      </c>
      <c r="J50" s="68">
        <f>[3]Operating_Expenses!J65</f>
        <v>1041.67</v>
      </c>
      <c r="K50" s="68">
        <f>[3]Operating_Expenses!K65</f>
        <v>1041.67</v>
      </c>
      <c r="L50" s="68">
        <f>[3]Operating_Expenses!L65</f>
        <v>1041.67</v>
      </c>
      <c r="M50" s="68">
        <f>[3]Operating_Expenses!M65</f>
        <v>1041.67</v>
      </c>
      <c r="N50" s="68">
        <f>[3]Operating_Expenses!N65</f>
        <v>1041.67</v>
      </c>
      <c r="O50" s="67">
        <f t="shared" si="4"/>
        <v>12500.04</v>
      </c>
      <c r="Q50" s="6" t="s">
        <v>224</v>
      </c>
      <c r="R50" s="9" t="s">
        <v>256</v>
      </c>
    </row>
    <row r="51" spans="1:18" ht="18" customHeight="1" x14ac:dyDescent="0.2">
      <c r="A51" s="20" t="s">
        <v>128</v>
      </c>
      <c r="B51" s="18" t="s">
        <v>129</v>
      </c>
      <c r="C51" s="69">
        <f>[3]Operating_Expenses!C71</f>
        <v>45416.67</v>
      </c>
      <c r="D51" s="69">
        <f>[3]Operating_Expenses!D71</f>
        <v>45416.67</v>
      </c>
      <c r="E51" s="69">
        <f>[3]Operating_Expenses!E71</f>
        <v>45416.67</v>
      </c>
      <c r="F51" s="69">
        <f>[3]Operating_Expenses!F71</f>
        <v>45416.67</v>
      </c>
      <c r="G51" s="69">
        <f>[3]Operating_Expenses!G71</f>
        <v>45416.67</v>
      </c>
      <c r="H51" s="69">
        <f>[3]Operating_Expenses!H71</f>
        <v>45416.67</v>
      </c>
      <c r="I51" s="69">
        <f>[3]Operating_Expenses!I71</f>
        <v>45416.67</v>
      </c>
      <c r="J51" s="69">
        <f>[3]Operating_Expenses!J71</f>
        <v>45416.67</v>
      </c>
      <c r="K51" s="69">
        <f>[3]Operating_Expenses!K71</f>
        <v>45416.67</v>
      </c>
      <c r="L51" s="69">
        <f>[3]Operating_Expenses!L71</f>
        <v>45416.67</v>
      </c>
      <c r="M51" s="69">
        <f>[3]Operating_Expenses!M71</f>
        <v>45416.67</v>
      </c>
      <c r="N51" s="69">
        <f>[3]Operating_Expenses!N71</f>
        <v>45416.67</v>
      </c>
      <c r="O51" s="63">
        <f t="shared" si="4"/>
        <v>545000.03999999992</v>
      </c>
      <c r="Q51" s="6" t="s">
        <v>225</v>
      </c>
      <c r="R51" s="9" t="s">
        <v>257</v>
      </c>
    </row>
    <row r="52" spans="1:18" ht="22" customHeight="1" x14ac:dyDescent="0.2">
      <c r="A52" s="24"/>
      <c r="B52" s="24" t="s">
        <v>130</v>
      </c>
      <c r="C52" s="72">
        <f t="shared" ref="C52:O52" si="5">SUM(C40:C51)</f>
        <v>1922625.0182919996</v>
      </c>
      <c r="D52" s="72">
        <f t="shared" si="5"/>
        <v>1922625.0182919996</v>
      </c>
      <c r="E52" s="72">
        <f t="shared" si="5"/>
        <v>1922625.0182919996</v>
      </c>
      <c r="F52" s="72">
        <f t="shared" si="5"/>
        <v>1922625.0182919996</v>
      </c>
      <c r="G52" s="72">
        <f t="shared" si="5"/>
        <v>1922625.0182919996</v>
      </c>
      <c r="H52" s="72">
        <f t="shared" si="5"/>
        <v>2352409.4306919998</v>
      </c>
      <c r="I52" s="72">
        <f t="shared" si="5"/>
        <v>1381825.8899999997</v>
      </c>
      <c r="J52" s="72">
        <f t="shared" si="5"/>
        <v>1381825.8899999997</v>
      </c>
      <c r="K52" s="72">
        <f t="shared" si="5"/>
        <v>1975767.9182919997</v>
      </c>
      <c r="L52" s="72">
        <f t="shared" si="5"/>
        <v>1922977.5182919996</v>
      </c>
      <c r="M52" s="72">
        <f t="shared" si="5"/>
        <v>1922625.0182919996</v>
      </c>
      <c r="N52" s="72">
        <f t="shared" si="5"/>
        <v>1922625.0182919996</v>
      </c>
      <c r="O52" s="73">
        <f t="shared" si="5"/>
        <v>22473181.775319993</v>
      </c>
      <c r="R52" s="12" t="s">
        <v>258</v>
      </c>
    </row>
    <row r="53" spans="1:18" ht="22" customHeight="1" x14ac:dyDescent="0.2">
      <c r="A53" s="16" t="s">
        <v>131</v>
      </c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51"/>
      <c r="Q53" s="2"/>
      <c r="R53" s="2"/>
    </row>
    <row r="54" spans="1:18" ht="18" customHeight="1" x14ac:dyDescent="0.2">
      <c r="A54" s="20" t="s">
        <v>132</v>
      </c>
      <c r="B54" s="18" t="s">
        <v>133</v>
      </c>
      <c r="C54" s="69">
        <f>[3]Non_Operating_Items!C7</f>
        <v>439818</v>
      </c>
      <c r="D54" s="69">
        <f>[3]Non_Operating_Items!D7</f>
        <v>439818</v>
      </c>
      <c r="E54" s="69">
        <f>[3]Non_Operating_Items!E7</f>
        <v>439818</v>
      </c>
      <c r="F54" s="69">
        <f>[3]Non_Operating_Items!F7</f>
        <v>439818</v>
      </c>
      <c r="G54" s="69">
        <f>[3]Non_Operating_Items!G7</f>
        <v>439818</v>
      </c>
      <c r="H54" s="69">
        <f>[3]Non_Operating_Items!H7</f>
        <v>439818</v>
      </c>
      <c r="I54" s="69">
        <f>[3]Non_Operating_Items!I7</f>
        <v>439818</v>
      </c>
      <c r="J54" s="69">
        <f>[3]Non_Operating_Items!J7</f>
        <v>439818</v>
      </c>
      <c r="K54" s="69">
        <f>[3]Non_Operating_Items!K7</f>
        <v>439818</v>
      </c>
      <c r="L54" s="69">
        <f>[3]Non_Operating_Items!L7</f>
        <v>439818</v>
      </c>
      <c r="M54" s="69">
        <f>[3]Non_Operating_Items!M7</f>
        <v>439818</v>
      </c>
      <c r="N54" s="69">
        <f>[3]Non_Operating_Items!N7</f>
        <v>439818</v>
      </c>
      <c r="O54" s="63">
        <f>SUM(C54:N54)</f>
        <v>5277816</v>
      </c>
      <c r="Q54" s="3" t="s">
        <v>134</v>
      </c>
      <c r="R54" s="9" t="s">
        <v>231</v>
      </c>
    </row>
    <row r="55" spans="1:18" ht="22" customHeight="1" x14ac:dyDescent="0.2">
      <c r="A55" s="24"/>
      <c r="B55" s="24" t="s">
        <v>135</v>
      </c>
      <c r="C55" s="72">
        <f t="shared" ref="C55:O55" si="6">C54</f>
        <v>439818</v>
      </c>
      <c r="D55" s="72">
        <f t="shared" si="6"/>
        <v>439818</v>
      </c>
      <c r="E55" s="72">
        <f t="shared" si="6"/>
        <v>439818</v>
      </c>
      <c r="F55" s="72">
        <f t="shared" si="6"/>
        <v>439818</v>
      </c>
      <c r="G55" s="72">
        <f t="shared" si="6"/>
        <v>439818</v>
      </c>
      <c r="H55" s="72">
        <f t="shared" si="6"/>
        <v>439818</v>
      </c>
      <c r="I55" s="72">
        <f t="shared" si="6"/>
        <v>439818</v>
      </c>
      <c r="J55" s="72">
        <f t="shared" si="6"/>
        <v>439818</v>
      </c>
      <c r="K55" s="72">
        <f t="shared" si="6"/>
        <v>439818</v>
      </c>
      <c r="L55" s="72">
        <f t="shared" si="6"/>
        <v>439818</v>
      </c>
      <c r="M55" s="72">
        <f t="shared" si="6"/>
        <v>439818</v>
      </c>
      <c r="N55" s="72">
        <f t="shared" si="6"/>
        <v>439818</v>
      </c>
      <c r="O55" s="73">
        <f t="shared" si="6"/>
        <v>5277816</v>
      </c>
    </row>
    <row r="56" spans="1:18" ht="22" customHeight="1" x14ac:dyDescent="0.2">
      <c r="A56" s="16" t="s">
        <v>136</v>
      </c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51"/>
      <c r="Q56" s="2"/>
      <c r="R56" s="2"/>
    </row>
    <row r="57" spans="1:18" ht="18" customHeight="1" x14ac:dyDescent="0.2">
      <c r="A57" s="20" t="s">
        <v>137</v>
      </c>
      <c r="B57" s="18" t="s">
        <v>138</v>
      </c>
      <c r="C57" s="69">
        <f>[3]Non_Operating_Items!C11</f>
        <v>0</v>
      </c>
      <c r="D57" s="69">
        <f>[3]Non_Operating_Items!D11</f>
        <v>0</v>
      </c>
      <c r="E57" s="69">
        <f>[3]Non_Operating_Items!E11</f>
        <v>0</v>
      </c>
      <c r="F57" s="69">
        <f>[3]Non_Operating_Items!F11</f>
        <v>0</v>
      </c>
      <c r="G57" s="69">
        <f>[3]Non_Operating_Items!G11</f>
        <v>0</v>
      </c>
      <c r="H57" s="69">
        <f>[3]Non_Operating_Items!H11</f>
        <v>0</v>
      </c>
      <c r="I57" s="69">
        <f>[3]Non_Operating_Items!I11</f>
        <v>0</v>
      </c>
      <c r="J57" s="69">
        <f>[3]Non_Operating_Items!J11</f>
        <v>0</v>
      </c>
      <c r="K57" s="69">
        <f>[3]Non_Operating_Items!K11</f>
        <v>0</v>
      </c>
      <c r="L57" s="69">
        <f>[3]Non_Operating_Items!L11</f>
        <v>0</v>
      </c>
      <c r="M57" s="69">
        <f>[3]Non_Operating_Items!M11</f>
        <v>0</v>
      </c>
      <c r="N57" s="69">
        <f>[3]Non_Operating_Items!N11</f>
        <v>0</v>
      </c>
      <c r="O57" s="63">
        <f>SUM(C57:N57)</f>
        <v>0</v>
      </c>
      <c r="Q57" s="3" t="s">
        <v>139</v>
      </c>
      <c r="R57" s="9" t="s">
        <v>232</v>
      </c>
    </row>
    <row r="58" spans="1:18" ht="22" customHeight="1" thickBot="1" x14ac:dyDescent="0.25">
      <c r="A58" s="23"/>
      <c r="B58" s="23" t="s">
        <v>140</v>
      </c>
      <c r="C58" s="70">
        <f t="shared" ref="C58:O58" si="7">C57</f>
        <v>0</v>
      </c>
      <c r="D58" s="70">
        <f t="shared" si="7"/>
        <v>0</v>
      </c>
      <c r="E58" s="70">
        <f t="shared" si="7"/>
        <v>0</v>
      </c>
      <c r="F58" s="70">
        <f t="shared" si="7"/>
        <v>0</v>
      </c>
      <c r="G58" s="70">
        <f t="shared" si="7"/>
        <v>0</v>
      </c>
      <c r="H58" s="70">
        <f t="shared" si="7"/>
        <v>0</v>
      </c>
      <c r="I58" s="70">
        <f t="shared" si="7"/>
        <v>0</v>
      </c>
      <c r="J58" s="70">
        <f t="shared" si="7"/>
        <v>0</v>
      </c>
      <c r="K58" s="70">
        <f t="shared" si="7"/>
        <v>0</v>
      </c>
      <c r="L58" s="70">
        <f t="shared" si="7"/>
        <v>0</v>
      </c>
      <c r="M58" s="70">
        <f t="shared" si="7"/>
        <v>0</v>
      </c>
      <c r="N58" s="70">
        <f t="shared" si="7"/>
        <v>0</v>
      </c>
      <c r="O58" s="71">
        <f t="shared" si="7"/>
        <v>0</v>
      </c>
    </row>
    <row r="59" spans="1:18" ht="24" customHeight="1" thickTop="1" thickBot="1" x14ac:dyDescent="0.25">
      <c r="A59" s="28"/>
      <c r="B59" s="28" t="s">
        <v>141</v>
      </c>
      <c r="C59" s="29">
        <f t="shared" ref="C59:O59" si="8">C38+C52+C55+C58</f>
        <v>5464618.2564718053</v>
      </c>
      <c r="D59" s="29">
        <f t="shared" si="8"/>
        <v>5464618.2564718109</v>
      </c>
      <c r="E59" s="29">
        <f t="shared" si="8"/>
        <v>5454018.4571517073</v>
      </c>
      <c r="F59" s="29">
        <f t="shared" si="8"/>
        <v>5464618.2564718034</v>
      </c>
      <c r="G59" s="29">
        <f t="shared" si="8"/>
        <v>5461084.9900317825</v>
      </c>
      <c r="H59" s="29">
        <f t="shared" si="8"/>
        <v>5894402.6688718032</v>
      </c>
      <c r="I59" s="29">
        <f t="shared" si="8"/>
        <v>3980285.8617397747</v>
      </c>
      <c r="J59" s="29">
        <f t="shared" si="8"/>
        <v>3983819.1281798142</v>
      </c>
      <c r="K59" s="29">
        <f t="shared" si="8"/>
        <v>5769448.0867659384</v>
      </c>
      <c r="L59" s="29">
        <f t="shared" si="8"/>
        <v>5565894.6254270459</v>
      </c>
      <c r="M59" s="29">
        <f t="shared" si="8"/>
        <v>5569472.807259894</v>
      </c>
      <c r="N59" s="29">
        <f t="shared" si="8"/>
        <v>5565542.1254270514</v>
      </c>
      <c r="O59" s="55">
        <f t="shared" si="8"/>
        <v>63637823.520270221</v>
      </c>
      <c r="R59" s="9" t="s">
        <v>233</v>
      </c>
    </row>
    <row r="60" spans="1:18" ht="24" customHeight="1" thickTop="1" thickBot="1" x14ac:dyDescent="0.25">
      <c r="A60" s="30"/>
      <c r="B60" s="30" t="s">
        <v>142</v>
      </c>
      <c r="C60" s="31">
        <f t="shared" ref="C60:O60" si="9">C23-C59</f>
        <v>263745.49787602108</v>
      </c>
      <c r="D60" s="31">
        <f t="shared" si="9"/>
        <v>263745.49787601549</v>
      </c>
      <c r="E60" s="31">
        <f t="shared" si="9"/>
        <v>274345.29719611909</v>
      </c>
      <c r="F60" s="31">
        <f t="shared" si="9"/>
        <v>453645.49787602294</v>
      </c>
      <c r="G60" s="31">
        <f t="shared" si="9"/>
        <v>5160203.7643160447</v>
      </c>
      <c r="H60" s="31">
        <f t="shared" si="9"/>
        <v>4536986.0854760241</v>
      </c>
      <c r="I60" s="31">
        <f t="shared" si="9"/>
        <v>-3980285.8617397747</v>
      </c>
      <c r="J60" s="31">
        <f t="shared" si="9"/>
        <v>-3983819.1281798142</v>
      </c>
      <c r="K60" s="31">
        <f t="shared" si="9"/>
        <v>112641.53714710567</v>
      </c>
      <c r="L60" s="31">
        <f t="shared" si="9"/>
        <v>372494.99848599825</v>
      </c>
      <c r="M60" s="31">
        <f t="shared" si="9"/>
        <v>395316.81665315013</v>
      </c>
      <c r="N60" s="31">
        <f t="shared" si="9"/>
        <v>342947.49848599266</v>
      </c>
      <c r="O60" s="56">
        <f t="shared" si="9"/>
        <v>4211967.5014689043</v>
      </c>
      <c r="R60" s="9" t="s">
        <v>234</v>
      </c>
    </row>
    <row r="61" spans="1:18" ht="22" customHeight="1" thickTop="1" x14ac:dyDescent="0.2">
      <c r="A61" s="16" t="s">
        <v>143</v>
      </c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51"/>
      <c r="Q61" s="2"/>
      <c r="R61" s="2"/>
    </row>
    <row r="62" spans="1:18" ht="18" customHeight="1" x14ac:dyDescent="0.2">
      <c r="A62" s="20" t="s">
        <v>144</v>
      </c>
      <c r="B62" s="18" t="s">
        <v>145</v>
      </c>
      <c r="C62" s="69">
        <f>[3]Non_Operating_Items!C14</f>
        <v>41666.67</v>
      </c>
      <c r="D62" s="69">
        <f>[3]Non_Operating_Items!D14</f>
        <v>41666.67</v>
      </c>
      <c r="E62" s="69">
        <f>[3]Non_Operating_Items!E14</f>
        <v>41666.67</v>
      </c>
      <c r="F62" s="69">
        <f>[3]Non_Operating_Items!F14</f>
        <v>41666.67</v>
      </c>
      <c r="G62" s="69">
        <f>[3]Non_Operating_Items!G14</f>
        <v>41666.67</v>
      </c>
      <c r="H62" s="69">
        <f>[3]Non_Operating_Items!H14</f>
        <v>41666.67</v>
      </c>
      <c r="I62" s="69">
        <f>[3]Non_Operating_Items!I14</f>
        <v>41666.67</v>
      </c>
      <c r="J62" s="69">
        <f>[3]Non_Operating_Items!J14</f>
        <v>41666.67</v>
      </c>
      <c r="K62" s="69">
        <f>[3]Non_Operating_Items!K14</f>
        <v>41666.67</v>
      </c>
      <c r="L62" s="69">
        <f>[3]Non_Operating_Items!L14</f>
        <v>41666.67</v>
      </c>
      <c r="M62" s="69">
        <f>[3]Non_Operating_Items!M14</f>
        <v>41666.67</v>
      </c>
      <c r="N62" s="69">
        <f>[3]Non_Operating_Items!N14</f>
        <v>41666.67</v>
      </c>
      <c r="O62" s="63">
        <f>SUM(C62:N62)</f>
        <v>500000.03999999986</v>
      </c>
      <c r="Q62" s="6" t="s">
        <v>229</v>
      </c>
      <c r="R62" s="9" t="s">
        <v>235</v>
      </c>
    </row>
    <row r="63" spans="1:18" ht="18" customHeight="1" x14ac:dyDescent="0.2">
      <c r="A63" s="20" t="s">
        <v>144</v>
      </c>
      <c r="B63" s="18" t="s">
        <v>146</v>
      </c>
      <c r="C63" s="69">
        <f>[3]Non_Operating_Items!C15</f>
        <v>0</v>
      </c>
      <c r="D63" s="69">
        <f>[3]Non_Operating_Items!D15</f>
        <v>0</v>
      </c>
      <c r="E63" s="69">
        <f>[3]Non_Operating_Items!E15</f>
        <v>0</v>
      </c>
      <c r="F63" s="69">
        <f>[3]Non_Operating_Items!F15</f>
        <v>0</v>
      </c>
      <c r="G63" s="69">
        <f>[3]Non_Operating_Items!G15</f>
        <v>0</v>
      </c>
      <c r="H63" s="69">
        <f>[3]Non_Operating_Items!H15</f>
        <v>0</v>
      </c>
      <c r="I63" s="69">
        <f>[3]Non_Operating_Items!I15</f>
        <v>0</v>
      </c>
      <c r="J63" s="69">
        <f>[3]Non_Operating_Items!J15</f>
        <v>0</v>
      </c>
      <c r="K63" s="69">
        <f>[3]Non_Operating_Items!K15</f>
        <v>0</v>
      </c>
      <c r="L63" s="69">
        <f>[3]Non_Operating_Items!L15</f>
        <v>0</v>
      </c>
      <c r="M63" s="69">
        <f>[3]Non_Operating_Items!M15</f>
        <v>0</v>
      </c>
      <c r="N63" s="69">
        <f>[3]Non_Operating_Items!N15</f>
        <v>0</v>
      </c>
      <c r="O63" s="63">
        <f>SUM(C63:N63)</f>
        <v>0</v>
      </c>
      <c r="Q63" s="6" t="s">
        <v>230</v>
      </c>
      <c r="R63" s="9" t="s">
        <v>236</v>
      </c>
    </row>
    <row r="64" spans="1:18" ht="22" customHeight="1" x14ac:dyDescent="0.2">
      <c r="A64" s="24"/>
      <c r="B64" s="24" t="s">
        <v>147</v>
      </c>
      <c r="C64" s="72">
        <f t="shared" ref="C64:O64" si="10">SUM(C62:C63)</f>
        <v>41666.67</v>
      </c>
      <c r="D64" s="72">
        <f t="shared" si="10"/>
        <v>41666.67</v>
      </c>
      <c r="E64" s="72">
        <f t="shared" si="10"/>
        <v>41666.67</v>
      </c>
      <c r="F64" s="72">
        <f t="shared" si="10"/>
        <v>41666.67</v>
      </c>
      <c r="G64" s="72">
        <f t="shared" si="10"/>
        <v>41666.67</v>
      </c>
      <c r="H64" s="72">
        <f t="shared" si="10"/>
        <v>41666.67</v>
      </c>
      <c r="I64" s="72">
        <f t="shared" si="10"/>
        <v>41666.67</v>
      </c>
      <c r="J64" s="72">
        <f t="shared" si="10"/>
        <v>41666.67</v>
      </c>
      <c r="K64" s="72">
        <f t="shared" si="10"/>
        <v>41666.67</v>
      </c>
      <c r="L64" s="72">
        <f t="shared" si="10"/>
        <v>41666.67</v>
      </c>
      <c r="M64" s="72">
        <f t="shared" si="10"/>
        <v>41666.67</v>
      </c>
      <c r="N64" s="72">
        <f t="shared" si="10"/>
        <v>41666.67</v>
      </c>
      <c r="O64" s="73">
        <f t="shared" si="10"/>
        <v>500000.03999999986</v>
      </c>
      <c r="R64" s="9" t="s">
        <v>237</v>
      </c>
    </row>
    <row r="65" spans="1:18" ht="22" customHeight="1" x14ac:dyDescent="0.2">
      <c r="A65" s="16" t="s">
        <v>148</v>
      </c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51"/>
      <c r="Q65" s="2"/>
      <c r="R65" s="2"/>
    </row>
    <row r="66" spans="1:18" ht="18" customHeight="1" x14ac:dyDescent="0.2">
      <c r="A66" s="20" t="s">
        <v>149</v>
      </c>
      <c r="B66" s="18" t="s">
        <v>150</v>
      </c>
      <c r="C66" s="69">
        <f>[3]Non_Operating_Items!C19</f>
        <v>23820.85</v>
      </c>
      <c r="D66" s="69">
        <f>[3]Non_Operating_Items!D19</f>
        <v>23820.85</v>
      </c>
      <c r="E66" s="69">
        <f>[3]Non_Operating_Items!E19</f>
        <v>23820.85</v>
      </c>
      <c r="F66" s="69">
        <f>[3]Non_Operating_Items!F19</f>
        <v>23820.85</v>
      </c>
      <c r="G66" s="69">
        <f>[3]Non_Operating_Items!G19</f>
        <v>23820.85</v>
      </c>
      <c r="H66" s="69">
        <f>[3]Non_Operating_Items!H19</f>
        <v>23820.85</v>
      </c>
      <c r="I66" s="69">
        <f>[3]Non_Operating_Items!I19</f>
        <v>23820.85</v>
      </c>
      <c r="J66" s="69">
        <f>[3]Non_Operating_Items!J19</f>
        <v>23820.85</v>
      </c>
      <c r="K66" s="69">
        <f>[3]Non_Operating_Items!K19</f>
        <v>23820.85</v>
      </c>
      <c r="L66" s="69">
        <f>[3]Non_Operating_Items!L19</f>
        <v>23820.85</v>
      </c>
      <c r="M66" s="69">
        <f>[3]Non_Operating_Items!M19</f>
        <v>23820.85</v>
      </c>
      <c r="N66" s="69">
        <f>[3]Non_Operating_Items!N19</f>
        <v>23820.85</v>
      </c>
      <c r="O66" s="63">
        <f>SUM(C66:N66)</f>
        <v>285850.2</v>
      </c>
      <c r="Q66" s="6" t="s">
        <v>243</v>
      </c>
      <c r="R66" s="9" t="s">
        <v>238</v>
      </c>
    </row>
    <row r="67" spans="1:18" ht="18" customHeight="1" x14ac:dyDescent="0.2">
      <c r="A67" s="20" t="s">
        <v>149</v>
      </c>
      <c r="B67" s="18" t="s">
        <v>151</v>
      </c>
      <c r="C67" s="69">
        <f>[3]Non_Operating_Items!C20</f>
        <v>0</v>
      </c>
      <c r="D67" s="69">
        <f>[3]Non_Operating_Items!D20</f>
        <v>0</v>
      </c>
      <c r="E67" s="69">
        <f>[3]Non_Operating_Items!E20</f>
        <v>0</v>
      </c>
      <c r="F67" s="69">
        <f>[3]Non_Operating_Items!F20</f>
        <v>0</v>
      </c>
      <c r="G67" s="69">
        <f>[3]Non_Operating_Items!G20</f>
        <v>0</v>
      </c>
      <c r="H67" s="69">
        <f>[3]Non_Operating_Items!H20</f>
        <v>0</v>
      </c>
      <c r="I67" s="69">
        <f>[3]Non_Operating_Items!I20</f>
        <v>0</v>
      </c>
      <c r="J67" s="69">
        <f>[3]Non_Operating_Items!J20</f>
        <v>0</v>
      </c>
      <c r="K67" s="69">
        <f>[3]Non_Operating_Items!K20</f>
        <v>0</v>
      </c>
      <c r="L67" s="69">
        <f>[3]Non_Operating_Items!L20</f>
        <v>0</v>
      </c>
      <c r="M67" s="69">
        <f>[3]Non_Operating_Items!M20</f>
        <v>0</v>
      </c>
      <c r="N67" s="69">
        <f>[3]Non_Operating_Items!N20</f>
        <v>0</v>
      </c>
      <c r="O67" s="63">
        <f>SUM(C67:N67)</f>
        <v>0</v>
      </c>
      <c r="Q67" s="6" t="s">
        <v>244</v>
      </c>
      <c r="R67" s="9" t="s">
        <v>239</v>
      </c>
    </row>
    <row r="68" spans="1:18" ht="22" customHeight="1" x14ac:dyDescent="0.2">
      <c r="A68" s="23"/>
      <c r="B68" s="23" t="s">
        <v>152</v>
      </c>
      <c r="C68" s="70">
        <f t="shared" ref="C68:O68" si="11">SUM(C66:C67)</f>
        <v>23820.85</v>
      </c>
      <c r="D68" s="70">
        <f t="shared" si="11"/>
        <v>23820.85</v>
      </c>
      <c r="E68" s="70">
        <f t="shared" si="11"/>
        <v>23820.85</v>
      </c>
      <c r="F68" s="70">
        <f t="shared" si="11"/>
        <v>23820.85</v>
      </c>
      <c r="G68" s="70">
        <f t="shared" si="11"/>
        <v>23820.85</v>
      </c>
      <c r="H68" s="70">
        <f t="shared" si="11"/>
        <v>23820.85</v>
      </c>
      <c r="I68" s="70">
        <f t="shared" si="11"/>
        <v>23820.85</v>
      </c>
      <c r="J68" s="70">
        <f t="shared" si="11"/>
        <v>23820.85</v>
      </c>
      <c r="K68" s="70">
        <f t="shared" si="11"/>
        <v>23820.85</v>
      </c>
      <c r="L68" s="70">
        <f t="shared" si="11"/>
        <v>23820.85</v>
      </c>
      <c r="M68" s="70">
        <f t="shared" si="11"/>
        <v>23820.85</v>
      </c>
      <c r="N68" s="70">
        <f t="shared" si="11"/>
        <v>23820.85</v>
      </c>
      <c r="O68" s="71">
        <f t="shared" si="11"/>
        <v>285850.2</v>
      </c>
      <c r="R68" s="11" t="s">
        <v>241</v>
      </c>
    </row>
    <row r="69" spans="1:18" ht="22" customHeight="1" x14ac:dyDescent="0.2">
      <c r="A69" s="32"/>
      <c r="B69" s="32" t="s">
        <v>153</v>
      </c>
      <c r="C69" s="33">
        <f t="shared" ref="C69:O69" si="12">C64-C68</f>
        <v>17845.82</v>
      </c>
      <c r="D69" s="33">
        <f t="shared" si="12"/>
        <v>17845.82</v>
      </c>
      <c r="E69" s="33">
        <f t="shared" si="12"/>
        <v>17845.82</v>
      </c>
      <c r="F69" s="33">
        <f t="shared" si="12"/>
        <v>17845.82</v>
      </c>
      <c r="G69" s="33">
        <f t="shared" si="12"/>
        <v>17845.82</v>
      </c>
      <c r="H69" s="33">
        <f t="shared" si="12"/>
        <v>17845.82</v>
      </c>
      <c r="I69" s="33">
        <f t="shared" si="12"/>
        <v>17845.82</v>
      </c>
      <c r="J69" s="33">
        <f t="shared" si="12"/>
        <v>17845.82</v>
      </c>
      <c r="K69" s="33">
        <f t="shared" si="12"/>
        <v>17845.82</v>
      </c>
      <c r="L69" s="33">
        <f t="shared" si="12"/>
        <v>17845.82</v>
      </c>
      <c r="M69" s="33">
        <f t="shared" si="12"/>
        <v>17845.82</v>
      </c>
      <c r="N69" s="33">
        <f t="shared" si="12"/>
        <v>17845.82</v>
      </c>
      <c r="O69" s="57">
        <f t="shared" si="12"/>
        <v>214149.83999999985</v>
      </c>
      <c r="R69" s="11" t="s">
        <v>242</v>
      </c>
    </row>
    <row r="70" spans="1:18" ht="24" customHeight="1" x14ac:dyDescent="0.2">
      <c r="A70" s="34"/>
      <c r="B70" s="34" t="s">
        <v>154</v>
      </c>
      <c r="C70" s="35">
        <f t="shared" ref="C70:O70" si="13">C60+C69</f>
        <v>281591.31787602109</v>
      </c>
      <c r="D70" s="35">
        <f t="shared" si="13"/>
        <v>281591.3178760155</v>
      </c>
      <c r="E70" s="35">
        <f t="shared" si="13"/>
        <v>292191.1171961191</v>
      </c>
      <c r="F70" s="35">
        <f t="shared" si="13"/>
        <v>471491.31787602295</v>
      </c>
      <c r="G70" s="35">
        <f t="shared" si="13"/>
        <v>5178049.584316045</v>
      </c>
      <c r="H70" s="35">
        <f t="shared" si="13"/>
        <v>4554831.9054760244</v>
      </c>
      <c r="I70" s="35">
        <f t="shared" si="13"/>
        <v>-3962440.0417397749</v>
      </c>
      <c r="J70" s="35">
        <f t="shared" si="13"/>
        <v>-3965973.3081798144</v>
      </c>
      <c r="K70" s="35">
        <f t="shared" si="13"/>
        <v>130487.35714710568</v>
      </c>
      <c r="L70" s="35">
        <f t="shared" si="13"/>
        <v>390340.81848599826</v>
      </c>
      <c r="M70" s="35">
        <f t="shared" si="13"/>
        <v>413162.63665315014</v>
      </c>
      <c r="N70" s="35">
        <f t="shared" si="13"/>
        <v>360793.31848599267</v>
      </c>
      <c r="O70" s="58">
        <f t="shared" si="13"/>
        <v>4426117.3414689042</v>
      </c>
    </row>
    <row r="71" spans="1:18" ht="18" customHeight="1" thickBot="1" x14ac:dyDescent="0.25">
      <c r="A71" s="20" t="s">
        <v>155</v>
      </c>
      <c r="B71" s="18" t="s">
        <v>156</v>
      </c>
      <c r="C71" s="19">
        <f t="shared" ref="C71:O71" si="14">IF(C70&gt;0,-C70*0.025,0)</f>
        <v>-7039.7829469005273</v>
      </c>
      <c r="D71" s="19">
        <f t="shared" si="14"/>
        <v>-7039.7829469003882</v>
      </c>
      <c r="E71" s="19">
        <f t="shared" si="14"/>
        <v>-7304.777929902978</v>
      </c>
      <c r="F71" s="19">
        <f t="shared" si="14"/>
        <v>-11787.282946900574</v>
      </c>
      <c r="G71" s="19">
        <f t="shared" si="14"/>
        <v>-129451.23960790114</v>
      </c>
      <c r="H71" s="19">
        <f t="shared" si="14"/>
        <v>-113870.79763690062</v>
      </c>
      <c r="I71" s="19">
        <f t="shared" si="14"/>
        <v>0</v>
      </c>
      <c r="J71" s="19">
        <f t="shared" si="14"/>
        <v>0</v>
      </c>
      <c r="K71" s="19">
        <f t="shared" si="14"/>
        <v>-3262.1839286776421</v>
      </c>
      <c r="L71" s="19">
        <f t="shared" si="14"/>
        <v>-9758.5204621499561</v>
      </c>
      <c r="M71" s="19">
        <f t="shared" si="14"/>
        <v>-10329.065916328755</v>
      </c>
      <c r="N71" s="19">
        <f t="shared" si="14"/>
        <v>-9019.8329621498178</v>
      </c>
      <c r="O71" s="63">
        <f t="shared" si="14"/>
        <v>-110652.93353672262</v>
      </c>
      <c r="R71" s="4" t="s">
        <v>157</v>
      </c>
    </row>
    <row r="72" spans="1:18" ht="26" customHeight="1" thickTop="1" thickBot="1" x14ac:dyDescent="0.25">
      <c r="A72" s="36"/>
      <c r="B72" s="36" t="s">
        <v>158</v>
      </c>
      <c r="C72" s="37">
        <f t="shared" ref="C72:O72" si="15">C70+C71</f>
        <v>274551.53492912056</v>
      </c>
      <c r="D72" s="37">
        <f t="shared" si="15"/>
        <v>274551.53492911509</v>
      </c>
      <c r="E72" s="37">
        <f t="shared" si="15"/>
        <v>284886.33926621615</v>
      </c>
      <c r="F72" s="37">
        <f t="shared" si="15"/>
        <v>459704.03492912237</v>
      </c>
      <c r="G72" s="37">
        <f t="shared" si="15"/>
        <v>5048598.3447081437</v>
      </c>
      <c r="H72" s="37">
        <f t="shared" si="15"/>
        <v>4440961.1078391233</v>
      </c>
      <c r="I72" s="37">
        <f t="shared" si="15"/>
        <v>-3962440.0417397749</v>
      </c>
      <c r="J72" s="37">
        <f t="shared" si="15"/>
        <v>-3965973.3081798144</v>
      </c>
      <c r="K72" s="37">
        <f t="shared" si="15"/>
        <v>127225.17321842804</v>
      </c>
      <c r="L72" s="37">
        <f t="shared" si="15"/>
        <v>380582.29802384833</v>
      </c>
      <c r="M72" s="37">
        <f t="shared" si="15"/>
        <v>402833.57073682139</v>
      </c>
      <c r="N72" s="37">
        <f t="shared" si="15"/>
        <v>351773.48552384286</v>
      </c>
      <c r="O72" s="59">
        <f t="shared" si="15"/>
        <v>4315464.4079321818</v>
      </c>
    </row>
    <row r="73" spans="1:18" ht="22" customHeight="1" thickTop="1" x14ac:dyDescent="0.2">
      <c r="A73" s="16" t="s">
        <v>159</v>
      </c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51"/>
    </row>
    <row r="74" spans="1:18" ht="18" customHeight="1" x14ac:dyDescent="0.2">
      <c r="A74" s="38"/>
      <c r="B74" s="40" t="s">
        <v>160</v>
      </c>
      <c r="C74" s="39">
        <f t="shared" ref="C74:O74" si="16">IFERROR(-C38/C23,0)</f>
        <v>-0.54154648189463439</v>
      </c>
      <c r="D74" s="39">
        <f t="shared" si="16"/>
        <v>-0.54154648189463539</v>
      </c>
      <c r="E74" s="39">
        <f t="shared" si="16"/>
        <v>-0.53969607577961554</v>
      </c>
      <c r="F74" s="39">
        <f t="shared" si="16"/>
        <v>-0.52416981853855427</v>
      </c>
      <c r="G74" s="39">
        <f t="shared" si="16"/>
        <v>-0.29173879398310798</v>
      </c>
      <c r="H74" s="39">
        <f t="shared" si="16"/>
        <v>-0.29738851760143725</v>
      </c>
      <c r="I74" s="39">
        <f t="shared" si="16"/>
        <v>0</v>
      </c>
      <c r="J74" s="39">
        <f t="shared" si="16"/>
        <v>0</v>
      </c>
      <c r="K74" s="39">
        <f t="shared" si="16"/>
        <v>-0.57018209223456051</v>
      </c>
      <c r="L74" s="39">
        <f t="shared" si="16"/>
        <v>-0.53938850597418286</v>
      </c>
      <c r="M74" s="39">
        <f t="shared" si="16"/>
        <v>-0.53766016761275248</v>
      </c>
      <c r="N74" s="39">
        <f t="shared" si="16"/>
        <v>-0.54211808956579333</v>
      </c>
      <c r="O74" s="60">
        <f t="shared" si="16"/>
        <v>-0.5289157888998075</v>
      </c>
    </row>
    <row r="75" spans="1:18" ht="18" customHeight="1" x14ac:dyDescent="0.2">
      <c r="A75" s="18"/>
      <c r="B75" s="42" t="s">
        <v>161</v>
      </c>
      <c r="C75" s="41">
        <f t="shared" ref="C75:O75" si="17">IFERROR(-(C52+C55+C58)/C23,0)</f>
        <v>-0.41241148774794656</v>
      </c>
      <c r="D75" s="41">
        <f t="shared" si="17"/>
        <v>-0.41241148774794656</v>
      </c>
      <c r="E75" s="41">
        <f t="shared" si="17"/>
        <v>-0.41241148774794656</v>
      </c>
      <c r="F75" s="41">
        <f t="shared" si="17"/>
        <v>-0.39917839358822782</v>
      </c>
      <c r="G75" s="41">
        <f t="shared" si="17"/>
        <v>-0.22242526993957612</v>
      </c>
      <c r="H75" s="41">
        <f t="shared" si="17"/>
        <v>-0.26767552206586037</v>
      </c>
      <c r="I75" s="41">
        <f t="shared" si="17"/>
        <v>0</v>
      </c>
      <c r="J75" s="41">
        <f t="shared" si="17"/>
        <v>0</v>
      </c>
      <c r="K75" s="41">
        <f t="shared" si="17"/>
        <v>-0.41066798922472691</v>
      </c>
      <c r="L75" s="41">
        <f t="shared" si="17"/>
        <v>-0.39788489269504324</v>
      </c>
      <c r="M75" s="41">
        <f t="shared" si="17"/>
        <v>-0.3960647679544112</v>
      </c>
      <c r="N75" s="41">
        <f t="shared" si="17"/>
        <v>-0.39983873522103486</v>
      </c>
      <c r="O75" s="61">
        <f t="shared" si="17"/>
        <v>-0.40900638539076051</v>
      </c>
    </row>
    <row r="76" spans="1:18" ht="18" customHeight="1" x14ac:dyDescent="0.2">
      <c r="A76" s="38"/>
      <c r="B76" s="40" t="s">
        <v>162</v>
      </c>
      <c r="C76" s="39">
        <f t="shared" ref="C76:O76" si="18">IFERROR(C60/C23,0)</f>
        <v>4.604203035741896E-2</v>
      </c>
      <c r="D76" s="39">
        <f t="shared" si="18"/>
        <v>4.6042030357417989E-2</v>
      </c>
      <c r="E76" s="39">
        <f t="shared" si="18"/>
        <v>4.7892436472437891E-2</v>
      </c>
      <c r="F76" s="39">
        <f t="shared" si="18"/>
        <v>7.6651787873217761E-2</v>
      </c>
      <c r="G76" s="39">
        <f t="shared" si="18"/>
        <v>0.48583593607731584</v>
      </c>
      <c r="H76" s="39">
        <f t="shared" si="18"/>
        <v>0.43493596033270238</v>
      </c>
      <c r="I76" s="39">
        <f t="shared" si="18"/>
        <v>0</v>
      </c>
      <c r="J76" s="39">
        <f t="shared" si="18"/>
        <v>0</v>
      </c>
      <c r="K76" s="39">
        <f t="shared" si="18"/>
        <v>1.9149918540712612E-2</v>
      </c>
      <c r="L76" s="39">
        <f t="shared" si="18"/>
        <v>6.2726601330773971E-2</v>
      </c>
      <c r="M76" s="39">
        <f t="shared" si="18"/>
        <v>6.6275064432836261E-2</v>
      </c>
      <c r="N76" s="39">
        <f t="shared" si="18"/>
        <v>5.8043175213171851E-2</v>
      </c>
      <c r="O76" s="60">
        <f t="shared" si="18"/>
        <v>6.2077825709431982E-2</v>
      </c>
    </row>
    <row r="77" spans="1:18" ht="18" customHeight="1" x14ac:dyDescent="0.2">
      <c r="A77" s="43"/>
      <c r="B77" s="44" t="s">
        <v>163</v>
      </c>
      <c r="C77" s="45">
        <f t="shared" ref="C77:O77" si="19">IFERROR(C72/C23,0)</f>
        <v>4.7928439376905149E-2</v>
      </c>
      <c r="D77" s="45">
        <f t="shared" si="19"/>
        <v>4.7928439376904192E-2</v>
      </c>
      <c r="E77" s="45">
        <f t="shared" si="19"/>
        <v>4.9732585339048604E-2</v>
      </c>
      <c r="F77" s="45">
        <f t="shared" si="19"/>
        <v>7.767548963856212E-2</v>
      </c>
      <c r="G77" s="45">
        <f t="shared" si="19"/>
        <v>0.47532822630789495</v>
      </c>
      <c r="H77" s="45">
        <f t="shared" si="19"/>
        <v>0.42573057264193326</v>
      </c>
      <c r="I77" s="45">
        <f t="shared" si="19"/>
        <v>0</v>
      </c>
      <c r="J77" s="45">
        <f t="shared" si="19"/>
        <v>0</v>
      </c>
      <c r="K77" s="45">
        <f t="shared" si="19"/>
        <v>2.1629247657364296E-2</v>
      </c>
      <c r="L77" s="45">
        <f t="shared" si="19"/>
        <v>6.4088468781384425E-2</v>
      </c>
      <c r="M77" s="45">
        <f t="shared" si="19"/>
        <v>6.753525206016453E-2</v>
      </c>
      <c r="N77" s="45">
        <f t="shared" si="19"/>
        <v>5.9536955789874453E-2</v>
      </c>
      <c r="O77" s="62">
        <f t="shared" si="19"/>
        <v>6.360320854266896E-2</v>
      </c>
    </row>
    <row r="78" spans="1:18" ht="24" customHeight="1" x14ac:dyDescent="0.2">
      <c r="A78" s="46" t="s">
        <v>164</v>
      </c>
      <c r="B78" s="46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</row>
    <row r="79" spans="1:18" ht="16" customHeight="1" x14ac:dyDescent="0.2">
      <c r="A79" s="48" t="s">
        <v>165</v>
      </c>
      <c r="B79" s="48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</row>
    <row r="80" spans="1:18" ht="16" customHeight="1" x14ac:dyDescent="0.2">
      <c r="A80" s="48" t="s">
        <v>166</v>
      </c>
      <c r="B80" s="48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</row>
    <row r="81" spans="1:15" ht="16" customHeight="1" x14ac:dyDescent="0.2">
      <c r="A81" s="48" t="s">
        <v>167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1:15" ht="16" customHeight="1" x14ac:dyDescent="0.2">
      <c r="A82" s="48" t="s">
        <v>168</v>
      </c>
      <c r="B82" s="48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</row>
    <row r="83" spans="1:15" ht="16" customHeight="1" x14ac:dyDescent="0.2">
      <c r="A83" s="48" t="s">
        <v>169</v>
      </c>
      <c r="B83" s="48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N38"/>
  <sheetViews>
    <sheetView showGridLines="0" zoomScaleNormal="100" workbookViewId="0">
      <selection activeCell="H24" sqref="H24"/>
    </sheetView>
  </sheetViews>
  <sheetFormatPr baseColWidth="10" defaultColWidth="8.6640625" defaultRowHeight="15" customHeight="1" x14ac:dyDescent="0.2"/>
  <cols>
    <col min="1" max="1" width="58.33203125" customWidth="1"/>
    <col min="2" max="13" width="14.1640625" customWidth="1"/>
    <col min="14" max="14" width="16.6640625" customWidth="1"/>
  </cols>
  <sheetData>
    <row r="1" spans="1:14" ht="30" customHeight="1" x14ac:dyDescent="0.2">
      <c r="A1" s="101" t="s">
        <v>170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20" customHeight="1" x14ac:dyDescent="0.2">
      <c r="A2" s="102" t="s">
        <v>171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6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8" customHeight="1" thickBot="1" x14ac:dyDescent="0.25">
      <c r="A4" s="14"/>
      <c r="B4" s="15" t="s">
        <v>39</v>
      </c>
      <c r="C4" s="15" t="s">
        <v>40</v>
      </c>
      <c r="D4" s="15" t="s">
        <v>41</v>
      </c>
      <c r="E4" s="15" t="s">
        <v>42</v>
      </c>
      <c r="F4" s="15" t="s">
        <v>43</v>
      </c>
      <c r="G4" s="15" t="s">
        <v>44</v>
      </c>
      <c r="H4" s="15" t="s">
        <v>45</v>
      </c>
      <c r="I4" s="15" t="s">
        <v>46</v>
      </c>
      <c r="J4" s="15" t="s">
        <v>47</v>
      </c>
      <c r="K4" s="15" t="s">
        <v>48</v>
      </c>
      <c r="L4" s="15" t="s">
        <v>49</v>
      </c>
      <c r="M4" s="15" t="s">
        <v>50</v>
      </c>
      <c r="N4" s="50" t="s">
        <v>51</v>
      </c>
    </row>
    <row r="5" spans="1:14" ht="22" customHeight="1" x14ac:dyDescent="0.2">
      <c r="A5" s="16" t="s">
        <v>172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5"/>
    </row>
    <row r="6" spans="1:14" ht="18" customHeight="1" x14ac:dyDescent="0.2">
      <c r="A6" s="65" t="s">
        <v>173</v>
      </c>
      <c r="B6" s="66">
        <f>SUM(IFRS_Mapping!C6:C11)</f>
        <v>5602363.7543478264</v>
      </c>
      <c r="C6" s="66">
        <f>SUM(IFRS_Mapping!D6:D11)</f>
        <v>5602363.7543478264</v>
      </c>
      <c r="D6" s="66">
        <f>SUM(IFRS_Mapping!E6:E11)</f>
        <v>5602363.7543478264</v>
      </c>
      <c r="E6" s="66">
        <f>SUM(IFRS_Mapping!F6:F11)</f>
        <v>5602363.7543478264</v>
      </c>
      <c r="F6" s="66">
        <f>SUM(IFRS_Mapping!G6:G11)</f>
        <v>5602363.7543478264</v>
      </c>
      <c r="G6" s="66">
        <f>SUM(IFRS_Mapping!H6:H11)</f>
        <v>5602363.7543478264</v>
      </c>
      <c r="H6" s="66">
        <f>SUM(IFRS_Mapping!I6:I11)</f>
        <v>0</v>
      </c>
      <c r="I6" s="66">
        <f>SUM(IFRS_Mapping!J6:J11)</f>
        <v>0</v>
      </c>
      <c r="J6" s="66">
        <f>SUM(IFRS_Mapping!K6:K11)</f>
        <v>5756089.6239130441</v>
      </c>
      <c r="K6" s="66">
        <f>SUM(IFRS_Mapping!L6:L11)</f>
        <v>5756089.6239130441</v>
      </c>
      <c r="L6" s="66">
        <f>SUM(IFRS_Mapping!M6:M11)</f>
        <v>5756089.6239130441</v>
      </c>
      <c r="M6" s="66">
        <f>SUM(IFRS_Mapping!N6:N11)</f>
        <v>5756089.6239130441</v>
      </c>
      <c r="N6" s="76">
        <f t="shared" ref="N6:N12" si="0">SUM(B6:M6)</f>
        <v>56638541.021739125</v>
      </c>
    </row>
    <row r="7" spans="1:14" ht="18" customHeight="1" x14ac:dyDescent="0.2">
      <c r="A7" s="18" t="s">
        <v>174</v>
      </c>
      <c r="B7" s="19">
        <f>SUM(IFRS_Mapping!C12:C14)</f>
        <v>0</v>
      </c>
      <c r="C7" s="19">
        <f>SUM(IFRS_Mapping!D12:D14)</f>
        <v>0</v>
      </c>
      <c r="D7" s="19">
        <f>SUM(IFRS_Mapping!E12:E14)</f>
        <v>0</v>
      </c>
      <c r="E7" s="19">
        <f>SUM(IFRS_Mapping!F12:F14)</f>
        <v>0</v>
      </c>
      <c r="F7" s="19">
        <f>SUM(IFRS_Mapping!G12:G14)</f>
        <v>4703025</v>
      </c>
      <c r="G7" s="19">
        <f>SUM(IFRS_Mapping!H12:H14)</f>
        <v>4703025</v>
      </c>
      <c r="H7" s="19">
        <f>SUM(IFRS_Mapping!I12:I14)</f>
        <v>0</v>
      </c>
      <c r="I7" s="19">
        <f>SUM(IFRS_Mapping!J12:J14)</f>
        <v>0</v>
      </c>
      <c r="J7" s="19">
        <f>SUM(IFRS_Mapping!K12:K14)</f>
        <v>0</v>
      </c>
      <c r="K7" s="19">
        <f>SUM(IFRS_Mapping!L12:L14)</f>
        <v>48800</v>
      </c>
      <c r="L7" s="19">
        <f>SUM(IFRS_Mapping!M12:M14)</f>
        <v>48800</v>
      </c>
      <c r="M7" s="19">
        <f>SUM(IFRS_Mapping!N12:N14)</f>
        <v>0</v>
      </c>
      <c r="N7" s="52">
        <f t="shared" si="0"/>
        <v>9503650</v>
      </c>
    </row>
    <row r="8" spans="1:14" ht="18" customHeight="1" x14ac:dyDescent="0.2">
      <c r="A8" s="65" t="s">
        <v>175</v>
      </c>
      <c r="B8" s="66">
        <f>SUM(IFRS_Mapping!C15:C17)</f>
        <v>126000</v>
      </c>
      <c r="C8" s="66">
        <f>SUM(IFRS_Mapping!D15:D17)</f>
        <v>126000</v>
      </c>
      <c r="D8" s="66">
        <f>SUM(IFRS_Mapping!E15:E17)</f>
        <v>126000</v>
      </c>
      <c r="E8" s="66">
        <f>SUM(IFRS_Mapping!F15:F17)</f>
        <v>126000</v>
      </c>
      <c r="F8" s="66">
        <f>SUM(IFRS_Mapping!G15:G17)</f>
        <v>126000</v>
      </c>
      <c r="G8" s="66">
        <f>SUM(IFRS_Mapping!H15:H17)</f>
        <v>126000</v>
      </c>
      <c r="H8" s="66">
        <f>SUM(IFRS_Mapping!I15:I17)</f>
        <v>0</v>
      </c>
      <c r="I8" s="66">
        <f>SUM(IFRS_Mapping!J15:J17)</f>
        <v>0</v>
      </c>
      <c r="J8" s="66">
        <f>SUM(IFRS_Mapping!K15:K17)</f>
        <v>126000</v>
      </c>
      <c r="K8" s="66">
        <f>SUM(IFRS_Mapping!L15:L17)</f>
        <v>126000</v>
      </c>
      <c r="L8" s="66">
        <f>SUM(IFRS_Mapping!M15:M17)</f>
        <v>152400</v>
      </c>
      <c r="M8" s="66">
        <f>SUM(IFRS_Mapping!N15:N17)</f>
        <v>152400</v>
      </c>
      <c r="N8" s="76">
        <f t="shared" si="0"/>
        <v>1312800</v>
      </c>
    </row>
    <row r="9" spans="1:14" ht="18" customHeight="1" x14ac:dyDescent="0.2">
      <c r="A9" s="18" t="s">
        <v>176</v>
      </c>
      <c r="B9" s="19">
        <f>SUM(IFRS_Mapping!C18:C21)</f>
        <v>0</v>
      </c>
      <c r="C9" s="19">
        <f>SUM(IFRS_Mapping!D18:D21)</f>
        <v>0</v>
      </c>
      <c r="D9" s="19">
        <f>SUM(IFRS_Mapping!E18:E21)</f>
        <v>0</v>
      </c>
      <c r="E9" s="19">
        <f>SUM(IFRS_Mapping!F18:F21)</f>
        <v>189900</v>
      </c>
      <c r="F9" s="19">
        <f>SUM(IFRS_Mapping!G18:G21)</f>
        <v>189900</v>
      </c>
      <c r="G9" s="19">
        <f>SUM(IFRS_Mapping!H18:H21)</f>
        <v>0</v>
      </c>
      <c r="H9" s="19">
        <f>SUM(IFRS_Mapping!I18:I21)</f>
        <v>0</v>
      </c>
      <c r="I9" s="19">
        <f>SUM(IFRS_Mapping!J18:J21)</f>
        <v>0</v>
      </c>
      <c r="J9" s="19">
        <f>SUM(IFRS_Mapping!K18:K21)</f>
        <v>0</v>
      </c>
      <c r="K9" s="19">
        <f>SUM(IFRS_Mapping!L18:L21)</f>
        <v>7500</v>
      </c>
      <c r="L9" s="19">
        <f>SUM(IFRS_Mapping!M18:M21)</f>
        <v>7500</v>
      </c>
      <c r="M9" s="19">
        <f>SUM(IFRS_Mapping!N18:N21)</f>
        <v>0</v>
      </c>
      <c r="N9" s="52">
        <f t="shared" si="0"/>
        <v>394800</v>
      </c>
    </row>
    <row r="10" spans="1:14" ht="22" customHeight="1" x14ac:dyDescent="0.2">
      <c r="A10" s="24" t="s">
        <v>177</v>
      </c>
      <c r="B10" s="25">
        <f>IFRS_Mapping!C22</f>
        <v>5728363.7543478264</v>
      </c>
      <c r="C10" s="25">
        <f>IFRS_Mapping!D22</f>
        <v>5728363.7543478264</v>
      </c>
      <c r="D10" s="25">
        <f>IFRS_Mapping!E22</f>
        <v>5728363.7543478264</v>
      </c>
      <c r="E10" s="25">
        <f>IFRS_Mapping!F22</f>
        <v>5918263.7543478264</v>
      </c>
      <c r="F10" s="25">
        <f>IFRS_Mapping!G22</f>
        <v>10621288.754347827</v>
      </c>
      <c r="G10" s="25">
        <f>IFRS_Mapping!H22</f>
        <v>10431388.754347827</v>
      </c>
      <c r="H10" s="25">
        <f>IFRS_Mapping!I22</f>
        <v>0</v>
      </c>
      <c r="I10" s="25">
        <f>IFRS_Mapping!J22</f>
        <v>0</v>
      </c>
      <c r="J10" s="25">
        <f>IFRS_Mapping!K22</f>
        <v>5882089.6239130441</v>
      </c>
      <c r="K10" s="25">
        <f>IFRS_Mapping!L22</f>
        <v>5938389.6239130441</v>
      </c>
      <c r="L10" s="25">
        <f>IFRS_Mapping!M22</f>
        <v>5964789.6239130441</v>
      </c>
      <c r="M10" s="25">
        <f>IFRS_Mapping!N22</f>
        <v>5908489.6239130441</v>
      </c>
      <c r="N10" s="54">
        <f t="shared" si="0"/>
        <v>67849791.021739125</v>
      </c>
    </row>
    <row r="11" spans="1:14" ht="18" customHeight="1" thickBot="1" x14ac:dyDescent="0.25">
      <c r="A11" s="18" t="s">
        <v>178</v>
      </c>
      <c r="B11" s="19">
        <f>0</f>
        <v>0</v>
      </c>
      <c r="C11" s="19">
        <f>0</f>
        <v>0</v>
      </c>
      <c r="D11" s="19">
        <f>0</f>
        <v>0</v>
      </c>
      <c r="E11" s="19">
        <f>0</f>
        <v>0</v>
      </c>
      <c r="F11" s="19">
        <f>0</f>
        <v>0</v>
      </c>
      <c r="G11" s="19">
        <f>0</f>
        <v>0</v>
      </c>
      <c r="H11" s="19">
        <f>0</f>
        <v>0</v>
      </c>
      <c r="I11" s="19">
        <f>0</f>
        <v>0</v>
      </c>
      <c r="J11" s="19">
        <f>0</f>
        <v>0</v>
      </c>
      <c r="K11" s="19">
        <f>0</f>
        <v>0</v>
      </c>
      <c r="L11" s="19">
        <f>0</f>
        <v>0</v>
      </c>
      <c r="M11" s="19">
        <f>0</f>
        <v>0</v>
      </c>
      <c r="N11" s="52">
        <f t="shared" si="0"/>
        <v>0</v>
      </c>
    </row>
    <row r="12" spans="1:14" ht="24" customHeight="1" thickTop="1" thickBot="1" x14ac:dyDescent="0.25">
      <c r="A12" s="26" t="s">
        <v>179</v>
      </c>
      <c r="B12" s="27">
        <f>IFRS_Mapping!C23</f>
        <v>5728363.7543478264</v>
      </c>
      <c r="C12" s="27">
        <f>IFRS_Mapping!D23</f>
        <v>5728363.7543478264</v>
      </c>
      <c r="D12" s="27">
        <f>IFRS_Mapping!E23</f>
        <v>5728363.7543478264</v>
      </c>
      <c r="E12" s="27">
        <f>IFRS_Mapping!F23</f>
        <v>5918263.7543478264</v>
      </c>
      <c r="F12" s="27">
        <f>IFRS_Mapping!G23</f>
        <v>10621288.754347827</v>
      </c>
      <c r="G12" s="27">
        <f>IFRS_Mapping!H23</f>
        <v>10431388.754347827</v>
      </c>
      <c r="H12" s="27">
        <f>IFRS_Mapping!I23</f>
        <v>0</v>
      </c>
      <c r="I12" s="27">
        <f>IFRS_Mapping!J23</f>
        <v>0</v>
      </c>
      <c r="J12" s="27">
        <f>IFRS_Mapping!K23</f>
        <v>5882089.6239130441</v>
      </c>
      <c r="K12" s="27">
        <f>IFRS_Mapping!L23</f>
        <v>5938389.6239130441</v>
      </c>
      <c r="L12" s="27">
        <f>IFRS_Mapping!M23</f>
        <v>5964789.6239130441</v>
      </c>
      <c r="M12" s="27">
        <f>IFRS_Mapping!N23</f>
        <v>5908489.6239130441</v>
      </c>
      <c r="N12" s="53">
        <f t="shared" si="0"/>
        <v>67849791.021739125</v>
      </c>
    </row>
    <row r="13" spans="1:14" ht="6" customHeight="1" thickTop="1" x14ac:dyDescent="0.2">
      <c r="A13" s="21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8"/>
    </row>
    <row r="14" spans="1:14" ht="22" customHeight="1" x14ac:dyDescent="0.2">
      <c r="A14" s="16" t="s">
        <v>180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5"/>
    </row>
    <row r="15" spans="1:14" ht="18" customHeight="1" x14ac:dyDescent="0.2">
      <c r="A15" s="65" t="s">
        <v>181</v>
      </c>
      <c r="B15" s="66">
        <f>-IFRS_Mapping!C38</f>
        <v>-3102175.2381798052</v>
      </c>
      <c r="C15" s="66">
        <f>-IFRS_Mapping!D38</f>
        <v>-3102175.2381798108</v>
      </c>
      <c r="D15" s="66">
        <f>-IFRS_Mapping!E38</f>
        <v>-3091575.4388597072</v>
      </c>
      <c r="E15" s="66">
        <f>-IFRS_Mapping!F38</f>
        <v>-3102175.2381798034</v>
      </c>
      <c r="F15" s="66">
        <f>-IFRS_Mapping!G38</f>
        <v>-3098641.9717397825</v>
      </c>
      <c r="G15" s="66">
        <f>-IFRS_Mapping!H38</f>
        <v>-3102175.2381798034</v>
      </c>
      <c r="H15" s="66">
        <f>-IFRS_Mapping!I38</f>
        <v>-2158641.971739775</v>
      </c>
      <c r="I15" s="66">
        <f>-IFRS_Mapping!J38</f>
        <v>-2162175.2381798145</v>
      </c>
      <c r="J15" s="66">
        <f>-IFRS_Mapping!K38</f>
        <v>-3353862.1684739385</v>
      </c>
      <c r="K15" s="66">
        <f>-IFRS_Mapping!L38</f>
        <v>-3203099.1071350463</v>
      </c>
      <c r="L15" s="66">
        <f>-IFRS_Mapping!M38</f>
        <v>-3207029.7889678944</v>
      </c>
      <c r="M15" s="66">
        <f>-IFRS_Mapping!N38</f>
        <v>-3203099.1071350519</v>
      </c>
      <c r="N15" s="76">
        <f>SUM(B15:M15)</f>
        <v>-35886825.744950235</v>
      </c>
    </row>
    <row r="16" spans="1:14" ht="18" customHeight="1" x14ac:dyDescent="0.2">
      <c r="A16" s="18" t="s">
        <v>182</v>
      </c>
      <c r="B16" s="19">
        <f>-IFRS_Mapping!C52</f>
        <v>-1922625.0182919996</v>
      </c>
      <c r="C16" s="19">
        <f>-IFRS_Mapping!D52</f>
        <v>-1922625.0182919996</v>
      </c>
      <c r="D16" s="19">
        <f>-IFRS_Mapping!E52</f>
        <v>-1922625.0182919996</v>
      </c>
      <c r="E16" s="19">
        <f>-IFRS_Mapping!F52</f>
        <v>-1922625.0182919996</v>
      </c>
      <c r="F16" s="19">
        <f>-IFRS_Mapping!G52</f>
        <v>-1922625.0182919996</v>
      </c>
      <c r="G16" s="19">
        <f>-IFRS_Mapping!H52</f>
        <v>-2352409.4306919998</v>
      </c>
      <c r="H16" s="19">
        <f>-IFRS_Mapping!I52</f>
        <v>-1381825.8899999997</v>
      </c>
      <c r="I16" s="19">
        <f>-IFRS_Mapping!J52</f>
        <v>-1381825.8899999997</v>
      </c>
      <c r="J16" s="19">
        <f>-IFRS_Mapping!K52</f>
        <v>-1975767.9182919997</v>
      </c>
      <c r="K16" s="19">
        <f>-IFRS_Mapping!L52</f>
        <v>-1922977.5182919996</v>
      </c>
      <c r="L16" s="19">
        <f>-IFRS_Mapping!M52</f>
        <v>-1922625.0182919996</v>
      </c>
      <c r="M16" s="19">
        <f>-IFRS_Mapping!N52</f>
        <v>-1922625.0182919996</v>
      </c>
      <c r="N16" s="52">
        <f>SUM(B16:M16)</f>
        <v>-22473181.775319993</v>
      </c>
    </row>
    <row r="17" spans="1:14" ht="18" customHeight="1" x14ac:dyDescent="0.2">
      <c r="A17" s="65" t="s">
        <v>183</v>
      </c>
      <c r="B17" s="66">
        <f>-IFRS_Mapping!C55</f>
        <v>-439818</v>
      </c>
      <c r="C17" s="66">
        <f>-IFRS_Mapping!D55</f>
        <v>-439818</v>
      </c>
      <c r="D17" s="66">
        <f>-IFRS_Mapping!E55</f>
        <v>-439818</v>
      </c>
      <c r="E17" s="66">
        <f>-IFRS_Mapping!F55</f>
        <v>-439818</v>
      </c>
      <c r="F17" s="66">
        <f>-IFRS_Mapping!G55</f>
        <v>-439818</v>
      </c>
      <c r="G17" s="66">
        <f>-IFRS_Mapping!H55</f>
        <v>-439818</v>
      </c>
      <c r="H17" s="66">
        <f>-IFRS_Mapping!I55</f>
        <v>-439818</v>
      </c>
      <c r="I17" s="66">
        <f>-IFRS_Mapping!J55</f>
        <v>-439818</v>
      </c>
      <c r="J17" s="66">
        <f>-IFRS_Mapping!K55</f>
        <v>-439818</v>
      </c>
      <c r="K17" s="66">
        <f>-IFRS_Mapping!L55</f>
        <v>-439818</v>
      </c>
      <c r="L17" s="66">
        <f>-IFRS_Mapping!M55</f>
        <v>-439818</v>
      </c>
      <c r="M17" s="66">
        <f>-IFRS_Mapping!N55</f>
        <v>-439818</v>
      </c>
      <c r="N17" s="76">
        <f>SUM(B17:M17)</f>
        <v>-5277816</v>
      </c>
    </row>
    <row r="18" spans="1:14" ht="18" customHeight="1" x14ac:dyDescent="0.2">
      <c r="A18" s="18" t="s">
        <v>184</v>
      </c>
      <c r="B18" s="19">
        <f>-IFRS_Mapping!C58</f>
        <v>0</v>
      </c>
      <c r="C18" s="19">
        <f>-IFRS_Mapping!D58</f>
        <v>0</v>
      </c>
      <c r="D18" s="19">
        <f>-IFRS_Mapping!E58</f>
        <v>0</v>
      </c>
      <c r="E18" s="19">
        <f>-IFRS_Mapping!F58</f>
        <v>0</v>
      </c>
      <c r="F18" s="19">
        <f>-IFRS_Mapping!G58</f>
        <v>0</v>
      </c>
      <c r="G18" s="19">
        <f>-IFRS_Mapping!H58</f>
        <v>0</v>
      </c>
      <c r="H18" s="19">
        <f>-IFRS_Mapping!I58</f>
        <v>0</v>
      </c>
      <c r="I18" s="19">
        <f>-IFRS_Mapping!J58</f>
        <v>0</v>
      </c>
      <c r="J18" s="19">
        <f>-IFRS_Mapping!K58</f>
        <v>0</v>
      </c>
      <c r="K18" s="19">
        <f>-IFRS_Mapping!L58</f>
        <v>0</v>
      </c>
      <c r="L18" s="19">
        <f>-IFRS_Mapping!M58</f>
        <v>0</v>
      </c>
      <c r="M18" s="19">
        <f>-IFRS_Mapping!N58</f>
        <v>0</v>
      </c>
      <c r="N18" s="52">
        <f>SUM(B18:M18)</f>
        <v>0</v>
      </c>
    </row>
    <row r="19" spans="1:14" ht="22" customHeight="1" x14ac:dyDescent="0.2">
      <c r="A19" s="24" t="s">
        <v>185</v>
      </c>
      <c r="B19" s="25">
        <f>-IFRS_Mapping!C59</f>
        <v>-5464618.2564718053</v>
      </c>
      <c r="C19" s="25">
        <f>-IFRS_Mapping!D59</f>
        <v>-5464618.2564718109</v>
      </c>
      <c r="D19" s="25">
        <f>-IFRS_Mapping!E59</f>
        <v>-5454018.4571517073</v>
      </c>
      <c r="E19" s="25">
        <f>-IFRS_Mapping!F59</f>
        <v>-5464618.2564718034</v>
      </c>
      <c r="F19" s="25">
        <f>-IFRS_Mapping!G59</f>
        <v>-5461084.9900317825</v>
      </c>
      <c r="G19" s="25">
        <f>-IFRS_Mapping!H59</f>
        <v>-5894402.6688718032</v>
      </c>
      <c r="H19" s="25">
        <f>-IFRS_Mapping!I59</f>
        <v>-3980285.8617397747</v>
      </c>
      <c r="I19" s="25">
        <f>-IFRS_Mapping!J59</f>
        <v>-3983819.1281798142</v>
      </c>
      <c r="J19" s="25">
        <f>-IFRS_Mapping!K59</f>
        <v>-5769448.0867659384</v>
      </c>
      <c r="K19" s="25">
        <f>-IFRS_Mapping!L59</f>
        <v>-5565894.6254270459</v>
      </c>
      <c r="L19" s="25">
        <f>-IFRS_Mapping!M59</f>
        <v>-5569472.807259894</v>
      </c>
      <c r="M19" s="25">
        <f>-IFRS_Mapping!N59</f>
        <v>-5565542.1254270514</v>
      </c>
      <c r="N19" s="54">
        <f>SUM(B19:M19)</f>
        <v>-63637823.520270228</v>
      </c>
    </row>
    <row r="20" spans="1:14" ht="6" customHeight="1" x14ac:dyDescent="0.2">
      <c r="A20" s="21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1:14" ht="24" customHeight="1" thickBot="1" x14ac:dyDescent="0.25">
      <c r="A21" s="79" t="s">
        <v>142</v>
      </c>
      <c r="B21" s="80">
        <f>IFRS_Mapping!C60</f>
        <v>263745.49787602108</v>
      </c>
      <c r="C21" s="80">
        <f>IFRS_Mapping!D60</f>
        <v>263745.49787601549</v>
      </c>
      <c r="D21" s="80">
        <f>IFRS_Mapping!E60</f>
        <v>274345.29719611909</v>
      </c>
      <c r="E21" s="80">
        <f>IFRS_Mapping!F60</f>
        <v>453645.49787602294</v>
      </c>
      <c r="F21" s="80">
        <f>IFRS_Mapping!G60</f>
        <v>5160203.7643160447</v>
      </c>
      <c r="G21" s="80">
        <f>IFRS_Mapping!H60</f>
        <v>4536986.0854760241</v>
      </c>
      <c r="H21" s="80">
        <f>IFRS_Mapping!I60</f>
        <v>-3980285.8617397747</v>
      </c>
      <c r="I21" s="80">
        <f>IFRS_Mapping!J60</f>
        <v>-3983819.1281798142</v>
      </c>
      <c r="J21" s="80">
        <f>IFRS_Mapping!K60</f>
        <v>112641.53714710567</v>
      </c>
      <c r="K21" s="80">
        <f>IFRS_Mapping!L60</f>
        <v>372494.99848599825</v>
      </c>
      <c r="L21" s="80">
        <f>IFRS_Mapping!M60</f>
        <v>395316.81665315013</v>
      </c>
      <c r="M21" s="80">
        <f>IFRS_Mapping!N60</f>
        <v>342947.49848599266</v>
      </c>
      <c r="N21" s="81">
        <f>SUM(B21:M21)</f>
        <v>4211967.5014689043</v>
      </c>
    </row>
    <row r="22" spans="1:14" ht="6" customHeight="1" x14ac:dyDescent="0.2">
      <c r="A22" s="21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8"/>
    </row>
    <row r="23" spans="1:14" ht="22" customHeight="1" x14ac:dyDescent="0.2">
      <c r="A23" s="16" t="s">
        <v>186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5"/>
    </row>
    <row r="24" spans="1:14" ht="18" customHeight="1" x14ac:dyDescent="0.2">
      <c r="A24" s="65" t="s">
        <v>187</v>
      </c>
      <c r="B24" s="66">
        <f>IFRS_Mapping!C64</f>
        <v>41666.67</v>
      </c>
      <c r="C24" s="66">
        <f>IFRS_Mapping!D64</f>
        <v>41666.67</v>
      </c>
      <c r="D24" s="66">
        <f>IFRS_Mapping!E64</f>
        <v>41666.67</v>
      </c>
      <c r="E24" s="66">
        <f>IFRS_Mapping!F64</f>
        <v>41666.67</v>
      </c>
      <c r="F24" s="66">
        <f>IFRS_Mapping!G64</f>
        <v>41666.67</v>
      </c>
      <c r="G24" s="66">
        <f>IFRS_Mapping!H64</f>
        <v>41666.67</v>
      </c>
      <c r="H24" s="66">
        <f>IFRS_Mapping!I64</f>
        <v>41666.67</v>
      </c>
      <c r="I24" s="66">
        <f>IFRS_Mapping!J64</f>
        <v>41666.67</v>
      </c>
      <c r="J24" s="66">
        <f>IFRS_Mapping!K64</f>
        <v>41666.67</v>
      </c>
      <c r="K24" s="66">
        <f>IFRS_Mapping!L64</f>
        <v>41666.67</v>
      </c>
      <c r="L24" s="66">
        <f>IFRS_Mapping!M64</f>
        <v>41666.67</v>
      </c>
      <c r="M24" s="66">
        <f>IFRS_Mapping!N64</f>
        <v>41666.67</v>
      </c>
      <c r="N24" s="76">
        <f>SUM(B24:M24)</f>
        <v>500000.03999999986</v>
      </c>
    </row>
    <row r="25" spans="1:14" ht="18" customHeight="1" x14ac:dyDescent="0.2">
      <c r="A25" s="18" t="s">
        <v>188</v>
      </c>
      <c r="B25" s="19">
        <f>-IFRS_Mapping!C68</f>
        <v>-23820.85</v>
      </c>
      <c r="C25" s="19">
        <f>-IFRS_Mapping!D68</f>
        <v>-23820.85</v>
      </c>
      <c r="D25" s="19">
        <f>-IFRS_Mapping!E68</f>
        <v>-23820.85</v>
      </c>
      <c r="E25" s="19">
        <f>-IFRS_Mapping!F68</f>
        <v>-23820.85</v>
      </c>
      <c r="F25" s="19">
        <f>-IFRS_Mapping!G68</f>
        <v>-23820.85</v>
      </c>
      <c r="G25" s="19">
        <f>-IFRS_Mapping!H68</f>
        <v>-23820.85</v>
      </c>
      <c r="H25" s="19">
        <f>-IFRS_Mapping!I68</f>
        <v>-23820.85</v>
      </c>
      <c r="I25" s="19">
        <f>-IFRS_Mapping!J68</f>
        <v>-23820.85</v>
      </c>
      <c r="J25" s="19">
        <f>-IFRS_Mapping!K68</f>
        <v>-23820.85</v>
      </c>
      <c r="K25" s="19">
        <f>-IFRS_Mapping!L68</f>
        <v>-23820.85</v>
      </c>
      <c r="L25" s="19">
        <f>-IFRS_Mapping!M68</f>
        <v>-23820.85</v>
      </c>
      <c r="M25" s="19">
        <f>-IFRS_Mapping!N68</f>
        <v>-23820.85</v>
      </c>
      <c r="N25" s="52">
        <f>SUM(B25:M25)</f>
        <v>-285850.2</v>
      </c>
    </row>
    <row r="26" spans="1:14" ht="22" customHeight="1" x14ac:dyDescent="0.2">
      <c r="A26" s="24" t="s">
        <v>153</v>
      </c>
      <c r="B26" s="25">
        <f>IFRS_Mapping!C69</f>
        <v>17845.82</v>
      </c>
      <c r="C26" s="25">
        <f>IFRS_Mapping!D69</f>
        <v>17845.82</v>
      </c>
      <c r="D26" s="25">
        <f>IFRS_Mapping!E69</f>
        <v>17845.82</v>
      </c>
      <c r="E26" s="25">
        <f>IFRS_Mapping!F69</f>
        <v>17845.82</v>
      </c>
      <c r="F26" s="25">
        <f>IFRS_Mapping!G69</f>
        <v>17845.82</v>
      </c>
      <c r="G26" s="25">
        <f>IFRS_Mapping!H69</f>
        <v>17845.82</v>
      </c>
      <c r="H26" s="25">
        <f>IFRS_Mapping!I69</f>
        <v>17845.82</v>
      </c>
      <c r="I26" s="25">
        <f>IFRS_Mapping!J69</f>
        <v>17845.82</v>
      </c>
      <c r="J26" s="25">
        <f>IFRS_Mapping!K69</f>
        <v>17845.82</v>
      </c>
      <c r="K26" s="25">
        <f>IFRS_Mapping!L69</f>
        <v>17845.82</v>
      </c>
      <c r="L26" s="25">
        <f>IFRS_Mapping!M69</f>
        <v>17845.82</v>
      </c>
      <c r="M26" s="25">
        <f>IFRS_Mapping!N69</f>
        <v>17845.82</v>
      </c>
      <c r="N26" s="54">
        <f>SUM(B26:M26)</f>
        <v>214149.84000000005</v>
      </c>
    </row>
    <row r="27" spans="1:14" ht="6" customHeight="1" x14ac:dyDescent="0.2">
      <c r="A27" s="21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8"/>
    </row>
    <row r="28" spans="1:14" ht="24" customHeight="1" thickBot="1" x14ac:dyDescent="0.25">
      <c r="A28" s="79" t="s">
        <v>154</v>
      </c>
      <c r="B28" s="80">
        <f>IFRS_Mapping!C70</f>
        <v>281591.31787602109</v>
      </c>
      <c r="C28" s="80">
        <f>IFRS_Mapping!D70</f>
        <v>281591.3178760155</v>
      </c>
      <c r="D28" s="80">
        <f>IFRS_Mapping!E70</f>
        <v>292191.1171961191</v>
      </c>
      <c r="E28" s="80">
        <f>IFRS_Mapping!F70</f>
        <v>471491.31787602295</v>
      </c>
      <c r="F28" s="80">
        <f>IFRS_Mapping!G70</f>
        <v>5178049.584316045</v>
      </c>
      <c r="G28" s="80">
        <f>IFRS_Mapping!H70</f>
        <v>4554831.9054760244</v>
      </c>
      <c r="H28" s="80">
        <f>IFRS_Mapping!I70</f>
        <v>-3962440.0417397749</v>
      </c>
      <c r="I28" s="80">
        <f>IFRS_Mapping!J70</f>
        <v>-3965973.3081798144</v>
      </c>
      <c r="J28" s="80">
        <f>IFRS_Mapping!K70</f>
        <v>130487.35714710568</v>
      </c>
      <c r="K28" s="80">
        <f>IFRS_Mapping!L70</f>
        <v>390340.81848599826</v>
      </c>
      <c r="L28" s="80">
        <f>IFRS_Mapping!M70</f>
        <v>413162.63665315014</v>
      </c>
      <c r="M28" s="80">
        <f>IFRS_Mapping!N70</f>
        <v>360793.31848599267</v>
      </c>
      <c r="N28" s="81">
        <f>SUM(B28:M28)</f>
        <v>4426117.3414689042</v>
      </c>
    </row>
    <row r="29" spans="1:14" ht="18" customHeight="1" x14ac:dyDescent="0.2">
      <c r="A29" s="18" t="s">
        <v>189</v>
      </c>
      <c r="B29" s="19">
        <f>-IFRS_Mapping!C71</f>
        <v>7039.7829469005273</v>
      </c>
      <c r="C29" s="19">
        <f>-IFRS_Mapping!D71</f>
        <v>7039.7829469003882</v>
      </c>
      <c r="D29" s="19">
        <f>-IFRS_Mapping!E71</f>
        <v>7304.777929902978</v>
      </c>
      <c r="E29" s="19">
        <f>-IFRS_Mapping!F71</f>
        <v>11787.282946900574</v>
      </c>
      <c r="F29" s="19">
        <f>-IFRS_Mapping!G71</f>
        <v>129451.23960790114</v>
      </c>
      <c r="G29" s="19">
        <f>-IFRS_Mapping!H71</f>
        <v>113870.79763690062</v>
      </c>
      <c r="H29" s="19">
        <f>-IFRS_Mapping!I71</f>
        <v>0</v>
      </c>
      <c r="I29" s="19">
        <f>-IFRS_Mapping!J71</f>
        <v>0</v>
      </c>
      <c r="J29" s="19">
        <f>-IFRS_Mapping!K71</f>
        <v>3262.1839286776421</v>
      </c>
      <c r="K29" s="19">
        <f>-IFRS_Mapping!L71</f>
        <v>9758.5204621499561</v>
      </c>
      <c r="L29" s="19">
        <f>-IFRS_Mapping!M71</f>
        <v>10329.065916328755</v>
      </c>
      <c r="M29" s="19">
        <f>-IFRS_Mapping!N71</f>
        <v>9019.8329621498178</v>
      </c>
      <c r="N29" s="52">
        <f>SUM(B29:M29)</f>
        <v>308863.26728471235</v>
      </c>
    </row>
    <row r="30" spans="1:14" ht="6" customHeight="1" thickBot="1" x14ac:dyDescent="0.25">
      <c r="A30" s="21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8"/>
    </row>
    <row r="31" spans="1:14" ht="26" customHeight="1" thickTop="1" thickBot="1" x14ac:dyDescent="0.25">
      <c r="A31" s="36" t="s">
        <v>158</v>
      </c>
      <c r="B31" s="37">
        <f>IFRS_Mapping!C72</f>
        <v>274551.53492912056</v>
      </c>
      <c r="C31" s="37">
        <f>IFRS_Mapping!D72</f>
        <v>274551.53492911509</v>
      </c>
      <c r="D31" s="37">
        <f>IFRS_Mapping!E72</f>
        <v>284886.33926621615</v>
      </c>
      <c r="E31" s="37">
        <f>IFRS_Mapping!F72</f>
        <v>459704.03492912237</v>
      </c>
      <c r="F31" s="37">
        <f>IFRS_Mapping!G72</f>
        <v>5048598.3447081437</v>
      </c>
      <c r="G31" s="37">
        <f>IFRS_Mapping!H72</f>
        <v>4440961.1078391233</v>
      </c>
      <c r="H31" s="37">
        <f>IFRS_Mapping!I72</f>
        <v>-3962440.0417397749</v>
      </c>
      <c r="I31" s="37">
        <f>IFRS_Mapping!J72</f>
        <v>-3965973.3081798144</v>
      </c>
      <c r="J31" s="37">
        <f>IFRS_Mapping!K72</f>
        <v>127225.17321842804</v>
      </c>
      <c r="K31" s="37">
        <f>IFRS_Mapping!L72</f>
        <v>380582.29802384833</v>
      </c>
      <c r="L31" s="37">
        <f>IFRS_Mapping!M72</f>
        <v>402833.57073682139</v>
      </c>
      <c r="M31" s="37">
        <f>IFRS_Mapping!N72</f>
        <v>351773.48552384286</v>
      </c>
      <c r="N31" s="59">
        <f>SUM(B31:M31)</f>
        <v>4117254.0741841937</v>
      </c>
    </row>
    <row r="32" spans="1:14" ht="8" customHeight="1" thickTop="1" x14ac:dyDescent="0.2">
      <c r="A32" s="2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22" customHeight="1" x14ac:dyDescent="0.2">
      <c r="A33" s="82" t="s">
        <v>164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</row>
    <row r="34" spans="1:14" ht="16" customHeight="1" x14ac:dyDescent="0.2">
      <c r="A34" s="48" t="s">
        <v>190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</row>
    <row r="35" spans="1:14" ht="16" customHeight="1" x14ac:dyDescent="0.2">
      <c r="A35" s="48" t="s">
        <v>191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</row>
    <row r="36" spans="1:14" ht="16" customHeight="1" x14ac:dyDescent="0.2">
      <c r="A36" s="48" t="s">
        <v>192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</row>
    <row r="37" spans="1:14" ht="16" customHeight="1" x14ac:dyDescent="0.2">
      <c r="A37" s="48" t="s">
        <v>193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</row>
    <row r="38" spans="1:14" ht="16" customHeight="1" x14ac:dyDescent="0.2">
      <c r="A38" s="48" t="s">
        <v>194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Data_Links</vt:lpstr>
      <vt:lpstr>IFRS_Mapping</vt:lpstr>
      <vt:lpstr>IFRS_Income_Statement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Faker Helali</cp:lastModifiedBy>
  <cp:revision>0</cp:revision>
  <dcterms:created xsi:type="dcterms:W3CDTF">2026-03-23T08:39:06Z</dcterms:created>
  <dcterms:modified xsi:type="dcterms:W3CDTF">2026-03-23T16:34:57Z</dcterms:modified>
  <dc:language>en-US</dc:language>
</cp:coreProperties>
</file>