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get 2026 EFIR/Budget 2026/"/>
    </mc:Choice>
  </mc:AlternateContent>
  <xr:revisionPtr revIDLastSave="0" documentId="13_ncr:1_{71A3F971-BD2A-F341-906A-30418C5428A3}" xr6:coauthVersionLast="47" xr6:coauthVersionMax="47" xr10:uidLastSave="{00000000-0000-0000-0000-000000000000}"/>
  <bookViews>
    <workbookView xWindow="0" yWindow="600" windowWidth="51200" windowHeight="26420" tabRatio="500" activeTab="1" xr2:uid="{00000000-000D-0000-FFFF-FFFF00000000}"/>
  </bookViews>
  <sheets>
    <sheet name="Reference_Data" sheetId="1" r:id="rId1"/>
    <sheet name="Operating_Expenses" sheetId="2" r:id="rId2"/>
    <sheet name="Non_Operating_Item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5" i="3" l="1"/>
  <c r="F15" i="3" s="1"/>
  <c r="G15" i="3" s="1"/>
  <c r="H15" i="3" s="1"/>
  <c r="I15" i="3" s="1"/>
  <c r="J15" i="3" s="1"/>
  <c r="K15" i="3" s="1"/>
  <c r="L15" i="3" s="1"/>
  <c r="M15" i="3" s="1"/>
  <c r="N15" i="3" s="1"/>
  <c r="D15" i="3"/>
  <c r="E20" i="3"/>
  <c r="F20" i="3" s="1"/>
  <c r="G20" i="3" s="1"/>
  <c r="H20" i="3" s="1"/>
  <c r="I20" i="3" s="1"/>
  <c r="J20" i="3" s="1"/>
  <c r="K20" i="3" s="1"/>
  <c r="L20" i="3" s="1"/>
  <c r="M20" i="3" s="1"/>
  <c r="N20" i="3" s="1"/>
  <c r="D20" i="3"/>
  <c r="O43" i="2"/>
  <c r="N34" i="2"/>
  <c r="M34" i="2"/>
  <c r="L34" i="2"/>
  <c r="K34" i="2"/>
  <c r="J34" i="2"/>
  <c r="I34" i="2"/>
  <c r="H34" i="2"/>
  <c r="G34" i="2"/>
  <c r="F34" i="2"/>
  <c r="E34" i="2"/>
  <c r="D34" i="2"/>
  <c r="C34" i="2"/>
  <c r="C33" i="2"/>
  <c r="D33" i="2" s="1"/>
  <c r="E33" i="2" s="1"/>
  <c r="F33" i="2" s="1"/>
  <c r="G33" i="2" s="1"/>
  <c r="H33" i="2" s="1"/>
  <c r="K33" i="2" s="1"/>
  <c r="L33" i="2" s="1"/>
  <c r="M33" i="2" s="1"/>
  <c r="N33" i="2" s="1"/>
  <c r="N24" i="2"/>
  <c r="M24" i="2"/>
  <c r="L24" i="2"/>
  <c r="K24" i="2"/>
  <c r="J24" i="2"/>
  <c r="I24" i="2"/>
  <c r="H24" i="2"/>
  <c r="G24" i="2"/>
  <c r="F24" i="2"/>
  <c r="E24" i="2"/>
  <c r="D24" i="2"/>
  <c r="C24" i="2"/>
  <c r="C18" i="2"/>
  <c r="D18" i="2" s="1"/>
  <c r="E18" i="2" s="1"/>
  <c r="F18" i="2" s="1"/>
  <c r="G18" i="2" s="1"/>
  <c r="H18" i="2" s="1"/>
  <c r="K18" i="2" s="1"/>
  <c r="L18" i="2" s="1"/>
  <c r="M18" i="2" s="1"/>
  <c r="N18" i="2" s="1"/>
  <c r="C14" i="2"/>
  <c r="D14" i="2" s="1"/>
  <c r="E14" i="2" s="1"/>
  <c r="F14" i="2" s="1"/>
  <c r="G14" i="2" s="1"/>
  <c r="H14" i="2" s="1"/>
  <c r="K14" i="2" s="1"/>
  <c r="L14" i="2" s="1"/>
  <c r="M14" i="2" s="1"/>
  <c r="N14" i="2" s="1"/>
  <c r="N44" i="2"/>
  <c r="M44" i="2"/>
  <c r="L44" i="2"/>
  <c r="K44" i="2"/>
  <c r="J44" i="2"/>
  <c r="I44" i="2"/>
  <c r="H44" i="2"/>
  <c r="G44" i="2"/>
  <c r="F44" i="2"/>
  <c r="E44" i="2"/>
  <c r="D44" i="2"/>
  <c r="C44" i="2"/>
  <c r="C38" i="2"/>
  <c r="D38" i="2" s="1"/>
  <c r="E38" i="2" s="1"/>
  <c r="F38" i="2" s="1"/>
  <c r="G38" i="2" s="1"/>
  <c r="H38" i="2" s="1"/>
  <c r="K38" i="2" s="1"/>
  <c r="L38" i="2" s="1"/>
  <c r="M38" i="2" s="1"/>
  <c r="N38" i="2" s="1"/>
  <c r="C39" i="2"/>
  <c r="D39" i="2" s="1"/>
  <c r="E39" i="2" s="1"/>
  <c r="F39" i="2" s="1"/>
  <c r="G39" i="2" s="1"/>
  <c r="H39" i="2" s="1"/>
  <c r="K39" i="2" s="1"/>
  <c r="L39" i="2" s="1"/>
  <c r="M39" i="2" s="1"/>
  <c r="N39" i="2" s="1"/>
  <c r="C42" i="2"/>
  <c r="D42" i="2" s="1"/>
  <c r="E42" i="2" s="1"/>
  <c r="F42" i="2" s="1"/>
  <c r="G42" i="2" s="1"/>
  <c r="H42" i="2" s="1"/>
  <c r="K42" i="2" s="1"/>
  <c r="L42" i="2" s="1"/>
  <c r="M42" i="2" s="1"/>
  <c r="N42" i="2" s="1"/>
  <c r="C41" i="2"/>
  <c r="D41" i="2"/>
  <c r="E41" i="2" s="1"/>
  <c r="F41" i="2" s="1"/>
  <c r="G41" i="2" s="1"/>
  <c r="H41" i="2" s="1"/>
  <c r="K41" i="2" s="1"/>
  <c r="L41" i="2" s="1"/>
  <c r="M41" i="2" s="1"/>
  <c r="N41" i="2" s="1"/>
  <c r="C40" i="2"/>
  <c r="D40" i="2" s="1"/>
  <c r="E40" i="2" s="1"/>
  <c r="F40" i="2" s="1"/>
  <c r="G40" i="2" s="1"/>
  <c r="H40" i="2" s="1"/>
  <c r="K40" i="2" s="1"/>
  <c r="L40" i="2" s="1"/>
  <c r="M40" i="2" s="1"/>
  <c r="N40" i="2" s="1"/>
  <c r="P71" i="2"/>
  <c r="P65" i="2"/>
  <c r="P61" i="2"/>
  <c r="P56" i="2"/>
  <c r="P51" i="2"/>
  <c r="P45" i="2"/>
  <c r="P35" i="2"/>
  <c r="P73" i="2" s="1"/>
  <c r="P30" i="2"/>
  <c r="P25" i="2"/>
  <c r="P20" i="2"/>
  <c r="P15" i="2"/>
  <c r="P9" i="2"/>
  <c r="R71" i="2" l="1"/>
  <c r="Q71" i="2"/>
  <c r="R65" i="2"/>
  <c r="Q65" i="2"/>
  <c r="R61" i="2"/>
  <c r="Q61" i="2"/>
  <c r="R56" i="2"/>
  <c r="Q56" i="2"/>
  <c r="R51" i="2"/>
  <c r="Q51" i="2"/>
  <c r="R45" i="2"/>
  <c r="Q45" i="2"/>
  <c r="R35" i="2"/>
  <c r="Q35" i="2"/>
  <c r="R30" i="2"/>
  <c r="Q30" i="2"/>
  <c r="R20" i="2"/>
  <c r="Q20" i="2"/>
  <c r="R15" i="2"/>
  <c r="Q15" i="2"/>
  <c r="R9" i="2"/>
  <c r="Q9" i="2"/>
  <c r="I9" i="4"/>
  <c r="E9" i="4"/>
  <c r="F8" i="4"/>
  <c r="E8" i="4"/>
  <c r="F7" i="4"/>
  <c r="N21" i="3"/>
  <c r="M9" i="4" s="1"/>
  <c r="M21" i="3"/>
  <c r="L9" i="4" s="1"/>
  <c r="L21" i="3"/>
  <c r="K9" i="4" s="1"/>
  <c r="K21" i="3"/>
  <c r="J9" i="4" s="1"/>
  <c r="J21" i="3"/>
  <c r="I21" i="3"/>
  <c r="H9" i="4" s="1"/>
  <c r="H21" i="3"/>
  <c r="G9" i="4" s="1"/>
  <c r="G21" i="3"/>
  <c r="F9" i="4" s="1"/>
  <c r="F21" i="3"/>
  <c r="E21" i="3"/>
  <c r="D9" i="4" s="1"/>
  <c r="D21" i="3"/>
  <c r="C9" i="4" s="1"/>
  <c r="C21" i="3"/>
  <c r="B9" i="4" s="1"/>
  <c r="O20" i="3"/>
  <c r="O21" i="3" s="1"/>
  <c r="O19" i="3"/>
  <c r="N16" i="3"/>
  <c r="M8" i="4" s="1"/>
  <c r="M16" i="3"/>
  <c r="L8" i="4" s="1"/>
  <c r="L16" i="3"/>
  <c r="K8" i="4" s="1"/>
  <c r="K16" i="3"/>
  <c r="J8" i="4" s="1"/>
  <c r="J16" i="3"/>
  <c r="I8" i="4" s="1"/>
  <c r="I16" i="3"/>
  <c r="H8" i="4" s="1"/>
  <c r="H16" i="3"/>
  <c r="G8" i="4" s="1"/>
  <c r="G16" i="3"/>
  <c r="F16" i="3"/>
  <c r="E16" i="3"/>
  <c r="D8" i="4" s="1"/>
  <c r="D16" i="3"/>
  <c r="C8" i="4" s="1"/>
  <c r="C16" i="3"/>
  <c r="B8" i="4" s="1"/>
  <c r="O15" i="3"/>
  <c r="O14" i="3"/>
  <c r="N11" i="3"/>
  <c r="M7" i="4" s="1"/>
  <c r="M11" i="3"/>
  <c r="L7" i="4" s="1"/>
  <c r="L11" i="3"/>
  <c r="K7" i="4" s="1"/>
  <c r="K11" i="3"/>
  <c r="J7" i="4" s="1"/>
  <c r="J11" i="3"/>
  <c r="I7" i="4" s="1"/>
  <c r="I11" i="3"/>
  <c r="H7" i="4" s="1"/>
  <c r="H11" i="3"/>
  <c r="G7" i="4" s="1"/>
  <c r="G11" i="3"/>
  <c r="F11" i="3"/>
  <c r="E7" i="4" s="1"/>
  <c r="E11" i="3"/>
  <c r="D7" i="4" s="1"/>
  <c r="D11" i="3"/>
  <c r="C7" i="4" s="1"/>
  <c r="C11" i="3"/>
  <c r="B7" i="4" s="1"/>
  <c r="O10" i="3"/>
  <c r="O11" i="3" s="1"/>
  <c r="N7" i="3"/>
  <c r="M6" i="4" s="1"/>
  <c r="M7" i="3"/>
  <c r="L6" i="4" s="1"/>
  <c r="L7" i="3"/>
  <c r="K6" i="4" s="1"/>
  <c r="K7" i="3"/>
  <c r="J6" i="4" s="1"/>
  <c r="J7" i="3"/>
  <c r="I6" i="4" s="1"/>
  <c r="I7" i="3"/>
  <c r="H6" i="4" s="1"/>
  <c r="H7" i="3"/>
  <c r="G6" i="4" s="1"/>
  <c r="G7" i="3"/>
  <c r="F6" i="4" s="1"/>
  <c r="F7" i="3"/>
  <c r="E6" i="4" s="1"/>
  <c r="E7" i="3"/>
  <c r="D6" i="4" s="1"/>
  <c r="D7" i="3"/>
  <c r="C6" i="4" s="1"/>
  <c r="C7" i="3"/>
  <c r="B6" i="4" s="1"/>
  <c r="O6" i="3"/>
  <c r="O7" i="3" s="1"/>
  <c r="O74" i="2"/>
  <c r="N71" i="2"/>
  <c r="M71" i="2"/>
  <c r="L71" i="2"/>
  <c r="K71" i="2"/>
  <c r="J71" i="2"/>
  <c r="I71" i="2"/>
  <c r="H71" i="2"/>
  <c r="G71" i="2"/>
  <c r="F71" i="2"/>
  <c r="E71" i="2"/>
  <c r="D71" i="2"/>
  <c r="C71" i="2"/>
  <c r="O70" i="2"/>
  <c r="O69" i="2"/>
  <c r="O68" i="2"/>
  <c r="N65" i="2"/>
  <c r="M65" i="2"/>
  <c r="L65" i="2"/>
  <c r="K65" i="2"/>
  <c r="J65" i="2"/>
  <c r="I65" i="2"/>
  <c r="H65" i="2"/>
  <c r="G65" i="2"/>
  <c r="F65" i="2"/>
  <c r="E65" i="2"/>
  <c r="D65" i="2"/>
  <c r="C65" i="2"/>
  <c r="O64" i="2"/>
  <c r="O65" i="2" s="1"/>
  <c r="N61" i="2"/>
  <c r="M61" i="2"/>
  <c r="L61" i="2"/>
  <c r="K61" i="2"/>
  <c r="J61" i="2"/>
  <c r="I61" i="2"/>
  <c r="H61" i="2"/>
  <c r="G61" i="2"/>
  <c r="F61" i="2"/>
  <c r="E61" i="2"/>
  <c r="D61" i="2"/>
  <c r="C61" i="2"/>
  <c r="O60" i="2"/>
  <c r="O59" i="2"/>
  <c r="O61" i="2" s="1"/>
  <c r="N56" i="2"/>
  <c r="M56" i="2"/>
  <c r="L56" i="2"/>
  <c r="K56" i="2"/>
  <c r="J56" i="2"/>
  <c r="I56" i="2"/>
  <c r="H56" i="2"/>
  <c r="G56" i="2"/>
  <c r="F56" i="2"/>
  <c r="E56" i="2"/>
  <c r="D56" i="2"/>
  <c r="C56" i="2"/>
  <c r="O55" i="2"/>
  <c r="O54" i="2"/>
  <c r="O56" i="2" s="1"/>
  <c r="N51" i="2"/>
  <c r="M51" i="2"/>
  <c r="L51" i="2"/>
  <c r="K51" i="2"/>
  <c r="J51" i="2"/>
  <c r="I51" i="2"/>
  <c r="H51" i="2"/>
  <c r="G51" i="2"/>
  <c r="F51" i="2"/>
  <c r="E51" i="2"/>
  <c r="D51" i="2"/>
  <c r="C51" i="2"/>
  <c r="O50" i="2"/>
  <c r="O49" i="2"/>
  <c r="O48" i="2"/>
  <c r="N45" i="2"/>
  <c r="M45" i="2"/>
  <c r="L45" i="2"/>
  <c r="K45" i="2"/>
  <c r="J45" i="2"/>
  <c r="I45" i="2"/>
  <c r="H45" i="2"/>
  <c r="G45" i="2"/>
  <c r="F45" i="2"/>
  <c r="E45" i="2"/>
  <c r="D45" i="2"/>
  <c r="C45" i="2"/>
  <c r="O44" i="2"/>
  <c r="O42" i="2"/>
  <c r="O41" i="2"/>
  <c r="O40" i="2"/>
  <c r="O39" i="2"/>
  <c r="O38" i="2"/>
  <c r="N35" i="2"/>
  <c r="M35" i="2"/>
  <c r="L35" i="2"/>
  <c r="K35" i="2"/>
  <c r="J35" i="2"/>
  <c r="I35" i="2"/>
  <c r="H35" i="2"/>
  <c r="G35" i="2"/>
  <c r="F35" i="2"/>
  <c r="E35" i="2"/>
  <c r="D35" i="2"/>
  <c r="C35" i="2"/>
  <c r="O34" i="2"/>
  <c r="O33" i="2"/>
  <c r="N30" i="2"/>
  <c r="M30" i="2"/>
  <c r="L30" i="2"/>
  <c r="K30" i="2"/>
  <c r="J30" i="2"/>
  <c r="I30" i="2"/>
  <c r="H30" i="2"/>
  <c r="G30" i="2"/>
  <c r="F30" i="2"/>
  <c r="E30" i="2"/>
  <c r="D30" i="2"/>
  <c r="C30" i="2"/>
  <c r="O29" i="2"/>
  <c r="O28" i="2"/>
  <c r="O30" i="2" s="1"/>
  <c r="N25" i="2"/>
  <c r="M25" i="2"/>
  <c r="L25" i="2"/>
  <c r="K25" i="2"/>
  <c r="J25" i="2"/>
  <c r="I25" i="2"/>
  <c r="H25" i="2"/>
  <c r="G25" i="2"/>
  <c r="F25" i="2"/>
  <c r="E25" i="2"/>
  <c r="D25" i="2"/>
  <c r="C25" i="2"/>
  <c r="O24" i="2"/>
  <c r="O23" i="2"/>
  <c r="N20" i="2"/>
  <c r="M20" i="2"/>
  <c r="L20" i="2"/>
  <c r="K20" i="2"/>
  <c r="J20" i="2"/>
  <c r="I20" i="2"/>
  <c r="H20" i="2"/>
  <c r="G20" i="2"/>
  <c r="F20" i="2"/>
  <c r="E20" i="2"/>
  <c r="D20" i="2"/>
  <c r="C20" i="2"/>
  <c r="O19" i="2"/>
  <c r="O18" i="2"/>
  <c r="O20" i="2" s="1"/>
  <c r="N15" i="2"/>
  <c r="M15" i="2"/>
  <c r="L15" i="2"/>
  <c r="K15" i="2"/>
  <c r="J15" i="2"/>
  <c r="I15" i="2"/>
  <c r="H15" i="2"/>
  <c r="G15" i="2"/>
  <c r="F15" i="2"/>
  <c r="E15" i="2"/>
  <c r="D15" i="2"/>
  <c r="C15" i="2"/>
  <c r="O14" i="2"/>
  <c r="O13" i="2"/>
  <c r="O12" i="2"/>
  <c r="O15" i="2" s="1"/>
  <c r="N9" i="2"/>
  <c r="M9" i="2"/>
  <c r="L9" i="2"/>
  <c r="L73" i="2" s="1"/>
  <c r="K5" i="4" s="1"/>
  <c r="K9" i="2"/>
  <c r="J9" i="2"/>
  <c r="I9" i="2"/>
  <c r="H9" i="2"/>
  <c r="G9" i="2"/>
  <c r="F9" i="2"/>
  <c r="E9" i="2"/>
  <c r="D9" i="2"/>
  <c r="C9" i="2"/>
  <c r="O8" i="2"/>
  <c r="O7" i="2"/>
  <c r="O6" i="2"/>
  <c r="M23" i="1"/>
  <c r="L23" i="1"/>
  <c r="K23" i="1"/>
  <c r="J23" i="1"/>
  <c r="I23" i="1"/>
  <c r="H23" i="1"/>
  <c r="G23" i="1"/>
  <c r="F23" i="1"/>
  <c r="E23" i="1"/>
  <c r="D23" i="1"/>
  <c r="C23" i="1"/>
  <c r="B23" i="1"/>
  <c r="N23" i="1" s="1"/>
  <c r="M13" i="1"/>
  <c r="L13" i="1"/>
  <c r="K13" i="1"/>
  <c r="J13" i="1"/>
  <c r="I13" i="1"/>
  <c r="H13" i="1"/>
  <c r="G13" i="1"/>
  <c r="F13" i="1"/>
  <c r="E13" i="1"/>
  <c r="D13" i="1"/>
  <c r="C13" i="1"/>
  <c r="B13" i="1"/>
  <c r="N13" i="1" s="1"/>
  <c r="O16" i="3" l="1"/>
  <c r="R73" i="2"/>
  <c r="Q73" i="2"/>
  <c r="O51" i="2"/>
  <c r="O35" i="2"/>
  <c r="O25" i="2"/>
  <c r="O45" i="2"/>
  <c r="D73" i="2"/>
  <c r="C5" i="4" s="1"/>
  <c r="O71" i="2"/>
  <c r="N73" i="2"/>
  <c r="M5" i="4" s="1"/>
  <c r="E73" i="2"/>
  <c r="D5" i="4" s="1"/>
  <c r="F74" i="2"/>
  <c r="M73" i="2"/>
  <c r="L5" i="4" s="1"/>
  <c r="D74" i="2"/>
  <c r="H73" i="2"/>
  <c r="G5" i="4" s="1"/>
  <c r="O9" i="2"/>
  <c r="G73" i="2"/>
  <c r="F5" i="4" s="1"/>
  <c r="J73" i="2"/>
  <c r="I5" i="4" s="1"/>
  <c r="L74" i="2"/>
  <c r="C73" i="2"/>
  <c r="C74" i="2" s="1"/>
  <c r="F73" i="2"/>
  <c r="E5" i="4" s="1"/>
  <c r="I73" i="2"/>
  <c r="H5" i="4" s="1"/>
  <c r="K73" i="2"/>
  <c r="N7" i="4"/>
  <c r="N8" i="4"/>
  <c r="J5" i="4"/>
  <c r="K74" i="2"/>
  <c r="N6" i="4"/>
  <c r="N9" i="4"/>
  <c r="O73" i="2" l="1"/>
  <c r="I74" i="2"/>
  <c r="E74" i="2"/>
  <c r="N74" i="2"/>
  <c r="H74" i="2"/>
  <c r="M74" i="2"/>
  <c r="G74" i="2"/>
  <c r="B5" i="4"/>
  <c r="N5" i="4" s="1"/>
  <c r="J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P6" authorId="0" shapeId="0" xr:uid="{37923223-EEBC-CF49-B9EC-FA553263919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Budget 2026 V6, DEP sheet, Row 27 - LOYER</t>
        </r>
      </text>
    </comment>
    <comment ref="Q6" authorId="0" shapeId="0" xr:uid="{26665EE9-FCBC-FF47-8DB4-060CD04D53D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Compte de Résultat, Account 613100 School Rent</t>
        </r>
      </text>
    </comment>
    <comment ref="R6" authorId="0" shapeId="0" xr:uid="{47BCD473-13DE-F747-B93D-28B59CC2873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Compte de Résultat, Account 613100 School Rent</t>
        </r>
      </text>
    </comment>
    <comment ref="P7" authorId="0" shapeId="0" xr:uid="{6F546E71-8F50-294E-8317-987DEED9DE4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Budget 2026 V6, DEP sheet, Row 37 - ELECTRICITE</t>
        </r>
      </text>
    </comment>
    <comment ref="Q7" authorId="0" shapeId="0" xr:uid="{A8432134-875A-FD4C-A100-1DF1906C9B5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Electricity account in P&amp;L — included in 606001 General Expense</t>
        </r>
      </text>
    </comment>
    <comment ref="R7" authorId="0" shapeId="0" xr:uid="{35458341-5FF3-ED43-B7E3-F7178ACADDE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Electricity account in P&amp;L — included in 606001 General Expense</t>
        </r>
      </text>
    </comment>
    <comment ref="P8" authorId="0" shapeId="0" xr:uid="{76411DD8-C8CA-7A47-8096-DD71880198D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38 - EAU</t>
        </r>
      </text>
    </comment>
    <comment ref="Q8" authorId="0" shapeId="0" xr:uid="{F81F983F-10AE-134A-80C2-D62F7EE5D5A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606200 Eau</t>
        </r>
      </text>
    </comment>
    <comment ref="R8" authorId="0" shapeId="0" xr:uid="{355B3E17-DF84-0F46-AFDE-892EA21A561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606200 Eau</t>
        </r>
      </text>
    </comment>
    <comment ref="P12" authorId="0" shapeId="0" xr:uid="{994289FB-FB7C-B441-85BC-24A8BAADA7F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Budget 2026 V6, DEP sheet, Row 25 - MAINTENANCE (CONTRATS)</t>
        </r>
      </text>
    </comment>
    <comment ref="Q12" authorId="0" shapeId="0" xr:uid="{558DAC44-3537-6140-8EF6-03DAD9B9D14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615100 School Maintenance Contract</t>
        </r>
      </text>
    </comment>
    <comment ref="R12" authorId="0" shapeId="0" xr:uid="{C5F23082-5451-8F47-AA12-F0C7357F1F8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615100 School Maintenance Contract</t>
        </r>
      </text>
    </comment>
    <comment ref="P13" authorId="0" shapeId="0" xr:uid="{C28EA547-17F8-3B40-A890-107D1C5D929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Budget 2026 V6, DEP sheet, Row 26 - SECURITE</t>
        </r>
      </text>
    </comment>
    <comment ref="Q13" authorId="0" shapeId="0" xr:uid="{35D9ECF8-36E5-9E4C-895E-5ACF269087E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Security account in P&amp;L — likely within 615100 or 606001</t>
        </r>
      </text>
    </comment>
    <comment ref="R13" authorId="0" shapeId="0" xr:uid="{D8266F97-7118-874B-ABFF-EA1792D0FD1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Security account in P&amp;L — likely within 615100 or 606001</t>
        </r>
      </text>
    </comment>
    <comment ref="P14" authorId="0" shapeId="0" xr:uid="{EF9D9775-73AA-0644-883B-B56938F5C80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34 - MAINTENANCE MATERIELS</t>
        </r>
      </text>
    </comment>
    <comment ref="Q14" authorId="0" shapeId="0" xr:uid="{3F4A6E8F-F2B1-2F43-99ED-8A423E59F0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Equipment Maintenance account in P&amp;L</t>
        </r>
      </text>
    </comment>
    <comment ref="R14" authorId="0" shapeId="0" xr:uid="{F0E8426D-2874-E349-891F-8534E1FD221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Equipment Maintenance account in P&amp;L</t>
        </r>
      </text>
    </comment>
    <comment ref="P18" authorId="0" shapeId="0" xr:uid="{AF7BD986-FD9F-FF4F-B19A-15FA3D83B5C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28 - ADMINISTRATION (ACHATS)</t>
        </r>
      </text>
    </comment>
    <comment ref="Q18" authorId="0" shapeId="0" xr:uid="{529F036C-A65F-F244-A4B7-1B3BB4C4F7F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Admin Supplies account — likely within 606001 General Expense</t>
        </r>
      </text>
    </comment>
    <comment ref="R18" authorId="0" shapeId="0" xr:uid="{219AD012-4282-004B-84D9-2985F888314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Admin Supplies account — likely within 606001 General Expense</t>
        </r>
      </text>
    </comment>
    <comment ref="P19" authorId="0" shapeId="0" xr:uid="{346696BF-E984-D94F-B5C2-528FE9AD808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35 - PHOTOCOPIEUSES CONTRAT</t>
        </r>
      </text>
    </comment>
    <comment ref="Q19" authorId="0" shapeId="0" xr:uid="{986A4E33-5143-DF40-B896-9F601AEA6C1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623100 Photocopieuses</t>
        </r>
      </text>
    </comment>
    <comment ref="R19" authorId="0" shapeId="0" xr:uid="{C254A514-21E1-3E48-B426-70EF1A4488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623100 Photocopieuses</t>
        </r>
      </text>
    </comment>
    <comment ref="P23" authorId="0" shapeId="0" xr:uid="{85D81DB1-D357-524A-BF4F-A00C621B677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29 - MEDICALE SAOUDIENS</t>
        </r>
      </text>
    </comment>
    <comment ref="Q23" authorId="0" shapeId="0" xr:uid="{4FDF1D65-6A43-DB4F-87FD-586E7716145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split between Medical/School in P&amp;L — 616000 Insurance Policies is combined</t>
        </r>
      </text>
    </comment>
    <comment ref="R23" authorId="0" shapeId="0" xr:uid="{365F834C-B653-F24C-8DCC-BC40ECA8BE4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split between Medical/School in P&amp;L — 616000 Insurance Policies is combined</t>
        </r>
      </text>
    </comment>
    <comment ref="P24" authorId="0" shapeId="0" xr:uid="{75DAAD1E-4F60-5E4C-B4F3-866D36C15FF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30 - ECOLE (INCENDIE,CAISSE,ELEVES..)</t>
        </r>
      </text>
    </comment>
    <comment ref="Q24" authorId="0" shapeId="0" xr:uid="{BF869F2D-AB9E-4147-8392-CC085F602DE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split between Medical/School in P&amp;L — 616000 Insurance Policies is combined</t>
        </r>
      </text>
    </comment>
    <comment ref="R24" authorId="0" shapeId="0" xr:uid="{63EE7F64-D9B4-D648-9A74-2A6557E13CD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split between Medical/School in P&amp;L — 616000 Insurance Policies is combined</t>
        </r>
      </text>
    </comment>
    <comment ref="Q25" authorId="0" shapeId="0" xr:uid="{298A8B4A-FF61-5144-BC16-D3DDEF67FCE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616000 Insurance Policies (combined total)</t>
        </r>
      </text>
    </comment>
    <comment ref="R25" authorId="0" shapeId="0" xr:uid="{9A122C1D-864E-8E47-B8B8-59979B0D219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616000 Insurance Policies (combined total)</t>
        </r>
      </text>
    </comment>
    <comment ref="P28" authorId="0" shapeId="0" xr:uid="{B3EC8F39-CE1F-E849-ABDE-C2121862729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31 - AUDIT</t>
        </r>
      </text>
    </comment>
    <comment ref="Q28" authorId="0" shapeId="0" xr:uid="{9B1D3346-932E-C841-BDE9-14A17D60AB2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External Audit account in P&amp;L</t>
        </r>
      </text>
    </comment>
    <comment ref="R28" authorId="0" shapeId="0" xr:uid="{DF44627D-7A72-A948-AA47-8E23A0E7176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External Audit account in P&amp;L</t>
        </r>
      </text>
    </comment>
    <comment ref="P29" authorId="0" shapeId="0" xr:uid="{76841CE8-AE5B-3742-B51A-CD1FD035B3E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32 - COMMUNICATION</t>
        </r>
      </text>
    </comment>
    <comment ref="Q29" authorId="0" shapeId="0" xr:uid="{5613A5D4-C881-7D4E-BA8F-72ACDA1D97B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Communication account in P&amp;L</t>
        </r>
      </text>
    </comment>
    <comment ref="R29" authorId="0" shapeId="0" xr:uid="{9184C5C0-B06B-D747-A70A-EE216D1AA0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Communication account in P&amp;L</t>
        </r>
      </text>
    </comment>
    <comment ref="P33" authorId="0" shapeId="0" xr:uid="{E750FC0F-392D-DA44-B2BC-AEA465F3F81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33 - INFORMATIQUE MATERIELS</t>
        </r>
      </text>
    </comment>
    <comment ref="Q33" authorId="0" shapeId="0" xr:uid="{881D3238-C422-D143-A833-F077F92ECD8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606500 Informatique</t>
        </r>
      </text>
    </comment>
    <comment ref="R33" authorId="0" shapeId="0" xr:uid="{B9724741-7679-5D48-8BD0-D2B0D71F655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606500 Informatique</t>
        </r>
      </text>
    </comment>
    <comment ref="P34" authorId="0" shapeId="0" xr:uid="{B79D5C69-5DAF-8B48-A7CB-E171BA9BB6B8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36 - TELEPHONE ET INTERNET</t>
        </r>
      </text>
    </comment>
    <comment ref="Q34" authorId="0" shapeId="0" xr:uid="{5D9DAEDF-D9C4-8846-B1BC-D71AE947FA5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626100 Phone &amp; Fax Expenses</t>
        </r>
      </text>
    </comment>
    <comment ref="R34" authorId="0" shapeId="0" xr:uid="{07291F95-CE59-644C-BC11-DD4ABC2E772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626100 Phone &amp; Fax Expenses</t>
        </r>
      </text>
    </comment>
    <comment ref="P38" authorId="0" shapeId="0" xr:uid="{87A5FD61-A9A2-6447-97F7-DAC3E5A016A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39 - ESSENCE VOITURE ET MAINTENANCE</t>
        </r>
      </text>
    </comment>
    <comment ref="Q38" authorId="0" shapeId="0" xr:uid="{95D79F0B-921A-0D4D-BE66-4E4E1D1B053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625300 Cars Maintenance</t>
        </r>
      </text>
    </comment>
    <comment ref="R38" authorId="0" shapeId="0" xr:uid="{735C9937-4937-6047-A96B-32A37D85184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625300 Cars Maintenance</t>
        </r>
      </text>
    </comment>
    <comment ref="P39" authorId="0" shapeId="0" xr:uid="{5E5857C6-7339-D34D-9335-FC7EB40A523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40 - INFIRMERIE</t>
        </r>
      </text>
    </comment>
    <comment ref="Q39" authorId="0" shapeId="0" xr:uid="{927CF25A-4B20-C644-9123-9A7D510378C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Infirmary account in P&amp;L</t>
        </r>
      </text>
    </comment>
    <comment ref="R39" authorId="0" shapeId="0" xr:uid="{8D1F9174-EEC1-9641-B75E-6D7C1D5168E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Infirmary account in P&amp;L</t>
        </r>
      </text>
    </comment>
    <comment ref="P40" authorId="0" shapeId="0" xr:uid="{9D517DC1-D4D4-6848-972C-0D02640414D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41 - RECEPTION</t>
        </r>
      </text>
    </comment>
    <comment ref="Q40" authorId="0" shapeId="0" xr:uid="{576D8184-B672-8F4D-82EB-33E8C9323C6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Reception &amp; Events account in P&amp;L</t>
        </r>
      </text>
    </comment>
    <comment ref="R40" authorId="0" shapeId="0" xr:uid="{9EC44FD8-1856-1242-937B-ABC6DFE780F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Reception &amp; Events account in P&amp;L</t>
        </r>
      </text>
    </comment>
    <comment ref="P41" authorId="0" shapeId="0" xr:uid="{4B0744CC-3DD0-EF4C-89AF-E4B5B8D9FDB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42 - SELF SERVICE PRINTING</t>
        </r>
      </text>
    </comment>
    <comment ref="Q41" authorId="0" shapeId="0" xr:uid="{BD81DF0A-D5E6-3247-B369-2B8F14CAD53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Class Photos account in P&amp;L</t>
        </r>
      </text>
    </comment>
    <comment ref="R41" authorId="0" shapeId="0" xr:uid="{10566245-B599-E845-A61C-DB84B7A0FA8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Class Photos account in P&amp;L</t>
        </r>
      </text>
    </comment>
    <comment ref="P42" authorId="0" shapeId="0" xr:uid="{337442A2-0E4B-3341-B07D-1D1706D2435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43 - CAISSE DE SOLIDARITE</t>
        </r>
      </text>
    </comment>
    <comment ref="Q42" authorId="0" shapeId="0" xr:uid="{AAAB6B85-262A-9548-A5BE-6FA0406B419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Social Aid Fund account in P&amp;L</t>
        </r>
      </text>
    </comment>
    <comment ref="R42" authorId="0" shapeId="0" xr:uid="{D2A9AC87-640E-3F4C-AA91-417D44AE5E5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Social Aid Fund account in P&amp;L</t>
        </r>
      </text>
    </comment>
    <comment ref="P43" authorId="0" shapeId="0" xr:uid="{11B6BC99-7D3A-9742-A79F-3EA5DBB9875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Moved from Non_Operating_Items (Finance Costs) — reclassified as Operating Expense (online payment commissions)</t>
        </r>
      </text>
    </comment>
    <comment ref="P44" authorId="0" shapeId="0" xr:uid="{68C26947-7947-EA40-A0D4-70FFC714ED5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18 - PFC 6%</t>
        </r>
      </text>
    </comment>
    <comment ref="Q44" authorId="0" shapeId="0" xr:uid="{C13C46A0-AF72-A442-87ED-D986202DADC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PFC Contribution — likely within AEFE contributions (648000/648010)</t>
        </r>
      </text>
    </comment>
    <comment ref="R44" authorId="0" shapeId="0" xr:uid="{16073272-0AF6-9543-A843-B853DB29D23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PFC Contribution — likely within AEFE contributions (648000/648010)</t>
        </r>
      </text>
    </comment>
    <comment ref="P48" authorId="0" shapeId="0" xr:uid="{5D7F740E-1123-DE44-894B-24BD9F69327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Budget 2026 V6, DEP sheet, Row 50 - FICHIERS</t>
        </r>
      </text>
    </comment>
    <comment ref="Q48" authorId="0" shapeId="0" xr:uid="{47FACF9C-F9CA-4E48-B86E-C3266C5AC7A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618100 Manuels Scolaires Primaire</t>
        </r>
      </text>
    </comment>
    <comment ref="R48" authorId="0" shapeId="0" xr:uid="{29A5FB8F-37A0-044A-A95B-DB23D6498C2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618100 Manuels Scolaires Primaire</t>
        </r>
      </text>
    </comment>
    <comment ref="P49" authorId="0" shapeId="0" xr:uid="{1E4EFB9A-0675-7046-929D-AA909315A9B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51 - FOURNITURES</t>
        </r>
      </text>
    </comment>
    <comment ref="Q49" authorId="0" shapeId="0" xr:uid="{07C3D19F-75E3-924E-A80A-0CF8B002739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Fournitures account in P&amp;L</t>
        </r>
      </text>
    </comment>
    <comment ref="R49" authorId="0" shapeId="0" xr:uid="{608B9CC1-DF2B-C14C-97C8-60DCF1B527C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 separate Fournitures account in P&amp;L</t>
        </r>
      </text>
    </comment>
    <comment ref="P50" authorId="0" shapeId="0" xr:uid="{A980D015-3695-6949-9C32-E93FA78F767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52 - AUTRES</t>
        </r>
      </text>
    </comment>
    <comment ref="Q50" authorId="0" shapeId="0" xr:uid="{D1794065-F455-7A41-AE4E-0DCFE34E7C8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Other Materials account in P&amp;L</t>
        </r>
      </text>
    </comment>
    <comment ref="R50" authorId="0" shapeId="0" xr:uid="{7032F2B7-73D6-E24E-8FAF-5652314360E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Other Materials account in P&amp;L</t>
        </r>
      </text>
    </comment>
    <comment ref="P54" authorId="0" shapeId="0" xr:uid="{64116A9B-7D3B-7F42-B01D-ECFEF9D3149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53 - PEDAGOGIQUE credits</t>
        </r>
      </text>
    </comment>
    <comment ref="Q54" authorId="0" shapeId="0" xr:uid="{1373A83A-C097-AD40-BAF1-2396EAF98C6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Pedagogical Credits account in P&amp;L</t>
        </r>
      </text>
    </comment>
    <comment ref="R54" authorId="0" shapeId="0" xr:uid="{350C5FB2-F930-AA41-9B3B-BAA05A709BB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Pedagogical Credits account in P&amp;L</t>
        </r>
      </text>
    </comment>
    <comment ref="P55" authorId="0" shapeId="0" xr:uid="{5E2451CB-3422-E340-BCE1-1162D8BEBEE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54 - ENSEIGNEMENT credits</t>
        </r>
      </text>
    </comment>
    <comment ref="Q55" authorId="0" shapeId="0" xr:uid="{6392FB1D-939F-174D-845C-98F70EA2591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Teaching Credits account in P&amp;L</t>
        </r>
      </text>
    </comment>
    <comment ref="R55" authorId="0" shapeId="0" xr:uid="{34505749-CA6C-D042-A8B5-FCE8B19724E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Teaching Credits account in P&amp;L</t>
        </r>
      </text>
    </comment>
    <comment ref="P59" authorId="0" shapeId="0" xr:uid="{537061FF-2244-1A4E-AB33-517036C1930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55 - BCD subscriptions</t>
        </r>
      </text>
    </comment>
    <comment ref="Q59" authorId="0" shapeId="0" xr:uid="{CEB0E808-BE96-3A4D-8350-FB97E2D7CAB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Accounts 618200 Librairie BCD + 618300 Pupils Subscriptions BCD</t>
        </r>
      </text>
    </comment>
    <comment ref="R59" authorId="0" shapeId="0" xr:uid="{A1805FBD-0D28-A545-A6CC-4AC502C73ED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618200 (6,613.93) + 618300 (662.31) combined</t>
        </r>
      </text>
    </comment>
    <comment ref="P60" authorId="0" shapeId="0" xr:uid="{42229157-D043-F049-BD67-F2F9F445F5FA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56 - CDI subscriptions</t>
        </r>
      </text>
    </comment>
    <comment ref="Q60" authorId="0" shapeId="0" xr:uid="{4E7C7689-2BDD-3949-BFE9-DE3AF3CC1F0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618210 Librairie Secondaire CDI</t>
        </r>
      </text>
    </comment>
    <comment ref="R60" authorId="0" shapeId="0" xr:uid="{391AD99C-C22D-EF43-9A55-77CF8DC193A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EFIR Financial Statements, Account 618210 Librairie Secondaire CDI</t>
        </r>
      </text>
    </comment>
    <comment ref="P64" authorId="0" shapeId="0" xr:uid="{48A4F822-731F-5441-BB63-8C5BDFFEAE3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57 - TESTS</t>
        </r>
      </text>
    </comment>
    <comment ref="Q64" authorId="0" shapeId="0" xr:uid="{49E9CB1E-3FC5-D44D-81D5-7BDD5C628B4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Tests &amp; Evaluations account in P&amp;L</t>
        </r>
      </text>
    </comment>
    <comment ref="R64" authorId="0" shapeId="0" xr:uid="{17B33AA0-8F4F-8D46-B15D-9ADF3321338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Tests &amp; Evaluations account in P&amp;L</t>
        </r>
      </text>
    </comment>
    <comment ref="P68" authorId="0" shapeId="0" xr:uid="{874E5EEE-5DB4-5B4C-BDAF-B9048AED315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59 - PROJETS SCOLAIRES</t>
        </r>
      </text>
    </comment>
    <comment ref="Q68" authorId="0" shapeId="0" xr:uid="{72632FB5-5ED5-EA4A-ACF8-11FDC07840F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School Projects account in P&amp;L</t>
        </r>
      </text>
    </comment>
    <comment ref="R68" authorId="0" shapeId="0" xr:uid="{FE56B87F-BB5B-EF42-A77B-54F2AD9F6888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School Projects account in P&amp;L</t>
        </r>
      </text>
    </comment>
    <comment ref="P69" authorId="0" shapeId="0" xr:uid="{952CDB99-9422-5243-81AB-B65F41EE845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60 - FRAIS ACCOMPAGNATEURS VOYAGES</t>
        </r>
      </text>
    </comment>
    <comment ref="Q69" authorId="0" shapeId="0" xr:uid="{6757CFE7-9AC3-3049-B9AE-A8D6993756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Trip Accompaniment in P&amp;L — School trips are tracked separately (accounts 624306-624316)</t>
        </r>
      </text>
    </comment>
    <comment ref="R69" authorId="0" shapeId="0" xr:uid="{314DDACB-6210-304D-B9AB-082383F925AD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Trip Accompaniment in P&amp;L — School trips are tracked separately (accounts 624306-624316)</t>
        </r>
      </text>
    </comment>
    <comment ref="P70" authorId="0" shapeId="0" xr:uid="{469BC184-6B7F-A74A-AFE6-C5A5FFF5B2D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Source: Budget 2026 V6, DEP sheet, Row 61 - BUS</t>
        </r>
      </text>
    </comment>
    <comment ref="Q70" authorId="0" shapeId="0" xr:uid="{6DF3F068-15D1-0D4F-AA16-8F394C840878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Bus account in P&amp;L</t>
        </r>
      </text>
    </comment>
    <comment ref="R70" authorId="0" shapeId="0" xr:uid="{6624505E-AD1D-AA4F-8809-6736F53EBE48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No separate Bus account in P&amp;L</t>
        </r>
      </text>
    </comment>
  </commentList>
</comments>
</file>

<file path=xl/sharedStrings.xml><?xml version="1.0" encoding="utf-8"?>
<sst xmlns="http://schemas.openxmlformats.org/spreadsheetml/2006/main" count="228" uniqueCount="136">
  <si>
    <t>EFIR — Operating Expenses Budget FY2026</t>
  </si>
  <si>
    <t>Reference Data — Revenue &amp; Headcount from Source Files (auto-linked)</t>
  </si>
  <si>
    <t>REVENUE REFERENCE</t>
  </si>
  <si>
    <t>Source: 01_EFIR_Revenue_FY2026.xlsx → EXECUTIVE_SUMMARY</t>
  </si>
  <si>
    <t>Revenue Line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</si>
  <si>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</si>
  <si>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</si>
  <si>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</si>
  <si>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</si>
  <si>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</si>
  <si>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</si>
  <si>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</si>
  <si>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</si>
  <si>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</si>
  <si>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</si>
  <si>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</si>
  <si>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</si>
  <si>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FY2026 Total</t>
  </si>
  <si>
    <t>Tuition Fees</t>
  </si>
  <si>
    <t>Registration &amp; Re-registration</t>
  </si>
  <si>
    <t>Activities &amp; Services</t>
  </si>
  <si>
    <t>Examination Fees</t>
  </si>
  <si>
    <t>Rental Income</t>
  </si>
  <si>
    <t>TOTAL REVENUE</t>
  </si>
  <si>
    <t>HEADCOUNT REFERENCE</t>
  </si>
  <si>
    <t>Source: 02_EFIR_Staff_Costs_FY2026.xlsx → Budget Summary</t>
  </si>
  <si>
    <t>Category</t>
  </si>
  <si>
    <t>FY Avg</t>
  </si>
  <si>
    <t>Teachers</t>
  </si>
  <si>
    <t>Non-Teachers</t>
  </si>
  <si>
    <t>New Positions</t>
  </si>
  <si>
    <t>TOTAL HEADCOUNT</t>
  </si>
  <si>
    <t>STUDENT ENROLLMENT</t>
  </si>
  <si>
    <t>Source: 01_EFIR_Revenue_FY2026.xlsx → ENROLLMENT_HEADCOUNT</t>
  </si>
  <si>
    <t>Total Students (FY2026)</t>
  </si>
  <si>
    <t>EFIR — Other Operating Expenses FY2026</t>
  </si>
  <si>
    <t>Monthly Budget Input — All amounts in SAR — Blue cells = editable inputs</t>
  </si>
  <si>
    <t>IFRS Category</t>
  </si>
  <si>
    <t>Line Item</t>
  </si>
  <si>
    <t>Comments</t>
  </si>
  <si>
    <t>Rent &amp; Utilities</t>
  </si>
  <si>
    <t xml:space="preserve">  Rent</t>
  </si>
  <si>
    <t>Review: was 7.2m, check contract</t>
  </si>
  <si>
    <t xml:space="preserve">  Electricity</t>
  </si>
  <si>
    <t xml:space="preserve">  Water</t>
  </si>
  <si>
    <t>Subtotal Rent &amp; Utilities</t>
  </si>
  <si>
    <t>Building Services</t>
  </si>
  <si>
    <t xml:space="preserve">  Maintenance Contracts</t>
  </si>
  <si>
    <t>Review Metabuild contract</t>
  </si>
  <si>
    <t xml:space="preserve">  Security</t>
  </si>
  <si>
    <t>Review security contract</t>
  </si>
  <si>
    <t xml:space="preserve">  Equipment Maintenance</t>
  </si>
  <si>
    <t>Subtotal Building Services</t>
  </si>
  <si>
    <t>Office &amp; Supplies</t>
  </si>
  <si>
    <t xml:space="preserve">  Administration Supplies</t>
  </si>
  <si>
    <t>Clarify scope</t>
  </si>
  <si>
    <t xml:space="preserve">  Photocopier Contract</t>
  </si>
  <si>
    <t>Subtotal Office &amp; Supplies</t>
  </si>
  <si>
    <t>Insurance</t>
  </si>
  <si>
    <t xml:space="preserve">  Medical Insurance – Saudi Staff</t>
  </si>
  <si>
    <t xml:space="preserve">  School Insurance</t>
  </si>
  <si>
    <t>Subtotal Insurance</t>
  </si>
  <si>
    <t>Professional Services</t>
  </si>
  <si>
    <t xml:space="preserve">  External Audit</t>
  </si>
  <si>
    <t xml:space="preserve">  Communication</t>
  </si>
  <si>
    <t>Subtotal Professional Services</t>
  </si>
  <si>
    <t>IT &amp; Telecom</t>
  </si>
  <si>
    <t xml:space="preserve">  IT Equipment</t>
  </si>
  <si>
    <t>Clarify: OpEx or CapEx?</t>
  </si>
  <si>
    <t xml:space="preserve">  Telephone &amp; Internet</t>
  </si>
  <si>
    <t>Subtotal IT &amp; Telecom</t>
  </si>
  <si>
    <t>Other General</t>
  </si>
  <si>
    <t xml:space="preserve">  Vehicle Fuel &amp; Maintenance</t>
  </si>
  <si>
    <t xml:space="preserve">  Infirmary</t>
  </si>
  <si>
    <t xml:space="preserve">  Reception &amp; Events</t>
  </si>
  <si>
    <t xml:space="preserve">  Class Photos / Printing</t>
  </si>
  <si>
    <t xml:space="preserve">  Social Aid Fund</t>
  </si>
  <si>
    <t xml:space="preserve">  PFC Contribution (6%)</t>
  </si>
  <si>
    <t>AEFE to recalculate based on revenue</t>
  </si>
  <si>
    <t>Subtotal Other General</t>
  </si>
  <si>
    <t>School Materials</t>
  </si>
  <si>
    <t xml:space="preserve">  Workbooks (Fichiers)</t>
  </si>
  <si>
    <t xml:space="preserve">  Supplies (Fournitures)</t>
  </si>
  <si>
    <t xml:space="preserve">  Other Materials</t>
  </si>
  <si>
    <t>Subtotal School Materials</t>
  </si>
  <si>
    <t>Pedagogical</t>
  </si>
  <si>
    <t xml:space="preserve">  Pedagogical Credits</t>
  </si>
  <si>
    <t>Clarify purpose</t>
  </si>
  <si>
    <t xml:space="preserve">  Teaching Credits</t>
  </si>
  <si>
    <t>Subtotal Pedagogical</t>
  </si>
  <si>
    <t>Library &amp; Subscriptions</t>
  </si>
  <si>
    <t xml:space="preserve">  BCD Subscriptions</t>
  </si>
  <si>
    <t xml:space="preserve">  CDI Subscriptions</t>
  </si>
  <si>
    <t>Subtotal Library &amp; Subscriptions</t>
  </si>
  <si>
    <t>Evaluation &amp; Testing</t>
  </si>
  <si>
    <t xml:space="preserve">  Tests &amp; Evaluations</t>
  </si>
  <si>
    <t>Subtotal Evaluation &amp; Testing</t>
  </si>
  <si>
    <t>Activities &amp; Projects</t>
  </si>
  <si>
    <t xml:space="preserve">  School Projects</t>
  </si>
  <si>
    <t xml:space="preserve">  Trip Accompaniment</t>
  </si>
  <si>
    <t xml:space="preserve">  School Outings – Bus</t>
  </si>
  <si>
    <t>Subtotal Activities &amp; Projects</t>
  </si>
  <si>
    <t>TOTAL OTHER OPERATING EXPENSES</t>
  </si>
  <si>
    <t>% of Revenue</t>
  </si>
  <si>
    <t>EFIR — Non-Operating Items FY2026</t>
  </si>
  <si>
    <t>Depreciation, Impairment, Finance Income &amp; Costs — Monthly Input</t>
  </si>
  <si>
    <t>DEPRECIATION &amp; AMORTIZATION</t>
  </si>
  <si>
    <t>Depreciation</t>
  </si>
  <si>
    <t xml:space="preserve">  Depreciation of Assets (DOA)</t>
  </si>
  <si>
    <t>Link to CapEx file once available</t>
  </si>
  <si>
    <t>Total Depreciation &amp; Amortization</t>
  </si>
  <si>
    <t>IMPAIRMENT LOSSES (IFRS 9)</t>
  </si>
  <si>
    <t>Impairment</t>
  </si>
  <si>
    <t xml:space="preserve">  Expected Credit Loss – Bad Debt</t>
  </si>
  <si>
    <t>Review: existing provision may cover</t>
  </si>
  <si>
    <t>Total Impairment Losses</t>
  </si>
  <si>
    <t>FINANCE INCOME</t>
  </si>
  <si>
    <t>Finance Income</t>
  </si>
  <si>
    <t xml:space="preserve">  Investment Income (Placements)</t>
  </si>
  <si>
    <t>Analyze cashflow needs</t>
  </si>
  <si>
    <t xml:space="preserve">  Foreign Exchange Gains</t>
  </si>
  <si>
    <t>Total Finance Income</t>
  </si>
  <si>
    <t>FINANCE COSTS</t>
  </si>
  <si>
    <t>Finance Costs</t>
  </si>
  <si>
    <t xml:space="preserve">  Payment Processing (Moyasar)</t>
  </si>
  <si>
    <t xml:space="preserve">  Bank Charges</t>
  </si>
  <si>
    <t xml:space="preserve">  Foreign Exchange Losses</t>
  </si>
  <si>
    <t>Total Finance Costs</t>
  </si>
  <si>
    <t>EFIR — OpEx &amp; Non-Operating Summary FY2026</t>
  </si>
  <si>
    <t>Auto-calculated from input sheets — Do not edit</t>
  </si>
  <si>
    <t>Item</t>
  </si>
  <si>
    <t>Total Other Operating Expenses</t>
  </si>
  <si>
    <t>FY2025 Actual</t>
  </si>
  <si>
    <t>FY2024 Actual</t>
  </si>
  <si>
    <t>Budget V6 Total</t>
  </si>
  <si>
    <t>Moved from Finance Costs — online payment commissions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</si>
</sst>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;\(#,##0\);&quot;-&quot;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rgb="FF1F3864"/>
      <name val="Arial"/>
      <family val="2"/>
    </font>
    <font>
      <i/>
      <sz val="9.5"/>
      <color rgb="FF666666"/>
      <name val="Arial"/>
      <family val="2"/>
    </font>
    <font>
      <b/>
      <sz val="9.5"/>
      <color rgb="FFFFFFFF"/>
      <name val="Arial"/>
      <family val="2"/>
    </font>
    <font>
      <i/>
      <sz val="8"/>
      <color rgb="FF666666"/>
      <name val="Arial"/>
      <family val="2"/>
    </font>
    <font>
      <b/>
      <sz val="9"/>
      <color rgb="FFFFFFFF"/>
      <name val="Arial"/>
      <family val="2"/>
    </font>
    <font>
      <sz val="9"/>
      <color rgb="FF333333"/>
      <name val="Arial"/>
      <family val="2"/>
    </font>
    <font>
      <i/>
      <sz val="8.5"/>
      <color rgb="FF666666"/>
      <name val="Arial"/>
      <family val="2"/>
    </font>
    <font>
      <b/>
      <sz val="9"/>
      <color rgb="FF333333"/>
      <name val="Arial"/>
      <family val="2"/>
    </font>
    <font>
      <b/>
      <sz val="10"/>
      <color rgb="FF1D6B3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FA1"/>
        <bgColor indexed="64"/>
      </patternFill>
    </fill>
    <fill>
      <patternFill patternType="solid">
        <fgColor rgb="FFF8FAFB"/>
        <bgColor indexed="64"/>
      </patternFill>
    </fill>
    <fill>
      <patternFill patternType="solid">
        <fgColor rgb="FF1D6B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5EDDB"/>
        <bgColor indexed="64"/>
      </patternFill>
    </fill>
  </fills>
  <borders count="12">
    <border>
      <left/>
      <right/>
      <top/>
      <bottom/>
      <diagonal/>
    </border>
    <border>
      <left style="thin">
        <color rgb="FF1F3864"/>
      </left>
      <right/>
      <top/>
      <bottom/>
      <diagonal/>
    </border>
    <border>
      <left/>
      <right/>
      <top/>
      <bottom style="thin">
        <color rgb="FF1F3864"/>
      </bottom>
      <diagonal/>
    </border>
    <border>
      <left style="thin">
        <color rgb="FF1F3864"/>
      </left>
      <right/>
      <top style="thin">
        <color rgb="FF1F3864"/>
      </top>
      <bottom/>
      <diagonal/>
    </border>
    <border>
      <left style="thin">
        <color rgb="FF1F386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1F3864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D6B35"/>
      </top>
      <bottom style="medium">
        <color rgb="FF1D6B35"/>
      </bottom>
      <diagonal/>
    </border>
    <border>
      <left style="thin">
        <color rgb="FF1F3864"/>
      </left>
      <right/>
      <top style="thin">
        <color rgb="FF1D6B35"/>
      </top>
      <bottom/>
      <diagonal/>
    </border>
    <border>
      <left style="thin">
        <color rgb="FF1F3864"/>
      </left>
      <right/>
      <top style="medium">
        <color rgb="FF1D6B35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6" fillId="4" borderId="0" xfId="0" applyFont="1" applyFill="1"/>
    <xf numFmtId="0" fontId="7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9" fillId="6" borderId="0" xfId="0" applyFont="1" applyFill="1"/>
    <xf numFmtId="0" fontId="10" fillId="6" borderId="0" xfId="0" applyFont="1" applyFill="1"/>
    <xf numFmtId="165" fontId="9" fillId="3" borderId="0" xfId="0" applyNumberFormat="1" applyFont="1" applyFill="1" applyAlignment="1">
      <alignment horizontal="center"/>
    </xf>
    <xf numFmtId="165" fontId="9" fillId="6" borderId="0" xfId="0" applyNumberFormat="1" applyFont="1" applyFill="1" applyAlignment="1">
      <alignment horizontal="center"/>
    </xf>
    <xf numFmtId="165" fontId="9" fillId="8" borderId="0" xfId="0" applyNumberFormat="1" applyFont="1" applyFill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0" fontId="8" fillId="5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65" fontId="11" fillId="3" borderId="3" xfId="0" applyNumberFormat="1" applyFont="1" applyFill="1" applyBorder="1" applyAlignment="1">
      <alignment horizontal="center"/>
    </xf>
    <xf numFmtId="165" fontId="11" fillId="6" borderId="1" xfId="0" applyNumberFormat="1" applyFont="1" applyFill="1" applyBorder="1" applyAlignment="1">
      <alignment horizontal="center"/>
    </xf>
    <xf numFmtId="165" fontId="1" fillId="7" borderId="4" xfId="0" applyNumberFormat="1" applyFont="1" applyFill="1" applyBorder="1" applyAlignment="1">
      <alignment horizontal="center"/>
    </xf>
    <xf numFmtId="0" fontId="1" fillId="7" borderId="5" xfId="0" applyFont="1" applyFill="1" applyBorder="1"/>
    <xf numFmtId="165" fontId="1" fillId="7" borderId="5" xfId="0" applyNumberFormat="1" applyFont="1" applyFill="1" applyBorder="1" applyAlignment="1">
      <alignment horizontal="center"/>
    </xf>
    <xf numFmtId="165" fontId="1" fillId="7" borderId="6" xfId="0" applyNumberFormat="1" applyFont="1" applyFill="1" applyBorder="1" applyAlignment="1">
      <alignment horizontal="center"/>
    </xf>
    <xf numFmtId="0" fontId="7" fillId="6" borderId="0" xfId="0" applyFont="1" applyFill="1"/>
    <xf numFmtId="164" fontId="7" fillId="3" borderId="0" xfId="0" applyNumberFormat="1" applyFont="1" applyFill="1" applyAlignment="1">
      <alignment horizontal="center"/>
    </xf>
    <xf numFmtId="0" fontId="11" fillId="2" borderId="7" xfId="0" applyFont="1" applyFill="1" applyBorder="1"/>
    <xf numFmtId="165" fontId="11" fillId="2" borderId="7" xfId="0" applyNumberFormat="1" applyFont="1" applyFill="1" applyBorder="1" applyAlignment="1">
      <alignment horizontal="center"/>
    </xf>
    <xf numFmtId="164" fontId="7" fillId="3" borderId="0" xfId="0" applyNumberFormat="1" applyFont="1" applyFill="1" applyBorder="1" applyAlignment="1">
      <alignment horizontal="center"/>
    </xf>
    <xf numFmtId="0" fontId="6" fillId="4" borderId="3" xfId="0" applyFont="1" applyFill="1" applyBorder="1"/>
    <xf numFmtId="165" fontId="11" fillId="2" borderId="8" xfId="0" applyNumberFormat="1" applyFont="1" applyFill="1" applyBorder="1" applyAlignment="1">
      <alignment horizontal="center"/>
    </xf>
    <xf numFmtId="165" fontId="11" fillId="2" borderId="3" xfId="0" applyNumberFormat="1" applyFont="1" applyFill="1" applyBorder="1" applyAlignment="1">
      <alignment horizontal="center"/>
    </xf>
    <xf numFmtId="0" fontId="0" fillId="3" borderId="3" xfId="0" applyFill="1" applyBorder="1"/>
    <xf numFmtId="0" fontId="6" fillId="4" borderId="1" xfId="0" applyFont="1" applyFill="1" applyBorder="1"/>
    <xf numFmtId="164" fontId="7" fillId="3" borderId="4" xfId="0" applyNumberFormat="1" applyFont="1" applyFill="1" applyBorder="1" applyAlignment="1">
      <alignment horizontal="center"/>
    </xf>
    <xf numFmtId="0" fontId="8" fillId="5" borderId="0" xfId="0" applyFont="1" applyFill="1" applyBorder="1" applyAlignment="1">
      <alignment horizontal="left"/>
    </xf>
    <xf numFmtId="0" fontId="8" fillId="5" borderId="0" xfId="0" applyFont="1" applyFill="1" applyBorder="1" applyAlignment="1">
      <alignment horizontal="center"/>
    </xf>
    <xf numFmtId="165" fontId="12" fillId="9" borderId="9" xfId="0" applyNumberFormat="1" applyFont="1" applyFill="1" applyBorder="1" applyAlignment="1">
      <alignment horizontal="center"/>
    </xf>
    <xf numFmtId="165" fontId="12" fillId="9" borderId="10" xfId="0" applyNumberFormat="1" applyFont="1" applyFill="1" applyBorder="1" applyAlignment="1">
      <alignment horizontal="center"/>
    </xf>
    <xf numFmtId="165" fontId="11" fillId="3" borderId="11" xfId="0" applyNumberFormat="1" applyFont="1" applyFill="1" applyBorder="1" applyAlignment="1">
      <alignment horizontal="center"/>
    </xf>
    <xf numFmtId="0" fontId="12" fillId="9" borderId="9" xfId="0" applyFont="1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5A5A5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55555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4C1CC5-1D20-354A-9085-A971EE8D660D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N29"/>
  <sheetViews>
    <sheetView showGridLines="0"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K31" sqref="K31"/>
    </sheetView>
  </sheetViews>
  <sheetFormatPr baseColWidth="10" defaultColWidth="8.6640625" defaultRowHeight="15" customHeight="1" x14ac:dyDescent="0.2"/>
  <cols>
    <col min="1" max="1" width="33.33203125" customWidth="1"/>
    <col min="2" max="13" width="14.1640625" customWidth="1"/>
    <col min="14" max="14" width="16.6640625" customWidth="1"/>
  </cols>
  <sheetData>
    <row r="1" spans="1:14" ht="30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2" customHeight="1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6" customHeight="1" x14ac:dyDescent="0.2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s="1" customFormat="1" ht="6" customHeight="1" x14ac:dyDescent="0.2"/>
    <row r="7" spans="1:14" ht="28" customHeight="1" x14ac:dyDescent="0.2">
      <c r="A7" s="14" t="s">
        <v>4</v>
      </c>
      <c r="B7" s="15" t="s">
        <v>5</v>
      </c>
      <c r="C7" s="15" t="s">
        <v>6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12</v>
      </c>
      <c r="J7" s="15" t="s">
        <v>13</v>
      </c>
      <c r="K7" s="15" t="s">
        <v>14</v>
      </c>
      <c r="L7" s="15" t="s">
        <v>15</v>
      </c>
      <c r="M7" s="15" t="s">
        <v>16</v>
      </c>
      <c r="N7" s="16" t="s">
        <v>17</v>
      </c>
    </row>
    <row r="8" spans="1:14" ht="18" customHeight="1" x14ac:dyDescent="0.2">
      <c r="A8" s="7" t="s">
        <v>18</v>
      </c>
      <c r="B8" s="10">
        <v>5820906.5300000003</v>
      </c>
      <c r="C8" s="10">
        <v>5820906.5300000003</v>
      </c>
      <c r="D8" s="10">
        <v>5820906.5300000003</v>
      </c>
      <c r="E8" s="10">
        <v>5820906.5300000003</v>
      </c>
      <c r="F8" s="10">
        <v>5820906.5300000003</v>
      </c>
      <c r="G8" s="10">
        <v>5820906.5300000003</v>
      </c>
      <c r="H8" s="10">
        <v>0</v>
      </c>
      <c r="I8" s="10">
        <v>0</v>
      </c>
      <c r="J8" s="10">
        <v>5820906.5300000003</v>
      </c>
      <c r="K8" s="10">
        <v>5820906.5300000003</v>
      </c>
      <c r="L8" s="10">
        <v>5820906.5300000003</v>
      </c>
      <c r="M8" s="10">
        <v>5820906.5300000003</v>
      </c>
      <c r="N8" s="17"/>
    </row>
    <row r="9" spans="1:14" ht="18" customHeight="1" x14ac:dyDescent="0.2">
      <c r="A9" s="9" t="s">
        <v>19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7620291</v>
      </c>
      <c r="H9" s="11">
        <v>0</v>
      </c>
      <c r="I9" s="11">
        <v>0</v>
      </c>
      <c r="J9" s="11">
        <v>942250</v>
      </c>
      <c r="K9" s="11">
        <v>6250</v>
      </c>
      <c r="L9" s="11">
        <v>0</v>
      </c>
      <c r="M9" s="11">
        <v>0</v>
      </c>
      <c r="N9" s="18"/>
    </row>
    <row r="10" spans="1:14" ht="18" customHeight="1" x14ac:dyDescent="0.2">
      <c r="A10" s="7" t="s">
        <v>20</v>
      </c>
      <c r="B10" s="10">
        <v>126000</v>
      </c>
      <c r="C10" s="10">
        <v>126000</v>
      </c>
      <c r="D10" s="10">
        <v>126000</v>
      </c>
      <c r="E10" s="10">
        <v>126000</v>
      </c>
      <c r="F10" s="10">
        <v>126000</v>
      </c>
      <c r="G10" s="10">
        <v>126000</v>
      </c>
      <c r="H10" s="10">
        <v>0</v>
      </c>
      <c r="I10" s="10">
        <v>0</v>
      </c>
      <c r="J10" s="10">
        <v>126000</v>
      </c>
      <c r="K10" s="10">
        <v>126000</v>
      </c>
      <c r="L10" s="10">
        <v>152400</v>
      </c>
      <c r="M10" s="10">
        <v>152400</v>
      </c>
      <c r="N10" s="13"/>
    </row>
    <row r="11" spans="1:14" ht="18" customHeight="1" x14ac:dyDescent="0.2">
      <c r="A11" s="9" t="s">
        <v>21</v>
      </c>
      <c r="B11" s="11">
        <v>0</v>
      </c>
      <c r="C11" s="11">
        <v>0</v>
      </c>
      <c r="D11" s="11">
        <v>0</v>
      </c>
      <c r="E11" s="11">
        <v>182239.5</v>
      </c>
      <c r="F11" s="11">
        <v>182239.5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8"/>
    </row>
    <row r="12" spans="1:14" ht="18" customHeight="1" thickBot="1" x14ac:dyDescent="0.25">
      <c r="A12" s="7" t="s">
        <v>22</v>
      </c>
      <c r="B12" s="10">
        <v>4269.17</v>
      </c>
      <c r="C12" s="10">
        <v>4269.17</v>
      </c>
      <c r="D12" s="10">
        <v>4269.17</v>
      </c>
      <c r="E12" s="10">
        <v>4269.17</v>
      </c>
      <c r="F12" s="10">
        <v>4269.17</v>
      </c>
      <c r="G12" s="10">
        <v>4269.17</v>
      </c>
      <c r="H12" s="10">
        <v>4269.17</v>
      </c>
      <c r="I12" s="10">
        <v>4269.17</v>
      </c>
      <c r="J12" s="10">
        <v>4269.17</v>
      </c>
      <c r="K12" s="10">
        <v>4269.17</v>
      </c>
      <c r="L12" s="10">
        <v>4269.17</v>
      </c>
      <c r="M12" s="10">
        <v>4269.17</v>
      </c>
      <c r="N12" s="13"/>
    </row>
    <row r="13" spans="1:14" ht="24" customHeight="1" thickBot="1" x14ac:dyDescent="0.25">
      <c r="A13" s="20" t="s">
        <v>23</v>
      </c>
      <c r="B13" s="21">
        <f t="shared" ref="B13:M13" si="0">SUM(B8:B12)</f>
        <v>5951175.7000000002</v>
      </c>
      <c r="C13" s="21">
        <f t="shared" si="0"/>
        <v>5951175.7000000002</v>
      </c>
      <c r="D13" s="21">
        <f t="shared" si="0"/>
        <v>5951175.7000000002</v>
      </c>
      <c r="E13" s="21">
        <f t="shared" si="0"/>
        <v>6133415.2000000002</v>
      </c>
      <c r="F13" s="21">
        <f t="shared" si="0"/>
        <v>6133415.2000000002</v>
      </c>
      <c r="G13" s="21">
        <f t="shared" si="0"/>
        <v>13571466.700000001</v>
      </c>
      <c r="H13" s="21">
        <f t="shared" si="0"/>
        <v>4269.17</v>
      </c>
      <c r="I13" s="21">
        <f t="shared" si="0"/>
        <v>4269.17</v>
      </c>
      <c r="J13" s="21">
        <f t="shared" si="0"/>
        <v>6893425.7000000002</v>
      </c>
      <c r="K13" s="21">
        <f t="shared" si="0"/>
        <v>5957425.7000000002</v>
      </c>
      <c r="L13" s="21">
        <f t="shared" si="0"/>
        <v>5977575.7000000002</v>
      </c>
      <c r="M13" s="21">
        <f t="shared" si="0"/>
        <v>5977575.7000000002</v>
      </c>
      <c r="N13" s="22">
        <f>SUM(B13:M13)</f>
        <v>68506365.340000018</v>
      </c>
    </row>
    <row r="14" spans="1:14" ht="6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6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2" customHeight="1" x14ac:dyDescent="0.2">
      <c r="A16" s="4" t="s">
        <v>24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6" customHeight="1" x14ac:dyDescent="0.2">
      <c r="A17" s="5" t="s">
        <v>25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ht="6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8" customHeight="1" x14ac:dyDescent="0.2">
      <c r="A19" s="14" t="s">
        <v>26</v>
      </c>
      <c r="B19" s="15" t="s">
        <v>5</v>
      </c>
      <c r="C19" s="15" t="s">
        <v>6</v>
      </c>
      <c r="D19" s="15" t="s">
        <v>7</v>
      </c>
      <c r="E19" s="15" t="s">
        <v>8</v>
      </c>
      <c r="F19" s="15" t="s">
        <v>9</v>
      </c>
      <c r="G19" s="15" t="s">
        <v>10</v>
      </c>
      <c r="H19" s="15" t="s">
        <v>11</v>
      </c>
      <c r="I19" s="15" t="s">
        <v>12</v>
      </c>
      <c r="J19" s="15" t="s">
        <v>13</v>
      </c>
      <c r="K19" s="15" t="s">
        <v>14</v>
      </c>
      <c r="L19" s="15" t="s">
        <v>15</v>
      </c>
      <c r="M19" s="15" t="s">
        <v>16</v>
      </c>
      <c r="N19" s="16" t="s">
        <v>27</v>
      </c>
    </row>
    <row r="20" spans="1:14" ht="18" customHeight="1" x14ac:dyDescent="0.2">
      <c r="A20" s="7" t="s">
        <v>28</v>
      </c>
      <c r="B20" s="10">
        <v>136</v>
      </c>
      <c r="C20" s="10">
        <v>136</v>
      </c>
      <c r="D20" s="10">
        <v>136</v>
      </c>
      <c r="E20" s="10">
        <v>136</v>
      </c>
      <c r="F20" s="10">
        <v>136</v>
      </c>
      <c r="G20" s="10">
        <v>136</v>
      </c>
      <c r="H20" s="10">
        <v>136</v>
      </c>
      <c r="I20" s="10">
        <v>136</v>
      </c>
      <c r="J20" s="10">
        <v>136</v>
      </c>
      <c r="K20" s="10">
        <v>136</v>
      </c>
      <c r="L20" s="10">
        <v>136</v>
      </c>
      <c r="M20" s="10">
        <v>136</v>
      </c>
      <c r="N20" s="17">
        <v>136</v>
      </c>
    </row>
    <row r="21" spans="1:14" ht="18" customHeight="1" x14ac:dyDescent="0.2">
      <c r="A21" s="9" t="s">
        <v>29</v>
      </c>
      <c r="B21" s="11">
        <v>50</v>
      </c>
      <c r="C21" s="11">
        <v>50</v>
      </c>
      <c r="D21" s="11">
        <v>50</v>
      </c>
      <c r="E21" s="11">
        <v>50</v>
      </c>
      <c r="F21" s="11">
        <v>50</v>
      </c>
      <c r="G21" s="11">
        <v>50</v>
      </c>
      <c r="H21" s="11">
        <v>50</v>
      </c>
      <c r="I21" s="11">
        <v>50</v>
      </c>
      <c r="J21" s="11">
        <v>50</v>
      </c>
      <c r="K21" s="11">
        <v>50</v>
      </c>
      <c r="L21" s="11">
        <v>50</v>
      </c>
      <c r="M21" s="11">
        <v>50</v>
      </c>
      <c r="N21" s="18">
        <v>50</v>
      </c>
    </row>
    <row r="22" spans="1:14" ht="18" customHeight="1" thickBot="1" x14ac:dyDescent="0.25">
      <c r="A22" s="7" t="s">
        <v>30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6</v>
      </c>
      <c r="K22" s="10">
        <v>6</v>
      </c>
      <c r="L22" s="10">
        <v>6</v>
      </c>
      <c r="M22" s="10">
        <v>6</v>
      </c>
      <c r="N22" s="13">
        <v>2</v>
      </c>
    </row>
    <row r="23" spans="1:14" ht="24" customHeight="1" thickBot="1" x14ac:dyDescent="0.25">
      <c r="A23" s="20" t="s">
        <v>31</v>
      </c>
      <c r="B23" s="21">
        <f t="shared" ref="B23:M23" si="1">SUM(B20:B22)</f>
        <v>186</v>
      </c>
      <c r="C23" s="21">
        <f t="shared" si="1"/>
        <v>186</v>
      </c>
      <c r="D23" s="21">
        <f t="shared" si="1"/>
        <v>186</v>
      </c>
      <c r="E23" s="21">
        <f t="shared" si="1"/>
        <v>186</v>
      </c>
      <c r="F23" s="21">
        <f t="shared" si="1"/>
        <v>186</v>
      </c>
      <c r="G23" s="21">
        <f t="shared" si="1"/>
        <v>186</v>
      </c>
      <c r="H23" s="21">
        <f t="shared" si="1"/>
        <v>186</v>
      </c>
      <c r="I23" s="21">
        <f t="shared" si="1"/>
        <v>186</v>
      </c>
      <c r="J23" s="21">
        <f t="shared" si="1"/>
        <v>192</v>
      </c>
      <c r="K23" s="21">
        <f t="shared" si="1"/>
        <v>192</v>
      </c>
      <c r="L23" s="21">
        <f t="shared" si="1"/>
        <v>192</v>
      </c>
      <c r="M23" s="21">
        <f t="shared" si="1"/>
        <v>192</v>
      </c>
      <c r="N23" s="22">
        <f>AVERAGE(B23:M23)</f>
        <v>188</v>
      </c>
    </row>
    <row r="24" spans="1:14" ht="6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6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22" customHeight="1" x14ac:dyDescent="0.2">
      <c r="A26" s="4" t="s">
        <v>32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6" customHeight="1" x14ac:dyDescent="0.2">
      <c r="A27" s="5" t="s">
        <v>33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spans="1:14" ht="6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 x14ac:dyDescent="0.2">
      <c r="A29" s="6" t="s">
        <v>34</v>
      </c>
      <c r="B29" s="12">
        <v>1753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S74"/>
  <sheetViews>
    <sheetView showGridLines="0" tabSelected="1" zoomScaleNormal="100" workbookViewId="0">
      <pane xSplit="2" ySplit="5" topLeftCell="C47" activePane="bottomRight" state="frozen"/>
      <selection pane="topRight" activeCell="C1" sqref="C1"/>
      <selection pane="bottomLeft" activeCell="A6" sqref="A6"/>
      <selection pane="bottomRight" activeCell="J20" sqref="J20"/>
    </sheetView>
  </sheetViews>
  <sheetFormatPr baseColWidth="10" defaultColWidth="8.6640625" defaultRowHeight="15" customHeight="1" x14ac:dyDescent="0.2"/>
  <cols>
    <col min="1" max="1" width="18.33203125" customWidth="1"/>
    <col min="2" max="2" width="35" customWidth="1"/>
    <col min="3" max="14" width="14.1640625" customWidth="1"/>
    <col min="15" max="16" width="16.6640625" customWidth="1"/>
    <col min="17" max="18" width="15.83203125" customWidth="1"/>
    <col min="19" max="19" width="26.6640625" customWidth="1"/>
  </cols>
  <sheetData>
    <row r="1" spans="1:19" ht="30" customHeight="1" x14ac:dyDescent="0.2">
      <c r="A1" s="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20" customHeight="1" x14ac:dyDescent="0.2">
      <c r="A2" s="3" t="s">
        <v>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8" customHeight="1" x14ac:dyDescent="0.2">
      <c r="A4" s="14" t="s">
        <v>37</v>
      </c>
      <c r="B4" s="14" t="s">
        <v>38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6" t="s">
        <v>17</v>
      </c>
      <c r="P4" s="15" t="s">
        <v>134</v>
      </c>
      <c r="Q4" s="15" t="s">
        <v>132</v>
      </c>
      <c r="R4" s="15" t="s">
        <v>133</v>
      </c>
      <c r="S4" s="15" t="s">
        <v>39</v>
      </c>
    </row>
    <row r="5" spans="1:19" ht="22" customHeight="1" x14ac:dyDescent="0.2">
      <c r="A5" s="4" t="s">
        <v>40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8"/>
      <c r="P5" s="4"/>
      <c r="Q5" s="4"/>
      <c r="R5" s="4"/>
      <c r="S5" s="4"/>
    </row>
    <row r="6" spans="1:19" ht="18" customHeight="1" x14ac:dyDescent="0.2">
      <c r="A6" s="7" t="s">
        <v>40</v>
      </c>
      <c r="B6" s="6" t="s">
        <v>41</v>
      </c>
      <c r="C6" s="10">
        <v>699626.5</v>
      </c>
      <c r="D6" s="10">
        <v>699626.5</v>
      </c>
      <c r="E6" s="10">
        <v>699626.5</v>
      </c>
      <c r="F6" s="10">
        <v>699626.5</v>
      </c>
      <c r="G6" s="10">
        <v>699626.5</v>
      </c>
      <c r="H6" s="10">
        <v>699626.5</v>
      </c>
      <c r="I6" s="10">
        <v>699626.5</v>
      </c>
      <c r="J6" s="10">
        <v>699626.5</v>
      </c>
      <c r="K6" s="10">
        <v>699626.5</v>
      </c>
      <c r="L6" s="10">
        <v>699626.5</v>
      </c>
      <c r="M6" s="10">
        <v>699626.5</v>
      </c>
      <c r="N6" s="10">
        <v>699626.5</v>
      </c>
      <c r="O6" s="13">
        <f>SUM(C6:N6)</f>
        <v>8395518</v>
      </c>
      <c r="P6" s="10">
        <v>8395518</v>
      </c>
      <c r="Q6" s="10">
        <v>8395516</v>
      </c>
      <c r="R6" s="10">
        <v>7631145.3300000001</v>
      </c>
      <c r="S6" s="5" t="s">
        <v>42</v>
      </c>
    </row>
    <row r="7" spans="1:19" ht="18" customHeight="1" x14ac:dyDescent="0.2">
      <c r="A7" s="9" t="s">
        <v>40</v>
      </c>
      <c r="B7" s="8" t="s">
        <v>43</v>
      </c>
      <c r="C7" s="11">
        <v>35000</v>
      </c>
      <c r="D7" s="11">
        <v>35000</v>
      </c>
      <c r="E7" s="11">
        <v>35000</v>
      </c>
      <c r="F7" s="11">
        <v>35000</v>
      </c>
      <c r="G7" s="11">
        <v>35000</v>
      </c>
      <c r="H7" s="11">
        <v>35000</v>
      </c>
      <c r="I7" s="11">
        <v>35000</v>
      </c>
      <c r="J7" s="11">
        <v>35000</v>
      </c>
      <c r="K7" s="11">
        <v>35000</v>
      </c>
      <c r="L7" s="11">
        <v>35000</v>
      </c>
      <c r="M7" s="11">
        <v>35000</v>
      </c>
      <c r="N7" s="11">
        <v>35000</v>
      </c>
      <c r="O7" s="18">
        <f>SUM(C7:N7)</f>
        <v>420000</v>
      </c>
      <c r="P7" s="11">
        <v>420000</v>
      </c>
      <c r="Q7" s="11"/>
      <c r="R7" s="11"/>
      <c r="S7" s="23"/>
    </row>
    <row r="8" spans="1:19" ht="18" customHeight="1" x14ac:dyDescent="0.2">
      <c r="A8" s="7" t="s">
        <v>40</v>
      </c>
      <c r="B8" s="6" t="s">
        <v>44</v>
      </c>
      <c r="C8" s="10">
        <v>13833.33</v>
      </c>
      <c r="D8" s="10">
        <v>13833.33</v>
      </c>
      <c r="E8" s="10">
        <v>13833.33</v>
      </c>
      <c r="F8" s="10">
        <v>13833.33</v>
      </c>
      <c r="G8" s="10">
        <v>13833.33</v>
      </c>
      <c r="H8" s="10">
        <v>13833.33</v>
      </c>
      <c r="I8" s="10">
        <v>13833.33</v>
      </c>
      <c r="J8" s="10">
        <v>13833.33</v>
      </c>
      <c r="K8" s="10">
        <v>13833.33</v>
      </c>
      <c r="L8" s="10">
        <v>13833.33</v>
      </c>
      <c r="M8" s="10">
        <v>13833.33</v>
      </c>
      <c r="N8" s="10">
        <v>13833.33</v>
      </c>
      <c r="O8" s="13">
        <f>SUM(C8:N8)</f>
        <v>165999.95999999996</v>
      </c>
      <c r="P8" s="10">
        <v>166000</v>
      </c>
      <c r="Q8" s="10">
        <v>0</v>
      </c>
      <c r="R8" s="10">
        <v>15004.25</v>
      </c>
      <c r="S8" s="5"/>
    </row>
    <row r="9" spans="1:19" ht="22" customHeight="1" x14ac:dyDescent="0.2">
      <c r="A9" s="25"/>
      <c r="B9" s="25" t="s">
        <v>45</v>
      </c>
      <c r="C9" s="26">
        <f t="shared" ref="C9:O9" si="0">SUM(C6:C8)</f>
        <v>748459.83</v>
      </c>
      <c r="D9" s="26">
        <f t="shared" si="0"/>
        <v>748459.83</v>
      </c>
      <c r="E9" s="26">
        <f t="shared" si="0"/>
        <v>748459.83</v>
      </c>
      <c r="F9" s="26">
        <f t="shared" si="0"/>
        <v>748459.83</v>
      </c>
      <c r="G9" s="26">
        <f t="shared" si="0"/>
        <v>748459.83</v>
      </c>
      <c r="H9" s="26">
        <f t="shared" si="0"/>
        <v>748459.83</v>
      </c>
      <c r="I9" s="26">
        <f t="shared" si="0"/>
        <v>748459.83</v>
      </c>
      <c r="J9" s="26">
        <f t="shared" si="0"/>
        <v>748459.83</v>
      </c>
      <c r="K9" s="26">
        <f t="shared" si="0"/>
        <v>748459.83</v>
      </c>
      <c r="L9" s="26">
        <f t="shared" si="0"/>
        <v>748459.83</v>
      </c>
      <c r="M9" s="26">
        <f t="shared" si="0"/>
        <v>748459.83</v>
      </c>
      <c r="N9" s="26">
        <f t="shared" si="0"/>
        <v>748459.83</v>
      </c>
      <c r="O9" s="30">
        <f t="shared" si="0"/>
        <v>8981517.9600000009</v>
      </c>
      <c r="P9" s="26">
        <f>SUM(P6:P8)</f>
        <v>8981518</v>
      </c>
      <c r="Q9" s="26">
        <f>SUM(Q6:Q8)</f>
        <v>8395516</v>
      </c>
      <c r="R9" s="26">
        <f>SUM(R6:R8)</f>
        <v>7646149.5800000001</v>
      </c>
      <c r="S9" s="25"/>
    </row>
    <row r="10" spans="1:19" ht="6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31"/>
      <c r="P10" s="1"/>
      <c r="Q10" s="1"/>
      <c r="R10" s="1"/>
      <c r="S10" s="1"/>
    </row>
    <row r="11" spans="1:19" ht="22" customHeight="1" x14ac:dyDescent="0.2">
      <c r="A11" s="4" t="s">
        <v>46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32"/>
      <c r="P11" s="4"/>
      <c r="Q11" s="4"/>
      <c r="R11" s="4"/>
      <c r="S11" s="4"/>
    </row>
    <row r="12" spans="1:19" ht="18" customHeight="1" x14ac:dyDescent="0.2">
      <c r="A12" s="7" t="s">
        <v>46</v>
      </c>
      <c r="B12" s="6" t="s">
        <v>47</v>
      </c>
      <c r="C12" s="10">
        <v>230521</v>
      </c>
      <c r="D12" s="10">
        <v>230521</v>
      </c>
      <c r="E12" s="10">
        <v>230521</v>
      </c>
      <c r="F12" s="10">
        <v>230521</v>
      </c>
      <c r="G12" s="10">
        <v>230521</v>
      </c>
      <c r="H12" s="10">
        <v>230521</v>
      </c>
      <c r="I12" s="10">
        <v>230521</v>
      </c>
      <c r="J12" s="10">
        <v>230521</v>
      </c>
      <c r="K12" s="10">
        <v>230521</v>
      </c>
      <c r="L12" s="10">
        <v>230521</v>
      </c>
      <c r="M12" s="10">
        <v>230521</v>
      </c>
      <c r="N12" s="10">
        <v>230521</v>
      </c>
      <c r="O12" s="13">
        <f>SUM(C12:N12)</f>
        <v>2766252</v>
      </c>
      <c r="P12" s="10">
        <v>2766252</v>
      </c>
      <c r="Q12" s="10">
        <v>2783446.97</v>
      </c>
      <c r="R12" s="10">
        <v>3591009.97</v>
      </c>
      <c r="S12" s="5" t="s">
        <v>48</v>
      </c>
    </row>
    <row r="13" spans="1:19" ht="18" customHeight="1" x14ac:dyDescent="0.2">
      <c r="A13" s="9" t="s">
        <v>46</v>
      </c>
      <c r="B13" s="8" t="s">
        <v>49</v>
      </c>
      <c r="C13" s="11">
        <v>144200</v>
      </c>
      <c r="D13" s="11">
        <v>144200</v>
      </c>
      <c r="E13" s="11">
        <v>144200</v>
      </c>
      <c r="F13" s="11">
        <v>144200</v>
      </c>
      <c r="G13" s="11">
        <v>144200</v>
      </c>
      <c r="H13" s="11">
        <v>144200</v>
      </c>
      <c r="I13" s="11">
        <v>144200</v>
      </c>
      <c r="J13" s="11">
        <v>144200</v>
      </c>
      <c r="K13" s="11">
        <v>144200</v>
      </c>
      <c r="L13" s="11">
        <v>144200</v>
      </c>
      <c r="M13" s="11">
        <v>144200</v>
      </c>
      <c r="N13" s="11">
        <v>144200</v>
      </c>
      <c r="O13" s="18">
        <f>SUM(C13:N13)</f>
        <v>1730400</v>
      </c>
      <c r="P13" s="11">
        <v>1730400</v>
      </c>
      <c r="Q13" s="11"/>
      <c r="R13" s="11"/>
      <c r="S13" s="23" t="s">
        <v>50</v>
      </c>
    </row>
    <row r="14" spans="1:19" ht="18" customHeight="1" x14ac:dyDescent="0.2">
      <c r="A14" s="7" t="s">
        <v>46</v>
      </c>
      <c r="B14" s="6" t="s">
        <v>51</v>
      </c>
      <c r="C14" s="10">
        <f>350000/10</f>
        <v>35000</v>
      </c>
      <c r="D14" s="10">
        <f>C14</f>
        <v>35000</v>
      </c>
      <c r="E14" s="10">
        <f t="shared" ref="E14:H14" si="1">D14</f>
        <v>35000</v>
      </c>
      <c r="F14" s="10">
        <f t="shared" si="1"/>
        <v>35000</v>
      </c>
      <c r="G14" s="10">
        <f t="shared" si="1"/>
        <v>35000</v>
      </c>
      <c r="H14" s="10">
        <f t="shared" si="1"/>
        <v>35000</v>
      </c>
      <c r="I14" s="10"/>
      <c r="J14" s="10"/>
      <c r="K14" s="10">
        <f>H14</f>
        <v>35000</v>
      </c>
      <c r="L14" s="10">
        <f>K14</f>
        <v>35000</v>
      </c>
      <c r="M14" s="10">
        <f t="shared" ref="M14:N14" si="2">L14</f>
        <v>35000</v>
      </c>
      <c r="N14" s="10">
        <f t="shared" si="2"/>
        <v>35000</v>
      </c>
      <c r="O14" s="13">
        <f>SUM(C14:N14)</f>
        <v>350000</v>
      </c>
      <c r="P14" s="10">
        <v>355886</v>
      </c>
      <c r="Q14" s="10"/>
      <c r="R14" s="10"/>
      <c r="S14" s="5"/>
    </row>
    <row r="15" spans="1:19" ht="22" customHeight="1" x14ac:dyDescent="0.2">
      <c r="A15" s="25"/>
      <c r="B15" s="25" t="s">
        <v>52</v>
      </c>
      <c r="C15" s="26">
        <f t="shared" ref="C15:O15" si="3">SUM(C12:C14)</f>
        <v>409721</v>
      </c>
      <c r="D15" s="26">
        <f t="shared" si="3"/>
        <v>409721</v>
      </c>
      <c r="E15" s="26">
        <f t="shared" si="3"/>
        <v>409721</v>
      </c>
      <c r="F15" s="26">
        <f t="shared" si="3"/>
        <v>409721</v>
      </c>
      <c r="G15" s="26">
        <f t="shared" si="3"/>
        <v>409721</v>
      </c>
      <c r="H15" s="26">
        <f t="shared" si="3"/>
        <v>409721</v>
      </c>
      <c r="I15" s="26">
        <f t="shared" si="3"/>
        <v>374721</v>
      </c>
      <c r="J15" s="26">
        <f t="shared" si="3"/>
        <v>374721</v>
      </c>
      <c r="K15" s="26">
        <f t="shared" si="3"/>
        <v>409721</v>
      </c>
      <c r="L15" s="26">
        <f t="shared" si="3"/>
        <v>409721</v>
      </c>
      <c r="M15" s="26">
        <f t="shared" si="3"/>
        <v>409721</v>
      </c>
      <c r="N15" s="26">
        <f t="shared" si="3"/>
        <v>409721</v>
      </c>
      <c r="O15" s="30">
        <f t="shared" si="3"/>
        <v>4846652</v>
      </c>
      <c r="P15" s="26">
        <f>SUM(P12:P14)</f>
        <v>4852538</v>
      </c>
      <c r="Q15" s="26">
        <f>SUM(Q12:Q14)</f>
        <v>2783446.97</v>
      </c>
      <c r="R15" s="26">
        <f>SUM(R12:R14)</f>
        <v>3591009.97</v>
      </c>
      <c r="S15" s="25"/>
    </row>
    <row r="16" spans="1:19" ht="6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  <c r="P16" s="1"/>
      <c r="Q16" s="1"/>
      <c r="R16" s="1"/>
      <c r="S16" s="1"/>
    </row>
    <row r="17" spans="1:19" ht="22" customHeight="1" x14ac:dyDescent="0.2">
      <c r="A17" s="4" t="s">
        <v>53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32"/>
      <c r="P17" s="4"/>
      <c r="Q17" s="4"/>
      <c r="R17" s="4"/>
      <c r="S17" s="4"/>
    </row>
    <row r="18" spans="1:19" ht="18" customHeight="1" x14ac:dyDescent="0.2">
      <c r="A18" s="7" t="s">
        <v>53</v>
      </c>
      <c r="B18" s="6" t="s">
        <v>54</v>
      </c>
      <c r="C18" s="10">
        <f>470000/10</f>
        <v>47000</v>
      </c>
      <c r="D18" s="10">
        <f>C18</f>
        <v>47000</v>
      </c>
      <c r="E18" s="10">
        <f t="shared" ref="E18:H18" si="4">D18</f>
        <v>47000</v>
      </c>
      <c r="F18" s="10">
        <f t="shared" si="4"/>
        <v>47000</v>
      </c>
      <c r="G18" s="10">
        <f t="shared" si="4"/>
        <v>47000</v>
      </c>
      <c r="H18" s="10">
        <f t="shared" si="4"/>
        <v>47000</v>
      </c>
      <c r="I18" s="10"/>
      <c r="J18" s="10"/>
      <c r="K18" s="10">
        <f>H18</f>
        <v>47000</v>
      </c>
      <c r="L18" s="10">
        <f>K18</f>
        <v>47000</v>
      </c>
      <c r="M18" s="10">
        <f t="shared" ref="M18:N18" si="5">L18</f>
        <v>47000</v>
      </c>
      <c r="N18" s="10">
        <f t="shared" si="5"/>
        <v>47000</v>
      </c>
      <c r="O18" s="13">
        <f>SUM(C18:N18)</f>
        <v>470000</v>
      </c>
      <c r="P18" s="10">
        <v>465139</v>
      </c>
      <c r="Q18" s="10"/>
      <c r="R18" s="10"/>
      <c r="S18" s="5" t="s">
        <v>55</v>
      </c>
    </row>
    <row r="19" spans="1:19" ht="18" customHeight="1" x14ac:dyDescent="0.2">
      <c r="A19" s="9" t="s">
        <v>53</v>
      </c>
      <c r="B19" s="8" t="s">
        <v>56</v>
      </c>
      <c r="C19" s="11">
        <v>6192.67</v>
      </c>
      <c r="D19" s="11">
        <v>6192.67</v>
      </c>
      <c r="E19" s="11">
        <v>6192.67</v>
      </c>
      <c r="F19" s="11">
        <v>6192.67</v>
      </c>
      <c r="G19" s="11">
        <v>6192.67</v>
      </c>
      <c r="H19" s="11">
        <v>6192.67</v>
      </c>
      <c r="I19" s="11">
        <v>6192.67</v>
      </c>
      <c r="J19" s="11">
        <v>6192.67</v>
      </c>
      <c r="K19" s="11">
        <v>6192.67</v>
      </c>
      <c r="L19" s="11">
        <v>6192.67</v>
      </c>
      <c r="M19" s="11">
        <v>6192.67</v>
      </c>
      <c r="N19" s="11">
        <v>6192.67</v>
      </c>
      <c r="O19" s="18">
        <f>SUM(C19:N19)</f>
        <v>74312.039999999994</v>
      </c>
      <c r="P19" s="11">
        <v>150000</v>
      </c>
      <c r="Q19" s="11">
        <v>10944</v>
      </c>
      <c r="R19" s="11">
        <v>48085.29</v>
      </c>
      <c r="S19" s="23"/>
    </row>
    <row r="20" spans="1:19" ht="22" customHeight="1" x14ac:dyDescent="0.2">
      <c r="A20" s="25"/>
      <c r="B20" s="25" t="s">
        <v>57</v>
      </c>
      <c r="C20" s="26">
        <f t="shared" ref="C20:O20" si="6">SUM(C18:C19)</f>
        <v>53192.67</v>
      </c>
      <c r="D20" s="26">
        <f t="shared" si="6"/>
        <v>53192.67</v>
      </c>
      <c r="E20" s="26">
        <f t="shared" si="6"/>
        <v>53192.67</v>
      </c>
      <c r="F20" s="26">
        <f t="shared" si="6"/>
        <v>53192.67</v>
      </c>
      <c r="G20" s="26">
        <f t="shared" si="6"/>
        <v>53192.67</v>
      </c>
      <c r="H20" s="26">
        <f t="shared" si="6"/>
        <v>53192.67</v>
      </c>
      <c r="I20" s="26">
        <f t="shared" si="6"/>
        <v>6192.67</v>
      </c>
      <c r="J20" s="26">
        <f t="shared" si="6"/>
        <v>6192.67</v>
      </c>
      <c r="K20" s="26">
        <f t="shared" si="6"/>
        <v>53192.67</v>
      </c>
      <c r="L20" s="26">
        <f t="shared" si="6"/>
        <v>53192.67</v>
      </c>
      <c r="M20" s="26">
        <f t="shared" si="6"/>
        <v>53192.67</v>
      </c>
      <c r="N20" s="26">
        <f t="shared" si="6"/>
        <v>53192.67</v>
      </c>
      <c r="O20" s="30">
        <f t="shared" si="6"/>
        <v>544312.04</v>
      </c>
      <c r="P20" s="26">
        <f>SUM(P18:P19)</f>
        <v>615139</v>
      </c>
      <c r="Q20" s="26">
        <f>SUM(Q18:Q19)</f>
        <v>10944</v>
      </c>
      <c r="R20" s="26">
        <f>SUM(R18:R19)</f>
        <v>48085.29</v>
      </c>
      <c r="S20" s="25"/>
    </row>
    <row r="21" spans="1:19" ht="6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31"/>
      <c r="P21" s="1"/>
      <c r="Q21" s="1"/>
      <c r="R21" s="1"/>
      <c r="S21" s="1"/>
    </row>
    <row r="22" spans="1:19" ht="22" customHeight="1" x14ac:dyDescent="0.2">
      <c r="A22" s="4" t="s">
        <v>58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32"/>
      <c r="P22" s="4"/>
      <c r="Q22" s="4"/>
      <c r="R22" s="4"/>
      <c r="S22" s="4"/>
    </row>
    <row r="23" spans="1:19" ht="18" customHeight="1" x14ac:dyDescent="0.2">
      <c r="A23" s="7" t="s">
        <v>58</v>
      </c>
      <c r="B23" s="6" t="s">
        <v>59</v>
      </c>
      <c r="C23" s="10">
        <v>5794.42</v>
      </c>
      <c r="D23" s="10">
        <v>5794.42</v>
      </c>
      <c r="E23" s="10">
        <v>5794.42</v>
      </c>
      <c r="F23" s="10">
        <v>5794.42</v>
      </c>
      <c r="G23" s="10">
        <v>5794.42</v>
      </c>
      <c r="H23" s="10">
        <v>5794.42</v>
      </c>
      <c r="I23" s="10">
        <v>5794.42</v>
      </c>
      <c r="J23" s="10">
        <v>5794.42</v>
      </c>
      <c r="K23" s="10">
        <v>5794.42</v>
      </c>
      <c r="L23" s="10">
        <v>5794.42</v>
      </c>
      <c r="M23" s="10">
        <v>5794.42</v>
      </c>
      <c r="N23" s="10">
        <v>5794.42</v>
      </c>
      <c r="O23" s="13">
        <f>SUM(C23:N23)</f>
        <v>69533.039999999994</v>
      </c>
      <c r="P23" s="10">
        <v>69533</v>
      </c>
      <c r="Q23" s="10"/>
      <c r="R23" s="10"/>
      <c r="S23" s="5"/>
    </row>
    <row r="24" spans="1:19" ht="18" customHeight="1" x14ac:dyDescent="0.2">
      <c r="A24" s="9" t="s">
        <v>58</v>
      </c>
      <c r="B24" s="8" t="s">
        <v>60</v>
      </c>
      <c r="C24" s="11">
        <f>180000/10</f>
        <v>18000</v>
      </c>
      <c r="D24" s="11">
        <f t="shared" ref="D24:N24" si="7">180000/10</f>
        <v>18000</v>
      </c>
      <c r="E24" s="11">
        <f t="shared" si="7"/>
        <v>18000</v>
      </c>
      <c r="F24" s="11">
        <f t="shared" si="7"/>
        <v>18000</v>
      </c>
      <c r="G24" s="11">
        <f t="shared" si="7"/>
        <v>18000</v>
      </c>
      <c r="H24" s="11">
        <f t="shared" si="7"/>
        <v>18000</v>
      </c>
      <c r="I24" s="11">
        <f t="shared" si="7"/>
        <v>18000</v>
      </c>
      <c r="J24" s="11">
        <f t="shared" si="7"/>
        <v>18000</v>
      </c>
      <c r="K24" s="11">
        <f t="shared" si="7"/>
        <v>18000</v>
      </c>
      <c r="L24" s="11">
        <f t="shared" si="7"/>
        <v>18000</v>
      </c>
      <c r="M24" s="11">
        <f t="shared" si="7"/>
        <v>18000</v>
      </c>
      <c r="N24" s="11">
        <f t="shared" si="7"/>
        <v>18000</v>
      </c>
      <c r="O24" s="18">
        <f>SUM(C24:N24)</f>
        <v>216000</v>
      </c>
      <c r="P24" s="11">
        <v>101789</v>
      </c>
      <c r="Q24" s="11"/>
      <c r="R24" s="11"/>
      <c r="S24" s="23"/>
    </row>
    <row r="25" spans="1:19" ht="22" customHeight="1" x14ac:dyDescent="0.2">
      <c r="A25" s="25"/>
      <c r="B25" s="25" t="s">
        <v>61</v>
      </c>
      <c r="C25" s="26">
        <f t="shared" ref="C25:O25" si="8">SUM(C23:C24)</f>
        <v>23794.42</v>
      </c>
      <c r="D25" s="26">
        <f t="shared" si="8"/>
        <v>23794.42</v>
      </c>
      <c r="E25" s="26">
        <f t="shared" si="8"/>
        <v>23794.42</v>
      </c>
      <c r="F25" s="26">
        <f t="shared" si="8"/>
        <v>23794.42</v>
      </c>
      <c r="G25" s="26">
        <f t="shared" si="8"/>
        <v>23794.42</v>
      </c>
      <c r="H25" s="26">
        <f t="shared" si="8"/>
        <v>23794.42</v>
      </c>
      <c r="I25" s="26">
        <f t="shared" si="8"/>
        <v>23794.42</v>
      </c>
      <c r="J25" s="26">
        <f t="shared" si="8"/>
        <v>23794.42</v>
      </c>
      <c r="K25" s="26">
        <f t="shared" si="8"/>
        <v>23794.42</v>
      </c>
      <c r="L25" s="26">
        <f t="shared" si="8"/>
        <v>23794.42</v>
      </c>
      <c r="M25" s="26">
        <f t="shared" si="8"/>
        <v>23794.42</v>
      </c>
      <c r="N25" s="26">
        <f t="shared" si="8"/>
        <v>23794.42</v>
      </c>
      <c r="O25" s="30">
        <f t="shared" si="8"/>
        <v>285533.03999999998</v>
      </c>
      <c r="P25" s="26">
        <f>SUM(P23:P24)</f>
        <v>171322</v>
      </c>
      <c r="Q25" s="26">
        <v>165852</v>
      </c>
      <c r="R25" s="26">
        <v>195526.6</v>
      </c>
      <c r="S25" s="25"/>
    </row>
    <row r="26" spans="1:19" ht="6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31"/>
      <c r="P26" s="1"/>
      <c r="Q26" s="1"/>
      <c r="R26" s="1"/>
      <c r="S26" s="1"/>
    </row>
    <row r="27" spans="1:19" ht="22" customHeight="1" x14ac:dyDescent="0.2">
      <c r="A27" s="4" t="s">
        <v>62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32"/>
      <c r="P27" s="4"/>
      <c r="Q27" s="4"/>
      <c r="R27" s="4"/>
      <c r="S27" s="4"/>
    </row>
    <row r="28" spans="1:19" ht="18" customHeight="1" x14ac:dyDescent="0.2">
      <c r="A28" s="7" t="s">
        <v>62</v>
      </c>
      <c r="B28" s="6" t="s">
        <v>63</v>
      </c>
      <c r="C28" s="10">
        <v>3000</v>
      </c>
      <c r="D28" s="10">
        <v>3000</v>
      </c>
      <c r="E28" s="10">
        <v>3000</v>
      </c>
      <c r="F28" s="10">
        <v>3000</v>
      </c>
      <c r="G28" s="10">
        <v>3000</v>
      </c>
      <c r="H28" s="10">
        <v>3000</v>
      </c>
      <c r="I28" s="10">
        <v>3000</v>
      </c>
      <c r="J28" s="10">
        <v>3000</v>
      </c>
      <c r="K28" s="10">
        <v>3000</v>
      </c>
      <c r="L28" s="10">
        <v>3000</v>
      </c>
      <c r="M28" s="10">
        <v>3000</v>
      </c>
      <c r="N28" s="10">
        <v>3000</v>
      </c>
      <c r="O28" s="13">
        <f>SUM(C28:N28)</f>
        <v>36000</v>
      </c>
      <c r="P28" s="10">
        <v>32000</v>
      </c>
      <c r="Q28" s="10"/>
      <c r="R28" s="10"/>
      <c r="S28" s="5"/>
    </row>
    <row r="29" spans="1:19" ht="18" customHeight="1" x14ac:dyDescent="0.2">
      <c r="A29" s="9" t="s">
        <v>62</v>
      </c>
      <c r="B29" s="8" t="s">
        <v>64</v>
      </c>
      <c r="C29" s="11">
        <v>2500</v>
      </c>
      <c r="D29" s="11">
        <v>2500</v>
      </c>
      <c r="E29" s="11">
        <v>2500</v>
      </c>
      <c r="F29" s="11">
        <v>2500</v>
      </c>
      <c r="G29" s="11">
        <v>2500</v>
      </c>
      <c r="H29" s="11">
        <v>2500</v>
      </c>
      <c r="I29" s="11">
        <v>2500</v>
      </c>
      <c r="J29" s="11">
        <v>2500</v>
      </c>
      <c r="K29" s="11">
        <v>2500</v>
      </c>
      <c r="L29" s="11">
        <v>2500</v>
      </c>
      <c r="M29" s="11">
        <v>2500</v>
      </c>
      <c r="N29" s="11">
        <v>2500</v>
      </c>
      <c r="O29" s="18">
        <f>SUM(C29:N29)</f>
        <v>30000</v>
      </c>
      <c r="P29" s="11">
        <v>30000</v>
      </c>
      <c r="Q29" s="11"/>
      <c r="R29" s="11"/>
      <c r="S29" s="23"/>
    </row>
    <row r="30" spans="1:19" ht="22" customHeight="1" x14ac:dyDescent="0.2">
      <c r="A30" s="25"/>
      <c r="B30" s="25" t="s">
        <v>65</v>
      </c>
      <c r="C30" s="26">
        <f t="shared" ref="C30:O30" si="9">SUM(C28:C29)</f>
        <v>5500</v>
      </c>
      <c r="D30" s="26">
        <f t="shared" si="9"/>
        <v>5500</v>
      </c>
      <c r="E30" s="26">
        <f t="shared" si="9"/>
        <v>5500</v>
      </c>
      <c r="F30" s="26">
        <f t="shared" si="9"/>
        <v>5500</v>
      </c>
      <c r="G30" s="26">
        <f t="shared" si="9"/>
        <v>5500</v>
      </c>
      <c r="H30" s="26">
        <f t="shared" si="9"/>
        <v>5500</v>
      </c>
      <c r="I30" s="26">
        <f t="shared" si="9"/>
        <v>5500</v>
      </c>
      <c r="J30" s="26">
        <f t="shared" si="9"/>
        <v>5500</v>
      </c>
      <c r="K30" s="26">
        <f t="shared" si="9"/>
        <v>5500</v>
      </c>
      <c r="L30" s="26">
        <f t="shared" si="9"/>
        <v>5500</v>
      </c>
      <c r="M30" s="26">
        <f t="shared" si="9"/>
        <v>5500</v>
      </c>
      <c r="N30" s="26">
        <f t="shared" si="9"/>
        <v>5500</v>
      </c>
      <c r="O30" s="30">
        <f t="shared" si="9"/>
        <v>66000</v>
      </c>
      <c r="P30" s="26">
        <f>SUM(P28:P29)</f>
        <v>62000</v>
      </c>
      <c r="Q30" s="26">
        <f>SUM(Q28:Q29)</f>
        <v>0</v>
      </c>
      <c r="R30" s="26">
        <f>SUM(R28:R29)</f>
        <v>0</v>
      </c>
      <c r="S30" s="25"/>
    </row>
    <row r="31" spans="1:19" ht="6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1"/>
      <c r="P31" s="1"/>
      <c r="Q31" s="1"/>
      <c r="R31" s="1"/>
      <c r="S31" s="1"/>
    </row>
    <row r="32" spans="1:19" ht="22" customHeight="1" x14ac:dyDescent="0.2">
      <c r="A32" s="4" t="s">
        <v>66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32"/>
      <c r="P32" s="4"/>
      <c r="Q32" s="4"/>
      <c r="R32" s="4"/>
      <c r="S32" s="4"/>
    </row>
    <row r="33" spans="1:19" ht="18" customHeight="1" x14ac:dyDescent="0.2">
      <c r="A33" s="7" t="s">
        <v>66</v>
      </c>
      <c r="B33" s="6" t="s">
        <v>67</v>
      </c>
      <c r="C33" s="10">
        <f>400000/10</f>
        <v>40000</v>
      </c>
      <c r="D33" s="10">
        <f>C33</f>
        <v>40000</v>
      </c>
      <c r="E33" s="10">
        <f t="shared" ref="E33:H33" si="10">D33</f>
        <v>40000</v>
      </c>
      <c r="F33" s="10">
        <f t="shared" si="10"/>
        <v>40000</v>
      </c>
      <c r="G33" s="10">
        <f t="shared" si="10"/>
        <v>40000</v>
      </c>
      <c r="H33" s="10">
        <f t="shared" si="10"/>
        <v>40000</v>
      </c>
      <c r="I33" s="10"/>
      <c r="J33" s="10"/>
      <c r="K33" s="10">
        <f>H33</f>
        <v>40000</v>
      </c>
      <c r="L33" s="10">
        <f>K33</f>
        <v>40000</v>
      </c>
      <c r="M33" s="10">
        <f t="shared" ref="M33:N33" si="11">L33</f>
        <v>40000</v>
      </c>
      <c r="N33" s="10">
        <f t="shared" si="11"/>
        <v>40000</v>
      </c>
      <c r="O33" s="13">
        <f>SUM(C33:N33)</f>
        <v>400000</v>
      </c>
      <c r="P33" s="10">
        <v>330077</v>
      </c>
      <c r="Q33" s="10">
        <v>0</v>
      </c>
      <c r="R33" s="10">
        <v>29825.17</v>
      </c>
      <c r="S33" s="5" t="s">
        <v>68</v>
      </c>
    </row>
    <row r="34" spans="1:19" ht="18" customHeight="1" x14ac:dyDescent="0.2">
      <c r="A34" s="9" t="s">
        <v>66</v>
      </c>
      <c r="B34" s="8" t="s">
        <v>69</v>
      </c>
      <c r="C34" s="11">
        <f>300000/12</f>
        <v>25000</v>
      </c>
      <c r="D34" s="11">
        <f t="shared" ref="D34:N34" si="12">300000/12</f>
        <v>25000</v>
      </c>
      <c r="E34" s="11">
        <f t="shared" si="12"/>
        <v>25000</v>
      </c>
      <c r="F34" s="11">
        <f t="shared" si="12"/>
        <v>25000</v>
      </c>
      <c r="G34" s="11">
        <f t="shared" si="12"/>
        <v>25000</v>
      </c>
      <c r="H34" s="11">
        <f t="shared" si="12"/>
        <v>25000</v>
      </c>
      <c r="I34" s="11">
        <f t="shared" si="12"/>
        <v>25000</v>
      </c>
      <c r="J34" s="11">
        <f t="shared" si="12"/>
        <v>25000</v>
      </c>
      <c r="K34" s="11">
        <f t="shared" si="12"/>
        <v>25000</v>
      </c>
      <c r="L34" s="11">
        <f t="shared" si="12"/>
        <v>25000</v>
      </c>
      <c r="M34" s="11">
        <f t="shared" si="12"/>
        <v>25000</v>
      </c>
      <c r="N34" s="11">
        <f t="shared" si="12"/>
        <v>25000</v>
      </c>
      <c r="O34" s="18">
        <f>SUM(C34:N34)</f>
        <v>300000</v>
      </c>
      <c r="P34" s="11">
        <v>263791</v>
      </c>
      <c r="Q34" s="11">
        <v>0</v>
      </c>
      <c r="R34" s="11">
        <v>230</v>
      </c>
      <c r="S34" s="23"/>
    </row>
    <row r="35" spans="1:19" ht="22" customHeight="1" x14ac:dyDescent="0.2">
      <c r="A35" s="25"/>
      <c r="B35" s="25" t="s">
        <v>70</v>
      </c>
      <c r="C35" s="26">
        <f t="shared" ref="C35:O35" si="13">SUM(C33:C34)</f>
        <v>65000</v>
      </c>
      <c r="D35" s="26">
        <f t="shared" si="13"/>
        <v>65000</v>
      </c>
      <c r="E35" s="26">
        <f t="shared" si="13"/>
        <v>65000</v>
      </c>
      <c r="F35" s="26">
        <f t="shared" si="13"/>
        <v>65000</v>
      </c>
      <c r="G35" s="26">
        <f t="shared" si="13"/>
        <v>65000</v>
      </c>
      <c r="H35" s="26">
        <f t="shared" si="13"/>
        <v>65000</v>
      </c>
      <c r="I35" s="26">
        <f t="shared" si="13"/>
        <v>25000</v>
      </c>
      <c r="J35" s="26">
        <f t="shared" si="13"/>
        <v>25000</v>
      </c>
      <c r="K35" s="26">
        <f t="shared" si="13"/>
        <v>65000</v>
      </c>
      <c r="L35" s="26">
        <f t="shared" si="13"/>
        <v>65000</v>
      </c>
      <c r="M35" s="26">
        <f t="shared" si="13"/>
        <v>65000</v>
      </c>
      <c r="N35" s="26">
        <f t="shared" si="13"/>
        <v>65000</v>
      </c>
      <c r="O35" s="30">
        <f t="shared" si="13"/>
        <v>700000</v>
      </c>
      <c r="P35" s="26">
        <f>SUM(P33:P34)</f>
        <v>593868</v>
      </c>
      <c r="Q35" s="26">
        <f>SUM(Q33:Q34)</f>
        <v>0</v>
      </c>
      <c r="R35" s="26">
        <f>SUM(R33:R34)</f>
        <v>30055.17</v>
      </c>
      <c r="S35" s="25"/>
    </row>
    <row r="36" spans="1:19" ht="6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1"/>
      <c r="P36" s="1"/>
      <c r="Q36" s="1"/>
      <c r="R36" s="1"/>
      <c r="S36" s="1"/>
    </row>
    <row r="37" spans="1:19" ht="22" customHeight="1" x14ac:dyDescent="0.2">
      <c r="A37" s="4" t="s">
        <v>71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32"/>
      <c r="P37" s="4"/>
      <c r="Q37" s="4"/>
      <c r="R37" s="4"/>
      <c r="S37" s="4"/>
    </row>
    <row r="38" spans="1:19" ht="18" customHeight="1" x14ac:dyDescent="0.2">
      <c r="A38" s="7" t="s">
        <v>71</v>
      </c>
      <c r="B38" s="6" t="s">
        <v>72</v>
      </c>
      <c r="C38" s="10">
        <f>20000/10</f>
        <v>2000</v>
      </c>
      <c r="D38" s="10">
        <f>C38</f>
        <v>2000</v>
      </c>
      <c r="E38" s="10">
        <f t="shared" ref="E38:H42" si="14">D38</f>
        <v>2000</v>
      </c>
      <c r="F38" s="10">
        <f t="shared" si="14"/>
        <v>2000</v>
      </c>
      <c r="G38" s="10">
        <f t="shared" si="14"/>
        <v>2000</v>
      </c>
      <c r="H38" s="10">
        <f t="shared" si="14"/>
        <v>2000</v>
      </c>
      <c r="I38" s="10"/>
      <c r="J38" s="10"/>
      <c r="K38" s="10">
        <f>H38</f>
        <v>2000</v>
      </c>
      <c r="L38" s="10">
        <f>K38</f>
        <v>2000</v>
      </c>
      <c r="M38" s="10">
        <f t="shared" ref="M38:N42" si="15">L38</f>
        <v>2000</v>
      </c>
      <c r="N38" s="10">
        <f t="shared" si="15"/>
        <v>2000</v>
      </c>
      <c r="O38" s="13">
        <f t="shared" ref="O38:O44" si="16">SUM(C38:N38)</f>
        <v>20000</v>
      </c>
      <c r="P38" s="10">
        <v>20000</v>
      </c>
      <c r="Q38" s="10">
        <v>9746.15</v>
      </c>
      <c r="R38" s="10">
        <v>5167.57</v>
      </c>
      <c r="S38" s="5"/>
    </row>
    <row r="39" spans="1:19" ht="18" customHeight="1" x14ac:dyDescent="0.2">
      <c r="A39" s="9" t="s">
        <v>71</v>
      </c>
      <c r="B39" s="8" t="s">
        <v>73</v>
      </c>
      <c r="C39" s="11">
        <f>25000/10</f>
        <v>2500</v>
      </c>
      <c r="D39" s="11">
        <f>C39</f>
        <v>2500</v>
      </c>
      <c r="E39" s="11">
        <f t="shared" si="14"/>
        <v>2500</v>
      </c>
      <c r="F39" s="11">
        <f t="shared" si="14"/>
        <v>2500</v>
      </c>
      <c r="G39" s="11">
        <f t="shared" si="14"/>
        <v>2500</v>
      </c>
      <c r="H39" s="11">
        <f t="shared" si="14"/>
        <v>2500</v>
      </c>
      <c r="I39" s="11"/>
      <c r="J39" s="11"/>
      <c r="K39" s="11">
        <f>H39</f>
        <v>2500</v>
      </c>
      <c r="L39" s="11">
        <f>K39</f>
        <v>2500</v>
      </c>
      <c r="M39" s="11">
        <f t="shared" si="15"/>
        <v>2500</v>
      </c>
      <c r="N39" s="11">
        <f t="shared" si="15"/>
        <v>2500</v>
      </c>
      <c r="O39" s="18">
        <f t="shared" si="16"/>
        <v>25000</v>
      </c>
      <c r="P39" s="11">
        <v>23269</v>
      </c>
      <c r="Q39" s="11"/>
      <c r="R39" s="11"/>
      <c r="S39" s="23"/>
    </row>
    <row r="40" spans="1:19" ht="18" customHeight="1" x14ac:dyDescent="0.2">
      <c r="A40" s="7" t="s">
        <v>71</v>
      </c>
      <c r="B40" s="6" t="s">
        <v>74</v>
      </c>
      <c r="C40" s="10">
        <f>25000/10</f>
        <v>2500</v>
      </c>
      <c r="D40" s="10">
        <f>C40</f>
        <v>2500</v>
      </c>
      <c r="E40" s="10">
        <f t="shared" si="14"/>
        <v>2500</v>
      </c>
      <c r="F40" s="10">
        <f t="shared" si="14"/>
        <v>2500</v>
      </c>
      <c r="G40" s="10">
        <f t="shared" si="14"/>
        <v>2500</v>
      </c>
      <c r="H40" s="10">
        <f t="shared" si="14"/>
        <v>2500</v>
      </c>
      <c r="I40" s="10"/>
      <c r="J40" s="10"/>
      <c r="K40" s="10">
        <f>H40</f>
        <v>2500</v>
      </c>
      <c r="L40" s="10">
        <f>K40</f>
        <v>2500</v>
      </c>
      <c r="M40" s="10">
        <f t="shared" si="15"/>
        <v>2500</v>
      </c>
      <c r="N40" s="10">
        <f t="shared" si="15"/>
        <v>2500</v>
      </c>
      <c r="O40" s="13">
        <f t="shared" si="16"/>
        <v>25000</v>
      </c>
      <c r="P40" s="10">
        <v>25000</v>
      </c>
      <c r="Q40" s="10"/>
      <c r="R40" s="10"/>
      <c r="S40" s="5"/>
    </row>
    <row r="41" spans="1:19" ht="18" customHeight="1" x14ac:dyDescent="0.2">
      <c r="A41" s="9" t="s">
        <v>71</v>
      </c>
      <c r="B41" s="8" t="s">
        <v>75</v>
      </c>
      <c r="C41" s="11">
        <f>20000/10</f>
        <v>2000</v>
      </c>
      <c r="D41" s="11">
        <f>C41</f>
        <v>2000</v>
      </c>
      <c r="E41" s="11">
        <f t="shared" si="14"/>
        <v>2000</v>
      </c>
      <c r="F41" s="11">
        <f t="shared" si="14"/>
        <v>2000</v>
      </c>
      <c r="G41" s="11">
        <f t="shared" si="14"/>
        <v>2000</v>
      </c>
      <c r="H41" s="11">
        <f t="shared" si="14"/>
        <v>2000</v>
      </c>
      <c r="I41" s="11"/>
      <c r="J41" s="11"/>
      <c r="K41" s="11">
        <f>H41</f>
        <v>2000</v>
      </c>
      <c r="L41" s="11">
        <f>K41</f>
        <v>2000</v>
      </c>
      <c r="M41" s="11">
        <f t="shared" si="15"/>
        <v>2000</v>
      </c>
      <c r="N41" s="11">
        <f t="shared" si="15"/>
        <v>2000</v>
      </c>
      <c r="O41" s="18">
        <f t="shared" si="16"/>
        <v>20000</v>
      </c>
      <c r="P41" s="11">
        <v>18180</v>
      </c>
      <c r="Q41" s="11"/>
      <c r="R41" s="11"/>
      <c r="S41" s="23"/>
    </row>
    <row r="42" spans="1:19" ht="18" customHeight="1" x14ac:dyDescent="0.2">
      <c r="A42" s="7" t="s">
        <v>71</v>
      </c>
      <c r="B42" s="6" t="s">
        <v>76</v>
      </c>
      <c r="C42" s="10">
        <f>80000/10</f>
        <v>8000</v>
      </c>
      <c r="D42" s="10">
        <f>C42</f>
        <v>8000</v>
      </c>
      <c r="E42" s="10">
        <f t="shared" si="14"/>
        <v>8000</v>
      </c>
      <c r="F42" s="10">
        <f t="shared" si="14"/>
        <v>8000</v>
      </c>
      <c r="G42" s="10">
        <f t="shared" si="14"/>
        <v>8000</v>
      </c>
      <c r="H42" s="10">
        <f t="shared" si="14"/>
        <v>8000</v>
      </c>
      <c r="I42" s="10"/>
      <c r="J42" s="10"/>
      <c r="K42" s="10">
        <f>H42</f>
        <v>8000</v>
      </c>
      <c r="L42" s="10">
        <f>K42</f>
        <v>8000</v>
      </c>
      <c r="M42" s="10">
        <f t="shared" si="15"/>
        <v>8000</v>
      </c>
      <c r="N42" s="10">
        <f t="shared" si="15"/>
        <v>8000</v>
      </c>
      <c r="O42" s="13">
        <f t="shared" si="16"/>
        <v>80000</v>
      </c>
      <c r="P42" s="10">
        <v>80000</v>
      </c>
      <c r="Q42" s="10"/>
      <c r="R42" s="10"/>
      <c r="S42" s="5"/>
    </row>
    <row r="43" spans="1:19" ht="18" customHeight="1" x14ac:dyDescent="0.2">
      <c r="A43" s="9" t="s">
        <v>71</v>
      </c>
      <c r="B43" s="8" t="s">
        <v>124</v>
      </c>
      <c r="C43" s="11">
        <v>73500</v>
      </c>
      <c r="D43" s="11">
        <v>73500</v>
      </c>
      <c r="E43" s="11">
        <v>73500</v>
      </c>
      <c r="F43" s="11">
        <v>73500</v>
      </c>
      <c r="G43" s="11">
        <v>73500</v>
      </c>
      <c r="H43" s="11">
        <v>73500</v>
      </c>
      <c r="I43" s="11">
        <v>0</v>
      </c>
      <c r="J43" s="11">
        <v>0</v>
      </c>
      <c r="K43" s="11">
        <v>73500</v>
      </c>
      <c r="L43" s="11">
        <v>73500</v>
      </c>
      <c r="M43" s="11">
        <v>73500</v>
      </c>
      <c r="N43" s="11">
        <v>73500</v>
      </c>
      <c r="O43" s="18">
        <f>SUM(C43:N43)</f>
        <v>735000</v>
      </c>
      <c r="P43" s="11">
        <v>735000</v>
      </c>
      <c r="Q43" s="11"/>
      <c r="R43" s="11"/>
      <c r="S43" s="23" t="s">
        <v>135</v>
      </c>
    </row>
    <row r="44" spans="1:19" ht="18" customHeight="1" x14ac:dyDescent="0.2">
      <c r="A44" s="7" t="s">
        <v>71</v>
      </c>
      <c r="B44" s="6" t="s">
        <v>77</v>
      </c>
      <c r="C44" s="10">
        <f>(Reference_Data!B8+Reference_Data!B9)*94%*6%</f>
        <v>328299.12829199998</v>
      </c>
      <c r="D44" s="10">
        <f>(Reference_Data!C8+Reference_Data!C9)*94%*6%</f>
        <v>328299.12829199998</v>
      </c>
      <c r="E44" s="10">
        <f>(Reference_Data!D8+Reference_Data!D9)*94%*6%</f>
        <v>328299.12829199998</v>
      </c>
      <c r="F44" s="10">
        <f>(Reference_Data!E8+Reference_Data!E9)*94%*6%</f>
        <v>328299.12829199998</v>
      </c>
      <c r="G44" s="10">
        <f>(Reference_Data!F8+Reference_Data!F9)*94%*6%</f>
        <v>328299.12829199998</v>
      </c>
      <c r="H44" s="10">
        <f>(Reference_Data!G8+Reference_Data!G9)*94%*6%</f>
        <v>758083.54069200007</v>
      </c>
      <c r="I44" s="10">
        <f>(Reference_Data!H8+Reference_Data!H9)*94%*6%</f>
        <v>0</v>
      </c>
      <c r="J44" s="10">
        <f>(Reference_Data!I8+Reference_Data!I9)*94%*6%</f>
        <v>0</v>
      </c>
      <c r="K44" s="10">
        <f>(Reference_Data!J8+Reference_Data!J9)*94%*6%</f>
        <v>381442.028292</v>
      </c>
      <c r="L44" s="10">
        <f>(Reference_Data!K8+Reference_Data!K9)*94%*6%</f>
        <v>328651.62829199998</v>
      </c>
      <c r="M44" s="10">
        <f>(Reference_Data!L8+Reference_Data!L9)*94%*6%</f>
        <v>328299.12829199998</v>
      </c>
      <c r="N44" s="10">
        <f>(Reference_Data!M8+Reference_Data!M9)*94%*6%</f>
        <v>328299.12829199998</v>
      </c>
      <c r="O44" s="13">
        <f t="shared" si="16"/>
        <v>3766271.0953199994</v>
      </c>
      <c r="P44" s="10">
        <v>4120473</v>
      </c>
      <c r="Q44" s="10"/>
      <c r="R44" s="10"/>
      <c r="S44" s="5" t="s">
        <v>78</v>
      </c>
    </row>
    <row r="45" spans="1:19" ht="22" customHeight="1" x14ac:dyDescent="0.2">
      <c r="A45" s="25"/>
      <c r="B45" s="25" t="s">
        <v>79</v>
      </c>
      <c r="C45" s="26">
        <f t="shared" ref="C45:O45" si="17">SUM(C38:C44)</f>
        <v>418799.12829199998</v>
      </c>
      <c r="D45" s="26">
        <f t="shared" si="17"/>
        <v>418799.12829199998</v>
      </c>
      <c r="E45" s="26">
        <f t="shared" si="17"/>
        <v>418799.12829199998</v>
      </c>
      <c r="F45" s="26">
        <f t="shared" si="17"/>
        <v>418799.12829199998</v>
      </c>
      <c r="G45" s="26">
        <f t="shared" si="17"/>
        <v>418799.12829199998</v>
      </c>
      <c r="H45" s="26">
        <f t="shared" si="17"/>
        <v>848583.54069200007</v>
      </c>
      <c r="I45" s="26">
        <f t="shared" si="17"/>
        <v>0</v>
      </c>
      <c r="J45" s="26">
        <f t="shared" si="17"/>
        <v>0</v>
      </c>
      <c r="K45" s="26">
        <f t="shared" si="17"/>
        <v>471942.028292</v>
      </c>
      <c r="L45" s="26">
        <f t="shared" si="17"/>
        <v>419151.62829199998</v>
      </c>
      <c r="M45" s="26">
        <f t="shared" si="17"/>
        <v>418799.12829199998</v>
      </c>
      <c r="N45" s="26">
        <f t="shared" si="17"/>
        <v>418799.12829199998</v>
      </c>
      <c r="O45" s="30">
        <f t="shared" si="17"/>
        <v>4671271.0953199994</v>
      </c>
      <c r="P45" s="26">
        <f>SUM(P38:P44)</f>
        <v>5021922</v>
      </c>
      <c r="Q45" s="26">
        <f>SUM(Q38:Q44)</f>
        <v>9746.15</v>
      </c>
      <c r="R45" s="26">
        <f>SUM(R38:R44)</f>
        <v>5167.57</v>
      </c>
      <c r="S45" s="25"/>
    </row>
    <row r="46" spans="1:19" ht="6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31"/>
      <c r="P46" s="1"/>
      <c r="Q46" s="1"/>
      <c r="R46" s="1"/>
      <c r="S46" s="1"/>
    </row>
    <row r="47" spans="1:19" ht="22" customHeight="1" x14ac:dyDescent="0.2">
      <c r="A47" s="4" t="s">
        <v>80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32"/>
      <c r="P47" s="4"/>
      <c r="Q47" s="4"/>
      <c r="R47" s="4"/>
      <c r="S47" s="4"/>
    </row>
    <row r="48" spans="1:19" ht="18" customHeight="1" x14ac:dyDescent="0.2">
      <c r="A48" s="7" t="s">
        <v>80</v>
      </c>
      <c r="B48" s="6" t="s">
        <v>81</v>
      </c>
      <c r="C48" s="10">
        <v>45119.95</v>
      </c>
      <c r="D48" s="10">
        <v>45119.95</v>
      </c>
      <c r="E48" s="10">
        <v>45119.95</v>
      </c>
      <c r="F48" s="10">
        <v>45119.95</v>
      </c>
      <c r="G48" s="10">
        <v>45119.95</v>
      </c>
      <c r="H48" s="10">
        <v>45119.95</v>
      </c>
      <c r="I48" s="10">
        <v>45119.95</v>
      </c>
      <c r="J48" s="10">
        <v>45119.95</v>
      </c>
      <c r="K48" s="10">
        <v>45119.95</v>
      </c>
      <c r="L48" s="10">
        <v>45119.95</v>
      </c>
      <c r="M48" s="10">
        <v>45119.95</v>
      </c>
      <c r="N48" s="10">
        <v>45119.95</v>
      </c>
      <c r="O48" s="13">
        <f>SUM(C48:N48)</f>
        <v>541439.4</v>
      </c>
      <c r="P48" s="10">
        <v>541439.36</v>
      </c>
      <c r="Q48" s="10">
        <v>0</v>
      </c>
      <c r="R48" s="10">
        <v>24713.69</v>
      </c>
      <c r="S48" s="5"/>
    </row>
    <row r="49" spans="1:19" ht="18" customHeight="1" x14ac:dyDescent="0.2">
      <c r="A49" s="9" t="s">
        <v>80</v>
      </c>
      <c r="B49" s="8" t="s">
        <v>82</v>
      </c>
      <c r="C49" s="11">
        <v>35451.39</v>
      </c>
      <c r="D49" s="11">
        <v>35451.39</v>
      </c>
      <c r="E49" s="11">
        <v>35451.39</v>
      </c>
      <c r="F49" s="11">
        <v>35451.39</v>
      </c>
      <c r="G49" s="11">
        <v>35451.39</v>
      </c>
      <c r="H49" s="11">
        <v>35451.39</v>
      </c>
      <c r="I49" s="11">
        <v>35451.39</v>
      </c>
      <c r="J49" s="11">
        <v>35451.39</v>
      </c>
      <c r="K49" s="11">
        <v>35451.39</v>
      </c>
      <c r="L49" s="11">
        <v>35451.39</v>
      </c>
      <c r="M49" s="11">
        <v>35451.39</v>
      </c>
      <c r="N49" s="11">
        <v>35451.39</v>
      </c>
      <c r="O49" s="18">
        <f>SUM(C49:N49)</f>
        <v>425416.68000000011</v>
      </c>
      <c r="P49" s="11">
        <v>425416.64</v>
      </c>
      <c r="Q49" s="11"/>
      <c r="R49" s="11"/>
      <c r="S49" s="23"/>
    </row>
    <row r="50" spans="1:19" ht="18" customHeight="1" x14ac:dyDescent="0.2">
      <c r="A50" s="7" t="s">
        <v>80</v>
      </c>
      <c r="B50" s="6" t="s">
        <v>83</v>
      </c>
      <c r="C50" s="10">
        <v>8333.33</v>
      </c>
      <c r="D50" s="10">
        <v>8333.33</v>
      </c>
      <c r="E50" s="10">
        <v>8333.33</v>
      </c>
      <c r="F50" s="10">
        <v>8333.33</v>
      </c>
      <c r="G50" s="10">
        <v>8333.33</v>
      </c>
      <c r="H50" s="10">
        <v>8333.33</v>
      </c>
      <c r="I50" s="10">
        <v>8333.33</v>
      </c>
      <c r="J50" s="10">
        <v>8333.33</v>
      </c>
      <c r="K50" s="10">
        <v>8333.33</v>
      </c>
      <c r="L50" s="10">
        <v>8333.33</v>
      </c>
      <c r="M50" s="10">
        <v>8333.33</v>
      </c>
      <c r="N50" s="10">
        <v>8333.33</v>
      </c>
      <c r="O50" s="13">
        <f>SUM(C50:N50)</f>
        <v>99999.96</v>
      </c>
      <c r="P50" s="10">
        <v>100000</v>
      </c>
      <c r="Q50" s="10"/>
      <c r="R50" s="10"/>
      <c r="S50" s="5"/>
    </row>
    <row r="51" spans="1:19" ht="22" customHeight="1" x14ac:dyDescent="0.2">
      <c r="A51" s="25"/>
      <c r="B51" s="25" t="s">
        <v>84</v>
      </c>
      <c r="C51" s="26">
        <f t="shared" ref="C51:O51" si="18">SUM(C48:C50)</f>
        <v>88904.67</v>
      </c>
      <c r="D51" s="26">
        <f t="shared" si="18"/>
        <v>88904.67</v>
      </c>
      <c r="E51" s="26">
        <f t="shared" si="18"/>
        <v>88904.67</v>
      </c>
      <c r="F51" s="26">
        <f t="shared" si="18"/>
        <v>88904.67</v>
      </c>
      <c r="G51" s="26">
        <f t="shared" si="18"/>
        <v>88904.67</v>
      </c>
      <c r="H51" s="26">
        <f t="shared" si="18"/>
        <v>88904.67</v>
      </c>
      <c r="I51" s="26">
        <f t="shared" si="18"/>
        <v>88904.67</v>
      </c>
      <c r="J51" s="26">
        <f t="shared" si="18"/>
        <v>88904.67</v>
      </c>
      <c r="K51" s="26">
        <f t="shared" si="18"/>
        <v>88904.67</v>
      </c>
      <c r="L51" s="26">
        <f t="shared" si="18"/>
        <v>88904.67</v>
      </c>
      <c r="M51" s="26">
        <f t="shared" si="18"/>
        <v>88904.67</v>
      </c>
      <c r="N51" s="26">
        <f t="shared" si="18"/>
        <v>88904.67</v>
      </c>
      <c r="O51" s="30">
        <f t="shared" si="18"/>
        <v>1066856.04</v>
      </c>
      <c r="P51" s="26">
        <f>SUM(P48:P50)</f>
        <v>1066856</v>
      </c>
      <c r="Q51" s="26">
        <f>SUM(Q48:Q50)</f>
        <v>0</v>
      </c>
      <c r="R51" s="26">
        <f>SUM(R48:R50)</f>
        <v>24713.69</v>
      </c>
      <c r="S51" s="25"/>
    </row>
    <row r="52" spans="1:19" ht="6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31"/>
      <c r="P52" s="1"/>
      <c r="Q52" s="1"/>
      <c r="R52" s="1"/>
      <c r="S52" s="1"/>
    </row>
    <row r="53" spans="1:19" ht="22" customHeight="1" x14ac:dyDescent="0.2">
      <c r="A53" s="4" t="s">
        <v>85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32"/>
      <c r="P53" s="4"/>
      <c r="Q53" s="4"/>
      <c r="R53" s="4"/>
      <c r="S53" s="4"/>
    </row>
    <row r="54" spans="1:19" ht="18" customHeight="1" x14ac:dyDescent="0.2">
      <c r="A54" s="7" t="s">
        <v>85</v>
      </c>
      <c r="B54" s="6" t="s">
        <v>86</v>
      </c>
      <c r="C54" s="10">
        <v>36878.25</v>
      </c>
      <c r="D54" s="10">
        <v>36878.25</v>
      </c>
      <c r="E54" s="10">
        <v>36878.25</v>
      </c>
      <c r="F54" s="10">
        <v>36878.25</v>
      </c>
      <c r="G54" s="10">
        <v>36878.25</v>
      </c>
      <c r="H54" s="10">
        <v>36878.25</v>
      </c>
      <c r="I54" s="10">
        <v>36878.25</v>
      </c>
      <c r="J54" s="10">
        <v>36878.25</v>
      </c>
      <c r="K54" s="10">
        <v>36878.25</v>
      </c>
      <c r="L54" s="10">
        <v>36878.25</v>
      </c>
      <c r="M54" s="10">
        <v>36878.25</v>
      </c>
      <c r="N54" s="10">
        <v>36878.25</v>
      </c>
      <c r="O54" s="13">
        <f>SUM(C54:N54)</f>
        <v>442539</v>
      </c>
      <c r="P54" s="10">
        <v>442539</v>
      </c>
      <c r="Q54" s="10"/>
      <c r="R54" s="10"/>
      <c r="S54" s="5" t="s">
        <v>87</v>
      </c>
    </row>
    <row r="55" spans="1:19" ht="18" customHeight="1" x14ac:dyDescent="0.2">
      <c r="A55" s="9" t="s">
        <v>85</v>
      </c>
      <c r="B55" s="8" t="s">
        <v>88</v>
      </c>
      <c r="C55" s="11">
        <v>23078.5</v>
      </c>
      <c r="D55" s="11">
        <v>23078.5</v>
      </c>
      <c r="E55" s="11">
        <v>23078.5</v>
      </c>
      <c r="F55" s="11">
        <v>23078.5</v>
      </c>
      <c r="G55" s="11">
        <v>23078.5</v>
      </c>
      <c r="H55" s="11">
        <v>23078.5</v>
      </c>
      <c r="I55" s="11">
        <v>23078.5</v>
      </c>
      <c r="J55" s="11">
        <v>23078.5</v>
      </c>
      <c r="K55" s="11">
        <v>23078.5</v>
      </c>
      <c r="L55" s="11">
        <v>23078.5</v>
      </c>
      <c r="M55" s="11">
        <v>23078.5</v>
      </c>
      <c r="N55" s="11">
        <v>23078.5</v>
      </c>
      <c r="O55" s="18">
        <f>SUM(C55:N55)</f>
        <v>276942</v>
      </c>
      <c r="P55" s="11">
        <v>276942</v>
      </c>
      <c r="Q55" s="11"/>
      <c r="R55" s="11"/>
      <c r="S55" s="23"/>
    </row>
    <row r="56" spans="1:19" ht="22" customHeight="1" x14ac:dyDescent="0.2">
      <c r="A56" s="25"/>
      <c r="B56" s="25" t="s">
        <v>89</v>
      </c>
      <c r="C56" s="26">
        <f t="shared" ref="C56:O56" si="19">SUM(C54:C55)</f>
        <v>59956.75</v>
      </c>
      <c r="D56" s="26">
        <f t="shared" si="19"/>
        <v>59956.75</v>
      </c>
      <c r="E56" s="26">
        <f t="shared" si="19"/>
        <v>59956.75</v>
      </c>
      <c r="F56" s="26">
        <f t="shared" si="19"/>
        <v>59956.75</v>
      </c>
      <c r="G56" s="26">
        <f t="shared" si="19"/>
        <v>59956.75</v>
      </c>
      <c r="H56" s="26">
        <f t="shared" si="19"/>
        <v>59956.75</v>
      </c>
      <c r="I56" s="26">
        <f t="shared" si="19"/>
        <v>59956.75</v>
      </c>
      <c r="J56" s="26">
        <f t="shared" si="19"/>
        <v>59956.75</v>
      </c>
      <c r="K56" s="26">
        <f t="shared" si="19"/>
        <v>59956.75</v>
      </c>
      <c r="L56" s="26">
        <f t="shared" si="19"/>
        <v>59956.75</v>
      </c>
      <c r="M56" s="26">
        <f t="shared" si="19"/>
        <v>59956.75</v>
      </c>
      <c r="N56" s="26">
        <f t="shared" si="19"/>
        <v>59956.75</v>
      </c>
      <c r="O56" s="30">
        <f t="shared" si="19"/>
        <v>719481</v>
      </c>
      <c r="P56" s="26">
        <f>SUM(P54:P55)</f>
        <v>719481</v>
      </c>
      <c r="Q56" s="26">
        <f>SUM(Q54:Q55)</f>
        <v>0</v>
      </c>
      <c r="R56" s="26">
        <f>SUM(R54:R55)</f>
        <v>0</v>
      </c>
      <c r="S56" s="25"/>
    </row>
    <row r="57" spans="1:19" ht="6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1"/>
      <c r="P57" s="1"/>
      <c r="Q57" s="1"/>
      <c r="R57" s="1"/>
      <c r="S57" s="1"/>
    </row>
    <row r="58" spans="1:19" ht="22" customHeight="1" x14ac:dyDescent="0.2">
      <c r="A58" s="4" t="s">
        <v>90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32"/>
      <c r="P58" s="4"/>
      <c r="Q58" s="4"/>
      <c r="R58" s="4"/>
      <c r="S58" s="4"/>
    </row>
    <row r="59" spans="1:19" ht="18" customHeight="1" x14ac:dyDescent="0.2">
      <c r="A59" s="7" t="s">
        <v>90</v>
      </c>
      <c r="B59" s="6" t="s">
        <v>91</v>
      </c>
      <c r="C59" s="10">
        <v>1842.67</v>
      </c>
      <c r="D59" s="10">
        <v>1842.67</v>
      </c>
      <c r="E59" s="10">
        <v>1842.67</v>
      </c>
      <c r="F59" s="10">
        <v>1842.67</v>
      </c>
      <c r="G59" s="10">
        <v>1842.67</v>
      </c>
      <c r="H59" s="10">
        <v>1842.67</v>
      </c>
      <c r="I59" s="10">
        <v>1842.67</v>
      </c>
      <c r="J59" s="10">
        <v>1842.67</v>
      </c>
      <c r="K59" s="10">
        <v>1842.67</v>
      </c>
      <c r="L59" s="10">
        <v>1842.67</v>
      </c>
      <c r="M59" s="10">
        <v>1842.67</v>
      </c>
      <c r="N59" s="10">
        <v>1842.67</v>
      </c>
      <c r="O59" s="13">
        <f>SUM(C59:N59)</f>
        <v>22112.039999999994</v>
      </c>
      <c r="P59" s="10">
        <v>22112.080000000002</v>
      </c>
      <c r="Q59" s="10">
        <v>0</v>
      </c>
      <c r="R59" s="10">
        <v>7276.24</v>
      </c>
      <c r="S59" s="5"/>
    </row>
    <row r="60" spans="1:19" ht="18" customHeight="1" x14ac:dyDescent="0.2">
      <c r="A60" s="9" t="s">
        <v>90</v>
      </c>
      <c r="B60" s="8" t="s">
        <v>92</v>
      </c>
      <c r="C60" s="11">
        <v>995.54</v>
      </c>
      <c r="D60" s="11">
        <v>995.54</v>
      </c>
      <c r="E60" s="11">
        <v>995.54</v>
      </c>
      <c r="F60" s="11">
        <v>995.54</v>
      </c>
      <c r="G60" s="11">
        <v>995.54</v>
      </c>
      <c r="H60" s="11">
        <v>995.54</v>
      </c>
      <c r="I60" s="11">
        <v>995.54</v>
      </c>
      <c r="J60" s="11">
        <v>995.54</v>
      </c>
      <c r="K60" s="11">
        <v>995.54</v>
      </c>
      <c r="L60" s="11">
        <v>995.54</v>
      </c>
      <c r="M60" s="11">
        <v>995.54</v>
      </c>
      <c r="N60" s="11">
        <v>995.54</v>
      </c>
      <c r="O60" s="18">
        <f>SUM(C60:N60)</f>
        <v>11946.480000000003</v>
      </c>
      <c r="P60" s="11">
        <v>11946.48</v>
      </c>
      <c r="Q60" s="11">
        <v>0</v>
      </c>
      <c r="R60" s="11">
        <v>11731.56</v>
      </c>
      <c r="S60" s="23"/>
    </row>
    <row r="61" spans="1:19" ht="22" customHeight="1" x14ac:dyDescent="0.2">
      <c r="A61" s="25"/>
      <c r="B61" s="25" t="s">
        <v>93</v>
      </c>
      <c r="C61" s="26">
        <f t="shared" ref="C61:O61" si="20">SUM(C59:C60)</f>
        <v>2838.21</v>
      </c>
      <c r="D61" s="26">
        <f t="shared" si="20"/>
        <v>2838.21</v>
      </c>
      <c r="E61" s="26">
        <f t="shared" si="20"/>
        <v>2838.21</v>
      </c>
      <c r="F61" s="26">
        <f t="shared" si="20"/>
        <v>2838.21</v>
      </c>
      <c r="G61" s="26">
        <f t="shared" si="20"/>
        <v>2838.21</v>
      </c>
      <c r="H61" s="26">
        <f t="shared" si="20"/>
        <v>2838.21</v>
      </c>
      <c r="I61" s="26">
        <f t="shared" si="20"/>
        <v>2838.21</v>
      </c>
      <c r="J61" s="26">
        <f t="shared" si="20"/>
        <v>2838.21</v>
      </c>
      <c r="K61" s="26">
        <f t="shared" si="20"/>
        <v>2838.21</v>
      </c>
      <c r="L61" s="26">
        <f t="shared" si="20"/>
        <v>2838.21</v>
      </c>
      <c r="M61" s="26">
        <f t="shared" si="20"/>
        <v>2838.21</v>
      </c>
      <c r="N61" s="26">
        <f t="shared" si="20"/>
        <v>2838.21</v>
      </c>
      <c r="O61" s="30">
        <f t="shared" si="20"/>
        <v>34058.519999999997</v>
      </c>
      <c r="P61" s="26">
        <f>SUM(P59:P60)</f>
        <v>34058.559999999998</v>
      </c>
      <c r="Q61" s="26">
        <f>SUM(Q59:Q60)</f>
        <v>0</v>
      </c>
      <c r="R61" s="26">
        <f>SUM(R59:R60)</f>
        <v>19007.8</v>
      </c>
      <c r="S61" s="25"/>
    </row>
    <row r="62" spans="1:19" ht="6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1"/>
      <c r="P62" s="1"/>
      <c r="Q62" s="1"/>
      <c r="R62" s="1"/>
      <c r="S62" s="1"/>
    </row>
    <row r="63" spans="1:19" ht="22" customHeight="1" x14ac:dyDescent="0.2">
      <c r="A63" s="4" t="s">
        <v>94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32"/>
      <c r="P63" s="4"/>
      <c r="Q63" s="4"/>
      <c r="R63" s="4"/>
      <c r="S63" s="4"/>
    </row>
    <row r="64" spans="1:19" ht="18" customHeight="1" x14ac:dyDescent="0.2">
      <c r="A64" s="7" t="s">
        <v>94</v>
      </c>
      <c r="B64" s="6" t="s">
        <v>95</v>
      </c>
      <c r="C64" s="10">
        <v>1041.67</v>
      </c>
      <c r="D64" s="10">
        <v>1041.67</v>
      </c>
      <c r="E64" s="10">
        <v>1041.67</v>
      </c>
      <c r="F64" s="10">
        <v>1041.67</v>
      </c>
      <c r="G64" s="10">
        <v>1041.67</v>
      </c>
      <c r="H64" s="10">
        <v>1041.67</v>
      </c>
      <c r="I64" s="10">
        <v>1041.67</v>
      </c>
      <c r="J64" s="10">
        <v>1041.67</v>
      </c>
      <c r="K64" s="10">
        <v>1041.67</v>
      </c>
      <c r="L64" s="10">
        <v>1041.67</v>
      </c>
      <c r="M64" s="10">
        <v>1041.67</v>
      </c>
      <c r="N64" s="10">
        <v>1041.67</v>
      </c>
      <c r="O64" s="13">
        <f>SUM(C64:N64)</f>
        <v>12500.04</v>
      </c>
      <c r="P64" s="10">
        <v>12500</v>
      </c>
      <c r="Q64" s="10"/>
      <c r="R64" s="10"/>
      <c r="S64" s="5"/>
    </row>
    <row r="65" spans="1:19" ht="22" customHeight="1" x14ac:dyDescent="0.2">
      <c r="A65" s="25"/>
      <c r="B65" s="25" t="s">
        <v>96</v>
      </c>
      <c r="C65" s="26">
        <f t="shared" ref="C65:O65" si="21">SUM(C64)</f>
        <v>1041.67</v>
      </c>
      <c r="D65" s="26">
        <f t="shared" si="21"/>
        <v>1041.67</v>
      </c>
      <c r="E65" s="26">
        <f t="shared" si="21"/>
        <v>1041.67</v>
      </c>
      <c r="F65" s="26">
        <f t="shared" si="21"/>
        <v>1041.67</v>
      </c>
      <c r="G65" s="26">
        <f t="shared" si="21"/>
        <v>1041.67</v>
      </c>
      <c r="H65" s="26">
        <f t="shared" si="21"/>
        <v>1041.67</v>
      </c>
      <c r="I65" s="26">
        <f t="shared" si="21"/>
        <v>1041.67</v>
      </c>
      <c r="J65" s="26">
        <f t="shared" si="21"/>
        <v>1041.67</v>
      </c>
      <c r="K65" s="26">
        <f t="shared" si="21"/>
        <v>1041.67</v>
      </c>
      <c r="L65" s="26">
        <f t="shared" si="21"/>
        <v>1041.67</v>
      </c>
      <c r="M65" s="26">
        <f t="shared" si="21"/>
        <v>1041.67</v>
      </c>
      <c r="N65" s="26">
        <f t="shared" si="21"/>
        <v>1041.67</v>
      </c>
      <c r="O65" s="30">
        <f t="shared" si="21"/>
        <v>12500.04</v>
      </c>
      <c r="P65" s="26">
        <f>SUM(P64)</f>
        <v>12500</v>
      </c>
      <c r="Q65" s="26">
        <f>SUM(Q64)</f>
        <v>0</v>
      </c>
      <c r="R65" s="26">
        <f>SUM(R64)</f>
        <v>0</v>
      </c>
      <c r="S65" s="25"/>
    </row>
    <row r="66" spans="1:19" ht="6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31"/>
      <c r="P66" s="1"/>
      <c r="Q66" s="1"/>
      <c r="R66" s="1"/>
      <c r="S66" s="1"/>
    </row>
    <row r="67" spans="1:19" ht="22" customHeight="1" x14ac:dyDescent="0.2">
      <c r="A67" s="4" t="s">
        <v>97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32"/>
      <c r="P67" s="4"/>
      <c r="Q67" s="4"/>
      <c r="R67" s="4"/>
      <c r="S67" s="4"/>
    </row>
    <row r="68" spans="1:19" ht="18" customHeight="1" x14ac:dyDescent="0.2">
      <c r="A68" s="7" t="s">
        <v>97</v>
      </c>
      <c r="B68" s="6" t="s">
        <v>98</v>
      </c>
      <c r="C68" s="10">
        <v>25000</v>
      </c>
      <c r="D68" s="10">
        <v>25000</v>
      </c>
      <c r="E68" s="10">
        <v>25000</v>
      </c>
      <c r="F68" s="10">
        <v>25000</v>
      </c>
      <c r="G68" s="10">
        <v>25000</v>
      </c>
      <c r="H68" s="10">
        <v>25000</v>
      </c>
      <c r="I68" s="10">
        <v>25000</v>
      </c>
      <c r="J68" s="10">
        <v>25000</v>
      </c>
      <c r="K68" s="10">
        <v>25000</v>
      </c>
      <c r="L68" s="10">
        <v>25000</v>
      </c>
      <c r="M68" s="10">
        <v>25000</v>
      </c>
      <c r="N68" s="10">
        <v>25000</v>
      </c>
      <c r="O68" s="13">
        <f>SUM(C68:N68)</f>
        <v>300000</v>
      </c>
      <c r="P68" s="10">
        <v>300000</v>
      </c>
      <c r="Q68" s="10"/>
      <c r="R68" s="10"/>
      <c r="S68" s="5"/>
    </row>
    <row r="69" spans="1:19" ht="18" customHeight="1" x14ac:dyDescent="0.2">
      <c r="A69" s="9" t="s">
        <v>97</v>
      </c>
      <c r="B69" s="8" t="s">
        <v>99</v>
      </c>
      <c r="C69" s="11">
        <v>16666.669999999998</v>
      </c>
      <c r="D69" s="11">
        <v>16666.669999999998</v>
      </c>
      <c r="E69" s="11">
        <v>16666.669999999998</v>
      </c>
      <c r="F69" s="11">
        <v>16666.669999999998</v>
      </c>
      <c r="G69" s="11">
        <v>16666.669999999998</v>
      </c>
      <c r="H69" s="11">
        <v>16666.669999999998</v>
      </c>
      <c r="I69" s="11">
        <v>16666.669999999998</v>
      </c>
      <c r="J69" s="11">
        <v>16666.669999999998</v>
      </c>
      <c r="K69" s="11">
        <v>16666.669999999998</v>
      </c>
      <c r="L69" s="11">
        <v>16666.669999999998</v>
      </c>
      <c r="M69" s="11">
        <v>16666.669999999998</v>
      </c>
      <c r="N69" s="11">
        <v>16666.669999999998</v>
      </c>
      <c r="O69" s="18">
        <f>SUM(C69:N69)</f>
        <v>200000.03999999992</v>
      </c>
      <c r="P69" s="11">
        <v>200000</v>
      </c>
      <c r="Q69" s="11"/>
      <c r="R69" s="11"/>
      <c r="S69" s="23"/>
    </row>
    <row r="70" spans="1:19" ht="18" customHeight="1" x14ac:dyDescent="0.2">
      <c r="A70" s="7" t="s">
        <v>97</v>
      </c>
      <c r="B70" s="6" t="s">
        <v>100</v>
      </c>
      <c r="C70" s="10">
        <v>3750</v>
      </c>
      <c r="D70" s="10">
        <v>3750</v>
      </c>
      <c r="E70" s="10">
        <v>3750</v>
      </c>
      <c r="F70" s="10">
        <v>3750</v>
      </c>
      <c r="G70" s="10">
        <v>3750</v>
      </c>
      <c r="H70" s="10">
        <v>3750</v>
      </c>
      <c r="I70" s="10">
        <v>3750</v>
      </c>
      <c r="J70" s="10">
        <v>3750</v>
      </c>
      <c r="K70" s="10">
        <v>3750</v>
      </c>
      <c r="L70" s="10">
        <v>3750</v>
      </c>
      <c r="M70" s="10">
        <v>3750</v>
      </c>
      <c r="N70" s="10">
        <v>3750</v>
      </c>
      <c r="O70" s="13">
        <f>SUM(C70:N70)</f>
        <v>45000</v>
      </c>
      <c r="P70" s="10">
        <v>45000</v>
      </c>
      <c r="Q70" s="10"/>
      <c r="R70" s="10"/>
      <c r="S70" s="5"/>
    </row>
    <row r="71" spans="1:19" ht="22" customHeight="1" x14ac:dyDescent="0.2">
      <c r="A71" s="25"/>
      <c r="B71" s="25" t="s">
        <v>101</v>
      </c>
      <c r="C71" s="26">
        <f t="shared" ref="C71:O71" si="22">SUM(C68:C70)</f>
        <v>45416.67</v>
      </c>
      <c r="D71" s="26">
        <f t="shared" si="22"/>
        <v>45416.67</v>
      </c>
      <c r="E71" s="26">
        <f t="shared" si="22"/>
        <v>45416.67</v>
      </c>
      <c r="F71" s="26">
        <f t="shared" si="22"/>
        <v>45416.67</v>
      </c>
      <c r="G71" s="26">
        <f t="shared" si="22"/>
        <v>45416.67</v>
      </c>
      <c r="H71" s="26">
        <f t="shared" si="22"/>
        <v>45416.67</v>
      </c>
      <c r="I71" s="26">
        <f t="shared" si="22"/>
        <v>45416.67</v>
      </c>
      <c r="J71" s="26">
        <f t="shared" si="22"/>
        <v>45416.67</v>
      </c>
      <c r="K71" s="26">
        <f t="shared" si="22"/>
        <v>45416.67</v>
      </c>
      <c r="L71" s="26">
        <f t="shared" si="22"/>
        <v>45416.67</v>
      </c>
      <c r="M71" s="26">
        <f t="shared" si="22"/>
        <v>45416.67</v>
      </c>
      <c r="N71" s="26">
        <f t="shared" si="22"/>
        <v>45416.67</v>
      </c>
      <c r="O71" s="30">
        <f t="shared" si="22"/>
        <v>545000.03999999992</v>
      </c>
      <c r="P71" s="26">
        <f>SUM(P68:P70)</f>
        <v>545000</v>
      </c>
      <c r="Q71" s="26">
        <f>SUM(Q68:Q70)</f>
        <v>0</v>
      </c>
      <c r="R71" s="26">
        <f>SUM(R68:R70)</f>
        <v>0</v>
      </c>
      <c r="S71" s="25"/>
    </row>
    <row r="72" spans="1:19" ht="6" customHeight="1" thickBo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31"/>
      <c r="P72" s="1"/>
      <c r="Q72" s="1"/>
      <c r="R72" s="1"/>
      <c r="S72" s="1"/>
    </row>
    <row r="73" spans="1:19" ht="24" customHeight="1" thickBot="1" x14ac:dyDescent="0.25">
      <c r="A73" s="20" t="s">
        <v>102</v>
      </c>
      <c r="B73" s="20"/>
      <c r="C73" s="21">
        <f t="shared" ref="C73:O73" si="23">C9+C15+C20+C25+C30+C35+C45+C51+C56+C61+C65+C71</f>
        <v>1922625.0182919996</v>
      </c>
      <c r="D73" s="21">
        <f t="shared" si="23"/>
        <v>1922625.0182919996</v>
      </c>
      <c r="E73" s="21">
        <f t="shared" si="23"/>
        <v>1922625.0182919996</v>
      </c>
      <c r="F73" s="21">
        <f t="shared" si="23"/>
        <v>1922625.0182919996</v>
      </c>
      <c r="G73" s="21">
        <f t="shared" si="23"/>
        <v>1922625.0182919996</v>
      </c>
      <c r="H73" s="21">
        <f t="shared" si="23"/>
        <v>2352409.4306919998</v>
      </c>
      <c r="I73" s="21">
        <f t="shared" si="23"/>
        <v>1381825.8899999997</v>
      </c>
      <c r="J73" s="21">
        <f t="shared" si="23"/>
        <v>1381825.8899999997</v>
      </c>
      <c r="K73" s="21">
        <f t="shared" si="23"/>
        <v>1975767.9182919997</v>
      </c>
      <c r="L73" s="21">
        <f t="shared" si="23"/>
        <v>1922977.5182919996</v>
      </c>
      <c r="M73" s="21">
        <f t="shared" si="23"/>
        <v>1922625.0182919996</v>
      </c>
      <c r="N73" s="21">
        <f t="shared" si="23"/>
        <v>1922625.0182919996</v>
      </c>
      <c r="O73" s="19">
        <f t="shared" si="23"/>
        <v>22473181.775319997</v>
      </c>
      <c r="P73" s="21">
        <f>P9+P15+P20+P25+P30+P35+P45+P51+P56+P61+P65+P71</f>
        <v>22676202.559999999</v>
      </c>
      <c r="Q73" s="21">
        <f>Q9+Q15+Q20+Q25+Q30+Q35+Q45+Q51+Q56+Q61+Q65+Q71</f>
        <v>11365505.120000001</v>
      </c>
      <c r="R73" s="21">
        <f>R9+R15+R20+R25+R30+R35+R45+R51+R56+R61+R65+R71</f>
        <v>11559715.67</v>
      </c>
      <c r="S73" s="20"/>
    </row>
    <row r="74" spans="1:19" ht="16" customHeight="1" x14ac:dyDescent="0.2">
      <c r="A74" s="5"/>
      <c r="B74" s="5" t="s">
        <v>103</v>
      </c>
      <c r="C74" s="24">
        <f>IF(Reference_Data!C13=0,0,C73/Reference_Data!C13)</f>
        <v>0.32306641833680017</v>
      </c>
      <c r="D74" s="24">
        <f>IF(Reference_Data!D13=0,0,D73/Reference_Data!D13)</f>
        <v>0.32306641833680017</v>
      </c>
      <c r="E74" s="24">
        <f>IF(Reference_Data!E13=0,0,E73/Reference_Data!E13)</f>
        <v>0.31346728626687453</v>
      </c>
      <c r="F74" s="24">
        <f>IF(Reference_Data!F13=0,0,F73/Reference_Data!F13)</f>
        <v>0.31346728626687453</v>
      </c>
      <c r="G74" s="24">
        <f>IF(Reference_Data!G13=0,0,G73/Reference_Data!G13)</f>
        <v>0.14166670860209968</v>
      </c>
      <c r="H74" s="24">
        <f>IF(Reference_Data!H13=0,0,H73/Reference_Data!H13)</f>
        <v>551.02266498921335</v>
      </c>
      <c r="I74" s="24">
        <f>IF(Reference_Data!I13=0,0,I73/Reference_Data!I13)</f>
        <v>323.67553646259103</v>
      </c>
      <c r="J74" s="24">
        <f>IF(Reference_Data!J13=0,0,J73/Reference_Data!J13)</f>
        <v>0.20045561526832728</v>
      </c>
      <c r="K74" s="24">
        <f>IF(Reference_Data!K13=0,0,K73/Reference_Data!K13)</f>
        <v>0.33164793281299332</v>
      </c>
      <c r="L74" s="24">
        <f>IF(Reference_Data!L13=0,0,L73/Reference_Data!L13)</f>
        <v>0.32169856389974277</v>
      </c>
      <c r="M74" s="24">
        <f>IF(Reference_Data!M13=0,0,M73/Reference_Data!M13)</f>
        <v>0.32163959350477145</v>
      </c>
      <c r="N74" s="24">
        <f>IF(Reference_Data!N13=0,0,N73/Reference_Data!N13)</f>
        <v>2.8064910592613249E-2</v>
      </c>
      <c r="O74" s="33">
        <f>IF(Reference_Data!O13=0,0,O73/Reference_Data!O13)</f>
        <v>0</v>
      </c>
      <c r="P74" s="27"/>
      <c r="Q74" s="27"/>
      <c r="R74" s="27"/>
      <c r="S74" s="5"/>
    </row>
  </sheetData>
  <mergeCells count="2">
    <mergeCell ref="A1:S1"/>
    <mergeCell ref="A2:S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P2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10" defaultColWidth="8.6640625" defaultRowHeight="15" customHeight="1" x14ac:dyDescent="0.2"/>
  <cols>
    <col min="1" max="1" width="18.33203125" customWidth="1"/>
    <col min="2" max="2" width="38.33203125" customWidth="1"/>
    <col min="3" max="14" width="14.1640625" customWidth="1"/>
    <col min="15" max="15" width="16.6640625" customWidth="1"/>
    <col min="16" max="16" width="30" customWidth="1"/>
  </cols>
  <sheetData>
    <row r="1" spans="1:16" ht="30" customHeight="1" x14ac:dyDescent="0.2">
      <c r="A1" s="2" t="s">
        <v>104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0" customHeight="1" x14ac:dyDescent="0.2">
      <c r="A2" s="3" t="s">
        <v>105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8" customHeight="1" x14ac:dyDescent="0.2">
      <c r="A4" s="14" t="s">
        <v>26</v>
      </c>
      <c r="B4" s="14" t="s">
        <v>38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M4" s="15" t="s">
        <v>15</v>
      </c>
      <c r="N4" s="15" t="s">
        <v>16</v>
      </c>
      <c r="O4" s="16" t="s">
        <v>17</v>
      </c>
      <c r="P4" s="15" t="s">
        <v>39</v>
      </c>
    </row>
    <row r="5" spans="1:16" ht="22" customHeight="1" x14ac:dyDescent="0.2">
      <c r="A5" s="4" t="s">
        <v>106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8"/>
      <c r="P5" s="4"/>
    </row>
    <row r="6" spans="1:16" ht="18" customHeight="1" x14ac:dyDescent="0.2">
      <c r="A6" s="7" t="s">
        <v>107</v>
      </c>
      <c r="B6" s="6" t="s">
        <v>108</v>
      </c>
      <c r="C6" s="10">
        <v>439818</v>
      </c>
      <c r="D6" s="10">
        <v>439818</v>
      </c>
      <c r="E6" s="10">
        <v>439818</v>
      </c>
      <c r="F6" s="10">
        <v>439818</v>
      </c>
      <c r="G6" s="10">
        <v>439818</v>
      </c>
      <c r="H6" s="10">
        <v>439818</v>
      </c>
      <c r="I6" s="10">
        <v>439818</v>
      </c>
      <c r="J6" s="10">
        <v>439818</v>
      </c>
      <c r="K6" s="10">
        <v>439818</v>
      </c>
      <c r="L6" s="10">
        <v>439818</v>
      </c>
      <c r="M6" s="10">
        <v>439818</v>
      </c>
      <c r="N6" s="10">
        <v>439818</v>
      </c>
      <c r="O6" s="13">
        <f>SUM(C6:N6)</f>
        <v>5277816</v>
      </c>
      <c r="P6" s="5" t="s">
        <v>109</v>
      </c>
    </row>
    <row r="7" spans="1:16" ht="22" customHeight="1" x14ac:dyDescent="0.2">
      <c r="A7" s="25"/>
      <c r="B7" s="25" t="s">
        <v>110</v>
      </c>
      <c r="C7" s="26">
        <f t="shared" ref="C7:O7" si="0">C6</f>
        <v>439818</v>
      </c>
      <c r="D7" s="26">
        <f t="shared" si="0"/>
        <v>439818</v>
      </c>
      <c r="E7" s="26">
        <f t="shared" si="0"/>
        <v>439818</v>
      </c>
      <c r="F7" s="26">
        <f t="shared" si="0"/>
        <v>439818</v>
      </c>
      <c r="G7" s="26">
        <f t="shared" si="0"/>
        <v>439818</v>
      </c>
      <c r="H7" s="26">
        <f t="shared" si="0"/>
        <v>439818</v>
      </c>
      <c r="I7" s="26">
        <f t="shared" si="0"/>
        <v>439818</v>
      </c>
      <c r="J7" s="26">
        <f t="shared" si="0"/>
        <v>439818</v>
      </c>
      <c r="K7" s="26">
        <f t="shared" si="0"/>
        <v>439818</v>
      </c>
      <c r="L7" s="26">
        <f t="shared" si="0"/>
        <v>439818</v>
      </c>
      <c r="M7" s="26">
        <f t="shared" si="0"/>
        <v>439818</v>
      </c>
      <c r="N7" s="26">
        <f t="shared" si="0"/>
        <v>439818</v>
      </c>
      <c r="O7" s="30">
        <f t="shared" si="0"/>
        <v>5277816</v>
      </c>
      <c r="P7" s="25"/>
    </row>
    <row r="8" spans="1:16" ht="6" customHeight="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31"/>
      <c r="P8" s="1"/>
    </row>
    <row r="9" spans="1:16" ht="22" customHeight="1" x14ac:dyDescent="0.2">
      <c r="A9" s="4" t="s">
        <v>111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32"/>
      <c r="P9" s="4"/>
    </row>
    <row r="10" spans="1:16" ht="18" customHeight="1" x14ac:dyDescent="0.2">
      <c r="A10" s="7" t="s">
        <v>112</v>
      </c>
      <c r="B10" s="6" t="s">
        <v>113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3">
        <f>SUM(C10:N10)</f>
        <v>0</v>
      </c>
      <c r="P10" s="5" t="s">
        <v>114</v>
      </c>
    </row>
    <row r="11" spans="1:16" ht="22" customHeight="1" x14ac:dyDescent="0.2">
      <c r="A11" s="25"/>
      <c r="B11" s="25" t="s">
        <v>115</v>
      </c>
      <c r="C11" s="26">
        <f t="shared" ref="C11:O11" si="1">C10</f>
        <v>0</v>
      </c>
      <c r="D11" s="26">
        <f t="shared" si="1"/>
        <v>0</v>
      </c>
      <c r="E11" s="26">
        <f t="shared" si="1"/>
        <v>0</v>
      </c>
      <c r="F11" s="26">
        <f t="shared" si="1"/>
        <v>0</v>
      </c>
      <c r="G11" s="26">
        <f t="shared" si="1"/>
        <v>0</v>
      </c>
      <c r="H11" s="26">
        <f t="shared" si="1"/>
        <v>0</v>
      </c>
      <c r="I11" s="26">
        <f t="shared" si="1"/>
        <v>0</v>
      </c>
      <c r="J11" s="26">
        <f t="shared" si="1"/>
        <v>0</v>
      </c>
      <c r="K11" s="26">
        <f t="shared" si="1"/>
        <v>0</v>
      </c>
      <c r="L11" s="26">
        <f t="shared" si="1"/>
        <v>0</v>
      </c>
      <c r="M11" s="26">
        <f t="shared" si="1"/>
        <v>0</v>
      </c>
      <c r="N11" s="26">
        <f t="shared" si="1"/>
        <v>0</v>
      </c>
      <c r="O11" s="30">
        <f t="shared" si="1"/>
        <v>0</v>
      </c>
      <c r="P11" s="25"/>
    </row>
    <row r="12" spans="1:16" ht="6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1"/>
      <c r="P12" s="1"/>
    </row>
    <row r="13" spans="1:16" ht="22" customHeight="1" x14ac:dyDescent="0.2">
      <c r="A13" s="4" t="s">
        <v>116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32"/>
      <c r="P13" s="4"/>
    </row>
    <row r="14" spans="1:16" ht="18" customHeight="1" x14ac:dyDescent="0.2">
      <c r="A14" s="7" t="s">
        <v>117</v>
      </c>
      <c r="B14" s="6" t="s">
        <v>118</v>
      </c>
      <c r="C14" s="10">
        <v>41666.67</v>
      </c>
      <c r="D14" s="10">
        <v>41666.67</v>
      </c>
      <c r="E14" s="10">
        <v>41666.67</v>
      </c>
      <c r="F14" s="10">
        <v>41666.67</v>
      </c>
      <c r="G14" s="10">
        <v>41666.67</v>
      </c>
      <c r="H14" s="10">
        <v>41666.67</v>
      </c>
      <c r="I14" s="10">
        <v>41666.67</v>
      </c>
      <c r="J14" s="10">
        <v>41666.67</v>
      </c>
      <c r="K14" s="10">
        <v>41666.67</v>
      </c>
      <c r="L14" s="10">
        <v>41666.67</v>
      </c>
      <c r="M14" s="10">
        <v>41666.67</v>
      </c>
      <c r="N14" s="10">
        <v>41666.67</v>
      </c>
      <c r="O14" s="13">
        <f>SUM(C14:N14)</f>
        <v>500000.03999999986</v>
      </c>
      <c r="P14" s="5" t="s">
        <v>119</v>
      </c>
    </row>
    <row r="15" spans="1:16" ht="18" customHeight="1" x14ac:dyDescent="0.2">
      <c r="A15" s="9" t="s">
        <v>117</v>
      </c>
      <c r="B15" s="8" t="s">
        <v>120</v>
      </c>
      <c r="C15" s="11">
        <v>0</v>
      </c>
      <c r="D15" s="11">
        <f>C15</f>
        <v>0</v>
      </c>
      <c r="E15" s="11">
        <f t="shared" ref="E15:N15" si="2">D15</f>
        <v>0</v>
      </c>
      <c r="F15" s="11">
        <f t="shared" si="2"/>
        <v>0</v>
      </c>
      <c r="G15" s="11">
        <f t="shared" si="2"/>
        <v>0</v>
      </c>
      <c r="H15" s="11">
        <f t="shared" si="2"/>
        <v>0</v>
      </c>
      <c r="I15" s="11">
        <f t="shared" si="2"/>
        <v>0</v>
      </c>
      <c r="J15" s="11">
        <f t="shared" si="2"/>
        <v>0</v>
      </c>
      <c r="K15" s="11">
        <f t="shared" si="2"/>
        <v>0</v>
      </c>
      <c r="L15" s="11">
        <f t="shared" si="2"/>
        <v>0</v>
      </c>
      <c r="M15" s="11">
        <f t="shared" si="2"/>
        <v>0</v>
      </c>
      <c r="N15" s="11">
        <f t="shared" si="2"/>
        <v>0</v>
      </c>
      <c r="O15" s="18">
        <f>SUM(C15:N15)</f>
        <v>0</v>
      </c>
      <c r="P15" s="23"/>
    </row>
    <row r="16" spans="1:16" ht="22" customHeight="1" x14ac:dyDescent="0.2">
      <c r="A16" s="25"/>
      <c r="B16" s="25" t="s">
        <v>121</v>
      </c>
      <c r="C16" s="26">
        <f t="shared" ref="C16:O16" si="3">SUM(C14:C15)</f>
        <v>41666.67</v>
      </c>
      <c r="D16" s="26">
        <f t="shared" si="3"/>
        <v>41666.67</v>
      </c>
      <c r="E16" s="26">
        <f t="shared" si="3"/>
        <v>41666.67</v>
      </c>
      <c r="F16" s="26">
        <f t="shared" si="3"/>
        <v>41666.67</v>
      </c>
      <c r="G16" s="26">
        <f t="shared" si="3"/>
        <v>41666.67</v>
      </c>
      <c r="H16" s="26">
        <f t="shared" si="3"/>
        <v>41666.67</v>
      </c>
      <c r="I16" s="26">
        <f t="shared" si="3"/>
        <v>41666.67</v>
      </c>
      <c r="J16" s="26">
        <f t="shared" si="3"/>
        <v>41666.67</v>
      </c>
      <c r="K16" s="26">
        <f t="shared" si="3"/>
        <v>41666.67</v>
      </c>
      <c r="L16" s="26">
        <f t="shared" si="3"/>
        <v>41666.67</v>
      </c>
      <c r="M16" s="26">
        <f t="shared" si="3"/>
        <v>41666.67</v>
      </c>
      <c r="N16" s="26">
        <f t="shared" si="3"/>
        <v>41666.67</v>
      </c>
      <c r="O16" s="30">
        <f t="shared" si="3"/>
        <v>500000.03999999986</v>
      </c>
      <c r="P16" s="25"/>
    </row>
    <row r="17" spans="1:16" ht="6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1"/>
      <c r="P17" s="1"/>
    </row>
    <row r="18" spans="1:16" ht="22" customHeight="1" x14ac:dyDescent="0.2">
      <c r="A18" s="4" t="s">
        <v>122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32"/>
      <c r="P18" s="4"/>
    </row>
    <row r="19" spans="1:16" ht="18" customHeight="1" x14ac:dyDescent="0.2">
      <c r="A19" s="7" t="s">
        <v>123</v>
      </c>
      <c r="B19" s="6" t="s">
        <v>125</v>
      </c>
      <c r="C19" s="10">
        <v>23820.85</v>
      </c>
      <c r="D19" s="10">
        <v>23820.85</v>
      </c>
      <c r="E19" s="10">
        <v>23820.85</v>
      </c>
      <c r="F19" s="10">
        <v>23820.85</v>
      </c>
      <c r="G19" s="10">
        <v>23820.85</v>
      </c>
      <c r="H19" s="10">
        <v>23820.85</v>
      </c>
      <c r="I19" s="10">
        <v>23820.85</v>
      </c>
      <c r="J19" s="10">
        <v>23820.85</v>
      </c>
      <c r="K19" s="10">
        <v>23820.85</v>
      </c>
      <c r="L19" s="10">
        <v>23820.85</v>
      </c>
      <c r="M19" s="10">
        <v>23820.85</v>
      </c>
      <c r="N19" s="10">
        <v>23820.85</v>
      </c>
      <c r="O19" s="13">
        <f>SUM(C19:N19)</f>
        <v>285850.2</v>
      </c>
      <c r="P19" s="5"/>
    </row>
    <row r="20" spans="1:16" ht="18" customHeight="1" x14ac:dyDescent="0.2">
      <c r="A20" s="9" t="s">
        <v>123</v>
      </c>
      <c r="B20" s="8" t="s">
        <v>126</v>
      </c>
      <c r="C20" s="11">
        <v>0</v>
      </c>
      <c r="D20" s="11">
        <f>C20</f>
        <v>0</v>
      </c>
      <c r="E20" s="11">
        <f t="shared" ref="E20:N20" si="4">D20</f>
        <v>0</v>
      </c>
      <c r="F20" s="11">
        <f t="shared" si="4"/>
        <v>0</v>
      </c>
      <c r="G20" s="11">
        <f t="shared" si="4"/>
        <v>0</v>
      </c>
      <c r="H20" s="11">
        <f t="shared" si="4"/>
        <v>0</v>
      </c>
      <c r="I20" s="11">
        <f t="shared" si="4"/>
        <v>0</v>
      </c>
      <c r="J20" s="11">
        <f t="shared" si="4"/>
        <v>0</v>
      </c>
      <c r="K20" s="11">
        <f t="shared" si="4"/>
        <v>0</v>
      </c>
      <c r="L20" s="11">
        <f t="shared" si="4"/>
        <v>0</v>
      </c>
      <c r="M20" s="11">
        <f t="shared" si="4"/>
        <v>0</v>
      </c>
      <c r="N20" s="11">
        <f t="shared" si="4"/>
        <v>0</v>
      </c>
      <c r="O20" s="18">
        <f>SUM(C20:N20)</f>
        <v>0</v>
      </c>
      <c r="P20" s="23"/>
    </row>
    <row r="21" spans="1:16" ht="22" customHeight="1" x14ac:dyDescent="0.2">
      <c r="A21" s="25"/>
      <c r="B21" s="25" t="s">
        <v>127</v>
      </c>
      <c r="C21" s="26">
        <f t="shared" ref="C21:O21" si="5">SUM(C19:C20)</f>
        <v>23820.85</v>
      </c>
      <c r="D21" s="26">
        <f t="shared" si="5"/>
        <v>23820.85</v>
      </c>
      <c r="E21" s="26">
        <f t="shared" si="5"/>
        <v>23820.85</v>
      </c>
      <c r="F21" s="26">
        <f t="shared" si="5"/>
        <v>23820.85</v>
      </c>
      <c r="G21" s="26">
        <f t="shared" si="5"/>
        <v>23820.85</v>
      </c>
      <c r="H21" s="26">
        <f t="shared" si="5"/>
        <v>23820.85</v>
      </c>
      <c r="I21" s="26">
        <f t="shared" si="5"/>
        <v>23820.85</v>
      </c>
      <c r="J21" s="26">
        <f t="shared" si="5"/>
        <v>23820.85</v>
      </c>
      <c r="K21" s="26">
        <f t="shared" si="5"/>
        <v>23820.85</v>
      </c>
      <c r="L21" s="26">
        <f t="shared" si="5"/>
        <v>23820.85</v>
      </c>
      <c r="M21" s="26">
        <f t="shared" si="5"/>
        <v>23820.85</v>
      </c>
      <c r="N21" s="26">
        <f t="shared" si="5"/>
        <v>23820.85</v>
      </c>
      <c r="O21" s="29">
        <f t="shared" si="5"/>
        <v>285850.2</v>
      </c>
      <c r="P21" s="25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9"/>
  <sheetViews>
    <sheetView topLeftCell="B5" zoomScaleNormal="100" workbookViewId="0">
      <pane xSplit="1" ySplit="1" topLeftCell="C6" activePane="bottomRight" state="frozen"/>
      <selection activeCell="B5" sqref="B5"/>
      <selection pane="topRight" activeCell="C5" sqref="C5"/>
      <selection pane="bottomLeft" activeCell="B6" sqref="B6"/>
      <selection pane="bottomRight" activeCell="D68" sqref="D68"/>
    </sheetView>
  </sheetViews>
  <sheetFormatPr baseColWidth="10" defaultColWidth="8.6640625" defaultRowHeight="15" customHeight="1" x14ac:dyDescent="0.2"/>
  <cols>
    <col min="1" max="1" width="38.33203125" customWidth="1"/>
    <col min="2" max="13" width="14.1640625" customWidth="1"/>
    <col min="14" max="14" width="16.6640625" customWidth="1"/>
  </cols>
  <sheetData>
    <row r="1" spans="1:14" ht="30" customHeight="1" x14ac:dyDescent="0.2">
      <c r="A1" s="2" t="s">
        <v>128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20" customHeight="1" x14ac:dyDescent="0.2">
      <c r="A2" s="3" t="s">
        <v>129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6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8" customHeight="1" x14ac:dyDescent="0.2">
      <c r="A4" s="34" t="s">
        <v>130</v>
      </c>
      <c r="B4" s="35" t="s">
        <v>5</v>
      </c>
      <c r="C4" s="35" t="s">
        <v>6</v>
      </c>
      <c r="D4" s="35" t="s">
        <v>7</v>
      </c>
      <c r="E4" s="35" t="s">
        <v>8</v>
      </c>
      <c r="F4" s="35" t="s">
        <v>9</v>
      </c>
      <c r="G4" s="35" t="s">
        <v>10</v>
      </c>
      <c r="H4" s="35" t="s">
        <v>11</v>
      </c>
      <c r="I4" s="35" t="s">
        <v>12</v>
      </c>
      <c r="J4" s="35" t="s">
        <v>13</v>
      </c>
      <c r="K4" s="35" t="s">
        <v>14</v>
      </c>
      <c r="L4" s="35" t="s">
        <v>15</v>
      </c>
      <c r="M4" s="35" t="s">
        <v>16</v>
      </c>
      <c r="N4" s="16" t="s">
        <v>17</v>
      </c>
    </row>
    <row r="5" spans="1:14" ht="24" customHeight="1" thickBot="1" x14ac:dyDescent="0.25">
      <c r="A5" s="39" t="s">
        <v>131</v>
      </c>
      <c r="B5" s="36">
        <f>Operating_Expenses!C73</f>
        <v>1922625.0182919996</v>
      </c>
      <c r="C5" s="36">
        <f>Operating_Expenses!D73</f>
        <v>1922625.0182919996</v>
      </c>
      <c r="D5" s="36">
        <f>Operating_Expenses!E73</f>
        <v>1922625.0182919996</v>
      </c>
      <c r="E5" s="36">
        <f>Operating_Expenses!F73</f>
        <v>1922625.0182919996</v>
      </c>
      <c r="F5" s="36">
        <f>Operating_Expenses!G73</f>
        <v>1922625.0182919996</v>
      </c>
      <c r="G5" s="36">
        <f>Operating_Expenses!H73</f>
        <v>2352409.4306919998</v>
      </c>
      <c r="H5" s="36">
        <f>Operating_Expenses!I73</f>
        <v>1381825.8899999997</v>
      </c>
      <c r="I5" s="36">
        <f>Operating_Expenses!J73</f>
        <v>1381825.8899999997</v>
      </c>
      <c r="J5" s="36">
        <f>Operating_Expenses!K73</f>
        <v>1975767.9182919997</v>
      </c>
      <c r="K5" s="36">
        <f>Operating_Expenses!L73</f>
        <v>1922977.5182919996</v>
      </c>
      <c r="L5" s="36">
        <f>Operating_Expenses!M73</f>
        <v>1922625.0182919996</v>
      </c>
      <c r="M5" s="36">
        <f>Operating_Expenses!N73</f>
        <v>1922625.0182919996</v>
      </c>
      <c r="N5" s="37">
        <f>SUM(B5:M5)</f>
        <v>22473181.775319993</v>
      </c>
    </row>
    <row r="6" spans="1:14" ht="18" customHeight="1" x14ac:dyDescent="0.2">
      <c r="A6" s="40" t="s">
        <v>110</v>
      </c>
      <c r="B6" s="10">
        <f>Non_Operating_Items!C7</f>
        <v>439818</v>
      </c>
      <c r="C6" s="10">
        <f>Non_Operating_Items!D7</f>
        <v>439818</v>
      </c>
      <c r="D6" s="10">
        <f>Non_Operating_Items!E7</f>
        <v>439818</v>
      </c>
      <c r="E6" s="10">
        <f>Non_Operating_Items!F7</f>
        <v>439818</v>
      </c>
      <c r="F6" s="10">
        <f>Non_Operating_Items!G7</f>
        <v>439818</v>
      </c>
      <c r="G6" s="10">
        <f>Non_Operating_Items!H7</f>
        <v>439818</v>
      </c>
      <c r="H6" s="10">
        <f>Non_Operating_Items!I7</f>
        <v>439818</v>
      </c>
      <c r="I6" s="10">
        <f>Non_Operating_Items!J7</f>
        <v>439818</v>
      </c>
      <c r="J6" s="10">
        <f>Non_Operating_Items!K7</f>
        <v>439818</v>
      </c>
      <c r="K6" s="10">
        <f>Non_Operating_Items!L7</f>
        <v>439818</v>
      </c>
      <c r="L6" s="10">
        <f>Non_Operating_Items!M7</f>
        <v>439818</v>
      </c>
      <c r="M6" s="10">
        <f>Non_Operating_Items!N7</f>
        <v>439818</v>
      </c>
      <c r="N6" s="38">
        <f>SUM(B6:M6)</f>
        <v>5277816</v>
      </c>
    </row>
    <row r="7" spans="1:14" ht="18" customHeight="1" x14ac:dyDescent="0.2">
      <c r="A7" s="41" t="s">
        <v>115</v>
      </c>
      <c r="B7" s="11">
        <f>Non_Operating_Items!C11</f>
        <v>0</v>
      </c>
      <c r="C7" s="11">
        <f>Non_Operating_Items!D11</f>
        <v>0</v>
      </c>
      <c r="D7" s="11">
        <f>Non_Operating_Items!E11</f>
        <v>0</v>
      </c>
      <c r="E7" s="11">
        <f>Non_Operating_Items!F11</f>
        <v>0</v>
      </c>
      <c r="F7" s="11">
        <f>Non_Operating_Items!G11</f>
        <v>0</v>
      </c>
      <c r="G7" s="11">
        <f>Non_Operating_Items!H11</f>
        <v>0</v>
      </c>
      <c r="H7" s="11">
        <f>Non_Operating_Items!I11</f>
        <v>0</v>
      </c>
      <c r="I7" s="11">
        <f>Non_Operating_Items!J11</f>
        <v>0</v>
      </c>
      <c r="J7" s="11">
        <f>Non_Operating_Items!K11</f>
        <v>0</v>
      </c>
      <c r="K7" s="11">
        <f>Non_Operating_Items!L11</f>
        <v>0</v>
      </c>
      <c r="L7" s="11">
        <f>Non_Operating_Items!M11</f>
        <v>0</v>
      </c>
      <c r="M7" s="11">
        <f>Non_Operating_Items!N11</f>
        <v>0</v>
      </c>
      <c r="N7" s="18">
        <f>SUM(B7:M7)</f>
        <v>0</v>
      </c>
    </row>
    <row r="8" spans="1:14" ht="18" customHeight="1" x14ac:dyDescent="0.2">
      <c r="A8" s="40" t="s">
        <v>121</v>
      </c>
      <c r="B8" s="10">
        <f>Non_Operating_Items!C16</f>
        <v>41666.67</v>
      </c>
      <c r="C8" s="10">
        <f>Non_Operating_Items!D16</f>
        <v>41666.67</v>
      </c>
      <c r="D8" s="10">
        <f>Non_Operating_Items!E16</f>
        <v>41666.67</v>
      </c>
      <c r="E8" s="10">
        <f>Non_Operating_Items!F16</f>
        <v>41666.67</v>
      </c>
      <c r="F8" s="10">
        <f>Non_Operating_Items!G16</f>
        <v>41666.67</v>
      </c>
      <c r="G8" s="10">
        <f>Non_Operating_Items!H16</f>
        <v>41666.67</v>
      </c>
      <c r="H8" s="10">
        <f>Non_Operating_Items!I16</f>
        <v>41666.67</v>
      </c>
      <c r="I8" s="10">
        <f>Non_Operating_Items!J16</f>
        <v>41666.67</v>
      </c>
      <c r="J8" s="10">
        <f>Non_Operating_Items!K16</f>
        <v>41666.67</v>
      </c>
      <c r="K8" s="10">
        <f>Non_Operating_Items!L16</f>
        <v>41666.67</v>
      </c>
      <c r="L8" s="10">
        <f>Non_Operating_Items!M16</f>
        <v>41666.67</v>
      </c>
      <c r="M8" s="10">
        <f>Non_Operating_Items!N16</f>
        <v>41666.67</v>
      </c>
      <c r="N8" s="13">
        <f>SUM(B8:M8)</f>
        <v>500000.03999999986</v>
      </c>
    </row>
    <row r="9" spans="1:14" ht="18" customHeight="1" x14ac:dyDescent="0.2">
      <c r="A9" s="41" t="s">
        <v>127</v>
      </c>
      <c r="B9" s="11">
        <f>Non_Operating_Items!C21</f>
        <v>23820.85</v>
      </c>
      <c r="C9" s="11">
        <f>Non_Operating_Items!D21</f>
        <v>23820.85</v>
      </c>
      <c r="D9" s="11">
        <f>Non_Operating_Items!E21</f>
        <v>23820.85</v>
      </c>
      <c r="E9" s="11">
        <f>Non_Operating_Items!F21</f>
        <v>23820.85</v>
      </c>
      <c r="F9" s="11">
        <f>Non_Operating_Items!G21</f>
        <v>23820.85</v>
      </c>
      <c r="G9" s="11">
        <f>Non_Operating_Items!H21</f>
        <v>23820.85</v>
      </c>
      <c r="H9" s="11">
        <f>Non_Operating_Items!I21</f>
        <v>23820.85</v>
      </c>
      <c r="I9" s="11">
        <f>Non_Operating_Items!J21</f>
        <v>23820.85</v>
      </c>
      <c r="J9" s="11">
        <f>Non_Operating_Items!K21</f>
        <v>23820.85</v>
      </c>
      <c r="K9" s="11">
        <f>Non_Operating_Items!L21</f>
        <v>23820.85</v>
      </c>
      <c r="L9" s="11">
        <f>Non_Operating_Items!M21</f>
        <v>23820.85</v>
      </c>
      <c r="M9" s="11">
        <f>Non_Operating_Items!N21</f>
        <v>23820.85</v>
      </c>
      <c r="N9" s="18">
        <f>SUM(B9:M9)</f>
        <v>285850.2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Reference_Data</vt:lpstr>
      <vt:lpstr>Operating_Expenses</vt:lpstr>
      <vt:lpstr>Non_Operating_Items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Faker Helali</cp:lastModifiedBy>
  <cp:revision>0</cp:revision>
  <dcterms:created xsi:type="dcterms:W3CDTF">2026-03-23T08:36:23Z</dcterms:created>
  <dcterms:modified xsi:type="dcterms:W3CDTF">2026-03-23T11:01:34Z</dcterms:modified>
  <dc:language>en-US</dc:language>
</cp:coreProperties>
</file>