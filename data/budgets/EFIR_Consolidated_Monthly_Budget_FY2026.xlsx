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akerhelali/Documents/EFIR Budget/"/>
    </mc:Choice>
  </mc:AlternateContent>
  <xr:revisionPtr revIDLastSave="0" documentId="13_ncr:1_{1728D8DF-883B-7747-9C78-765EFA69B3BA}" xr6:coauthVersionLast="47" xr6:coauthVersionMax="47" xr10:uidLastSave="{00000000-0000-0000-0000-000000000000}"/>
  <bookViews>
    <workbookView xWindow="0" yWindow="780" windowWidth="41120" windowHeight="25800" activeTab="1" xr2:uid="{00000000-000D-0000-FFFF-FFFF00000000}"/>
  </bookViews>
  <sheets>
    <sheet name="IFRS Mapping" sheetId="1" r:id="rId1"/>
    <sheet name="IFRS Income Statement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2" l="1"/>
  <c r="O26" i="2"/>
  <c r="O21" i="2"/>
  <c r="O19" i="2"/>
  <c r="O17" i="2"/>
  <c r="O16" i="2"/>
  <c r="O15" i="2"/>
  <c r="C89" i="1"/>
  <c r="D89" i="1"/>
  <c r="E89" i="1"/>
  <c r="E102" i="1" s="1"/>
  <c r="F89" i="1"/>
  <c r="G89" i="1"/>
  <c r="H89" i="1"/>
  <c r="H102" i="1" s="1"/>
  <c r="I89" i="1"/>
  <c r="I102" i="1" s="1"/>
  <c r="J89" i="1"/>
  <c r="J102" i="1" s="1"/>
  <c r="K89" i="1"/>
  <c r="K102" i="1" s="1"/>
  <c r="L89" i="1"/>
  <c r="M89" i="1"/>
  <c r="N89" i="1"/>
  <c r="O89" i="1"/>
  <c r="O102" i="1" s="1"/>
  <c r="M25" i="2"/>
  <c r="L25" i="2"/>
  <c r="K25" i="2"/>
  <c r="J25" i="2"/>
  <c r="I25" i="2"/>
  <c r="H25" i="2"/>
  <c r="G25" i="2"/>
  <c r="F25" i="2"/>
  <c r="E25" i="2"/>
  <c r="D25" i="2"/>
  <c r="C25" i="2"/>
  <c r="B25" i="2"/>
  <c r="N102" i="1"/>
  <c r="M102" i="1"/>
  <c r="L102" i="1"/>
  <c r="G102" i="1"/>
  <c r="F102" i="1"/>
  <c r="D102" i="1"/>
  <c r="C102" i="1"/>
  <c r="O46" i="1"/>
  <c r="M18" i="2" l="1"/>
  <c r="L18" i="2"/>
  <c r="J18" i="2"/>
  <c r="I18" i="2"/>
  <c r="C18" i="2"/>
  <c r="B18" i="2"/>
  <c r="M17" i="2"/>
  <c r="L17" i="2"/>
  <c r="K17" i="2"/>
  <c r="J17" i="2"/>
  <c r="H17" i="2"/>
  <c r="G17" i="2"/>
  <c r="M16" i="2"/>
  <c r="L16" i="2"/>
  <c r="K16" i="2"/>
  <c r="J16" i="2"/>
  <c r="I16" i="2"/>
  <c r="H16" i="2"/>
  <c r="F16" i="2"/>
  <c r="E16" i="2"/>
  <c r="I15" i="2"/>
  <c r="G15" i="2"/>
  <c r="F15" i="2"/>
  <c r="D15" i="2"/>
  <c r="C15" i="2"/>
  <c r="G11" i="2"/>
  <c r="F11" i="2"/>
  <c r="E11" i="2"/>
  <c r="D11" i="2"/>
  <c r="C11" i="2"/>
  <c r="B11" i="2"/>
  <c r="M9" i="2"/>
  <c r="L9" i="2"/>
  <c r="K9" i="2"/>
  <c r="K10" i="2" s="1"/>
  <c r="J9" i="2"/>
  <c r="I9" i="2"/>
  <c r="H9" i="2"/>
  <c r="G9" i="2"/>
  <c r="F9" i="2"/>
  <c r="E9" i="2"/>
  <c r="D9" i="2"/>
  <c r="C9" i="2"/>
  <c r="B9" i="2"/>
  <c r="M8" i="2"/>
  <c r="L8" i="2"/>
  <c r="K8" i="2"/>
  <c r="J8" i="2"/>
  <c r="I8" i="2"/>
  <c r="H8" i="2"/>
  <c r="G8" i="2"/>
  <c r="F8" i="2"/>
  <c r="E8" i="2"/>
  <c r="D8" i="2"/>
  <c r="C8" i="2"/>
  <c r="B8" i="2"/>
  <c r="M7" i="2"/>
  <c r="L7" i="2"/>
  <c r="K7" i="2"/>
  <c r="J7" i="2"/>
  <c r="I7" i="2"/>
  <c r="I10" i="2" s="1"/>
  <c r="H7" i="2"/>
  <c r="G7" i="2"/>
  <c r="F7" i="2"/>
  <c r="E7" i="2"/>
  <c r="D7" i="2"/>
  <c r="C7" i="2"/>
  <c r="B7" i="2"/>
  <c r="M6" i="2"/>
  <c r="M10" i="2" s="1"/>
  <c r="L6" i="2"/>
  <c r="K6" i="2"/>
  <c r="J6" i="2"/>
  <c r="J10" i="2" s="1"/>
  <c r="J12" i="2" s="1"/>
  <c r="I6" i="2"/>
  <c r="H6" i="2"/>
  <c r="H10" i="2" s="1"/>
  <c r="G6" i="2"/>
  <c r="G10" i="2" s="1"/>
  <c r="G12" i="2" s="1"/>
  <c r="F6" i="2"/>
  <c r="F10" i="2" s="1"/>
  <c r="F12" i="2" s="1"/>
  <c r="E6" i="2"/>
  <c r="D6" i="2"/>
  <c r="D10" i="2" s="1"/>
  <c r="D12" i="2" s="1"/>
  <c r="C6" i="2"/>
  <c r="B6" i="2"/>
  <c r="O99" i="1"/>
  <c r="O98" i="1"/>
  <c r="O97" i="1"/>
  <c r="O94" i="1"/>
  <c r="O93" i="1"/>
  <c r="O92" i="1"/>
  <c r="O88" i="1"/>
  <c r="O84" i="1"/>
  <c r="O85" i="1" s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81" i="1" s="1"/>
  <c r="O52" i="1"/>
  <c r="O51" i="1"/>
  <c r="O50" i="1"/>
  <c r="O49" i="1"/>
  <c r="O45" i="1"/>
  <c r="O44" i="1"/>
  <c r="O43" i="1"/>
  <c r="O42" i="1"/>
  <c r="O41" i="1"/>
  <c r="O40" i="1"/>
  <c r="O39" i="1"/>
  <c r="O38" i="1"/>
  <c r="O37" i="1"/>
  <c r="O36" i="1"/>
  <c r="O34" i="1"/>
  <c r="O33" i="1"/>
  <c r="O32" i="1"/>
  <c r="O35" i="1" s="1"/>
  <c r="O31" i="1"/>
  <c r="O30" i="1"/>
  <c r="O27" i="1"/>
  <c r="O26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23" i="1" s="1"/>
  <c r="S23" i="1" s="1"/>
  <c r="N100" i="1"/>
  <c r="M100" i="1"/>
  <c r="L100" i="1"/>
  <c r="K100" i="1"/>
  <c r="J100" i="1"/>
  <c r="I100" i="1"/>
  <c r="H100" i="1"/>
  <c r="G100" i="1"/>
  <c r="F100" i="1"/>
  <c r="E100" i="1"/>
  <c r="D100" i="1"/>
  <c r="C100" i="1"/>
  <c r="N94" i="1"/>
  <c r="M24" i="2" s="1"/>
  <c r="M26" i="2" s="1"/>
  <c r="M94" i="1"/>
  <c r="L24" i="2" s="1"/>
  <c r="L26" i="2" s="1"/>
  <c r="L94" i="1"/>
  <c r="K24" i="2" s="1"/>
  <c r="K26" i="2" s="1"/>
  <c r="K94" i="1"/>
  <c r="J24" i="2" s="1"/>
  <c r="J26" i="2" s="1"/>
  <c r="J94" i="1"/>
  <c r="I24" i="2" s="1"/>
  <c r="I94" i="1"/>
  <c r="H24" i="2" s="1"/>
  <c r="H94" i="1"/>
  <c r="G24" i="2" s="1"/>
  <c r="G26" i="2" s="1"/>
  <c r="G94" i="1"/>
  <c r="F24" i="2" s="1"/>
  <c r="F94" i="1"/>
  <c r="E24" i="2" s="1"/>
  <c r="E94" i="1"/>
  <c r="D24" i="2" s="1"/>
  <c r="D94" i="1"/>
  <c r="C24" i="2" s="1"/>
  <c r="C94" i="1"/>
  <c r="B24" i="2" s="1"/>
  <c r="K18" i="2"/>
  <c r="H18" i="2"/>
  <c r="G18" i="2"/>
  <c r="F18" i="2"/>
  <c r="E18" i="2"/>
  <c r="D18" i="2"/>
  <c r="N85" i="1"/>
  <c r="M85" i="1"/>
  <c r="L85" i="1"/>
  <c r="K85" i="1"/>
  <c r="J85" i="1"/>
  <c r="I17" i="2" s="1"/>
  <c r="I85" i="1"/>
  <c r="H85" i="1"/>
  <c r="G85" i="1"/>
  <c r="F17" i="2" s="1"/>
  <c r="F85" i="1"/>
  <c r="E17" i="2" s="1"/>
  <c r="E85" i="1"/>
  <c r="D17" i="2" s="1"/>
  <c r="D85" i="1"/>
  <c r="C17" i="2" s="1"/>
  <c r="C85" i="1"/>
  <c r="B17" i="2" s="1"/>
  <c r="N81" i="1"/>
  <c r="M81" i="1"/>
  <c r="L81" i="1"/>
  <c r="K81" i="1"/>
  <c r="J81" i="1"/>
  <c r="I81" i="1"/>
  <c r="H81" i="1"/>
  <c r="G16" i="2" s="1"/>
  <c r="G81" i="1"/>
  <c r="F81" i="1"/>
  <c r="E81" i="1"/>
  <c r="D16" i="2" s="1"/>
  <c r="D19" i="2" s="1"/>
  <c r="D81" i="1"/>
  <c r="C16" i="2" s="1"/>
  <c r="C81" i="1"/>
  <c r="B16" i="2" s="1"/>
  <c r="N46" i="1"/>
  <c r="M15" i="2" s="1"/>
  <c r="M19" i="2" s="1"/>
  <c r="M46" i="1"/>
  <c r="L15" i="2" s="1"/>
  <c r="J46" i="1"/>
  <c r="H46" i="1"/>
  <c r="G46" i="1"/>
  <c r="F46" i="1"/>
  <c r="E15" i="2" s="1"/>
  <c r="E46" i="1"/>
  <c r="D46" i="1"/>
  <c r="N35" i="1"/>
  <c r="M35" i="1"/>
  <c r="L35" i="1"/>
  <c r="L46" i="1" s="1"/>
  <c r="K15" i="2" s="1"/>
  <c r="K35" i="1"/>
  <c r="K46" i="1" s="1"/>
  <c r="J15" i="2" s="1"/>
  <c r="J19" i="2" s="1"/>
  <c r="J35" i="1"/>
  <c r="I35" i="1"/>
  <c r="I46" i="1" s="1"/>
  <c r="H15" i="2" s="1"/>
  <c r="H35" i="1"/>
  <c r="G35" i="1"/>
  <c r="F35" i="1"/>
  <c r="E35" i="1"/>
  <c r="D35" i="1"/>
  <c r="C35" i="1"/>
  <c r="C46" i="1" s="1"/>
  <c r="B15" i="2" s="1"/>
  <c r="N27" i="1"/>
  <c r="M11" i="2" s="1"/>
  <c r="M27" i="1"/>
  <c r="L11" i="2" s="1"/>
  <c r="L27" i="1"/>
  <c r="K11" i="2" s="1"/>
  <c r="K27" i="1"/>
  <c r="J11" i="2" s="1"/>
  <c r="J27" i="1"/>
  <c r="I11" i="2" s="1"/>
  <c r="I27" i="1"/>
  <c r="H11" i="2" s="1"/>
  <c r="H27" i="1"/>
  <c r="G27" i="1"/>
  <c r="F27" i="1"/>
  <c r="E27" i="1"/>
  <c r="D27" i="1"/>
  <c r="C27" i="1"/>
  <c r="N23" i="1"/>
  <c r="M23" i="1"/>
  <c r="L23" i="1"/>
  <c r="K23" i="1"/>
  <c r="J23" i="1"/>
  <c r="I23" i="1"/>
  <c r="H23" i="1"/>
  <c r="G23" i="1"/>
  <c r="F23" i="1"/>
  <c r="E23" i="1"/>
  <c r="D23" i="1"/>
  <c r="C23" i="1"/>
  <c r="F19" i="2" l="1"/>
  <c r="B19" i="2"/>
  <c r="I26" i="2"/>
  <c r="B26" i="2"/>
  <c r="C26" i="2"/>
  <c r="D26" i="2"/>
  <c r="F26" i="2"/>
  <c r="O100" i="1"/>
  <c r="H26" i="2"/>
  <c r="K19" i="2"/>
  <c r="I19" i="2"/>
  <c r="S46" i="1"/>
  <c r="N15" i="2"/>
  <c r="N17" i="2"/>
  <c r="N18" i="2"/>
  <c r="F21" i="2"/>
  <c r="I12" i="2"/>
  <c r="J21" i="2"/>
  <c r="G19" i="2"/>
  <c r="G21" i="2" s="1"/>
  <c r="G28" i="2" s="1"/>
  <c r="E19" i="2"/>
  <c r="H19" i="2"/>
  <c r="N16" i="2"/>
  <c r="H12" i="2"/>
  <c r="M12" i="2"/>
  <c r="M21" i="2" s="1"/>
  <c r="M28" i="2" s="1"/>
  <c r="M29" i="2" s="1"/>
  <c r="M31" i="2" s="1"/>
  <c r="N11" i="2"/>
  <c r="N7" i="2"/>
  <c r="B10" i="2"/>
  <c r="B12" i="2" s="1"/>
  <c r="C10" i="2"/>
  <c r="C12" i="2" s="1"/>
  <c r="C21" i="2" s="1"/>
  <c r="C28" i="2" s="1"/>
  <c r="C19" i="2"/>
  <c r="N25" i="2"/>
  <c r="N9" i="2"/>
  <c r="E26" i="2"/>
  <c r="E10" i="2"/>
  <c r="E12" i="2" s="1"/>
  <c r="K12" i="2"/>
  <c r="L10" i="2"/>
  <c r="L12" i="2" s="1"/>
  <c r="N8" i="2"/>
  <c r="D21" i="2"/>
  <c r="D28" i="2" s="1"/>
  <c r="N26" i="2"/>
  <c r="J28" i="2"/>
  <c r="L19" i="2"/>
  <c r="N24" i="2"/>
  <c r="N6" i="2"/>
  <c r="F28" i="2" l="1"/>
  <c r="K21" i="2"/>
  <c r="K28" i="2" s="1"/>
  <c r="E21" i="2"/>
  <c r="E28" i="2" s="1"/>
  <c r="E29" i="2" s="1"/>
  <c r="E31" i="2" s="1"/>
  <c r="I21" i="2"/>
  <c r="I28" i="2" s="1"/>
  <c r="I29" i="2" s="1"/>
  <c r="I31" i="2" s="1"/>
  <c r="G29" i="2"/>
  <c r="G31" i="2" s="1"/>
  <c r="N10" i="2"/>
  <c r="N19" i="2"/>
  <c r="H21" i="2"/>
  <c r="H28" i="2" s="1"/>
  <c r="H29" i="2" s="1"/>
  <c r="H31" i="2" s="1"/>
  <c r="J29" i="2"/>
  <c r="J31" i="2" s="1"/>
  <c r="D29" i="2"/>
  <c r="D31" i="2" s="1"/>
  <c r="K29" i="2"/>
  <c r="K31" i="2"/>
  <c r="C29" i="2"/>
  <c r="C31" i="2" s="1"/>
  <c r="L21" i="2"/>
  <c r="L28" i="2" s="1"/>
  <c r="F29" i="2"/>
  <c r="F31" i="2" s="1"/>
  <c r="B21" i="2"/>
  <c r="N12" i="2"/>
  <c r="N21" i="2" l="1"/>
  <c r="B28" i="2"/>
  <c r="N28" i="2" s="1"/>
  <c r="L29" i="2"/>
  <c r="L31" i="2" s="1"/>
  <c r="B29" i="2" l="1"/>
  <c r="N29" i="2" s="1"/>
  <c r="B31" i="2"/>
  <c r="N31" i="2" s="1"/>
</calcChain>
</file>

<file path=xl/sharedStrings.xml><?xml version="1.0" encoding="utf-8"?>
<sst xmlns="http://schemas.openxmlformats.org/spreadsheetml/2006/main" count="251" uniqueCount="183">
  <si>
    <t>EFIR – IFRS RECLASSIFIED MONTHLY BUDGET FY2026</t>
  </si>
  <si>
    <t>Reclassified per IAS 1 Presentation — Currency: SAR</t>
  </si>
  <si>
    <t>IFRS Category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</si>
  <si>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</si>
  <si>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</si>
  <si>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</si>
  <si>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</si>
  <si>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</si>
  <si>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</si>
  <si>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</si>
  <si>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</si>
  <si>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</si>
  <si>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</si>
  <si>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</si>
  <si>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</si>
  <si>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</si>
  <si>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FY2026 Total</t>
  </si>
  <si>
    <t>REVENUE FROM CONTRACTS WITH CUSTOMERS (IFRS 15)</t>
  </si>
  <si>
    <t>Tuition Fees</t>
  </si>
  <si>
    <t xml:space="preserve">  Maternelle – Tarif Réduit</t>
  </si>
  <si>
    <t xml:space="preserve">  Maternelle – Tarif Plein</t>
  </si>
  <si>
    <t xml:space="preserve">  Élémentaire – Tarif Réduit</t>
  </si>
  <si>
    <t xml:space="preserve">  Élémentaire – Tarif Plein</t>
  </si>
  <si>
    <t xml:space="preserve">  Collège – Tarif Réduit</t>
  </si>
  <si>
    <t xml:space="preserve">  Collège – Tarif Plein</t>
  </si>
  <si>
    <t xml:space="preserve">  Lycée – Tarif Réduit</t>
  </si>
  <si>
    <t xml:space="preserve">  Lycée – Tarif Plein</t>
  </si>
  <si>
    <t>Registration Fees</t>
  </si>
  <si>
    <t xml:space="preserve">  New Student Registration (DPI/FD)</t>
  </si>
  <si>
    <t xml:space="preserve">  Re-registration (DAI)</t>
  </si>
  <si>
    <t xml:space="preserve">  Evaluation Tests</t>
  </si>
  <si>
    <t>Activities &amp; Services</t>
  </si>
  <si>
    <t xml:space="preserve">  After-School Activities (APS)</t>
  </si>
  <si>
    <t xml:space="preserve">  Daycare (Garderie)</t>
  </si>
  <si>
    <t xml:space="preserve">  Class Photos</t>
  </si>
  <si>
    <t>Examination Fees</t>
  </si>
  <si>
    <t xml:space="preserve">  BAC Examination Fees</t>
  </si>
  <si>
    <t xml:space="preserve">  DNB Examination Fees</t>
  </si>
  <si>
    <t xml:space="preserve">  EAF Examination Fees</t>
  </si>
  <si>
    <t>Total Revenue from Contracts with Customers</t>
  </si>
  <si>
    <t>RENTAL INCOME (IFRS 16)</t>
  </si>
  <si>
    <t>Rental Income</t>
  </si>
  <si>
    <t xml:space="preserve">  PSG Academy KSA (Rental)</t>
  </si>
  <si>
    <t>Total Rental Income</t>
  </si>
  <si>
    <t>STAFF COSTS</t>
  </si>
  <si>
    <t>Local Staff Salaries</t>
  </si>
  <si>
    <t xml:space="preserve">  Base Salaries (Existing Staff)</t>
  </si>
  <si>
    <t xml:space="preserve">  Housing Allowance (Existing)</t>
  </si>
  <si>
    <t xml:space="preserve">  Transport Allowance (Existing)</t>
  </si>
  <si>
    <t xml:space="preserve">  Responsibility Premium (Existing)</t>
  </si>
  <si>
    <t xml:space="preserve">  HSA Overtime (Existing)</t>
  </si>
  <si>
    <t xml:space="preserve">  Subtotal Existing Staff</t>
  </si>
  <si>
    <t xml:space="preserve">  New Positions (6 FTE – Sep 2026)</t>
  </si>
  <si>
    <t>Additional Staff Costs</t>
  </si>
  <si>
    <t xml:space="preserve">  Replacement Contracts</t>
  </si>
  <si>
    <t xml:space="preserve">  Continuing Education (1% Payroll)</t>
  </si>
  <si>
    <t xml:space="preserve">  Resident Salaries</t>
  </si>
  <si>
    <t xml:space="preserve">  Pension Contribution (35%)</t>
  </si>
  <si>
    <t xml:space="preserve">  Resident Housing &amp; Flights</t>
  </si>
  <si>
    <t>Employer Charges</t>
  </si>
  <si>
    <t xml:space="preserve">  GOSI – Saudi Employees</t>
  </si>
  <si>
    <t xml:space="preserve">  End of Service Provision</t>
  </si>
  <si>
    <t xml:space="preserve">  Ajeer Costs – Existing (160)</t>
  </si>
  <si>
    <t xml:space="preserve">  Ajeer Costs – New (6, Sep–Dec)</t>
  </si>
  <si>
    <t>Total Staff Costs</t>
  </si>
  <si>
    <t>OTHER OPERATING EXPENSES</t>
  </si>
  <si>
    <t>Rent &amp; Utilities</t>
  </si>
  <si>
    <t xml:space="preserve">  Rent</t>
  </si>
  <si>
    <t xml:space="preserve">  Electricity</t>
  </si>
  <si>
    <t xml:space="preserve">  Water</t>
  </si>
  <si>
    <t>Building Services</t>
  </si>
  <si>
    <t xml:space="preserve">  Maintenance Contracts</t>
  </si>
  <si>
    <t xml:space="preserve">  Security</t>
  </si>
  <si>
    <t xml:space="preserve">  Equipment Maintenance</t>
  </si>
  <si>
    <t>Office &amp; Supplies</t>
  </si>
  <si>
    <t xml:space="preserve">  Administration Supplies</t>
  </si>
  <si>
    <t xml:space="preserve">  Photocopier Contract</t>
  </si>
  <si>
    <t>Insurance</t>
  </si>
  <si>
    <t xml:space="preserve">  Medical Insurance – Saudi Staff</t>
  </si>
  <si>
    <t xml:space="preserve">  School Insurance</t>
  </si>
  <si>
    <t>Professional Services</t>
  </si>
  <si>
    <t xml:space="preserve">  External Audit</t>
  </si>
  <si>
    <t xml:space="preserve">  Communication</t>
  </si>
  <si>
    <t>IT &amp; Telecom</t>
  </si>
  <si>
    <t xml:space="preserve">  IT Equipment</t>
  </si>
  <si>
    <t xml:space="preserve">  Telephone &amp; Internet</t>
  </si>
  <si>
    <t>Other General</t>
  </si>
  <si>
    <t xml:space="preserve">  New School Provision</t>
  </si>
  <si>
    <t xml:space="preserve">  Vehicle Fuel &amp; Maintenance</t>
  </si>
  <si>
    <t xml:space="preserve">  Infirmary</t>
  </si>
  <si>
    <t xml:space="preserve">  Reception &amp; Events</t>
  </si>
  <si>
    <t xml:space="preserve">  Class Photos / Printing</t>
  </si>
  <si>
    <t xml:space="preserve">  Social Aid Fund</t>
  </si>
  <si>
    <t xml:space="preserve">  PFC Contribution (6%)</t>
  </si>
  <si>
    <t>School Materials</t>
  </si>
  <si>
    <t xml:space="preserve">  Workbooks (Fichiers)</t>
  </si>
  <si>
    <t xml:space="preserve">  Supplies (Fournitures)</t>
  </si>
  <si>
    <t xml:space="preserve">  Other Materials</t>
  </si>
  <si>
    <t>Pedagogical</t>
  </si>
  <si>
    <t xml:space="preserve">  Pedagogical Credits</t>
  </si>
  <si>
    <t xml:space="preserve">  Teaching Credits</t>
  </si>
  <si>
    <t>Library &amp; Subscriptions</t>
  </si>
  <si>
    <t xml:space="preserve">  BCD Subscriptions</t>
  </si>
  <si>
    <t xml:space="preserve">  CDI Subscriptions</t>
  </si>
  <si>
    <t>Evaluation &amp; Testing</t>
  </si>
  <si>
    <t xml:space="preserve">  Tests &amp; Evaluations</t>
  </si>
  <si>
    <t>Activities &amp; Projects</t>
  </si>
  <si>
    <t xml:space="preserve">  School Projects</t>
  </si>
  <si>
    <t xml:space="preserve">  Trip Accompaniment</t>
  </si>
  <si>
    <t xml:space="preserve">  School Outings – Bus</t>
  </si>
  <si>
    <t>Total Other Operating Expenses</t>
  </si>
  <si>
    <t>DEPRECIATION &amp; AMORTIZATION</t>
  </si>
  <si>
    <t>Depreciation</t>
  </si>
  <si>
    <t xml:space="preserve">  Depreciation of Assets (DOA)</t>
  </si>
  <si>
    <t>Total Depreciation &amp; Amortization</t>
  </si>
  <si>
    <t>IMPAIRMENT LOSSES (IFRS 9)</t>
  </si>
  <si>
    <t>Impairment</t>
  </si>
  <si>
    <t xml:space="preserve">  Expected Credit Loss – Bad Debt Provision</t>
  </si>
  <si>
    <t>Total Impairment Losses</t>
  </si>
  <si>
    <t>FINANCE INCOME</t>
  </si>
  <si>
    <t>Finance Income</t>
  </si>
  <si>
    <t xml:space="preserve">  Investment Income (Placements)</t>
  </si>
  <si>
    <t xml:space="preserve">  Foreign Exchange Gains</t>
  </si>
  <si>
    <t>Total Finance Income</t>
  </si>
  <si>
    <t>FINANCE COSTS</t>
  </si>
  <si>
    <t>Finance Costs</t>
  </si>
  <si>
    <t xml:space="preserve">  Payment Processing Fees (Moyasar)</t>
  </si>
  <si>
    <t xml:space="preserve">  Bank Charges</t>
  </si>
  <si>
    <t xml:space="preserve">  Foreign Exchange Losses</t>
  </si>
  <si>
    <t>Total Finance Costs</t>
  </si>
  <si>
    <t>EFIR – BUDGET INCOME STATEMENT FY2026</t>
  </si>
  <si>
    <t>Presented per IAS 1 — Function of Expense Method — Currency: SAR</t>
  </si>
  <si>
    <t>Revenue</t>
  </si>
  <si>
    <t xml:space="preserve">    Tuition fees</t>
  </si>
  <si>
    <t xml:space="preserve">    Registration &amp; re-registration fees</t>
  </si>
  <si>
    <t xml:space="preserve">    Activities &amp; services</t>
  </si>
  <si>
    <t xml:space="preserve">    Examination fees</t>
  </si>
  <si>
    <t>Revenue from contracts with customers</t>
  </si>
  <si>
    <t xml:space="preserve">    Rental income</t>
  </si>
  <si>
    <t>Total Revenue</t>
  </si>
  <si>
    <t>Operating Expenses</t>
  </si>
  <si>
    <t xml:space="preserve">    Staff costs</t>
  </si>
  <si>
    <t xml:space="preserve">    Other operating expenses</t>
  </si>
  <si>
    <t xml:space="preserve">    Depreciation &amp; amortization</t>
  </si>
  <si>
    <t xml:space="preserve">    Impairment losses on receivables</t>
  </si>
  <si>
    <t>Total Operating Expenses</t>
  </si>
  <si>
    <t>OPERATING PROFIT / (LOSS)</t>
  </si>
  <si>
    <t>Finance</t>
  </si>
  <si>
    <t xml:space="preserve">    Finance income</t>
  </si>
  <si>
    <t xml:space="preserve">    Finance costs</t>
  </si>
  <si>
    <t>Net Finance Income / (Cost)</t>
  </si>
  <si>
    <t>PROFIT / (LOSS) BEFORE ZAKAT</t>
  </si>
  <si>
    <t xml:space="preserve">    Estimated Zakat (2.5%)</t>
  </si>
  <si>
    <t>NET PROFIT / (LOSS) FOR THE PERIOD</t>
  </si>
  <si>
    <t>Notes:</t>
  </si>
  <si>
    <t>1. Revenue presented net per IFRS 15 — Moyasar processing fees reclassified to Finance Costs.</t>
  </si>
  <si>
    <t>2. Bad debt provision reclassified to Impairment Losses per IFRS 9 (Expected Credit Loss model).</t>
  </si>
  <si>
    <t>3. Bank charges and FX losses reclassified from Administrative &amp; General to Finance Costs per IAS 1.</t>
  </si>
  <si>
    <t>4. Financial income (investment returns &amp; FX gains) separated from operating revenue per IAS 1.</t>
  </si>
  <si>
    <t>5. Zakat estimated at 2.5% on positive monthly profit — actual computation per ZATCA regulations may differ.</t>
  </si>
  <si>
    <t>students</t>
  </si>
  <si>
    <t>fees/student</t>
  </si>
  <si>
    <t>Comments</t>
  </si>
  <si>
    <t>Extra teacher to be removed??</t>
  </si>
  <si>
    <t>Why that much? Any optimization</t>
  </si>
  <si>
    <t>To recalculate with accurate salary base</t>
  </si>
  <si>
    <t>To provide the latest assumptions</t>
  </si>
  <si>
    <t>To validate once AEFE provide invoices</t>
  </si>
  <si>
    <t>Negotiations? Is it approved?</t>
  </si>
  <si>
    <t>Actual projection, to clean provisions</t>
  </si>
  <si>
    <t>Why this amount? Use to be 7.2m to check contract</t>
  </si>
  <si>
    <t>To review Metabuild contract</t>
  </si>
  <si>
    <t>To review security contract</t>
  </si>
  <si>
    <t>What is this ?</t>
  </si>
  <si>
    <t>What is this for?</t>
  </si>
  <si>
    <t>Not required, to be removed</t>
  </si>
  <si>
    <t>AEFE to recalculate based on the estimated revenues</t>
  </si>
  <si>
    <t>What is this line?</t>
  </si>
  <si>
    <t>Why Depreciation is jumping?</t>
  </si>
  <si>
    <t>There is already a provisions</t>
  </si>
  <si>
    <t>To analyze the cashflow needs and adjust the amount</t>
  </si>
  <si>
    <t>Need to stop</t>
  </si>
  <si>
    <t>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</si>
</sst>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13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b/>
      <sz val="9"/>
      <color rgb="FF666666"/>
      <name val="Arial"/>
      <family val="2"/>
    </font>
    <font>
      <sz val="9"/>
      <color rgb="FF888888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/>
      <top/>
      <bottom style="thin">
        <color rgb="FFB0B0B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 applyAlignment="1">
      <alignment horizontal="center"/>
    </xf>
    <xf numFmtId="0" fontId="5" fillId="0" borderId="0" xfId="0" applyFont="1"/>
    <xf numFmtId="3" fontId="5" fillId="0" borderId="0" xfId="0" applyNumberFormat="1" applyFont="1" applyAlignment="1">
      <alignment horizontal="right"/>
    </xf>
    <xf numFmtId="0" fontId="6" fillId="4" borderId="1" xfId="0" applyFont="1" applyFill="1" applyBorder="1"/>
    <xf numFmtId="3" fontId="6" fillId="4" borderId="1" xfId="0" applyNumberFormat="1" applyFont="1" applyFill="1" applyBorder="1" applyAlignment="1">
      <alignment horizontal="right"/>
    </xf>
    <xf numFmtId="0" fontId="4" fillId="0" borderId="0" xfId="0" applyFont="1"/>
    <xf numFmtId="0" fontId="6" fillId="4" borderId="2" xfId="0" applyFont="1" applyFill="1" applyBorder="1"/>
    <xf numFmtId="3" fontId="6" fillId="4" borderId="2" xfId="0" applyNumberFormat="1" applyFont="1" applyFill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6" fillId="4" borderId="1" xfId="0" applyNumberFormat="1" applyFont="1" applyFill="1" applyBorder="1" applyAlignment="1">
      <alignment horizontal="right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horizontal="right"/>
    </xf>
    <xf numFmtId="164" fontId="6" fillId="4" borderId="2" xfId="0" applyNumberFormat="1" applyFont="1" applyFill="1" applyBorder="1" applyAlignment="1">
      <alignment horizontal="right"/>
    </xf>
    <xf numFmtId="0" fontId="8" fillId="2" borderId="1" xfId="0" applyFont="1" applyFill="1" applyBorder="1"/>
    <xf numFmtId="164" fontId="8" fillId="2" borderId="1" xfId="0" applyNumberFormat="1" applyFont="1" applyFill="1" applyBorder="1" applyAlignment="1">
      <alignment horizontal="right"/>
    </xf>
    <xf numFmtId="0" fontId="9" fillId="0" borderId="0" xfId="0" applyFont="1"/>
    <xf numFmtId="0" fontId="11" fillId="5" borderId="0" xfId="0" applyFont="1" applyFill="1"/>
    <xf numFmtId="3" fontId="11" fillId="5" borderId="0" xfId="0" applyNumberFormat="1" applyFont="1" applyFill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0" fillId="0" borderId="0" xfId="0" applyNumberFormat="1"/>
    <xf numFmtId="0" fontId="4" fillId="3" borderId="0" xfId="0" applyFont="1" applyFill="1"/>
    <xf numFmtId="0" fontId="0" fillId="3" borderId="0" xfId="0" applyFill="1"/>
    <xf numFmtId="0" fontId="2" fillId="0" borderId="0" xfId="0" applyFont="1"/>
    <xf numFmtId="0" fontId="0" fillId="0" borderId="0" xfId="0"/>
    <xf numFmtId="0" fontId="1" fillId="0" borderId="0" xfId="0" applyFont="1"/>
    <xf numFmtId="0" fontId="7" fillId="0" borderId="0" xfId="0" applyFont="1"/>
    <xf numFmtId="0" fontId="10" fillId="0" borderId="0" xfId="0" applyFon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A8671B-2003-6C41-B1F4-5C91E569AC85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3"/>
  <sheetViews>
    <sheetView showGridLines="0" workbookViewId="0">
      <pane xSplit="2" ySplit="4" topLeftCell="C30" activePane="bottomRight" state="frozen"/>
      <selection pane="topRight"/>
      <selection pane="bottomLeft"/>
      <selection pane="bottomRight" activeCell="O88" sqref="O88"/>
    </sheetView>
  </sheetViews>
  <sheetFormatPr baseColWidth="10" defaultColWidth="8.83203125" defaultRowHeight="15" x14ac:dyDescent="0.2"/>
  <cols>
    <col min="1" max="1" width="18" customWidth="1"/>
    <col min="2" max="2" width="42" customWidth="1"/>
    <col min="3" max="15" width="14" customWidth="1"/>
    <col min="16" max="16" width="4.33203125" customWidth="1"/>
    <col min="17" max="17" width="34.6640625" customWidth="1"/>
  </cols>
  <sheetData>
    <row r="1" spans="1:17" ht="17" x14ac:dyDescent="0.2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7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4" spans="1:17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Q4" s="1" t="s">
        <v>162</v>
      </c>
    </row>
    <row r="5" spans="1:17" x14ac:dyDescent="0.2">
      <c r="A5" s="21" t="s">
        <v>17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6" spans="1:17" x14ac:dyDescent="0.2">
      <c r="A6" s="2" t="s">
        <v>18</v>
      </c>
      <c r="B6" s="2" t="s">
        <v>19</v>
      </c>
      <c r="C6" s="3">
        <v>138227.96</v>
      </c>
      <c r="D6" s="3">
        <v>138227.96</v>
      </c>
      <c r="E6" s="3">
        <v>138227.96</v>
      </c>
      <c r="F6" s="3">
        <v>138227.96</v>
      </c>
      <c r="G6" s="3">
        <v>138227.96</v>
      </c>
      <c r="H6" s="3">
        <v>138227.96</v>
      </c>
      <c r="I6" s="3">
        <v>0</v>
      </c>
      <c r="J6" s="3">
        <v>0</v>
      </c>
      <c r="K6" s="3">
        <v>138227.96</v>
      </c>
      <c r="L6" s="3">
        <v>138227.96</v>
      </c>
      <c r="M6" s="3">
        <v>138227.96</v>
      </c>
      <c r="N6" s="3">
        <v>138227.96</v>
      </c>
      <c r="O6" s="3">
        <f t="shared" ref="O6:O22" si="0">SUM(C6:N6)</f>
        <v>1382279.5999999999</v>
      </c>
    </row>
    <row r="7" spans="1:17" x14ac:dyDescent="0.2">
      <c r="A7" s="2" t="s">
        <v>18</v>
      </c>
      <c r="B7" s="2" t="s">
        <v>20</v>
      </c>
      <c r="C7" s="3">
        <v>574782.21</v>
      </c>
      <c r="D7" s="3">
        <v>574782.21</v>
      </c>
      <c r="E7" s="3">
        <v>574782.21</v>
      </c>
      <c r="F7" s="3">
        <v>574782.21</v>
      </c>
      <c r="G7" s="3">
        <v>574782.21</v>
      </c>
      <c r="H7" s="3">
        <v>574782.21</v>
      </c>
      <c r="I7" s="3">
        <v>0</v>
      </c>
      <c r="J7" s="3">
        <v>0</v>
      </c>
      <c r="K7" s="3">
        <v>574782.21</v>
      </c>
      <c r="L7" s="3">
        <v>574782.21</v>
      </c>
      <c r="M7" s="3">
        <v>574782.21</v>
      </c>
      <c r="N7" s="3">
        <v>574782.21</v>
      </c>
      <c r="O7" s="3">
        <f t="shared" si="0"/>
        <v>5747822.0999999996</v>
      </c>
    </row>
    <row r="8" spans="1:17" x14ac:dyDescent="0.2">
      <c r="A8" s="2" t="s">
        <v>18</v>
      </c>
      <c r="B8" s="2" t="s">
        <v>21</v>
      </c>
      <c r="C8" s="3">
        <v>322596.69</v>
      </c>
      <c r="D8" s="3">
        <v>322596.69</v>
      </c>
      <c r="E8" s="3">
        <v>322596.69</v>
      </c>
      <c r="F8" s="3">
        <v>322596.69</v>
      </c>
      <c r="G8" s="3">
        <v>322596.69</v>
      </c>
      <c r="H8" s="3">
        <v>322596.69</v>
      </c>
      <c r="I8" s="3">
        <v>0</v>
      </c>
      <c r="J8" s="3">
        <v>0</v>
      </c>
      <c r="K8" s="3">
        <v>322596.69</v>
      </c>
      <c r="L8" s="3">
        <v>322596.69</v>
      </c>
      <c r="M8" s="3">
        <v>322596.69</v>
      </c>
      <c r="N8" s="3">
        <v>322596.69</v>
      </c>
      <c r="O8" s="3">
        <f t="shared" si="0"/>
        <v>3225966.9</v>
      </c>
    </row>
    <row r="9" spans="1:17" x14ac:dyDescent="0.2">
      <c r="A9" s="2" t="s">
        <v>18</v>
      </c>
      <c r="B9" s="2" t="s">
        <v>22</v>
      </c>
      <c r="C9" s="3">
        <v>1712432.61</v>
      </c>
      <c r="D9" s="3">
        <v>1712432.61</v>
      </c>
      <c r="E9" s="3">
        <v>1712432.61</v>
      </c>
      <c r="F9" s="3">
        <v>1712432.61</v>
      </c>
      <c r="G9" s="3">
        <v>1712432.61</v>
      </c>
      <c r="H9" s="3">
        <v>1712432.61</v>
      </c>
      <c r="I9" s="3">
        <v>0</v>
      </c>
      <c r="J9" s="3">
        <v>0</v>
      </c>
      <c r="K9" s="3">
        <v>1712432.61</v>
      </c>
      <c r="L9" s="3">
        <v>1712432.61</v>
      </c>
      <c r="M9" s="3">
        <v>1712432.61</v>
      </c>
      <c r="N9" s="3">
        <v>1712432.61</v>
      </c>
      <c r="O9" s="3">
        <f t="shared" si="0"/>
        <v>17124326.099999998</v>
      </c>
    </row>
    <row r="10" spans="1:17" x14ac:dyDescent="0.2">
      <c r="A10" s="2" t="s">
        <v>18</v>
      </c>
      <c r="B10" s="2" t="s">
        <v>23</v>
      </c>
      <c r="C10" s="3">
        <v>142238.79999999999</v>
      </c>
      <c r="D10" s="3">
        <v>142238.79999999999</v>
      </c>
      <c r="E10" s="3">
        <v>142238.79999999999</v>
      </c>
      <c r="F10" s="3">
        <v>142238.79999999999</v>
      </c>
      <c r="G10" s="3">
        <v>142238.79999999999</v>
      </c>
      <c r="H10" s="3">
        <v>142238.79999999999</v>
      </c>
      <c r="I10" s="3">
        <v>0</v>
      </c>
      <c r="J10" s="3">
        <v>0</v>
      </c>
      <c r="K10" s="3">
        <v>142238.79999999999</v>
      </c>
      <c r="L10" s="3">
        <v>142238.79999999999</v>
      </c>
      <c r="M10" s="3">
        <v>142238.79999999999</v>
      </c>
      <c r="N10" s="3">
        <v>142238.79999999999</v>
      </c>
      <c r="O10" s="3">
        <f t="shared" si="0"/>
        <v>1422388.0000000002</v>
      </c>
    </row>
    <row r="11" spans="1:17" x14ac:dyDescent="0.2">
      <c r="A11" s="2" t="s">
        <v>18</v>
      </c>
      <c r="B11" s="2" t="s">
        <v>24</v>
      </c>
      <c r="C11" s="3">
        <v>1631389.13</v>
      </c>
      <c r="D11" s="3">
        <v>1631389.13</v>
      </c>
      <c r="E11" s="3">
        <v>1631389.13</v>
      </c>
      <c r="F11" s="3">
        <v>1631389.13</v>
      </c>
      <c r="G11" s="3">
        <v>1631389.13</v>
      </c>
      <c r="H11" s="3">
        <v>1631389.13</v>
      </c>
      <c r="I11" s="3">
        <v>0</v>
      </c>
      <c r="J11" s="3">
        <v>0</v>
      </c>
      <c r="K11" s="3">
        <v>1631389.13</v>
      </c>
      <c r="L11" s="3">
        <v>1631389.13</v>
      </c>
      <c r="M11" s="3">
        <v>1631389.13</v>
      </c>
      <c r="N11" s="3">
        <v>1631389.13</v>
      </c>
      <c r="O11" s="3">
        <f t="shared" si="0"/>
        <v>16313891.299999997</v>
      </c>
    </row>
    <row r="12" spans="1:17" x14ac:dyDescent="0.2">
      <c r="A12" s="2" t="s">
        <v>18</v>
      </c>
      <c r="B12" s="2" t="s">
        <v>25</v>
      </c>
      <c r="C12" s="3">
        <v>63065.22</v>
      </c>
      <c r="D12" s="3">
        <v>63065.22</v>
      </c>
      <c r="E12" s="3">
        <v>63065.22</v>
      </c>
      <c r="F12" s="3">
        <v>63065.22</v>
      </c>
      <c r="G12" s="3">
        <v>63065.22</v>
      </c>
      <c r="H12" s="3">
        <v>63065.22</v>
      </c>
      <c r="I12" s="3">
        <v>0</v>
      </c>
      <c r="J12" s="3">
        <v>0</v>
      </c>
      <c r="K12" s="3">
        <v>63065.22</v>
      </c>
      <c r="L12" s="3">
        <v>63065.22</v>
      </c>
      <c r="M12" s="3">
        <v>63065.22</v>
      </c>
      <c r="N12" s="3">
        <v>63065.22</v>
      </c>
      <c r="O12" s="3">
        <f t="shared" si="0"/>
        <v>630652.19999999984</v>
      </c>
    </row>
    <row r="13" spans="1:17" x14ac:dyDescent="0.2">
      <c r="A13" s="2" t="s">
        <v>18</v>
      </c>
      <c r="B13" s="2" t="s">
        <v>26</v>
      </c>
      <c r="C13" s="3">
        <v>1236173.9099999999</v>
      </c>
      <c r="D13" s="3">
        <v>1236173.9099999999</v>
      </c>
      <c r="E13" s="3">
        <v>1236173.9099999999</v>
      </c>
      <c r="F13" s="3">
        <v>1236173.9099999999</v>
      </c>
      <c r="G13" s="3">
        <v>1236173.9099999999</v>
      </c>
      <c r="H13" s="3">
        <v>1236173.9099999999</v>
      </c>
      <c r="I13" s="3">
        <v>0</v>
      </c>
      <c r="J13" s="3">
        <v>0</v>
      </c>
      <c r="K13" s="3">
        <v>1236173.9099999999</v>
      </c>
      <c r="L13" s="3">
        <v>1236173.9099999999</v>
      </c>
      <c r="M13" s="3">
        <v>1236173.9099999999</v>
      </c>
      <c r="N13" s="3">
        <v>1236173.9099999999</v>
      </c>
      <c r="O13" s="3">
        <f t="shared" si="0"/>
        <v>12361739.1</v>
      </c>
    </row>
    <row r="14" spans="1:17" x14ac:dyDescent="0.2">
      <c r="A14" s="2" t="s">
        <v>27</v>
      </c>
      <c r="B14" s="2" t="s">
        <v>28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936000</v>
      </c>
      <c r="L14" s="3">
        <v>0</v>
      </c>
      <c r="M14" s="3">
        <v>0</v>
      </c>
      <c r="N14" s="3">
        <v>0</v>
      </c>
      <c r="O14" s="3">
        <f t="shared" si="0"/>
        <v>936000</v>
      </c>
    </row>
    <row r="15" spans="1:17" x14ac:dyDescent="0.2">
      <c r="A15" s="2" t="s">
        <v>27</v>
      </c>
      <c r="B15" s="2" t="s">
        <v>29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7620291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f t="shared" si="0"/>
        <v>7620291</v>
      </c>
    </row>
    <row r="16" spans="1:17" x14ac:dyDescent="0.2">
      <c r="A16" s="2" t="s">
        <v>27</v>
      </c>
      <c r="B16" s="2" t="s">
        <v>30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6250</v>
      </c>
      <c r="L16" s="3">
        <v>6250</v>
      </c>
      <c r="M16" s="3">
        <v>0</v>
      </c>
      <c r="N16" s="3">
        <v>0</v>
      </c>
      <c r="O16" s="3">
        <f t="shared" si="0"/>
        <v>12500</v>
      </c>
    </row>
    <row r="17" spans="1:22" x14ac:dyDescent="0.2">
      <c r="A17" s="2" t="s">
        <v>31</v>
      </c>
      <c r="B17" s="2" t="s">
        <v>32</v>
      </c>
      <c r="C17" s="3">
        <v>123000</v>
      </c>
      <c r="D17" s="3">
        <v>123000</v>
      </c>
      <c r="E17" s="3">
        <v>123000</v>
      </c>
      <c r="F17" s="3">
        <v>123000</v>
      </c>
      <c r="G17" s="3">
        <v>123000</v>
      </c>
      <c r="H17" s="3">
        <v>123000</v>
      </c>
      <c r="I17" s="3">
        <v>0</v>
      </c>
      <c r="J17" s="3">
        <v>0</v>
      </c>
      <c r="K17" s="3">
        <v>123000</v>
      </c>
      <c r="L17" s="3">
        <v>123000</v>
      </c>
      <c r="M17" s="3">
        <v>123000</v>
      </c>
      <c r="N17" s="3">
        <v>123000</v>
      </c>
      <c r="O17" s="3">
        <f t="shared" si="0"/>
        <v>1230000</v>
      </c>
    </row>
    <row r="18" spans="1:22" x14ac:dyDescent="0.2">
      <c r="A18" s="2" t="s">
        <v>31</v>
      </c>
      <c r="B18" s="2" t="s">
        <v>33</v>
      </c>
      <c r="C18" s="3">
        <v>3000</v>
      </c>
      <c r="D18" s="3">
        <v>3000</v>
      </c>
      <c r="E18" s="3">
        <v>3000</v>
      </c>
      <c r="F18" s="3">
        <v>3000</v>
      </c>
      <c r="G18" s="3">
        <v>3000</v>
      </c>
      <c r="H18" s="3">
        <v>3000</v>
      </c>
      <c r="I18" s="3">
        <v>0</v>
      </c>
      <c r="J18" s="3">
        <v>0</v>
      </c>
      <c r="K18" s="3">
        <v>3000</v>
      </c>
      <c r="L18" s="3">
        <v>3000</v>
      </c>
      <c r="M18" s="3">
        <v>3000</v>
      </c>
      <c r="N18" s="3">
        <v>3000</v>
      </c>
      <c r="O18" s="3">
        <f t="shared" si="0"/>
        <v>30000</v>
      </c>
    </row>
    <row r="19" spans="1:22" x14ac:dyDescent="0.2">
      <c r="A19" s="2" t="s">
        <v>31</v>
      </c>
      <c r="B19" s="2" t="s">
        <v>34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26400</v>
      </c>
      <c r="N19" s="3">
        <v>26400</v>
      </c>
      <c r="O19" s="3">
        <f t="shared" si="0"/>
        <v>52800</v>
      </c>
    </row>
    <row r="20" spans="1:22" x14ac:dyDescent="0.2">
      <c r="A20" s="2" t="s">
        <v>35</v>
      </c>
      <c r="B20" s="2" t="s">
        <v>36</v>
      </c>
      <c r="C20" s="3">
        <v>0</v>
      </c>
      <c r="D20" s="3">
        <v>0</v>
      </c>
      <c r="E20" s="3">
        <v>0</v>
      </c>
      <c r="F20" s="3">
        <v>106489.5</v>
      </c>
      <c r="G20" s="3">
        <v>106489.5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f t="shared" si="0"/>
        <v>212979</v>
      </c>
    </row>
    <row r="21" spans="1:22" x14ac:dyDescent="0.2">
      <c r="A21" s="2" t="s">
        <v>35</v>
      </c>
      <c r="B21" s="2" t="s">
        <v>37</v>
      </c>
      <c r="C21" s="3">
        <v>0</v>
      </c>
      <c r="D21" s="3">
        <v>0</v>
      </c>
      <c r="E21" s="3">
        <v>0</v>
      </c>
      <c r="F21" s="3">
        <v>30375</v>
      </c>
      <c r="G21" s="3">
        <v>30375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f t="shared" si="0"/>
        <v>60750</v>
      </c>
    </row>
    <row r="22" spans="1:22" x14ac:dyDescent="0.2">
      <c r="A22" s="2" t="s">
        <v>35</v>
      </c>
      <c r="B22" s="2" t="s">
        <v>38</v>
      </c>
      <c r="C22" s="3">
        <v>0</v>
      </c>
      <c r="D22" s="3">
        <v>0</v>
      </c>
      <c r="E22" s="3">
        <v>0</v>
      </c>
      <c r="F22" s="3">
        <v>45375</v>
      </c>
      <c r="G22" s="3">
        <v>45375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f t="shared" si="0"/>
        <v>90750</v>
      </c>
      <c r="R22" t="s">
        <v>160</v>
      </c>
      <c r="S22" t="s">
        <v>161</v>
      </c>
    </row>
    <row r="23" spans="1:22" x14ac:dyDescent="0.2">
      <c r="A23" s="4"/>
      <c r="B23" s="4" t="s">
        <v>39</v>
      </c>
      <c r="C23" s="5">
        <f>SUM(C6:C22)</f>
        <v>5946906.5299999993</v>
      </c>
      <c r="D23" s="5">
        <f t="shared" ref="D23:N23" si="1">SUM(D6:D22)</f>
        <v>5946906.5299999993</v>
      </c>
      <c r="E23" s="5">
        <f t="shared" si="1"/>
        <v>5946906.5299999993</v>
      </c>
      <c r="F23" s="5">
        <f t="shared" si="1"/>
        <v>6129146.0299999993</v>
      </c>
      <c r="G23" s="5">
        <f t="shared" si="1"/>
        <v>6129146.0299999993</v>
      </c>
      <c r="H23" s="5">
        <f t="shared" si="1"/>
        <v>13567197.529999999</v>
      </c>
      <c r="I23" s="5">
        <f t="shared" si="1"/>
        <v>0</v>
      </c>
      <c r="J23" s="5">
        <f t="shared" si="1"/>
        <v>0</v>
      </c>
      <c r="K23" s="5">
        <f t="shared" si="1"/>
        <v>6889156.5299999993</v>
      </c>
      <c r="L23" s="5">
        <f t="shared" si="1"/>
        <v>5953156.5299999993</v>
      </c>
      <c r="M23" s="5">
        <f t="shared" si="1"/>
        <v>5973306.5299999993</v>
      </c>
      <c r="N23" s="5">
        <f t="shared" si="1"/>
        <v>5973306.5299999993</v>
      </c>
      <c r="O23" s="5">
        <f>SUM(O6:O22)</f>
        <v>68455135.299999997</v>
      </c>
      <c r="R23">
        <v>1753</v>
      </c>
      <c r="S23" s="19">
        <f>O23/R23</f>
        <v>39050.276839703365</v>
      </c>
      <c r="V23" t="s">
        <v>182</v>
      </c>
    </row>
    <row r="25" spans="1:22" x14ac:dyDescent="0.2">
      <c r="A25" s="21" t="s">
        <v>40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</row>
    <row r="26" spans="1:22" x14ac:dyDescent="0.2">
      <c r="A26" s="2" t="s">
        <v>41</v>
      </c>
      <c r="B26" s="2" t="s">
        <v>42</v>
      </c>
      <c r="C26" s="3">
        <v>4269.17</v>
      </c>
      <c r="D26" s="3">
        <v>4269.17</v>
      </c>
      <c r="E26" s="3">
        <v>4269.17</v>
      </c>
      <c r="F26" s="3">
        <v>4269.17</v>
      </c>
      <c r="G26" s="3">
        <v>4269.17</v>
      </c>
      <c r="H26" s="3">
        <v>4269.17</v>
      </c>
      <c r="I26" s="3">
        <v>4269.17</v>
      </c>
      <c r="J26" s="3">
        <v>4269.17</v>
      </c>
      <c r="K26" s="3">
        <v>4269.17</v>
      </c>
      <c r="L26" s="3">
        <v>4269.17</v>
      </c>
      <c r="M26" s="3">
        <v>4269.17</v>
      </c>
      <c r="N26" s="3">
        <v>4269.17</v>
      </c>
      <c r="O26" s="3">
        <f>SUM(C26:N26)</f>
        <v>51230.039999999986</v>
      </c>
    </row>
    <row r="27" spans="1:22" x14ac:dyDescent="0.2">
      <c r="A27" s="4"/>
      <c r="B27" s="4" t="s">
        <v>43</v>
      </c>
      <c r="C27" s="5">
        <f>C26</f>
        <v>4269.17</v>
      </c>
      <c r="D27" s="5">
        <f t="shared" ref="D27:N27" si="2">D26</f>
        <v>4269.17</v>
      </c>
      <c r="E27" s="5">
        <f t="shared" si="2"/>
        <v>4269.17</v>
      </c>
      <c r="F27" s="5">
        <f t="shared" si="2"/>
        <v>4269.17</v>
      </c>
      <c r="G27" s="5">
        <f t="shared" si="2"/>
        <v>4269.17</v>
      </c>
      <c r="H27" s="5">
        <f t="shared" si="2"/>
        <v>4269.17</v>
      </c>
      <c r="I27" s="5">
        <f t="shared" si="2"/>
        <v>4269.17</v>
      </c>
      <c r="J27" s="5">
        <f t="shared" si="2"/>
        <v>4269.17</v>
      </c>
      <c r="K27" s="5">
        <f t="shared" si="2"/>
        <v>4269.17</v>
      </c>
      <c r="L27" s="5">
        <f t="shared" si="2"/>
        <v>4269.17</v>
      </c>
      <c r="M27" s="5">
        <f t="shared" si="2"/>
        <v>4269.17</v>
      </c>
      <c r="N27" s="5">
        <f t="shared" si="2"/>
        <v>4269.17</v>
      </c>
      <c r="O27" s="5">
        <f>O26</f>
        <v>51230.039999999986</v>
      </c>
    </row>
    <row r="29" spans="1:22" x14ac:dyDescent="0.2">
      <c r="A29" s="21" t="s">
        <v>44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</row>
    <row r="30" spans="1:22" x14ac:dyDescent="0.2">
      <c r="A30" s="2" t="s">
        <v>45</v>
      </c>
      <c r="B30" s="2" t="s">
        <v>46</v>
      </c>
      <c r="C30" s="3">
        <v>1447910</v>
      </c>
      <c r="D30" s="3">
        <v>1447910</v>
      </c>
      <c r="E30" s="3">
        <v>1447910</v>
      </c>
      <c r="F30" s="3">
        <v>1447910</v>
      </c>
      <c r="G30" s="3">
        <v>1447910</v>
      </c>
      <c r="H30" s="3">
        <v>1447910</v>
      </c>
      <c r="I30" s="3">
        <v>1447910</v>
      </c>
      <c r="J30" s="3">
        <v>1447910</v>
      </c>
      <c r="K30" s="3">
        <v>1478810</v>
      </c>
      <c r="L30" s="3">
        <v>1478810</v>
      </c>
      <c r="M30" s="3">
        <v>1478810</v>
      </c>
      <c r="N30" s="3">
        <v>1478810</v>
      </c>
      <c r="O30" s="3">
        <f>SUM(C30:N30)</f>
        <v>17498520</v>
      </c>
      <c r="Q30" t="s">
        <v>163</v>
      </c>
    </row>
    <row r="31" spans="1:22" x14ac:dyDescent="0.2">
      <c r="A31" s="2" t="s">
        <v>45</v>
      </c>
      <c r="B31" s="2" t="s">
        <v>47</v>
      </c>
      <c r="C31" s="3">
        <v>391300</v>
      </c>
      <c r="D31" s="3">
        <v>391300</v>
      </c>
      <c r="E31" s="3">
        <v>391300</v>
      </c>
      <c r="F31" s="3">
        <v>391300</v>
      </c>
      <c r="G31" s="3">
        <v>391300</v>
      </c>
      <c r="H31" s="3">
        <v>391300</v>
      </c>
      <c r="I31" s="3">
        <v>391300</v>
      </c>
      <c r="J31" s="3">
        <v>391300</v>
      </c>
      <c r="K31" s="3">
        <v>391300</v>
      </c>
      <c r="L31" s="3">
        <v>391300</v>
      </c>
      <c r="M31" s="3">
        <v>391300</v>
      </c>
      <c r="N31" s="3">
        <v>391300</v>
      </c>
      <c r="O31" s="3">
        <f>SUM(C31:N31)</f>
        <v>4695600</v>
      </c>
    </row>
    <row r="32" spans="1:22" x14ac:dyDescent="0.2">
      <c r="A32" s="2" t="s">
        <v>45</v>
      </c>
      <c r="B32" s="2" t="s">
        <v>48</v>
      </c>
      <c r="C32" s="3">
        <v>78259</v>
      </c>
      <c r="D32" s="3">
        <v>78259</v>
      </c>
      <c r="E32" s="3">
        <v>78259</v>
      </c>
      <c r="F32" s="3">
        <v>78259</v>
      </c>
      <c r="G32" s="3">
        <v>78259</v>
      </c>
      <c r="H32" s="3">
        <v>78259</v>
      </c>
      <c r="I32" s="3">
        <v>78259</v>
      </c>
      <c r="J32" s="3">
        <v>78259</v>
      </c>
      <c r="K32" s="3">
        <v>78259</v>
      </c>
      <c r="L32" s="3">
        <v>78259</v>
      </c>
      <c r="M32" s="3">
        <v>78259</v>
      </c>
      <c r="N32" s="3">
        <v>78259</v>
      </c>
      <c r="O32" s="3">
        <f>SUM(C32:N32)</f>
        <v>939108</v>
      </c>
    </row>
    <row r="33" spans="1:22" x14ac:dyDescent="0.2">
      <c r="A33" s="2" t="s">
        <v>45</v>
      </c>
      <c r="B33" s="2" t="s">
        <v>49</v>
      </c>
      <c r="C33" s="3">
        <v>12500</v>
      </c>
      <c r="D33" s="3">
        <v>12500</v>
      </c>
      <c r="E33" s="3">
        <v>12500</v>
      </c>
      <c r="F33" s="3">
        <v>12500</v>
      </c>
      <c r="G33" s="3">
        <v>12500</v>
      </c>
      <c r="H33" s="3">
        <v>12500</v>
      </c>
      <c r="I33" s="3">
        <v>12500</v>
      </c>
      <c r="J33" s="3">
        <v>12500</v>
      </c>
      <c r="K33" s="3">
        <v>12500</v>
      </c>
      <c r="L33" s="3">
        <v>12500</v>
      </c>
      <c r="M33" s="3">
        <v>12500</v>
      </c>
      <c r="N33" s="3">
        <v>12500</v>
      </c>
      <c r="O33" s="3">
        <f>SUM(C33:N33)</f>
        <v>150000</v>
      </c>
    </row>
    <row r="34" spans="1:22" x14ac:dyDescent="0.2">
      <c r="A34" s="2" t="s">
        <v>45</v>
      </c>
      <c r="B34" s="2" t="s">
        <v>50</v>
      </c>
      <c r="C34" s="3">
        <v>57424</v>
      </c>
      <c r="D34" s="3">
        <v>57424</v>
      </c>
      <c r="E34" s="3">
        <v>57424</v>
      </c>
      <c r="F34" s="3">
        <v>57424</v>
      </c>
      <c r="G34" s="3">
        <v>57424</v>
      </c>
      <c r="H34" s="3">
        <v>57424</v>
      </c>
      <c r="I34" s="3">
        <v>0</v>
      </c>
      <c r="J34" s="3">
        <v>0</v>
      </c>
      <c r="K34" s="3">
        <v>57424</v>
      </c>
      <c r="L34" s="3">
        <v>57424</v>
      </c>
      <c r="M34" s="3">
        <v>57424</v>
      </c>
      <c r="N34" s="3">
        <v>57424</v>
      </c>
      <c r="O34" s="3">
        <f>SUM(C34:N34)</f>
        <v>574240</v>
      </c>
      <c r="Q34" t="s">
        <v>164</v>
      </c>
    </row>
    <row r="35" spans="1:22" x14ac:dyDescent="0.2">
      <c r="A35" s="17" t="s">
        <v>45</v>
      </c>
      <c r="B35" s="17" t="s">
        <v>51</v>
      </c>
      <c r="C35" s="18">
        <f>SUM(C30:C34)</f>
        <v>1987393</v>
      </c>
      <c r="D35" s="18">
        <f t="shared" ref="D35:N35" si="3">SUM(D30:D34)</f>
        <v>1987393</v>
      </c>
      <c r="E35" s="18">
        <f t="shared" si="3"/>
        <v>1987393</v>
      </c>
      <c r="F35" s="18">
        <f t="shared" si="3"/>
        <v>1987393</v>
      </c>
      <c r="G35" s="18">
        <f t="shared" si="3"/>
        <v>1987393</v>
      </c>
      <c r="H35" s="18">
        <f t="shared" si="3"/>
        <v>1987393</v>
      </c>
      <c r="I35" s="18">
        <f t="shared" si="3"/>
        <v>1929969</v>
      </c>
      <c r="J35" s="18">
        <f t="shared" si="3"/>
        <v>1929969</v>
      </c>
      <c r="K35" s="18">
        <f t="shared" si="3"/>
        <v>2018293</v>
      </c>
      <c r="L35" s="18">
        <f t="shared" si="3"/>
        <v>2018293</v>
      </c>
      <c r="M35" s="18">
        <f t="shared" si="3"/>
        <v>2018293</v>
      </c>
      <c r="N35" s="18">
        <f t="shared" si="3"/>
        <v>2018293</v>
      </c>
      <c r="O35" s="18">
        <f>SUM(O30:O34)</f>
        <v>23857468</v>
      </c>
    </row>
    <row r="36" spans="1:22" x14ac:dyDescent="0.2">
      <c r="A36" s="2" t="s">
        <v>45</v>
      </c>
      <c r="B36" s="2" t="s">
        <v>52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57400</v>
      </c>
      <c r="L36" s="3">
        <v>57400</v>
      </c>
      <c r="M36" s="3">
        <v>57400</v>
      </c>
      <c r="N36" s="3">
        <v>57400</v>
      </c>
      <c r="O36" s="3">
        <f t="shared" ref="O36:O45" si="4">SUM(C36:N36)</f>
        <v>229600</v>
      </c>
    </row>
    <row r="37" spans="1:22" x14ac:dyDescent="0.2">
      <c r="A37" s="2" t="s">
        <v>53</v>
      </c>
      <c r="B37" s="2" t="s">
        <v>54</v>
      </c>
      <c r="C37" s="3">
        <v>22681</v>
      </c>
      <c r="D37" s="3">
        <v>22681</v>
      </c>
      <c r="E37" s="3">
        <v>22681</v>
      </c>
      <c r="F37" s="3">
        <v>22681</v>
      </c>
      <c r="G37" s="3">
        <v>22681</v>
      </c>
      <c r="H37" s="3">
        <v>22681</v>
      </c>
      <c r="I37" s="3">
        <v>22681</v>
      </c>
      <c r="J37" s="3">
        <v>22681</v>
      </c>
      <c r="K37" s="3">
        <v>22681</v>
      </c>
      <c r="L37" s="3">
        <v>22681</v>
      </c>
      <c r="M37" s="3">
        <v>22681</v>
      </c>
      <c r="N37" s="3">
        <v>22681</v>
      </c>
      <c r="O37" s="3">
        <f t="shared" si="4"/>
        <v>272172</v>
      </c>
    </row>
    <row r="38" spans="1:22" x14ac:dyDescent="0.2">
      <c r="A38" s="2" t="s">
        <v>53</v>
      </c>
      <c r="B38" s="2" t="s">
        <v>55</v>
      </c>
      <c r="C38" s="3">
        <v>25504</v>
      </c>
      <c r="D38" s="3">
        <v>25504</v>
      </c>
      <c r="E38" s="3">
        <v>25504</v>
      </c>
      <c r="F38" s="3">
        <v>25504</v>
      </c>
      <c r="G38" s="3">
        <v>25504</v>
      </c>
      <c r="H38" s="3">
        <v>25504</v>
      </c>
      <c r="I38" s="3">
        <v>25504</v>
      </c>
      <c r="J38" s="3">
        <v>25504</v>
      </c>
      <c r="K38" s="3">
        <v>25504</v>
      </c>
      <c r="L38" s="3">
        <v>25504</v>
      </c>
      <c r="M38" s="3">
        <v>25504</v>
      </c>
      <c r="N38" s="3">
        <v>25504</v>
      </c>
      <c r="O38" s="3">
        <f t="shared" si="4"/>
        <v>306048</v>
      </c>
      <c r="Q38" t="s">
        <v>165</v>
      </c>
    </row>
    <row r="39" spans="1:22" x14ac:dyDescent="0.2">
      <c r="A39" s="2" t="s">
        <v>53</v>
      </c>
      <c r="B39" s="2" t="s">
        <v>56</v>
      </c>
      <c r="C39" s="3">
        <v>613008</v>
      </c>
      <c r="D39" s="3">
        <v>613008</v>
      </c>
      <c r="E39" s="3">
        <v>613008</v>
      </c>
      <c r="F39" s="3">
        <v>613008</v>
      </c>
      <c r="G39" s="3">
        <v>613008</v>
      </c>
      <c r="H39" s="3">
        <v>613008</v>
      </c>
      <c r="I39" s="3">
        <v>613008</v>
      </c>
      <c r="J39" s="3">
        <v>613008</v>
      </c>
      <c r="K39" s="3">
        <v>613008</v>
      </c>
      <c r="L39" s="3">
        <v>613008</v>
      </c>
      <c r="M39" s="3">
        <v>613008</v>
      </c>
      <c r="N39" s="3">
        <v>613008</v>
      </c>
      <c r="O39" s="3">
        <f t="shared" si="4"/>
        <v>7356096</v>
      </c>
      <c r="Q39" t="s">
        <v>166</v>
      </c>
    </row>
    <row r="40" spans="1:22" x14ac:dyDescent="0.2">
      <c r="A40" s="2" t="s">
        <v>53</v>
      </c>
      <c r="B40" s="2" t="s">
        <v>57</v>
      </c>
      <c r="C40" s="3">
        <v>69750</v>
      </c>
      <c r="D40" s="3">
        <v>69750</v>
      </c>
      <c r="E40" s="3">
        <v>69750</v>
      </c>
      <c r="F40" s="3">
        <v>69750</v>
      </c>
      <c r="G40" s="3">
        <v>69750</v>
      </c>
      <c r="H40" s="3">
        <v>69750</v>
      </c>
      <c r="I40" s="3">
        <v>69750</v>
      </c>
      <c r="J40" s="3">
        <v>69750</v>
      </c>
      <c r="K40" s="3">
        <v>69750</v>
      </c>
      <c r="L40" s="3">
        <v>69750</v>
      </c>
      <c r="M40" s="3">
        <v>69750</v>
      </c>
      <c r="N40" s="3">
        <v>69750</v>
      </c>
      <c r="O40" s="3">
        <f t="shared" si="4"/>
        <v>837000</v>
      </c>
      <c r="Q40" t="s">
        <v>167</v>
      </c>
    </row>
    <row r="41" spans="1:22" x14ac:dyDescent="0.2">
      <c r="A41" s="2" t="s">
        <v>53</v>
      </c>
      <c r="B41" s="2" t="s">
        <v>58</v>
      </c>
      <c r="C41" s="3">
        <v>53950</v>
      </c>
      <c r="D41" s="3">
        <v>53950</v>
      </c>
      <c r="E41" s="3">
        <v>53950</v>
      </c>
      <c r="F41" s="3">
        <v>53950</v>
      </c>
      <c r="G41" s="3">
        <v>53950</v>
      </c>
      <c r="H41" s="3">
        <v>53950</v>
      </c>
      <c r="I41" s="3">
        <v>53950</v>
      </c>
      <c r="J41" s="3">
        <v>53950</v>
      </c>
      <c r="K41" s="3">
        <v>53950</v>
      </c>
      <c r="L41" s="3">
        <v>53950</v>
      </c>
      <c r="M41" s="3">
        <v>53950</v>
      </c>
      <c r="N41" s="3">
        <v>53950</v>
      </c>
      <c r="O41" s="3">
        <f t="shared" si="4"/>
        <v>647400</v>
      </c>
      <c r="Q41" t="s">
        <v>168</v>
      </c>
    </row>
    <row r="42" spans="1:22" x14ac:dyDescent="0.2">
      <c r="A42" s="2" t="s">
        <v>59</v>
      </c>
      <c r="B42" s="2" t="s">
        <v>60</v>
      </c>
      <c r="C42" s="3">
        <v>2497</v>
      </c>
      <c r="D42" s="3">
        <v>2497</v>
      </c>
      <c r="E42" s="3">
        <v>2497</v>
      </c>
      <c r="F42" s="3">
        <v>2497</v>
      </c>
      <c r="G42" s="3">
        <v>2497</v>
      </c>
      <c r="H42" s="3">
        <v>2497</v>
      </c>
      <c r="I42" s="3">
        <v>2497</v>
      </c>
      <c r="J42" s="3">
        <v>2497</v>
      </c>
      <c r="K42" s="3">
        <v>2526</v>
      </c>
      <c r="L42" s="3">
        <v>2526</v>
      </c>
      <c r="M42" s="3">
        <v>2526</v>
      </c>
      <c r="N42" s="3">
        <v>2526</v>
      </c>
      <c r="O42" s="3">
        <f t="shared" si="4"/>
        <v>30080</v>
      </c>
    </row>
    <row r="43" spans="1:22" x14ac:dyDescent="0.2">
      <c r="A43" s="2" t="s">
        <v>59</v>
      </c>
      <c r="B43" s="2" t="s">
        <v>61</v>
      </c>
      <c r="C43" s="3">
        <v>125579</v>
      </c>
      <c r="D43" s="3">
        <v>125579</v>
      </c>
      <c r="E43" s="3">
        <v>125579</v>
      </c>
      <c r="F43" s="3">
        <v>125579</v>
      </c>
      <c r="G43" s="3">
        <v>125579</v>
      </c>
      <c r="H43" s="3">
        <v>125579</v>
      </c>
      <c r="I43" s="3">
        <v>125579</v>
      </c>
      <c r="J43" s="3">
        <v>125579</v>
      </c>
      <c r="K43" s="3">
        <v>125579</v>
      </c>
      <c r="L43" s="3">
        <v>125579</v>
      </c>
      <c r="M43" s="3">
        <v>125579</v>
      </c>
      <c r="N43" s="3">
        <v>125579</v>
      </c>
      <c r="O43" s="3">
        <f t="shared" si="4"/>
        <v>1506948</v>
      </c>
    </row>
    <row r="44" spans="1:22" x14ac:dyDescent="0.2">
      <c r="A44" s="2" t="s">
        <v>59</v>
      </c>
      <c r="B44" s="2" t="s">
        <v>62</v>
      </c>
      <c r="C44" s="3">
        <v>152266.67000000001</v>
      </c>
      <c r="D44" s="3">
        <v>152266.67000000001</v>
      </c>
      <c r="E44" s="3">
        <v>152266.67000000001</v>
      </c>
      <c r="F44" s="3">
        <v>152266.67000000001</v>
      </c>
      <c r="G44" s="3">
        <v>152266.67000000001</v>
      </c>
      <c r="H44" s="3">
        <v>152266.67000000001</v>
      </c>
      <c r="I44" s="3">
        <v>152266.67000000001</v>
      </c>
      <c r="J44" s="3">
        <v>152266.67000000001</v>
      </c>
      <c r="K44" s="3">
        <v>152266.67000000001</v>
      </c>
      <c r="L44" s="3">
        <v>152266.67000000001</v>
      </c>
      <c r="M44" s="3">
        <v>152266.67000000001</v>
      </c>
      <c r="N44" s="3">
        <v>152266.67000000001</v>
      </c>
      <c r="O44" s="3">
        <f t="shared" si="4"/>
        <v>1827200.0399999998</v>
      </c>
      <c r="Q44" t="s">
        <v>169</v>
      </c>
    </row>
    <row r="45" spans="1:22" x14ac:dyDescent="0.2">
      <c r="A45" s="2" t="s">
        <v>59</v>
      </c>
      <c r="B45" s="2" t="s">
        <v>63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5710</v>
      </c>
      <c r="L45" s="3">
        <v>5710</v>
      </c>
      <c r="M45" s="3">
        <v>5710</v>
      </c>
      <c r="N45" s="3">
        <v>5710</v>
      </c>
      <c r="O45" s="3">
        <f t="shared" si="4"/>
        <v>22840</v>
      </c>
    </row>
    <row r="46" spans="1:22" x14ac:dyDescent="0.2">
      <c r="A46" s="4"/>
      <c r="B46" s="4" t="s">
        <v>64</v>
      </c>
      <c r="C46" s="5">
        <f>C35+SUM(C36:C45)</f>
        <v>3052628.67</v>
      </c>
      <c r="D46" s="5">
        <f t="shared" ref="D46:N46" si="5">D35+SUM(D36:D45)</f>
        <v>3052628.67</v>
      </c>
      <c r="E46" s="5">
        <f t="shared" si="5"/>
        <v>3052628.67</v>
      </c>
      <c r="F46" s="5">
        <f t="shared" si="5"/>
        <v>3052628.67</v>
      </c>
      <c r="G46" s="5">
        <f t="shared" si="5"/>
        <v>3052628.67</v>
      </c>
      <c r="H46" s="5">
        <f t="shared" si="5"/>
        <v>3052628.67</v>
      </c>
      <c r="I46" s="5">
        <f t="shared" si="5"/>
        <v>2995204.67</v>
      </c>
      <c r="J46" s="5">
        <f t="shared" si="5"/>
        <v>2995204.67</v>
      </c>
      <c r="K46" s="5">
        <f t="shared" si="5"/>
        <v>3146667.67</v>
      </c>
      <c r="L46" s="5">
        <f t="shared" si="5"/>
        <v>3146667.67</v>
      </c>
      <c r="M46" s="5">
        <f t="shared" si="5"/>
        <v>3146667.67</v>
      </c>
      <c r="N46" s="5">
        <f t="shared" si="5"/>
        <v>3146667.67</v>
      </c>
      <c r="O46" s="5">
        <f>O35+SUM(O36:O45)</f>
        <v>36892852.039999999</v>
      </c>
      <c r="S46">
        <f>O46/S23</f>
        <v>944.75263751498278</v>
      </c>
      <c r="V46" t="s">
        <v>182</v>
      </c>
    </row>
    <row r="48" spans="1:22" x14ac:dyDescent="0.2">
      <c r="A48" s="21" t="s">
        <v>65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1:17" x14ac:dyDescent="0.2">
      <c r="A49" s="2" t="s">
        <v>66</v>
      </c>
      <c r="B49" s="2" t="s">
        <v>67</v>
      </c>
      <c r="C49" s="3">
        <v>699626.5</v>
      </c>
      <c r="D49" s="3">
        <v>699626.5</v>
      </c>
      <c r="E49" s="3">
        <v>699626.5</v>
      </c>
      <c r="F49" s="3">
        <v>699626.5</v>
      </c>
      <c r="G49" s="3">
        <v>699626.5</v>
      </c>
      <c r="H49" s="3">
        <v>699626.5</v>
      </c>
      <c r="I49" s="3">
        <v>699626.5</v>
      </c>
      <c r="J49" s="3">
        <v>699626.5</v>
      </c>
      <c r="K49" s="3">
        <v>699626.5</v>
      </c>
      <c r="L49" s="3">
        <v>699626.5</v>
      </c>
      <c r="M49" s="3">
        <v>699626.5</v>
      </c>
      <c r="N49" s="3">
        <v>699626.5</v>
      </c>
      <c r="O49" s="3">
        <f t="shared" ref="O49:O80" si="6">SUM(C49:N49)</f>
        <v>8395518</v>
      </c>
      <c r="Q49" t="s">
        <v>170</v>
      </c>
    </row>
    <row r="50" spans="1:17" x14ac:dyDescent="0.2">
      <c r="A50" s="2" t="s">
        <v>66</v>
      </c>
      <c r="B50" s="2" t="s">
        <v>68</v>
      </c>
      <c r="C50" s="3">
        <v>35000</v>
      </c>
      <c r="D50" s="3">
        <v>35000</v>
      </c>
      <c r="E50" s="3">
        <v>35000</v>
      </c>
      <c r="F50" s="3">
        <v>35000</v>
      </c>
      <c r="G50" s="3">
        <v>35000</v>
      </c>
      <c r="H50" s="3">
        <v>35000</v>
      </c>
      <c r="I50" s="3">
        <v>35000</v>
      </c>
      <c r="J50" s="3">
        <v>35000</v>
      </c>
      <c r="K50" s="3">
        <v>35000</v>
      </c>
      <c r="L50" s="3">
        <v>35000</v>
      </c>
      <c r="M50" s="3">
        <v>35000</v>
      </c>
      <c r="N50" s="3">
        <v>35000</v>
      </c>
      <c r="O50" s="3">
        <f t="shared" si="6"/>
        <v>420000</v>
      </c>
    </row>
    <row r="51" spans="1:17" x14ac:dyDescent="0.2">
      <c r="A51" s="2" t="s">
        <v>66</v>
      </c>
      <c r="B51" s="2" t="s">
        <v>69</v>
      </c>
      <c r="C51" s="3">
        <v>13833.33</v>
      </c>
      <c r="D51" s="3">
        <v>13833.33</v>
      </c>
      <c r="E51" s="3">
        <v>13833.33</v>
      </c>
      <c r="F51" s="3">
        <v>13833.33</v>
      </c>
      <c r="G51" s="3">
        <v>13833.33</v>
      </c>
      <c r="H51" s="3">
        <v>13833.33</v>
      </c>
      <c r="I51" s="3">
        <v>13833.33</v>
      </c>
      <c r="J51" s="3">
        <v>13833.33</v>
      </c>
      <c r="K51" s="3">
        <v>13833.33</v>
      </c>
      <c r="L51" s="3">
        <v>13833.33</v>
      </c>
      <c r="M51" s="3">
        <v>13833.33</v>
      </c>
      <c r="N51" s="3">
        <v>13833.33</v>
      </c>
      <c r="O51" s="3">
        <f t="shared" si="6"/>
        <v>165999.95999999996</v>
      </c>
    </row>
    <row r="52" spans="1:17" x14ac:dyDescent="0.2">
      <c r="A52" s="2" t="s">
        <v>70</v>
      </c>
      <c r="B52" s="2" t="s">
        <v>71</v>
      </c>
      <c r="C52" s="3">
        <v>230521</v>
      </c>
      <c r="D52" s="3">
        <v>230521</v>
      </c>
      <c r="E52" s="3">
        <v>230521</v>
      </c>
      <c r="F52" s="3">
        <v>230521</v>
      </c>
      <c r="G52" s="3">
        <v>230521</v>
      </c>
      <c r="H52" s="3">
        <v>230521</v>
      </c>
      <c r="I52" s="3">
        <v>230521</v>
      </c>
      <c r="J52" s="3">
        <v>230521</v>
      </c>
      <c r="K52" s="3">
        <v>230521</v>
      </c>
      <c r="L52" s="3">
        <v>230521</v>
      </c>
      <c r="M52" s="3">
        <v>230521</v>
      </c>
      <c r="N52" s="3">
        <v>230521</v>
      </c>
      <c r="O52" s="3">
        <f t="shared" si="6"/>
        <v>2766252</v>
      </c>
      <c r="Q52" t="s">
        <v>171</v>
      </c>
    </row>
    <row r="53" spans="1:17" x14ac:dyDescent="0.2">
      <c r="A53" s="2" t="s">
        <v>70</v>
      </c>
      <c r="B53" s="2" t="s">
        <v>72</v>
      </c>
      <c r="C53" s="3">
        <v>144200</v>
      </c>
      <c r="D53" s="3">
        <v>144200</v>
      </c>
      <c r="E53" s="3">
        <v>144200</v>
      </c>
      <c r="F53" s="3">
        <v>144200</v>
      </c>
      <c r="G53" s="3">
        <v>144200</v>
      </c>
      <c r="H53" s="3">
        <v>144200</v>
      </c>
      <c r="I53" s="3">
        <v>144200</v>
      </c>
      <c r="J53" s="3">
        <v>144200</v>
      </c>
      <c r="K53" s="3">
        <v>144200</v>
      </c>
      <c r="L53" s="3">
        <v>144200</v>
      </c>
      <c r="M53" s="3">
        <v>144200</v>
      </c>
      <c r="N53" s="3">
        <v>144200</v>
      </c>
      <c r="O53" s="3">
        <f t="shared" si="6"/>
        <v>1730400</v>
      </c>
      <c r="Q53" t="s">
        <v>172</v>
      </c>
    </row>
    <row r="54" spans="1:17" x14ac:dyDescent="0.2">
      <c r="A54" s="2" t="s">
        <v>70</v>
      </c>
      <c r="B54" s="2" t="s">
        <v>73</v>
      </c>
      <c r="C54" s="3">
        <v>29657.17</v>
      </c>
      <c r="D54" s="3">
        <v>29657.17</v>
      </c>
      <c r="E54" s="3">
        <v>29657.17</v>
      </c>
      <c r="F54" s="3">
        <v>29657.17</v>
      </c>
      <c r="G54" s="3">
        <v>29657.17</v>
      </c>
      <c r="H54" s="3">
        <v>29657.17</v>
      </c>
      <c r="I54" s="3">
        <v>29657.17</v>
      </c>
      <c r="J54" s="3">
        <v>29657.17</v>
      </c>
      <c r="K54" s="3">
        <v>29657.17</v>
      </c>
      <c r="L54" s="3">
        <v>29657.17</v>
      </c>
      <c r="M54" s="3">
        <v>29657.17</v>
      </c>
      <c r="N54" s="3">
        <v>29657.17</v>
      </c>
      <c r="O54" s="3">
        <f t="shared" si="6"/>
        <v>355886.03999999986</v>
      </c>
    </row>
    <row r="55" spans="1:17" x14ac:dyDescent="0.2">
      <c r="A55" s="2" t="s">
        <v>74</v>
      </c>
      <c r="B55" s="2" t="s">
        <v>75</v>
      </c>
      <c r="C55" s="3">
        <v>38761.58</v>
      </c>
      <c r="D55" s="3">
        <v>38761.58</v>
      </c>
      <c r="E55" s="3">
        <v>38761.58</v>
      </c>
      <c r="F55" s="3">
        <v>38761.58</v>
      </c>
      <c r="G55" s="3">
        <v>38761.58</v>
      </c>
      <c r="H55" s="3">
        <v>38761.58</v>
      </c>
      <c r="I55" s="3">
        <v>38761.58</v>
      </c>
      <c r="J55" s="3">
        <v>38761.58</v>
      </c>
      <c r="K55" s="3">
        <v>38761.58</v>
      </c>
      <c r="L55" s="3">
        <v>38761.58</v>
      </c>
      <c r="M55" s="3">
        <v>38761.58</v>
      </c>
      <c r="N55" s="3">
        <v>38761.58</v>
      </c>
      <c r="O55" s="3">
        <f t="shared" si="6"/>
        <v>465138.96000000014</v>
      </c>
      <c r="Q55" t="s">
        <v>173</v>
      </c>
    </row>
    <row r="56" spans="1:17" x14ac:dyDescent="0.2">
      <c r="A56" s="2" t="s">
        <v>74</v>
      </c>
      <c r="B56" s="2" t="s">
        <v>76</v>
      </c>
      <c r="C56" s="3">
        <v>6192.67</v>
      </c>
      <c r="D56" s="3">
        <v>6192.67</v>
      </c>
      <c r="E56" s="3">
        <v>6192.67</v>
      </c>
      <c r="F56" s="3">
        <v>6192.67</v>
      </c>
      <c r="G56" s="3">
        <v>6192.67</v>
      </c>
      <c r="H56" s="3">
        <v>6192.67</v>
      </c>
      <c r="I56" s="3">
        <v>6192.67</v>
      </c>
      <c r="J56" s="3">
        <v>6192.67</v>
      </c>
      <c r="K56" s="3">
        <v>6192.67</v>
      </c>
      <c r="L56" s="3">
        <v>6192.67</v>
      </c>
      <c r="M56" s="3">
        <v>6192.67</v>
      </c>
      <c r="N56" s="3">
        <v>6192.67</v>
      </c>
      <c r="O56" s="3">
        <f t="shared" si="6"/>
        <v>74312.039999999994</v>
      </c>
    </row>
    <row r="57" spans="1:17" x14ac:dyDescent="0.2">
      <c r="A57" s="2" t="s">
        <v>77</v>
      </c>
      <c r="B57" s="2" t="s">
        <v>78</v>
      </c>
      <c r="C57" s="3">
        <v>5794.42</v>
      </c>
      <c r="D57" s="3">
        <v>5794.42</v>
      </c>
      <c r="E57" s="3">
        <v>5794.42</v>
      </c>
      <c r="F57" s="3">
        <v>5794.42</v>
      </c>
      <c r="G57" s="3">
        <v>5794.42</v>
      </c>
      <c r="H57" s="3">
        <v>5794.42</v>
      </c>
      <c r="I57" s="3">
        <v>5794.42</v>
      </c>
      <c r="J57" s="3">
        <v>5794.42</v>
      </c>
      <c r="K57" s="3">
        <v>5794.42</v>
      </c>
      <c r="L57" s="3">
        <v>5794.42</v>
      </c>
      <c r="M57" s="3">
        <v>5794.42</v>
      </c>
      <c r="N57" s="3">
        <v>5794.42</v>
      </c>
      <c r="O57" s="3">
        <f t="shared" si="6"/>
        <v>69533.039999999994</v>
      </c>
    </row>
    <row r="58" spans="1:17" x14ac:dyDescent="0.2">
      <c r="A58" s="2" t="s">
        <v>77</v>
      </c>
      <c r="B58" s="2" t="s">
        <v>79</v>
      </c>
      <c r="C58" s="3">
        <v>8482.42</v>
      </c>
      <c r="D58" s="3">
        <v>8482.42</v>
      </c>
      <c r="E58" s="3">
        <v>8482.42</v>
      </c>
      <c r="F58" s="3">
        <v>8482.42</v>
      </c>
      <c r="G58" s="3">
        <v>8482.42</v>
      </c>
      <c r="H58" s="3">
        <v>8482.42</v>
      </c>
      <c r="I58" s="3">
        <v>8482.42</v>
      </c>
      <c r="J58" s="3">
        <v>8482.42</v>
      </c>
      <c r="K58" s="3">
        <v>8482.42</v>
      </c>
      <c r="L58" s="3">
        <v>8482.42</v>
      </c>
      <c r="M58" s="3">
        <v>8482.42</v>
      </c>
      <c r="N58" s="3">
        <v>8482.42</v>
      </c>
      <c r="O58" s="3">
        <f t="shared" si="6"/>
        <v>101789.04</v>
      </c>
    </row>
    <row r="59" spans="1:17" x14ac:dyDescent="0.2">
      <c r="A59" s="2" t="s">
        <v>80</v>
      </c>
      <c r="B59" s="2" t="s">
        <v>81</v>
      </c>
      <c r="C59" s="3">
        <v>2666.67</v>
      </c>
      <c r="D59" s="3">
        <v>2666.67</v>
      </c>
      <c r="E59" s="3">
        <v>2666.67</v>
      </c>
      <c r="F59" s="3">
        <v>2666.67</v>
      </c>
      <c r="G59" s="3">
        <v>2666.67</v>
      </c>
      <c r="H59" s="3">
        <v>2666.67</v>
      </c>
      <c r="I59" s="3">
        <v>2666.67</v>
      </c>
      <c r="J59" s="3">
        <v>2666.67</v>
      </c>
      <c r="K59" s="3">
        <v>2666.67</v>
      </c>
      <c r="L59" s="3">
        <v>2666.67</v>
      </c>
      <c r="M59" s="3">
        <v>2666.67</v>
      </c>
      <c r="N59" s="3">
        <v>2666.67</v>
      </c>
      <c r="O59" s="3">
        <f t="shared" si="6"/>
        <v>32000.039999999994</v>
      </c>
    </row>
    <row r="60" spans="1:17" x14ac:dyDescent="0.2">
      <c r="A60" s="2" t="s">
        <v>80</v>
      </c>
      <c r="B60" s="2" t="s">
        <v>82</v>
      </c>
      <c r="C60" s="3">
        <v>2500</v>
      </c>
      <c r="D60" s="3">
        <v>2500</v>
      </c>
      <c r="E60" s="3">
        <v>2500</v>
      </c>
      <c r="F60" s="3">
        <v>2500</v>
      </c>
      <c r="G60" s="3">
        <v>2500</v>
      </c>
      <c r="H60" s="3">
        <v>2500</v>
      </c>
      <c r="I60" s="3">
        <v>2500</v>
      </c>
      <c r="J60" s="3">
        <v>2500</v>
      </c>
      <c r="K60" s="3">
        <v>2500</v>
      </c>
      <c r="L60" s="3">
        <v>2500</v>
      </c>
      <c r="M60" s="3">
        <v>2500</v>
      </c>
      <c r="N60" s="3">
        <v>2500</v>
      </c>
      <c r="O60" s="3">
        <f t="shared" si="6"/>
        <v>30000</v>
      </c>
    </row>
    <row r="61" spans="1:17" x14ac:dyDescent="0.2">
      <c r="A61" s="2" t="s">
        <v>83</v>
      </c>
      <c r="B61" s="2" t="s">
        <v>84</v>
      </c>
      <c r="C61" s="3">
        <v>27506.42</v>
      </c>
      <c r="D61" s="3">
        <v>27506.42</v>
      </c>
      <c r="E61" s="3">
        <v>27506.42</v>
      </c>
      <c r="F61" s="3">
        <v>27506.42</v>
      </c>
      <c r="G61" s="3">
        <v>27506.42</v>
      </c>
      <c r="H61" s="3">
        <v>27506.42</v>
      </c>
      <c r="I61" s="3">
        <v>27506.42</v>
      </c>
      <c r="J61" s="3">
        <v>27506.42</v>
      </c>
      <c r="K61" s="3">
        <v>27506.42</v>
      </c>
      <c r="L61" s="3">
        <v>27506.42</v>
      </c>
      <c r="M61" s="3">
        <v>27506.42</v>
      </c>
      <c r="N61" s="3">
        <v>27506.42</v>
      </c>
      <c r="O61" s="3">
        <f t="shared" si="6"/>
        <v>330077.03999999986</v>
      </c>
      <c r="Q61" t="s">
        <v>174</v>
      </c>
    </row>
    <row r="62" spans="1:17" x14ac:dyDescent="0.2">
      <c r="A62" s="2" t="s">
        <v>83</v>
      </c>
      <c r="B62" s="2" t="s">
        <v>85</v>
      </c>
      <c r="C62" s="3">
        <v>21982.58</v>
      </c>
      <c r="D62" s="3">
        <v>21982.58</v>
      </c>
      <c r="E62" s="3">
        <v>21982.58</v>
      </c>
      <c r="F62" s="3">
        <v>21982.58</v>
      </c>
      <c r="G62" s="3">
        <v>21982.58</v>
      </c>
      <c r="H62" s="3">
        <v>21982.58</v>
      </c>
      <c r="I62" s="3">
        <v>21982.58</v>
      </c>
      <c r="J62" s="3">
        <v>21982.58</v>
      </c>
      <c r="K62" s="3">
        <v>21982.58</v>
      </c>
      <c r="L62" s="3">
        <v>21982.58</v>
      </c>
      <c r="M62" s="3">
        <v>21982.58</v>
      </c>
      <c r="N62" s="3">
        <v>21982.58</v>
      </c>
      <c r="O62" s="3">
        <f t="shared" si="6"/>
        <v>263790.96000000008</v>
      </c>
    </row>
    <row r="63" spans="1:17" x14ac:dyDescent="0.2">
      <c r="A63" s="2" t="s">
        <v>86</v>
      </c>
      <c r="B63" s="2" t="s">
        <v>87</v>
      </c>
      <c r="C63" s="3">
        <v>125000</v>
      </c>
      <c r="D63" s="3">
        <v>125000</v>
      </c>
      <c r="E63" s="3">
        <v>125000</v>
      </c>
      <c r="F63" s="3">
        <v>125000</v>
      </c>
      <c r="G63" s="3">
        <v>125000</v>
      </c>
      <c r="H63" s="3">
        <v>125000</v>
      </c>
      <c r="I63" s="3">
        <v>125000</v>
      </c>
      <c r="J63" s="3">
        <v>125000</v>
      </c>
      <c r="K63" s="3">
        <v>125000</v>
      </c>
      <c r="L63" s="3">
        <v>125000</v>
      </c>
      <c r="M63" s="3">
        <v>125000</v>
      </c>
      <c r="N63" s="3">
        <v>125000</v>
      </c>
      <c r="O63" s="3">
        <f t="shared" si="6"/>
        <v>1500000</v>
      </c>
      <c r="Q63" t="s">
        <v>175</v>
      </c>
    </row>
    <row r="64" spans="1:17" x14ac:dyDescent="0.2">
      <c r="A64" s="2" t="s">
        <v>86</v>
      </c>
      <c r="B64" s="2" t="s">
        <v>88</v>
      </c>
      <c r="C64" s="3">
        <v>1666.67</v>
      </c>
      <c r="D64" s="3">
        <v>1666.67</v>
      </c>
      <c r="E64" s="3">
        <v>1666.67</v>
      </c>
      <c r="F64" s="3">
        <v>1666.67</v>
      </c>
      <c r="G64" s="3">
        <v>1666.67</v>
      </c>
      <c r="H64" s="3">
        <v>1666.67</v>
      </c>
      <c r="I64" s="3">
        <v>1666.67</v>
      </c>
      <c r="J64" s="3">
        <v>1666.67</v>
      </c>
      <c r="K64" s="3">
        <v>1666.67</v>
      </c>
      <c r="L64" s="3">
        <v>1666.67</v>
      </c>
      <c r="M64" s="3">
        <v>1666.67</v>
      </c>
      <c r="N64" s="3">
        <v>1666.67</v>
      </c>
      <c r="O64" s="3">
        <f t="shared" si="6"/>
        <v>20000.04</v>
      </c>
    </row>
    <row r="65" spans="1:17" x14ac:dyDescent="0.2">
      <c r="A65" s="2" t="s">
        <v>86</v>
      </c>
      <c r="B65" s="2" t="s">
        <v>89</v>
      </c>
      <c r="C65" s="3">
        <v>1939.08</v>
      </c>
      <c r="D65" s="3">
        <v>1939.08</v>
      </c>
      <c r="E65" s="3">
        <v>1939.08</v>
      </c>
      <c r="F65" s="3">
        <v>1939.08</v>
      </c>
      <c r="G65" s="3">
        <v>1939.08</v>
      </c>
      <c r="H65" s="3">
        <v>1939.08</v>
      </c>
      <c r="I65" s="3">
        <v>1939.08</v>
      </c>
      <c r="J65" s="3">
        <v>1939.08</v>
      </c>
      <c r="K65" s="3">
        <v>1939.08</v>
      </c>
      <c r="L65" s="3">
        <v>1939.08</v>
      </c>
      <c r="M65" s="3">
        <v>1939.08</v>
      </c>
      <c r="N65" s="3">
        <v>1939.08</v>
      </c>
      <c r="O65" s="3">
        <f t="shared" si="6"/>
        <v>23268.960000000006</v>
      </c>
    </row>
    <row r="66" spans="1:17" x14ac:dyDescent="0.2">
      <c r="A66" s="2" t="s">
        <v>86</v>
      </c>
      <c r="B66" s="2" t="s">
        <v>90</v>
      </c>
      <c r="C66" s="3">
        <v>20833.330000000002</v>
      </c>
      <c r="D66" s="3">
        <v>20833.330000000002</v>
      </c>
      <c r="E66" s="3">
        <v>20833.330000000002</v>
      </c>
      <c r="F66" s="3">
        <v>20833.330000000002</v>
      </c>
      <c r="G66" s="3">
        <v>20833.330000000002</v>
      </c>
      <c r="H66" s="3">
        <v>20833.330000000002</v>
      </c>
      <c r="I66" s="3">
        <v>20833.330000000002</v>
      </c>
      <c r="J66" s="3">
        <v>20833.330000000002</v>
      </c>
      <c r="K66" s="3">
        <v>20833.330000000002</v>
      </c>
      <c r="L66" s="3">
        <v>20833.330000000002</v>
      </c>
      <c r="M66" s="3">
        <v>20833.330000000002</v>
      </c>
      <c r="N66" s="3">
        <v>20833.330000000002</v>
      </c>
      <c r="O66" s="3">
        <f t="shared" si="6"/>
        <v>249999.96000000008</v>
      </c>
    </row>
    <row r="67" spans="1:17" x14ac:dyDescent="0.2">
      <c r="A67" s="2" t="s">
        <v>86</v>
      </c>
      <c r="B67" s="2" t="s">
        <v>91</v>
      </c>
      <c r="C67" s="3">
        <v>1515</v>
      </c>
      <c r="D67" s="3">
        <v>1515</v>
      </c>
      <c r="E67" s="3">
        <v>1515</v>
      </c>
      <c r="F67" s="3">
        <v>1515</v>
      </c>
      <c r="G67" s="3">
        <v>1515</v>
      </c>
      <c r="H67" s="3">
        <v>1515</v>
      </c>
      <c r="I67" s="3">
        <v>1515</v>
      </c>
      <c r="J67" s="3">
        <v>1515</v>
      </c>
      <c r="K67" s="3">
        <v>1515</v>
      </c>
      <c r="L67" s="3">
        <v>1515</v>
      </c>
      <c r="M67" s="3">
        <v>1515</v>
      </c>
      <c r="N67" s="3">
        <v>1515</v>
      </c>
      <c r="O67" s="3">
        <f t="shared" si="6"/>
        <v>18180</v>
      </c>
    </row>
    <row r="68" spans="1:17" x14ac:dyDescent="0.2">
      <c r="A68" s="2" t="s">
        <v>86</v>
      </c>
      <c r="B68" s="2" t="s">
        <v>92</v>
      </c>
      <c r="C68" s="3">
        <v>6666.67</v>
      </c>
      <c r="D68" s="3">
        <v>6666.67</v>
      </c>
      <c r="E68" s="3">
        <v>6666.67</v>
      </c>
      <c r="F68" s="3">
        <v>6666.67</v>
      </c>
      <c r="G68" s="3">
        <v>6666.67</v>
      </c>
      <c r="H68" s="3">
        <v>6666.67</v>
      </c>
      <c r="I68" s="3">
        <v>6666.67</v>
      </c>
      <c r="J68" s="3">
        <v>6666.67</v>
      </c>
      <c r="K68" s="3">
        <v>6666.67</v>
      </c>
      <c r="L68" s="3">
        <v>6666.67</v>
      </c>
      <c r="M68" s="3">
        <v>6666.67</v>
      </c>
      <c r="N68" s="3">
        <v>6666.67</v>
      </c>
      <c r="O68" s="3">
        <f t="shared" si="6"/>
        <v>80000.039999999994</v>
      </c>
    </row>
    <row r="69" spans="1:17" x14ac:dyDescent="0.2">
      <c r="A69" s="2" t="s">
        <v>86</v>
      </c>
      <c r="B69" s="2" t="s">
        <v>93</v>
      </c>
      <c r="C69" s="3">
        <v>343372.75</v>
      </c>
      <c r="D69" s="3">
        <v>343372.75</v>
      </c>
      <c r="E69" s="3">
        <v>343372.75</v>
      </c>
      <c r="F69" s="3">
        <v>343372.75</v>
      </c>
      <c r="G69" s="3">
        <v>343372.75</v>
      </c>
      <c r="H69" s="3">
        <v>343372.75</v>
      </c>
      <c r="I69" s="3">
        <v>343372.75</v>
      </c>
      <c r="J69" s="3">
        <v>343372.75</v>
      </c>
      <c r="K69" s="3">
        <v>343372.75</v>
      </c>
      <c r="L69" s="3">
        <v>343372.75</v>
      </c>
      <c r="M69" s="3">
        <v>343372.75</v>
      </c>
      <c r="N69" s="3">
        <v>343372.75</v>
      </c>
      <c r="O69" s="3">
        <f t="shared" si="6"/>
        <v>4120473</v>
      </c>
      <c r="Q69" t="s">
        <v>176</v>
      </c>
    </row>
    <row r="70" spans="1:17" x14ac:dyDescent="0.2">
      <c r="A70" s="2" t="s">
        <v>94</v>
      </c>
      <c r="B70" s="2" t="s">
        <v>95</v>
      </c>
      <c r="C70" s="3">
        <v>45119.95</v>
      </c>
      <c r="D70" s="3">
        <v>45119.95</v>
      </c>
      <c r="E70" s="3">
        <v>45119.95</v>
      </c>
      <c r="F70" s="3">
        <v>45119.95</v>
      </c>
      <c r="G70" s="3">
        <v>45119.95</v>
      </c>
      <c r="H70" s="3">
        <v>45119.95</v>
      </c>
      <c r="I70" s="3">
        <v>45119.95</v>
      </c>
      <c r="J70" s="3">
        <v>45119.95</v>
      </c>
      <c r="K70" s="3">
        <v>45119.95</v>
      </c>
      <c r="L70" s="3">
        <v>45119.95</v>
      </c>
      <c r="M70" s="3">
        <v>45119.95</v>
      </c>
      <c r="N70" s="3">
        <v>45119.95</v>
      </c>
      <c r="O70" s="3">
        <f t="shared" si="6"/>
        <v>541439.4</v>
      </c>
    </row>
    <row r="71" spans="1:17" x14ac:dyDescent="0.2">
      <c r="A71" s="2" t="s">
        <v>94</v>
      </c>
      <c r="B71" s="2" t="s">
        <v>96</v>
      </c>
      <c r="C71" s="3">
        <v>35451.39</v>
      </c>
      <c r="D71" s="3">
        <v>35451.39</v>
      </c>
      <c r="E71" s="3">
        <v>35451.39</v>
      </c>
      <c r="F71" s="3">
        <v>35451.39</v>
      </c>
      <c r="G71" s="3">
        <v>35451.39</v>
      </c>
      <c r="H71" s="3">
        <v>35451.39</v>
      </c>
      <c r="I71" s="3">
        <v>35451.39</v>
      </c>
      <c r="J71" s="3">
        <v>35451.39</v>
      </c>
      <c r="K71" s="3">
        <v>35451.39</v>
      </c>
      <c r="L71" s="3">
        <v>35451.39</v>
      </c>
      <c r="M71" s="3">
        <v>35451.39</v>
      </c>
      <c r="N71" s="3">
        <v>35451.39</v>
      </c>
      <c r="O71" s="3">
        <f t="shared" si="6"/>
        <v>425416.68000000011</v>
      </c>
    </row>
    <row r="72" spans="1:17" x14ac:dyDescent="0.2">
      <c r="A72" s="2" t="s">
        <v>94</v>
      </c>
      <c r="B72" s="2" t="s">
        <v>97</v>
      </c>
      <c r="C72" s="3">
        <v>8333.33</v>
      </c>
      <c r="D72" s="3">
        <v>8333.33</v>
      </c>
      <c r="E72" s="3">
        <v>8333.33</v>
      </c>
      <c r="F72" s="3">
        <v>8333.33</v>
      </c>
      <c r="G72" s="3">
        <v>8333.33</v>
      </c>
      <c r="H72" s="3">
        <v>8333.33</v>
      </c>
      <c r="I72" s="3">
        <v>8333.33</v>
      </c>
      <c r="J72" s="3">
        <v>8333.33</v>
      </c>
      <c r="K72" s="3">
        <v>8333.33</v>
      </c>
      <c r="L72" s="3">
        <v>8333.33</v>
      </c>
      <c r="M72" s="3">
        <v>8333.33</v>
      </c>
      <c r="N72" s="3">
        <v>8333.33</v>
      </c>
      <c r="O72" s="3">
        <f t="shared" si="6"/>
        <v>99999.96</v>
      </c>
    </row>
    <row r="73" spans="1:17" x14ac:dyDescent="0.2">
      <c r="A73" s="2" t="s">
        <v>98</v>
      </c>
      <c r="B73" s="2" t="s">
        <v>99</v>
      </c>
      <c r="C73" s="3">
        <v>36878.25</v>
      </c>
      <c r="D73" s="3">
        <v>36878.25</v>
      </c>
      <c r="E73" s="3">
        <v>36878.25</v>
      </c>
      <c r="F73" s="3">
        <v>36878.25</v>
      </c>
      <c r="G73" s="3">
        <v>36878.25</v>
      </c>
      <c r="H73" s="3">
        <v>36878.25</v>
      </c>
      <c r="I73" s="3">
        <v>36878.25</v>
      </c>
      <c r="J73" s="3">
        <v>36878.25</v>
      </c>
      <c r="K73" s="3">
        <v>36878.25</v>
      </c>
      <c r="L73" s="3">
        <v>36878.25</v>
      </c>
      <c r="M73" s="3">
        <v>36878.25</v>
      </c>
      <c r="N73" s="3">
        <v>36878.25</v>
      </c>
      <c r="O73" s="3">
        <f t="shared" si="6"/>
        <v>442539</v>
      </c>
      <c r="Q73" t="s">
        <v>177</v>
      </c>
    </row>
    <row r="74" spans="1:17" x14ac:dyDescent="0.2">
      <c r="A74" s="2" t="s">
        <v>98</v>
      </c>
      <c r="B74" s="2" t="s">
        <v>100</v>
      </c>
      <c r="C74" s="3">
        <v>23078.5</v>
      </c>
      <c r="D74" s="3">
        <v>23078.5</v>
      </c>
      <c r="E74" s="3">
        <v>23078.5</v>
      </c>
      <c r="F74" s="3">
        <v>23078.5</v>
      </c>
      <c r="G74" s="3">
        <v>23078.5</v>
      </c>
      <c r="H74" s="3">
        <v>23078.5</v>
      </c>
      <c r="I74" s="3">
        <v>23078.5</v>
      </c>
      <c r="J74" s="3">
        <v>23078.5</v>
      </c>
      <c r="K74" s="3">
        <v>23078.5</v>
      </c>
      <c r="L74" s="3">
        <v>23078.5</v>
      </c>
      <c r="M74" s="3">
        <v>23078.5</v>
      </c>
      <c r="N74" s="3">
        <v>23078.5</v>
      </c>
      <c r="O74" s="3">
        <f t="shared" si="6"/>
        <v>276942</v>
      </c>
    </row>
    <row r="75" spans="1:17" x14ac:dyDescent="0.2">
      <c r="A75" s="2" t="s">
        <v>101</v>
      </c>
      <c r="B75" s="2" t="s">
        <v>102</v>
      </c>
      <c r="C75" s="3">
        <v>1842.67</v>
      </c>
      <c r="D75" s="3">
        <v>1842.67</v>
      </c>
      <c r="E75" s="3">
        <v>1842.67</v>
      </c>
      <c r="F75" s="3">
        <v>1842.67</v>
      </c>
      <c r="G75" s="3">
        <v>1842.67</v>
      </c>
      <c r="H75" s="3">
        <v>1842.67</v>
      </c>
      <c r="I75" s="3">
        <v>1842.67</v>
      </c>
      <c r="J75" s="3">
        <v>1842.67</v>
      </c>
      <c r="K75" s="3">
        <v>1842.67</v>
      </c>
      <c r="L75" s="3">
        <v>1842.67</v>
      </c>
      <c r="M75" s="3">
        <v>1842.67</v>
      </c>
      <c r="N75" s="3">
        <v>1842.67</v>
      </c>
      <c r="O75" s="3">
        <f t="shared" si="6"/>
        <v>22112.039999999994</v>
      </c>
    </row>
    <row r="76" spans="1:17" x14ac:dyDescent="0.2">
      <c r="A76" s="2" t="s">
        <v>101</v>
      </c>
      <c r="B76" s="2" t="s">
        <v>103</v>
      </c>
      <c r="C76" s="3">
        <v>995.54</v>
      </c>
      <c r="D76" s="3">
        <v>995.54</v>
      </c>
      <c r="E76" s="3">
        <v>995.54</v>
      </c>
      <c r="F76" s="3">
        <v>995.54</v>
      </c>
      <c r="G76" s="3">
        <v>995.54</v>
      </c>
      <c r="H76" s="3">
        <v>995.54</v>
      </c>
      <c r="I76" s="3">
        <v>995.54</v>
      </c>
      <c r="J76" s="3">
        <v>995.54</v>
      </c>
      <c r="K76" s="3">
        <v>995.54</v>
      </c>
      <c r="L76" s="3">
        <v>995.54</v>
      </c>
      <c r="M76" s="3">
        <v>995.54</v>
      </c>
      <c r="N76" s="3">
        <v>995.54</v>
      </c>
      <c r="O76" s="3">
        <f t="shared" si="6"/>
        <v>11946.480000000003</v>
      </c>
    </row>
    <row r="77" spans="1:17" x14ac:dyDescent="0.2">
      <c r="A77" s="2" t="s">
        <v>104</v>
      </c>
      <c r="B77" s="2" t="s">
        <v>105</v>
      </c>
      <c r="C77" s="3">
        <v>1041.67</v>
      </c>
      <c r="D77" s="3">
        <v>1041.67</v>
      </c>
      <c r="E77" s="3">
        <v>1041.67</v>
      </c>
      <c r="F77" s="3">
        <v>1041.67</v>
      </c>
      <c r="G77" s="3">
        <v>1041.67</v>
      </c>
      <c r="H77" s="3">
        <v>1041.67</v>
      </c>
      <c r="I77" s="3">
        <v>1041.67</v>
      </c>
      <c r="J77" s="3">
        <v>1041.67</v>
      </c>
      <c r="K77" s="3">
        <v>1041.67</v>
      </c>
      <c r="L77" s="3">
        <v>1041.67</v>
      </c>
      <c r="M77" s="3">
        <v>1041.67</v>
      </c>
      <c r="N77" s="3">
        <v>1041.67</v>
      </c>
      <c r="O77" s="3">
        <f t="shared" si="6"/>
        <v>12500.04</v>
      </c>
    </row>
    <row r="78" spans="1:17" x14ac:dyDescent="0.2">
      <c r="A78" s="2" t="s">
        <v>106</v>
      </c>
      <c r="B78" s="2" t="s">
        <v>107</v>
      </c>
      <c r="C78" s="3">
        <v>25000</v>
      </c>
      <c r="D78" s="3">
        <v>25000</v>
      </c>
      <c r="E78" s="3">
        <v>25000</v>
      </c>
      <c r="F78" s="3">
        <v>25000</v>
      </c>
      <c r="G78" s="3">
        <v>25000</v>
      </c>
      <c r="H78" s="3">
        <v>25000</v>
      </c>
      <c r="I78" s="3">
        <v>25000</v>
      </c>
      <c r="J78" s="3">
        <v>25000</v>
      </c>
      <c r="K78" s="3">
        <v>25000</v>
      </c>
      <c r="L78" s="3">
        <v>25000</v>
      </c>
      <c r="M78" s="3">
        <v>25000</v>
      </c>
      <c r="N78" s="3">
        <v>25000</v>
      </c>
      <c r="O78" s="3">
        <f t="shared" si="6"/>
        <v>300000</v>
      </c>
    </row>
    <row r="79" spans="1:17" x14ac:dyDescent="0.2">
      <c r="A79" s="2" t="s">
        <v>106</v>
      </c>
      <c r="B79" s="2" t="s">
        <v>108</v>
      </c>
      <c r="C79" s="3">
        <v>16666.669999999998</v>
      </c>
      <c r="D79" s="3">
        <v>16666.669999999998</v>
      </c>
      <c r="E79" s="3">
        <v>16666.669999999998</v>
      </c>
      <c r="F79" s="3">
        <v>16666.669999999998</v>
      </c>
      <c r="G79" s="3">
        <v>16666.669999999998</v>
      </c>
      <c r="H79" s="3">
        <v>16666.669999999998</v>
      </c>
      <c r="I79" s="3">
        <v>16666.669999999998</v>
      </c>
      <c r="J79" s="3">
        <v>16666.669999999998</v>
      </c>
      <c r="K79" s="3">
        <v>16666.669999999998</v>
      </c>
      <c r="L79" s="3">
        <v>16666.669999999998</v>
      </c>
      <c r="M79" s="3">
        <v>16666.669999999998</v>
      </c>
      <c r="N79" s="3">
        <v>16666.669999999998</v>
      </c>
      <c r="O79" s="3">
        <f t="shared" si="6"/>
        <v>200000.03999999992</v>
      </c>
    </row>
    <row r="80" spans="1:17" x14ac:dyDescent="0.2">
      <c r="A80" s="2" t="s">
        <v>106</v>
      </c>
      <c r="B80" s="2" t="s">
        <v>109</v>
      </c>
      <c r="C80" s="3">
        <v>3750</v>
      </c>
      <c r="D80" s="3">
        <v>3750</v>
      </c>
      <c r="E80" s="3">
        <v>3750</v>
      </c>
      <c r="F80" s="3">
        <v>3750</v>
      </c>
      <c r="G80" s="3">
        <v>3750</v>
      </c>
      <c r="H80" s="3">
        <v>3750</v>
      </c>
      <c r="I80" s="3">
        <v>3750</v>
      </c>
      <c r="J80" s="3">
        <v>3750</v>
      </c>
      <c r="K80" s="3">
        <v>3750</v>
      </c>
      <c r="L80" s="3">
        <v>3750</v>
      </c>
      <c r="M80" s="3">
        <v>3750</v>
      </c>
      <c r="N80" s="3">
        <v>3750</v>
      </c>
      <c r="O80" s="3">
        <f t="shared" si="6"/>
        <v>45000</v>
      </c>
    </row>
    <row r="81" spans="1:22" x14ac:dyDescent="0.2">
      <c r="A81" s="4"/>
      <c r="B81" s="4" t="s">
        <v>110</v>
      </c>
      <c r="C81" s="5">
        <f>SUM(C49:C80)</f>
        <v>1965876.2299999995</v>
      </c>
      <c r="D81" s="5">
        <f t="shared" ref="D81:N81" si="7">SUM(D49:D80)</f>
        <v>1965876.2299999995</v>
      </c>
      <c r="E81" s="5">
        <f t="shared" si="7"/>
        <v>1965876.2299999995</v>
      </c>
      <c r="F81" s="5">
        <f t="shared" si="7"/>
        <v>1965876.2299999995</v>
      </c>
      <c r="G81" s="5">
        <f t="shared" si="7"/>
        <v>1965876.2299999995</v>
      </c>
      <c r="H81" s="5">
        <f t="shared" si="7"/>
        <v>1965876.2299999995</v>
      </c>
      <c r="I81" s="5">
        <f t="shared" si="7"/>
        <v>1965876.2299999995</v>
      </c>
      <c r="J81" s="5">
        <f t="shared" si="7"/>
        <v>1965876.2299999995</v>
      </c>
      <c r="K81" s="5">
        <f t="shared" si="7"/>
        <v>1965876.2299999995</v>
      </c>
      <c r="L81" s="5">
        <f t="shared" si="7"/>
        <v>1965876.2299999995</v>
      </c>
      <c r="M81" s="5">
        <f t="shared" si="7"/>
        <v>1965876.2299999995</v>
      </c>
      <c r="N81" s="5">
        <f t="shared" si="7"/>
        <v>1965876.2299999995</v>
      </c>
      <c r="O81" s="5">
        <f>SUM(O49:O80)</f>
        <v>23590514.759999994</v>
      </c>
      <c r="V81" t="s">
        <v>182</v>
      </c>
    </row>
    <row r="83" spans="1:22" x14ac:dyDescent="0.2">
      <c r="A83" s="21" t="s">
        <v>111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</row>
    <row r="84" spans="1:22" x14ac:dyDescent="0.2">
      <c r="A84" s="2" t="s">
        <v>112</v>
      </c>
      <c r="B84" s="2" t="s">
        <v>113</v>
      </c>
      <c r="C84" s="3">
        <v>439818</v>
      </c>
      <c r="D84" s="3">
        <v>439818</v>
      </c>
      <c r="E84" s="3">
        <v>439818</v>
      </c>
      <c r="F84" s="3">
        <v>439818</v>
      </c>
      <c r="G84" s="3">
        <v>439818</v>
      </c>
      <c r="H84" s="3">
        <v>439818</v>
      </c>
      <c r="I84" s="3">
        <v>439818</v>
      </c>
      <c r="J84" s="3">
        <v>439818</v>
      </c>
      <c r="K84" s="3">
        <v>439818</v>
      </c>
      <c r="L84" s="3">
        <v>439818</v>
      </c>
      <c r="M84" s="3">
        <v>439818</v>
      </c>
      <c r="N84" s="3">
        <v>439818</v>
      </c>
      <c r="O84" s="3">
        <f>SUM(C84:N84)</f>
        <v>5277816</v>
      </c>
      <c r="Q84" t="s">
        <v>178</v>
      </c>
    </row>
    <row r="85" spans="1:22" x14ac:dyDescent="0.2">
      <c r="A85" s="4"/>
      <c r="B85" s="4" t="s">
        <v>114</v>
      </c>
      <c r="C85" s="5">
        <f>C84</f>
        <v>439818</v>
      </c>
      <c r="D85" s="5">
        <f t="shared" ref="D85:N85" si="8">D84</f>
        <v>439818</v>
      </c>
      <c r="E85" s="5">
        <f t="shared" si="8"/>
        <v>439818</v>
      </c>
      <c r="F85" s="5">
        <f t="shared" si="8"/>
        <v>439818</v>
      </c>
      <c r="G85" s="5">
        <f t="shared" si="8"/>
        <v>439818</v>
      </c>
      <c r="H85" s="5">
        <f t="shared" si="8"/>
        <v>439818</v>
      </c>
      <c r="I85" s="5">
        <f t="shared" si="8"/>
        <v>439818</v>
      </c>
      <c r="J85" s="5">
        <f t="shared" si="8"/>
        <v>439818</v>
      </c>
      <c r="K85" s="5">
        <f t="shared" si="8"/>
        <v>439818</v>
      </c>
      <c r="L85" s="5">
        <f t="shared" si="8"/>
        <v>439818</v>
      </c>
      <c r="M85" s="5">
        <f t="shared" si="8"/>
        <v>439818</v>
      </c>
      <c r="N85" s="5">
        <f t="shared" si="8"/>
        <v>439818</v>
      </c>
      <c r="O85" s="5">
        <f>O84</f>
        <v>5277816</v>
      </c>
      <c r="V85" t="s">
        <v>182</v>
      </c>
    </row>
    <row r="87" spans="1:22" x14ac:dyDescent="0.2">
      <c r="A87" s="21" t="s">
        <v>115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</row>
    <row r="88" spans="1:22" ht="16" thickBot="1" x14ac:dyDescent="0.25">
      <c r="A88" s="2" t="s">
        <v>116</v>
      </c>
      <c r="B88" s="2" t="s">
        <v>117</v>
      </c>
      <c r="C88" s="3">
        <v>95432.83</v>
      </c>
      <c r="D88" s="3">
        <v>95432.83</v>
      </c>
      <c r="E88" s="3">
        <v>95432.83</v>
      </c>
      <c r="F88" s="3">
        <v>95432.83</v>
      </c>
      <c r="G88" s="3">
        <v>95432.83</v>
      </c>
      <c r="H88" s="3">
        <v>95432.83</v>
      </c>
      <c r="I88" s="3">
        <v>95432.83</v>
      </c>
      <c r="J88" s="3">
        <v>95432.83</v>
      </c>
      <c r="K88" s="3">
        <v>95432.83</v>
      </c>
      <c r="L88" s="3">
        <v>95432.83</v>
      </c>
      <c r="M88" s="3">
        <v>95432.83</v>
      </c>
      <c r="N88" s="3">
        <v>95432.83</v>
      </c>
      <c r="O88" s="3">
        <f>SUM(C88:N88)</f>
        <v>1145193.96</v>
      </c>
      <c r="Q88" t="s">
        <v>179</v>
      </c>
    </row>
    <row r="89" spans="1:22" ht="16" thickBot="1" x14ac:dyDescent="0.25">
      <c r="A89" s="4"/>
      <c r="B89" s="4" t="s">
        <v>118</v>
      </c>
      <c r="C89" s="5">
        <f>C88</f>
        <v>95432.83</v>
      </c>
      <c r="D89" s="5">
        <f t="shared" ref="D89:N89" si="9">D88</f>
        <v>95432.83</v>
      </c>
      <c r="E89" s="5">
        <f t="shared" si="9"/>
        <v>95432.83</v>
      </c>
      <c r="F89" s="5">
        <f t="shared" si="9"/>
        <v>95432.83</v>
      </c>
      <c r="G89" s="5">
        <f t="shared" si="9"/>
        <v>95432.83</v>
      </c>
      <c r="H89" s="5">
        <f t="shared" si="9"/>
        <v>95432.83</v>
      </c>
      <c r="I89" s="5">
        <f t="shared" si="9"/>
        <v>95432.83</v>
      </c>
      <c r="J89" s="5">
        <f t="shared" si="9"/>
        <v>95432.83</v>
      </c>
      <c r="K89" s="5">
        <f t="shared" si="9"/>
        <v>95432.83</v>
      </c>
      <c r="L89" s="5">
        <f t="shared" si="9"/>
        <v>95432.83</v>
      </c>
      <c r="M89" s="5">
        <f t="shared" si="9"/>
        <v>95432.83</v>
      </c>
      <c r="N89" s="5">
        <f t="shared" si="9"/>
        <v>95432.83</v>
      </c>
      <c r="O89" s="5">
        <f>O88</f>
        <v>1145193.96</v>
      </c>
      <c r="V89" t="s">
        <v>182</v>
      </c>
    </row>
    <row r="91" spans="1:22" x14ac:dyDescent="0.2">
      <c r="A91" s="21" t="s">
        <v>119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</row>
    <row r="92" spans="1:22" x14ac:dyDescent="0.2">
      <c r="A92" s="2" t="s">
        <v>120</v>
      </c>
      <c r="B92" s="2" t="s">
        <v>121</v>
      </c>
      <c r="C92" s="3">
        <v>41666.67</v>
      </c>
      <c r="D92" s="3">
        <v>41666.67</v>
      </c>
      <c r="E92" s="3">
        <v>41666.67</v>
      </c>
      <c r="F92" s="3">
        <v>41666.67</v>
      </c>
      <c r="G92" s="3">
        <v>41666.67</v>
      </c>
      <c r="H92" s="3">
        <v>41666.67</v>
      </c>
      <c r="I92" s="3">
        <v>41666.67</v>
      </c>
      <c r="J92" s="3">
        <v>41666.67</v>
      </c>
      <c r="K92" s="3">
        <v>41666.67</v>
      </c>
      <c r="L92" s="3">
        <v>41666.67</v>
      </c>
      <c r="M92" s="3">
        <v>41666.67</v>
      </c>
      <c r="N92" s="3">
        <v>41666.67</v>
      </c>
      <c r="O92" s="3">
        <f>SUM(C92:N92)</f>
        <v>500000.03999999986</v>
      </c>
      <c r="Q92" t="s">
        <v>180</v>
      </c>
    </row>
    <row r="93" spans="1:22" x14ac:dyDescent="0.2">
      <c r="A93" s="2" t="s">
        <v>120</v>
      </c>
      <c r="B93" s="2" t="s">
        <v>122</v>
      </c>
      <c r="C93" s="3">
        <v>8261.25</v>
      </c>
      <c r="D93" s="3">
        <v>8261.25</v>
      </c>
      <c r="E93" s="3">
        <v>8261.25</v>
      </c>
      <c r="F93" s="3">
        <v>8261.25</v>
      </c>
      <c r="G93" s="3">
        <v>8261.25</v>
      </c>
      <c r="H93" s="3">
        <v>8261.25</v>
      </c>
      <c r="I93" s="3">
        <v>8261.25</v>
      </c>
      <c r="J93" s="3">
        <v>8261.25</v>
      </c>
      <c r="K93" s="3">
        <v>8261.25</v>
      </c>
      <c r="L93" s="3">
        <v>8261.25</v>
      </c>
      <c r="M93" s="3">
        <v>8261.25</v>
      </c>
      <c r="N93" s="3">
        <v>8261.25</v>
      </c>
      <c r="O93" s="3">
        <f>SUM(C93:N93)</f>
        <v>99135</v>
      </c>
    </row>
    <row r="94" spans="1:22" x14ac:dyDescent="0.2">
      <c r="A94" s="4"/>
      <c r="B94" s="4" t="s">
        <v>123</v>
      </c>
      <c r="C94" s="5">
        <f>SUM(C92:C93)</f>
        <v>49927.92</v>
      </c>
      <c r="D94" s="5">
        <f t="shared" ref="D94:N94" si="10">SUM(D92:D93)</f>
        <v>49927.92</v>
      </c>
      <c r="E94" s="5">
        <f t="shared" si="10"/>
        <v>49927.92</v>
      </c>
      <c r="F94" s="5">
        <f t="shared" si="10"/>
        <v>49927.92</v>
      </c>
      <c r="G94" s="5">
        <f t="shared" si="10"/>
        <v>49927.92</v>
      </c>
      <c r="H94" s="5">
        <f t="shared" si="10"/>
        <v>49927.92</v>
      </c>
      <c r="I94" s="5">
        <f t="shared" si="10"/>
        <v>49927.92</v>
      </c>
      <c r="J94" s="5">
        <f t="shared" si="10"/>
        <v>49927.92</v>
      </c>
      <c r="K94" s="5">
        <f t="shared" si="10"/>
        <v>49927.92</v>
      </c>
      <c r="L94" s="5">
        <f t="shared" si="10"/>
        <v>49927.92</v>
      </c>
      <c r="M94" s="5">
        <f t="shared" si="10"/>
        <v>49927.92</v>
      </c>
      <c r="N94" s="5">
        <f t="shared" si="10"/>
        <v>49927.92</v>
      </c>
      <c r="O94" s="5">
        <f>SUM(O92:O93)</f>
        <v>599135.0399999998</v>
      </c>
      <c r="V94" t="s">
        <v>182</v>
      </c>
    </row>
    <row r="96" spans="1:22" x14ac:dyDescent="0.2">
      <c r="A96" s="21" t="s">
        <v>124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</row>
    <row r="97" spans="1:22" x14ac:dyDescent="0.2">
      <c r="A97" s="2" t="s">
        <v>125</v>
      </c>
      <c r="B97" s="2" t="s">
        <v>126</v>
      </c>
      <c r="C97" s="3">
        <v>73500</v>
      </c>
      <c r="D97" s="3">
        <v>73500</v>
      </c>
      <c r="E97" s="3">
        <v>73500</v>
      </c>
      <c r="F97" s="3">
        <v>73500</v>
      </c>
      <c r="G97" s="3">
        <v>73500</v>
      </c>
      <c r="H97" s="3">
        <v>73500</v>
      </c>
      <c r="I97" s="3">
        <v>0</v>
      </c>
      <c r="J97" s="3">
        <v>0</v>
      </c>
      <c r="K97" s="3">
        <v>73500</v>
      </c>
      <c r="L97" s="3">
        <v>73500</v>
      </c>
      <c r="M97" s="3">
        <v>73500</v>
      </c>
      <c r="N97" s="3">
        <v>73500</v>
      </c>
      <c r="O97" s="3">
        <f>SUM(C97:N97)</f>
        <v>735000</v>
      </c>
      <c r="Q97" t="s">
        <v>181</v>
      </c>
    </row>
    <row r="98" spans="1:22" x14ac:dyDescent="0.2">
      <c r="A98" s="2" t="s">
        <v>125</v>
      </c>
      <c r="B98" s="2" t="s">
        <v>127</v>
      </c>
      <c r="C98" s="3">
        <v>23820.85</v>
      </c>
      <c r="D98" s="3">
        <v>23820.85</v>
      </c>
      <c r="E98" s="3">
        <v>23820.85</v>
      </c>
      <c r="F98" s="3">
        <v>23820.85</v>
      </c>
      <c r="G98" s="3">
        <v>23820.85</v>
      </c>
      <c r="H98" s="3">
        <v>23820.85</v>
      </c>
      <c r="I98" s="3">
        <v>23820.85</v>
      </c>
      <c r="J98" s="3">
        <v>23820.85</v>
      </c>
      <c r="K98" s="3">
        <v>23820.85</v>
      </c>
      <c r="L98" s="3">
        <v>23820.85</v>
      </c>
      <c r="M98" s="3">
        <v>23820.85</v>
      </c>
      <c r="N98" s="3">
        <v>23820.85</v>
      </c>
      <c r="O98" s="3">
        <f>SUM(C98:N98)</f>
        <v>285850.2</v>
      </c>
    </row>
    <row r="99" spans="1:22" x14ac:dyDescent="0.2">
      <c r="A99" s="2" t="s">
        <v>125</v>
      </c>
      <c r="B99" s="2" t="s">
        <v>128</v>
      </c>
      <c r="C99" s="3">
        <v>60250</v>
      </c>
      <c r="D99" s="3">
        <v>60250</v>
      </c>
      <c r="E99" s="3">
        <v>60250</v>
      </c>
      <c r="F99" s="3">
        <v>60250</v>
      </c>
      <c r="G99" s="3">
        <v>60250</v>
      </c>
      <c r="H99" s="3">
        <v>60250</v>
      </c>
      <c r="I99" s="3">
        <v>60250</v>
      </c>
      <c r="J99" s="3">
        <v>60250</v>
      </c>
      <c r="K99" s="3">
        <v>60250</v>
      </c>
      <c r="L99" s="3">
        <v>60250</v>
      </c>
      <c r="M99" s="3">
        <v>60250</v>
      </c>
      <c r="N99" s="3">
        <v>60250</v>
      </c>
      <c r="O99" s="3">
        <f>SUM(C99:N99)</f>
        <v>723000</v>
      </c>
    </row>
    <row r="100" spans="1:22" x14ac:dyDescent="0.2">
      <c r="A100" s="4"/>
      <c r="B100" s="4" t="s">
        <v>129</v>
      </c>
      <c r="C100" s="5">
        <f>SUM(C97:C99)</f>
        <v>157570.85</v>
      </c>
      <c r="D100" s="5">
        <f t="shared" ref="D100:N100" si="11">SUM(D97:D99)</f>
        <v>157570.85</v>
      </c>
      <c r="E100" s="5">
        <f t="shared" si="11"/>
        <v>157570.85</v>
      </c>
      <c r="F100" s="5">
        <f t="shared" si="11"/>
        <v>157570.85</v>
      </c>
      <c r="G100" s="5">
        <f t="shared" si="11"/>
        <v>157570.85</v>
      </c>
      <c r="H100" s="5">
        <f t="shared" si="11"/>
        <v>157570.85</v>
      </c>
      <c r="I100" s="5">
        <f t="shared" si="11"/>
        <v>84070.85</v>
      </c>
      <c r="J100" s="5">
        <f t="shared" si="11"/>
        <v>84070.85</v>
      </c>
      <c r="K100" s="5">
        <f t="shared" si="11"/>
        <v>157570.85</v>
      </c>
      <c r="L100" s="5">
        <f t="shared" si="11"/>
        <v>157570.85</v>
      </c>
      <c r="M100" s="5">
        <f t="shared" si="11"/>
        <v>157570.85</v>
      </c>
      <c r="N100" s="5">
        <f t="shared" si="11"/>
        <v>157570.85</v>
      </c>
      <c r="O100" s="5">
        <f>SUM(O97:O99)</f>
        <v>1743850.2</v>
      </c>
      <c r="V100" t="s">
        <v>182</v>
      </c>
    </row>
    <row r="102" spans="1:22" x14ac:dyDescent="0.2">
      <c r="C102" s="20">
        <f t="shared" ref="C102:N102" si="12">C23+C27-C46-C81-C85-C89+C94-C100</f>
        <v>289777.0399999998</v>
      </c>
      <c r="D102" s="20">
        <f t="shared" si="12"/>
        <v>289777.0399999998</v>
      </c>
      <c r="E102" s="20">
        <f t="shared" si="12"/>
        <v>289777.0399999998</v>
      </c>
      <c r="F102" s="20">
        <f t="shared" si="12"/>
        <v>472016.53999999992</v>
      </c>
      <c r="G102" s="20">
        <f t="shared" si="12"/>
        <v>472016.53999999992</v>
      </c>
      <c r="H102" s="20">
        <f t="shared" si="12"/>
        <v>7910068.040000001</v>
      </c>
      <c r="I102" s="20">
        <f t="shared" si="12"/>
        <v>-5526205.4899999993</v>
      </c>
      <c r="J102" s="20">
        <f t="shared" si="12"/>
        <v>-5526205.4899999993</v>
      </c>
      <c r="K102" s="20">
        <f t="shared" si="12"/>
        <v>1137988.0399999996</v>
      </c>
      <c r="L102" s="20">
        <f t="shared" si="12"/>
        <v>201988.03999999978</v>
      </c>
      <c r="M102" s="20">
        <f t="shared" si="12"/>
        <v>222138.03999999978</v>
      </c>
      <c r="N102" s="20">
        <f t="shared" si="12"/>
        <v>222138.03999999978</v>
      </c>
      <c r="O102" s="20">
        <f>O23+O27-O46-O81-O85-O89+O94-O100</f>
        <v>455273.4200000104</v>
      </c>
    </row>
    <row r="103" spans="1:22" x14ac:dyDescent="0.2">
      <c r="N103">
        <v>-1</v>
      </c>
    </row>
  </sheetData>
  <mergeCells count="10">
    <mergeCell ref="A96:O96"/>
    <mergeCell ref="A2:O2"/>
    <mergeCell ref="A1:O1"/>
    <mergeCell ref="A5:O5"/>
    <mergeCell ref="A48:O48"/>
    <mergeCell ref="A91:O91"/>
    <mergeCell ref="A83:O83"/>
    <mergeCell ref="A29:O29"/>
    <mergeCell ref="A87:O87"/>
    <mergeCell ref="A25:O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"/>
  <sheetViews>
    <sheetView showGridLines="0" tabSelected="1" workbookViewId="0">
      <pane xSplit="1" ySplit="4" topLeftCell="B12" activePane="bottomRight" state="frozen"/>
      <selection pane="topRight"/>
      <selection pane="bottomLeft"/>
      <selection pane="bottomRight" activeCell="N21" sqref="N21"/>
    </sheetView>
  </sheetViews>
  <sheetFormatPr baseColWidth="10" defaultColWidth="8.83203125" defaultRowHeight="15" x14ac:dyDescent="0.2"/>
  <cols>
    <col min="1" max="1" width="50" customWidth="1"/>
    <col min="2" max="14" width="14" customWidth="1"/>
  </cols>
  <sheetData>
    <row r="1" spans="1:15" ht="18" x14ac:dyDescent="0.2">
      <c r="A1" s="26" t="s">
        <v>130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5" x14ac:dyDescent="0.2">
      <c r="A2" s="23" t="s">
        <v>131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5" x14ac:dyDescent="0.2">
      <c r="A4" s="1"/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</row>
    <row r="5" spans="1:15" hidden="1" x14ac:dyDescent="0.2">
      <c r="A5" s="6" t="s">
        <v>132</v>
      </c>
    </row>
    <row r="6" spans="1:15" hidden="1" x14ac:dyDescent="0.2">
      <c r="A6" s="2" t="s">
        <v>133</v>
      </c>
      <c r="B6" s="3">
        <f>SUM('IFRS Mapping'!C6:C13)</f>
        <v>5820906.5299999993</v>
      </c>
      <c r="C6" s="3">
        <f>SUM('IFRS Mapping'!D6:D13)</f>
        <v>5820906.5299999993</v>
      </c>
      <c r="D6" s="3">
        <f>SUM('IFRS Mapping'!E6:E13)</f>
        <v>5820906.5299999993</v>
      </c>
      <c r="E6" s="3">
        <f>SUM('IFRS Mapping'!F6:F13)</f>
        <v>5820906.5299999993</v>
      </c>
      <c r="F6" s="3">
        <f>SUM('IFRS Mapping'!G6:G13)</f>
        <v>5820906.5299999993</v>
      </c>
      <c r="G6" s="3">
        <f>SUM('IFRS Mapping'!H6:H13)</f>
        <v>5820906.5299999993</v>
      </c>
      <c r="H6" s="3">
        <f>SUM('IFRS Mapping'!I6:I13)</f>
        <v>0</v>
      </c>
      <c r="I6" s="3">
        <f>SUM('IFRS Mapping'!J6:J13)</f>
        <v>0</v>
      </c>
      <c r="J6" s="3">
        <f>SUM('IFRS Mapping'!K6:K13)</f>
        <v>5820906.5299999993</v>
      </c>
      <c r="K6" s="3">
        <f>SUM('IFRS Mapping'!L6:L13)</f>
        <v>5820906.5299999993</v>
      </c>
      <c r="L6" s="3">
        <f>SUM('IFRS Mapping'!M6:M13)</f>
        <v>5820906.5299999993</v>
      </c>
      <c r="M6" s="3">
        <f>SUM('IFRS Mapping'!N6:N13)</f>
        <v>5820906.5299999993</v>
      </c>
      <c r="N6" s="3">
        <f t="shared" ref="N6:N12" si="0">SUM(B6:M6)</f>
        <v>58209065.300000004</v>
      </c>
    </row>
    <row r="7" spans="1:15" hidden="1" x14ac:dyDescent="0.2">
      <c r="A7" s="2" t="s">
        <v>134</v>
      </c>
      <c r="B7" s="3">
        <f>SUM('IFRS Mapping'!C14:C16)</f>
        <v>0</v>
      </c>
      <c r="C7" s="3">
        <f>SUM('IFRS Mapping'!D14:D16)</f>
        <v>0</v>
      </c>
      <c r="D7" s="3">
        <f>SUM('IFRS Mapping'!E14:E16)</f>
        <v>0</v>
      </c>
      <c r="E7" s="3">
        <f>SUM('IFRS Mapping'!F14:F16)</f>
        <v>0</v>
      </c>
      <c r="F7" s="3">
        <f>SUM('IFRS Mapping'!G14:G16)</f>
        <v>0</v>
      </c>
      <c r="G7" s="3">
        <f>SUM('IFRS Mapping'!H14:H16)</f>
        <v>7620291</v>
      </c>
      <c r="H7" s="3">
        <f>SUM('IFRS Mapping'!I14:I16)</f>
        <v>0</v>
      </c>
      <c r="I7" s="3">
        <f>SUM('IFRS Mapping'!J14:J16)</f>
        <v>0</v>
      </c>
      <c r="J7" s="3">
        <f>SUM('IFRS Mapping'!K14:K16)</f>
        <v>942250</v>
      </c>
      <c r="K7" s="3">
        <f>SUM('IFRS Mapping'!L14:L16)</f>
        <v>6250</v>
      </c>
      <c r="L7" s="3">
        <f>SUM('IFRS Mapping'!M14:M16)</f>
        <v>0</v>
      </c>
      <c r="M7" s="3">
        <f>SUM('IFRS Mapping'!N14:N16)</f>
        <v>0</v>
      </c>
      <c r="N7" s="3">
        <f t="shared" si="0"/>
        <v>8568791</v>
      </c>
    </row>
    <row r="8" spans="1:15" hidden="1" x14ac:dyDescent="0.2">
      <c r="A8" s="2" t="s">
        <v>135</v>
      </c>
      <c r="B8" s="3">
        <f>SUM('IFRS Mapping'!C17:C19)</f>
        <v>126000</v>
      </c>
      <c r="C8" s="3">
        <f>SUM('IFRS Mapping'!D17:D19)</f>
        <v>126000</v>
      </c>
      <c r="D8" s="3">
        <f>SUM('IFRS Mapping'!E17:E19)</f>
        <v>126000</v>
      </c>
      <c r="E8" s="3">
        <f>SUM('IFRS Mapping'!F17:F19)</f>
        <v>126000</v>
      </c>
      <c r="F8" s="3">
        <f>SUM('IFRS Mapping'!G17:G19)</f>
        <v>126000</v>
      </c>
      <c r="G8" s="3">
        <f>SUM('IFRS Mapping'!H17:H19)</f>
        <v>126000</v>
      </c>
      <c r="H8" s="3">
        <f>SUM('IFRS Mapping'!I17:I19)</f>
        <v>0</v>
      </c>
      <c r="I8" s="3">
        <f>SUM('IFRS Mapping'!J17:J19)</f>
        <v>0</v>
      </c>
      <c r="J8" s="3">
        <f>SUM('IFRS Mapping'!K17:K19)</f>
        <v>126000</v>
      </c>
      <c r="K8" s="3">
        <f>SUM('IFRS Mapping'!L17:L19)</f>
        <v>126000</v>
      </c>
      <c r="L8" s="3">
        <f>SUM('IFRS Mapping'!M17:M19)</f>
        <v>152400</v>
      </c>
      <c r="M8" s="3">
        <f>SUM('IFRS Mapping'!N17:N19)</f>
        <v>152400</v>
      </c>
      <c r="N8" s="3">
        <f t="shared" si="0"/>
        <v>1312800</v>
      </c>
    </row>
    <row r="9" spans="1:15" hidden="1" x14ac:dyDescent="0.2">
      <c r="A9" s="2" t="s">
        <v>136</v>
      </c>
      <c r="B9" s="3">
        <f>SUM('IFRS Mapping'!C20:C22)</f>
        <v>0</v>
      </c>
      <c r="C9" s="3">
        <f>SUM('IFRS Mapping'!D20:D22)</f>
        <v>0</v>
      </c>
      <c r="D9" s="3">
        <f>SUM('IFRS Mapping'!E20:E22)</f>
        <v>0</v>
      </c>
      <c r="E9" s="3">
        <f>SUM('IFRS Mapping'!F20:F22)</f>
        <v>182239.5</v>
      </c>
      <c r="F9" s="3">
        <f>SUM('IFRS Mapping'!G20:G22)</f>
        <v>182239.5</v>
      </c>
      <c r="G9" s="3">
        <f>SUM('IFRS Mapping'!H20:H22)</f>
        <v>0</v>
      </c>
      <c r="H9" s="3">
        <f>SUM('IFRS Mapping'!I20:I22)</f>
        <v>0</v>
      </c>
      <c r="I9" s="3">
        <f>SUM('IFRS Mapping'!J20:J22)</f>
        <v>0</v>
      </c>
      <c r="J9" s="3">
        <f>SUM('IFRS Mapping'!K20:K22)</f>
        <v>0</v>
      </c>
      <c r="K9" s="3">
        <f>SUM('IFRS Mapping'!L20:L22)</f>
        <v>0</v>
      </c>
      <c r="L9" s="3">
        <f>SUM('IFRS Mapping'!M20:M22)</f>
        <v>0</v>
      </c>
      <c r="M9" s="3">
        <f>SUM('IFRS Mapping'!N20:N22)</f>
        <v>0</v>
      </c>
      <c r="N9" s="3">
        <f t="shared" si="0"/>
        <v>364479</v>
      </c>
    </row>
    <row r="10" spans="1:15" hidden="1" x14ac:dyDescent="0.2">
      <c r="A10" s="7" t="s">
        <v>137</v>
      </c>
      <c r="B10" s="8">
        <f>SUM(B6:B9)</f>
        <v>5946906.5299999993</v>
      </c>
      <c r="C10" s="8">
        <f t="shared" ref="C10:M10" si="1">SUM(C6:C9)</f>
        <v>5946906.5299999993</v>
      </c>
      <c r="D10" s="8">
        <f t="shared" si="1"/>
        <v>5946906.5299999993</v>
      </c>
      <c r="E10" s="8">
        <f t="shared" si="1"/>
        <v>6129146.0299999993</v>
      </c>
      <c r="F10" s="8">
        <f t="shared" si="1"/>
        <v>6129146.0299999993</v>
      </c>
      <c r="G10" s="8">
        <f t="shared" si="1"/>
        <v>13567197.529999999</v>
      </c>
      <c r="H10" s="8">
        <f t="shared" si="1"/>
        <v>0</v>
      </c>
      <c r="I10" s="8">
        <f t="shared" si="1"/>
        <v>0</v>
      </c>
      <c r="J10" s="8">
        <f t="shared" si="1"/>
        <v>6889156.5299999993</v>
      </c>
      <c r="K10" s="8">
        <f t="shared" si="1"/>
        <v>5953156.5299999993</v>
      </c>
      <c r="L10" s="8">
        <f t="shared" si="1"/>
        <v>5973306.5299999993</v>
      </c>
      <c r="M10" s="8">
        <f t="shared" si="1"/>
        <v>5973306.5299999993</v>
      </c>
      <c r="N10" s="8">
        <f t="shared" si="0"/>
        <v>68455135.299999997</v>
      </c>
    </row>
    <row r="11" spans="1:15" hidden="1" x14ac:dyDescent="0.2">
      <c r="A11" s="2" t="s">
        <v>138</v>
      </c>
      <c r="B11" s="3">
        <f>'IFRS Mapping'!C27</f>
        <v>4269.17</v>
      </c>
      <c r="C11" s="3">
        <f>'IFRS Mapping'!D27</f>
        <v>4269.17</v>
      </c>
      <c r="D11" s="3">
        <f>'IFRS Mapping'!E27</f>
        <v>4269.17</v>
      </c>
      <c r="E11" s="3">
        <f>'IFRS Mapping'!F27</f>
        <v>4269.17</v>
      </c>
      <c r="F11" s="3">
        <f>'IFRS Mapping'!G27</f>
        <v>4269.17</v>
      </c>
      <c r="G11" s="3">
        <f>'IFRS Mapping'!H27</f>
        <v>4269.17</v>
      </c>
      <c r="H11" s="3">
        <f>'IFRS Mapping'!I27</f>
        <v>4269.17</v>
      </c>
      <c r="I11" s="3">
        <f>'IFRS Mapping'!J27</f>
        <v>4269.17</v>
      </c>
      <c r="J11" s="3">
        <f>'IFRS Mapping'!K27</f>
        <v>4269.17</v>
      </c>
      <c r="K11" s="3">
        <f>'IFRS Mapping'!L27</f>
        <v>4269.17</v>
      </c>
      <c r="L11" s="3">
        <f>'IFRS Mapping'!M27</f>
        <v>4269.17</v>
      </c>
      <c r="M11" s="3">
        <f>'IFRS Mapping'!N27</f>
        <v>4269.17</v>
      </c>
      <c r="N11" s="3">
        <f t="shared" si="0"/>
        <v>51230.039999999986</v>
      </c>
    </row>
    <row r="12" spans="1:15" x14ac:dyDescent="0.2">
      <c r="A12" s="4" t="s">
        <v>139</v>
      </c>
      <c r="B12" s="5">
        <f>B10+B11</f>
        <v>5951175.6999999993</v>
      </c>
      <c r="C12" s="5">
        <f t="shared" ref="C12:M12" si="2">C10+C11</f>
        <v>5951175.6999999993</v>
      </c>
      <c r="D12" s="5">
        <f t="shared" si="2"/>
        <v>5951175.6999999993</v>
      </c>
      <c r="E12" s="5">
        <f t="shared" si="2"/>
        <v>6133415.1999999993</v>
      </c>
      <c r="F12" s="5">
        <f t="shared" si="2"/>
        <v>6133415.1999999993</v>
      </c>
      <c r="G12" s="5">
        <f t="shared" si="2"/>
        <v>13571466.699999999</v>
      </c>
      <c r="H12" s="5">
        <f t="shared" si="2"/>
        <v>4269.17</v>
      </c>
      <c r="I12" s="5">
        <f t="shared" si="2"/>
        <v>4269.17</v>
      </c>
      <c r="J12" s="5">
        <f t="shared" si="2"/>
        <v>6893425.6999999993</v>
      </c>
      <c r="K12" s="5">
        <f t="shared" si="2"/>
        <v>5957425.6999999993</v>
      </c>
      <c r="L12" s="5">
        <f t="shared" si="2"/>
        <v>5977575.6999999993</v>
      </c>
      <c r="M12" s="5">
        <f t="shared" si="2"/>
        <v>5977575.6999999993</v>
      </c>
      <c r="N12" s="5">
        <f t="shared" si="0"/>
        <v>68506365.340000004</v>
      </c>
    </row>
    <row r="14" spans="1:15" x14ac:dyDescent="0.2">
      <c r="A14" s="6" t="s">
        <v>140</v>
      </c>
    </row>
    <row r="15" spans="1:15" x14ac:dyDescent="0.2">
      <c r="A15" s="2" t="s">
        <v>141</v>
      </c>
      <c r="B15" s="9">
        <f>-'IFRS Mapping'!C46</f>
        <v>-3052628.67</v>
      </c>
      <c r="C15" s="9">
        <f>-'IFRS Mapping'!D46</f>
        <v>-3052628.67</v>
      </c>
      <c r="D15" s="9">
        <f>-'IFRS Mapping'!E46</f>
        <v>-3052628.67</v>
      </c>
      <c r="E15" s="9">
        <f>-'IFRS Mapping'!F46</f>
        <v>-3052628.67</v>
      </c>
      <c r="F15" s="9">
        <f>-'IFRS Mapping'!G46</f>
        <v>-3052628.67</v>
      </c>
      <c r="G15" s="9">
        <f>-'IFRS Mapping'!H46</f>
        <v>-3052628.67</v>
      </c>
      <c r="H15" s="9">
        <f>-'IFRS Mapping'!I46</f>
        <v>-2995204.67</v>
      </c>
      <c r="I15" s="9">
        <f>-'IFRS Mapping'!J46</f>
        <v>-2995204.67</v>
      </c>
      <c r="J15" s="9">
        <f>-'IFRS Mapping'!K46</f>
        <v>-3146667.67</v>
      </c>
      <c r="K15" s="9">
        <f>-'IFRS Mapping'!L46</f>
        <v>-3146667.67</v>
      </c>
      <c r="L15" s="9">
        <f>-'IFRS Mapping'!M46</f>
        <v>-3146667.67</v>
      </c>
      <c r="M15" s="9">
        <f>-'IFRS Mapping'!N46</f>
        <v>-3146667.67</v>
      </c>
      <c r="N15" s="9">
        <f>SUM(B15:M15)</f>
        <v>-36892852.040000007</v>
      </c>
      <c r="O15" s="28">
        <f>N15/$N$12</f>
        <v>-0.53853173872090887</v>
      </c>
    </row>
    <row r="16" spans="1:15" x14ac:dyDescent="0.2">
      <c r="A16" s="2" t="s">
        <v>142</v>
      </c>
      <c r="B16" s="9">
        <f>-'IFRS Mapping'!C81</f>
        <v>-1965876.2299999995</v>
      </c>
      <c r="C16" s="9">
        <f>-'IFRS Mapping'!D81</f>
        <v>-1965876.2299999995</v>
      </c>
      <c r="D16" s="9">
        <f>-'IFRS Mapping'!E81</f>
        <v>-1965876.2299999995</v>
      </c>
      <c r="E16" s="9">
        <f>-'IFRS Mapping'!F81</f>
        <v>-1965876.2299999995</v>
      </c>
      <c r="F16" s="9">
        <f>-'IFRS Mapping'!G81</f>
        <v>-1965876.2299999995</v>
      </c>
      <c r="G16" s="9">
        <f>-'IFRS Mapping'!H81</f>
        <v>-1965876.2299999995</v>
      </c>
      <c r="H16" s="9">
        <f>-'IFRS Mapping'!I81</f>
        <v>-1965876.2299999995</v>
      </c>
      <c r="I16" s="9">
        <f>-'IFRS Mapping'!J81</f>
        <v>-1965876.2299999995</v>
      </c>
      <c r="J16" s="9">
        <f>-'IFRS Mapping'!K81</f>
        <v>-1965876.2299999995</v>
      </c>
      <c r="K16" s="9">
        <f>-'IFRS Mapping'!L81</f>
        <v>-1965876.2299999995</v>
      </c>
      <c r="L16" s="9">
        <f>-'IFRS Mapping'!M81</f>
        <v>-1965876.2299999995</v>
      </c>
      <c r="M16" s="9">
        <f>-'IFRS Mapping'!N81</f>
        <v>-1965876.2299999995</v>
      </c>
      <c r="N16" s="9">
        <f>SUM(B16:M16)</f>
        <v>-23590514.760000002</v>
      </c>
      <c r="O16" s="28">
        <f t="shared" ref="O16:O17" si="3">N16/$N$12</f>
        <v>-0.34435507770583468</v>
      </c>
    </row>
    <row r="17" spans="1:15" x14ac:dyDescent="0.2">
      <c r="A17" s="2" t="s">
        <v>143</v>
      </c>
      <c r="B17" s="9">
        <f>-'IFRS Mapping'!C85</f>
        <v>-439818</v>
      </c>
      <c r="C17" s="9">
        <f>-'IFRS Mapping'!D85</f>
        <v>-439818</v>
      </c>
      <c r="D17" s="9">
        <f>-'IFRS Mapping'!E85</f>
        <v>-439818</v>
      </c>
      <c r="E17" s="9">
        <f>-'IFRS Mapping'!F85</f>
        <v>-439818</v>
      </c>
      <c r="F17" s="9">
        <f>-'IFRS Mapping'!G85</f>
        <v>-439818</v>
      </c>
      <c r="G17" s="9">
        <f>-'IFRS Mapping'!H85</f>
        <v>-439818</v>
      </c>
      <c r="H17" s="9">
        <f>-'IFRS Mapping'!I85</f>
        <v>-439818</v>
      </c>
      <c r="I17" s="9">
        <f>-'IFRS Mapping'!J85</f>
        <v>-439818</v>
      </c>
      <c r="J17" s="9">
        <f>-'IFRS Mapping'!K85</f>
        <v>-439818</v>
      </c>
      <c r="K17" s="9">
        <f>-'IFRS Mapping'!L85</f>
        <v>-439818</v>
      </c>
      <c r="L17" s="9">
        <f>-'IFRS Mapping'!M85</f>
        <v>-439818</v>
      </c>
      <c r="M17" s="9">
        <f>-'IFRS Mapping'!N85</f>
        <v>-439818</v>
      </c>
      <c r="N17" s="9">
        <f>SUM(B17:M17)</f>
        <v>-5277816</v>
      </c>
      <c r="O17" s="28">
        <f t="shared" si="3"/>
        <v>-7.7041249726298791E-2</v>
      </c>
    </row>
    <row r="18" spans="1:15" hidden="1" x14ac:dyDescent="0.2">
      <c r="A18" s="2" t="s">
        <v>144</v>
      </c>
      <c r="B18" s="9">
        <f>-'IFRS Mapping'!C89</f>
        <v>-95432.83</v>
      </c>
      <c r="C18" s="9">
        <f>-'IFRS Mapping'!D89</f>
        <v>-95432.83</v>
      </c>
      <c r="D18" s="9">
        <f>-'IFRS Mapping'!E89</f>
        <v>-95432.83</v>
      </c>
      <c r="E18" s="9">
        <f>-'IFRS Mapping'!F89</f>
        <v>-95432.83</v>
      </c>
      <c r="F18" s="9">
        <f>-'IFRS Mapping'!G89</f>
        <v>-95432.83</v>
      </c>
      <c r="G18" s="9">
        <f>-'IFRS Mapping'!H89</f>
        <v>-95432.83</v>
      </c>
      <c r="H18" s="9">
        <f>-'IFRS Mapping'!I89</f>
        <v>-95432.83</v>
      </c>
      <c r="I18" s="9">
        <f>-'IFRS Mapping'!J89</f>
        <v>-95432.83</v>
      </c>
      <c r="J18" s="9">
        <f>-'IFRS Mapping'!K89</f>
        <v>-95432.83</v>
      </c>
      <c r="K18" s="9">
        <f>-'IFRS Mapping'!L89</f>
        <v>-95432.83</v>
      </c>
      <c r="L18" s="9">
        <f>-'IFRS Mapping'!M89</f>
        <v>-95432.83</v>
      </c>
      <c r="M18" s="9">
        <f>-'IFRS Mapping'!N89</f>
        <v>-95432.83</v>
      </c>
      <c r="N18" s="9">
        <f>SUM(B18:M18)</f>
        <v>-1145193.96</v>
      </c>
    </row>
    <row r="19" spans="1:15" x14ac:dyDescent="0.2">
      <c r="A19" s="4" t="s">
        <v>145</v>
      </c>
      <c r="B19" s="10">
        <f>SUM(B15:B18)</f>
        <v>-5553755.7299999995</v>
      </c>
      <c r="C19" s="10">
        <f t="shared" ref="C19:M19" si="4">SUM(C15:C18)</f>
        <v>-5553755.7299999995</v>
      </c>
      <c r="D19" s="10">
        <f t="shared" si="4"/>
        <v>-5553755.7299999995</v>
      </c>
      <c r="E19" s="10">
        <f t="shared" si="4"/>
        <v>-5553755.7299999995</v>
      </c>
      <c r="F19" s="10">
        <f t="shared" si="4"/>
        <v>-5553755.7299999995</v>
      </c>
      <c r="G19" s="10">
        <f t="shared" si="4"/>
        <v>-5553755.7299999995</v>
      </c>
      <c r="H19" s="10">
        <f t="shared" si="4"/>
        <v>-5496331.7299999995</v>
      </c>
      <c r="I19" s="10">
        <f t="shared" si="4"/>
        <v>-5496331.7299999995</v>
      </c>
      <c r="J19" s="10">
        <f t="shared" si="4"/>
        <v>-5647794.7299999995</v>
      </c>
      <c r="K19" s="10">
        <f t="shared" si="4"/>
        <v>-5647794.7299999995</v>
      </c>
      <c r="L19" s="10">
        <f t="shared" si="4"/>
        <v>-5647794.7299999995</v>
      </c>
      <c r="M19" s="10">
        <f t="shared" si="4"/>
        <v>-5647794.7299999995</v>
      </c>
      <c r="N19" s="10">
        <f>SUM(B19:M19)</f>
        <v>-66906376.759999983</v>
      </c>
      <c r="O19" s="28">
        <f>N19/$N$12</f>
        <v>-0.97664467276786315</v>
      </c>
    </row>
    <row r="21" spans="1:15" x14ac:dyDescent="0.2">
      <c r="A21" s="11" t="s">
        <v>146</v>
      </c>
      <c r="B21" s="12">
        <f>B12+B19</f>
        <v>397419.96999999974</v>
      </c>
      <c r="C21" s="12">
        <f t="shared" ref="C21:M21" si="5">C12+C19</f>
        <v>397419.96999999974</v>
      </c>
      <c r="D21" s="12">
        <f t="shared" si="5"/>
        <v>397419.96999999974</v>
      </c>
      <c r="E21" s="12">
        <f t="shared" si="5"/>
        <v>579659.46999999974</v>
      </c>
      <c r="F21" s="12">
        <f t="shared" si="5"/>
        <v>579659.46999999974</v>
      </c>
      <c r="G21" s="12">
        <f t="shared" si="5"/>
        <v>8017710.9699999997</v>
      </c>
      <c r="H21" s="12">
        <f t="shared" si="5"/>
        <v>-5492062.5599999996</v>
      </c>
      <c r="I21" s="12">
        <f t="shared" si="5"/>
        <v>-5492062.5599999996</v>
      </c>
      <c r="J21" s="12">
        <f t="shared" si="5"/>
        <v>1245630.9699999997</v>
      </c>
      <c r="K21" s="12">
        <f t="shared" si="5"/>
        <v>309630.96999999974</v>
      </c>
      <c r="L21" s="12">
        <f t="shared" si="5"/>
        <v>329780.96999999974</v>
      </c>
      <c r="M21" s="12">
        <f t="shared" si="5"/>
        <v>329780.96999999974</v>
      </c>
      <c r="N21" s="12">
        <f>SUM(B21:M21)</f>
        <v>1599988.5799999982</v>
      </c>
      <c r="O21" s="28">
        <f>N21/$N$12</f>
        <v>2.3355327232136559E-2</v>
      </c>
    </row>
    <row r="23" spans="1:15" hidden="1" x14ac:dyDescent="0.2">
      <c r="A23" s="6" t="s">
        <v>147</v>
      </c>
    </row>
    <row r="24" spans="1:15" hidden="1" x14ac:dyDescent="0.2">
      <c r="A24" s="2" t="s">
        <v>148</v>
      </c>
      <c r="B24" s="3">
        <f>'IFRS Mapping'!C94</f>
        <v>49927.92</v>
      </c>
      <c r="C24" s="3">
        <f>'IFRS Mapping'!D94</f>
        <v>49927.92</v>
      </c>
      <c r="D24" s="3">
        <f>'IFRS Mapping'!E94</f>
        <v>49927.92</v>
      </c>
      <c r="E24" s="3">
        <f>'IFRS Mapping'!F94</f>
        <v>49927.92</v>
      </c>
      <c r="F24" s="3">
        <f>'IFRS Mapping'!G94</f>
        <v>49927.92</v>
      </c>
      <c r="G24" s="3">
        <f>'IFRS Mapping'!H94</f>
        <v>49927.92</v>
      </c>
      <c r="H24" s="3">
        <f>'IFRS Mapping'!I94</f>
        <v>49927.92</v>
      </c>
      <c r="I24" s="3">
        <f>'IFRS Mapping'!J94</f>
        <v>49927.92</v>
      </c>
      <c r="J24" s="3">
        <f>'IFRS Mapping'!K94</f>
        <v>49927.92</v>
      </c>
      <c r="K24" s="3">
        <f>'IFRS Mapping'!L94</f>
        <v>49927.92</v>
      </c>
      <c r="L24" s="3">
        <f>'IFRS Mapping'!M94</f>
        <v>49927.92</v>
      </c>
      <c r="M24" s="3">
        <f>'IFRS Mapping'!N94</f>
        <v>49927.92</v>
      </c>
      <c r="N24" s="3">
        <f>SUM(B24:M24)</f>
        <v>599135.03999999992</v>
      </c>
    </row>
    <row r="25" spans="1:15" hidden="1" x14ac:dyDescent="0.2">
      <c r="A25" s="2" t="s">
        <v>149</v>
      </c>
      <c r="B25" s="9">
        <f>-'IFRS Mapping'!C100</f>
        <v>-157570.85</v>
      </c>
      <c r="C25" s="9">
        <f>-'IFRS Mapping'!D100</f>
        <v>-157570.85</v>
      </c>
      <c r="D25" s="9">
        <f>-'IFRS Mapping'!E100</f>
        <v>-157570.85</v>
      </c>
      <c r="E25" s="9">
        <f>-'IFRS Mapping'!F100</f>
        <v>-157570.85</v>
      </c>
      <c r="F25" s="9">
        <f>-'IFRS Mapping'!G100</f>
        <v>-157570.85</v>
      </c>
      <c r="G25" s="9">
        <f>-'IFRS Mapping'!H100</f>
        <v>-157570.85</v>
      </c>
      <c r="H25" s="9">
        <f>-'IFRS Mapping'!I100</f>
        <v>-84070.85</v>
      </c>
      <c r="I25" s="9">
        <f>-'IFRS Mapping'!J100</f>
        <v>-84070.85</v>
      </c>
      <c r="J25" s="9">
        <f>-'IFRS Mapping'!K100</f>
        <v>-157570.85</v>
      </c>
      <c r="K25" s="9">
        <f>-'IFRS Mapping'!L100</f>
        <v>-157570.85</v>
      </c>
      <c r="L25" s="9">
        <f>-'IFRS Mapping'!M100</f>
        <v>-157570.85</v>
      </c>
      <c r="M25" s="9">
        <f>-'IFRS Mapping'!N100</f>
        <v>-157570.85</v>
      </c>
      <c r="N25" s="9">
        <f>SUM(B25:M25)</f>
        <v>-1743850.2000000004</v>
      </c>
    </row>
    <row r="26" spans="1:15" x14ac:dyDescent="0.2">
      <c r="A26" s="7" t="s">
        <v>150</v>
      </c>
      <c r="B26" s="13">
        <f>B24+B25</f>
        <v>-107642.93000000001</v>
      </c>
      <c r="C26" s="13">
        <f t="shared" ref="C26:M26" si="6">C24+C25</f>
        <v>-107642.93000000001</v>
      </c>
      <c r="D26" s="13">
        <f t="shared" si="6"/>
        <v>-107642.93000000001</v>
      </c>
      <c r="E26" s="13">
        <f t="shared" si="6"/>
        <v>-107642.93000000001</v>
      </c>
      <c r="F26" s="13">
        <f t="shared" si="6"/>
        <v>-107642.93000000001</v>
      </c>
      <c r="G26" s="13">
        <f t="shared" si="6"/>
        <v>-107642.93000000001</v>
      </c>
      <c r="H26" s="13">
        <f t="shared" si="6"/>
        <v>-34142.930000000008</v>
      </c>
      <c r="I26" s="13">
        <f t="shared" si="6"/>
        <v>-34142.930000000008</v>
      </c>
      <c r="J26" s="13">
        <f t="shared" si="6"/>
        <v>-107642.93000000001</v>
      </c>
      <c r="K26" s="13">
        <f t="shared" si="6"/>
        <v>-107642.93000000001</v>
      </c>
      <c r="L26" s="13">
        <f t="shared" si="6"/>
        <v>-107642.93000000001</v>
      </c>
      <c r="M26" s="13">
        <f t="shared" si="6"/>
        <v>-107642.93000000001</v>
      </c>
      <c r="N26" s="13">
        <f>SUM(B26:M26)</f>
        <v>-1144715.1600000004</v>
      </c>
      <c r="O26" s="28">
        <f>N26/$N$12</f>
        <v>-1.6709617483262034E-2</v>
      </c>
    </row>
    <row r="28" spans="1:15" x14ac:dyDescent="0.2">
      <c r="A28" s="11" t="s">
        <v>151</v>
      </c>
      <c r="B28" s="12">
        <f>B21+B26</f>
        <v>289777.03999999975</v>
      </c>
      <c r="C28" s="12">
        <f t="shared" ref="C28:M28" si="7">C21+C26</f>
        <v>289777.03999999975</v>
      </c>
      <c r="D28" s="12">
        <f t="shared" si="7"/>
        <v>289777.03999999975</v>
      </c>
      <c r="E28" s="12">
        <f t="shared" si="7"/>
        <v>472016.53999999975</v>
      </c>
      <c r="F28" s="12">
        <f t="shared" si="7"/>
        <v>472016.53999999975</v>
      </c>
      <c r="G28" s="12">
        <f t="shared" si="7"/>
        <v>7910068.04</v>
      </c>
      <c r="H28" s="12">
        <f t="shared" si="7"/>
        <v>-5526205.4899999993</v>
      </c>
      <c r="I28" s="12">
        <f t="shared" si="7"/>
        <v>-5526205.4899999993</v>
      </c>
      <c r="J28" s="12">
        <f t="shared" si="7"/>
        <v>1137988.0399999998</v>
      </c>
      <c r="K28" s="12">
        <f t="shared" si="7"/>
        <v>201988.03999999975</v>
      </c>
      <c r="L28" s="12">
        <f t="shared" si="7"/>
        <v>222138.03999999975</v>
      </c>
      <c r="M28" s="12">
        <f t="shared" si="7"/>
        <v>222138.03999999975</v>
      </c>
      <c r="N28" s="12">
        <f>SUM(B28:M28)</f>
        <v>455273.41999999882</v>
      </c>
    </row>
    <row r="29" spans="1:15" x14ac:dyDescent="0.2">
      <c r="A29" s="2" t="s">
        <v>152</v>
      </c>
      <c r="B29" s="9">
        <f>IF(B28&gt;0,-B28*2.5%,0)</f>
        <v>-7244.425999999994</v>
      </c>
      <c r="C29" s="9">
        <f t="shared" ref="C29:M29" si="8">IF(C28&gt;0,-C28*2.5%,0)</f>
        <v>-7244.425999999994</v>
      </c>
      <c r="D29" s="9">
        <f t="shared" si="8"/>
        <v>-7244.425999999994</v>
      </c>
      <c r="E29" s="9">
        <f t="shared" si="8"/>
        <v>-11800.413499999995</v>
      </c>
      <c r="F29" s="9">
        <f t="shared" si="8"/>
        <v>-11800.413499999995</v>
      </c>
      <c r="G29" s="9">
        <f t="shared" si="8"/>
        <v>-197751.701</v>
      </c>
      <c r="H29" s="9">
        <f t="shared" si="8"/>
        <v>0</v>
      </c>
      <c r="I29" s="9">
        <f t="shared" si="8"/>
        <v>0</v>
      </c>
      <c r="J29" s="9">
        <f t="shared" si="8"/>
        <v>-28449.700999999997</v>
      </c>
      <c r="K29" s="9">
        <f t="shared" si="8"/>
        <v>-5049.7009999999937</v>
      </c>
      <c r="L29" s="9">
        <f t="shared" si="8"/>
        <v>-5553.4509999999937</v>
      </c>
      <c r="M29" s="9">
        <f t="shared" si="8"/>
        <v>-5553.4509999999937</v>
      </c>
      <c r="N29" s="9">
        <f>SUM(B29:M29)</f>
        <v>-287692.11</v>
      </c>
      <c r="O29" s="28">
        <f>N29/$N$12</f>
        <v>-4.1994945808637172E-3</v>
      </c>
    </row>
    <row r="31" spans="1:15" x14ac:dyDescent="0.2">
      <c r="A31" s="14" t="s">
        <v>153</v>
      </c>
      <c r="B31" s="15">
        <f>B28+B29</f>
        <v>282532.61399999977</v>
      </c>
      <c r="C31" s="15">
        <f t="shared" ref="C31:M31" si="9">C28+C29</f>
        <v>282532.61399999977</v>
      </c>
      <c r="D31" s="15">
        <f t="shared" si="9"/>
        <v>282532.61399999977</v>
      </c>
      <c r="E31" s="15">
        <f t="shared" si="9"/>
        <v>460216.12649999978</v>
      </c>
      <c r="F31" s="15">
        <f t="shared" si="9"/>
        <v>460216.12649999978</v>
      </c>
      <c r="G31" s="15">
        <f t="shared" si="9"/>
        <v>7712316.3389999997</v>
      </c>
      <c r="H31" s="15">
        <f t="shared" si="9"/>
        <v>-5526205.4899999993</v>
      </c>
      <c r="I31" s="15">
        <f t="shared" si="9"/>
        <v>-5526205.4899999993</v>
      </c>
      <c r="J31" s="15">
        <f t="shared" si="9"/>
        <v>1109538.3389999999</v>
      </c>
      <c r="K31" s="15">
        <f t="shared" si="9"/>
        <v>196938.33899999975</v>
      </c>
      <c r="L31" s="15">
        <f t="shared" si="9"/>
        <v>216584.58899999975</v>
      </c>
      <c r="M31" s="15">
        <f t="shared" si="9"/>
        <v>216584.58899999975</v>
      </c>
      <c r="N31" s="15">
        <f>SUM(B31:M31)</f>
        <v>167581.30999999907</v>
      </c>
    </row>
    <row r="33" spans="1:14" x14ac:dyDescent="0.2">
      <c r="A33" s="16" t="s">
        <v>154</v>
      </c>
    </row>
    <row r="34" spans="1:14" x14ac:dyDescent="0.2">
      <c r="A34" s="27" t="s">
        <v>155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x14ac:dyDescent="0.2">
      <c r="A35" s="27" t="s">
        <v>156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x14ac:dyDescent="0.2">
      <c r="A36" s="27" t="s">
        <v>157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x14ac:dyDescent="0.2">
      <c r="A37" s="27" t="s">
        <v>158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x14ac:dyDescent="0.2">
      <c r="A38" s="27" t="s">
        <v>159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</sheetData>
  <mergeCells count="7">
    <mergeCell ref="A1:N1"/>
    <mergeCell ref="A34:N34"/>
    <mergeCell ref="A35:N35"/>
    <mergeCell ref="A38:N38"/>
    <mergeCell ref="A2:N2"/>
    <mergeCell ref="A37:N37"/>
    <mergeCell ref="A36:N36"/>
  </mergeCells>
  <pageMargins left="0.75" right="0.75" top="1" bottom="1" header="0.5" footer="0.5"/>
  <ignoredErrors>
    <ignoredError sqref="B6:N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IFRS Mapping</vt:lpstr>
      <vt:lpstr>IFRS 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Faker Helali</cp:lastModifiedBy>
  <dcterms:created xsi:type="dcterms:W3CDTF">2026-02-06T18:58:47Z</dcterms:created>
  <dcterms:modified xsi:type="dcterms:W3CDTF">2026-02-08T19:06:31Z</dcterms:modified>
</cp:coreProperties>
</file>