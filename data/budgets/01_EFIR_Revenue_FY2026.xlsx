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get 2026 EFIR/Budget 2026/"/>
    </mc:Choice>
  </mc:AlternateContent>
  <xr:revisionPtr revIDLastSave="0" documentId="13_ncr:1_{7FF0533F-98D2-9044-BDAF-0BD86854C8DE}" xr6:coauthVersionLast="47" xr6:coauthVersionMax="47" xr10:uidLastSave="{00000000-0000-0000-0000-000000000000}"/>
  <bookViews>
    <workbookView xWindow="0" yWindow="780" windowWidth="41120" windowHeight="24020" activeTab="10" xr2:uid="{00000000-000D-0000-FFFF-FFFF00000000}"/>
  </bookViews>
  <sheets>
    <sheet name="INPUT_MAP" sheetId="13" r:id="rId1"/>
    <sheet name="ASSUMPTIONS" sheetId="1" r:id="rId2"/>
    <sheet name="FEE_GRID" sheetId="2" r:id="rId3"/>
    <sheet name="DISCOUNTS" sheetId="3" r:id="rId4"/>
    <sheet name="HISTORICAL" sheetId="4" r:id="rId5"/>
    <sheet name="ENROLLMENT_HEADCOUNT" sheetId="11" r:id="rId6"/>
    <sheet name="ENROLLMENT_DETAIL" sheetId="12" r:id="rId7"/>
    <sheet name="CLASS_CAPACITY" sheetId="6" r:id="rId8"/>
    <sheet name="OTHER_REVENUES" sheetId="7" r:id="rId9"/>
    <sheet name="REVENUE_ENGINE" sheetId="8" r:id="rId10"/>
    <sheet name="SCENARIOS" sheetId="10" r:id="rId11"/>
  </sheets>
  <definedNames>
    <definedName name="ACAD_BONAPARTE">ASSUMPTIONS!#REF!</definedName>
    <definedName name="ACADEMIC_MONTHS">ASSUMPTIONS!$B$9</definedName>
    <definedName name="APS_MONTHLY">ASSUMPTIONS!$B$37</definedName>
    <definedName name="AY1_LABEL">ASSUMPTIONS!$B$5</definedName>
    <definedName name="AY1_MONTHS">ASSUMPTIONS!$B$7</definedName>
    <definedName name="AY2_LABEL">ASSUMPTIONS!$B$6</definedName>
    <definedName name="AY2_MONTHS">ASSUMPTIONS!$B$8</definedName>
    <definedName name="BAC_FEES">ASSUMPTIONS!$B$42</definedName>
    <definedName name="BAD_DEBT_RATE">ASSUMPTIONS!#REF!</definedName>
    <definedName name="BANK_CHARGES">ASSUMPTIONS!#REF!</definedName>
    <definedName name="BOURSES_AEFE">ASSUMPTIONS!$B$50</definedName>
    <definedName name="BOURSES_AESH">ASSUMPTIONS!$B$51</definedName>
    <definedName name="BOUTIQUE">ASSUMPTIONS!#REF!</definedName>
    <definedName name="CAMPS_VACANCES">ASSUMPTIONS!#REF!</definedName>
    <definedName name="CENTRE_LOISIRS">ASSUMPTIONS!#REF!</definedName>
    <definedName name="CLASS_PHOTOS">ASSUMPTIONS!$B$39</definedName>
    <definedName name="CURRENCY">ASSUMPTIONS!$B$10</definedName>
    <definedName name="DAI_FEE_AUT">FEE_GRID!$B$22</definedName>
    <definedName name="DAI_FEE_FR">FEE_GRID!$B$6</definedName>
    <definedName name="DAI_FEE_NAT">FEE_GRID!$B$14</definedName>
    <definedName name="DISCOUNT_REDUIT">ASSUMPTIONS!$B$15</definedName>
    <definedName name="DISCOUNT_REDUIT_3PLUS">ASSUMPTIONS!$B$16</definedName>
    <definedName name="DNB_FEES">ASSUMPTIONS!$B$43</definedName>
    <definedName name="DPI_FEE">ASSUMPTIONS!#REF!</definedName>
    <definedName name="EAF_FEES">ASSUMPTIONS!$B$44</definedName>
    <definedName name="EVAL_TESTS">ASSUMPTIONS!$B$34</definedName>
    <definedName name="FISCAL_YEAR">ASSUMPTIONS!$B$4</definedName>
    <definedName name="FX_GAINS">ASSUMPTIONS!#REF!</definedName>
    <definedName name="FX_LOSSES">ASSUMPTIONS!#REF!</definedName>
    <definedName name="GARDERIE_MONTHLY">ASSUMPTIONS!$B$38</definedName>
    <definedName name="INVEST_INCOME">ASSUMPTIONS!#REF!</definedName>
    <definedName name="KERMESSE">ASSUMPTIONS!#REF!</definedName>
    <definedName name="LATERAL_1ERE">ASSUMPTIONS!#REF!</definedName>
    <definedName name="LATERAL_2NDE">ASSUMPTIONS!#REF!</definedName>
    <definedName name="LATERAL_3EME">ASSUMPTIONS!#REF!</definedName>
    <definedName name="LATERAL_4EME">ASSUMPTIONS!#REF!</definedName>
    <definedName name="LATERAL_5EME">ASSUMPTIONS!#REF!</definedName>
    <definedName name="LATERAL_6EME">ASSUMPTIONS!#REF!</definedName>
    <definedName name="LATERAL_CE1">ASSUMPTIONS!#REF!</definedName>
    <definedName name="LATERAL_CE2">ASSUMPTIONS!#REF!</definedName>
    <definedName name="LATERAL_CM1">ASSUMPTIONS!#REF!</definedName>
    <definedName name="LATERAL_CM2">ASSUMPTIONS!#REF!</definedName>
    <definedName name="LATERAL_CP">ASSUMPTIONS!#REF!</definedName>
    <definedName name="LATERAL_GS">ASSUMPTIONS!#REF!</definedName>
    <definedName name="LATERAL_MS">ASSUMPTIONS!#REF!</definedName>
    <definedName name="LATERAL_PS">ASSUMPTIONS!#REF!</definedName>
    <definedName name="LATERAL_TERM">ASSUMPTIONS!#REF!</definedName>
    <definedName name="LATERAL_WEIGHT_RECENT">ASSUMPTIONS!$B$61</definedName>
    <definedName name="LOCATION_LOCAUX">ASSUMPTIONS!#REF!</definedName>
    <definedName name="MAX_CLASS_COLLEGE">ASSUMPTIONS!#REF!</definedName>
    <definedName name="MAX_CLASS_ELEMENTAIRE">ASSUMPTIONS!#REF!</definedName>
    <definedName name="MAX_CLASS_LYCEE">ASSUMPTIONS!#REF!</definedName>
    <definedName name="MAX_CLASS_MATERNELLE">ASSUMPTIONS!#REF!</definedName>
    <definedName name="MAX_CLASS_MATERNELLE_PS">ASSUMPTIONS!#REF!</definedName>
    <definedName name="MOYASAR_RATE">ASSUMPTIONS!#REF!</definedName>
    <definedName name="NEW_PS_INTAKE">ASSUMPTIONS!$B$60</definedName>
    <definedName name="NEW_STUDENTS">ASSUMPTIONS!$B$19</definedName>
    <definedName name="NEW_STUDENTS_AUT">ASSUMPTIONS!$B$23</definedName>
    <definedName name="NEW_STUDENTS_FR">ASSUMPTIONS!$B$21</definedName>
    <definedName name="NEW_STUDENTS_MATERNELLE">ASSUMPTIONS!$B$27</definedName>
    <definedName name="NEW_STUDENTS_NAT">ASSUMPTIONS!$B$22</definedName>
    <definedName name="NEW_STUDENTS_PRIMAIRE">ASSUMPTIONS!$B$28</definedName>
    <definedName name="NEW_STUDENTS_SECONDAIRE">ASSUMPTIONS!$B$29</definedName>
    <definedName name="PISCINE">ASSUMPTIONS!#REF!</definedName>
    <definedName name="PROJ_BAL_LYCEEN">ASSUMPTIONS!#REF!</definedName>
    <definedName name="PROJ_CGSMUN">ASSUMPTIONS!#REF!</definedName>
    <definedName name="PROJ_CREASCHOOL">ASSUMPTIONS!#REF!</definedName>
    <definedName name="PROJ_EGYPT">ASSUMPTIONS!#REF!</definedName>
    <definedName name="PROJ_GREECE">ASSUMPTIONS!#REF!</definedName>
    <definedName name="PROJ_OTHER_PROJECTS">ASSUMPTIONS!#REF!</definedName>
    <definedName name="PROJ_SNOW_TRIP_NEIGE">ASSUMPTIONS!#REF!</definedName>
    <definedName name="PROJ_THIMUN">ASSUMPTIONS!#REF!</definedName>
    <definedName name="PSG_RENTAL">ASSUMPTIONS!$B$54</definedName>
    <definedName name="RETENTION_ADJUSTMENT">ASSUMPTIONS!#REF!</definedName>
    <definedName name="RETENTION_RATE">ASSUMPTIONS!#REF!</definedName>
    <definedName name="SECTION_ARABE">ASSUMPTIONS!#REF!</definedName>
    <definedName name="SECTION_BRIT">ASSUMPTIONS!#REF!</definedName>
    <definedName name="SIELE_FEES">ASSUMPTIONS!$B$45</definedName>
    <definedName name="VAT_RATE">ASSUMPTIONS!$B$13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J46" i="11"/>
  <c r="J45" i="11"/>
  <c r="J44" i="11"/>
  <c r="J40" i="11"/>
  <c r="J39" i="11"/>
  <c r="J37" i="11"/>
  <c r="J35" i="11"/>
  <c r="J34" i="11"/>
  <c r="J33" i="11"/>
  <c r="J32" i="11"/>
  <c r="D17" i="10"/>
  <c r="C17" i="10"/>
  <c r="D15" i="10"/>
  <c r="C15" i="10"/>
  <c r="D14" i="10"/>
  <c r="C14" i="10"/>
  <c r="B14" i="10"/>
  <c r="C23" i="10" s="1"/>
  <c r="B33" i="1"/>
  <c r="B15" i="10" l="1"/>
  <c r="D23" i="10"/>
  <c r="D24" i="10" l="1"/>
  <c r="B17" i="10"/>
  <c r="C24" i="10"/>
  <c r="F33" i="11" l="1"/>
  <c r="C35" i="11"/>
  <c r="C34" i="11"/>
  <c r="C33" i="11"/>
  <c r="F26" i="11"/>
  <c r="F23" i="11"/>
  <c r="F20" i="11"/>
  <c r="E42" i="1" s="1"/>
  <c r="B42" i="1" s="1"/>
  <c r="F19" i="11"/>
  <c r="E44" i="1" s="1"/>
  <c r="B44" i="1" s="1"/>
  <c r="F18" i="11"/>
  <c r="F17" i="11"/>
  <c r="E43" i="1" s="1"/>
  <c r="B43" i="1" s="1"/>
  <c r="F16" i="11"/>
  <c r="F15" i="11"/>
  <c r="F14" i="11"/>
  <c r="F13" i="11"/>
  <c r="F12" i="11"/>
  <c r="F25" i="11" s="1"/>
  <c r="F11" i="11"/>
  <c r="F10" i="11"/>
  <c r="F9" i="11"/>
  <c r="C36" i="11" s="1"/>
  <c r="F8" i="11"/>
  <c r="F7" i="11"/>
  <c r="F24" i="11" s="1"/>
  <c r="F6" i="11"/>
  <c r="B30" i="7"/>
  <c r="H30" i="7" s="1"/>
  <c r="F27" i="11" l="1"/>
  <c r="F28" i="11" s="1"/>
  <c r="C46" i="11"/>
  <c r="I30" i="7"/>
  <c r="K30" i="7"/>
  <c r="L30" i="7"/>
  <c r="M30" i="7"/>
  <c r="N30" i="7"/>
  <c r="O30" i="7"/>
  <c r="J30" i="7"/>
  <c r="D30" i="7"/>
  <c r="E30" i="7"/>
  <c r="F30" i="7"/>
  <c r="G30" i="7"/>
  <c r="P30" i="7" l="1"/>
  <c r="Q30" i="7" s="1"/>
  <c r="J45" i="7" l="1"/>
  <c r="K45" i="7"/>
  <c r="B45" i="7"/>
  <c r="E45" i="7" s="1"/>
  <c r="J44" i="7"/>
  <c r="K44" i="7"/>
  <c r="B44" i="7"/>
  <c r="F44" i="7" s="1"/>
  <c r="B40" i="7"/>
  <c r="L40" i="7" s="1"/>
  <c r="K34" i="8" s="1"/>
  <c r="B38" i="7"/>
  <c r="L38" i="7" s="1"/>
  <c r="K33" i="8" s="1"/>
  <c r="B36" i="7"/>
  <c r="L36" i="7" s="1"/>
  <c r="K32" i="8" s="1"/>
  <c r="B34" i="7"/>
  <c r="H34" i="7" s="1"/>
  <c r="B28" i="7"/>
  <c r="H28" i="7" s="1"/>
  <c r="G27" i="8" s="1"/>
  <c r="J27" i="7"/>
  <c r="I26" i="8" s="1"/>
  <c r="K27" i="7"/>
  <c r="J26" i="8" s="1"/>
  <c r="B27" i="7"/>
  <c r="I27" i="7" s="1"/>
  <c r="H26" i="8" s="1"/>
  <c r="J26" i="7"/>
  <c r="K26" i="7"/>
  <c r="B26" i="7"/>
  <c r="D20" i="7"/>
  <c r="E20" i="7"/>
  <c r="F20" i="7"/>
  <c r="G20" i="7"/>
  <c r="J20" i="7"/>
  <c r="K20" i="7"/>
  <c r="L20" i="7"/>
  <c r="M20" i="7"/>
  <c r="N20" i="7"/>
  <c r="O20" i="7"/>
  <c r="D19" i="7"/>
  <c r="E19" i="7"/>
  <c r="F19" i="7"/>
  <c r="G19" i="7"/>
  <c r="J19" i="7"/>
  <c r="K19" i="7"/>
  <c r="L19" i="7"/>
  <c r="M19" i="7"/>
  <c r="N19" i="7"/>
  <c r="O19" i="7"/>
  <c r="D18" i="7"/>
  <c r="E18" i="7"/>
  <c r="F18" i="7"/>
  <c r="G18" i="7"/>
  <c r="J18" i="7"/>
  <c r="K18" i="7"/>
  <c r="L18" i="7"/>
  <c r="M18" i="7"/>
  <c r="N18" i="7"/>
  <c r="O18" i="7"/>
  <c r="D11" i="7"/>
  <c r="E11" i="7"/>
  <c r="F11" i="7"/>
  <c r="G11" i="7"/>
  <c r="J11" i="7"/>
  <c r="K11" i="7"/>
  <c r="L11" i="7"/>
  <c r="M11" i="7"/>
  <c r="N11" i="7"/>
  <c r="O11" i="7"/>
  <c r="D10" i="7"/>
  <c r="E10" i="7"/>
  <c r="F10" i="7"/>
  <c r="G10" i="7"/>
  <c r="J10" i="7"/>
  <c r="K10" i="7"/>
  <c r="L10" i="7"/>
  <c r="M10" i="7"/>
  <c r="N10" i="7"/>
  <c r="O10" i="7"/>
  <c r="D9" i="7"/>
  <c r="E9" i="7"/>
  <c r="F9" i="7"/>
  <c r="G9" i="7"/>
  <c r="J9" i="7"/>
  <c r="K9" i="7"/>
  <c r="L9" i="7"/>
  <c r="M9" i="7"/>
  <c r="N9" i="7"/>
  <c r="O9" i="7"/>
  <c r="D8" i="7"/>
  <c r="E8" i="7"/>
  <c r="F8" i="7"/>
  <c r="G8" i="7"/>
  <c r="J8" i="7"/>
  <c r="K8" i="7"/>
  <c r="L8" i="7"/>
  <c r="M8" i="7"/>
  <c r="N8" i="7"/>
  <c r="O8" i="7"/>
  <c r="D7" i="7"/>
  <c r="E7" i="7"/>
  <c r="F7" i="7"/>
  <c r="G7" i="7"/>
  <c r="J7" i="7"/>
  <c r="K7" i="7"/>
  <c r="L7" i="7"/>
  <c r="M7" i="7"/>
  <c r="N7" i="7"/>
  <c r="O7" i="7"/>
  <c r="D6" i="7"/>
  <c r="E6" i="7"/>
  <c r="F6" i="7"/>
  <c r="G6" i="7"/>
  <c r="J6" i="7"/>
  <c r="K6" i="7"/>
  <c r="L6" i="7"/>
  <c r="M6" i="7"/>
  <c r="N6" i="7"/>
  <c r="O6" i="7"/>
  <c r="C105" i="2"/>
  <c r="D105" i="2" s="1"/>
  <c r="C104" i="2"/>
  <c r="D104" i="2" s="1"/>
  <c r="C103" i="2"/>
  <c r="D103" i="2" s="1"/>
  <c r="C102" i="2"/>
  <c r="D102" i="2" s="1"/>
  <c r="C98" i="2"/>
  <c r="C97" i="2"/>
  <c r="C96" i="2"/>
  <c r="C95" i="2"/>
  <c r="C91" i="2"/>
  <c r="D91" i="2" s="1"/>
  <c r="C90" i="2"/>
  <c r="D90" i="2" s="1"/>
  <c r="C89" i="2"/>
  <c r="C88" i="2"/>
  <c r="D88" i="2" s="1"/>
  <c r="C83" i="2"/>
  <c r="D83" i="2" s="1"/>
  <c r="C82" i="2"/>
  <c r="D82" i="2" s="1"/>
  <c r="C81" i="2"/>
  <c r="D81" i="2" s="1"/>
  <c r="C80" i="2"/>
  <c r="D80" i="2" s="1"/>
  <c r="C76" i="2"/>
  <c r="C75" i="2"/>
  <c r="C74" i="2"/>
  <c r="C73" i="2"/>
  <c r="C69" i="2"/>
  <c r="D69" i="2" s="1"/>
  <c r="C68" i="2"/>
  <c r="D68" i="2" s="1"/>
  <c r="C67" i="2"/>
  <c r="D67" i="2" s="1"/>
  <c r="C66" i="2"/>
  <c r="D66" i="2" s="1"/>
  <c r="D89" i="2" l="1"/>
  <c r="B32" i="1"/>
  <c r="I25" i="8"/>
  <c r="L26" i="7"/>
  <c r="B31" i="7"/>
  <c r="J25" i="8"/>
  <c r="F28" i="7"/>
  <c r="E27" i="8" s="1"/>
  <c r="F26" i="7"/>
  <c r="D26" i="7"/>
  <c r="E26" i="7"/>
  <c r="J21" i="7"/>
  <c r="I20" i="8" s="1"/>
  <c r="E28" i="7"/>
  <c r="D27" i="8" s="1"/>
  <c r="D28" i="7"/>
  <c r="C27" i="8" s="1"/>
  <c r="N21" i="7"/>
  <c r="M20" i="8" s="1"/>
  <c r="J40" i="7"/>
  <c r="I34" i="8" s="1"/>
  <c r="I40" i="7"/>
  <c r="H34" i="8" s="1"/>
  <c r="H40" i="7"/>
  <c r="G34" i="8" s="1"/>
  <c r="G40" i="7"/>
  <c r="F34" i="8" s="1"/>
  <c r="G21" i="7"/>
  <c r="F20" i="8" s="1"/>
  <c r="F40" i="7"/>
  <c r="E34" i="8" s="1"/>
  <c r="I28" i="7"/>
  <c r="H27" i="8" s="1"/>
  <c r="E40" i="7"/>
  <c r="D34" i="8" s="1"/>
  <c r="G28" i="7"/>
  <c r="F27" i="8" s="1"/>
  <c r="D44" i="7"/>
  <c r="O44" i="7"/>
  <c r="M44" i="7"/>
  <c r="H27" i="7"/>
  <c r="G26" i="8" s="1"/>
  <c r="F27" i="7"/>
  <c r="E26" i="8" s="1"/>
  <c r="D27" i="7"/>
  <c r="C26" i="8" s="1"/>
  <c r="O26" i="7"/>
  <c r="E34" i="7"/>
  <c r="D31" i="8" s="1"/>
  <c r="E27" i="7"/>
  <c r="D26" i="8" s="1"/>
  <c r="I26" i="7"/>
  <c r="O40" i="7"/>
  <c r="N34" i="8" s="1"/>
  <c r="H26" i="7"/>
  <c r="O28" i="7"/>
  <c r="N27" i="8" s="1"/>
  <c r="M40" i="7"/>
  <c r="L34" i="8" s="1"/>
  <c r="B46" i="7"/>
  <c r="G27" i="7"/>
  <c r="F26" i="8" s="1"/>
  <c r="M26" i="7"/>
  <c r="G26" i="7"/>
  <c r="M28" i="7"/>
  <c r="L27" i="8" s="1"/>
  <c r="K40" i="7"/>
  <c r="J34" i="8" s="1"/>
  <c r="E44" i="7"/>
  <c r="D45" i="7"/>
  <c r="E21" i="7"/>
  <c r="D20" i="8" s="1"/>
  <c r="O45" i="7"/>
  <c r="O27" i="7"/>
  <c r="N26" i="8" s="1"/>
  <c r="N28" i="7"/>
  <c r="M27" i="8" s="1"/>
  <c r="D40" i="7"/>
  <c r="C34" i="8" s="1"/>
  <c r="N44" i="7"/>
  <c r="M45" i="7"/>
  <c r="F21" i="7"/>
  <c r="E20" i="8" s="1"/>
  <c r="L45" i="7"/>
  <c r="O21" i="7"/>
  <c r="N20" i="8" s="1"/>
  <c r="N26" i="7"/>
  <c r="M27" i="7"/>
  <c r="L26" i="8" s="1"/>
  <c r="L28" i="7"/>
  <c r="K27" i="8" s="1"/>
  <c r="L44" i="7"/>
  <c r="N45" i="7"/>
  <c r="N27" i="7"/>
  <c r="M26" i="8" s="1"/>
  <c r="L27" i="7"/>
  <c r="K26" i="8" s="1"/>
  <c r="K28" i="7"/>
  <c r="J27" i="8" s="1"/>
  <c r="L21" i="7"/>
  <c r="K20" i="8" s="1"/>
  <c r="J28" i="7"/>
  <c r="J31" i="7" s="1"/>
  <c r="N40" i="7"/>
  <c r="M34" i="8" s="1"/>
  <c r="J46" i="7"/>
  <c r="I45" i="7"/>
  <c r="I44" i="7"/>
  <c r="H45" i="7"/>
  <c r="C25" i="8"/>
  <c r="D21" i="7"/>
  <c r="C20" i="8" s="1"/>
  <c r="K21" i="7"/>
  <c r="J20" i="8" s="1"/>
  <c r="H44" i="7"/>
  <c r="G45" i="7"/>
  <c r="G44" i="7"/>
  <c r="F45" i="7"/>
  <c r="D38" i="7"/>
  <c r="C33" i="8" s="1"/>
  <c r="K38" i="7"/>
  <c r="J33" i="8" s="1"/>
  <c r="I38" i="7"/>
  <c r="H33" i="8" s="1"/>
  <c r="H38" i="7"/>
  <c r="G33" i="8" s="1"/>
  <c r="G38" i="7"/>
  <c r="F33" i="8" s="1"/>
  <c r="F38" i="7"/>
  <c r="E33" i="8" s="1"/>
  <c r="J36" i="7"/>
  <c r="I32" i="8" s="1"/>
  <c r="F36" i="7"/>
  <c r="E32" i="8" s="1"/>
  <c r="E36" i="7"/>
  <c r="D32" i="8" s="1"/>
  <c r="D36" i="7"/>
  <c r="C32" i="8" s="1"/>
  <c r="G36" i="7"/>
  <c r="F32" i="8" s="1"/>
  <c r="I36" i="7"/>
  <c r="H32" i="8" s="1"/>
  <c r="O36" i="7"/>
  <c r="N32" i="8" s="1"/>
  <c r="H36" i="7"/>
  <c r="G32" i="8" s="1"/>
  <c r="N36" i="7"/>
  <c r="M32" i="8" s="1"/>
  <c r="M36" i="7"/>
  <c r="L32" i="8" s="1"/>
  <c r="K36" i="7"/>
  <c r="J32" i="8" s="1"/>
  <c r="D34" i="7"/>
  <c r="C31" i="8" s="1"/>
  <c r="N34" i="7"/>
  <c r="M31" i="8" s="1"/>
  <c r="F34" i="7"/>
  <c r="E31" i="8" s="1"/>
  <c r="B42" i="7"/>
  <c r="J38" i="7"/>
  <c r="I33" i="8" s="1"/>
  <c r="E38" i="7"/>
  <c r="D33" i="8" s="1"/>
  <c r="N38" i="7"/>
  <c r="M33" i="8" s="1"/>
  <c r="O38" i="7"/>
  <c r="N33" i="8" s="1"/>
  <c r="M38" i="7"/>
  <c r="L33" i="8" s="1"/>
  <c r="G34" i="7"/>
  <c r="F31" i="8" s="1"/>
  <c r="M34" i="7"/>
  <c r="L34" i="7"/>
  <c r="K34" i="7"/>
  <c r="J31" i="8" s="1"/>
  <c r="O34" i="7"/>
  <c r="N31" i="8" s="1"/>
  <c r="J34" i="7"/>
  <c r="I34" i="7"/>
  <c r="H31" i="8" s="1"/>
  <c r="K46" i="7"/>
  <c r="G31" i="8"/>
  <c r="M21" i="7"/>
  <c r="L20" i="8" s="1"/>
  <c r="I32" i="11"/>
  <c r="M25" i="8" l="1"/>
  <c r="N31" i="7"/>
  <c r="E25" i="8"/>
  <c r="F31" i="7"/>
  <c r="G25" i="8"/>
  <c r="H31" i="7"/>
  <c r="F25" i="8"/>
  <c r="G31" i="7"/>
  <c r="L25" i="8"/>
  <c r="M31" i="7"/>
  <c r="D25" i="8"/>
  <c r="E31" i="7"/>
  <c r="D31" i="7"/>
  <c r="H25" i="8"/>
  <c r="I31" i="7"/>
  <c r="K31" i="7"/>
  <c r="K25" i="8"/>
  <c r="L31" i="7"/>
  <c r="N25" i="8"/>
  <c r="O31" i="7"/>
  <c r="H46" i="7"/>
  <c r="D46" i="7"/>
  <c r="L46" i="7"/>
  <c r="P28" i="7"/>
  <c r="Q28" i="7" s="1"/>
  <c r="G46" i="7"/>
  <c r="M46" i="7"/>
  <c r="P40" i="7"/>
  <c r="Q40" i="7" s="1"/>
  <c r="N42" i="7"/>
  <c r="I27" i="8"/>
  <c r="F42" i="7"/>
  <c r="P27" i="7"/>
  <c r="Q27" i="7" s="1"/>
  <c r="O46" i="7"/>
  <c r="I46" i="7"/>
  <c r="N46" i="7"/>
  <c r="P45" i="7"/>
  <c r="Q45" i="7" s="1"/>
  <c r="P44" i="7"/>
  <c r="Q44" i="7" s="1"/>
  <c r="P26" i="7"/>
  <c r="Q26" i="7" s="1"/>
  <c r="E46" i="7"/>
  <c r="F46" i="7"/>
  <c r="D42" i="7"/>
  <c r="E42" i="7"/>
  <c r="H42" i="7"/>
  <c r="K42" i="7"/>
  <c r="P36" i="7"/>
  <c r="Q36" i="7" s="1"/>
  <c r="I42" i="7"/>
  <c r="G42" i="7"/>
  <c r="P38" i="7"/>
  <c r="Q38" i="7" s="1"/>
  <c r="J42" i="7"/>
  <c r="I31" i="8"/>
  <c r="L31" i="8"/>
  <c r="M42" i="7"/>
  <c r="L42" i="7"/>
  <c r="K31" i="8"/>
  <c r="O42" i="7"/>
  <c r="P34" i="7"/>
  <c r="Q34" i="7" s="1"/>
  <c r="D65" i="3"/>
  <c r="B65" i="3"/>
  <c r="B63" i="3"/>
  <c r="D62" i="3"/>
  <c r="B62" i="3"/>
  <c r="B61" i="3"/>
  <c r="E29" i="12"/>
  <c r="C29" i="12"/>
  <c r="M28" i="12"/>
  <c r="L28" i="12"/>
  <c r="K28" i="12"/>
  <c r="J28" i="12"/>
  <c r="I28" i="12"/>
  <c r="I29" i="12" s="1"/>
  <c r="H28" i="12"/>
  <c r="G28" i="12"/>
  <c r="E28" i="12"/>
  <c r="D28" i="12"/>
  <c r="C28" i="12"/>
  <c r="M27" i="12"/>
  <c r="L27" i="12"/>
  <c r="K27" i="12"/>
  <c r="J27" i="12"/>
  <c r="I27" i="12"/>
  <c r="H27" i="12"/>
  <c r="D64" i="3" s="1"/>
  <c r="G27" i="12"/>
  <c r="B64" i="3" s="1"/>
  <c r="E27" i="12"/>
  <c r="D27" i="12"/>
  <c r="C27" i="12"/>
  <c r="M26" i="12"/>
  <c r="L26" i="12"/>
  <c r="D63" i="3" s="1"/>
  <c r="K26" i="12"/>
  <c r="J26" i="12"/>
  <c r="I26" i="12"/>
  <c r="H26" i="12"/>
  <c r="G26" i="12"/>
  <c r="E26" i="12"/>
  <c r="D26" i="12"/>
  <c r="C26" i="12"/>
  <c r="M25" i="12"/>
  <c r="L25" i="12"/>
  <c r="K25" i="12"/>
  <c r="K29" i="12" s="1"/>
  <c r="I25" i="12"/>
  <c r="H25" i="12"/>
  <c r="G25" i="12"/>
  <c r="E25" i="12"/>
  <c r="D25" i="12"/>
  <c r="C25" i="12"/>
  <c r="M24" i="12"/>
  <c r="L24" i="12"/>
  <c r="K24" i="12"/>
  <c r="J24" i="12"/>
  <c r="I24" i="12"/>
  <c r="H24" i="12"/>
  <c r="G24" i="12"/>
  <c r="E24" i="12"/>
  <c r="D24" i="12"/>
  <c r="C24" i="12"/>
  <c r="O19" i="12"/>
  <c r="O16" i="12"/>
  <c r="O15" i="12"/>
  <c r="N21" i="12"/>
  <c r="O21" i="12" s="1"/>
  <c r="J21" i="12"/>
  <c r="F21" i="12"/>
  <c r="N20" i="12"/>
  <c r="J20" i="12"/>
  <c r="F20" i="12"/>
  <c r="O20" i="12" s="1"/>
  <c r="N19" i="12"/>
  <c r="J19" i="12"/>
  <c r="F19" i="12"/>
  <c r="N18" i="12"/>
  <c r="J18" i="12"/>
  <c r="F18" i="12"/>
  <c r="O18" i="12" s="1"/>
  <c r="N17" i="12"/>
  <c r="N27" i="12" s="1"/>
  <c r="J17" i="12"/>
  <c r="F17" i="12"/>
  <c r="N16" i="12"/>
  <c r="J16" i="12"/>
  <c r="F16" i="12"/>
  <c r="N15" i="12"/>
  <c r="J15" i="12"/>
  <c r="F15" i="12"/>
  <c r="N14" i="12"/>
  <c r="O14" i="12" s="1"/>
  <c r="J14" i="12"/>
  <c r="F14" i="12"/>
  <c r="N13" i="12"/>
  <c r="O13" i="12" s="1"/>
  <c r="J13" i="12"/>
  <c r="F13" i="12"/>
  <c r="N12" i="12"/>
  <c r="J12" i="12"/>
  <c r="F12" i="12"/>
  <c r="O12" i="12" s="1"/>
  <c r="N11" i="12"/>
  <c r="O11" i="12" s="1"/>
  <c r="J11" i="12"/>
  <c r="F11" i="12"/>
  <c r="N10" i="12"/>
  <c r="J10" i="12"/>
  <c r="F10" i="12"/>
  <c r="O10" i="12" s="1"/>
  <c r="N9" i="12"/>
  <c r="J9" i="12"/>
  <c r="J25" i="12" s="1"/>
  <c r="F9" i="12"/>
  <c r="N8" i="12"/>
  <c r="J8" i="12"/>
  <c r="F8" i="12"/>
  <c r="N7" i="12"/>
  <c r="N24" i="12" s="1"/>
  <c r="J7" i="12"/>
  <c r="F7" i="12"/>
  <c r="F24" i="12" s="1"/>
  <c r="C52" i="11"/>
  <c r="H48" i="11"/>
  <c r="F46" i="11"/>
  <c r="E46" i="11"/>
  <c r="F45" i="11"/>
  <c r="C45" i="11"/>
  <c r="E45" i="11" s="1"/>
  <c r="F44" i="11"/>
  <c r="C44" i="11"/>
  <c r="E44" i="11" s="1"/>
  <c r="F43" i="11"/>
  <c r="C43" i="11"/>
  <c r="E43" i="11" s="1"/>
  <c r="F42" i="11"/>
  <c r="C42" i="11"/>
  <c r="E42" i="11" s="1"/>
  <c r="F41" i="11"/>
  <c r="C41" i="11"/>
  <c r="E41" i="11" s="1"/>
  <c r="F40" i="11"/>
  <c r="C40" i="11"/>
  <c r="E40" i="11" s="1"/>
  <c r="F39" i="11"/>
  <c r="C39" i="11"/>
  <c r="E39" i="11" s="1"/>
  <c r="F38" i="11"/>
  <c r="C38" i="11"/>
  <c r="E38" i="11" s="1"/>
  <c r="F37" i="11"/>
  <c r="C37" i="11"/>
  <c r="E37" i="11" s="1"/>
  <c r="F36" i="11"/>
  <c r="E36" i="11"/>
  <c r="F35" i="11"/>
  <c r="E35" i="11"/>
  <c r="F34" i="11"/>
  <c r="E34" i="11"/>
  <c r="E33" i="11"/>
  <c r="B74" i="11"/>
  <c r="B73" i="11"/>
  <c r="B72" i="11"/>
  <c r="B71" i="11"/>
  <c r="B70" i="11"/>
  <c r="E23" i="11"/>
  <c r="E20" i="11"/>
  <c r="G20" i="11" s="1"/>
  <c r="D20" i="11"/>
  <c r="C20" i="11"/>
  <c r="G19" i="11"/>
  <c r="E19" i="11"/>
  <c r="D19" i="11"/>
  <c r="C19" i="11"/>
  <c r="E18" i="11"/>
  <c r="E27" i="11" s="1"/>
  <c r="D18" i="11"/>
  <c r="D27" i="11" s="1"/>
  <c r="C18" i="11"/>
  <c r="C27" i="11" s="1"/>
  <c r="E17" i="11"/>
  <c r="G17" i="11" s="1"/>
  <c r="D17" i="11"/>
  <c r="C17" i="11"/>
  <c r="E16" i="11"/>
  <c r="G16" i="11" s="1"/>
  <c r="D16" i="11"/>
  <c r="C16" i="11"/>
  <c r="E15" i="11"/>
  <c r="G15" i="11" s="1"/>
  <c r="D15" i="11"/>
  <c r="D26" i="11" s="1"/>
  <c r="C15" i="11"/>
  <c r="C26" i="11" s="1"/>
  <c r="E14" i="11"/>
  <c r="E26" i="11" s="1"/>
  <c r="D14" i="11"/>
  <c r="C14" i="11"/>
  <c r="E13" i="11"/>
  <c r="G13" i="11" s="1"/>
  <c r="D13" i="11"/>
  <c r="C13" i="11"/>
  <c r="E12" i="11"/>
  <c r="G12" i="11" s="1"/>
  <c r="D12" i="11"/>
  <c r="C12" i="11"/>
  <c r="E11" i="11"/>
  <c r="G11" i="11" s="1"/>
  <c r="D11" i="11"/>
  <c r="C11" i="11"/>
  <c r="E10" i="11"/>
  <c r="G10" i="11" s="1"/>
  <c r="D10" i="11"/>
  <c r="C10" i="11"/>
  <c r="E9" i="11"/>
  <c r="E25" i="11" s="1"/>
  <c r="D9" i="11"/>
  <c r="D25" i="11" s="1"/>
  <c r="C9" i="11"/>
  <c r="C25" i="11" s="1"/>
  <c r="E8" i="11"/>
  <c r="G8" i="11" s="1"/>
  <c r="D8" i="11"/>
  <c r="D24" i="11" s="1"/>
  <c r="C8" i="11"/>
  <c r="C24" i="11" s="1"/>
  <c r="E7" i="11"/>
  <c r="G7" i="11" s="1"/>
  <c r="G24" i="11" s="1"/>
  <c r="D7" i="11"/>
  <c r="C7" i="11"/>
  <c r="E6" i="11"/>
  <c r="G6" i="11" s="1"/>
  <c r="G23" i="11" s="1"/>
  <c r="D6" i="11"/>
  <c r="D23" i="11" s="1"/>
  <c r="C6" i="11"/>
  <c r="C23" i="11" s="1"/>
  <c r="D52" i="2"/>
  <c r="D44" i="2"/>
  <c r="D43" i="2"/>
  <c r="D42" i="2"/>
  <c r="D41" i="2"/>
  <c r="D40" i="2"/>
  <c r="D36" i="2"/>
  <c r="C28" i="11" l="1"/>
  <c r="D28" i="11"/>
  <c r="G18" i="11"/>
  <c r="E24" i="11"/>
  <c r="E28" i="11" s="1"/>
  <c r="G14" i="11"/>
  <c r="G9" i="11"/>
  <c r="P31" i="7"/>
  <c r="Q31" i="7" s="1"/>
  <c r="N28" i="12"/>
  <c r="O17" i="12"/>
  <c r="N26" i="12"/>
  <c r="L29" i="12"/>
  <c r="N25" i="12"/>
  <c r="M29" i="12"/>
  <c r="N29" i="12"/>
  <c r="G29" i="12"/>
  <c r="J29" i="12"/>
  <c r="H29" i="12"/>
  <c r="O9" i="12"/>
  <c r="O28" i="12"/>
  <c r="F28" i="12"/>
  <c r="O27" i="12"/>
  <c r="F27" i="12"/>
  <c r="O26" i="12"/>
  <c r="F26" i="12"/>
  <c r="F25" i="12"/>
  <c r="O8" i="12"/>
  <c r="F29" i="12"/>
  <c r="D29" i="12"/>
  <c r="O7" i="12"/>
  <c r="O24" i="12" s="1"/>
  <c r="D61" i="3"/>
  <c r="G27" i="11"/>
  <c r="G46" i="11"/>
  <c r="I46" i="11" s="1"/>
  <c r="G44" i="11"/>
  <c r="I44" i="11" s="1"/>
  <c r="G26" i="11"/>
  <c r="G42" i="11"/>
  <c r="I42" i="11" s="1"/>
  <c r="G41" i="11"/>
  <c r="I41" i="11" s="1"/>
  <c r="G39" i="11"/>
  <c r="I39" i="11" s="1"/>
  <c r="G25" i="11"/>
  <c r="G28" i="11" s="1"/>
  <c r="G37" i="11"/>
  <c r="I37" i="11" s="1"/>
  <c r="C48" i="11"/>
  <c r="G33" i="11"/>
  <c r="I33" i="11" s="1"/>
  <c r="B76" i="11"/>
  <c r="G43" i="11"/>
  <c r="I43" i="11" s="1"/>
  <c r="F48" i="11"/>
  <c r="P46" i="7"/>
  <c r="Q46" i="7" s="1"/>
  <c r="P42" i="7"/>
  <c r="Q42" i="7" s="1"/>
  <c r="K34" i="12"/>
  <c r="K51" i="12" s="1"/>
  <c r="E34" i="12"/>
  <c r="E51" i="12" s="1"/>
  <c r="D34" i="12"/>
  <c r="D51" i="12" s="1"/>
  <c r="I34" i="12"/>
  <c r="I51" i="12" s="1"/>
  <c r="G34" i="12"/>
  <c r="G51" i="12" s="1"/>
  <c r="H34" i="12"/>
  <c r="H51" i="12" s="1"/>
  <c r="C34" i="12"/>
  <c r="L34" i="12"/>
  <c r="L51" i="12" s="1"/>
  <c r="G40" i="11"/>
  <c r="I40" i="11" s="1"/>
  <c r="G45" i="11"/>
  <c r="I45" i="11" s="1"/>
  <c r="C70" i="11"/>
  <c r="D70" i="11" s="1"/>
  <c r="G38" i="11"/>
  <c r="I38" i="11" s="1"/>
  <c r="G36" i="11"/>
  <c r="I36" i="11" s="1"/>
  <c r="G35" i="11"/>
  <c r="I35" i="11" s="1"/>
  <c r="G34" i="11"/>
  <c r="I34" i="11" s="1"/>
  <c r="E48" i="11"/>
  <c r="N35" i="8"/>
  <c r="J35" i="8"/>
  <c r="I35" i="8"/>
  <c r="H35" i="8"/>
  <c r="E35" i="8"/>
  <c r="D35" i="8"/>
  <c r="C3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J10" i="8"/>
  <c r="I10" i="8"/>
  <c r="J9" i="8"/>
  <c r="I9" i="8"/>
  <c r="J8" i="8"/>
  <c r="I8" i="8"/>
  <c r="J7" i="8"/>
  <c r="I7" i="8"/>
  <c r="J6" i="8"/>
  <c r="I6" i="8"/>
  <c r="C19" i="3"/>
  <c r="B5" i="3"/>
  <c r="B4" i="3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B56" i="3"/>
  <c r="D51" i="2"/>
  <c r="B55" i="3" s="1"/>
  <c r="C55" i="3" s="1"/>
  <c r="D50" i="2"/>
  <c r="B54" i="3" s="1"/>
  <c r="D49" i="2"/>
  <c r="B53" i="3" s="1"/>
  <c r="D48" i="2"/>
  <c r="B52" i="3" s="1"/>
  <c r="B48" i="3"/>
  <c r="B47" i="3"/>
  <c r="B46" i="3"/>
  <c r="B45" i="3"/>
  <c r="D45" i="3" s="1"/>
  <c r="B44" i="3"/>
  <c r="B40" i="3"/>
  <c r="D35" i="2"/>
  <c r="B39" i="3" s="1"/>
  <c r="D39" i="3" s="1"/>
  <c r="D34" i="2"/>
  <c r="B38" i="3" s="1"/>
  <c r="D33" i="2"/>
  <c r="B37" i="3" s="1"/>
  <c r="C37" i="3" s="1"/>
  <c r="D32" i="2"/>
  <c r="B36" i="3" s="1"/>
  <c r="D36" i="3" s="1"/>
  <c r="D26" i="2"/>
  <c r="B30" i="3" s="1"/>
  <c r="D30" i="3" s="1"/>
  <c r="F30" i="3" s="1"/>
  <c r="D25" i="2"/>
  <c r="B29" i="3" s="1"/>
  <c r="D24" i="2"/>
  <c r="B28" i="3" s="1"/>
  <c r="D23" i="2"/>
  <c r="B27" i="3" s="1"/>
  <c r="D22" i="2"/>
  <c r="B26" i="3" s="1"/>
  <c r="D18" i="2"/>
  <c r="B22" i="3" s="1"/>
  <c r="C22" i="3" s="1"/>
  <c r="D17" i="2"/>
  <c r="B21" i="3" s="1"/>
  <c r="D16" i="2"/>
  <c r="B20" i="3" s="1"/>
  <c r="D15" i="2"/>
  <c r="B19" i="3" s="1"/>
  <c r="D14" i="2"/>
  <c r="B18" i="3" s="1"/>
  <c r="D10" i="2"/>
  <c r="B14" i="3" s="1"/>
  <c r="D9" i="2"/>
  <c r="B13" i="3" s="1"/>
  <c r="D8" i="2"/>
  <c r="B12" i="3" s="1"/>
  <c r="D7" i="2"/>
  <c r="B11" i="3" s="1"/>
  <c r="D11" i="3" s="1"/>
  <c r="D6" i="2"/>
  <c r="B10" i="3" s="1"/>
  <c r="C10" i="3" s="1"/>
  <c r="C62" i="11" l="1"/>
  <c r="C55" i="11"/>
  <c r="G37" i="12" s="1"/>
  <c r="C63" i="11"/>
  <c r="I45" i="12" s="1"/>
  <c r="C58" i="11"/>
  <c r="L40" i="12" s="1"/>
  <c r="C61" i="11"/>
  <c r="E43" i="12" s="1"/>
  <c r="C53" i="11"/>
  <c r="L35" i="12" s="1"/>
  <c r="C64" i="11"/>
  <c r="C57" i="11"/>
  <c r="H39" i="12" s="1"/>
  <c r="C60" i="11"/>
  <c r="L42" i="12" s="1"/>
  <c r="C56" i="11"/>
  <c r="G38" i="12" s="1"/>
  <c r="C66" i="11"/>
  <c r="G48" i="12" s="1"/>
  <c r="C59" i="11"/>
  <c r="E41" i="12" s="1"/>
  <c r="C65" i="11"/>
  <c r="E47" i="12" s="1"/>
  <c r="O25" i="12"/>
  <c r="O29" i="12"/>
  <c r="D44" i="12"/>
  <c r="K39" i="12"/>
  <c r="I44" i="12"/>
  <c r="H44" i="12"/>
  <c r="G44" i="12"/>
  <c r="E44" i="12"/>
  <c r="K45" i="12"/>
  <c r="G45" i="12"/>
  <c r="I16" i="8"/>
  <c r="D10" i="3"/>
  <c r="F10" i="3" s="1"/>
  <c r="E70" i="11"/>
  <c r="I11" i="8"/>
  <c r="J11" i="8"/>
  <c r="M34" i="12"/>
  <c r="J28" i="8"/>
  <c r="D54" i="3"/>
  <c r="F54" i="3" s="1"/>
  <c r="D38" i="3"/>
  <c r="F38" i="3" s="1"/>
  <c r="C38" i="3"/>
  <c r="E38" i="3" s="1"/>
  <c r="D13" i="3"/>
  <c r="F13" i="3" s="1"/>
  <c r="C13" i="3"/>
  <c r="E13" i="3" s="1"/>
  <c r="F36" i="3"/>
  <c r="O27" i="8"/>
  <c r="C30" i="3"/>
  <c r="E30" i="3" s="1"/>
  <c r="I28" i="8"/>
  <c r="J34" i="12"/>
  <c r="J51" i="12" s="1"/>
  <c r="C36" i="3"/>
  <c r="E36" i="3" s="1"/>
  <c r="O32" i="8"/>
  <c r="L37" i="12"/>
  <c r="H37" i="12"/>
  <c r="I37" i="12"/>
  <c r="G48" i="11"/>
  <c r="C51" i="12"/>
  <c r="F34" i="12"/>
  <c r="D71" i="3"/>
  <c r="C54" i="11"/>
  <c r="I48" i="11"/>
  <c r="D48" i="3"/>
  <c r="F48" i="3" s="1"/>
  <c r="C46" i="3"/>
  <c r="E46" i="3" s="1"/>
  <c r="D46" i="3"/>
  <c r="F46" i="3" s="1"/>
  <c r="D27" i="3"/>
  <c r="F27" i="3" s="1"/>
  <c r="C27" i="3"/>
  <c r="E27" i="3" s="1"/>
  <c r="D21" i="3"/>
  <c r="F21" i="3" s="1"/>
  <c r="C21" i="3"/>
  <c r="E21" i="3" s="1"/>
  <c r="D47" i="3"/>
  <c r="F47" i="3" s="1"/>
  <c r="C47" i="3"/>
  <c r="E47" i="3" s="1"/>
  <c r="D22" i="3"/>
  <c r="F22" i="3" s="1"/>
  <c r="E22" i="3"/>
  <c r="C26" i="3"/>
  <c r="E26" i="3" s="1"/>
  <c r="D26" i="3"/>
  <c r="F26" i="3" s="1"/>
  <c r="D56" i="3"/>
  <c r="F56" i="3" s="1"/>
  <c r="C56" i="3"/>
  <c r="E56" i="3" s="1"/>
  <c r="D12" i="3"/>
  <c r="F12" i="3" s="1"/>
  <c r="C12" i="3"/>
  <c r="E12" i="3" s="1"/>
  <c r="D28" i="3"/>
  <c r="F28" i="3" s="1"/>
  <c r="D53" i="3"/>
  <c r="F53" i="3" s="1"/>
  <c r="C53" i="3"/>
  <c r="E53" i="3" s="1"/>
  <c r="C28" i="3"/>
  <c r="E28" i="3" s="1"/>
  <c r="C14" i="3"/>
  <c r="E14" i="3" s="1"/>
  <c r="D14" i="3"/>
  <c r="F14" i="3" s="1"/>
  <c r="C39" i="3"/>
  <c r="E39" i="3" s="1"/>
  <c r="F39" i="3"/>
  <c r="D18" i="3"/>
  <c r="F18" i="3" s="1"/>
  <c r="C18" i="3"/>
  <c r="C40" i="3"/>
  <c r="E40" i="3" s="1"/>
  <c r="D40" i="3"/>
  <c r="F40" i="3" s="1"/>
  <c r="D19" i="3"/>
  <c r="F19" i="3" s="1"/>
  <c r="E19" i="3"/>
  <c r="D44" i="3"/>
  <c r="F44" i="3" s="1"/>
  <c r="C44" i="3"/>
  <c r="E44" i="3" s="1"/>
  <c r="C20" i="3"/>
  <c r="E20" i="3" s="1"/>
  <c r="D20" i="3"/>
  <c r="F20" i="3" s="1"/>
  <c r="F45" i="3"/>
  <c r="C45" i="3"/>
  <c r="E45" i="3" s="1"/>
  <c r="E10" i="3"/>
  <c r="L35" i="8"/>
  <c r="M35" i="8"/>
  <c r="B67" i="3"/>
  <c r="C48" i="3"/>
  <c r="E48" i="3" s="1"/>
  <c r="C54" i="3"/>
  <c r="E54" i="3" s="1"/>
  <c r="C11" i="3"/>
  <c r="E11" i="3" s="1"/>
  <c r="D29" i="3"/>
  <c r="F29" i="3" s="1"/>
  <c r="D37" i="3"/>
  <c r="F37" i="3" s="1"/>
  <c r="D52" i="3"/>
  <c r="F52" i="3" s="1"/>
  <c r="D55" i="3"/>
  <c r="F55" i="3" s="1"/>
  <c r="L28" i="8"/>
  <c r="D28" i="8"/>
  <c r="N28" i="8"/>
  <c r="K35" i="8"/>
  <c r="F11" i="3"/>
  <c r="E37" i="3"/>
  <c r="E55" i="3"/>
  <c r="C29" i="3"/>
  <c r="E29" i="3" s="1"/>
  <c r="C52" i="3"/>
  <c r="E52" i="3" s="1"/>
  <c r="D67" i="3"/>
  <c r="G35" i="8"/>
  <c r="J16" i="8"/>
  <c r="O31" i="8"/>
  <c r="D39" i="12" l="1"/>
  <c r="I39" i="12"/>
  <c r="L39" i="12"/>
  <c r="G42" i="12"/>
  <c r="E35" i="12"/>
  <c r="K42" i="12"/>
  <c r="D42" i="12"/>
  <c r="H40" i="12"/>
  <c r="E45" i="12"/>
  <c r="L45" i="12"/>
  <c r="C35" i="12"/>
  <c r="H48" i="12"/>
  <c r="I48" i="12"/>
  <c r="G43" i="12"/>
  <c r="G54" i="12" s="1"/>
  <c r="E40" i="12"/>
  <c r="C74" i="11"/>
  <c r="E74" i="11" s="1"/>
  <c r="I38" i="12"/>
  <c r="I47" i="12"/>
  <c r="C38" i="12"/>
  <c r="L38" i="12"/>
  <c r="I40" i="12"/>
  <c r="C72" i="11"/>
  <c r="E72" i="11" s="1"/>
  <c r="G40" i="12"/>
  <c r="L48" i="12"/>
  <c r="H42" i="12"/>
  <c r="D38" i="12"/>
  <c r="G35" i="12"/>
  <c r="C40" i="12"/>
  <c r="L41" i="12"/>
  <c r="H38" i="12"/>
  <c r="D35" i="12"/>
  <c r="D40" i="12"/>
  <c r="K41" i="12"/>
  <c r="C73" i="11"/>
  <c r="E73" i="11" s="1"/>
  <c r="G47" i="12"/>
  <c r="I42" i="12"/>
  <c r="D37" i="12"/>
  <c r="E42" i="12"/>
  <c r="D41" i="12"/>
  <c r="C42" i="12"/>
  <c r="C54" i="12" s="1"/>
  <c r="H45" i="12"/>
  <c r="J45" i="12" s="1"/>
  <c r="L43" i="12"/>
  <c r="I41" i="12"/>
  <c r="K43" i="12"/>
  <c r="H41" i="12"/>
  <c r="H43" i="12"/>
  <c r="I43" i="12"/>
  <c r="K38" i="12"/>
  <c r="C45" i="12"/>
  <c r="C41" i="12"/>
  <c r="C48" i="12"/>
  <c r="K47" i="12"/>
  <c r="D48" i="12"/>
  <c r="L47" i="12"/>
  <c r="H35" i="12"/>
  <c r="D45" i="12"/>
  <c r="E48" i="12"/>
  <c r="H47" i="12"/>
  <c r="K48" i="12"/>
  <c r="C47" i="12"/>
  <c r="K35" i="12"/>
  <c r="G41" i="12"/>
  <c r="I35" i="12"/>
  <c r="C43" i="12"/>
  <c r="D43" i="12"/>
  <c r="E38" i="12"/>
  <c r="D47" i="12"/>
  <c r="C37" i="12"/>
  <c r="K40" i="12"/>
  <c r="I46" i="12"/>
  <c r="H46" i="12"/>
  <c r="G46" i="12"/>
  <c r="E46" i="12"/>
  <c r="L46" i="12"/>
  <c r="K46" i="12"/>
  <c r="D46" i="12"/>
  <c r="C46" i="12"/>
  <c r="K37" i="12"/>
  <c r="E37" i="12"/>
  <c r="C39" i="12"/>
  <c r="G39" i="12"/>
  <c r="J39" i="12" s="1"/>
  <c r="E39" i="12"/>
  <c r="K44" i="12"/>
  <c r="C44" i="12"/>
  <c r="F44" i="12" s="1"/>
  <c r="L44" i="12"/>
  <c r="J44" i="12"/>
  <c r="C62" i="3"/>
  <c r="E61" i="3"/>
  <c r="C65" i="3"/>
  <c r="E71" i="3"/>
  <c r="P7" i="12"/>
  <c r="P24" i="12" s="1"/>
  <c r="E6" i="8" s="1"/>
  <c r="E28" i="8"/>
  <c r="O33" i="8"/>
  <c r="O26" i="8"/>
  <c r="C63" i="3"/>
  <c r="E63" i="3"/>
  <c r="E62" i="3"/>
  <c r="O34" i="8"/>
  <c r="P14" i="12"/>
  <c r="P12" i="12"/>
  <c r="P11" i="12"/>
  <c r="P10" i="12"/>
  <c r="P13" i="12"/>
  <c r="H28" i="8"/>
  <c r="E18" i="3"/>
  <c r="C61" i="3" s="1"/>
  <c r="P17" i="12"/>
  <c r="P16" i="12"/>
  <c r="P15" i="12"/>
  <c r="P18" i="12"/>
  <c r="E64" i="3"/>
  <c r="C64" i="3"/>
  <c r="E65" i="3"/>
  <c r="M28" i="8"/>
  <c r="K28" i="8"/>
  <c r="P9" i="12"/>
  <c r="P8" i="12"/>
  <c r="C71" i="11"/>
  <c r="E36" i="12"/>
  <c r="E52" i="12" s="1"/>
  <c r="D36" i="12"/>
  <c r="C36" i="12"/>
  <c r="I36" i="12"/>
  <c r="K36" i="12"/>
  <c r="L36" i="12"/>
  <c r="L52" i="12" s="1"/>
  <c r="H36" i="12"/>
  <c r="G36" i="12"/>
  <c r="P21" i="12"/>
  <c r="P20" i="12"/>
  <c r="P19" i="12"/>
  <c r="L53" i="12"/>
  <c r="F51" i="12"/>
  <c r="M51" i="12"/>
  <c r="N34" i="12"/>
  <c r="N51" i="12" s="1"/>
  <c r="P34" i="12"/>
  <c r="P51" i="12" s="1"/>
  <c r="C71" i="3"/>
  <c r="B71" i="3"/>
  <c r="J40" i="12"/>
  <c r="D72" i="11"/>
  <c r="J37" i="12"/>
  <c r="F35" i="12"/>
  <c r="C28" i="8"/>
  <c r="O25" i="8"/>
  <c r="F28" i="8"/>
  <c r="F35" i="8"/>
  <c r="G28" i="8"/>
  <c r="K54" i="12" l="1"/>
  <c r="D73" i="11"/>
  <c r="H55" i="12"/>
  <c r="I53" i="12"/>
  <c r="I52" i="12"/>
  <c r="D74" i="11"/>
  <c r="J48" i="12"/>
  <c r="J42" i="12"/>
  <c r="E55" i="12"/>
  <c r="D52" i="12"/>
  <c r="I55" i="12"/>
  <c r="J41" i="12"/>
  <c r="J47" i="12"/>
  <c r="C76" i="11"/>
  <c r="D76" i="11" s="1"/>
  <c r="M38" i="12"/>
  <c r="N38" i="12" s="1"/>
  <c r="M42" i="12"/>
  <c r="N42" i="12" s="1"/>
  <c r="M41" i="12"/>
  <c r="N41" i="12" s="1"/>
  <c r="I54" i="12"/>
  <c r="F41" i="12"/>
  <c r="F42" i="12"/>
  <c r="E54" i="12"/>
  <c r="M44" i="12"/>
  <c r="N44" i="12" s="1"/>
  <c r="O44" i="12" s="1"/>
  <c r="C15" i="6" s="1"/>
  <c r="M47" i="12"/>
  <c r="N47" i="12" s="1"/>
  <c r="F38" i="12"/>
  <c r="D53" i="12"/>
  <c r="M35" i="12"/>
  <c r="P35" i="12" s="1"/>
  <c r="F45" i="12"/>
  <c r="G53" i="12"/>
  <c r="K55" i="12"/>
  <c r="L55" i="12"/>
  <c r="F47" i="12"/>
  <c r="H54" i="12"/>
  <c r="F40" i="12"/>
  <c r="L54" i="12"/>
  <c r="J46" i="12"/>
  <c r="H53" i="12"/>
  <c r="J43" i="12"/>
  <c r="M40" i="12"/>
  <c r="P40" i="12" s="1"/>
  <c r="J35" i="12"/>
  <c r="M39" i="12"/>
  <c r="N39" i="12" s="1"/>
  <c r="F63" i="3"/>
  <c r="J38" i="12"/>
  <c r="M37" i="12"/>
  <c r="P37" i="12" s="1"/>
  <c r="D54" i="12"/>
  <c r="F48" i="12"/>
  <c r="F43" i="12"/>
  <c r="H52" i="12"/>
  <c r="E72" i="3" s="1"/>
  <c r="K53" i="12"/>
  <c r="M45" i="12"/>
  <c r="D55" i="12"/>
  <c r="M48" i="12"/>
  <c r="N48" i="12" s="1"/>
  <c r="M43" i="12"/>
  <c r="P43" i="12" s="1"/>
  <c r="G55" i="12"/>
  <c r="F46" i="12"/>
  <c r="M46" i="12"/>
  <c r="N46" i="12" s="1"/>
  <c r="C55" i="12"/>
  <c r="C53" i="12"/>
  <c r="F39" i="12"/>
  <c r="F37" i="12"/>
  <c r="E53" i="12"/>
  <c r="F65" i="3"/>
  <c r="P25" i="12"/>
  <c r="E7" i="8" s="1"/>
  <c r="C6" i="8"/>
  <c r="E67" i="3"/>
  <c r="F6" i="8"/>
  <c r="E71" i="11"/>
  <c r="F64" i="3"/>
  <c r="D6" i="8"/>
  <c r="H6" i="8"/>
  <c r="J36" i="12"/>
  <c r="F62" i="3"/>
  <c r="D71" i="11"/>
  <c r="G6" i="8"/>
  <c r="M36" i="12"/>
  <c r="P27" i="12"/>
  <c r="P28" i="12"/>
  <c r="P26" i="12"/>
  <c r="I56" i="12"/>
  <c r="N6" i="8"/>
  <c r="M6" i="8"/>
  <c r="L6" i="8"/>
  <c r="K6" i="8"/>
  <c r="O34" i="12"/>
  <c r="B74" i="3"/>
  <c r="C74" i="3"/>
  <c r="F36" i="12"/>
  <c r="C52" i="12"/>
  <c r="G52" i="12"/>
  <c r="K52" i="12"/>
  <c r="E76" i="11"/>
  <c r="O28" i="8"/>
  <c r="O35" i="8"/>
  <c r="C67" i="3"/>
  <c r="F61" i="3"/>
  <c r="M52" i="12" l="1"/>
  <c r="N35" i="12"/>
  <c r="J55" i="12"/>
  <c r="J54" i="12"/>
  <c r="O42" i="12"/>
  <c r="O39" i="12"/>
  <c r="C10" i="6" s="1"/>
  <c r="E10" i="6" s="1"/>
  <c r="F10" i="6" s="1"/>
  <c r="P44" i="12"/>
  <c r="P42" i="12"/>
  <c r="J53" i="12"/>
  <c r="O41" i="12"/>
  <c r="C12" i="6" s="1"/>
  <c r="E12" i="6" s="1"/>
  <c r="D7" i="8"/>
  <c r="O47" i="12"/>
  <c r="C18" i="6" s="1"/>
  <c r="E18" i="6" s="1"/>
  <c r="O48" i="12"/>
  <c r="C19" i="6" s="1"/>
  <c r="E19" i="6" s="1"/>
  <c r="I19" i="6" s="1"/>
  <c r="O38" i="12"/>
  <c r="C9" i="6" s="1"/>
  <c r="E56" i="12"/>
  <c r="H7" i="8"/>
  <c r="G7" i="8"/>
  <c r="C7" i="8"/>
  <c r="P38" i="12"/>
  <c r="P41" i="12"/>
  <c r="E73" i="3"/>
  <c r="D72" i="3"/>
  <c r="P47" i="12"/>
  <c r="L56" i="12"/>
  <c r="C75" i="3"/>
  <c r="D73" i="3"/>
  <c r="D75" i="3"/>
  <c r="D56" i="12"/>
  <c r="F53" i="12"/>
  <c r="F54" i="12"/>
  <c r="G56" i="12"/>
  <c r="D74" i="3"/>
  <c r="F7" i="8"/>
  <c r="B73" i="3"/>
  <c r="E74" i="3"/>
  <c r="P39" i="12"/>
  <c r="O46" i="12"/>
  <c r="C17" i="6" s="1"/>
  <c r="F55" i="12"/>
  <c r="J52" i="12"/>
  <c r="M55" i="12"/>
  <c r="P46" i="12"/>
  <c r="N37" i="12"/>
  <c r="O37" i="12" s="1"/>
  <c r="C8" i="6" s="1"/>
  <c r="H56" i="12"/>
  <c r="M53" i="12"/>
  <c r="N40" i="12"/>
  <c r="O40" i="12" s="1"/>
  <c r="C11" i="6" s="1"/>
  <c r="E11" i="6" s="1"/>
  <c r="F11" i="6" s="1"/>
  <c r="E75" i="3"/>
  <c r="P45" i="12"/>
  <c r="N45" i="12"/>
  <c r="O45" i="12" s="1"/>
  <c r="C16" i="6" s="1"/>
  <c r="E16" i="6" s="1"/>
  <c r="I16" i="6" s="1"/>
  <c r="C73" i="3"/>
  <c r="N43" i="12"/>
  <c r="O43" i="12" s="1"/>
  <c r="C14" i="6" s="1"/>
  <c r="M54" i="12"/>
  <c r="K56" i="12"/>
  <c r="P48" i="12"/>
  <c r="B75" i="3"/>
  <c r="C56" i="12"/>
  <c r="N55" i="12"/>
  <c r="F67" i="3"/>
  <c r="P29" i="12"/>
  <c r="G9" i="8"/>
  <c r="F9" i="8"/>
  <c r="E9" i="8"/>
  <c r="D9" i="8"/>
  <c r="C9" i="8"/>
  <c r="H9" i="8"/>
  <c r="H8" i="8"/>
  <c r="G8" i="8"/>
  <c r="F8" i="8"/>
  <c r="E8" i="8"/>
  <c r="D8" i="8"/>
  <c r="C8" i="8"/>
  <c r="H10" i="8"/>
  <c r="G10" i="8"/>
  <c r="F10" i="8"/>
  <c r="E10" i="8"/>
  <c r="D10" i="8"/>
  <c r="C10" i="8"/>
  <c r="N36" i="12"/>
  <c r="O36" i="12" s="1"/>
  <c r="C7" i="6" s="1"/>
  <c r="O51" i="12"/>
  <c r="C5" i="6"/>
  <c r="C13" i="6"/>
  <c r="F52" i="12"/>
  <c r="B72" i="3"/>
  <c r="C72" i="3"/>
  <c r="P36" i="12"/>
  <c r="P52" i="12" s="1"/>
  <c r="O35" i="12"/>
  <c r="I10" i="6"/>
  <c r="P54" i="12" l="1"/>
  <c r="G10" i="6"/>
  <c r="H10" i="6"/>
  <c r="L10" i="6" s="1"/>
  <c r="J56" i="12"/>
  <c r="P53" i="12"/>
  <c r="P55" i="12"/>
  <c r="N10" i="8" s="1"/>
  <c r="H16" i="6"/>
  <c r="L16" i="6" s="1"/>
  <c r="M8" i="8"/>
  <c r="N8" i="8"/>
  <c r="K8" i="8"/>
  <c r="L8" i="8"/>
  <c r="F56" i="12"/>
  <c r="B18" i="7" s="1"/>
  <c r="M56" i="12"/>
  <c r="O54" i="12"/>
  <c r="F16" i="6"/>
  <c r="O55" i="12"/>
  <c r="I11" i="6"/>
  <c r="G16" i="6"/>
  <c r="M10" i="8"/>
  <c r="N53" i="12"/>
  <c r="G11" i="6"/>
  <c r="O53" i="12"/>
  <c r="H11" i="6"/>
  <c r="J11" i="6" s="1"/>
  <c r="N54" i="12"/>
  <c r="M9" i="8"/>
  <c r="K9" i="8"/>
  <c r="L9" i="8"/>
  <c r="N9" i="8"/>
  <c r="L10" i="8"/>
  <c r="H11" i="8"/>
  <c r="E11" i="8"/>
  <c r="C11" i="8"/>
  <c r="G14" i="8"/>
  <c r="G16" i="8" s="1"/>
  <c r="H14" i="8"/>
  <c r="H16" i="8" s="1"/>
  <c r="F14" i="8"/>
  <c r="F16" i="8" s="1"/>
  <c r="I67" i="3"/>
  <c r="E14" i="8"/>
  <c r="E16" i="8" s="1"/>
  <c r="D14" i="8"/>
  <c r="D16" i="8" s="1"/>
  <c r="C14" i="8"/>
  <c r="C16" i="8" s="1"/>
  <c r="G67" i="3"/>
  <c r="F11" i="8"/>
  <c r="D11" i="8"/>
  <c r="G11" i="8"/>
  <c r="B19" i="7"/>
  <c r="N52" i="12"/>
  <c r="K7" i="8"/>
  <c r="M7" i="8"/>
  <c r="N7" i="8"/>
  <c r="L7" i="8"/>
  <c r="P56" i="12"/>
  <c r="O52" i="12"/>
  <c r="C6" i="6"/>
  <c r="E7" i="6"/>
  <c r="E77" i="3"/>
  <c r="D77" i="3"/>
  <c r="J10" i="6"/>
  <c r="F74" i="3"/>
  <c r="B23" i="6"/>
  <c r="I12" i="6"/>
  <c r="G12" i="6"/>
  <c r="H12" i="6"/>
  <c r="L12" i="6" s="1"/>
  <c r="F12" i="6"/>
  <c r="G19" i="6"/>
  <c r="H19" i="6"/>
  <c r="L19" i="6" s="1"/>
  <c r="F19" i="6"/>
  <c r="F73" i="3"/>
  <c r="F71" i="3"/>
  <c r="F75" i="3"/>
  <c r="I18" i="6"/>
  <c r="H18" i="6"/>
  <c r="L18" i="6" s="1"/>
  <c r="F18" i="6"/>
  <c r="G18" i="6"/>
  <c r="E13" i="6"/>
  <c r="E14" i="6"/>
  <c r="K10" i="8" l="1"/>
  <c r="J16" i="6"/>
  <c r="O10" i="8"/>
  <c r="L11" i="6"/>
  <c r="O56" i="12"/>
  <c r="B21" i="1" s="1"/>
  <c r="B6" i="7" s="1"/>
  <c r="N56" i="12"/>
  <c r="B20" i="7" s="1"/>
  <c r="B21" i="7" s="1"/>
  <c r="O14" i="8"/>
  <c r="H20" i="7"/>
  <c r="I19" i="7"/>
  <c r="H19" i="7"/>
  <c r="H18" i="7"/>
  <c r="I18" i="7"/>
  <c r="B77" i="3"/>
  <c r="O6" i="8"/>
  <c r="J12" i="6"/>
  <c r="H7" i="6"/>
  <c r="G7" i="6"/>
  <c r="I7" i="6"/>
  <c r="F7" i="6"/>
  <c r="J18" i="6"/>
  <c r="E5" i="6"/>
  <c r="B27" i="6"/>
  <c r="E17" i="6"/>
  <c r="E9" i="6"/>
  <c r="O9" i="8"/>
  <c r="H14" i="6"/>
  <c r="L14" i="6" s="1"/>
  <c r="F14" i="6"/>
  <c r="G14" i="6"/>
  <c r="I14" i="6"/>
  <c r="I13" i="6"/>
  <c r="H13" i="6"/>
  <c r="L13" i="6" s="1"/>
  <c r="G13" i="6"/>
  <c r="F13" i="6"/>
  <c r="J19" i="6"/>
  <c r="B27" i="1" l="1"/>
  <c r="I20" i="7"/>
  <c r="B9" i="7"/>
  <c r="B28" i="1"/>
  <c r="B12" i="7" s="1"/>
  <c r="F12" i="7" s="1"/>
  <c r="B22" i="1"/>
  <c r="P20" i="7"/>
  <c r="Q20" i="7" s="1"/>
  <c r="P19" i="7"/>
  <c r="Q19" i="7" s="1"/>
  <c r="H6" i="7"/>
  <c r="I6" i="7"/>
  <c r="H9" i="7"/>
  <c r="I9" i="7"/>
  <c r="I21" i="7"/>
  <c r="H20" i="8" s="1"/>
  <c r="H21" i="7"/>
  <c r="G20" i="8" s="1"/>
  <c r="P18" i="7"/>
  <c r="J7" i="6"/>
  <c r="L7" i="6"/>
  <c r="J14" i="6"/>
  <c r="E15" i="6"/>
  <c r="B26" i="6"/>
  <c r="O8" i="8"/>
  <c r="G9" i="6"/>
  <c r="F9" i="6"/>
  <c r="I9" i="6"/>
  <c r="H9" i="6"/>
  <c r="L9" i="6" s="1"/>
  <c r="B25" i="6"/>
  <c r="E8" i="6"/>
  <c r="F17" i="6"/>
  <c r="I17" i="6"/>
  <c r="H17" i="6"/>
  <c r="L17" i="6" s="1"/>
  <c r="C27" i="6"/>
  <c r="G17" i="6"/>
  <c r="F72" i="3"/>
  <c r="F77" i="3" s="1"/>
  <c r="C77" i="3"/>
  <c r="I5" i="6"/>
  <c r="H5" i="6"/>
  <c r="L5" i="6" s="1"/>
  <c r="C23" i="6"/>
  <c r="F5" i="6"/>
  <c r="G5" i="6"/>
  <c r="N11" i="8"/>
  <c r="M11" i="8"/>
  <c r="L11" i="8"/>
  <c r="J13" i="6"/>
  <c r="J12" i="7" l="1"/>
  <c r="D12" i="7"/>
  <c r="H12" i="7"/>
  <c r="K12" i="7"/>
  <c r="N12" i="7"/>
  <c r="E12" i="7"/>
  <c r="G12" i="7"/>
  <c r="O12" i="7"/>
  <c r="M12" i="7"/>
  <c r="L12" i="7"/>
  <c r="I12" i="7"/>
  <c r="B29" i="1"/>
  <c r="B7" i="7"/>
  <c r="B10" i="7"/>
  <c r="B23" i="1"/>
  <c r="B24" i="1" s="1"/>
  <c r="G77" i="3"/>
  <c r="L15" i="8"/>
  <c r="L16" i="8" s="1"/>
  <c r="I77" i="3"/>
  <c r="M15" i="8"/>
  <c r="M16" i="8" s="1"/>
  <c r="K15" i="8"/>
  <c r="N15" i="8"/>
  <c r="N16" i="8" s="1"/>
  <c r="P9" i="7"/>
  <c r="Q9" i="7" s="1"/>
  <c r="P21" i="7"/>
  <c r="Q21" i="7" s="1"/>
  <c r="Q18" i="7"/>
  <c r="P6" i="7"/>
  <c r="H8" i="6"/>
  <c r="L8" i="6" s="1"/>
  <c r="C25" i="6"/>
  <c r="I8" i="6"/>
  <c r="G8" i="6"/>
  <c r="F8" i="6"/>
  <c r="D23" i="6"/>
  <c r="E23" i="6" s="1"/>
  <c r="J5" i="6"/>
  <c r="D27" i="6"/>
  <c r="E27" i="6" s="1"/>
  <c r="J17" i="6"/>
  <c r="J9" i="6"/>
  <c r="B24" i="6"/>
  <c r="B30" i="6" s="1"/>
  <c r="E6" i="6"/>
  <c r="O7" i="8"/>
  <c r="K11" i="8"/>
  <c r="H15" i="6"/>
  <c r="L15" i="6" s="1"/>
  <c r="I15" i="6"/>
  <c r="G15" i="6"/>
  <c r="F15" i="6"/>
  <c r="C26" i="6"/>
  <c r="P12" i="7" l="1"/>
  <c r="Q12" i="7" s="1"/>
  <c r="B34" i="1"/>
  <c r="B14" i="7"/>
  <c r="B11" i="7"/>
  <c r="B8" i="7"/>
  <c r="H10" i="7"/>
  <c r="I10" i="7"/>
  <c r="I7" i="7"/>
  <c r="H7" i="7"/>
  <c r="Q6" i="7"/>
  <c r="O20" i="8"/>
  <c r="O11" i="8"/>
  <c r="S11" i="8" s="1"/>
  <c r="G6" i="6"/>
  <c r="H6" i="6"/>
  <c r="L6" i="6" s="1"/>
  <c r="F6" i="6"/>
  <c r="C24" i="6"/>
  <c r="B31" i="6" s="1"/>
  <c r="I6" i="6"/>
  <c r="K16" i="8"/>
  <c r="O15" i="8"/>
  <c r="D25" i="6"/>
  <c r="E25" i="6" s="1"/>
  <c r="J8" i="6"/>
  <c r="J15" i="6"/>
  <c r="D26" i="6"/>
  <c r="E26" i="6" s="1"/>
  <c r="K14" i="7" l="1"/>
  <c r="H14" i="7"/>
  <c r="G21" i="8" s="1"/>
  <c r="F14" i="7"/>
  <c r="D14" i="7"/>
  <c r="C21" i="8" s="1"/>
  <c r="G14" i="7"/>
  <c r="I14" i="7"/>
  <c r="H21" i="8" s="1"/>
  <c r="J14" i="7"/>
  <c r="E14" i="7"/>
  <c r="L14" i="7"/>
  <c r="O14" i="7"/>
  <c r="N14" i="7"/>
  <c r="M14" i="7"/>
  <c r="P7" i="7"/>
  <c r="Q7" i="7" s="1"/>
  <c r="P10" i="7"/>
  <c r="Q10" i="7" s="1"/>
  <c r="B16" i="7"/>
  <c r="B23" i="7" s="1"/>
  <c r="B47" i="7" s="1"/>
  <c r="I8" i="7"/>
  <c r="H8" i="7"/>
  <c r="I11" i="7"/>
  <c r="H11" i="7"/>
  <c r="O16" i="8"/>
  <c r="D24" i="6"/>
  <c r="E24" i="6" s="1"/>
  <c r="J6" i="6"/>
  <c r="B32" i="6"/>
  <c r="N16" i="7" l="1"/>
  <c r="M21" i="8"/>
  <c r="L16" i="7"/>
  <c r="K19" i="8" s="1"/>
  <c r="K22" i="8" s="1"/>
  <c r="K21" i="8"/>
  <c r="E16" i="7"/>
  <c r="D19" i="8" s="1"/>
  <c r="D22" i="8" s="1"/>
  <c r="D21" i="8"/>
  <c r="G16" i="7"/>
  <c r="G23" i="7" s="1"/>
  <c r="G47" i="7" s="1"/>
  <c r="F21" i="8"/>
  <c r="F16" i="7"/>
  <c r="F23" i="7" s="1"/>
  <c r="F47" i="7" s="1"/>
  <c r="E21" i="8"/>
  <c r="O16" i="7"/>
  <c r="N19" i="8" s="1"/>
  <c r="N22" i="8" s="1"/>
  <c r="N21" i="8"/>
  <c r="J16" i="7"/>
  <c r="I19" i="8" s="1"/>
  <c r="I21" i="8"/>
  <c r="M16" i="7"/>
  <c r="L21" i="8"/>
  <c r="K16" i="7"/>
  <c r="K23" i="7" s="1"/>
  <c r="K47" i="7" s="1"/>
  <c r="J21" i="8"/>
  <c r="D16" i="7"/>
  <c r="P14" i="7"/>
  <c r="Q14" i="7" s="1"/>
  <c r="M19" i="8"/>
  <c r="M22" i="8" s="1"/>
  <c r="N23" i="7"/>
  <c r="N47" i="7" s="1"/>
  <c r="J19" i="8"/>
  <c r="M23" i="7"/>
  <c r="M47" i="7" s="1"/>
  <c r="L19" i="8"/>
  <c r="L22" i="8" s="1"/>
  <c r="E23" i="7"/>
  <c r="E47" i="7" s="1"/>
  <c r="P11" i="7"/>
  <c r="Q11" i="7" s="1"/>
  <c r="P8" i="7"/>
  <c r="H16" i="7"/>
  <c r="I16" i="7"/>
  <c r="E19" i="8" l="1"/>
  <c r="E22" i="8" s="1"/>
  <c r="F19" i="8"/>
  <c r="I22" i="8"/>
  <c r="O21" i="8"/>
  <c r="O23" i="7"/>
  <c r="O47" i="7" s="1"/>
  <c r="F22" i="8"/>
  <c r="J23" i="7"/>
  <c r="J47" i="7" s="1"/>
  <c r="L23" i="7"/>
  <c r="L47" i="7" s="1"/>
  <c r="J22" i="8"/>
  <c r="I36" i="8"/>
  <c r="J36" i="8"/>
  <c r="K36" i="8"/>
  <c r="E36" i="8"/>
  <c r="M36" i="8"/>
  <c r="D23" i="7"/>
  <c r="D47" i="7" s="1"/>
  <c r="C19" i="8"/>
  <c r="C22" i="8" s="1"/>
  <c r="D36" i="8"/>
  <c r="N36" i="8"/>
  <c r="L36" i="8"/>
  <c r="I23" i="7"/>
  <c r="I47" i="7" s="1"/>
  <c r="H19" i="8"/>
  <c r="H22" i="8" s="1"/>
  <c r="H23" i="7"/>
  <c r="H47" i="7" s="1"/>
  <c r="G19" i="8"/>
  <c r="Q8" i="7"/>
  <c r="P16" i="7"/>
  <c r="Q16" i="7" s="1"/>
  <c r="F36" i="8" l="1"/>
  <c r="C36" i="8"/>
  <c r="G22" i="8"/>
  <c r="O19" i="8"/>
  <c r="P47" i="7"/>
  <c r="Q47" i="7" s="1"/>
  <c r="P23" i="7"/>
  <c r="Q23" i="7" s="1"/>
  <c r="H36" i="8"/>
  <c r="G36" i="8" l="1"/>
  <c r="O36" i="8" s="1"/>
  <c r="O22" i="8"/>
  <c r="B16" i="10" l="1"/>
  <c r="B18" i="10" s="1"/>
  <c r="B19" i="10" s="1"/>
  <c r="D16" i="10"/>
  <c r="D18" i="10" s="1"/>
  <c r="C16" i="10"/>
  <c r="C18" i="10" s="1"/>
  <c r="P27" i="8"/>
  <c r="P19" i="8"/>
  <c r="P26" i="8"/>
  <c r="P33" i="8"/>
  <c r="P28" i="8"/>
  <c r="P34" i="8"/>
  <c r="P22" i="8"/>
  <c r="P6" i="8"/>
  <c r="P31" i="8"/>
  <c r="P25" i="8"/>
  <c r="P32" i="8"/>
  <c r="P16" i="8"/>
  <c r="P8" i="8"/>
  <c r="P5" i="8"/>
  <c r="P21" i="8"/>
  <c r="P35" i="8"/>
  <c r="P10" i="8"/>
  <c r="P14" i="8"/>
  <c r="P15" i="8"/>
  <c r="P20" i="8"/>
  <c r="P11" i="8"/>
  <c r="P9" i="8"/>
  <c r="P36" i="8"/>
  <c r="P7" i="8"/>
  <c r="C25" i="10" l="1"/>
  <c r="C19" i="10"/>
  <c r="D25" i="10"/>
  <c r="D1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B42" authorId="0" shapeId="0" xr:uid="{05BC9D36-A464-F941-BC8A-7DC13F08E2C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Dynamic: per-student fee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Terminale headcount. Previously hardcoded at 212,979.</t>
        </r>
      </text>
    </comment>
    <comment ref="D42" authorId="0" shapeId="0" xr:uid="{39CFFBB4-1599-174D-95ED-0BBBE8AFDD9E}">
      <text>
        <r>
          <rPr>
            <b/>
            <sz val="10"/>
            <color rgb="FF000000"/>
            <rFont val="Tahoma"/>
            <family val="2"/>
          </rPr>
          <t>BAC registration fee per Terminale student (SAR). Set locally by school/zone per AEFE policy — no uniform national rate. Update annually based on zone decision.</t>
        </r>
      </text>
    </comment>
    <comment ref="E42" authorId="0" shapeId="0" xr:uid="{81B76440-DEAC-9F48-A08F-D300D45F182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Terminale headcount from ENROLLMENT_HEADCOUNT!F20. BAC exams occur in June (AY1).</t>
        </r>
      </text>
    </comment>
    <comment ref="B43" authorId="0" shapeId="0" xr:uid="{1DAFB0CE-174A-6146-A36D-C1A58B3CD44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Dynamic: per-student fee × 3ème headcount. Previously hardcoded at 60,750.</t>
        </r>
      </text>
    </comment>
    <comment ref="D43" authorId="0" shapeId="0" xr:uid="{CE721963-C050-EA4A-8B80-1ADF7E914A17}">
      <text>
        <r>
          <rPr>
            <b/>
            <sz val="10"/>
            <color rgb="FF000000"/>
            <rFont val="Tahoma"/>
            <family val="2"/>
          </rPr>
          <t>DNB registration fee per 3ème student (SAR). Set locally by school/zone per AEFE policy — no uniform national rate. Update annually based on zone decision.</t>
        </r>
      </text>
    </comment>
    <comment ref="E43" authorId="0" shapeId="0" xr:uid="{FC886A62-D833-A947-9D55-955F9A7A134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3ème headcount from ENROLLMENT_HEADCOUNT!F17. DNB exams occur in June (AY1).</t>
        </r>
      </text>
    </comment>
    <comment ref="B44" authorId="0" shapeId="0" xr:uid="{FB315150-8416-9947-90A0-27D892EA098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Dynamic: per-student fee × 1ère headcount. Previously hardcoded at 90,750.</t>
        </r>
      </text>
    </comment>
    <comment ref="D44" authorId="0" shapeId="0" xr:uid="{02962A65-003C-3640-8402-ACF002F8BA55}">
      <text>
        <r>
          <rPr>
            <b/>
            <sz val="10"/>
            <color rgb="FF000000"/>
            <rFont val="Tahoma"/>
            <family val="2"/>
          </rPr>
          <t>EAF registration fee per 1ère student (SAR). Set locally by school/zone per AEFE policy — no uniform national rate. Update annually based on zone decision.</t>
        </r>
      </text>
    </comment>
    <comment ref="E44" authorId="0" shapeId="0" xr:uid="{9FA908BB-4337-CA42-9370-59343F7D1BB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1ère headcount from ENROLLMENT_HEADCOUNT!F19. EAF exams occur in June (AY1).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D33" authorId="0" shapeId="0" xr:uid="{BFA44917-124F-9840-A200-C70FB9D37F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PS→MS never dropped below 1.0 in 4yr history → conservative default 0.97</t>
        </r>
      </text>
    </comment>
    <comment ref="D34" authorId="0" shapeId="0" xr:uid="{90130400-D35B-5447-9270-DED20B5725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MS→GS never dropped below 1.0 in 4yr history → conservative default 0.97</t>
        </r>
      </text>
    </comment>
    <comment ref="D35" authorId="0" shapeId="0" xr:uid="{ACCCF1AA-4F33-EE45-950E-210B58DBEB1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GS→CP never dropped below 1.0 in 4yr history → conservative default 0.97</t>
        </r>
      </text>
    </comment>
    <comment ref="D36" authorId="0" shapeId="0" xr:uid="{E1FA4F23-BF69-6A45-BB61-F3D4E815213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CP→CE1 min observed 0.983 (2022-23)</t>
        </r>
      </text>
    </comment>
    <comment ref="D37" authorId="0" shapeId="0" xr:uid="{D899B0BD-DDF7-A143-A429-AFC9C38589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CE1→CE2 min observed 0.943 (2025-26)</t>
        </r>
      </text>
    </comment>
    <comment ref="D38" authorId="0" shapeId="0" xr:uid="{13646CA4-5768-3F4C-A796-D9C80D107C5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CE2→CM1 min observed 0.960 (2025-26)</t>
        </r>
      </text>
    </comment>
    <comment ref="D39" authorId="0" shapeId="0" xr:uid="{36A3FD03-E42F-EA45-848D-DB72CC09C31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CM1→CM2 min observed 0.976 (2025-26)</t>
        </r>
      </text>
    </comment>
    <comment ref="D40" authorId="0" shapeId="0" xr:uid="{8FD0CEE6-AB00-4A44-BB16-567AB104C44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CM2→6EME never dropped below 1.0 in 4yr history → conservative default 0.97</t>
        </r>
      </text>
    </comment>
    <comment ref="D41" authorId="0" shapeId="0" xr:uid="{E760362A-0C81-3B4F-8F88-94090366202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6EME→5EME min observed 0.952 (2025-26)</t>
        </r>
      </text>
    </comment>
    <comment ref="D42" authorId="0" shapeId="0" xr:uid="{11028C31-2252-E142-8EEA-DED275BE5D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5EME→4EME min observed 0.992 (2025-26)</t>
        </r>
      </text>
    </comment>
    <comment ref="D43" authorId="0" shapeId="0" xr:uid="{E623BA6D-AAC4-AB40-ABE7-F79FC918A25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4EME→3EME min observed 0.990 (2025-26)</t>
        </r>
      </text>
    </comment>
    <comment ref="D44" authorId="0" shapeId="0" xr:uid="{79930804-4990-C34E-9E01-A2C311749D9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3EME→2NDE min observed 0.977 (2025-26)</t>
        </r>
      </text>
    </comment>
    <comment ref="D45" authorId="0" shapeId="0" xr:uid="{BDC4DD79-346A-3C4F-9CD8-CB26C2AAF64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2NDE→1ERE min observed 0.923 (2025-26)</t>
        </r>
      </text>
    </comment>
    <comment ref="D46" authorId="0" shapeId="0" xr:uid="{E3D9D355-96E0-8541-9602-0B3F6861CFB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1ERE→TERM min observed 0.897 (2022-23)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A5" authorId="0" shapeId="0" xr:uid="{AB5AE037-443C-B84D-B4D0-AE31B6A5C0D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Multiplier on base enrollment headcount (1.00x = no change)</t>
        </r>
      </text>
    </comment>
    <comment ref="A6" authorId="0" shapeId="0" xr:uid="{0D2B67DC-09FA-6A46-8948-E6263835F34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Adjustment to returning student rate (+/- from baseline)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<sst xmlns="http://schemas.openxmlformats.org/spreadsheetml/2006/main" count="1250" uniqueCount="501">
  <si>
    <t>EFIR Revenue Module - Assumptions &amp; Parameters</t>
  </si>
  <si>
    <t>GENERAL PARAMETERS</t>
  </si>
  <si>
    <t>Fiscal Year</t>
  </si>
  <si>
    <t>Calendar year Jan-Dec</t>
  </si>
  <si>
    <t>Academic Year 1 (AY1)</t>
  </si>
  <si>
    <t>2025-2026</t>
  </si>
  <si>
    <t>Drives Jan-Jun 2026 revenue</t>
  </si>
  <si>
    <t>Academic Year 2 (AY2)</t>
  </si>
  <si>
    <t>2026-2027</t>
  </si>
  <si>
    <t>Drives Sep-Dec 2026 revenue</t>
  </si>
  <si>
    <t>AY1 Months in FY (Jan-Jun)</t>
  </si>
  <si>
    <t>6 months</t>
  </si>
  <si>
    <t>AY2 Months in FY (Sep-Dec)</t>
  </si>
  <si>
    <t>4 months</t>
  </si>
  <si>
    <t>Academic Months per Year</t>
  </si>
  <si>
    <t>Sep-Jun (10 months)</t>
  </si>
  <si>
    <t>Currency</t>
  </si>
  <si>
    <t>SAR</t>
  </si>
  <si>
    <t>Saudi Arabian Riyal</t>
  </si>
  <si>
    <t>VAT &amp; DISCOUNTS</t>
  </si>
  <si>
    <t>VAT Rate</t>
  </si>
  <si>
    <t>15% for French &amp; Other nationalities</t>
  </si>
  <si>
    <t>VAT-Exempt Nationalities</t>
  </si>
  <si>
    <t>Nationaux</t>
  </si>
  <si>
    <t>Saudi nationals exempt from VAT</t>
  </si>
  <si>
    <t>Discount - Reduit Personnel</t>
  </si>
  <si>
    <t>75% of Plein (staff children)</t>
  </si>
  <si>
    <t>Discount - Reduit 3+ Enfants</t>
  </si>
  <si>
    <t>75% of Plein (3+ siblings)</t>
  </si>
  <si>
    <t>REGISTRATION FEES</t>
  </si>
  <si>
    <t>Evaluation Tests (Total)</t>
  </si>
  <si>
    <t>ACTIVITIES &amp; SERVICES</t>
  </si>
  <si>
    <t>APS Monthly</t>
  </si>
  <si>
    <t>After-school activities per month</t>
  </si>
  <si>
    <t>Garderie Monthly</t>
  </si>
  <si>
    <t>Daycare per month</t>
  </si>
  <si>
    <t>Class Photos (Annual)</t>
  </si>
  <si>
    <t>Split Nov-Dec</t>
  </si>
  <si>
    <t>EXAMINATION FEES</t>
  </si>
  <si>
    <t>SIELE Fees (Annual)</t>
  </si>
  <si>
    <t>Split Oct-Nov</t>
  </si>
  <si>
    <t>Academic months /10</t>
  </si>
  <si>
    <t>Year-round /12</t>
  </si>
  <si>
    <t>SOCIAL AID (Negative Revenue)</t>
  </si>
  <si>
    <t>Bourses AEFE (Annual)</t>
  </si>
  <si>
    <t>Bourses AESH (Annual)</t>
  </si>
  <si>
    <t>RENTAL &amp; OTHER INCOME</t>
  </si>
  <si>
    <t>PSG Academy Rental (Annual)</t>
  </si>
  <si>
    <t>Band</t>
  </si>
  <si>
    <t>Max Class Size</t>
  </si>
  <si>
    <t>Notes</t>
  </si>
  <si>
    <t>Maternelle PS</t>
  </si>
  <si>
    <t>Maternelle</t>
  </si>
  <si>
    <t>Elementaire</t>
  </si>
  <si>
    <t>College</t>
  </si>
  <si>
    <t>Lycee</t>
  </si>
  <si>
    <t>Mar</t>
  </si>
  <si>
    <t>May</t>
  </si>
  <si>
    <t>ENROLLMENT PROJECTION</t>
  </si>
  <si>
    <t>New PS Intake (AY2)</t>
  </si>
  <si>
    <t>Retention Adjustment</t>
  </si>
  <si>
    <t>Grade</t>
  </si>
  <si>
    <t>PS</t>
  </si>
  <si>
    <t>MS</t>
  </si>
  <si>
    <t>GS</t>
  </si>
  <si>
    <t>CP</t>
  </si>
  <si>
    <t>CE1</t>
  </si>
  <si>
    <t>CE2</t>
  </si>
  <si>
    <t>CM1</t>
  </si>
  <si>
    <t>CM2</t>
  </si>
  <si>
    <t>6EME</t>
  </si>
  <si>
    <t>5EME</t>
  </si>
  <si>
    <t>4EME</t>
  </si>
  <si>
    <t>3EME</t>
  </si>
  <si>
    <t>2NDE</t>
  </si>
  <si>
    <t>1ERE</t>
  </si>
  <si>
    <t>TERM</t>
  </si>
  <si>
    <t>EFIR - Master Fee Grid FY2026</t>
  </si>
  <si>
    <t>Fee Grid - AY2025-2026</t>
  </si>
  <si>
    <t>Francais</t>
  </si>
  <si>
    <t>Level</t>
  </si>
  <si>
    <t>DAI (TTC)</t>
  </si>
  <si>
    <t>Tuition TTC</t>
  </si>
  <si>
    <t>Tuition HT</t>
  </si>
  <si>
    <t>T1 TTC</t>
  </si>
  <si>
    <t>T2 TTC</t>
  </si>
  <si>
    <t>T3 TTC</t>
  </si>
  <si>
    <t>VAT Status</t>
  </si>
  <si>
    <t>15% VAT</t>
  </si>
  <si>
    <t>Nationaux (KSA)</t>
  </si>
  <si>
    <t>Exempt</t>
  </si>
  <si>
    <t>Autres Nationalites</t>
  </si>
  <si>
    <t>Fee Grid - AY2026-2027</t>
  </si>
  <si>
    <t>Year-over-Year Change (AY2026-27 vs AY2025-26)</t>
  </si>
  <si>
    <t>Francais Abs</t>
  </si>
  <si>
    <t>Francais %</t>
  </si>
  <si>
    <t>Nationaux Abs</t>
  </si>
  <si>
    <t>Nationaux %</t>
  </si>
  <si>
    <t>Autres Abs</t>
  </si>
  <si>
    <t>Autres %</t>
  </si>
  <si>
    <t>EFIR - Discount Analysis FY2026</t>
  </si>
  <si>
    <t>Section A - Discount Policy Parameters</t>
  </si>
  <si>
    <t>Reduit Personnel Rate</t>
  </si>
  <si>
    <t>Staff children discount (% of Plein)</t>
  </si>
  <si>
    <t>Reduit 3+ Enfants Rate</t>
  </si>
  <si>
    <t>3+ siblings discount (% of Plein)</t>
  </si>
  <si>
    <t>Section B - Discount Rate Card (AY2025-2026)</t>
  </si>
  <si>
    <t>Plein HT</t>
  </si>
  <si>
    <t>Reduit Pers HT</t>
  </si>
  <si>
    <t>Reduit 3+ HT</t>
  </si>
  <si>
    <t>Discount/Student RP</t>
  </si>
  <si>
    <t>Discount/Student R3+</t>
  </si>
  <si>
    <t>Section B - Discount Rate Card (AY2026-2027)</t>
  </si>
  <si>
    <t>Section C - Total Discount Impact (AY2025-2026)</t>
  </si>
  <si>
    <t>RP Students</t>
  </si>
  <si>
    <t>RP Discount</t>
  </si>
  <si>
    <t>R3+ Students</t>
  </si>
  <si>
    <t>R3+ Discount</t>
  </si>
  <si>
    <t>Total Foregone</t>
  </si>
  <si>
    <t>% of Gross</t>
  </si>
  <si>
    <t>TOTAL</t>
  </si>
  <si>
    <t>Section C - Total Discount Impact (AY2026-2027)</t>
  </si>
  <si>
    <t>EFIR - Historical Enrollment Data (5 Years)</t>
  </si>
  <si>
    <t>Table A - Raw Enrollment by Grade</t>
  </si>
  <si>
    <t>Full Name</t>
  </si>
  <si>
    <t>2021-22</t>
  </si>
  <si>
    <t>2022-23</t>
  </si>
  <si>
    <t>2023-24</t>
  </si>
  <si>
    <t>2024-25</t>
  </si>
  <si>
    <t>2025-26</t>
  </si>
  <si>
    <t>Petite Section</t>
  </si>
  <si>
    <t>Moyenne Section</t>
  </si>
  <si>
    <t>Grande Section</t>
  </si>
  <si>
    <t>Cours Preparatoire</t>
  </si>
  <si>
    <t>Cours Elementaire 1</t>
  </si>
  <si>
    <t>Cours Elementaire 2</t>
  </si>
  <si>
    <t>Cours Moyen 1</t>
  </si>
  <si>
    <t>Cours Moyen 2</t>
  </si>
  <si>
    <t>Sixieme</t>
  </si>
  <si>
    <t>Cinquieme</t>
  </si>
  <si>
    <t>Quatrieme</t>
  </si>
  <si>
    <t>Troisieme</t>
  </si>
  <si>
    <t>Seconde</t>
  </si>
  <si>
    <t>Premiere</t>
  </si>
  <si>
    <t>Terminale</t>
  </si>
  <si>
    <t>BAND TOTALS</t>
  </si>
  <si>
    <t>Table B - Grade-to-Grade Retention Rates</t>
  </si>
  <si>
    <t>Transition</t>
  </si>
  <si>
    <t>Avg</t>
  </si>
  <si>
    <t>PS -&gt; MS</t>
  </si>
  <si>
    <t>MS -&gt; GS</t>
  </si>
  <si>
    <t>GS -&gt; CP</t>
  </si>
  <si>
    <t>CP -&gt; CE1</t>
  </si>
  <si>
    <t>CE1 -&gt; CE2</t>
  </si>
  <si>
    <t>CE2 -&gt; CM1</t>
  </si>
  <si>
    <t>CM1 -&gt; CM2</t>
  </si>
  <si>
    <t>CM2 -&gt; 6EME</t>
  </si>
  <si>
    <t>6EME -&gt; 5EME</t>
  </si>
  <si>
    <t>5EME -&gt; 4EME</t>
  </si>
  <si>
    <t>4EME -&gt; 3EME</t>
  </si>
  <si>
    <t>3EME -&gt; 2NDE</t>
  </si>
  <si>
    <t>2NDE -&gt; 1ERE</t>
  </si>
  <si>
    <t>1ERE -&gt; TERM</t>
  </si>
  <si>
    <t>Table C - Enrollment Summary by Band</t>
  </si>
  <si>
    <t>CAGR</t>
  </si>
  <si>
    <t>Table D - Year-over-Year Growth Rates (%)</t>
  </si>
  <si>
    <t>Table E - Grade Distribution Proportions within Bands</t>
  </si>
  <si>
    <t>Latest %</t>
  </si>
  <si>
    <t>Section A - AY1 Enrollment by Grade (2025-2026, Jan-Jun)</t>
  </si>
  <si>
    <t>Autres</t>
  </si>
  <si>
    <t>RP</t>
  </si>
  <si>
    <t>R3+</t>
  </si>
  <si>
    <t>Plein</t>
  </si>
  <si>
    <t>Total</t>
  </si>
  <si>
    <t>Grand Total</t>
  </si>
  <si>
    <t>Revenue HT</t>
  </si>
  <si>
    <t>BAND SUBTOTALS</t>
  </si>
  <si>
    <t>TOTAL AY1</t>
  </si>
  <si>
    <t>Retention Rate</t>
  </si>
  <si>
    <t>Retained</t>
  </si>
  <si>
    <t>Lateral Entry</t>
  </si>
  <si>
    <t>AY2 Total</t>
  </si>
  <si>
    <t>New Intake</t>
  </si>
  <si>
    <t>N/A</t>
  </si>
  <si>
    <t>TOTAL AY2</t>
  </si>
  <si>
    <t>Section D - Band Summary (AY1 vs AY2)</t>
  </si>
  <si>
    <t>AY1 Total</t>
  </si>
  <si>
    <t>Change</t>
  </si>
  <si>
    <t>% Change</t>
  </si>
  <si>
    <t>EFIR - Class Capacity Planning (Fourchette) - Based on AY2</t>
  </si>
  <si>
    <t>Section A - Grade-Level Capacity</t>
  </si>
  <si>
    <t>AY2 Enrollment</t>
  </si>
  <si>
    <t>Sections Needed</t>
  </si>
  <si>
    <t>Plancher (70%)</t>
  </si>
  <si>
    <t>Cible (85%)</t>
  </si>
  <si>
    <t>Plafond (100%)</t>
  </si>
  <si>
    <t>Utilization %</t>
  </si>
  <si>
    <t>Alert</t>
  </si>
  <si>
    <t>Section B - Band-Level Summary</t>
  </si>
  <si>
    <t>Total Enrollment</t>
  </si>
  <si>
    <t>Total Sections</t>
  </si>
  <si>
    <t>Avg Utilization</t>
  </si>
  <si>
    <t>Status</t>
  </si>
  <si>
    <t>Section C - Total School Summary</t>
  </si>
  <si>
    <t>Total Students</t>
  </si>
  <si>
    <t>Overall Utilization</t>
  </si>
  <si>
    <t>Section A - Registration Fees</t>
  </si>
  <si>
    <t>DAI - Francais</t>
  </si>
  <si>
    <t>DAI - Nationaux</t>
  </si>
  <si>
    <t>DAI - Autres</t>
  </si>
  <si>
    <t>Evaluation Tests</t>
  </si>
  <si>
    <t>Total Registration Fees</t>
  </si>
  <si>
    <t>Section B - Activities &amp; Services</t>
  </si>
  <si>
    <t>Class Photos</t>
  </si>
  <si>
    <t>Total Activities &amp; Services</t>
  </si>
  <si>
    <t>Section C - Examination Fees</t>
  </si>
  <si>
    <t>BAC Examination</t>
  </si>
  <si>
    <t>DNB Examination</t>
  </si>
  <si>
    <t>EAF Examination</t>
  </si>
  <si>
    <t>SIELE Examination</t>
  </si>
  <si>
    <t>Total Examination Fees</t>
  </si>
  <si>
    <t>Academic /10</t>
  </si>
  <si>
    <t>Bourses AEFE</t>
  </si>
  <si>
    <t>Bourses AESH</t>
  </si>
  <si>
    <t>Total Social Aid</t>
  </si>
  <si>
    <t>PSG Academy Rental</t>
  </si>
  <si>
    <t>Distribution</t>
  </si>
  <si>
    <t>Registration Fees</t>
  </si>
  <si>
    <t>May-Jun</t>
  </si>
  <si>
    <t>Activities &amp; Services</t>
  </si>
  <si>
    <t>Examination Fees</t>
  </si>
  <si>
    <t>TOTAL OTHER REVENUE</t>
  </si>
  <si>
    <t>EFIR - Revenue Engine FY2026</t>
  </si>
  <si>
    <t>Jan-Jun: AY2025-2026 | Jul-Aug: Summer Break | Sep-Dec: AY2026-2027</t>
  </si>
  <si>
    <t>IFRS Category</t>
  </si>
  <si>
    <t>Line Item</t>
  </si>
  <si>
    <t>Jan</t>
  </si>
  <si>
    <t>Feb</t>
  </si>
  <si>
    <t>Apr</t>
  </si>
  <si>
    <t>Jun</t>
  </si>
  <si>
    <t>Jul</t>
  </si>
  <si>
    <t>Aug</t>
  </si>
  <si>
    <t>Sep</t>
  </si>
  <si>
    <t>Oct</t>
  </si>
  <si>
    <t>Nov</t>
  </si>
  <si>
    <t>Dec</t>
  </si>
  <si>
    <t>FY2026 Total</t>
  </si>
  <si>
    <t>% of Rev</t>
  </si>
  <si>
    <t>Tuition Fees</t>
  </si>
  <si>
    <t>Maternelle PS - Tuition</t>
  </si>
  <si>
    <t>Maternelle - Tuition</t>
  </si>
  <si>
    <t>Elementaire - Tuition</t>
  </si>
  <si>
    <t>College - Tuition</t>
  </si>
  <si>
    <t>Lycee - Tuition</t>
  </si>
  <si>
    <t>Total Tuition Fees</t>
  </si>
  <si>
    <t>Discount Impact</t>
  </si>
  <si>
    <t>Discount Impact (AY1)</t>
  </si>
  <si>
    <t>Discount Impact (AY2)</t>
  </si>
  <si>
    <t>Total Discount Impact</t>
  </si>
  <si>
    <t>Re-registration (DAI)</t>
  </si>
  <si>
    <t>After-School Activities (APS)</t>
  </si>
  <si>
    <t>Daycare (Garderie)</t>
  </si>
  <si>
    <t>BAC Examination Fees</t>
  </si>
  <si>
    <t>DNB Examination Fees</t>
  </si>
  <si>
    <t>EAF Examination Fees</t>
  </si>
  <si>
    <t>SIELE Examination Fees</t>
  </si>
  <si>
    <t>TOTAL OPERATING REVENUE</t>
  </si>
  <si>
    <t>Metric</t>
  </si>
  <si>
    <t>EFIR - Revenue Scenarios FY2026</t>
  </si>
  <si>
    <t>Adjustment Parameters</t>
  </si>
  <si>
    <t>Parameter</t>
  </si>
  <si>
    <t>Base</t>
  </si>
  <si>
    <t>Optimistic</t>
  </si>
  <si>
    <t>Pessimistic</t>
  </si>
  <si>
    <t>New Enrollment Factor</t>
  </si>
  <si>
    <t>Attrition Rate</t>
  </si>
  <si>
    <t>Fee Collection Rate</t>
  </si>
  <si>
    <t>Scholarship Allocation</t>
  </si>
  <si>
    <t>Scenario Outputs</t>
  </si>
  <si>
    <t>Adjusted Total Enrollment</t>
  </si>
  <si>
    <t>Deltas vs Base</t>
  </si>
  <si>
    <t>Enrollment Delta</t>
  </si>
  <si>
    <t>Tuition Delta</t>
  </si>
  <si>
    <t>Net Revenue Delta</t>
  </si>
  <si>
    <t>Possible Recruitments</t>
  </si>
  <si>
    <t>Entry-level estimate (manual input)</t>
  </si>
  <si>
    <t>Lateral Entry Weight (Recent Year)</t>
  </si>
  <si>
    <t>Weight for most recent year (2025-26)</t>
  </si>
  <si>
    <t>EFIR - Enrollment Headcount FY2026</t>
  </si>
  <si>
    <t>Stage 1: Total headcount by grade. Yellow cells are editable. AY2 uses retention + smart lateral entry.</t>
  </si>
  <si>
    <t>Historical 2023-24</t>
  </si>
  <si>
    <t>Historical 2024-25</t>
  </si>
  <si>
    <t>Historical 2025-26</t>
  </si>
  <si>
    <t>AY1 Headcount</t>
  </si>
  <si>
    <t>Δ vs 2025-26</t>
  </si>
  <si>
    <t>Section B - Retention &amp; Lateral Entry (AY1 → AY2)</t>
  </si>
  <si>
    <t>Feeder Grade</t>
  </si>
  <si>
    <t>AY1 Feeder Count</t>
  </si>
  <si>
    <t>Wtd Hist Target</t>
  </si>
  <si>
    <t>Override (±)</t>
  </si>
  <si>
    <t>Section C - AY2 Enrollment Summary (2026-2027, Sep-Dec)</t>
  </si>
  <si>
    <t>AY2 Headcount</t>
  </si>
  <si>
    <t>EFIR - Enrollment Detail FY2026 (Nationality × Tariff)</t>
  </si>
  <si>
    <t>Stage 2: Nationality &amp; tariff breakdown. Yellow cells are overridable proportions. Totals linked from ENROLLMENT_HEADCOUNT.</t>
  </si>
  <si>
    <t>Section A - AY1 Detail by Grade (2025-2026, Jan-Jun)</t>
  </si>
  <si>
    <t>Section B - AY2 Detail by Grade (2026-2027, Sep-Dec)</t>
  </si>
  <si>
    <t>New Student Fee Grid - AY2025-2026</t>
  </si>
  <si>
    <t>Fee Type</t>
  </si>
  <si>
    <t>Fee TTC</t>
  </si>
  <si>
    <t>Fee HT</t>
  </si>
  <si>
    <t>VAT Amount</t>
  </si>
  <si>
    <t>Frais de Dossier</t>
  </si>
  <si>
    <t>Application fee - new students</t>
  </si>
  <si>
    <t>DPI (1ère Inscription)</t>
  </si>
  <si>
    <t>First registration - new students only</t>
  </si>
  <si>
    <t>Evaluation - Primaire</t>
  </si>
  <si>
    <t>Entry test - CP to CM2</t>
  </si>
  <si>
    <t>Evaluation - College+Lycee</t>
  </si>
  <si>
    <t>Entry test - 6EME to TERM</t>
  </si>
  <si>
    <t>HT rate - VAT exempt</t>
  </si>
  <si>
    <t>First registration - HT rate</t>
  </si>
  <si>
    <t>New Student Fee Grid - AY2026-2027</t>
  </si>
  <si>
    <t>Assumed same as AY1</t>
  </si>
  <si>
    <t>Estimated New Students (Total)</t>
  </si>
  <si>
    <t>Total new enrollments (all nationalities)</t>
  </si>
  <si>
    <t>NEW STUDENT BREAKDOWN</t>
  </si>
  <si>
    <t>New Students - Francais</t>
  </si>
  <si>
    <t>Proportional to FR share of AY2 enrollment</t>
  </si>
  <si>
    <t>New Students - Nationaux</t>
  </si>
  <si>
    <t>Proportional to NAT share of AY2 enrollment</t>
  </si>
  <si>
    <t>New Students - Autres</t>
  </si>
  <si>
    <t>Residual (Total minus FR minus NAT)</t>
  </si>
  <si>
    <t>Check: Total</t>
  </si>
  <si>
    <t>Should match B23</t>
  </si>
  <si>
    <t>NEW STUDENT BY LEVEL (for Eval)</t>
  </si>
  <si>
    <t>New Students - Maternelle (PS+MS+GS)</t>
  </si>
  <si>
    <t>No eval test for Maternelle</t>
  </si>
  <si>
    <t>New Students - Primaire (CP-CM2)</t>
  </si>
  <si>
    <t>Eval Primaire rate applies</t>
  </si>
  <si>
    <t>New Students - College+Lycee (6E-TERM)</t>
  </si>
  <si>
    <t>Eval College+Lycee rate applies</t>
  </si>
  <si>
    <t>FEES REFERENCED FROM FEE_GRID</t>
  </si>
  <si>
    <t>DPI HT - Francais</t>
  </si>
  <si>
    <t>From FEE_GRID AY2 (Sep-Dec period)</t>
  </si>
  <si>
    <t>DPI HT - Nationaux</t>
  </si>
  <si>
    <t>Primaire × Eval rate + Secondaire × Eval rate (HT)</t>
  </si>
  <si>
    <t>Frais de Dossier - Francais</t>
  </si>
  <si>
    <t>Frais de Dossier - Nationaux</t>
  </si>
  <si>
    <t>Frais de Dossier - Autres</t>
  </si>
  <si>
    <t>DPI - Francais</t>
  </si>
  <si>
    <t>DPI - Nationaux</t>
  </si>
  <si>
    <t>DPI - Autres</t>
  </si>
  <si>
    <t>New Student Fees (Dossier+DPI)</t>
  </si>
  <si>
    <t>OTHER REVENUES - Driver-Based Monthly Breakdown</t>
  </si>
  <si>
    <t>FY2026 Budget</t>
  </si>
  <si>
    <t>Annual Driver (SAR)</t>
  </si>
  <si>
    <t>Check</t>
  </si>
  <si>
    <t>Custom months</t>
  </si>
  <si>
    <t xml:space="preserve">  ↳ Weights (Oct-Nov)</t>
  </si>
  <si>
    <t xml:space="preserve">  Total New Student Fees</t>
  </si>
  <si>
    <t xml:space="preserve">  Total DAI</t>
  </si>
  <si>
    <t xml:space="preserve">  ↳ Weights (Nov-Dec)</t>
  </si>
  <si>
    <t xml:space="preserve">  ↳ Weights (Apr-May)</t>
  </si>
  <si>
    <t>BAC Fees (TERM × zone rate)</t>
  </si>
  <si>
    <t>DNB Fees (3EME × zone rate)</t>
  </si>
  <si>
    <t>EAF Fees (1ERE × zone rate)</t>
  </si>
  <si>
    <t>Zone Rate / Student (SAR)</t>
  </si>
  <si>
    <t>Apr-May · Zone rate × AY1 TERM</t>
  </si>
  <si>
    <t>Apr-May · Zone rate × AY1 3EME</t>
  </si>
  <si>
    <t>Apr-May · Zone rate × AY1 1ERE</t>
  </si>
  <si>
    <t>Section D - Social Aid (Negative Revenue)</t>
  </si>
  <si>
    <t>🔢 TOTAL INPUTS</t>
  </si>
  <si>
    <t>📄 SHEETS WITH INPUTS</t>
  </si>
  <si>
    <t>10 of 12</t>
  </si>
  <si>
    <t>🎯 CRITICAL INPUTS</t>
  </si>
  <si>
    <t>24 (ASSUMPTIONS)</t>
  </si>
  <si>
    <t>⚡ LARGEST INPUT BLOCK</t>
  </si>
  <si>
    <t>CATEGORY</t>
  </si>
  <si>
    <t>DESCRIPTION</t>
  </si>
  <si>
    <t>SHEET → RANGE</t>
  </si>
  <si>
    <t># INPUTS</t>
  </si>
  <si>
    <t>PRIORITY</t>
  </si>
  <si>
    <t>NOTES / GUIDANCE</t>
  </si>
  <si>
    <t>🔧</t>
  </si>
  <si>
    <t>General Parameters (FY, AY, Months, Currency)</t>
  </si>
  <si>
    <t>ASSUMPTIONS → B4:B10</t>
  </si>
  <si>
    <t>🔴 CRITICAL</t>
  </si>
  <si>
    <t>Fiscal year, academic year periods, currency. Change annually.</t>
  </si>
  <si>
    <t>VAT &amp; Tax Parameters</t>
  </si>
  <si>
    <t>ASSUMPTIONS → B13:B16</t>
  </si>
  <si>
    <t>VAT rate 15%, nationality threshold, discount caps. Regulatory.</t>
  </si>
  <si>
    <t>School Calendar (Working Days)</t>
  </si>
  <si>
    <t>ASSUMPTIONS → B19</t>
  </si>
  <si>
    <t>🟡 HIGH</t>
  </si>
  <si>
    <t>312 working days. Update if calendar changes.</t>
  </si>
  <si>
    <t>Examination Fee Rates (BAC/DNB/EAF)</t>
  </si>
  <si>
    <t>ASSUMPTIONS → D42:D44</t>
  </si>
  <si>
    <t>Exam fees per student. Set by zone/AEFE policy annually.</t>
  </si>
  <si>
    <t>DPI Contribution Base</t>
  </si>
  <si>
    <t>ASSUMPTIONS → B37:B39</t>
  </si>
  <si>
    <t>DPI annual amount, monthly supplement, and yearly total.</t>
  </si>
  <si>
    <t>Activity Fee Base</t>
  </si>
  <si>
    <t>ASSUMPTIONS → B45</t>
  </si>
  <si>
    <t>Annual activity fee per student (15,000 SAR).</t>
  </si>
  <si>
    <t>Eval &amp; Certification Amounts</t>
  </si>
  <si>
    <t>ASSUMPTIONS → B50:B51</t>
  </si>
  <si>
    <t>Evaluation + certification revenue amounts.</t>
  </si>
  <si>
    <t>Provision for Bad Debt</t>
  </si>
  <si>
    <t>ASSUMPTIONS → B54</t>
  </si>
  <si>
    <t>Bad debt provision amount (51,230 SAR).</t>
  </si>
  <si>
    <t>Registration Capacity &amp; Rate</t>
  </si>
  <si>
    <t>ASSUMPTIONS → B60:B61</t>
  </si>
  <si>
    <t>Max new students (64) and registration rate (80%).</t>
  </si>
  <si>
    <t>💰</t>
  </si>
  <si>
    <t>Tuition Fees — AY1 (Jan–Jun) Français</t>
  </si>
  <si>
    <t>FEE_GRID → B6:G10</t>
  </si>
  <si>
    <t>Annual + trimester tuition by level. Review vs AY1 prior year.</t>
  </si>
  <si>
    <t>Tuition Fees — AY1 Nationaux KSA</t>
  </si>
  <si>
    <t>FEE_GRID → B14:G18</t>
  </si>
  <si>
    <t>Nationaux tariff rates. Must align with school fee policy.</t>
  </si>
  <si>
    <t>Tuition Fees — AY1 Autres</t>
  </si>
  <si>
    <t>FEE_GRID → B22:G26</t>
  </si>
  <si>
    <t>International/other tariff rates. Highest fee tier.</t>
  </si>
  <si>
    <t>Tuition Fees — AY2 (Sep–Dec) All Tariffs</t>
  </si>
  <si>
    <t>FEE_GRID → B32:G52</t>
  </si>
  <si>
    <t>AY2 tuition mirror. Often same as AY1 — verify parity.</t>
  </si>
  <si>
    <t>New Student Registration Fees</t>
  </si>
  <si>
    <t>FEE_GRID → B66:B105</t>
  </si>
  <si>
    <t>Registration/inscription fees by level + nationality.</t>
  </si>
  <si>
    <t>FEE_GRID → D73:D98</t>
  </si>
  <si>
    <t>🟢 LOW</t>
  </si>
  <si>
    <t>👥</t>
  </si>
  <si>
    <t>AY1 Nationality Mix — Headcount by Grade</t>
  </si>
  <si>
    <t>ENROLLMENT → C7:M21</t>
  </si>
  <si>
    <t>Core enrollment input: students by grade × nationality × tariff.</t>
  </si>
  <si>
    <t>AY2 Retention Rates by Grade</t>
  </si>
  <si>
    <t>ENROLLMENT → D35:D48</t>
  </si>
  <si>
    <t>% of AY1 students continuing into AY2. Key revenue driver.</t>
  </si>
  <si>
    <t>New PS Intake &amp; Base</t>
  </si>
  <si>
    <t>ENROLLMENT → C34, E34</t>
  </si>
  <si>
    <t>Petite Section new enrollment count override.</t>
  </si>
  <si>
    <t>📊</t>
  </si>
  <si>
    <t>Nationality Proportions (All Grades)</t>
  </si>
  <si>
    <t>ENROLLMENT_DETAIL → C7:M21</t>
  </si>
  <si>
    <t>% breakdown: Français/Nationaux/Autres × RP/R3+/Plein.</t>
  </si>
  <si>
    <t>📈</t>
  </si>
  <si>
    <t>Retention Rates (Headcount Layer)</t>
  </si>
  <si>
    <t>ENROLLMENT_HEADCOUNT → D33:D46</t>
  </si>
  <si>
    <t>Grade-level retention expectations. Drives AY2 projection.</t>
  </si>
  <si>
    <t>Manual Override Column</t>
  </si>
  <si>
    <t>ENROLLMENT_HEADCOUNT → H32:H46</t>
  </si>
  <si>
    <t>Override calculated headcount. Use for known adjustments.</t>
  </si>
  <si>
    <t>ENROLLMENT_HEADCOUNT → K6:K20</t>
  </si>
  <si>
    <t>📁</t>
  </si>
  <si>
    <t>5-Year Historical Enrollment (FY21–FY25)</t>
  </si>
  <si>
    <t>HISTORICAL → C5:G19</t>
  </si>
  <si>
    <t>Static archive. Update only when new year is finalized.</t>
  </si>
  <si>
    <t>🏫</t>
  </si>
  <si>
    <t>Maximum Class Size by Grade</t>
  </si>
  <si>
    <t>CLASS_CAPACITY → D5:D19</t>
  </si>
  <si>
    <t>Capacity constraints per grade. Triggers alerts if exceeded.</t>
  </si>
  <si>
    <t>📋</t>
  </si>
  <si>
    <t>Monthly Weight Distributions</t>
  </si>
  <si>
    <t>OTHER_REVENUES → D13:O41</t>
  </si>
  <si>
    <t>Revenue timing across 12 months (Jan–Dec). Rows 13,15,29,35,37,39,41.</t>
  </si>
  <si>
    <t>🎛️</t>
  </si>
  <si>
    <t>Scenario Parameters (Base/Up/Down)</t>
  </si>
  <si>
    <t>SCENARIOS → B5:D9</t>
  </si>
  <si>
    <t>Enrollment Δ, fee Δ, discount Δ, other rev Δ, cost Δ adjustments.</t>
  </si>
  <si>
    <t>📖 LEGEND</t>
  </si>
  <si>
    <t>🟡</t>
  </si>
  <si>
    <t>Yellow cell = Hardcoded input (modifiable)</t>
  </si>
  <si>
    <t>Highlighted across all sheets. These are your data entry points.</t>
  </si>
  <si>
    <t>🔴</t>
  </si>
  <si>
    <t>CRITICAL priority = Revenue-impacting inputs</t>
  </si>
  <si>
    <t>Changes directly affect revenue calculations. Verify before saving.</t>
  </si>
  <si>
    <t>HIGH priority = Important parameters</t>
  </si>
  <si>
    <t>Operational parameters that affect model behavior.</t>
  </si>
  <si>
    <t>🟢</t>
  </si>
  <si>
    <t>LOW priority = Reference/archive data</t>
  </si>
  <si>
    <t>Historical or static data. Rarely changed during budget cycle.</t>
  </si>
  <si>
    <t>🔵</t>
  </si>
  <si>
    <t>Blue font = Already blue-coded in model</t>
  </si>
  <si>
    <t>Original model convention for editable fields (retained).</t>
  </si>
  <si>
    <t>📐</t>
  </si>
  <si>
    <t>Gold left border = Input indicator bar</t>
  </si>
  <si>
    <t>Visual marker on every hardcoded cell for quick scanning.</t>
  </si>
  <si>
    <t>🔄 DATA FLOW</t>
  </si>
  <si>
    <t>ASSUMPTIONS + FEE_GRID + DISCOUNTS  →  ENROLLMENT layers  →  REVENUE_ENGINE  →  SCENARIOS  →  EXECUTIVE_SUMMARY</t>
  </si>
  <si>
    <t>FEE_GRID (174)</t>
  </si>
  <si>
    <t>VAT Exemptions (Zero-Rated) — REMOVED</t>
  </si>
  <si>
    <t>—</t>
  </si>
  <si>
    <t>⛔ REMOVED</t>
  </si>
  <si>
    <t>Structural zeros (always 0 for Nationaux). Not a data entry point.</t>
  </si>
  <si>
    <t>Prior Year Comparison Data — REMOVED</t>
  </si>
  <si>
    <t>Reference/comparison values, not primary data entry. Formulas in F6:F20 also de-highlighted.</t>
  </si>
  <si>
    <t>Total Tuition Revenue HT (SAR)</t>
  </si>
  <si>
    <t>Total All-Stream Revenue (SAR)</t>
  </si>
  <si>
    <t>Scholarship Deductions (SAR)</t>
  </si>
  <si>
    <t>Net Revenue (SAR)</t>
  </si>
  <si>
    <t>Revenue per Student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</si>
</sst>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;&quot;-&quot;"/>
    <numFmt numFmtId="171" formatCode="0.000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u/>
      <sz val="9"/>
      <color rgb="FF333333"/>
      <name val="Arial"/>
      <family val="2"/>
    </font>
    <font>
      <b/>
      <sz val="16"/>
      <color rgb="FF1F3864"/>
      <name val="Arial"/>
      <family val="2"/>
    </font>
    <font>
      <i/>
      <sz val="9.5"/>
      <color rgb="FF666666"/>
      <name val="Arial"/>
      <family val="2"/>
    </font>
    <font>
      <b/>
      <sz val="9.5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i/>
      <sz val="8"/>
      <color rgb="FF666666"/>
      <name val="Arial"/>
      <family val="2"/>
    </font>
    <font>
      <b/>
      <i/>
      <sz val="8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5FA1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D6B35"/>
        <bgColor indexed="64"/>
      </patternFill>
    </fill>
  </fills>
  <borders count="99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medium">
        <color rgb="FF1B2A4A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3498DB"/>
      </bottom>
      <diagonal/>
    </border>
    <border>
      <left style="thick">
        <color rgb="FF3498DB"/>
      </left>
      <right style="thin">
        <color rgb="FFBFBFBF"/>
      </right>
      <top/>
      <bottom style="thin">
        <color rgb="FFD5E8F5"/>
      </bottom>
      <diagonal/>
    </border>
    <border>
      <left/>
      <right style="thin">
        <color rgb="FFBFBFBF"/>
      </right>
      <top/>
      <bottom style="thin">
        <color rgb="FFD5E8F5"/>
      </bottom>
      <diagonal/>
    </border>
    <border>
      <left style="thin">
        <color rgb="FFBFBFBF"/>
      </left>
      <right style="thin">
        <color rgb="FFBFBFBF"/>
      </right>
      <top/>
      <bottom style="thin">
        <color rgb="FFD5E8F5"/>
      </bottom>
      <diagonal/>
    </border>
    <border>
      <left/>
      <right/>
      <top/>
      <bottom style="thin">
        <color rgb="FFD5E8F5"/>
      </bottom>
      <diagonal/>
    </border>
    <border>
      <left style="thick">
        <color rgb="FF3498DB"/>
      </left>
      <right/>
      <top/>
      <bottom style="thin">
        <color rgb="FFD5E8F5"/>
      </bottom>
      <diagonal/>
    </border>
    <border>
      <left style="thick">
        <color rgb="FF3498DB"/>
      </left>
      <right style="thin">
        <color rgb="FFBFBFBF"/>
      </right>
      <top/>
      <bottom/>
      <diagonal/>
    </border>
    <border>
      <left style="thick">
        <color rgb="FF3498DB"/>
      </left>
      <right/>
      <top/>
      <bottom/>
      <diagonal/>
    </border>
    <border>
      <left style="thin">
        <color rgb="FFE6A817"/>
      </left>
      <right style="thin">
        <color rgb="FFE6A817"/>
      </right>
      <top style="thin">
        <color rgb="FFE6A817"/>
      </top>
      <bottom/>
      <diagonal/>
    </border>
    <border>
      <left style="thin">
        <color rgb="FFE6A817"/>
      </left>
      <right style="thin">
        <color rgb="FFE6A817"/>
      </right>
      <top/>
      <bottom/>
      <diagonal/>
    </border>
    <border>
      <left/>
      <right/>
      <top/>
      <bottom style="thin">
        <color rgb="FFEAECEE"/>
      </bottom>
      <diagonal/>
    </border>
    <border>
      <left style="thin">
        <color rgb="FFBFBFBF"/>
      </left>
      <right/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 style="thin">
        <color rgb="FFEAECEE"/>
      </bottom>
      <diagonal/>
    </border>
    <border>
      <left/>
      <right/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/>
      <diagonal/>
    </border>
    <border>
      <left/>
      <right/>
      <top style="thin">
        <color rgb="FFEAECEE"/>
      </top>
      <bottom/>
      <diagonal/>
    </border>
    <border>
      <left style="thin">
        <color rgb="FFE6A817"/>
      </left>
      <right style="thin">
        <color rgb="FFE6A817"/>
      </right>
      <top style="thin">
        <color rgb="FFEAECEE"/>
      </top>
      <bottom style="thin">
        <color rgb="FFEAECEE"/>
      </bottom>
      <diagonal/>
    </border>
    <border>
      <left style="thin">
        <color rgb="FFE6A817"/>
      </left>
      <right style="thin">
        <color rgb="FFE6A817"/>
      </right>
      <top style="thin">
        <color rgb="FFEAECEE"/>
      </top>
      <bottom/>
      <diagonal/>
    </border>
    <border>
      <left/>
      <right style="thin">
        <color rgb="FFBFBFBF"/>
      </right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/>
      <bottom style="thin">
        <color rgb="FFEAECEE"/>
      </bottom>
      <diagonal/>
    </border>
    <border>
      <left style="thin">
        <color rgb="FFBFBFBF"/>
      </left>
      <right/>
      <top style="thin">
        <color rgb="FFEAECEE"/>
      </top>
      <bottom/>
      <diagonal/>
    </border>
    <border>
      <left/>
      <right style="thin">
        <color rgb="FFBFBFBF"/>
      </right>
      <top style="thin">
        <color rgb="FFEAECEE"/>
      </top>
      <bottom/>
      <diagonal/>
    </border>
    <border>
      <left style="thin">
        <color rgb="FFE6A817"/>
      </left>
      <right/>
      <top style="thin">
        <color rgb="FFEAECEE"/>
      </top>
      <bottom/>
      <diagonal/>
    </border>
    <border>
      <left style="thin">
        <color rgb="FFBFBFBF"/>
      </left>
      <right/>
      <top style="medium">
        <color rgb="FF2C3E50"/>
      </top>
      <bottom style="thin">
        <color rgb="FF2C3E50"/>
      </bottom>
      <diagonal/>
    </border>
    <border>
      <left style="thin">
        <color rgb="FFBFBFBF"/>
      </left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/>
      <right/>
      <top style="medium">
        <color rgb="FF2C3E50"/>
      </top>
      <bottom style="thin">
        <color rgb="FF2C3E50"/>
      </bottom>
      <diagonal/>
    </border>
    <border>
      <left/>
      <right/>
      <top style="medium">
        <color rgb="FF2C3E50"/>
      </top>
      <bottom/>
      <diagonal/>
    </border>
    <border>
      <left style="thick">
        <color rgb="FF3498DB"/>
      </left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/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 style="thick">
        <color rgb="FF3498DB"/>
      </left>
      <right style="thin">
        <color rgb="FFBFBFBF"/>
      </right>
      <top style="medium">
        <color rgb="FF2C3E50"/>
      </top>
      <bottom/>
      <diagonal/>
    </border>
    <border>
      <left/>
      <right style="thin">
        <color rgb="FFBFBFBF"/>
      </right>
      <top style="medium">
        <color rgb="FF2C3E50"/>
      </top>
      <bottom/>
      <diagonal/>
    </border>
    <border>
      <left style="thin">
        <color rgb="FFBFBFBF"/>
      </left>
      <right style="thin">
        <color rgb="FFBFBFBF"/>
      </right>
      <top style="medium">
        <color rgb="FF2C3E50"/>
      </top>
      <bottom/>
      <diagonal/>
    </border>
    <border>
      <left style="thick">
        <color rgb="FF3498DB"/>
      </left>
      <right/>
      <top style="thin">
        <color rgb="FFEAECEE"/>
      </top>
      <bottom style="medium">
        <color rgb="FF85C1E9"/>
      </bottom>
      <diagonal/>
    </border>
    <border>
      <left style="thick">
        <color rgb="FF3498DB"/>
      </left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/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/>
      <right/>
      <top style="thin">
        <color rgb="FFEAECEE"/>
      </top>
      <bottom style="medium">
        <color rgb="FF85C1E9"/>
      </bottom>
      <diagonal/>
    </border>
    <border>
      <left style="thick">
        <color rgb="FF3498DB"/>
      </left>
      <right/>
      <top/>
      <bottom style="medium">
        <color rgb="FF85C1E9"/>
      </bottom>
      <diagonal/>
    </border>
    <border>
      <left/>
      <right/>
      <top/>
      <bottom style="medium">
        <color rgb="FF85C1E9"/>
      </bottom>
      <diagonal/>
    </border>
    <border>
      <left/>
      <right/>
      <top style="thick">
        <color rgb="FF3498DB"/>
      </top>
      <bottom/>
      <diagonal/>
    </border>
    <border>
      <left style="thick">
        <color rgb="FFE6A817"/>
      </left>
      <right style="thin">
        <color rgb="FFE6A817"/>
      </right>
      <top style="thin">
        <color rgb="FFE6A817"/>
      </top>
      <bottom/>
      <diagonal/>
    </border>
    <border>
      <left style="thick">
        <color rgb="FFE6A817"/>
      </left>
      <right style="thin">
        <color rgb="FFE6A817"/>
      </right>
      <top style="thin">
        <color rgb="FFEAECEE"/>
      </top>
      <bottom style="thin">
        <color rgb="FFEAECEE"/>
      </bottom>
      <diagonal/>
    </border>
    <border>
      <left style="thick">
        <color rgb="FFE6A817"/>
      </left>
      <right style="thin">
        <color rgb="FFE6A817"/>
      </right>
      <top style="thin">
        <color rgb="FFEAECEE"/>
      </top>
      <bottom/>
      <diagonal/>
    </border>
    <border>
      <left style="thick">
        <color rgb="FFE6A817"/>
      </left>
      <right style="thin">
        <color rgb="FFBFBFBF"/>
      </right>
      <top style="thin">
        <color rgb="FFEAECEE"/>
      </top>
      <bottom style="thin">
        <color rgb="FFEAECEE"/>
      </bottom>
      <diagonal/>
    </border>
    <border>
      <left style="thick">
        <color rgb="FFE6A817"/>
      </left>
      <right style="thin">
        <color rgb="FFBFBFBF"/>
      </right>
      <top style="thin">
        <color rgb="FFEAECEE"/>
      </top>
      <bottom/>
      <diagonal/>
    </border>
    <border>
      <left style="thin">
        <color rgb="FFE6A817"/>
      </left>
      <right style="thin">
        <color rgb="FFE6A817"/>
      </right>
      <top/>
      <bottom style="thin">
        <color rgb="FFEAECEE"/>
      </bottom>
      <diagonal/>
    </border>
    <border>
      <left style="thick">
        <color rgb="FFE6A817"/>
      </left>
      <right/>
      <top style="thin">
        <color rgb="FFEAECEE"/>
      </top>
      <bottom style="thin">
        <color rgb="FFEAECEE"/>
      </bottom>
      <diagonal/>
    </border>
    <border>
      <left style="thick">
        <color rgb="FFE6A817"/>
      </left>
      <right/>
      <top/>
      <bottom/>
      <diagonal/>
    </border>
    <border>
      <left style="thick">
        <color rgb="FFE6A817"/>
      </left>
      <right/>
      <top style="thin">
        <color rgb="FFEAECEE"/>
      </top>
      <bottom/>
      <diagonal/>
    </border>
    <border>
      <left style="thick">
        <color rgb="FFE6A817"/>
      </left>
      <right/>
      <top style="medium">
        <color rgb="FF2C3E50"/>
      </top>
      <bottom/>
      <diagonal/>
    </border>
    <border>
      <left style="thick">
        <color rgb="FFE6A817"/>
      </left>
      <right style="thin">
        <color rgb="FFBFBFBF"/>
      </right>
      <top style="medium">
        <color rgb="FF2C3E50"/>
      </top>
      <bottom/>
      <diagonal/>
    </border>
    <border>
      <left style="thick">
        <color rgb="FFE6A817"/>
      </left>
      <right/>
      <top style="thin">
        <color rgb="FF2C3E50"/>
      </top>
      <bottom/>
      <diagonal/>
    </border>
    <border>
      <left style="thick">
        <color rgb="FFE6A817"/>
      </left>
      <right style="thin">
        <color rgb="FFBFBFBF"/>
      </right>
      <top style="thin">
        <color rgb="FF2C3E50"/>
      </top>
      <bottom/>
      <diagonal/>
    </border>
    <border>
      <left/>
      <right/>
      <top style="thin">
        <color rgb="FF3A5A8A"/>
      </top>
      <bottom/>
      <diagonal/>
    </border>
    <border>
      <left/>
      <right/>
      <top/>
      <bottom style="thin">
        <color rgb="FF3A5A8A"/>
      </bottom>
      <diagonal/>
    </border>
    <border>
      <left style="thin">
        <color rgb="FF3A5A8A"/>
      </left>
      <right/>
      <top style="thin">
        <color rgb="FF3A5A8A"/>
      </top>
      <bottom/>
      <diagonal/>
    </border>
    <border>
      <left style="thin">
        <color rgb="FF3A5A8A"/>
      </left>
      <right/>
      <top/>
      <bottom style="thin">
        <color rgb="FF3A5A8A"/>
      </bottom>
      <diagonal/>
    </border>
    <border>
      <left/>
      <right style="thin">
        <color rgb="FF3A5A8A"/>
      </right>
      <top style="thin">
        <color rgb="FF3A5A8A"/>
      </top>
      <bottom/>
      <diagonal/>
    </border>
    <border>
      <left/>
      <right style="thin">
        <color rgb="FF3A5A8A"/>
      </right>
      <top/>
      <bottom style="thin">
        <color rgb="FF3A5A8A"/>
      </bottom>
      <diagonal/>
    </border>
    <border>
      <left/>
      <right/>
      <top style="thin">
        <color rgb="FFE6A817"/>
      </top>
      <bottom style="thin">
        <color rgb="FFE6A817"/>
      </bottom>
      <diagonal/>
    </border>
    <border>
      <left/>
      <right/>
      <top/>
      <bottom style="thin">
        <color rgb="FF1F3864"/>
      </bottom>
      <diagonal/>
    </border>
    <border>
      <left style="thick">
        <color rgb="FFE6A817"/>
      </left>
      <right style="thin">
        <color rgb="FFE6A817"/>
      </right>
      <top/>
      <bottom/>
      <diagonal/>
    </border>
    <border>
      <left style="thick">
        <color rgb="FFE6A817"/>
      </left>
      <right style="thin">
        <color rgb="FFBFBFBF"/>
      </right>
      <top/>
      <bottom/>
      <diagonal/>
    </border>
    <border>
      <left style="thin">
        <color rgb="FF1B2A4A"/>
      </left>
      <right style="thin">
        <color rgb="FF1B2A4A"/>
      </right>
      <top style="thin">
        <color rgb="FFD5E8F5"/>
      </top>
      <bottom style="thin">
        <color rgb="FF1F3864"/>
      </bottom>
      <diagonal/>
    </border>
    <border>
      <left style="thin">
        <color rgb="FF1B2A4A"/>
      </left>
      <right/>
      <top style="thin">
        <color rgb="FFD5E8F5"/>
      </top>
      <bottom style="thin">
        <color rgb="FF1F3864"/>
      </bottom>
      <diagonal/>
    </border>
    <border>
      <left/>
      <right/>
      <top style="thin">
        <color rgb="FFD5E8F5"/>
      </top>
      <bottom style="thin">
        <color rgb="FF1F3864"/>
      </bottom>
      <diagonal/>
    </border>
    <border>
      <left style="thin">
        <color rgb="FF1B2A4A"/>
      </left>
      <right style="thin">
        <color rgb="FF1B2A4A"/>
      </right>
      <top/>
      <bottom style="thin">
        <color rgb="FF1F3864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2C3E50"/>
      </bottom>
      <diagonal/>
    </border>
    <border>
      <left/>
      <right/>
      <top style="thin">
        <color rgb="FF1F3864"/>
      </top>
      <bottom style="thin">
        <color rgb="FF2C3E50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85C1E9"/>
      </top>
      <bottom style="thin">
        <color rgb="FF1F3864"/>
      </bottom>
      <diagonal/>
    </border>
    <border>
      <left/>
      <right/>
      <top style="thin">
        <color rgb="FFEAECEE"/>
      </top>
      <bottom style="thin">
        <color rgb="FF1F3864"/>
      </bottom>
      <diagonal/>
    </border>
    <border>
      <left style="thin">
        <color rgb="FFE6A817"/>
      </left>
      <right/>
      <top/>
      <bottom/>
      <diagonal/>
    </border>
    <border>
      <left style="thin">
        <color rgb="FF1B2A4A"/>
      </left>
      <right style="thin">
        <color rgb="FF1B2A4A"/>
      </right>
      <top style="medium">
        <color rgb="FF85C1E9"/>
      </top>
      <bottom style="thin">
        <color rgb="FF1F3864"/>
      </bottom>
      <diagonal/>
    </border>
    <border>
      <left/>
      <right style="thin">
        <color rgb="FF1B2A4A"/>
      </right>
      <top style="medium">
        <color rgb="FF1B2A4A"/>
      </top>
      <bottom style="thin">
        <color rgb="FF1F3864"/>
      </bottom>
      <diagonal/>
    </border>
    <border>
      <left style="thin">
        <color rgb="FF1B2A4A"/>
      </left>
      <right style="thin">
        <color rgb="FF1B2A4A"/>
      </right>
      <top style="medium">
        <color rgb="FF1B2A4A"/>
      </top>
      <bottom style="thin">
        <color rgb="FF1F3864"/>
      </bottom>
      <diagonal/>
    </border>
    <border>
      <left style="thin">
        <color rgb="FF1B2A4A"/>
      </left>
      <right/>
      <top style="medium">
        <color rgb="FF1B2A4A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B2A4A"/>
      </right>
      <top style="medium">
        <color rgb="FF1B2A4A"/>
      </top>
      <bottom style="thin">
        <color rgb="FF1F38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 style="thin">
        <color rgb="FFEAECEE"/>
      </top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/>
      <top/>
      <bottom style="thin">
        <color rgb="FFEAECEE"/>
      </bottom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1F3864"/>
      </left>
      <right/>
      <top style="double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/>
      <diagonal/>
    </border>
    <border>
      <left style="thin">
        <color rgb="FFBFBFBF"/>
      </left>
      <right style="thin">
        <color rgb="FFBFBFBF"/>
      </right>
      <top style="double">
        <color rgb="FF000000"/>
      </top>
      <bottom style="double">
        <color rgb="FF000000"/>
      </bottom>
      <diagonal/>
    </border>
    <border>
      <left style="thin">
        <color rgb="FF1B2A4A"/>
      </left>
      <right/>
      <top/>
      <bottom style="thin">
        <color rgb="FF1F3864"/>
      </bottom>
      <diagonal/>
    </border>
    <border>
      <left style="thin">
        <color rgb="FF1F3864"/>
      </left>
      <right style="thin">
        <color rgb="FF1B2A4A"/>
      </right>
      <top/>
      <bottom style="thin">
        <color rgb="FF1F3864"/>
      </bottom>
      <diagonal/>
    </border>
    <border>
      <left style="thin">
        <color rgb="FF1F3864"/>
      </left>
      <right style="thin">
        <color rgb="FFBFBFBF"/>
      </right>
      <top style="thin">
        <color rgb="FFEAECEE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2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Fill="1"/>
    <xf numFmtId="0" fontId="8" fillId="0" borderId="61" xfId="0" applyFont="1" applyFill="1" applyBorder="1"/>
    <xf numFmtId="0" fontId="8" fillId="0" borderId="65" xfId="0" applyFont="1" applyFill="1" applyBorder="1"/>
    <xf numFmtId="0" fontId="8" fillId="0" borderId="63" xfId="0" applyFont="1" applyFill="1" applyBorder="1" applyAlignment="1">
      <alignment horizontal="center"/>
    </xf>
    <xf numFmtId="0" fontId="8" fillId="0" borderId="61" xfId="0" applyFont="1" applyFill="1" applyBorder="1" applyAlignment="1">
      <alignment horizontal="center"/>
    </xf>
    <xf numFmtId="0" fontId="0" fillId="0" borderId="0" xfId="0"/>
    <xf numFmtId="0" fontId="6" fillId="4" borderId="0" xfId="0" applyFont="1" applyFill="1"/>
    <xf numFmtId="0" fontId="6" fillId="4" borderId="62" xfId="0" applyFont="1" applyFill="1" applyBorder="1" applyAlignment="1">
      <alignment horizontal="center"/>
    </xf>
    <xf numFmtId="0" fontId="6" fillId="4" borderId="60" xfId="0" applyFont="1" applyFill="1" applyBorder="1" applyAlignment="1">
      <alignment horizontal="center"/>
    </xf>
    <xf numFmtId="0" fontId="6" fillId="4" borderId="60" xfId="0" applyFont="1" applyFill="1" applyBorder="1"/>
    <xf numFmtId="0" fontId="6" fillId="4" borderId="64" xfId="0" applyFont="1" applyFill="1" applyBorder="1"/>
    <xf numFmtId="0" fontId="6" fillId="4" borderId="67" xfId="0" applyFont="1" applyFill="1" applyBorder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0" xfId="1" applyFont="1" applyFill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9" fillId="5" borderId="0" xfId="1" applyFont="1" applyFill="1"/>
    <xf numFmtId="0" fontId="8" fillId="5" borderId="0" xfId="0" applyFont="1" applyFill="1"/>
    <xf numFmtId="0" fontId="8" fillId="2" borderId="0" xfId="0" applyFont="1" applyFill="1"/>
    <xf numFmtId="0" fontId="8" fillId="5" borderId="66" xfId="0" applyFont="1" applyFill="1" applyBorder="1"/>
    <xf numFmtId="0" fontId="8" fillId="5" borderId="66" xfId="0" applyFont="1" applyFill="1" applyBorder="1"/>
    <xf numFmtId="0" fontId="8" fillId="0" borderId="0" xfId="0" applyFont="1" applyFill="1" applyAlignment="1">
      <alignment vertical="center"/>
    </xf>
    <xf numFmtId="0" fontId="10" fillId="2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12" fillId="6" borderId="13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6" borderId="0" xfId="0" applyFont="1" applyFill="1" applyAlignment="1">
      <alignment vertical="center"/>
    </xf>
    <xf numFmtId="0" fontId="8" fillId="2" borderId="6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left" vertical="center" wrapText="1"/>
    </xf>
    <xf numFmtId="0" fontId="8" fillId="5" borderId="22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8" fillId="2" borderId="27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vertical="center"/>
    </xf>
    <xf numFmtId="0" fontId="8" fillId="2" borderId="18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vertical="center"/>
    </xf>
    <xf numFmtId="0" fontId="8" fillId="5" borderId="18" xfId="0" applyFont="1" applyFill="1" applyBorder="1" applyAlignment="1">
      <alignment horizontal="left" vertical="center" wrapText="1"/>
    </xf>
    <xf numFmtId="0" fontId="8" fillId="5" borderId="20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center" vertical="center"/>
    </xf>
    <xf numFmtId="3" fontId="8" fillId="2" borderId="5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8" fillId="5" borderId="54" xfId="0" applyNumberFormat="1" applyFont="1" applyFill="1" applyBorder="1" applyAlignment="1">
      <alignment horizontal="right" vertical="center"/>
    </xf>
    <xf numFmtId="3" fontId="8" fillId="5" borderId="0" xfId="0" applyNumberFormat="1" applyFont="1" applyFill="1" applyAlignment="1">
      <alignment horizontal="right" vertical="center"/>
    </xf>
    <xf numFmtId="0" fontId="8" fillId="5" borderId="20" xfId="0" applyFont="1" applyFill="1" applyBorder="1" applyAlignment="1">
      <alignment horizontal="left" vertical="center" wrapText="1"/>
    </xf>
    <xf numFmtId="165" fontId="12" fillId="6" borderId="4" xfId="0" applyNumberFormat="1" applyFont="1" applyFill="1" applyBorder="1" applyAlignment="1">
      <alignment horizontal="center" vertical="center"/>
    </xf>
    <xf numFmtId="165" fontId="8" fillId="2" borderId="47" xfId="0" applyNumberFormat="1" applyFont="1" applyFill="1" applyBorder="1" applyAlignment="1">
      <alignment horizontal="center" vertical="center"/>
    </xf>
    <xf numFmtId="165" fontId="8" fillId="5" borderId="49" xfId="0" applyNumberFormat="1" applyFont="1" applyFill="1" applyBorder="1" applyAlignment="1">
      <alignment horizontal="center" vertical="center"/>
    </xf>
    <xf numFmtId="165" fontId="8" fillId="2" borderId="49" xfId="0" applyNumberFormat="1" applyFont="1" applyFill="1" applyBorder="1" applyAlignment="1">
      <alignment horizontal="center" vertical="center"/>
    </xf>
    <xf numFmtId="165" fontId="8" fillId="5" borderId="5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8" fillId="5" borderId="48" xfId="0" applyNumberFormat="1" applyFont="1" applyFill="1" applyBorder="1" applyAlignment="1">
      <alignment horizontal="center" vertical="center"/>
    </xf>
    <xf numFmtId="165" fontId="8" fillId="2" borderId="15" xfId="0" applyNumberFormat="1" applyFont="1" applyFill="1" applyBorder="1" applyAlignment="1">
      <alignment horizontal="center" vertical="center"/>
    </xf>
    <xf numFmtId="165" fontId="8" fillId="5" borderId="24" xfId="0" applyNumberFormat="1" applyFont="1" applyFill="1" applyBorder="1" applyAlignment="1">
      <alignment horizontal="center" vertical="center"/>
    </xf>
    <xf numFmtId="165" fontId="8" fillId="2" borderId="24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165" fontId="8" fillId="2" borderId="23" xfId="0" applyNumberFormat="1" applyFont="1" applyFill="1" applyBorder="1" applyAlignment="1">
      <alignment horizontal="center" vertical="center"/>
    </xf>
    <xf numFmtId="165" fontId="8" fillId="2" borderId="48" xfId="0" applyNumberFormat="1" applyFont="1" applyFill="1" applyBorder="1" applyAlignment="1">
      <alignment horizontal="center" vertical="center"/>
    </xf>
    <xf numFmtId="165" fontId="8" fillId="5" borderId="50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6" fillId="4" borderId="7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28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22" xfId="0" applyFont="1" applyFill="1" applyBorder="1"/>
    <xf numFmtId="0" fontId="8" fillId="2" borderId="20" xfId="0" applyFont="1" applyFill="1" applyBorder="1"/>
    <xf numFmtId="0" fontId="12" fillId="6" borderId="8" xfId="0" applyFont="1" applyFill="1" applyBorder="1" applyAlignment="1">
      <alignment horizontal="left" vertical="center" wrapText="1"/>
    </xf>
    <xf numFmtId="0" fontId="12" fillId="6" borderId="5" xfId="0" applyFont="1" applyFill="1" applyBorder="1"/>
    <xf numFmtId="0" fontId="6" fillId="4" borderId="7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center" wrapText="1"/>
    </xf>
    <xf numFmtId="164" fontId="8" fillId="2" borderId="5" xfId="0" applyNumberFormat="1" applyFont="1" applyFill="1" applyBorder="1" applyAlignment="1">
      <alignment horizontal="right" vertical="center"/>
    </xf>
    <xf numFmtId="0" fontId="8" fillId="5" borderId="21" xfId="0" applyFont="1" applyFill="1" applyBorder="1" applyAlignment="1">
      <alignment horizontal="left" vertical="center" wrapText="1"/>
    </xf>
    <xf numFmtId="164" fontId="8" fillId="5" borderId="21" xfId="0" applyNumberFormat="1" applyFont="1" applyFill="1" applyBorder="1" applyAlignment="1">
      <alignment horizontal="right" vertical="center"/>
    </xf>
    <xf numFmtId="0" fontId="8" fillId="5" borderId="22" xfId="0" applyFont="1" applyFill="1" applyBorder="1"/>
    <xf numFmtId="0" fontId="8" fillId="2" borderId="21" xfId="0" applyFont="1" applyFill="1" applyBorder="1" applyAlignment="1">
      <alignment horizontal="left" vertical="center" wrapText="1"/>
    </xf>
    <xf numFmtId="3" fontId="8" fillId="2" borderId="21" xfId="0" applyNumberFormat="1" applyFont="1" applyFill="1" applyBorder="1" applyAlignment="1">
      <alignment horizontal="right" vertical="center"/>
    </xf>
    <xf numFmtId="164" fontId="8" fillId="2" borderId="21" xfId="0" applyNumberFormat="1" applyFont="1" applyFill="1" applyBorder="1" applyAlignment="1">
      <alignment horizontal="right" vertical="center"/>
    </xf>
    <xf numFmtId="0" fontId="12" fillId="6" borderId="14" xfId="0" applyFont="1" applyFill="1" applyBorder="1" applyAlignment="1">
      <alignment horizontal="left" vertical="center" wrapText="1"/>
    </xf>
    <xf numFmtId="0" fontId="12" fillId="6" borderId="0" xfId="0" applyFont="1" applyFill="1"/>
    <xf numFmtId="0" fontId="14" fillId="3" borderId="14" xfId="0" applyFont="1" applyFill="1" applyBorder="1" applyAlignment="1">
      <alignment horizontal="left" vertical="center" wrapText="1"/>
    </xf>
    <xf numFmtId="0" fontId="14" fillId="3" borderId="0" xfId="0" applyFont="1" applyFill="1" applyBorder="1"/>
    <xf numFmtId="0" fontId="8" fillId="2" borderId="0" xfId="0" applyFont="1" applyFill="1" applyAlignment="1">
      <alignment horizontal="left"/>
    </xf>
    <xf numFmtId="0" fontId="8" fillId="5" borderId="22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left"/>
    </xf>
    <xf numFmtId="0" fontId="14" fillId="3" borderId="14" xfId="0" applyFont="1" applyFill="1" applyBorder="1" applyAlignment="1">
      <alignment horizontal="left"/>
    </xf>
    <xf numFmtId="0" fontId="12" fillId="6" borderId="14" xfId="0" applyFont="1" applyFill="1" applyBorder="1" applyAlignment="1">
      <alignment horizontal="left"/>
    </xf>
    <xf numFmtId="0" fontId="8" fillId="5" borderId="20" xfId="0" applyFont="1" applyFill="1" applyBorder="1" applyAlignment="1">
      <alignment horizontal="left"/>
    </xf>
    <xf numFmtId="0" fontId="8" fillId="5" borderId="20" xfId="0" applyFont="1" applyFill="1" applyBorder="1"/>
    <xf numFmtId="165" fontId="6" fillId="4" borderId="70" xfId="0" applyNumberFormat="1" applyFont="1" applyFill="1" applyBorder="1" applyAlignment="1">
      <alignment horizontal="center" vertical="center" wrapText="1"/>
    </xf>
    <xf numFmtId="165" fontId="8" fillId="2" borderId="5" xfId="0" applyNumberFormat="1" applyFont="1" applyFill="1" applyBorder="1" applyAlignment="1">
      <alignment horizontal="right" vertical="center"/>
    </xf>
    <xf numFmtId="165" fontId="8" fillId="5" borderId="21" xfId="0" applyNumberFormat="1" applyFont="1" applyFill="1" applyBorder="1" applyAlignment="1">
      <alignment horizontal="right" vertical="center"/>
    </xf>
    <xf numFmtId="165" fontId="8" fillId="2" borderId="21" xfId="0" applyNumberFormat="1" applyFont="1" applyFill="1" applyBorder="1" applyAlignment="1">
      <alignment horizontal="right" vertical="center"/>
    </xf>
    <xf numFmtId="165" fontId="6" fillId="4" borderId="72" xfId="0" applyNumberFormat="1" applyFont="1" applyFill="1" applyBorder="1" applyAlignment="1">
      <alignment horizontal="center"/>
    </xf>
    <xf numFmtId="165" fontId="12" fillId="6" borderId="5" xfId="0" applyNumberFormat="1" applyFont="1" applyFill="1" applyBorder="1" applyAlignment="1">
      <alignment horizontal="center" vertical="center"/>
    </xf>
    <xf numFmtId="165" fontId="14" fillId="3" borderId="4" xfId="0" applyNumberFormat="1" applyFont="1" applyFill="1" applyBorder="1" applyAlignment="1">
      <alignment horizontal="center" vertical="center"/>
    </xf>
    <xf numFmtId="165" fontId="14" fillId="3" borderId="5" xfId="0" applyNumberFormat="1" applyFont="1" applyFill="1" applyBorder="1" applyAlignment="1">
      <alignment horizontal="center" vertical="center"/>
    </xf>
    <xf numFmtId="165" fontId="8" fillId="2" borderId="54" xfId="0" applyNumberFormat="1" applyFont="1" applyFill="1" applyBorder="1" applyAlignment="1">
      <alignment horizontal="center" vertical="center"/>
    </xf>
    <xf numFmtId="165" fontId="8" fillId="2" borderId="68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>
      <alignment horizontal="center" vertical="center"/>
    </xf>
    <xf numFmtId="165" fontId="8" fillId="2" borderId="69" xfId="0" applyNumberFormat="1" applyFont="1" applyFill="1" applyBorder="1" applyAlignment="1">
      <alignment horizontal="center" vertical="center"/>
    </xf>
    <xf numFmtId="165" fontId="8" fillId="5" borderId="55" xfId="0" applyNumberFormat="1" applyFont="1" applyFill="1" applyBorder="1" applyAlignment="1">
      <alignment horizontal="center" vertical="center"/>
    </xf>
    <xf numFmtId="165" fontId="8" fillId="5" borderId="22" xfId="0" applyNumberFormat="1" applyFont="1" applyFill="1" applyBorder="1" applyAlignment="1">
      <alignment horizontal="center" vertical="center"/>
    </xf>
    <xf numFmtId="165" fontId="8" fillId="2" borderId="55" xfId="0" applyNumberFormat="1" applyFont="1" applyFill="1" applyBorder="1" applyAlignment="1">
      <alignment horizontal="center" vertical="center"/>
    </xf>
    <xf numFmtId="165" fontId="8" fillId="2" borderId="22" xfId="0" applyNumberFormat="1" applyFont="1" applyFill="1" applyBorder="1" applyAlignment="1">
      <alignment horizontal="center" vertical="center"/>
    </xf>
    <xf numFmtId="165" fontId="8" fillId="2" borderId="51" xfId="0" applyNumberFormat="1" applyFont="1" applyFill="1" applyBorder="1" applyAlignment="1">
      <alignment horizontal="center" vertical="center"/>
    </xf>
    <xf numFmtId="165" fontId="8" fillId="2" borderId="53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/>
    </xf>
    <xf numFmtId="165" fontId="8" fillId="2" borderId="16" xfId="0" applyNumberFormat="1" applyFont="1" applyFill="1" applyBorder="1" applyAlignment="1">
      <alignment horizontal="center" vertical="center"/>
    </xf>
    <xf numFmtId="165" fontId="8" fillId="2" borderId="52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/>
    </xf>
    <xf numFmtId="165" fontId="8" fillId="2" borderId="16" xfId="0" applyNumberFormat="1" applyFont="1" applyFill="1" applyBorder="1" applyAlignment="1">
      <alignment horizontal="center"/>
    </xf>
    <xf numFmtId="165" fontId="8" fillId="2" borderId="22" xfId="0" applyNumberFormat="1" applyFont="1" applyFill="1" applyBorder="1" applyAlignment="1">
      <alignment horizontal="center"/>
    </xf>
    <xf numFmtId="165" fontId="8" fillId="2" borderId="20" xfId="0" applyNumberFormat="1" applyFont="1" applyFill="1" applyBorder="1" applyAlignment="1">
      <alignment horizontal="center"/>
    </xf>
    <xf numFmtId="165" fontId="12" fillId="6" borderId="4" xfId="0" applyNumberFormat="1" applyFont="1" applyFill="1" applyBorder="1" applyAlignment="1">
      <alignment horizontal="center"/>
    </xf>
    <xf numFmtId="165" fontId="12" fillId="6" borderId="5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5" borderId="21" xfId="0" applyNumberFormat="1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165" fontId="12" fillId="6" borderId="0" xfId="0" applyNumberFormat="1" applyFont="1" applyFill="1" applyAlignment="1">
      <alignment horizontal="center"/>
    </xf>
    <xf numFmtId="165" fontId="14" fillId="3" borderId="0" xfId="0" applyNumberFormat="1" applyFont="1" applyFill="1" applyBorder="1" applyAlignment="1">
      <alignment horizontal="center"/>
    </xf>
    <xf numFmtId="165" fontId="8" fillId="2" borderId="68" xfId="0" applyNumberFormat="1" applyFont="1" applyFill="1" applyBorder="1" applyAlignment="1">
      <alignment horizontal="center"/>
    </xf>
    <xf numFmtId="165" fontId="8" fillId="5" borderId="49" xfId="0" applyNumberFormat="1" applyFont="1" applyFill="1" applyBorder="1" applyAlignment="1">
      <alignment horizontal="center"/>
    </xf>
    <xf numFmtId="165" fontId="8" fillId="5" borderId="22" xfId="0" applyNumberFormat="1" applyFont="1" applyFill="1" applyBorder="1" applyAlignment="1">
      <alignment horizontal="center"/>
    </xf>
    <xf numFmtId="165" fontId="8" fillId="2" borderId="49" xfId="0" applyNumberFormat="1" applyFont="1" applyFill="1" applyBorder="1" applyAlignment="1">
      <alignment horizontal="center"/>
    </xf>
    <xf numFmtId="165" fontId="8" fillId="5" borderId="48" xfId="0" applyNumberFormat="1" applyFont="1" applyFill="1" applyBorder="1" applyAlignment="1">
      <alignment horizontal="center"/>
    </xf>
    <xf numFmtId="165" fontId="8" fillId="2" borderId="17" xfId="0" applyNumberFormat="1" applyFont="1" applyFill="1" applyBorder="1" applyAlignment="1">
      <alignment horizontal="center"/>
    </xf>
    <xf numFmtId="165" fontId="8" fillId="5" borderId="20" xfId="0" applyNumberFormat="1" applyFont="1" applyFill="1" applyBorder="1" applyAlignment="1">
      <alignment horizontal="center"/>
    </xf>
    <xf numFmtId="165" fontId="8" fillId="5" borderId="53" xfId="0" applyNumberFormat="1" applyFont="1" applyFill="1" applyBorder="1" applyAlignment="1">
      <alignment horizontal="center"/>
    </xf>
    <xf numFmtId="165" fontId="8" fillId="2" borderId="55" xfId="0" applyNumberFormat="1" applyFont="1" applyFill="1" applyBorder="1" applyAlignment="1">
      <alignment horizontal="center"/>
    </xf>
    <xf numFmtId="0" fontId="12" fillId="6" borderId="9" xfId="0" applyFont="1" applyFill="1" applyBorder="1" applyAlignment="1">
      <alignment vertical="center"/>
    </xf>
    <xf numFmtId="0" fontId="12" fillId="6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14" fillId="3" borderId="8" xfId="0" applyFont="1" applyFill="1" applyBorder="1"/>
    <xf numFmtId="0" fontId="12" fillId="6" borderId="34" xfId="0" applyFont="1" applyFill="1" applyBorder="1" applyAlignment="1">
      <alignment horizontal="left" vertical="center" wrapText="1"/>
    </xf>
    <xf numFmtId="0" fontId="13" fillId="7" borderId="74" xfId="0" applyFont="1" applyFill="1" applyBorder="1" applyAlignment="1">
      <alignment horizontal="left" vertical="center" wrapText="1"/>
    </xf>
    <xf numFmtId="3" fontId="13" fillId="7" borderId="74" xfId="0" applyNumberFormat="1" applyFont="1" applyFill="1" applyBorder="1" applyAlignment="1">
      <alignment horizontal="right" vertical="center"/>
    </xf>
    <xf numFmtId="0" fontId="13" fillId="7" borderId="74" xfId="0" applyFont="1" applyFill="1" applyBorder="1"/>
    <xf numFmtId="0" fontId="12" fillId="6" borderId="31" xfId="0" applyFont="1" applyFill="1" applyBorder="1" applyAlignment="1">
      <alignment horizontal="left" vertical="center" wrapText="1"/>
    </xf>
    <xf numFmtId="165" fontId="6" fillId="4" borderId="73" xfId="0" applyNumberFormat="1" applyFont="1" applyFill="1" applyBorder="1" applyAlignment="1">
      <alignment horizontal="center" vertical="center" wrapText="1"/>
    </xf>
    <xf numFmtId="165" fontId="6" fillId="4" borderId="67" xfId="0" applyNumberFormat="1" applyFont="1" applyFill="1" applyBorder="1" applyAlignment="1">
      <alignment horizontal="center"/>
    </xf>
    <xf numFmtId="165" fontId="12" fillId="6" borderId="9" xfId="0" applyNumberFormat="1" applyFont="1" applyFill="1" applyBorder="1" applyAlignment="1">
      <alignment horizontal="center" vertical="center"/>
    </xf>
    <xf numFmtId="165" fontId="12" fillId="6" borderId="10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/>
    </xf>
    <xf numFmtId="165" fontId="14" fillId="3" borderId="9" xfId="0" applyNumberFormat="1" applyFont="1" applyFill="1" applyBorder="1" applyAlignment="1">
      <alignment horizontal="center" vertical="center"/>
    </xf>
    <xf numFmtId="165" fontId="14" fillId="3" borderId="1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Alignment="1">
      <alignment horizontal="center"/>
    </xf>
    <xf numFmtId="165" fontId="8" fillId="2" borderId="5" xfId="0" applyNumberFormat="1" applyFont="1" applyFill="1" applyBorder="1" applyAlignment="1">
      <alignment horizontal="center" vertical="center" wrapText="1"/>
    </xf>
    <xf numFmtId="165" fontId="8" fillId="5" borderId="21" xfId="0" applyNumberFormat="1" applyFont="1" applyFill="1" applyBorder="1" applyAlignment="1">
      <alignment horizontal="center" vertical="center" wrapText="1"/>
    </xf>
    <xf numFmtId="165" fontId="8" fillId="2" borderId="21" xfId="0" applyNumberFormat="1" applyFont="1" applyFill="1" applyBorder="1" applyAlignment="1">
      <alignment horizontal="center" vertical="center" wrapText="1"/>
    </xf>
    <xf numFmtId="165" fontId="14" fillId="3" borderId="9" xfId="0" applyNumberFormat="1" applyFont="1" applyFill="1" applyBorder="1" applyAlignment="1">
      <alignment horizontal="center"/>
    </xf>
    <xf numFmtId="165" fontId="14" fillId="3" borderId="10" xfId="0" applyNumberFormat="1" applyFont="1" applyFill="1" applyBorder="1" applyAlignment="1">
      <alignment horizontal="center"/>
    </xf>
    <xf numFmtId="165" fontId="12" fillId="6" borderId="35" xfId="0" applyNumberFormat="1" applyFont="1" applyFill="1" applyBorder="1" applyAlignment="1">
      <alignment horizontal="center"/>
    </xf>
    <xf numFmtId="165" fontId="12" fillId="6" borderId="31" xfId="0" applyNumberFormat="1" applyFont="1" applyFill="1" applyBorder="1" applyAlignment="1">
      <alignment horizontal="center"/>
    </xf>
    <xf numFmtId="165" fontId="8" fillId="2" borderId="0" xfId="0" applyNumberFormat="1" applyFont="1" applyFill="1" applyBorder="1" applyAlignment="1">
      <alignment horizontal="center"/>
    </xf>
    <xf numFmtId="165" fontId="13" fillId="7" borderId="74" xfId="0" applyNumberFormat="1" applyFont="1" applyFill="1" applyBorder="1" applyAlignment="1">
      <alignment horizontal="center" vertical="center"/>
    </xf>
    <xf numFmtId="165" fontId="13" fillId="7" borderId="74" xfId="0" applyNumberFormat="1" applyFont="1" applyFill="1" applyBorder="1" applyAlignment="1">
      <alignment horizontal="center"/>
    </xf>
    <xf numFmtId="164" fontId="12" fillId="6" borderId="31" xfId="0" applyNumberFormat="1" applyFont="1" applyFill="1" applyBorder="1" applyAlignment="1">
      <alignment horizontal="center"/>
    </xf>
    <xf numFmtId="164" fontId="6" fillId="4" borderId="7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/>
    </xf>
    <xf numFmtId="164" fontId="8" fillId="5" borderId="22" xfId="0" applyNumberFormat="1" applyFont="1" applyFill="1" applyBorder="1" applyAlignment="1">
      <alignment horizontal="center"/>
    </xf>
    <xf numFmtId="164" fontId="8" fillId="2" borderId="22" xfId="0" applyNumberFormat="1" applyFont="1" applyFill="1" applyBorder="1" applyAlignment="1">
      <alignment horizontal="center"/>
    </xf>
    <xf numFmtId="0" fontId="8" fillId="2" borderId="31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7" fillId="3" borderId="0" xfId="0" applyFont="1" applyFill="1"/>
    <xf numFmtId="0" fontId="7" fillId="3" borderId="75" xfId="0" applyFont="1" applyFill="1" applyBorder="1" applyAlignment="1">
      <alignment horizontal="left" vertical="center" wrapText="1"/>
    </xf>
    <xf numFmtId="0" fontId="7" fillId="3" borderId="76" xfId="0" applyFont="1" applyFill="1" applyBorder="1" applyAlignment="1">
      <alignment vertical="center"/>
    </xf>
    <xf numFmtId="0" fontId="13" fillId="7" borderId="74" xfId="0" applyFont="1" applyFill="1" applyBorder="1" applyAlignment="1">
      <alignment vertical="center"/>
    </xf>
    <xf numFmtId="0" fontId="12" fillId="6" borderId="40" xfId="0" applyFont="1" applyFill="1" applyBorder="1" applyAlignment="1">
      <alignment horizontal="left" vertical="center" wrapText="1"/>
    </xf>
    <xf numFmtId="0" fontId="12" fillId="6" borderId="41" xfId="0" applyFont="1" applyFill="1" applyBorder="1" applyAlignment="1">
      <alignment vertical="center"/>
    </xf>
    <xf numFmtId="0" fontId="6" fillId="4" borderId="67" xfId="0" applyFont="1" applyFill="1" applyBorder="1" applyAlignment="1">
      <alignment horizontal="center" vertical="center"/>
    </xf>
    <xf numFmtId="2" fontId="8" fillId="5" borderId="21" xfId="0" applyNumberFormat="1" applyFont="1" applyFill="1" applyBorder="1" applyAlignment="1">
      <alignment horizontal="right" vertical="center"/>
    </xf>
    <xf numFmtId="0" fontId="12" fillId="6" borderId="41" xfId="0" applyFont="1" applyFill="1" applyBorder="1"/>
    <xf numFmtId="10" fontId="8" fillId="2" borderId="21" xfId="0" applyNumberFormat="1" applyFont="1" applyFill="1" applyBorder="1" applyAlignment="1">
      <alignment horizontal="right" vertical="center"/>
    </xf>
    <xf numFmtId="0" fontId="12" fillId="6" borderId="43" xfId="0" applyFont="1" applyFill="1" applyBorder="1"/>
    <xf numFmtId="165" fontId="12" fillId="6" borderId="41" xfId="0" applyNumberFormat="1" applyFont="1" applyFill="1" applyBorder="1"/>
    <xf numFmtId="171" fontId="6" fillId="4" borderId="73" xfId="0" applyNumberFormat="1" applyFont="1" applyFill="1" applyBorder="1" applyAlignment="1">
      <alignment horizontal="center" vertical="center" wrapText="1"/>
    </xf>
    <xf numFmtId="171" fontId="8" fillId="2" borderId="5" xfId="0" applyNumberFormat="1" applyFont="1" applyFill="1" applyBorder="1" applyAlignment="1">
      <alignment horizontal="right" vertical="center"/>
    </xf>
    <xf numFmtId="171" fontId="8" fillId="5" borderId="21" xfId="0" applyNumberFormat="1" applyFont="1" applyFill="1" applyBorder="1" applyAlignment="1">
      <alignment horizontal="right" vertical="center"/>
    </xf>
    <xf numFmtId="171" fontId="8" fillId="2" borderId="21" xfId="0" applyNumberFormat="1" applyFont="1" applyFill="1" applyBorder="1" applyAlignment="1">
      <alignment horizontal="right" vertical="center"/>
    </xf>
    <xf numFmtId="164" fontId="6" fillId="4" borderId="67" xfId="0" applyNumberFormat="1" applyFont="1" applyFill="1" applyBorder="1" applyAlignment="1">
      <alignment horizontal="center"/>
    </xf>
    <xf numFmtId="165" fontId="8" fillId="2" borderId="56" xfId="0" applyNumberFormat="1" applyFont="1" applyFill="1" applyBorder="1" applyAlignment="1">
      <alignment horizontal="center" vertical="center"/>
    </xf>
    <xf numFmtId="165" fontId="8" fillId="2" borderId="57" xfId="0" applyNumberFormat="1" applyFont="1" applyFill="1" applyBorder="1" applyAlignment="1">
      <alignment horizontal="center" vertical="center"/>
    </xf>
    <xf numFmtId="165" fontId="8" fillId="5" borderId="58" xfId="0" applyNumberFormat="1" applyFont="1" applyFill="1" applyBorder="1" applyAlignment="1">
      <alignment horizontal="center" vertical="center"/>
    </xf>
    <xf numFmtId="165" fontId="8" fillId="5" borderId="59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7" fillId="3" borderId="76" xfId="0" applyNumberFormat="1" applyFont="1" applyFill="1" applyBorder="1" applyAlignment="1">
      <alignment horizontal="center" vertical="center"/>
    </xf>
    <xf numFmtId="0" fontId="7" fillId="3" borderId="77" xfId="0" applyFont="1" applyFill="1" applyBorder="1" applyAlignment="1">
      <alignment horizontal="center"/>
    </xf>
    <xf numFmtId="0" fontId="13" fillId="7" borderId="74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2" fillId="6" borderId="42" xfId="0" applyFont="1" applyFill="1" applyBorder="1" applyAlignment="1">
      <alignment horizontal="center" vertical="center"/>
    </xf>
    <xf numFmtId="0" fontId="12" fillId="6" borderId="4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171" fontId="8" fillId="2" borderId="5" xfId="0" applyNumberFormat="1" applyFont="1" applyFill="1" applyBorder="1" applyAlignment="1">
      <alignment horizontal="center" vertical="center"/>
    </xf>
    <xf numFmtId="171" fontId="8" fillId="5" borderId="21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/>
    </xf>
    <xf numFmtId="171" fontId="8" fillId="2" borderId="21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/>
    </xf>
    <xf numFmtId="2" fontId="8" fillId="5" borderId="21" xfId="0" applyNumberFormat="1" applyFont="1" applyFill="1" applyBorder="1" applyAlignment="1">
      <alignment horizontal="center" vertical="center"/>
    </xf>
    <xf numFmtId="165" fontId="12" fillId="6" borderId="42" xfId="0" applyNumberFormat="1" applyFont="1" applyFill="1" applyBorder="1" applyAlignment="1">
      <alignment horizontal="center"/>
    </xf>
    <xf numFmtId="164" fontId="12" fillId="6" borderId="42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 vertical="center"/>
    </xf>
    <xf numFmtId="164" fontId="8" fillId="5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10" fontId="8" fillId="2" borderId="21" xfId="0" applyNumberFormat="1" applyFont="1" applyFill="1" applyBorder="1" applyAlignment="1">
      <alignment horizontal="center" vertical="center"/>
    </xf>
    <xf numFmtId="3" fontId="13" fillId="7" borderId="74" xfId="0" applyNumberFormat="1" applyFont="1" applyFill="1" applyBorder="1" applyAlignment="1">
      <alignment horizontal="center" vertical="center"/>
    </xf>
    <xf numFmtId="10" fontId="13" fillId="7" borderId="74" xfId="0" applyNumberFormat="1" applyFont="1" applyFill="1" applyBorder="1" applyAlignment="1">
      <alignment horizontal="center" vertical="center"/>
    </xf>
    <xf numFmtId="0" fontId="12" fillId="6" borderId="42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2" borderId="19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2" fillId="6" borderId="12" xfId="0" applyFont="1" applyFill="1" applyBorder="1" applyAlignment="1">
      <alignment vertical="center"/>
    </xf>
    <xf numFmtId="0" fontId="12" fillId="6" borderId="11" xfId="0" applyFont="1" applyFill="1" applyBorder="1" applyAlignment="1">
      <alignment vertical="center"/>
    </xf>
    <xf numFmtId="0" fontId="12" fillId="6" borderId="11" xfId="0" applyFont="1" applyFill="1" applyBorder="1"/>
    <xf numFmtId="0" fontId="7" fillId="3" borderId="76" xfId="0" applyFont="1" applyFill="1" applyBorder="1"/>
    <xf numFmtId="0" fontId="7" fillId="3" borderId="0" xfId="0" applyFont="1" applyFill="1" applyAlignment="1">
      <alignment vertical="center"/>
    </xf>
    <xf numFmtId="0" fontId="7" fillId="3" borderId="22" xfId="0" applyFont="1" applyFill="1" applyBorder="1" applyAlignment="1">
      <alignment vertical="center"/>
    </xf>
    <xf numFmtId="0" fontId="7" fillId="3" borderId="22" xfId="0" applyFont="1" applyFill="1" applyBorder="1"/>
    <xf numFmtId="0" fontId="12" fillId="6" borderId="44" xfId="0" applyFont="1" applyFill="1" applyBorder="1" applyAlignment="1">
      <alignment vertical="center"/>
    </xf>
    <xf numFmtId="0" fontId="12" fillId="6" borderId="45" xfId="0" applyFont="1" applyFill="1" applyBorder="1" applyAlignment="1">
      <alignment vertical="center"/>
    </xf>
    <xf numFmtId="0" fontId="12" fillId="6" borderId="45" xfId="0" applyFont="1" applyFill="1" applyBorder="1"/>
    <xf numFmtId="0" fontId="13" fillId="7" borderId="74" xfId="0" applyFont="1" applyFill="1" applyBorder="1" applyAlignment="1">
      <alignment horizontal="right"/>
    </xf>
    <xf numFmtId="0" fontId="12" fillId="6" borderId="44" xfId="0" applyFont="1" applyFill="1" applyBorder="1"/>
    <xf numFmtId="0" fontId="12" fillId="6" borderId="39" xfId="0" applyFont="1" applyFill="1" applyBorder="1"/>
    <xf numFmtId="0" fontId="7" fillId="3" borderId="0" xfId="0" applyFont="1" applyFill="1" applyAlignment="1">
      <alignment horizontal="right"/>
    </xf>
    <xf numFmtId="0" fontId="7" fillId="3" borderId="22" xfId="0" applyFont="1" applyFill="1" applyBorder="1" applyAlignment="1">
      <alignment horizontal="right"/>
    </xf>
    <xf numFmtId="165" fontId="6" fillId="4" borderId="67" xfId="0" applyNumberFormat="1" applyFont="1" applyFill="1" applyBorder="1" applyAlignment="1">
      <alignment horizontal="center" vertical="center"/>
    </xf>
    <xf numFmtId="165" fontId="7" fillId="3" borderId="76" xfId="0" applyNumberFormat="1" applyFont="1" applyFill="1" applyBorder="1" applyAlignment="1">
      <alignment horizontal="center" vertical="center"/>
    </xf>
    <xf numFmtId="165" fontId="7" fillId="3" borderId="76" xfId="0" applyNumberFormat="1" applyFont="1" applyFill="1" applyBorder="1" applyAlignment="1">
      <alignment horizontal="center"/>
    </xf>
    <xf numFmtId="165" fontId="7" fillId="3" borderId="77" xfId="0" applyNumberFormat="1" applyFont="1" applyFill="1" applyBorder="1" applyAlignment="1">
      <alignment horizontal="center"/>
    </xf>
    <xf numFmtId="165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/>
    </xf>
    <xf numFmtId="165" fontId="7" fillId="3" borderId="22" xfId="0" applyNumberFormat="1" applyFont="1" applyFill="1" applyBorder="1" applyAlignment="1">
      <alignment horizontal="center" vertical="center"/>
    </xf>
    <xf numFmtId="165" fontId="7" fillId="3" borderId="22" xfId="0" applyNumberFormat="1" applyFont="1" applyFill="1" applyBorder="1" applyAlignment="1">
      <alignment horizontal="center"/>
    </xf>
    <xf numFmtId="165" fontId="12" fillId="6" borderId="45" xfId="0" applyNumberFormat="1" applyFont="1" applyFill="1" applyBorder="1" applyAlignment="1">
      <alignment horizontal="center" vertical="center"/>
    </xf>
    <xf numFmtId="165" fontId="12" fillId="6" borderId="45" xfId="0" applyNumberFormat="1" applyFont="1" applyFill="1" applyBorder="1" applyAlignment="1">
      <alignment horizontal="center"/>
    </xf>
    <xf numFmtId="165" fontId="8" fillId="2" borderId="54" xfId="0" applyNumberFormat="1" applyFont="1" applyFill="1" applyBorder="1" applyAlignment="1">
      <alignment horizontal="center"/>
    </xf>
    <xf numFmtId="165" fontId="8" fillId="2" borderId="53" xfId="0" applyNumberFormat="1" applyFont="1" applyFill="1" applyBorder="1" applyAlignment="1">
      <alignment horizontal="center"/>
    </xf>
    <xf numFmtId="165" fontId="12" fillId="6" borderId="43" xfId="0" applyNumberFormat="1" applyFont="1" applyFill="1" applyBorder="1" applyAlignment="1">
      <alignment horizontal="center"/>
    </xf>
    <xf numFmtId="2" fontId="8" fillId="5" borderId="49" xfId="0" applyNumberFormat="1" applyFont="1" applyFill="1" applyBorder="1" applyAlignment="1">
      <alignment horizontal="center" vertical="center"/>
    </xf>
    <xf numFmtId="2" fontId="8" fillId="2" borderId="55" xfId="0" applyNumberFormat="1" applyFont="1" applyFill="1" applyBorder="1" applyAlignment="1">
      <alignment horizontal="center" vertical="center"/>
    </xf>
    <xf numFmtId="2" fontId="8" fillId="2" borderId="53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Alignment="1">
      <alignment horizontal="center"/>
    </xf>
    <xf numFmtId="2" fontId="13" fillId="7" borderId="74" xfId="0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 vertical="center"/>
    </xf>
    <xf numFmtId="0" fontId="11" fillId="0" borderId="46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center" vertical="center"/>
    </xf>
    <xf numFmtId="0" fontId="6" fillId="4" borderId="79" xfId="0" applyFont="1" applyFill="1" applyBorder="1" applyAlignment="1">
      <alignment horizontal="center" vertical="center"/>
    </xf>
    <xf numFmtId="0" fontId="6" fillId="4" borderId="79" xfId="0" applyFont="1" applyFill="1" applyBorder="1" applyAlignment="1">
      <alignment horizontal="center"/>
    </xf>
    <xf numFmtId="165" fontId="6" fillId="4" borderId="79" xfId="0" applyNumberFormat="1" applyFont="1" applyFill="1" applyBorder="1" applyAlignment="1">
      <alignment horizontal="center"/>
    </xf>
    <xf numFmtId="165" fontId="8" fillId="2" borderId="80" xfId="0" applyNumberFormat="1" applyFont="1" applyFill="1" applyBorder="1" applyAlignment="1">
      <alignment horizontal="center"/>
    </xf>
    <xf numFmtId="165" fontId="8" fillId="2" borderId="29" xfId="0" applyNumberFormat="1" applyFont="1" applyFill="1" applyBorder="1" applyAlignment="1">
      <alignment horizontal="center"/>
    </xf>
    <xf numFmtId="165" fontId="8" fillId="2" borderId="24" xfId="0" applyNumberFormat="1" applyFont="1" applyFill="1" applyBorder="1" applyAlignment="1">
      <alignment horizontal="center"/>
    </xf>
    <xf numFmtId="0" fontId="7" fillId="0" borderId="38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left" vertical="center" wrapText="1"/>
    </xf>
    <xf numFmtId="0" fontId="12" fillId="6" borderId="0" xfId="0" applyFont="1" applyFill="1" applyBorder="1" applyAlignment="1">
      <alignment vertical="center"/>
    </xf>
    <xf numFmtId="0" fontId="6" fillId="4" borderId="72" xfId="0" applyFont="1" applyFill="1" applyBorder="1" applyAlignment="1">
      <alignment horizontal="center" vertical="center"/>
    </xf>
    <xf numFmtId="0" fontId="6" fillId="4" borderId="71" xfId="0" applyFont="1" applyFill="1" applyBorder="1" applyAlignment="1">
      <alignment horizontal="center" vertical="center" wrapText="1"/>
    </xf>
    <xf numFmtId="3" fontId="8" fillId="5" borderId="22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 vertical="center"/>
    </xf>
    <xf numFmtId="0" fontId="6" fillId="4" borderId="81" xfId="0" applyFont="1" applyFill="1" applyBorder="1" applyAlignment="1">
      <alignment horizontal="center" vertical="center" wrapText="1"/>
    </xf>
    <xf numFmtId="0" fontId="6" fillId="4" borderId="78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left" vertical="center" wrapText="1"/>
    </xf>
    <xf numFmtId="0" fontId="7" fillId="5" borderId="31" xfId="0" applyFont="1" applyFill="1" applyBorder="1" applyAlignment="1">
      <alignment horizontal="left" vertical="center" wrapText="1"/>
    </xf>
    <xf numFmtId="165" fontId="6" fillId="4" borderId="81" xfId="0" applyNumberFormat="1" applyFont="1" applyFill="1" applyBorder="1" applyAlignment="1">
      <alignment horizontal="center" vertical="center" wrapText="1"/>
    </xf>
    <xf numFmtId="164" fontId="6" fillId="4" borderId="8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 wrapText="1"/>
    </xf>
    <xf numFmtId="165" fontId="8" fillId="5" borderId="27" xfId="0" applyNumberFormat="1" applyFont="1" applyFill="1" applyBorder="1" applyAlignment="1">
      <alignment horizontal="center" vertical="center"/>
    </xf>
    <xf numFmtId="165" fontId="8" fillId="5" borderId="28" xfId="0" applyNumberFormat="1" applyFont="1" applyFill="1" applyBorder="1" applyAlignment="1">
      <alignment horizontal="center" vertical="center"/>
    </xf>
    <xf numFmtId="49" fontId="8" fillId="5" borderId="21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165" fontId="8" fillId="2" borderId="27" xfId="0" applyNumberFormat="1" applyFont="1" applyFill="1" applyBorder="1" applyAlignment="1">
      <alignment horizontal="center" vertical="center"/>
    </xf>
    <xf numFmtId="165" fontId="8" fillId="2" borderId="28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165" fontId="8" fillId="2" borderId="18" xfId="0" applyNumberFormat="1" applyFont="1" applyFill="1" applyBorder="1" applyAlignment="1">
      <alignment horizontal="center" vertical="center"/>
    </xf>
    <xf numFmtId="165" fontId="8" fillId="2" borderId="25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0" fontId="12" fillId="6" borderId="38" xfId="0" applyFont="1" applyFill="1" applyBorder="1" applyAlignment="1">
      <alignment horizontal="center" vertical="center"/>
    </xf>
    <xf numFmtId="0" fontId="12" fillId="6" borderId="33" xfId="0" applyFont="1" applyFill="1" applyBorder="1" applyAlignment="1">
      <alignment horizontal="center" vertical="center"/>
    </xf>
    <xf numFmtId="165" fontId="7" fillId="0" borderId="38" xfId="0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165" fontId="7" fillId="5" borderId="31" xfId="0" applyNumberFormat="1" applyFont="1" applyFill="1" applyBorder="1" applyAlignment="1">
      <alignment horizontal="center" vertical="center"/>
    </xf>
    <xf numFmtId="165" fontId="7" fillId="5" borderId="32" xfId="0" applyNumberFormat="1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165" fontId="7" fillId="0" borderId="26" xfId="0" applyNumberFormat="1" applyFont="1" applyFill="1" applyBorder="1" applyAlignment="1">
      <alignment horizontal="center" vertical="center"/>
    </xf>
    <xf numFmtId="164" fontId="7" fillId="0" borderId="17" xfId="0" applyNumberFormat="1" applyFont="1" applyFill="1" applyBorder="1" applyAlignment="1">
      <alignment horizontal="center" vertical="center"/>
    </xf>
    <xf numFmtId="0" fontId="6" fillId="4" borderId="83" xfId="0" applyFont="1" applyFill="1" applyBorder="1" applyAlignment="1">
      <alignment horizontal="center" vertical="center"/>
    </xf>
    <xf numFmtId="0" fontId="6" fillId="4" borderId="84" xfId="0" applyFont="1" applyFill="1" applyBorder="1" applyAlignment="1">
      <alignment horizontal="center" vertical="center"/>
    </xf>
    <xf numFmtId="0" fontId="6" fillId="4" borderId="82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0" fontId="7" fillId="3" borderId="85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7" fillId="3" borderId="85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2" fillId="6" borderId="22" xfId="0" applyFont="1" applyFill="1" applyBorder="1" applyAlignment="1">
      <alignment horizontal="left"/>
    </xf>
    <xf numFmtId="0" fontId="15" fillId="2" borderId="22" xfId="0" applyFont="1" applyFill="1" applyBorder="1" applyAlignment="1">
      <alignment horizontal="left"/>
    </xf>
    <xf numFmtId="0" fontId="12" fillId="6" borderId="0" xfId="0" applyFont="1" applyFill="1" applyAlignment="1">
      <alignment horizontal="left"/>
    </xf>
    <xf numFmtId="0" fontId="7" fillId="3" borderId="77" xfId="0" applyFont="1" applyFill="1" applyBorder="1" applyAlignment="1">
      <alignment horizontal="left"/>
    </xf>
    <xf numFmtId="0" fontId="13" fillId="7" borderId="74" xfId="0" applyFont="1" applyFill="1" applyBorder="1" applyAlignment="1">
      <alignment horizontal="left"/>
    </xf>
    <xf numFmtId="165" fontId="15" fillId="2" borderId="53" xfId="0" applyNumberFormat="1" applyFont="1" applyFill="1" applyBorder="1" applyAlignment="1">
      <alignment horizontal="center"/>
    </xf>
    <xf numFmtId="165" fontId="12" fillId="6" borderId="0" xfId="0" applyNumberFormat="1" applyFont="1" applyFill="1" applyAlignment="1">
      <alignment horizontal="center" vertical="center"/>
    </xf>
    <xf numFmtId="165" fontId="15" fillId="2" borderId="22" xfId="0" applyNumberFormat="1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65" fontId="15" fillId="2" borderId="53" xfId="0" applyNumberFormat="1" applyFont="1" applyFill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5" fontId="15" fillId="2" borderId="55" xfId="0" applyNumberFormat="1" applyFont="1" applyFill="1" applyBorder="1" applyAlignment="1">
      <alignment horizontal="center" vertical="center"/>
    </xf>
    <xf numFmtId="165" fontId="7" fillId="3" borderId="85" xfId="0" applyNumberFormat="1" applyFont="1" applyFill="1" applyBorder="1" applyAlignment="1">
      <alignment horizontal="center" vertical="center"/>
    </xf>
    <xf numFmtId="0" fontId="7" fillId="3" borderId="85" xfId="0" applyFont="1" applyFill="1" applyBorder="1" applyAlignment="1">
      <alignment horizontal="center" vertical="center"/>
    </xf>
    <xf numFmtId="3" fontId="7" fillId="3" borderId="85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165" fontId="7" fillId="3" borderId="85" xfId="0" applyNumberFormat="1" applyFont="1" applyFill="1" applyBorder="1" applyAlignment="1">
      <alignment horizontal="center"/>
    </xf>
    <xf numFmtId="0" fontId="7" fillId="3" borderId="85" xfId="0" applyFont="1" applyFill="1" applyBorder="1" applyAlignment="1">
      <alignment horizontal="center"/>
    </xf>
    <xf numFmtId="3" fontId="7" fillId="3" borderId="85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0" fontId="8" fillId="2" borderId="0" xfId="0" applyFont="1" applyFill="1" applyBorder="1" applyAlignment="1">
      <alignment horizontal="center"/>
    </xf>
    <xf numFmtId="3" fontId="8" fillId="2" borderId="0" xfId="0" applyNumberFormat="1" applyFont="1" applyFill="1" applyBorder="1" applyAlignment="1">
      <alignment horizontal="center"/>
    </xf>
    <xf numFmtId="165" fontId="12" fillId="6" borderId="22" xfId="0" applyNumberFormat="1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/>
    </xf>
    <xf numFmtId="3" fontId="12" fillId="6" borderId="22" xfId="0" applyNumberFormat="1" applyFont="1" applyFill="1" applyBorder="1" applyAlignment="1">
      <alignment horizontal="center"/>
    </xf>
    <xf numFmtId="3" fontId="8" fillId="2" borderId="22" xfId="0" applyNumberFormat="1" applyFont="1" applyFill="1" applyBorder="1" applyAlignment="1">
      <alignment horizontal="center"/>
    </xf>
    <xf numFmtId="3" fontId="8" fillId="5" borderId="22" xfId="0" applyNumberFormat="1" applyFont="1" applyFill="1" applyBorder="1" applyAlignment="1">
      <alignment horizontal="center"/>
    </xf>
    <xf numFmtId="165" fontId="15" fillId="2" borderId="22" xfId="0" applyNumberFormat="1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3" fontId="15" fillId="2" borderId="22" xfId="0" applyNumberFormat="1" applyFont="1" applyFill="1" applyBorder="1" applyAlignment="1">
      <alignment horizontal="center"/>
    </xf>
    <xf numFmtId="165" fontId="15" fillId="2" borderId="55" xfId="0" applyNumberFormat="1" applyFont="1" applyFill="1" applyBorder="1" applyAlignment="1">
      <alignment horizontal="center"/>
    </xf>
    <xf numFmtId="3" fontId="12" fillId="6" borderId="0" xfId="0" applyNumberFormat="1" applyFont="1" applyFill="1" applyAlignment="1">
      <alignment horizontal="center"/>
    </xf>
    <xf numFmtId="3" fontId="7" fillId="3" borderId="77" xfId="0" applyNumberFormat="1" applyFont="1" applyFill="1" applyBorder="1" applyAlignment="1">
      <alignment horizontal="center"/>
    </xf>
    <xf numFmtId="3" fontId="13" fillId="7" borderId="74" xfId="0" applyNumberFormat="1" applyFont="1" applyFill="1" applyBorder="1" applyAlignment="1">
      <alignment horizontal="center"/>
    </xf>
    <xf numFmtId="0" fontId="6" fillId="4" borderId="86" xfId="0" applyFont="1" applyFill="1" applyBorder="1" applyAlignment="1">
      <alignment horizontal="center" vertical="center"/>
    </xf>
    <xf numFmtId="165" fontId="12" fillId="6" borderId="87" xfId="0" applyNumberFormat="1" applyFont="1" applyFill="1" applyBorder="1" applyAlignment="1">
      <alignment horizontal="center" vertical="center"/>
    </xf>
    <xf numFmtId="165" fontId="7" fillId="2" borderId="87" xfId="0" applyNumberFormat="1" applyFont="1" applyFill="1" applyBorder="1" applyAlignment="1">
      <alignment horizontal="center" vertical="center"/>
    </xf>
    <xf numFmtId="165" fontId="7" fillId="5" borderId="88" xfId="0" applyNumberFormat="1" applyFont="1" applyFill="1" applyBorder="1" applyAlignment="1">
      <alignment horizontal="center" vertical="center"/>
    </xf>
    <xf numFmtId="165" fontId="7" fillId="2" borderId="88" xfId="0" applyNumberFormat="1" applyFont="1" applyFill="1" applyBorder="1" applyAlignment="1">
      <alignment horizontal="center" vertical="center"/>
    </xf>
    <xf numFmtId="165" fontId="16" fillId="2" borderId="88" xfId="0" applyNumberFormat="1" applyFont="1" applyFill="1" applyBorder="1" applyAlignment="1">
      <alignment horizontal="center" vertical="center"/>
    </xf>
    <xf numFmtId="165" fontId="7" fillId="3" borderId="89" xfId="0" applyNumberFormat="1" applyFont="1" applyFill="1" applyBorder="1" applyAlignment="1">
      <alignment horizontal="center" vertical="center"/>
    </xf>
    <xf numFmtId="165" fontId="7" fillId="2" borderId="90" xfId="0" applyNumberFormat="1" applyFont="1" applyFill="1" applyBorder="1" applyAlignment="1">
      <alignment horizontal="center" vertical="center"/>
    </xf>
    <xf numFmtId="165" fontId="7" fillId="5" borderId="87" xfId="0" applyNumberFormat="1" applyFont="1" applyFill="1" applyBorder="1" applyAlignment="1">
      <alignment horizontal="center" vertical="center"/>
    </xf>
    <xf numFmtId="165" fontId="7" fillId="3" borderId="89" xfId="0" applyNumberFormat="1" applyFont="1" applyFill="1" applyBorder="1" applyAlignment="1">
      <alignment horizontal="center"/>
    </xf>
    <xf numFmtId="165" fontId="7" fillId="2" borderId="87" xfId="0" applyNumberFormat="1" applyFont="1" applyFill="1" applyBorder="1" applyAlignment="1">
      <alignment horizontal="center"/>
    </xf>
    <xf numFmtId="165" fontId="12" fillId="6" borderId="88" xfId="0" applyNumberFormat="1" applyFont="1" applyFill="1" applyBorder="1" applyAlignment="1">
      <alignment horizontal="center"/>
    </xf>
    <xf numFmtId="165" fontId="7" fillId="2" borderId="88" xfId="0" applyNumberFormat="1" applyFont="1" applyFill="1" applyBorder="1" applyAlignment="1">
      <alignment horizontal="center"/>
    </xf>
    <xf numFmtId="165" fontId="7" fillId="5" borderId="88" xfId="0" applyNumberFormat="1" applyFont="1" applyFill="1" applyBorder="1" applyAlignment="1">
      <alignment horizontal="center"/>
    </xf>
    <xf numFmtId="165" fontId="16" fillId="2" borderId="88" xfId="0" applyNumberFormat="1" applyFont="1" applyFill="1" applyBorder="1" applyAlignment="1">
      <alignment horizontal="center"/>
    </xf>
    <xf numFmtId="165" fontId="12" fillId="6" borderId="87" xfId="0" applyNumberFormat="1" applyFont="1" applyFill="1" applyBorder="1" applyAlignment="1">
      <alignment horizontal="center"/>
    </xf>
    <xf numFmtId="165" fontId="7" fillId="3" borderId="91" xfId="0" applyNumberFormat="1" applyFont="1" applyFill="1" applyBorder="1" applyAlignment="1">
      <alignment horizontal="center"/>
    </xf>
    <xf numFmtId="165" fontId="13" fillId="7" borderId="92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vertical="center"/>
    </xf>
    <xf numFmtId="0" fontId="6" fillId="4" borderId="73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 indent="1"/>
    </xf>
    <xf numFmtId="0" fontId="8" fillId="5" borderId="21" xfId="0" applyFont="1" applyFill="1" applyBorder="1" applyAlignment="1">
      <alignment horizontal="left" vertical="center" wrapText="1" indent="1"/>
    </xf>
    <xf numFmtId="0" fontId="7" fillId="3" borderId="85" xfId="0" applyFont="1" applyFill="1" applyBorder="1" applyAlignment="1">
      <alignment horizontal="left" vertical="center" wrapText="1"/>
    </xf>
    <xf numFmtId="0" fontId="12" fillId="6" borderId="21" xfId="0" applyFont="1" applyFill="1" applyBorder="1" applyAlignment="1">
      <alignment horizontal="left" vertical="center" wrapText="1"/>
    </xf>
    <xf numFmtId="0" fontId="7" fillId="3" borderId="77" xfId="0" applyFont="1" applyFill="1" applyBorder="1" applyAlignment="1">
      <alignment horizontal="left" vertical="center" wrapText="1"/>
    </xf>
    <xf numFmtId="165" fontId="12" fillId="6" borderId="0" xfId="0" applyNumberFormat="1" applyFont="1" applyFill="1" applyBorder="1" applyAlignment="1">
      <alignment horizontal="center" vertical="center"/>
    </xf>
    <xf numFmtId="164" fontId="12" fillId="6" borderId="5" xfId="0" applyNumberFormat="1" applyFont="1" applyFill="1" applyBorder="1" applyAlignment="1">
      <alignment horizontal="center" vertical="center"/>
    </xf>
    <xf numFmtId="164" fontId="7" fillId="3" borderId="93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5" fontId="12" fillId="6" borderId="22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horizontal="center"/>
    </xf>
    <xf numFmtId="165" fontId="7" fillId="3" borderId="77" xfId="0" applyNumberFormat="1" applyFont="1" applyFill="1" applyBorder="1" applyAlignment="1">
      <alignment horizontal="center" vertical="center"/>
    </xf>
    <xf numFmtId="164" fontId="7" fillId="3" borderId="94" xfId="0" applyNumberFormat="1" applyFont="1" applyFill="1" applyBorder="1" applyAlignment="1">
      <alignment horizontal="center" vertical="center"/>
    </xf>
    <xf numFmtId="164" fontId="13" fillId="7" borderId="95" xfId="0" applyNumberFormat="1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left" vertical="center"/>
    </xf>
    <xf numFmtId="0" fontId="12" fillId="6" borderId="22" xfId="0" applyFont="1" applyFill="1" applyBorder="1" applyAlignment="1">
      <alignment horizontal="left" vertical="center"/>
    </xf>
    <xf numFmtId="0" fontId="6" fillId="4" borderId="96" xfId="0" applyFont="1" applyFill="1" applyBorder="1" applyAlignment="1">
      <alignment horizontal="center" vertical="center" wrapText="1"/>
    </xf>
    <xf numFmtId="0" fontId="6" fillId="4" borderId="97" xfId="0" applyFont="1" applyFill="1" applyBorder="1" applyAlignment="1">
      <alignment horizontal="center" vertical="center" wrapText="1"/>
    </xf>
    <xf numFmtId="165" fontId="7" fillId="2" borderId="98" xfId="0" applyNumberFormat="1" applyFont="1" applyFill="1" applyBorder="1" applyAlignment="1">
      <alignment horizontal="center" vertical="center"/>
    </xf>
    <xf numFmtId="165" fontId="7" fillId="5" borderId="98" xfId="0" applyNumberFormat="1" applyFont="1" applyFill="1" applyBorder="1" applyAlignment="1">
      <alignment horizontal="center" vertical="center"/>
    </xf>
    <xf numFmtId="165" fontId="12" fillId="6" borderId="88" xfId="0" applyNumberFormat="1" applyFont="1" applyFill="1" applyBorder="1" applyAlignment="1">
      <alignment horizontal="center" vertical="center"/>
    </xf>
    <xf numFmtId="165" fontId="7" fillId="3" borderId="91" xfId="0" applyNumberFormat="1" applyFont="1" applyFill="1" applyBorder="1" applyAlignment="1">
      <alignment horizontal="center" vertical="center"/>
    </xf>
    <xf numFmtId="165" fontId="13" fillId="7" borderId="92" xfId="0" applyNumberFormat="1" applyFont="1" applyFill="1" applyBorder="1" applyAlignment="1">
      <alignment horizontal="center" vertical="center"/>
    </xf>
    <xf numFmtId="164" fontId="8" fillId="2" borderId="47" xfId="0" applyNumberFormat="1" applyFont="1" applyFill="1" applyBorder="1" applyAlignment="1">
      <alignment horizontal="center" vertical="center"/>
    </xf>
    <xf numFmtId="164" fontId="8" fillId="2" borderId="49" xfId="0" applyNumberFormat="1" applyFont="1" applyFill="1" applyBorder="1" applyAlignment="1">
      <alignment horizontal="center" vertical="center"/>
    </xf>
    <xf numFmtId="164" fontId="8" fillId="5" borderId="48" xfId="0" applyNumberFormat="1" applyFont="1" applyFill="1" applyBorder="1" applyAlignment="1">
      <alignment horizontal="center" vertical="center"/>
    </xf>
    <xf numFmtId="2" fontId="8" fillId="5" borderId="53" xfId="0" applyNumberFormat="1" applyFont="1" applyFill="1" applyBorder="1" applyAlignment="1">
      <alignment horizontal="center" vertical="center"/>
    </xf>
    <xf numFmtId="49" fontId="8" fillId="5" borderId="49" xfId="0" applyNumberFormat="1" applyFont="1" applyFill="1" applyBorder="1" applyAlignment="1">
      <alignment horizontal="center" vertical="center"/>
    </xf>
    <xf numFmtId="49" fontId="8" fillId="2" borderId="49" xfId="0" applyNumberFormat="1" applyFont="1" applyFill="1" applyBorder="1" applyAlignment="1">
      <alignment horizontal="center" vertical="center"/>
    </xf>
    <xf numFmtId="49" fontId="8" fillId="2" borderId="50" xfId="0" applyNumberFormat="1" applyFont="1" applyFill="1" applyBorder="1" applyAlignment="1">
      <alignment horizontal="center" vertical="center"/>
    </xf>
    <xf numFmtId="1" fontId="8" fillId="2" borderId="47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2" fontId="8" fillId="2" borderId="54" xfId="0" applyNumberFormat="1" applyFont="1" applyFill="1" applyBorder="1" applyAlignment="1">
      <alignment horizontal="center" vertical="center"/>
    </xf>
    <xf numFmtId="2" fontId="8" fillId="2" borderId="68" xfId="0" applyNumberFormat="1" applyFont="1" applyFill="1" applyBorder="1" applyAlignment="1">
      <alignment horizontal="center" vertical="center"/>
    </xf>
    <xf numFmtId="2" fontId="8" fillId="5" borderId="55" xfId="0" applyNumberFormat="1" applyFont="1" applyFill="1" applyBorder="1" applyAlignment="1">
      <alignment horizontal="center" vertical="center"/>
    </xf>
    <xf numFmtId="2" fontId="8" fillId="2" borderId="49" xfId="0" applyNumberFormat="1" applyFont="1" applyFill="1" applyBorder="1" applyAlignment="1">
      <alignment horizontal="center" vertical="center"/>
    </xf>
    <xf numFmtId="2" fontId="8" fillId="2" borderId="48" xfId="0" applyNumberFormat="1" applyFont="1" applyFill="1" applyBorder="1" applyAlignment="1">
      <alignment horizontal="center" vertical="center"/>
    </xf>
    <xf numFmtId="164" fontId="7" fillId="3" borderId="22" xfId="0" applyNumberFormat="1" applyFont="1" applyFill="1" applyBorder="1" applyAlignment="1">
      <alignment horizontal="center"/>
    </xf>
    <xf numFmtId="164" fontId="13" fillId="7" borderId="74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color rgb="FFE74C3C"/>
      </font>
    </dxf>
    <dxf>
      <font>
        <color rgb="FF27AE60"/>
      </font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4B5"/>
          <bgColor rgb="FFFFE4B5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4B5"/>
          <bgColor rgb="FFFFE4B5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EAEF7C-F611-D449-8B4F-62600223B31A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ED19-7241-2547-B155-4F9EC7C18024}">
  <sheetPr>
    <tabColor rgb="FFE6A817"/>
  </sheetPr>
  <dimension ref="A1:H60"/>
  <sheetViews>
    <sheetView showGridLines="0" topLeftCell="A2" workbookViewId="0">
      <selection activeCell="M39" sqref="M39"/>
    </sheetView>
  </sheetViews>
  <sheetFormatPr baseColWidth="10" defaultRowHeight="15" x14ac:dyDescent="0.2"/>
  <cols>
    <col min="1" max="1" width="5" customWidth="1"/>
    <col min="2" max="2" width="10" customWidth="1"/>
    <col min="3" max="3" width="33.33203125" customWidth="1"/>
    <col min="4" max="4" width="28.33203125" customWidth="1"/>
    <col min="5" max="6" width="14.1640625" customWidth="1"/>
    <col min="7" max="7" width="33.33203125" customWidth="1"/>
    <col min="8" max="8" width="1" customWidth="1"/>
  </cols>
  <sheetData>
    <row r="1" spans="1:8" s="1" customFormat="1" ht="32" customHeight="1" x14ac:dyDescent="0.25">
      <c r="A1" s="3"/>
      <c r="B1" s="3"/>
      <c r="C1" s="3"/>
      <c r="D1" s="3"/>
      <c r="E1" s="3"/>
      <c r="F1" s="3"/>
      <c r="G1" s="3"/>
      <c r="H1" s="3"/>
    </row>
    <row r="2" spans="1:8" ht="30" customHeight="1" x14ac:dyDescent="0.2">
      <c r="A2" s="8"/>
      <c r="B2" s="8"/>
      <c r="C2" s="8"/>
      <c r="D2" s="8"/>
      <c r="E2" s="8"/>
      <c r="F2" s="8"/>
      <c r="G2" s="8"/>
      <c r="H2" s="3"/>
    </row>
    <row r="3" spans="1:8" ht="20" customHeight="1" x14ac:dyDescent="0.2">
      <c r="A3" s="8"/>
      <c r="B3" s="8"/>
      <c r="C3" s="8"/>
      <c r="D3" s="8"/>
      <c r="E3" s="8"/>
      <c r="F3" s="8"/>
      <c r="G3" s="8"/>
      <c r="H3" s="3"/>
    </row>
    <row r="4" spans="1:8" ht="6" customHeight="1" x14ac:dyDescent="0.2">
      <c r="A4" s="3"/>
      <c r="B4" s="3"/>
      <c r="C4" s="3"/>
      <c r="D4" s="3"/>
      <c r="E4" s="3"/>
      <c r="F4" s="3"/>
      <c r="G4" s="3"/>
      <c r="H4" s="3"/>
    </row>
    <row r="5" spans="1:8" ht="28" customHeight="1" x14ac:dyDescent="0.2">
      <c r="A5" s="9"/>
      <c r="B5" s="10" t="s">
        <v>371</v>
      </c>
      <c r="C5" s="11" t="s">
        <v>372</v>
      </c>
      <c r="D5" s="11" t="s">
        <v>374</v>
      </c>
      <c r="E5" s="12"/>
      <c r="F5" s="11" t="s">
        <v>376</v>
      </c>
      <c r="G5" s="13"/>
      <c r="H5" s="3"/>
    </row>
    <row r="6" spans="1:8" ht="18" customHeight="1" x14ac:dyDescent="0.2">
      <c r="A6" s="3"/>
      <c r="B6" s="6">
        <v>694</v>
      </c>
      <c r="C6" s="7" t="s">
        <v>373</v>
      </c>
      <c r="D6" s="7" t="s">
        <v>375</v>
      </c>
      <c r="E6" s="4"/>
      <c r="F6" s="7" t="s">
        <v>489</v>
      </c>
      <c r="G6" s="5"/>
      <c r="H6" s="3"/>
    </row>
    <row r="7" spans="1:8" ht="6" customHeight="1" x14ac:dyDescent="0.2">
      <c r="A7" s="3"/>
      <c r="B7" s="3"/>
      <c r="C7" s="3"/>
      <c r="D7" s="3"/>
      <c r="E7" s="3"/>
      <c r="F7" s="3"/>
      <c r="G7" s="3"/>
      <c r="H7" s="3"/>
    </row>
    <row r="8" spans="1:8" ht="28" customHeight="1" x14ac:dyDescent="0.2">
      <c r="A8" s="14"/>
      <c r="B8" s="14" t="s">
        <v>377</v>
      </c>
      <c r="C8" s="14" t="s">
        <v>378</v>
      </c>
      <c r="D8" s="14" t="s">
        <v>379</v>
      </c>
      <c r="E8" s="14" t="s">
        <v>380</v>
      </c>
      <c r="F8" s="14" t="s">
        <v>381</v>
      </c>
      <c r="G8" s="14" t="s">
        <v>382</v>
      </c>
      <c r="H8" s="3"/>
    </row>
    <row r="9" spans="1:8" ht="18" customHeight="1" x14ac:dyDescent="0.2">
      <c r="A9" s="15"/>
      <c r="B9" s="16" t="s">
        <v>383</v>
      </c>
      <c r="C9" s="15" t="s">
        <v>384</v>
      </c>
      <c r="D9" s="17" t="s">
        <v>385</v>
      </c>
      <c r="E9" s="16">
        <v>7</v>
      </c>
      <c r="F9" s="16" t="s">
        <v>386</v>
      </c>
      <c r="G9" s="15" t="s">
        <v>387</v>
      </c>
      <c r="H9" s="3"/>
    </row>
    <row r="10" spans="1:8" ht="18" customHeight="1" x14ac:dyDescent="0.2">
      <c r="A10" s="18"/>
      <c r="B10" s="19" t="s">
        <v>383</v>
      </c>
      <c r="C10" s="18" t="s">
        <v>388</v>
      </c>
      <c r="D10" s="20" t="s">
        <v>389</v>
      </c>
      <c r="E10" s="19">
        <v>4</v>
      </c>
      <c r="F10" s="19" t="s">
        <v>386</v>
      </c>
      <c r="G10" s="18" t="s">
        <v>390</v>
      </c>
      <c r="H10" s="3"/>
    </row>
    <row r="11" spans="1:8" ht="18" customHeight="1" x14ac:dyDescent="0.2">
      <c r="A11" s="15"/>
      <c r="B11" s="16" t="s">
        <v>383</v>
      </c>
      <c r="C11" s="15" t="s">
        <v>391</v>
      </c>
      <c r="D11" s="17" t="s">
        <v>392</v>
      </c>
      <c r="E11" s="16">
        <v>1</v>
      </c>
      <c r="F11" s="16" t="s">
        <v>393</v>
      </c>
      <c r="G11" s="15" t="s">
        <v>394</v>
      </c>
      <c r="H11" s="3"/>
    </row>
    <row r="12" spans="1:8" ht="18" customHeight="1" x14ac:dyDescent="0.2">
      <c r="A12" s="18"/>
      <c r="B12" s="19" t="s">
        <v>383</v>
      </c>
      <c r="C12" s="18" t="s">
        <v>395</v>
      </c>
      <c r="D12" s="20" t="s">
        <v>396</v>
      </c>
      <c r="E12" s="19">
        <v>3</v>
      </c>
      <c r="F12" s="19" t="s">
        <v>393</v>
      </c>
      <c r="G12" s="18" t="s">
        <v>397</v>
      </c>
      <c r="H12" s="3"/>
    </row>
    <row r="13" spans="1:8" ht="18" customHeight="1" x14ac:dyDescent="0.2">
      <c r="A13" s="15"/>
      <c r="B13" s="16" t="s">
        <v>383</v>
      </c>
      <c r="C13" s="15" t="s">
        <v>398</v>
      </c>
      <c r="D13" s="17" t="s">
        <v>399</v>
      </c>
      <c r="E13" s="16">
        <v>3</v>
      </c>
      <c r="F13" s="16" t="s">
        <v>393</v>
      </c>
      <c r="G13" s="15" t="s">
        <v>400</v>
      </c>
      <c r="H13" s="3"/>
    </row>
    <row r="14" spans="1:8" ht="18" customHeight="1" x14ac:dyDescent="0.2">
      <c r="A14" s="18"/>
      <c r="B14" s="19" t="s">
        <v>383</v>
      </c>
      <c r="C14" s="18" t="s">
        <v>401</v>
      </c>
      <c r="D14" s="20" t="s">
        <v>402</v>
      </c>
      <c r="E14" s="19">
        <v>1</v>
      </c>
      <c r="F14" s="19" t="s">
        <v>393</v>
      </c>
      <c r="G14" s="18" t="s">
        <v>403</v>
      </c>
      <c r="H14" s="3"/>
    </row>
    <row r="15" spans="1:8" ht="18" customHeight="1" x14ac:dyDescent="0.2">
      <c r="A15" s="15"/>
      <c r="B15" s="16" t="s">
        <v>383</v>
      </c>
      <c r="C15" s="15" t="s">
        <v>404</v>
      </c>
      <c r="D15" s="17" t="s">
        <v>405</v>
      </c>
      <c r="E15" s="16">
        <v>2</v>
      </c>
      <c r="F15" s="16" t="s">
        <v>393</v>
      </c>
      <c r="G15" s="15" t="s">
        <v>406</v>
      </c>
      <c r="H15" s="3"/>
    </row>
    <row r="16" spans="1:8" ht="18" customHeight="1" x14ac:dyDescent="0.2">
      <c r="A16" s="18"/>
      <c r="B16" s="19" t="s">
        <v>383</v>
      </c>
      <c r="C16" s="18" t="s">
        <v>407</v>
      </c>
      <c r="D16" s="20" t="s">
        <v>408</v>
      </c>
      <c r="E16" s="19">
        <v>1</v>
      </c>
      <c r="F16" s="19" t="s">
        <v>393</v>
      </c>
      <c r="G16" s="18" t="s">
        <v>409</v>
      </c>
      <c r="H16" s="3"/>
    </row>
    <row r="17" spans="1:8" ht="18" customHeight="1" x14ac:dyDescent="0.2">
      <c r="A17" s="15"/>
      <c r="B17" s="16" t="s">
        <v>383</v>
      </c>
      <c r="C17" s="15" t="s">
        <v>410</v>
      </c>
      <c r="D17" s="17" t="s">
        <v>411</v>
      </c>
      <c r="E17" s="16">
        <v>2</v>
      </c>
      <c r="F17" s="16" t="s">
        <v>393</v>
      </c>
      <c r="G17" s="15" t="s">
        <v>412</v>
      </c>
      <c r="H17" s="3"/>
    </row>
    <row r="18" spans="1:8" ht="6" customHeight="1" x14ac:dyDescent="0.2">
      <c r="A18" s="15"/>
      <c r="B18" s="15"/>
      <c r="C18" s="15"/>
      <c r="D18" s="15"/>
      <c r="E18" s="15"/>
      <c r="F18" s="15"/>
      <c r="G18" s="15"/>
      <c r="H18" s="3"/>
    </row>
    <row r="19" spans="1:8" ht="18" customHeight="1" x14ac:dyDescent="0.2">
      <c r="A19" s="18"/>
      <c r="B19" s="19" t="s">
        <v>413</v>
      </c>
      <c r="C19" s="18" t="s">
        <v>414</v>
      </c>
      <c r="D19" s="20" t="s">
        <v>415</v>
      </c>
      <c r="E19" s="19">
        <v>25</v>
      </c>
      <c r="F19" s="19" t="s">
        <v>386</v>
      </c>
      <c r="G19" s="18" t="s">
        <v>416</v>
      </c>
      <c r="H19" s="3"/>
    </row>
    <row r="20" spans="1:8" ht="18" customHeight="1" x14ac:dyDescent="0.2">
      <c r="A20" s="15"/>
      <c r="B20" s="16" t="s">
        <v>413</v>
      </c>
      <c r="C20" s="15" t="s">
        <v>417</v>
      </c>
      <c r="D20" s="17" t="s">
        <v>418</v>
      </c>
      <c r="E20" s="16">
        <v>25</v>
      </c>
      <c r="F20" s="16" t="s">
        <v>386</v>
      </c>
      <c r="G20" s="15" t="s">
        <v>419</v>
      </c>
      <c r="H20" s="3"/>
    </row>
    <row r="21" spans="1:8" ht="18" customHeight="1" x14ac:dyDescent="0.2">
      <c r="A21" s="18"/>
      <c r="B21" s="19" t="s">
        <v>413</v>
      </c>
      <c r="C21" s="18" t="s">
        <v>420</v>
      </c>
      <c r="D21" s="20" t="s">
        <v>421</v>
      </c>
      <c r="E21" s="19">
        <v>25</v>
      </c>
      <c r="F21" s="19" t="s">
        <v>386</v>
      </c>
      <c r="G21" s="18" t="s">
        <v>422</v>
      </c>
      <c r="H21" s="3"/>
    </row>
    <row r="22" spans="1:8" ht="18" customHeight="1" x14ac:dyDescent="0.2">
      <c r="A22" s="15"/>
      <c r="B22" s="16" t="s">
        <v>413</v>
      </c>
      <c r="C22" s="15" t="s">
        <v>423</v>
      </c>
      <c r="D22" s="17" t="s">
        <v>424</v>
      </c>
      <c r="E22" s="16">
        <v>75</v>
      </c>
      <c r="F22" s="16" t="s">
        <v>386</v>
      </c>
      <c r="G22" s="15" t="s">
        <v>425</v>
      </c>
      <c r="H22" s="3"/>
    </row>
    <row r="23" spans="1:8" ht="18" customHeight="1" x14ac:dyDescent="0.2">
      <c r="A23" s="18"/>
      <c r="B23" s="19" t="s">
        <v>413</v>
      </c>
      <c r="C23" s="18" t="s">
        <v>426</v>
      </c>
      <c r="D23" s="20" t="s">
        <v>427</v>
      </c>
      <c r="E23" s="19">
        <v>24</v>
      </c>
      <c r="F23" s="19" t="s">
        <v>393</v>
      </c>
      <c r="G23" s="18" t="s">
        <v>428</v>
      </c>
      <c r="H23" s="3"/>
    </row>
    <row r="24" spans="1:8" ht="18" customHeight="1" x14ac:dyDescent="0.2">
      <c r="A24" s="15"/>
      <c r="B24" s="16" t="s">
        <v>413</v>
      </c>
      <c r="C24" s="15" t="s">
        <v>490</v>
      </c>
      <c r="D24" s="17" t="s">
        <v>429</v>
      </c>
      <c r="E24" s="16" t="s">
        <v>491</v>
      </c>
      <c r="F24" s="16" t="s">
        <v>492</v>
      </c>
      <c r="G24" s="15" t="s">
        <v>493</v>
      </c>
      <c r="H24" s="3"/>
    </row>
    <row r="25" spans="1:8" ht="6" customHeight="1" x14ac:dyDescent="0.2">
      <c r="A25" s="15"/>
      <c r="B25" s="15"/>
      <c r="C25" s="15"/>
      <c r="D25" s="15"/>
      <c r="E25" s="15"/>
      <c r="F25" s="15"/>
      <c r="G25" s="15"/>
      <c r="H25" s="3"/>
    </row>
    <row r="26" spans="1:8" ht="18" customHeight="1" x14ac:dyDescent="0.2">
      <c r="A26" s="18"/>
      <c r="B26" s="19" t="s">
        <v>431</v>
      </c>
      <c r="C26" s="18" t="s">
        <v>432</v>
      </c>
      <c r="D26" s="20" t="s">
        <v>433</v>
      </c>
      <c r="E26" s="19">
        <v>135</v>
      </c>
      <c r="F26" s="19" t="s">
        <v>386</v>
      </c>
      <c r="G26" s="18" t="s">
        <v>434</v>
      </c>
      <c r="H26" s="3"/>
    </row>
    <row r="27" spans="1:8" ht="18" customHeight="1" x14ac:dyDescent="0.2">
      <c r="A27" s="15"/>
      <c r="B27" s="16" t="s">
        <v>431</v>
      </c>
      <c r="C27" s="15" t="s">
        <v>435</v>
      </c>
      <c r="D27" s="17" t="s">
        <v>436</v>
      </c>
      <c r="E27" s="16">
        <v>14</v>
      </c>
      <c r="F27" s="16" t="s">
        <v>386</v>
      </c>
      <c r="G27" s="15" t="s">
        <v>437</v>
      </c>
      <c r="H27" s="3"/>
    </row>
    <row r="28" spans="1:8" ht="18" customHeight="1" x14ac:dyDescent="0.2">
      <c r="A28" s="18"/>
      <c r="B28" s="19" t="s">
        <v>431</v>
      </c>
      <c r="C28" s="18" t="s">
        <v>438</v>
      </c>
      <c r="D28" s="20" t="s">
        <v>439</v>
      </c>
      <c r="E28" s="19">
        <v>2</v>
      </c>
      <c r="F28" s="19" t="s">
        <v>393</v>
      </c>
      <c r="G28" s="18" t="s">
        <v>440</v>
      </c>
      <c r="H28" s="3"/>
    </row>
    <row r="29" spans="1:8" ht="6" customHeight="1" x14ac:dyDescent="0.2">
      <c r="A29" s="15"/>
      <c r="B29" s="15"/>
      <c r="C29" s="15"/>
      <c r="D29" s="15"/>
      <c r="E29" s="15"/>
      <c r="F29" s="15"/>
      <c r="G29" s="15"/>
      <c r="H29" s="3"/>
    </row>
    <row r="30" spans="1:8" ht="18" customHeight="1" x14ac:dyDescent="0.2">
      <c r="A30" s="15"/>
      <c r="B30" s="16" t="s">
        <v>441</v>
      </c>
      <c r="C30" s="15" t="s">
        <v>442</v>
      </c>
      <c r="D30" s="17" t="s">
        <v>443</v>
      </c>
      <c r="E30" s="16">
        <v>135</v>
      </c>
      <c r="F30" s="16" t="s">
        <v>393</v>
      </c>
      <c r="G30" s="15" t="s">
        <v>444</v>
      </c>
      <c r="H30" s="3"/>
    </row>
    <row r="31" spans="1:8" ht="6" customHeight="1" x14ac:dyDescent="0.2">
      <c r="A31" s="15"/>
      <c r="B31" s="15"/>
      <c r="C31" s="15"/>
      <c r="D31" s="15"/>
      <c r="E31" s="15"/>
      <c r="F31" s="15"/>
      <c r="G31" s="15"/>
      <c r="H31" s="3"/>
    </row>
    <row r="32" spans="1:8" ht="18" customHeight="1" x14ac:dyDescent="0.2">
      <c r="A32" s="18"/>
      <c r="B32" s="19" t="s">
        <v>445</v>
      </c>
      <c r="C32" s="18" t="s">
        <v>446</v>
      </c>
      <c r="D32" s="20" t="s">
        <v>447</v>
      </c>
      <c r="E32" s="19">
        <v>14</v>
      </c>
      <c r="F32" s="19" t="s">
        <v>386</v>
      </c>
      <c r="G32" s="18" t="s">
        <v>448</v>
      </c>
      <c r="H32" s="3"/>
    </row>
    <row r="33" spans="1:8" ht="18" customHeight="1" x14ac:dyDescent="0.2">
      <c r="A33" s="15"/>
      <c r="B33" s="16" t="s">
        <v>445</v>
      </c>
      <c r="C33" s="15" t="s">
        <v>449</v>
      </c>
      <c r="D33" s="17" t="s">
        <v>450</v>
      </c>
      <c r="E33" s="16">
        <v>15</v>
      </c>
      <c r="F33" s="16" t="s">
        <v>393</v>
      </c>
      <c r="G33" s="15" t="s">
        <v>451</v>
      </c>
      <c r="H33" s="3"/>
    </row>
    <row r="34" spans="1:8" ht="18" customHeight="1" x14ac:dyDescent="0.2">
      <c r="A34" s="18"/>
      <c r="B34" s="19" t="s">
        <v>445</v>
      </c>
      <c r="C34" s="18" t="s">
        <v>494</v>
      </c>
      <c r="D34" s="20" t="s">
        <v>452</v>
      </c>
      <c r="E34" s="19" t="s">
        <v>491</v>
      </c>
      <c r="F34" s="19" t="s">
        <v>492</v>
      </c>
      <c r="G34" s="18" t="s">
        <v>495</v>
      </c>
      <c r="H34" s="3"/>
    </row>
    <row r="35" spans="1:8" ht="6" customHeight="1" x14ac:dyDescent="0.2">
      <c r="A35" s="15"/>
      <c r="B35" s="15"/>
      <c r="C35" s="15"/>
      <c r="D35" s="15"/>
      <c r="E35" s="15"/>
      <c r="F35" s="15"/>
      <c r="G35" s="15"/>
      <c r="H35" s="3"/>
    </row>
    <row r="36" spans="1:8" ht="18" customHeight="1" x14ac:dyDescent="0.2">
      <c r="A36" s="15"/>
      <c r="B36" s="16" t="s">
        <v>453</v>
      </c>
      <c r="C36" s="15" t="s">
        <v>454</v>
      </c>
      <c r="D36" s="17" t="s">
        <v>455</v>
      </c>
      <c r="E36" s="16">
        <v>75</v>
      </c>
      <c r="F36" s="16" t="s">
        <v>430</v>
      </c>
      <c r="G36" s="15" t="s">
        <v>456</v>
      </c>
      <c r="H36" s="3"/>
    </row>
    <row r="37" spans="1:8" ht="6" customHeight="1" x14ac:dyDescent="0.2">
      <c r="A37" s="15"/>
      <c r="B37" s="15"/>
      <c r="C37" s="15"/>
      <c r="D37" s="15"/>
      <c r="E37" s="15"/>
      <c r="F37" s="15"/>
      <c r="G37" s="15"/>
      <c r="H37" s="3"/>
    </row>
    <row r="38" spans="1:8" ht="18" customHeight="1" x14ac:dyDescent="0.2">
      <c r="A38" s="18"/>
      <c r="B38" s="19" t="s">
        <v>457</v>
      </c>
      <c r="C38" s="18" t="s">
        <v>458</v>
      </c>
      <c r="D38" s="20" t="s">
        <v>459</v>
      </c>
      <c r="E38" s="19">
        <v>15</v>
      </c>
      <c r="F38" s="19" t="s">
        <v>393</v>
      </c>
      <c r="G38" s="18" t="s">
        <v>460</v>
      </c>
      <c r="H38" s="3"/>
    </row>
    <row r="39" spans="1:8" ht="6" customHeight="1" x14ac:dyDescent="0.2">
      <c r="A39" s="15"/>
      <c r="B39" s="15"/>
      <c r="C39" s="15"/>
      <c r="D39" s="15"/>
      <c r="E39" s="15"/>
      <c r="F39" s="15"/>
      <c r="G39" s="15"/>
      <c r="H39" s="3"/>
    </row>
    <row r="40" spans="1:8" ht="18" customHeight="1" x14ac:dyDescent="0.2">
      <c r="A40" s="15"/>
      <c r="B40" s="16" t="s">
        <v>461</v>
      </c>
      <c r="C40" s="15" t="s">
        <v>462</v>
      </c>
      <c r="D40" s="17" t="s">
        <v>463</v>
      </c>
      <c r="E40" s="16">
        <v>84</v>
      </c>
      <c r="F40" s="16" t="s">
        <v>393</v>
      </c>
      <c r="G40" s="15" t="s">
        <v>464</v>
      </c>
      <c r="H40" s="3"/>
    </row>
    <row r="41" spans="1:8" ht="6" customHeight="1" x14ac:dyDescent="0.2">
      <c r="A41" s="15"/>
      <c r="B41" s="15"/>
      <c r="C41" s="15"/>
      <c r="D41" s="15"/>
      <c r="E41" s="15"/>
      <c r="F41" s="15"/>
      <c r="G41" s="15"/>
      <c r="H41" s="3"/>
    </row>
    <row r="42" spans="1:8" ht="18" customHeight="1" x14ac:dyDescent="0.2">
      <c r="A42" s="18"/>
      <c r="B42" s="19" t="s">
        <v>465</v>
      </c>
      <c r="C42" s="18" t="s">
        <v>466</v>
      </c>
      <c r="D42" s="20" t="s">
        <v>467</v>
      </c>
      <c r="E42" s="19">
        <v>15</v>
      </c>
      <c r="F42" s="19" t="s">
        <v>393</v>
      </c>
      <c r="G42" s="18" t="s">
        <v>468</v>
      </c>
      <c r="H42" s="3"/>
    </row>
    <row r="43" spans="1:8" ht="6" customHeight="1" x14ac:dyDescent="0.2">
      <c r="A43" s="15"/>
      <c r="B43" s="15"/>
      <c r="C43" s="15"/>
      <c r="D43" s="15"/>
      <c r="E43" s="15"/>
      <c r="F43" s="15"/>
      <c r="G43" s="15"/>
      <c r="H43" s="3"/>
    </row>
    <row r="44" spans="1:8" ht="6" customHeight="1" x14ac:dyDescent="0.2">
      <c r="A44" s="15"/>
      <c r="B44" s="15"/>
      <c r="C44" s="15"/>
      <c r="D44" s="15"/>
      <c r="E44" s="15"/>
      <c r="F44" s="15"/>
      <c r="G44" s="15"/>
      <c r="H44" s="3"/>
    </row>
    <row r="45" spans="1:8" ht="18" customHeight="1" x14ac:dyDescent="0.2">
      <c r="A45" s="15"/>
      <c r="B45" s="15" t="s">
        <v>469</v>
      </c>
      <c r="C45" s="15"/>
      <c r="D45" s="15"/>
      <c r="E45" s="15"/>
      <c r="F45" s="15"/>
      <c r="G45" s="15"/>
      <c r="H45" s="3"/>
    </row>
    <row r="46" spans="1:8" ht="18" customHeight="1" x14ac:dyDescent="0.2">
      <c r="A46" s="18"/>
      <c r="B46" s="19" t="s">
        <v>470</v>
      </c>
      <c r="C46" s="18" t="s">
        <v>471</v>
      </c>
      <c r="D46" s="21" t="s">
        <v>472</v>
      </c>
      <c r="E46" s="21"/>
      <c r="F46" s="21"/>
      <c r="G46" s="21"/>
      <c r="H46" s="3"/>
    </row>
    <row r="47" spans="1:8" ht="18" customHeight="1" x14ac:dyDescent="0.2">
      <c r="A47" s="15"/>
      <c r="B47" s="16" t="s">
        <v>473</v>
      </c>
      <c r="C47" s="15" t="s">
        <v>474</v>
      </c>
      <c r="D47" s="22" t="s">
        <v>475</v>
      </c>
      <c r="E47" s="22"/>
      <c r="F47" s="22"/>
      <c r="G47" s="22"/>
      <c r="H47" s="3"/>
    </row>
    <row r="48" spans="1:8" ht="18" customHeight="1" x14ac:dyDescent="0.2">
      <c r="A48" s="18"/>
      <c r="B48" s="19" t="s">
        <v>470</v>
      </c>
      <c r="C48" s="18" t="s">
        <v>476</v>
      </c>
      <c r="D48" s="21" t="s">
        <v>477</v>
      </c>
      <c r="E48" s="21"/>
      <c r="F48" s="21"/>
      <c r="G48" s="21"/>
      <c r="H48" s="3"/>
    </row>
    <row r="49" spans="1:8" ht="18" customHeight="1" x14ac:dyDescent="0.2">
      <c r="A49" s="15"/>
      <c r="B49" s="16" t="s">
        <v>478</v>
      </c>
      <c r="C49" s="15" t="s">
        <v>479</v>
      </c>
      <c r="D49" s="22" t="s">
        <v>480</v>
      </c>
      <c r="E49" s="22"/>
      <c r="F49" s="22"/>
      <c r="G49" s="22"/>
      <c r="H49" s="3"/>
    </row>
    <row r="50" spans="1:8" ht="18" customHeight="1" x14ac:dyDescent="0.2">
      <c r="A50" s="18"/>
      <c r="B50" s="19" t="s">
        <v>481</v>
      </c>
      <c r="C50" s="18" t="s">
        <v>482</v>
      </c>
      <c r="D50" s="21" t="s">
        <v>483</v>
      </c>
      <c r="E50" s="21"/>
      <c r="F50" s="21"/>
      <c r="G50" s="21"/>
      <c r="H50" s="3"/>
    </row>
    <row r="51" spans="1:8" ht="18" customHeight="1" x14ac:dyDescent="0.2">
      <c r="A51" s="15"/>
      <c r="B51" s="16" t="s">
        <v>484</v>
      </c>
      <c r="C51" s="15" t="s">
        <v>485</v>
      </c>
      <c r="D51" s="22" t="s">
        <v>486</v>
      </c>
      <c r="E51" s="22"/>
      <c r="F51" s="22"/>
      <c r="G51" s="22"/>
      <c r="H51" s="3"/>
    </row>
    <row r="52" spans="1:8" ht="6" customHeight="1" x14ac:dyDescent="0.2">
      <c r="A52" s="15"/>
      <c r="B52" s="15"/>
      <c r="C52" s="15"/>
      <c r="D52" s="15"/>
      <c r="E52" s="15"/>
      <c r="F52" s="15"/>
      <c r="G52" s="15"/>
      <c r="H52" s="3"/>
    </row>
    <row r="53" spans="1:8" ht="18" customHeight="1" x14ac:dyDescent="0.2">
      <c r="A53" s="18"/>
      <c r="B53" s="23" t="s">
        <v>487</v>
      </c>
      <c r="C53" s="24" t="s">
        <v>488</v>
      </c>
      <c r="D53" s="24"/>
      <c r="E53" s="24"/>
      <c r="F53" s="24"/>
      <c r="G53" s="24"/>
      <c r="H53" s="3"/>
    </row>
    <row r="54" spans="1:8" ht="6" customHeight="1" x14ac:dyDescent="0.2">
      <c r="A54" s="15"/>
      <c r="B54" s="15"/>
      <c r="C54" s="15"/>
      <c r="D54" s="15"/>
      <c r="E54" s="15"/>
      <c r="F54" s="15"/>
      <c r="G54" s="15"/>
      <c r="H54" s="3"/>
    </row>
    <row r="55" spans="1:8" ht="6" customHeight="1" x14ac:dyDescent="0.2">
      <c r="A55" s="15"/>
      <c r="B55" s="15"/>
      <c r="C55" s="15"/>
      <c r="D55" s="15"/>
      <c r="E55" s="15"/>
      <c r="F55" s="15"/>
      <c r="G55" s="15"/>
      <c r="H55" s="3"/>
    </row>
    <row r="56" spans="1:8" ht="6" customHeight="1" x14ac:dyDescent="0.2">
      <c r="A56" s="15"/>
      <c r="B56" s="15"/>
      <c r="C56" s="15"/>
      <c r="D56" s="15"/>
      <c r="E56" s="15"/>
      <c r="F56" s="15"/>
      <c r="G56" s="15"/>
      <c r="H56" s="3"/>
    </row>
    <row r="57" spans="1:8" ht="6" customHeight="1" x14ac:dyDescent="0.2">
      <c r="A57" s="15"/>
      <c r="B57" s="15"/>
      <c r="C57" s="15"/>
      <c r="D57" s="15"/>
      <c r="E57" s="15"/>
      <c r="F57" s="15"/>
      <c r="G57" s="15"/>
      <c r="H57" s="3"/>
    </row>
    <row r="58" spans="1:8" ht="6" customHeight="1" x14ac:dyDescent="0.2">
      <c r="A58" s="15"/>
      <c r="B58" s="15"/>
      <c r="C58" s="15"/>
      <c r="D58" s="15"/>
      <c r="E58" s="15"/>
      <c r="F58" s="15"/>
      <c r="G58" s="15"/>
      <c r="H58" s="3"/>
    </row>
    <row r="59" spans="1:8" ht="6" customHeight="1" x14ac:dyDescent="0.2">
      <c r="A59" s="15"/>
      <c r="B59" s="15"/>
      <c r="C59" s="15"/>
      <c r="D59" s="15"/>
      <c r="E59" s="15"/>
      <c r="F59" s="15"/>
      <c r="G59" s="15"/>
      <c r="H59" s="3"/>
    </row>
    <row r="60" spans="1:8" ht="6" customHeight="1" x14ac:dyDescent="0.2">
      <c r="A60" s="15"/>
      <c r="B60" s="15"/>
      <c r="C60" s="15"/>
      <c r="D60" s="15"/>
      <c r="E60" s="15"/>
      <c r="F60" s="15"/>
      <c r="G60" s="15"/>
      <c r="H60" s="3"/>
    </row>
  </sheetData>
  <mergeCells count="9">
    <mergeCell ref="D50:G50"/>
    <mergeCell ref="D51:G51"/>
    <mergeCell ref="C53:G53"/>
    <mergeCell ref="D46:G46"/>
    <mergeCell ref="D47:G47"/>
    <mergeCell ref="D48:G48"/>
    <mergeCell ref="D49:G49"/>
    <mergeCell ref="A2:G2"/>
    <mergeCell ref="A3:G3"/>
  </mergeCells>
  <hyperlinks>
    <hyperlink ref="D9" location="ASSUMPTIONS!B4" display="ASSUMPTIONS → B4:B10" xr:uid="{C68C3BDC-AF79-C24F-B96B-3DE2CD9C075B}"/>
    <hyperlink ref="D10" location="ASSUMPTIONS!B13" display="ASSUMPTIONS → B13:B16" xr:uid="{810B49F0-D2DF-C249-AEF0-8CFEDC9EDD67}"/>
    <hyperlink ref="D11" location="ASSUMPTIONS!B19" display="ASSUMPTIONS → B19" xr:uid="{AE9F1C6B-E6E4-6A4D-A57D-02DFA07FEB2B}"/>
    <hyperlink ref="D12" location="ASSUMPTIONS!D42" display="ASSUMPTIONS → D42:D44" xr:uid="{3C962E90-739D-DE4D-A5BC-25C65BC887FB}"/>
    <hyperlink ref="D13" location="ASSUMPTIONS!B37" display="ASSUMPTIONS → B37:B39" xr:uid="{D17F4395-8E43-8A47-A18C-299DDEBC6ECB}"/>
    <hyperlink ref="D14" location="ASSUMPTIONS!B45" display="ASSUMPTIONS → B45" xr:uid="{9B38F4E3-FF2D-9847-ABFD-91C1460B65D7}"/>
    <hyperlink ref="D15" location="ASSUMPTIONS!B50" display="ASSUMPTIONS → B50:B51" xr:uid="{B10005BE-AC3A-0A4E-850D-2FC119581DBD}"/>
    <hyperlink ref="D16" location="ASSUMPTIONS!B54" display="ASSUMPTIONS → B54" xr:uid="{F5201D21-589A-664D-8FD3-E65C07FA95FF}"/>
    <hyperlink ref="D17" location="ASSUMPTIONS!B60" display="ASSUMPTIONS → B60:B61" xr:uid="{A4E3D589-38FB-864E-AAA7-75BEFAE64435}"/>
    <hyperlink ref="D19" location="FEE_GRID!B6" display="FEE_GRID → B6:G10" xr:uid="{3AE99DAF-E621-BA40-9EE7-E39FD9FBDBF4}"/>
    <hyperlink ref="D20" location="FEE_GRID!B14" display="FEE_GRID → B14:G18" xr:uid="{E8401358-AAFF-4245-A54A-405C3FE15068}"/>
    <hyperlink ref="D21" location="FEE_GRID!B22" display="FEE_GRID → B22:G26" xr:uid="{005F025F-0127-1942-A367-14482FF9E5F9}"/>
    <hyperlink ref="D22" location="FEE_GRID!B32" display="FEE_GRID → B32:G52" xr:uid="{E0C60921-E919-BA49-B01F-D4CC3975301D}"/>
    <hyperlink ref="D23" location="FEE_GRID!B66" display="FEE_GRID → B66:B105" xr:uid="{6CC35ADC-F230-6446-848C-A37161CB0EE7}"/>
    <hyperlink ref="D24" location="FEE_GRID!D73" display="FEE_GRID → D73:D98" xr:uid="{642D5A7F-04C5-2C40-A548-8B2731E48C31}"/>
    <hyperlink ref="D26" location="ENROLLMENT!C7" display="ENROLLMENT → C7:M21" xr:uid="{667FA5CB-3A3A-8A4A-85C7-BD1D85B752C0}"/>
    <hyperlink ref="D27" location="ENROLLMENT!D35" display="ENROLLMENT → D35:D48" xr:uid="{EF87E0DF-AAC6-804A-86FE-424935E32C21}"/>
    <hyperlink ref="D28" location="ENROLLMENT!C34" display="ENROLLMENT → C34, E34" xr:uid="{E7D6C3B5-1237-0E41-B784-5EAD03DA3287}"/>
    <hyperlink ref="D30" location="ENROLLMENT_DETAIL!C7" display="ENROLLMENT_DETAIL → C7:M21" xr:uid="{9C1C06BD-A574-B641-92C2-B2B5A6180BAD}"/>
    <hyperlink ref="D32" location="ENROLLMENT_HEADCOUNT!D33" display="ENROLLMENT_HEADCOUNT → D33:D46" xr:uid="{8D265A8D-087E-B84A-B1D4-343DA071232A}"/>
    <hyperlink ref="D33" location="ENROLLMENT_HEADCOUNT!H32" display="ENROLLMENT_HEADCOUNT → H32:H46" xr:uid="{D64249E7-AC1A-8C42-B647-F24CB743B2E6}"/>
    <hyperlink ref="D34" location="ENROLLMENT_HEADCOUNT!K6" display="ENROLLMENT_HEADCOUNT → K6:K20" xr:uid="{248C5D26-8572-4A4C-B13B-9EFE439D5361}"/>
    <hyperlink ref="D36" location="HISTORICAL!C5" display="HISTORICAL → C5:G19" xr:uid="{8AD30D1E-8D5B-1E4D-8D8D-9900B67BE138}"/>
    <hyperlink ref="D38" location="CLASS_CAPACITY!D5" display="CLASS_CAPACITY → D5:D19" xr:uid="{D7CBDDF0-342C-0948-9CD9-21FBB94DA3E7}"/>
    <hyperlink ref="D40" location="OTHER_REVENUES!D13" display="OTHER_REVENUES → D13:O41" xr:uid="{28CC66F4-ACDB-964F-9DDC-742052CA1C9C}"/>
    <hyperlink ref="D42" location="SCENARIOS!B5" display="SCENARIOS → B5:D9" xr:uid="{5EB9F193-2DE8-C247-B19E-A6AE1FED57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5F7C"/>
  </sheetPr>
  <dimension ref="A1:E61"/>
  <sheetViews>
    <sheetView showGridLines="0" topLeftCell="A2" workbookViewId="0">
      <pane xSplit="1" ySplit="1" topLeftCell="B3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8.83203125" defaultRowHeight="15" x14ac:dyDescent="0.2"/>
  <cols>
    <col min="1" max="1" width="36.6640625" customWidth="1"/>
    <col min="2" max="2" width="16.6640625" customWidth="1"/>
    <col min="3" max="3" width="33.33203125" customWidth="1"/>
    <col min="4" max="4" width="16.6640625" customWidth="1"/>
    <col min="5" max="5" width="14.1640625" customWidth="1"/>
  </cols>
  <sheetData>
    <row r="1" spans="1:5" s="1" customFormat="1" ht="30" customHeight="1" x14ac:dyDescent="0.25">
      <c r="A1" s="28" t="s">
        <v>0</v>
      </c>
      <c r="B1" s="28"/>
      <c r="C1" s="28"/>
      <c r="D1" s="28"/>
      <c r="E1" s="28"/>
    </row>
    <row r="2" spans="1:5" ht="6" customHeight="1" x14ac:dyDescent="0.2">
      <c r="A2" s="29"/>
      <c r="B2" s="29"/>
      <c r="C2" s="29"/>
      <c r="D2" s="29"/>
      <c r="E2" s="29"/>
    </row>
    <row r="3" spans="1:5" ht="22" customHeight="1" x14ac:dyDescent="0.2">
      <c r="A3" s="30" t="s">
        <v>1</v>
      </c>
      <c r="B3" s="51"/>
      <c r="C3" s="32"/>
      <c r="D3" s="33"/>
      <c r="E3" s="33"/>
    </row>
    <row r="4" spans="1:5" ht="18" customHeight="1" x14ac:dyDescent="0.2">
      <c r="A4" s="34" t="s">
        <v>2</v>
      </c>
      <c r="B4" s="421">
        <v>2026</v>
      </c>
      <c r="C4" s="29" t="s">
        <v>3</v>
      </c>
      <c r="D4" s="29"/>
      <c r="E4" s="29"/>
    </row>
    <row r="5" spans="1:5" ht="18" customHeight="1" x14ac:dyDescent="0.2">
      <c r="A5" s="35" t="s">
        <v>4</v>
      </c>
      <c r="B5" s="418" t="s">
        <v>5</v>
      </c>
      <c r="C5" s="36" t="s">
        <v>6</v>
      </c>
      <c r="D5" s="37"/>
      <c r="E5" s="37"/>
    </row>
    <row r="6" spans="1:5" ht="18" customHeight="1" x14ac:dyDescent="0.2">
      <c r="A6" s="38" t="s">
        <v>7</v>
      </c>
      <c r="B6" s="419" t="s">
        <v>8</v>
      </c>
      <c r="C6" s="39" t="s">
        <v>9</v>
      </c>
      <c r="D6" s="29"/>
      <c r="E6" s="29"/>
    </row>
    <row r="7" spans="1:5" ht="18" customHeight="1" x14ac:dyDescent="0.2">
      <c r="A7" s="35" t="s">
        <v>10</v>
      </c>
      <c r="B7" s="53">
        <v>6</v>
      </c>
      <c r="C7" s="36" t="s">
        <v>11</v>
      </c>
      <c r="D7" s="37"/>
      <c r="E7" s="37"/>
    </row>
    <row r="8" spans="1:5" ht="18" customHeight="1" x14ac:dyDescent="0.2">
      <c r="A8" s="38" t="s">
        <v>12</v>
      </c>
      <c r="B8" s="54">
        <v>4</v>
      </c>
      <c r="C8" s="39" t="s">
        <v>13</v>
      </c>
      <c r="D8" s="29"/>
      <c r="E8" s="29"/>
    </row>
    <row r="9" spans="1:5" ht="18" customHeight="1" x14ac:dyDescent="0.2">
      <c r="A9" s="35" t="s">
        <v>14</v>
      </c>
      <c r="B9" s="55">
        <v>10</v>
      </c>
      <c r="C9" s="36" t="s">
        <v>15</v>
      </c>
      <c r="D9" s="37"/>
      <c r="E9" s="37"/>
    </row>
    <row r="10" spans="1:5" ht="18" customHeight="1" x14ac:dyDescent="0.2">
      <c r="A10" s="40" t="s">
        <v>16</v>
      </c>
      <c r="B10" s="420" t="s">
        <v>17</v>
      </c>
      <c r="C10" s="41" t="s">
        <v>18</v>
      </c>
      <c r="D10" s="29"/>
      <c r="E10" s="29"/>
    </row>
    <row r="11" spans="1:5" ht="6" customHeight="1" x14ac:dyDescent="0.2">
      <c r="A11" s="29"/>
      <c r="B11" s="57"/>
      <c r="C11" s="29"/>
      <c r="D11" s="29"/>
      <c r="E11" s="29"/>
    </row>
    <row r="12" spans="1:5" ht="22" customHeight="1" x14ac:dyDescent="0.2">
      <c r="A12" s="30" t="s">
        <v>19</v>
      </c>
      <c r="B12" s="51"/>
      <c r="C12" s="32"/>
      <c r="D12" s="33"/>
      <c r="E12" s="33"/>
    </row>
    <row r="13" spans="1:5" ht="18" customHeight="1" x14ac:dyDescent="0.2">
      <c r="A13" s="34" t="s">
        <v>20</v>
      </c>
      <c r="B13" s="414">
        <v>0.15</v>
      </c>
      <c r="C13" s="29" t="s">
        <v>21</v>
      </c>
      <c r="D13" s="29"/>
      <c r="E13" s="29"/>
    </row>
    <row r="14" spans="1:5" ht="18" customHeight="1" x14ac:dyDescent="0.2">
      <c r="A14" s="35" t="s">
        <v>22</v>
      </c>
      <c r="B14" s="418" t="s">
        <v>23</v>
      </c>
      <c r="C14" s="36" t="s">
        <v>24</v>
      </c>
      <c r="D14" s="37"/>
      <c r="E14" s="37"/>
    </row>
    <row r="15" spans="1:5" ht="18" customHeight="1" x14ac:dyDescent="0.2">
      <c r="A15" s="38" t="s">
        <v>25</v>
      </c>
      <c r="B15" s="415">
        <v>0.75</v>
      </c>
      <c r="C15" s="39" t="s">
        <v>26</v>
      </c>
      <c r="D15" s="29"/>
      <c r="E15" s="29"/>
    </row>
    <row r="16" spans="1:5" ht="18" customHeight="1" x14ac:dyDescent="0.2">
      <c r="A16" s="42" t="s">
        <v>27</v>
      </c>
      <c r="B16" s="416">
        <v>0.75</v>
      </c>
      <c r="C16" s="43" t="s">
        <v>28</v>
      </c>
      <c r="D16" s="37"/>
      <c r="E16" s="37"/>
    </row>
    <row r="17" spans="1:5" ht="6" customHeight="1" x14ac:dyDescent="0.2">
      <c r="A17" s="29"/>
      <c r="B17" s="57"/>
      <c r="C17" s="29"/>
      <c r="D17" s="29"/>
      <c r="E17" s="29"/>
    </row>
    <row r="18" spans="1:5" ht="22" customHeight="1" x14ac:dyDescent="0.2">
      <c r="A18" s="30" t="s">
        <v>29</v>
      </c>
      <c r="B18" s="51"/>
      <c r="C18" s="32"/>
      <c r="D18" s="33"/>
      <c r="E18" s="33"/>
    </row>
    <row r="19" spans="1:5" ht="18" customHeight="1" x14ac:dyDescent="0.2">
      <c r="A19" s="40" t="s">
        <v>323</v>
      </c>
      <c r="B19" s="56" cm="1">
        <f t="array" ref="B19">ENROLLMENT_HEADCOUNT!I32+SUMPRODUCT((ENROLLMENT_HEADCOUNT!I33:I46-ENROLLMENT_HEADCOUNT!E33:E46)*(ENROLLMENT_HEADCOUNT!I33:I46&gt;ENROLLMENT_HEADCOUNT!E33:E46))</f>
        <v>223</v>
      </c>
      <c r="C19" s="41" t="s">
        <v>324</v>
      </c>
      <c r="D19" s="29"/>
      <c r="E19" s="29"/>
    </row>
    <row r="20" spans="1:5" ht="22" customHeight="1" x14ac:dyDescent="0.2">
      <c r="A20" s="30" t="s">
        <v>325</v>
      </c>
      <c r="B20" s="51"/>
      <c r="C20" s="33"/>
      <c r="D20" s="33"/>
      <c r="E20" s="33"/>
    </row>
    <row r="21" spans="1:5" ht="18" customHeight="1" x14ac:dyDescent="0.2">
      <c r="A21" s="34" t="s">
        <v>326</v>
      </c>
      <c r="B21" s="59">
        <f>ROUND(B19*ENROLLMENT_DETAIL!$F$56/ENROLLMENT_DETAIL!$O$56,0)</f>
        <v>76</v>
      </c>
      <c r="C21" s="29" t="s">
        <v>327</v>
      </c>
      <c r="D21" s="29"/>
      <c r="E21" s="29"/>
    </row>
    <row r="22" spans="1:5" ht="18" customHeight="1" x14ac:dyDescent="0.2">
      <c r="A22" s="35" t="s">
        <v>328</v>
      </c>
      <c r="B22" s="60">
        <f>ROUND(B19*ENROLLMENT_DETAIL!$J$56/ENROLLMENT_DETAIL!$O$56,0)</f>
        <v>5</v>
      </c>
      <c r="C22" s="36" t="s">
        <v>329</v>
      </c>
      <c r="D22" s="37"/>
      <c r="E22" s="37"/>
    </row>
    <row r="23" spans="1:5" ht="18" customHeight="1" x14ac:dyDescent="0.2">
      <c r="A23" s="38" t="s">
        <v>330</v>
      </c>
      <c r="B23" s="61">
        <f>B19-B21-B22</f>
        <v>142</v>
      </c>
      <c r="C23" s="39" t="s">
        <v>331</v>
      </c>
      <c r="D23" s="29"/>
      <c r="E23" s="29"/>
    </row>
    <row r="24" spans="1:5" ht="18" customHeight="1" x14ac:dyDescent="0.2">
      <c r="A24" s="35" t="s">
        <v>332</v>
      </c>
      <c r="B24" s="60">
        <f>B21+B22+B23</f>
        <v>223</v>
      </c>
      <c r="C24" s="36" t="s">
        <v>333</v>
      </c>
      <c r="D24" s="37"/>
      <c r="E24" s="37"/>
    </row>
    <row r="25" spans="1:5" ht="6" customHeight="1" x14ac:dyDescent="0.2">
      <c r="A25" s="44"/>
      <c r="B25" s="62"/>
      <c r="C25" s="41"/>
      <c r="D25" s="29"/>
      <c r="E25" s="29"/>
    </row>
    <row r="26" spans="1:5" ht="22" customHeight="1" x14ac:dyDescent="0.2">
      <c r="A26" s="30" t="s">
        <v>334</v>
      </c>
      <c r="B26" s="51"/>
      <c r="C26" s="33"/>
      <c r="D26" s="33"/>
      <c r="E26" s="33"/>
    </row>
    <row r="27" spans="1:5" ht="18" customHeight="1" x14ac:dyDescent="0.2">
      <c r="A27" s="34" t="s">
        <v>335</v>
      </c>
      <c r="B27" s="59">
        <f>ROUND(B19*(ENROLLMENT_DETAIL!$O$51+ENROLLMENT_DETAIL!$O$52)/ENROLLMENT_DETAIL!$O$56,0)</f>
        <v>34</v>
      </c>
      <c r="C27" s="29" t="s">
        <v>336</v>
      </c>
      <c r="D27" s="29"/>
      <c r="E27" s="29"/>
    </row>
    <row r="28" spans="1:5" ht="18" customHeight="1" x14ac:dyDescent="0.2">
      <c r="A28" s="35" t="s">
        <v>337</v>
      </c>
      <c r="B28" s="60">
        <f>ROUND(B19*ENROLLMENT_DETAIL!$O$53/ENROLLMENT_DETAIL!$O$56,0)</f>
        <v>79</v>
      </c>
      <c r="C28" s="36" t="s">
        <v>338</v>
      </c>
      <c r="D28" s="37"/>
      <c r="E28" s="37"/>
    </row>
    <row r="29" spans="1:5" ht="18" customHeight="1" x14ac:dyDescent="0.2">
      <c r="A29" s="38" t="s">
        <v>339</v>
      </c>
      <c r="B29" s="61">
        <f>B19-B27-B28</f>
        <v>110</v>
      </c>
      <c r="C29" s="39" t="s">
        <v>340</v>
      </c>
      <c r="D29" s="29"/>
      <c r="E29" s="29"/>
    </row>
    <row r="30" spans="1:5" ht="6" customHeight="1" x14ac:dyDescent="0.2">
      <c r="A30" s="44"/>
      <c r="B30" s="62"/>
      <c r="C30" s="41"/>
      <c r="D30" s="29"/>
      <c r="E30" s="29"/>
    </row>
    <row r="31" spans="1:5" ht="22" customHeight="1" x14ac:dyDescent="0.2">
      <c r="A31" s="30" t="s">
        <v>341</v>
      </c>
      <c r="B31" s="51"/>
      <c r="C31" s="33"/>
      <c r="D31" s="33"/>
      <c r="E31" s="33"/>
    </row>
    <row r="32" spans="1:5" ht="18" customHeight="1" x14ac:dyDescent="0.2">
      <c r="A32" s="34" t="s">
        <v>342</v>
      </c>
      <c r="B32" s="59">
        <f>FEE_GRID!$C$89</f>
        <v>2000.0000000000002</v>
      </c>
      <c r="C32" s="29" t="s">
        <v>343</v>
      </c>
      <c r="D32" s="29"/>
      <c r="E32" s="29"/>
    </row>
    <row r="33" spans="1:5" ht="18" customHeight="1" x14ac:dyDescent="0.2">
      <c r="A33" s="35" t="s">
        <v>344</v>
      </c>
      <c r="B33" s="60">
        <f>FEE_GRID!$C$96</f>
        <v>2000</v>
      </c>
      <c r="C33" s="36" t="s">
        <v>343</v>
      </c>
      <c r="D33" s="37"/>
      <c r="E33" s="37"/>
    </row>
    <row r="34" spans="1:5" ht="18" customHeight="1" x14ac:dyDescent="0.2">
      <c r="A34" s="40" t="s">
        <v>30</v>
      </c>
      <c r="B34" s="63">
        <f>B28*FEE_GRID!$C$90+B29*FEE_GRID!$C$91</f>
        <v>48800</v>
      </c>
      <c r="C34" s="41" t="s">
        <v>345</v>
      </c>
      <c r="D34" s="29"/>
      <c r="E34" s="29"/>
    </row>
    <row r="35" spans="1:5" ht="6" customHeight="1" x14ac:dyDescent="0.2">
      <c r="A35" s="29"/>
      <c r="B35" s="57"/>
      <c r="C35" s="29"/>
      <c r="D35" s="29"/>
      <c r="E35" s="29"/>
    </row>
    <row r="36" spans="1:5" ht="22" customHeight="1" x14ac:dyDescent="0.2">
      <c r="A36" s="30" t="s">
        <v>31</v>
      </c>
      <c r="B36" s="51"/>
      <c r="C36" s="32"/>
      <c r="D36" s="33"/>
      <c r="E36" s="33"/>
    </row>
    <row r="37" spans="1:5" ht="18" customHeight="1" x14ac:dyDescent="0.2">
      <c r="A37" s="34" t="s">
        <v>32</v>
      </c>
      <c r="B37" s="52">
        <v>123000</v>
      </c>
      <c r="C37" s="29" t="s">
        <v>33</v>
      </c>
      <c r="D37" s="29"/>
      <c r="E37" s="29"/>
    </row>
    <row r="38" spans="1:5" ht="18" customHeight="1" x14ac:dyDescent="0.2">
      <c r="A38" s="35" t="s">
        <v>34</v>
      </c>
      <c r="B38" s="53">
        <v>3000</v>
      </c>
      <c r="C38" s="36" t="s">
        <v>35</v>
      </c>
      <c r="D38" s="37"/>
      <c r="E38" s="37"/>
    </row>
    <row r="39" spans="1:5" ht="18" customHeight="1" x14ac:dyDescent="0.2">
      <c r="A39" s="40" t="s">
        <v>36</v>
      </c>
      <c r="B39" s="64">
        <v>52800</v>
      </c>
      <c r="C39" s="41" t="s">
        <v>37</v>
      </c>
      <c r="D39" s="29"/>
      <c r="E39" s="29"/>
    </row>
    <row r="40" spans="1:5" ht="6" customHeight="1" x14ac:dyDescent="0.2">
      <c r="A40" s="29"/>
      <c r="B40" s="57"/>
      <c r="C40" s="29"/>
      <c r="D40" s="29"/>
      <c r="E40" s="29"/>
    </row>
    <row r="41" spans="1:5" ht="22" customHeight="1" x14ac:dyDescent="0.2">
      <c r="A41" s="30" t="s">
        <v>38</v>
      </c>
      <c r="B41" s="51"/>
      <c r="C41" s="32"/>
      <c r="D41" s="45" t="s">
        <v>366</v>
      </c>
      <c r="E41" s="45" t="s">
        <v>293</v>
      </c>
    </row>
    <row r="42" spans="1:5" ht="18" customHeight="1" x14ac:dyDescent="0.2">
      <c r="A42" s="34" t="s">
        <v>363</v>
      </c>
      <c r="B42" s="59">
        <f>ROUND(D42*E42,0)</f>
        <v>222000</v>
      </c>
      <c r="C42" s="29" t="s">
        <v>367</v>
      </c>
      <c r="D42" s="46">
        <v>2000</v>
      </c>
      <c r="E42" s="47">
        <f>ENROLLMENT_HEADCOUNT!F20</f>
        <v>111</v>
      </c>
    </row>
    <row r="43" spans="1:5" ht="18" customHeight="1" x14ac:dyDescent="0.2">
      <c r="A43" s="35" t="s">
        <v>364</v>
      </c>
      <c r="B43" s="60">
        <f>ROUND(D43*E43,0)</f>
        <v>61800</v>
      </c>
      <c r="C43" s="36" t="s">
        <v>368</v>
      </c>
      <c r="D43" s="48">
        <v>600</v>
      </c>
      <c r="E43" s="49">
        <f>ENROLLMENT_HEADCOUNT!F17</f>
        <v>103</v>
      </c>
    </row>
    <row r="44" spans="1:5" ht="18" customHeight="1" x14ac:dyDescent="0.2">
      <c r="A44" s="38" t="s">
        <v>365</v>
      </c>
      <c r="B44" s="61">
        <f>ROUND(D44*E44,0)</f>
        <v>96000</v>
      </c>
      <c r="C44" s="39" t="s">
        <v>369</v>
      </c>
      <c r="D44" s="46">
        <v>800</v>
      </c>
      <c r="E44" s="47">
        <f>ENROLLMENT_HEADCOUNT!F19</f>
        <v>120</v>
      </c>
    </row>
    <row r="45" spans="1:5" ht="18" customHeight="1" x14ac:dyDescent="0.2">
      <c r="A45" s="42" t="s">
        <v>39</v>
      </c>
      <c r="B45" s="65">
        <v>15000</v>
      </c>
      <c r="C45" s="43" t="s">
        <v>40</v>
      </c>
      <c r="D45" s="37"/>
      <c r="E45" s="37"/>
    </row>
    <row r="46" spans="1:5" ht="6" customHeight="1" x14ac:dyDescent="0.2">
      <c r="A46" s="29"/>
      <c r="B46" s="57"/>
      <c r="C46" s="29"/>
      <c r="D46" s="29"/>
      <c r="E46" s="29"/>
    </row>
    <row r="47" spans="1:5" ht="6" customHeight="1" x14ac:dyDescent="0.2">
      <c r="A47" s="29"/>
      <c r="B47" s="57"/>
      <c r="C47" s="29"/>
      <c r="D47" s="29"/>
      <c r="E47" s="29"/>
    </row>
    <row r="48" spans="1:5" ht="6" customHeight="1" x14ac:dyDescent="0.2">
      <c r="A48" s="29"/>
      <c r="B48" s="57"/>
      <c r="C48" s="29"/>
      <c r="D48" s="29"/>
      <c r="E48" s="29"/>
    </row>
    <row r="49" spans="1:5" ht="22" customHeight="1" x14ac:dyDescent="0.2">
      <c r="A49" s="30" t="s">
        <v>43</v>
      </c>
      <c r="B49" s="51"/>
      <c r="C49" s="32"/>
      <c r="D49" s="33"/>
      <c r="E49" s="33"/>
    </row>
    <row r="50" spans="1:5" ht="18" customHeight="1" x14ac:dyDescent="0.2">
      <c r="A50" s="34" t="s">
        <v>44</v>
      </c>
      <c r="B50" s="52">
        <v>151906</v>
      </c>
      <c r="C50" s="29" t="s">
        <v>41</v>
      </c>
      <c r="D50" s="29"/>
      <c r="E50" s="29"/>
    </row>
    <row r="51" spans="1:5" ht="18" customHeight="1" x14ac:dyDescent="0.2">
      <c r="A51" s="42" t="s">
        <v>45</v>
      </c>
      <c r="B51" s="58">
        <v>177600</v>
      </c>
      <c r="C51" s="43" t="s">
        <v>41</v>
      </c>
      <c r="D51" s="37"/>
      <c r="E51" s="37"/>
    </row>
    <row r="52" spans="1:5" ht="6" customHeight="1" x14ac:dyDescent="0.2">
      <c r="A52" s="29"/>
      <c r="B52" s="57"/>
      <c r="C52" s="29"/>
      <c r="D52" s="29"/>
      <c r="E52" s="29"/>
    </row>
    <row r="53" spans="1:5" ht="22" customHeight="1" x14ac:dyDescent="0.2">
      <c r="A53" s="30" t="s">
        <v>46</v>
      </c>
      <c r="B53" s="51"/>
      <c r="C53" s="32"/>
      <c r="D53" s="33"/>
      <c r="E53" s="33"/>
    </row>
    <row r="54" spans="1:5" ht="18" customHeight="1" x14ac:dyDescent="0.2">
      <c r="A54" s="34" t="s">
        <v>47</v>
      </c>
      <c r="B54" s="52">
        <v>51230</v>
      </c>
      <c r="C54" s="29" t="s">
        <v>42</v>
      </c>
      <c r="D54" s="29"/>
      <c r="E54" s="29"/>
    </row>
    <row r="55" spans="1:5" ht="6" customHeight="1" x14ac:dyDescent="0.2">
      <c r="A55" s="29"/>
      <c r="B55" s="57"/>
      <c r="C55" s="29"/>
      <c r="D55" s="29"/>
      <c r="E55" s="29"/>
    </row>
    <row r="56" spans="1:5" ht="6" customHeight="1" x14ac:dyDescent="0.2">
      <c r="A56" s="29"/>
      <c r="B56" s="57"/>
      <c r="C56" s="29"/>
      <c r="D56" s="29"/>
      <c r="E56" s="29"/>
    </row>
    <row r="57" spans="1:5" ht="6" customHeight="1" x14ac:dyDescent="0.2">
      <c r="A57" s="29"/>
      <c r="B57" s="57"/>
      <c r="C57" s="29"/>
      <c r="D57" s="29"/>
      <c r="E57" s="29"/>
    </row>
    <row r="58" spans="1:5" ht="6" customHeight="1" x14ac:dyDescent="0.2">
      <c r="A58" s="29"/>
      <c r="B58" s="57"/>
      <c r="C58" s="29"/>
      <c r="D58" s="29"/>
      <c r="E58" s="29"/>
    </row>
    <row r="59" spans="1:5" ht="22" customHeight="1" x14ac:dyDescent="0.2">
      <c r="A59" s="30" t="s">
        <v>58</v>
      </c>
      <c r="B59" s="51"/>
      <c r="C59" s="32"/>
      <c r="D59" s="33"/>
      <c r="E59" s="33"/>
    </row>
    <row r="60" spans="1:5" ht="18" customHeight="1" x14ac:dyDescent="0.2">
      <c r="A60" s="34" t="s">
        <v>59</v>
      </c>
      <c r="B60" s="52">
        <v>64</v>
      </c>
      <c r="C60" s="29" t="s">
        <v>285</v>
      </c>
      <c r="D60" s="29"/>
      <c r="E60" s="29"/>
    </row>
    <row r="61" spans="1:5" ht="18" customHeight="1" x14ac:dyDescent="0.2">
      <c r="A61" s="50" t="s">
        <v>286</v>
      </c>
      <c r="B61" s="417">
        <v>0.8</v>
      </c>
      <c r="C61" s="43" t="s">
        <v>287</v>
      </c>
      <c r="D61" s="37"/>
      <c r="E61" s="37"/>
    </row>
  </sheetData>
  <mergeCells count="1">
    <mergeCell ref="A1:E1"/>
  </mergeCells>
  <dataValidations count="5">
    <dataValidation type="decimal" errorTitle="Invalid VAT Rate" error="VAT Rate must be between 0% and 50%" sqref="B13" xr:uid="{00000000-0002-0000-0000-000000000000}">
      <formula1>0</formula1>
      <formula2>0.5</formula2>
    </dataValidation>
    <dataValidation type="decimal" errorTitle="Invalid Discount" error="Discount rate must be between 0% and 100%" sqref="B15:B16" xr:uid="{00000000-0002-0000-0000-000001000000}">
      <formula1>0</formula1>
      <formula2>1</formula2>
    </dataValidation>
    <dataValidation type="decimal" operator="greaterThanOrEqual" errorTitle="Invalid Amount" error="Amount must be &gt;= 0 SAR" sqref="B34 B37 B38 B39 B42 B43 B44 B45 B50 B51 B54" xr:uid="{00000000-0002-0000-0000-000003000000}">
      <formula1>0</formula1>
    </dataValidation>
    <dataValidation type="whole" operator="greaterThanOrEqual" errorTitle="Invalid Count" error="Student count must be &gt;= 0" sqref="B19:B33" xr:uid="{00000000-0002-0000-0000-000004000000}">
      <formula1>0</formula1>
    </dataValidation>
    <dataValidation type="whole" operator="greaterThanOrEqual" errorTitle="Invalid PS Intake" error="PS intake must be &gt;= 0" sqref="B60" xr:uid="{00000000-0002-0000-0000-000008000000}">
      <formula1>0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F7C"/>
  </sheetPr>
  <dimension ref="A1:H105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8.83203125" defaultRowHeight="15" x14ac:dyDescent="0.2"/>
  <cols>
    <col min="1" max="1" width="30" customWidth="1"/>
    <col min="2" max="8" width="14.1640625" customWidth="1"/>
  </cols>
  <sheetData>
    <row r="1" spans="1:8" s="1" customFormat="1" ht="30" customHeight="1" thickBot="1" x14ac:dyDescent="0.3">
      <c r="A1" s="26" t="s">
        <v>77</v>
      </c>
      <c r="B1" s="26"/>
      <c r="C1" s="26"/>
      <c r="D1" s="26"/>
      <c r="E1" s="26"/>
      <c r="F1" s="26"/>
      <c r="G1" s="26"/>
      <c r="H1" s="26"/>
    </row>
    <row r="2" spans="1:8" ht="6" customHeight="1" thickTop="1" x14ac:dyDescent="0.2">
      <c r="A2" s="25"/>
      <c r="B2" s="25"/>
      <c r="C2" s="25"/>
      <c r="D2" s="25"/>
      <c r="E2" s="25"/>
      <c r="F2" s="25"/>
      <c r="G2" s="25"/>
      <c r="H2" s="25"/>
    </row>
    <row r="3" spans="1:8" ht="22" customHeight="1" x14ac:dyDescent="0.2">
      <c r="A3" s="30" t="s">
        <v>78</v>
      </c>
      <c r="B3" s="51"/>
      <c r="C3" s="102"/>
      <c r="D3" s="102"/>
      <c r="E3" s="102"/>
      <c r="F3" s="102"/>
      <c r="G3" s="102"/>
      <c r="H3" s="32"/>
    </row>
    <row r="4" spans="1:8" ht="20" customHeight="1" x14ac:dyDescent="0.2">
      <c r="A4" s="67" t="s">
        <v>79</v>
      </c>
      <c r="B4" s="103"/>
      <c r="C4" s="104"/>
      <c r="D4" s="104"/>
      <c r="E4" s="104"/>
      <c r="F4" s="104"/>
      <c r="G4" s="104"/>
      <c r="H4" s="68"/>
    </row>
    <row r="5" spans="1:8" ht="24" customHeight="1" x14ac:dyDescent="0.2">
      <c r="A5" s="69" t="s">
        <v>80</v>
      </c>
      <c r="B5" s="97" t="s">
        <v>81</v>
      </c>
      <c r="C5" s="97" t="s">
        <v>82</v>
      </c>
      <c r="D5" s="97" t="s">
        <v>83</v>
      </c>
      <c r="E5" s="97" t="s">
        <v>84</v>
      </c>
      <c r="F5" s="97" t="s">
        <v>85</v>
      </c>
      <c r="G5" s="97" t="s">
        <v>86</v>
      </c>
      <c r="H5" s="69" t="s">
        <v>87</v>
      </c>
    </row>
    <row r="6" spans="1:8" ht="18" customHeight="1" x14ac:dyDescent="0.2">
      <c r="A6" s="34" t="s">
        <v>51</v>
      </c>
      <c r="B6" s="105">
        <v>5000</v>
      </c>
      <c r="C6" s="106">
        <v>30000</v>
      </c>
      <c r="D6" s="107">
        <f>C6/(1+VAT_RATE)</f>
        <v>26086.956521739132</v>
      </c>
      <c r="E6" s="105">
        <v>12000</v>
      </c>
      <c r="F6" s="105">
        <v>9000</v>
      </c>
      <c r="G6" s="108">
        <v>9000</v>
      </c>
      <c r="H6" s="70" t="s">
        <v>88</v>
      </c>
    </row>
    <row r="7" spans="1:8" ht="18" customHeight="1" x14ac:dyDescent="0.2">
      <c r="A7" s="35" t="s">
        <v>52</v>
      </c>
      <c r="B7" s="109">
        <v>5000</v>
      </c>
      <c r="C7" s="53">
        <v>34500</v>
      </c>
      <c r="D7" s="110">
        <f>C7/(1+VAT_RATE)</f>
        <v>30000.000000000004</v>
      </c>
      <c r="E7" s="109">
        <v>13800</v>
      </c>
      <c r="F7" s="109">
        <v>10350</v>
      </c>
      <c r="G7" s="55">
        <v>10350</v>
      </c>
      <c r="H7" s="71" t="s">
        <v>88</v>
      </c>
    </row>
    <row r="8" spans="1:8" ht="18" customHeight="1" x14ac:dyDescent="0.2">
      <c r="A8" s="38" t="s">
        <v>53</v>
      </c>
      <c r="B8" s="111">
        <v>5000</v>
      </c>
      <c r="C8" s="54">
        <v>34500</v>
      </c>
      <c r="D8" s="112">
        <f>C8/(1+VAT_RATE)</f>
        <v>30000.000000000004</v>
      </c>
      <c r="E8" s="111">
        <v>13800</v>
      </c>
      <c r="F8" s="111">
        <v>10350</v>
      </c>
      <c r="G8" s="113">
        <v>10350</v>
      </c>
      <c r="H8" s="72" t="s">
        <v>88</v>
      </c>
    </row>
    <row r="9" spans="1:8" ht="18" customHeight="1" x14ac:dyDescent="0.2">
      <c r="A9" s="35" t="s">
        <v>54</v>
      </c>
      <c r="B9" s="109">
        <v>5000</v>
      </c>
      <c r="C9" s="53">
        <v>34500</v>
      </c>
      <c r="D9" s="110">
        <f>C9/(1+VAT_RATE)</f>
        <v>30000.000000000004</v>
      </c>
      <c r="E9" s="109">
        <v>13800</v>
      </c>
      <c r="F9" s="109">
        <v>10350</v>
      </c>
      <c r="G9" s="55">
        <v>10350</v>
      </c>
      <c r="H9" s="71" t="s">
        <v>88</v>
      </c>
    </row>
    <row r="10" spans="1:8" ht="18" customHeight="1" x14ac:dyDescent="0.2">
      <c r="A10" s="38" t="s">
        <v>55</v>
      </c>
      <c r="B10" s="114">
        <v>5000</v>
      </c>
      <c r="C10" s="64">
        <v>38500</v>
      </c>
      <c r="D10" s="112">
        <f>C10/(1+VAT_RATE)</f>
        <v>33478.260869565223</v>
      </c>
      <c r="E10" s="114">
        <v>15400</v>
      </c>
      <c r="F10" s="114">
        <v>11550</v>
      </c>
      <c r="G10" s="56">
        <v>11550</v>
      </c>
      <c r="H10" s="72" t="s">
        <v>88</v>
      </c>
    </row>
    <row r="11" spans="1:8" ht="6" customHeight="1" x14ac:dyDescent="0.2">
      <c r="A11" s="41"/>
      <c r="B11" s="115"/>
      <c r="C11" s="115"/>
      <c r="D11" s="116"/>
      <c r="E11" s="115"/>
      <c r="F11" s="115"/>
      <c r="G11" s="115"/>
      <c r="H11" s="41"/>
    </row>
    <row r="12" spans="1:8" ht="20" customHeight="1" x14ac:dyDescent="0.2">
      <c r="A12" s="67" t="s">
        <v>89</v>
      </c>
      <c r="B12" s="103"/>
      <c r="C12" s="104"/>
      <c r="D12" s="104"/>
      <c r="E12" s="104"/>
      <c r="F12" s="104"/>
      <c r="G12" s="104"/>
      <c r="H12" s="68"/>
    </row>
    <row r="13" spans="1:8" ht="24" customHeight="1" x14ac:dyDescent="0.2">
      <c r="A13" s="69" t="s">
        <v>80</v>
      </c>
      <c r="B13" s="97" t="s">
        <v>81</v>
      </c>
      <c r="C13" s="97" t="s">
        <v>82</v>
      </c>
      <c r="D13" s="97" t="s">
        <v>83</v>
      </c>
      <c r="E13" s="97" t="s">
        <v>84</v>
      </c>
      <c r="F13" s="97" t="s">
        <v>85</v>
      </c>
      <c r="G13" s="97" t="s">
        <v>86</v>
      </c>
      <c r="H13" s="69" t="s">
        <v>87</v>
      </c>
    </row>
    <row r="14" spans="1:8" ht="18" customHeight="1" x14ac:dyDescent="0.2">
      <c r="A14" s="34" t="s">
        <v>51</v>
      </c>
      <c r="B14" s="105">
        <v>4350</v>
      </c>
      <c r="C14" s="106">
        <v>34783</v>
      </c>
      <c r="D14" s="107">
        <f>C14</f>
        <v>34783</v>
      </c>
      <c r="E14" s="105">
        <v>13913</v>
      </c>
      <c r="F14" s="105">
        <v>10435</v>
      </c>
      <c r="G14" s="108">
        <v>10435</v>
      </c>
      <c r="H14" s="70" t="s">
        <v>90</v>
      </c>
    </row>
    <row r="15" spans="1:8" ht="18" customHeight="1" x14ac:dyDescent="0.2">
      <c r="A15" s="35" t="s">
        <v>52</v>
      </c>
      <c r="B15" s="109">
        <v>4350</v>
      </c>
      <c r="C15" s="53">
        <v>35650</v>
      </c>
      <c r="D15" s="110">
        <f>C15</f>
        <v>35650</v>
      </c>
      <c r="E15" s="109">
        <v>14260</v>
      </c>
      <c r="F15" s="109">
        <v>10695</v>
      </c>
      <c r="G15" s="55">
        <v>10695</v>
      </c>
      <c r="H15" s="71" t="s">
        <v>90</v>
      </c>
    </row>
    <row r="16" spans="1:8" ht="18" customHeight="1" x14ac:dyDescent="0.2">
      <c r="A16" s="38" t="s">
        <v>53</v>
      </c>
      <c r="B16" s="111">
        <v>4350</v>
      </c>
      <c r="C16" s="54">
        <v>35650</v>
      </c>
      <c r="D16" s="112">
        <f>C16</f>
        <v>35650</v>
      </c>
      <c r="E16" s="111">
        <v>14260</v>
      </c>
      <c r="F16" s="111">
        <v>10695</v>
      </c>
      <c r="G16" s="113">
        <v>10695</v>
      </c>
      <c r="H16" s="72" t="s">
        <v>90</v>
      </c>
    </row>
    <row r="17" spans="1:8" ht="18" customHeight="1" x14ac:dyDescent="0.2">
      <c r="A17" s="35" t="s">
        <v>54</v>
      </c>
      <c r="B17" s="109">
        <v>4350</v>
      </c>
      <c r="C17" s="53">
        <v>35650</v>
      </c>
      <c r="D17" s="110">
        <f>C17</f>
        <v>35650</v>
      </c>
      <c r="E17" s="109">
        <v>14260</v>
      </c>
      <c r="F17" s="109">
        <v>10695</v>
      </c>
      <c r="G17" s="55">
        <v>10695</v>
      </c>
      <c r="H17" s="71" t="s">
        <v>90</v>
      </c>
    </row>
    <row r="18" spans="1:8" ht="18" customHeight="1" x14ac:dyDescent="0.2">
      <c r="A18" s="38" t="s">
        <v>55</v>
      </c>
      <c r="B18" s="114">
        <v>4350</v>
      </c>
      <c r="C18" s="64">
        <v>40000</v>
      </c>
      <c r="D18" s="112">
        <f>C18</f>
        <v>40000</v>
      </c>
      <c r="E18" s="114">
        <v>16000</v>
      </c>
      <c r="F18" s="114">
        <v>12000</v>
      </c>
      <c r="G18" s="56">
        <v>12000</v>
      </c>
      <c r="H18" s="72" t="s">
        <v>90</v>
      </c>
    </row>
    <row r="19" spans="1:8" ht="6" customHeight="1" x14ac:dyDescent="0.2">
      <c r="A19" s="41"/>
      <c r="B19" s="115"/>
      <c r="C19" s="115"/>
      <c r="D19" s="116"/>
      <c r="E19" s="115"/>
      <c r="F19" s="115"/>
      <c r="G19" s="115"/>
      <c r="H19" s="41"/>
    </row>
    <row r="20" spans="1:8" ht="20" customHeight="1" x14ac:dyDescent="0.2">
      <c r="A20" s="67" t="s">
        <v>91</v>
      </c>
      <c r="B20" s="103"/>
      <c r="C20" s="104"/>
      <c r="D20" s="104"/>
      <c r="E20" s="104"/>
      <c r="F20" s="104"/>
      <c r="G20" s="104"/>
      <c r="H20" s="68"/>
    </row>
    <row r="21" spans="1:8" ht="24" customHeight="1" x14ac:dyDescent="0.2">
      <c r="A21" s="69" t="s">
        <v>80</v>
      </c>
      <c r="B21" s="97" t="s">
        <v>81</v>
      </c>
      <c r="C21" s="97" t="s">
        <v>82</v>
      </c>
      <c r="D21" s="97" t="s">
        <v>83</v>
      </c>
      <c r="E21" s="97" t="s">
        <v>84</v>
      </c>
      <c r="F21" s="97" t="s">
        <v>85</v>
      </c>
      <c r="G21" s="97" t="s">
        <v>86</v>
      </c>
      <c r="H21" s="69" t="s">
        <v>87</v>
      </c>
    </row>
    <row r="22" spans="1:8" ht="18" customHeight="1" x14ac:dyDescent="0.2">
      <c r="A22" s="34" t="s">
        <v>51</v>
      </c>
      <c r="B22" s="105">
        <v>5000</v>
      </c>
      <c r="C22" s="106">
        <v>40000</v>
      </c>
      <c r="D22" s="107">
        <f>C22/(1+VAT_RATE)</f>
        <v>34782.608695652176</v>
      </c>
      <c r="E22" s="105">
        <v>16000</v>
      </c>
      <c r="F22" s="105">
        <v>12000</v>
      </c>
      <c r="G22" s="108">
        <v>12000</v>
      </c>
      <c r="H22" s="70" t="s">
        <v>88</v>
      </c>
    </row>
    <row r="23" spans="1:8" ht="18" customHeight="1" x14ac:dyDescent="0.2">
      <c r="A23" s="35" t="s">
        <v>52</v>
      </c>
      <c r="B23" s="109">
        <v>5000</v>
      </c>
      <c r="C23" s="53">
        <v>41000</v>
      </c>
      <c r="D23" s="110">
        <f>C23/(1+VAT_RATE)</f>
        <v>35652.17391304348</v>
      </c>
      <c r="E23" s="109">
        <v>16400</v>
      </c>
      <c r="F23" s="109">
        <v>12300</v>
      </c>
      <c r="G23" s="55">
        <v>12300</v>
      </c>
      <c r="H23" s="71" t="s">
        <v>88</v>
      </c>
    </row>
    <row r="24" spans="1:8" ht="18" customHeight="1" x14ac:dyDescent="0.2">
      <c r="A24" s="38" t="s">
        <v>53</v>
      </c>
      <c r="B24" s="111">
        <v>5000</v>
      </c>
      <c r="C24" s="54">
        <v>41000</v>
      </c>
      <c r="D24" s="112">
        <f>C24/(1+VAT_RATE)</f>
        <v>35652.17391304348</v>
      </c>
      <c r="E24" s="111">
        <v>16400</v>
      </c>
      <c r="F24" s="111">
        <v>12300</v>
      </c>
      <c r="G24" s="113">
        <v>12300</v>
      </c>
      <c r="H24" s="72" t="s">
        <v>88</v>
      </c>
    </row>
    <row r="25" spans="1:8" ht="18" customHeight="1" x14ac:dyDescent="0.2">
      <c r="A25" s="35" t="s">
        <v>54</v>
      </c>
      <c r="B25" s="109">
        <v>5000</v>
      </c>
      <c r="C25" s="53">
        <v>41000</v>
      </c>
      <c r="D25" s="110">
        <f>C25/(1+VAT_RATE)</f>
        <v>35652.17391304348</v>
      </c>
      <c r="E25" s="109">
        <v>16400</v>
      </c>
      <c r="F25" s="109">
        <v>12300</v>
      </c>
      <c r="G25" s="55">
        <v>12300</v>
      </c>
      <c r="H25" s="71" t="s">
        <v>88</v>
      </c>
    </row>
    <row r="26" spans="1:8" ht="18" customHeight="1" x14ac:dyDescent="0.2">
      <c r="A26" s="38" t="s">
        <v>55</v>
      </c>
      <c r="B26" s="114">
        <v>5000</v>
      </c>
      <c r="C26" s="64">
        <v>46000</v>
      </c>
      <c r="D26" s="112">
        <f>C26/(1+VAT_RATE)</f>
        <v>40000</v>
      </c>
      <c r="E26" s="114">
        <v>18400</v>
      </c>
      <c r="F26" s="114">
        <v>13800</v>
      </c>
      <c r="G26" s="56">
        <v>13800</v>
      </c>
      <c r="H26" s="72" t="s">
        <v>88</v>
      </c>
    </row>
    <row r="27" spans="1:8" ht="6" customHeight="1" x14ac:dyDescent="0.2">
      <c r="A27" s="39"/>
      <c r="B27" s="57"/>
      <c r="C27" s="117"/>
      <c r="D27" s="112"/>
      <c r="E27" s="57"/>
      <c r="F27" s="57"/>
      <c r="G27" s="57"/>
      <c r="H27" s="39"/>
    </row>
    <row r="28" spans="1:8" ht="6" customHeight="1" x14ac:dyDescent="0.2">
      <c r="A28" s="41"/>
      <c r="B28" s="116"/>
      <c r="C28" s="116"/>
      <c r="D28" s="116"/>
      <c r="E28" s="116"/>
      <c r="F28" s="116"/>
      <c r="G28" s="116"/>
      <c r="H28" s="41"/>
    </row>
    <row r="29" spans="1:8" ht="22" customHeight="1" x14ac:dyDescent="0.2">
      <c r="A29" s="30" t="s">
        <v>92</v>
      </c>
      <c r="B29" s="51"/>
      <c r="C29" s="102"/>
      <c r="D29" s="102"/>
      <c r="E29" s="102"/>
      <c r="F29" s="102"/>
      <c r="G29" s="102"/>
      <c r="H29" s="32"/>
    </row>
    <row r="30" spans="1:8" ht="20" customHeight="1" x14ac:dyDescent="0.2">
      <c r="A30" s="67" t="s">
        <v>79</v>
      </c>
      <c r="B30" s="103"/>
      <c r="C30" s="104"/>
      <c r="D30" s="104"/>
      <c r="E30" s="104"/>
      <c r="F30" s="104"/>
      <c r="G30" s="104"/>
      <c r="H30" s="68"/>
    </row>
    <row r="31" spans="1:8" ht="24" customHeight="1" x14ac:dyDescent="0.2">
      <c r="A31" s="69" t="s">
        <v>80</v>
      </c>
      <c r="B31" s="97" t="s">
        <v>81</v>
      </c>
      <c r="C31" s="97" t="s">
        <v>82</v>
      </c>
      <c r="D31" s="97" t="s">
        <v>83</v>
      </c>
      <c r="E31" s="97" t="s">
        <v>84</v>
      </c>
      <c r="F31" s="97" t="s">
        <v>85</v>
      </c>
      <c r="G31" s="97" t="s">
        <v>86</v>
      </c>
      <c r="H31" s="69" t="s">
        <v>87</v>
      </c>
    </row>
    <row r="32" spans="1:8" ht="18" customHeight="1" x14ac:dyDescent="0.2">
      <c r="A32" s="34" t="s">
        <v>51</v>
      </c>
      <c r="B32" s="105">
        <v>5000</v>
      </c>
      <c r="C32" s="106">
        <v>30000</v>
      </c>
      <c r="D32" s="107">
        <f>C32/(1+VAT_RATE)</f>
        <v>26086.956521739132</v>
      </c>
      <c r="E32" s="105">
        <v>12000</v>
      </c>
      <c r="F32" s="105">
        <v>9000</v>
      </c>
      <c r="G32" s="108">
        <v>9000</v>
      </c>
      <c r="H32" s="70" t="s">
        <v>88</v>
      </c>
    </row>
    <row r="33" spans="1:8" ht="18" customHeight="1" x14ac:dyDescent="0.2">
      <c r="A33" s="35" t="s">
        <v>52</v>
      </c>
      <c r="B33" s="109">
        <v>5000</v>
      </c>
      <c r="C33" s="53">
        <v>35500</v>
      </c>
      <c r="D33" s="110">
        <f>C33/(1+VAT_RATE)</f>
        <v>30869.565217391308</v>
      </c>
      <c r="E33" s="109">
        <v>14200</v>
      </c>
      <c r="F33" s="109">
        <v>10650</v>
      </c>
      <c r="G33" s="55">
        <v>10650</v>
      </c>
      <c r="H33" s="71" t="s">
        <v>88</v>
      </c>
    </row>
    <row r="34" spans="1:8" ht="18" customHeight="1" x14ac:dyDescent="0.2">
      <c r="A34" s="38" t="s">
        <v>53</v>
      </c>
      <c r="B34" s="111">
        <v>5000</v>
      </c>
      <c r="C34" s="54">
        <v>36000</v>
      </c>
      <c r="D34" s="112">
        <f>C34/(1+VAT_RATE)</f>
        <v>31304.34782608696</v>
      </c>
      <c r="E34" s="111">
        <v>14400</v>
      </c>
      <c r="F34" s="111">
        <v>10800</v>
      </c>
      <c r="G34" s="113">
        <v>10800</v>
      </c>
      <c r="H34" s="72" t="s">
        <v>88</v>
      </c>
    </row>
    <row r="35" spans="1:8" ht="18" customHeight="1" x14ac:dyDescent="0.2">
      <c r="A35" s="35" t="s">
        <v>54</v>
      </c>
      <c r="B35" s="109">
        <v>5000</v>
      </c>
      <c r="C35" s="53">
        <v>36500</v>
      </c>
      <c r="D35" s="110">
        <f>C35/(1+VAT_RATE)</f>
        <v>31739.130434782612</v>
      </c>
      <c r="E35" s="109">
        <v>14600</v>
      </c>
      <c r="F35" s="109">
        <v>10950</v>
      </c>
      <c r="G35" s="55">
        <v>10950</v>
      </c>
      <c r="H35" s="71" t="s">
        <v>88</v>
      </c>
    </row>
    <row r="36" spans="1:8" ht="18" customHeight="1" x14ac:dyDescent="0.2">
      <c r="A36" s="38" t="s">
        <v>55</v>
      </c>
      <c r="B36" s="114">
        <v>5000</v>
      </c>
      <c r="C36" s="64">
        <v>40800</v>
      </c>
      <c r="D36" s="112">
        <f>C36/(1+VAT_RATE)</f>
        <v>35478.260869565223</v>
      </c>
      <c r="E36" s="114">
        <v>16320</v>
      </c>
      <c r="F36" s="114">
        <v>12240</v>
      </c>
      <c r="G36" s="56">
        <v>12240</v>
      </c>
      <c r="H36" s="72" t="s">
        <v>88</v>
      </c>
    </row>
    <row r="37" spans="1:8" ht="6" customHeight="1" x14ac:dyDescent="0.2">
      <c r="A37" s="41"/>
      <c r="B37" s="115"/>
      <c r="C37" s="118"/>
      <c r="D37" s="116"/>
      <c r="E37" s="115"/>
      <c r="F37" s="115"/>
      <c r="G37" s="115"/>
      <c r="H37" s="41"/>
    </row>
    <row r="38" spans="1:8" ht="20" customHeight="1" x14ac:dyDescent="0.2">
      <c r="A38" s="67" t="s">
        <v>89</v>
      </c>
      <c r="B38" s="103"/>
      <c r="C38" s="104"/>
      <c r="D38" s="104"/>
      <c r="E38" s="104"/>
      <c r="F38" s="104"/>
      <c r="G38" s="104"/>
      <c r="H38" s="68"/>
    </row>
    <row r="39" spans="1:8" ht="24" customHeight="1" x14ac:dyDescent="0.2">
      <c r="A39" s="69" t="s">
        <v>80</v>
      </c>
      <c r="B39" s="97" t="s">
        <v>81</v>
      </c>
      <c r="C39" s="97" t="s">
        <v>82</v>
      </c>
      <c r="D39" s="97" t="s">
        <v>83</v>
      </c>
      <c r="E39" s="97" t="s">
        <v>84</v>
      </c>
      <c r="F39" s="97" t="s">
        <v>85</v>
      </c>
      <c r="G39" s="97" t="s">
        <v>86</v>
      </c>
      <c r="H39" s="69" t="s">
        <v>87</v>
      </c>
    </row>
    <row r="40" spans="1:8" ht="18" customHeight="1" x14ac:dyDescent="0.2">
      <c r="A40" s="34" t="s">
        <v>51</v>
      </c>
      <c r="B40" s="105">
        <v>4350</v>
      </c>
      <c r="C40" s="106">
        <v>34783</v>
      </c>
      <c r="D40" s="107">
        <f>C40</f>
        <v>34783</v>
      </c>
      <c r="E40" s="105">
        <v>13913</v>
      </c>
      <c r="F40" s="105">
        <v>10435</v>
      </c>
      <c r="G40" s="108">
        <v>10435</v>
      </c>
      <c r="H40" s="70" t="s">
        <v>90</v>
      </c>
    </row>
    <row r="41" spans="1:8" ht="18" customHeight="1" x14ac:dyDescent="0.2">
      <c r="A41" s="35" t="s">
        <v>52</v>
      </c>
      <c r="B41" s="109">
        <v>4350</v>
      </c>
      <c r="C41" s="53">
        <v>36650</v>
      </c>
      <c r="D41" s="110">
        <f>C41</f>
        <v>36650</v>
      </c>
      <c r="E41" s="109">
        <v>14660</v>
      </c>
      <c r="F41" s="109">
        <v>10995</v>
      </c>
      <c r="G41" s="55">
        <v>10995</v>
      </c>
      <c r="H41" s="71" t="s">
        <v>90</v>
      </c>
    </row>
    <row r="42" spans="1:8" ht="18" customHeight="1" x14ac:dyDescent="0.2">
      <c r="A42" s="38" t="s">
        <v>53</v>
      </c>
      <c r="B42" s="111">
        <v>4350</v>
      </c>
      <c r="C42" s="54">
        <v>36650</v>
      </c>
      <c r="D42" s="112">
        <f>C42</f>
        <v>36650</v>
      </c>
      <c r="E42" s="111">
        <v>14660</v>
      </c>
      <c r="F42" s="111">
        <v>10995</v>
      </c>
      <c r="G42" s="113">
        <v>10995</v>
      </c>
      <c r="H42" s="72" t="s">
        <v>90</v>
      </c>
    </row>
    <row r="43" spans="1:8" ht="18" customHeight="1" x14ac:dyDescent="0.2">
      <c r="A43" s="35" t="s">
        <v>54</v>
      </c>
      <c r="B43" s="109">
        <v>4350</v>
      </c>
      <c r="C43" s="53">
        <v>36650</v>
      </c>
      <c r="D43" s="110">
        <f>C43</f>
        <v>36650</v>
      </c>
      <c r="E43" s="109">
        <v>14660</v>
      </c>
      <c r="F43" s="109">
        <v>10995</v>
      </c>
      <c r="G43" s="55">
        <v>10995</v>
      </c>
      <c r="H43" s="71" t="s">
        <v>90</v>
      </c>
    </row>
    <row r="44" spans="1:8" ht="18" customHeight="1" x14ac:dyDescent="0.2">
      <c r="A44" s="38" t="s">
        <v>55</v>
      </c>
      <c r="B44" s="114">
        <v>4350</v>
      </c>
      <c r="C44" s="64">
        <v>41000</v>
      </c>
      <c r="D44" s="112">
        <f>C44</f>
        <v>41000</v>
      </c>
      <c r="E44" s="114">
        <v>16400</v>
      </c>
      <c r="F44" s="114">
        <v>12300</v>
      </c>
      <c r="G44" s="56">
        <v>12300</v>
      </c>
      <c r="H44" s="72" t="s">
        <v>90</v>
      </c>
    </row>
    <row r="45" spans="1:8" ht="6" customHeight="1" x14ac:dyDescent="0.2">
      <c r="A45" s="41"/>
      <c r="B45" s="115"/>
      <c r="C45" s="115"/>
      <c r="D45" s="116"/>
      <c r="E45" s="115"/>
      <c r="F45" s="115"/>
      <c r="G45" s="115"/>
      <c r="H45" s="41"/>
    </row>
    <row r="46" spans="1:8" ht="20" customHeight="1" x14ac:dyDescent="0.2">
      <c r="A46" s="67" t="s">
        <v>91</v>
      </c>
      <c r="B46" s="103"/>
      <c r="C46" s="104"/>
      <c r="D46" s="104"/>
      <c r="E46" s="104"/>
      <c r="F46" s="104"/>
      <c r="G46" s="104"/>
      <c r="H46" s="68"/>
    </row>
    <row r="47" spans="1:8" ht="24" customHeight="1" x14ac:dyDescent="0.2">
      <c r="A47" s="69" t="s">
        <v>80</v>
      </c>
      <c r="B47" s="97" t="s">
        <v>81</v>
      </c>
      <c r="C47" s="97" t="s">
        <v>82</v>
      </c>
      <c r="D47" s="97" t="s">
        <v>83</v>
      </c>
      <c r="E47" s="97" t="s">
        <v>84</v>
      </c>
      <c r="F47" s="97" t="s">
        <v>85</v>
      </c>
      <c r="G47" s="97" t="s">
        <v>86</v>
      </c>
      <c r="H47" s="69" t="s">
        <v>87</v>
      </c>
    </row>
    <row r="48" spans="1:8" ht="18" customHeight="1" x14ac:dyDescent="0.2">
      <c r="A48" s="34" t="s">
        <v>51</v>
      </c>
      <c r="B48" s="105">
        <v>5000</v>
      </c>
      <c r="C48" s="106">
        <v>40000</v>
      </c>
      <c r="D48" s="107">
        <f>C48/(1+VAT_RATE)</f>
        <v>34782.608695652176</v>
      </c>
      <c r="E48" s="105">
        <v>16000</v>
      </c>
      <c r="F48" s="105">
        <v>12000</v>
      </c>
      <c r="G48" s="108">
        <v>12000</v>
      </c>
      <c r="H48" s="70" t="s">
        <v>88</v>
      </c>
    </row>
    <row r="49" spans="1:8" ht="18" customHeight="1" x14ac:dyDescent="0.2">
      <c r="A49" s="35" t="s">
        <v>52</v>
      </c>
      <c r="B49" s="109">
        <v>5000</v>
      </c>
      <c r="C49" s="53">
        <v>42000</v>
      </c>
      <c r="D49" s="110">
        <f>C49/(1+VAT_RATE)</f>
        <v>36521.739130434784</v>
      </c>
      <c r="E49" s="109">
        <v>16800</v>
      </c>
      <c r="F49" s="109">
        <v>12600</v>
      </c>
      <c r="G49" s="55">
        <v>12600</v>
      </c>
      <c r="H49" s="71" t="s">
        <v>88</v>
      </c>
    </row>
    <row r="50" spans="1:8" ht="18" customHeight="1" x14ac:dyDescent="0.2">
      <c r="A50" s="38" t="s">
        <v>53</v>
      </c>
      <c r="B50" s="111">
        <v>5000</v>
      </c>
      <c r="C50" s="54">
        <v>42000</v>
      </c>
      <c r="D50" s="112">
        <f>C50/(1+VAT_RATE)</f>
        <v>36521.739130434784</v>
      </c>
      <c r="E50" s="111">
        <v>16800</v>
      </c>
      <c r="F50" s="111">
        <v>12600</v>
      </c>
      <c r="G50" s="113">
        <v>12600</v>
      </c>
      <c r="H50" s="72" t="s">
        <v>88</v>
      </c>
    </row>
    <row r="51" spans="1:8" ht="18" customHeight="1" x14ac:dyDescent="0.2">
      <c r="A51" s="35" t="s">
        <v>54</v>
      </c>
      <c r="B51" s="109">
        <v>5000</v>
      </c>
      <c r="C51" s="53">
        <v>42500</v>
      </c>
      <c r="D51" s="110">
        <f>C51/(1+VAT_RATE)</f>
        <v>36956.52173913044</v>
      </c>
      <c r="E51" s="109">
        <v>17000</v>
      </c>
      <c r="F51" s="109">
        <v>12750</v>
      </c>
      <c r="G51" s="55">
        <v>12750</v>
      </c>
      <c r="H51" s="71" t="s">
        <v>88</v>
      </c>
    </row>
    <row r="52" spans="1:8" ht="18" customHeight="1" x14ac:dyDescent="0.2">
      <c r="A52" s="38" t="s">
        <v>55</v>
      </c>
      <c r="B52" s="114">
        <v>5000</v>
      </c>
      <c r="C52" s="64">
        <v>47500</v>
      </c>
      <c r="D52" s="112">
        <f>C52/(1+VAT_RATE)</f>
        <v>41304.34782608696</v>
      </c>
      <c r="E52" s="114">
        <v>19000</v>
      </c>
      <c r="F52" s="114">
        <v>14250</v>
      </c>
      <c r="G52" s="56">
        <v>14250</v>
      </c>
      <c r="H52" s="72" t="s">
        <v>88</v>
      </c>
    </row>
    <row r="53" spans="1:8" ht="6" customHeight="1" x14ac:dyDescent="0.2">
      <c r="A53" s="73"/>
      <c r="B53" s="119"/>
      <c r="C53" s="120"/>
      <c r="D53" s="121"/>
      <c r="E53" s="119"/>
      <c r="F53" s="119"/>
      <c r="G53" s="119"/>
      <c r="H53" s="73"/>
    </row>
    <row r="54" spans="1:8" ht="6" customHeight="1" x14ac:dyDescent="0.2">
      <c r="A54" s="74"/>
      <c r="B54" s="122"/>
      <c r="C54" s="122"/>
      <c r="D54" s="122"/>
      <c r="E54" s="122"/>
      <c r="F54" s="122"/>
      <c r="G54" s="122"/>
      <c r="H54" s="74"/>
    </row>
    <row r="55" spans="1:8" ht="22" customHeight="1" x14ac:dyDescent="0.2">
      <c r="A55" s="30" t="s">
        <v>93</v>
      </c>
      <c r="B55" s="123"/>
      <c r="C55" s="124"/>
      <c r="D55" s="124"/>
      <c r="E55" s="124"/>
      <c r="F55" s="124"/>
      <c r="G55" s="124"/>
      <c r="H55" s="76"/>
    </row>
    <row r="56" spans="1:8" ht="24" customHeight="1" x14ac:dyDescent="0.2">
      <c r="A56" s="69" t="s">
        <v>80</v>
      </c>
      <c r="B56" s="97" t="s">
        <v>94</v>
      </c>
      <c r="C56" s="97" t="s">
        <v>95</v>
      </c>
      <c r="D56" s="97" t="s">
        <v>96</v>
      </c>
      <c r="E56" s="97" t="s">
        <v>97</v>
      </c>
      <c r="F56" s="97" t="s">
        <v>98</v>
      </c>
      <c r="G56" s="97" t="s">
        <v>99</v>
      </c>
      <c r="H56" s="77"/>
    </row>
    <row r="57" spans="1:8" ht="18" customHeight="1" x14ac:dyDescent="0.2">
      <c r="A57" s="78" t="s">
        <v>51</v>
      </c>
      <c r="B57" s="125">
        <f>FEE_GRID!$C$32-FEE_GRID!$C$6</f>
        <v>0</v>
      </c>
      <c r="C57" s="125">
        <f>IF(FEE_GRID!$C$6=0,0,(FEE_GRID!$C$32-FEE_GRID!$C$6)/FEE_GRID!$C$6)</f>
        <v>0</v>
      </c>
      <c r="D57" s="125">
        <f>FEE_GRID!$C$40-FEE_GRID!$C$14</f>
        <v>0</v>
      </c>
      <c r="E57" s="125">
        <f>IF(FEE_GRID!$C$14=0,0,(FEE_GRID!$C$40-FEE_GRID!$C$14)/FEE_GRID!$C$14)</f>
        <v>0</v>
      </c>
      <c r="F57" s="125">
        <f>FEE_GRID!$C$48-FEE_GRID!$C$22</f>
        <v>0</v>
      </c>
      <c r="G57" s="125">
        <f>IF(FEE_GRID!$C$22=0,0,(FEE_GRID!$C$48-FEE_GRID!$C$22)/FEE_GRID!$C$22)</f>
        <v>0</v>
      </c>
      <c r="H57" s="15"/>
    </row>
    <row r="58" spans="1:8" ht="18" customHeight="1" x14ac:dyDescent="0.2">
      <c r="A58" s="80" t="s">
        <v>52</v>
      </c>
      <c r="B58" s="126">
        <f>FEE_GRID!$C$33-FEE_GRID!$C$7</f>
        <v>1000</v>
      </c>
      <c r="C58" s="218">
        <f>IF(FEE_GRID!$C$7=0,0,(FEE_GRID!$C$33-FEE_GRID!$C$7)/FEE_GRID!$C$7)</f>
        <v>2.8985507246376812E-2</v>
      </c>
      <c r="D58" s="126">
        <f>FEE_GRID!$C$41-FEE_GRID!$C$15</f>
        <v>1000</v>
      </c>
      <c r="E58" s="218">
        <f>IF(FEE_GRID!$C$15=0,0,(FEE_GRID!$C$41-FEE_GRID!$C$15)/FEE_GRID!$C$15)</f>
        <v>2.8050490883590462E-2</v>
      </c>
      <c r="F58" s="126">
        <f>FEE_GRID!$C$49-FEE_GRID!$C$23</f>
        <v>1000</v>
      </c>
      <c r="G58" s="218">
        <f>IF(FEE_GRID!$C$23=0,0,(FEE_GRID!$C$49-FEE_GRID!$C$23)/FEE_GRID!$C$23)</f>
        <v>2.4390243902439025E-2</v>
      </c>
      <c r="H58" s="82"/>
    </row>
    <row r="59" spans="1:8" ht="18" customHeight="1" x14ac:dyDescent="0.2">
      <c r="A59" s="83" t="s">
        <v>53</v>
      </c>
      <c r="B59" s="127">
        <f>FEE_GRID!$C$34-FEE_GRID!$C$8</f>
        <v>1500</v>
      </c>
      <c r="C59" s="219">
        <f>IF(FEE_GRID!$C$8=0,0,(FEE_GRID!$C$34-FEE_GRID!$C$8)/FEE_GRID!$C$8)</f>
        <v>4.3478260869565216E-2</v>
      </c>
      <c r="D59" s="127">
        <f>FEE_GRID!$C$42-FEE_GRID!$C$16</f>
        <v>1000</v>
      </c>
      <c r="E59" s="219">
        <f>IF(FEE_GRID!$C$16=0,0,(FEE_GRID!$C$42-FEE_GRID!$C$16)/FEE_GRID!$C$16)</f>
        <v>2.8050490883590462E-2</v>
      </c>
      <c r="F59" s="127">
        <f>FEE_GRID!$C$50-FEE_GRID!$C$24</f>
        <v>1000</v>
      </c>
      <c r="G59" s="219">
        <f>IF(FEE_GRID!$C$24=0,0,(FEE_GRID!$C$50-FEE_GRID!$C$24)/FEE_GRID!$C$24)</f>
        <v>2.4390243902439025E-2</v>
      </c>
      <c r="H59" s="73"/>
    </row>
    <row r="60" spans="1:8" ht="18" customHeight="1" x14ac:dyDescent="0.2">
      <c r="A60" s="80" t="s">
        <v>54</v>
      </c>
      <c r="B60" s="126">
        <f>FEE_GRID!$C$35-FEE_GRID!$C$9</f>
        <v>2000</v>
      </c>
      <c r="C60" s="218">
        <f>IF(FEE_GRID!$C$9=0,0,(FEE_GRID!$C$35-FEE_GRID!$C$9)/FEE_GRID!$C$9)</f>
        <v>5.7971014492753624E-2</v>
      </c>
      <c r="D60" s="126">
        <f>FEE_GRID!$C$43-FEE_GRID!$C$17</f>
        <v>1000</v>
      </c>
      <c r="E60" s="218">
        <f>IF(FEE_GRID!$C$17=0,0,(FEE_GRID!$C$43-FEE_GRID!$C$17)/FEE_GRID!$C$17)</f>
        <v>2.8050490883590462E-2</v>
      </c>
      <c r="F60" s="126">
        <f>FEE_GRID!$C$51-FEE_GRID!$C$25</f>
        <v>1500</v>
      </c>
      <c r="G60" s="218">
        <f>IF(FEE_GRID!$C$25=0,0,(FEE_GRID!$C$51-FEE_GRID!$C$25)/FEE_GRID!$C$25)</f>
        <v>3.6585365853658534E-2</v>
      </c>
      <c r="H60" s="82"/>
    </row>
    <row r="61" spans="1:8" ht="18" customHeight="1" x14ac:dyDescent="0.2">
      <c r="A61" s="83" t="s">
        <v>55</v>
      </c>
      <c r="B61" s="127">
        <f>FEE_GRID!$C$36-FEE_GRID!$C$10</f>
        <v>2300</v>
      </c>
      <c r="C61" s="219">
        <f>IF(FEE_GRID!$C$10=0,0,(FEE_GRID!$C$36-FEE_GRID!$C$10)/FEE_GRID!$C$10)</f>
        <v>5.9740259740259739E-2</v>
      </c>
      <c r="D61" s="127">
        <f>FEE_GRID!$C$44-FEE_GRID!$C$18</f>
        <v>1000</v>
      </c>
      <c r="E61" s="219">
        <f>IF(FEE_GRID!$C$18=0,0,(FEE_GRID!$C$44-FEE_GRID!$C$18)/FEE_GRID!$C$18)</f>
        <v>2.5000000000000001E-2</v>
      </c>
      <c r="F61" s="127">
        <f>FEE_GRID!$C$52-FEE_GRID!$C$26</f>
        <v>1500</v>
      </c>
      <c r="G61" s="219">
        <f>IF(FEE_GRID!$C$26=0,0,(FEE_GRID!$C$52-FEE_GRID!$C$26)/FEE_GRID!$C$26)</f>
        <v>3.2608695652173912E-2</v>
      </c>
      <c r="H61" s="73"/>
    </row>
    <row r="62" spans="1:8" ht="6" customHeight="1" x14ac:dyDescent="0.2">
      <c r="A62" s="74"/>
      <c r="B62" s="122"/>
      <c r="C62" s="422"/>
      <c r="D62" s="122"/>
      <c r="E62" s="422"/>
      <c r="F62" s="122"/>
      <c r="G62" s="422"/>
      <c r="H62" s="74"/>
    </row>
    <row r="63" spans="1:8" ht="22" customHeight="1" x14ac:dyDescent="0.2">
      <c r="A63" s="86" t="s">
        <v>306</v>
      </c>
      <c r="B63" s="128"/>
      <c r="C63" s="128"/>
      <c r="D63" s="128"/>
      <c r="E63" s="128"/>
      <c r="F63" s="128"/>
      <c r="G63" s="128"/>
      <c r="H63" s="87"/>
    </row>
    <row r="64" spans="1:8" ht="20" customHeight="1" x14ac:dyDescent="0.2">
      <c r="A64" s="88" t="s">
        <v>79</v>
      </c>
      <c r="B64" s="129"/>
      <c r="C64" s="129"/>
      <c r="D64" s="129"/>
      <c r="E64" s="129"/>
      <c r="F64" s="129"/>
      <c r="G64" s="129"/>
      <c r="H64" s="89"/>
    </row>
    <row r="65" spans="1:8" ht="24" customHeight="1" x14ac:dyDescent="0.2">
      <c r="A65" s="77" t="s">
        <v>307</v>
      </c>
      <c r="B65" s="101" t="s">
        <v>308</v>
      </c>
      <c r="C65" s="101" t="s">
        <v>309</v>
      </c>
      <c r="D65" s="101" t="s">
        <v>310</v>
      </c>
      <c r="E65" s="101" t="s">
        <v>87</v>
      </c>
      <c r="F65" s="101" t="s">
        <v>50</v>
      </c>
      <c r="G65" s="101"/>
      <c r="H65" s="77"/>
    </row>
    <row r="66" spans="1:8" ht="18" customHeight="1" x14ac:dyDescent="0.2">
      <c r="A66" s="90" t="s">
        <v>311</v>
      </c>
      <c r="B66" s="130">
        <v>1150</v>
      </c>
      <c r="C66" s="119">
        <f>B66/(1+VAT_RATE)</f>
        <v>1000.0000000000001</v>
      </c>
      <c r="D66" s="119">
        <f>B66-C66</f>
        <v>149.99999999999989</v>
      </c>
      <c r="E66" s="119" t="s">
        <v>88</v>
      </c>
      <c r="F66" s="119" t="s">
        <v>312</v>
      </c>
      <c r="G66" s="119"/>
      <c r="H66" s="15"/>
    </row>
    <row r="67" spans="1:8" ht="18" customHeight="1" x14ac:dyDescent="0.2">
      <c r="A67" s="91" t="s">
        <v>313</v>
      </c>
      <c r="B67" s="131">
        <v>2300</v>
      </c>
      <c r="C67" s="132">
        <f>B67/(1+VAT_RATE)</f>
        <v>2000.0000000000002</v>
      </c>
      <c r="D67" s="132">
        <f>B67-C67</f>
        <v>299.99999999999977</v>
      </c>
      <c r="E67" s="132" t="s">
        <v>88</v>
      </c>
      <c r="F67" s="132" t="s">
        <v>314</v>
      </c>
      <c r="G67" s="132"/>
      <c r="H67" s="82"/>
    </row>
    <row r="68" spans="1:8" ht="18" customHeight="1" x14ac:dyDescent="0.2">
      <c r="A68" s="92" t="s">
        <v>315</v>
      </c>
      <c r="B68" s="133">
        <v>230</v>
      </c>
      <c r="C68" s="121">
        <f>B68/(1+VAT_RATE)</f>
        <v>200.00000000000003</v>
      </c>
      <c r="D68" s="121">
        <f>B68-C68</f>
        <v>29.999999999999972</v>
      </c>
      <c r="E68" s="121" t="s">
        <v>88</v>
      </c>
      <c r="F68" s="121" t="s">
        <v>316</v>
      </c>
      <c r="G68" s="121"/>
      <c r="H68" s="73"/>
    </row>
    <row r="69" spans="1:8" ht="18" customHeight="1" x14ac:dyDescent="0.2">
      <c r="A69" s="91" t="s">
        <v>317</v>
      </c>
      <c r="B69" s="134">
        <v>345</v>
      </c>
      <c r="C69" s="132">
        <f>B69/(1+VAT_RATE)</f>
        <v>300</v>
      </c>
      <c r="D69" s="132">
        <f>B69-C69</f>
        <v>45</v>
      </c>
      <c r="E69" s="132" t="s">
        <v>88</v>
      </c>
      <c r="F69" s="132" t="s">
        <v>318</v>
      </c>
      <c r="G69" s="132"/>
      <c r="H69" s="82"/>
    </row>
    <row r="70" spans="1:8" ht="6" customHeight="1" x14ac:dyDescent="0.2">
      <c r="A70" s="74"/>
      <c r="B70" s="135"/>
      <c r="C70" s="122"/>
      <c r="D70" s="122"/>
      <c r="E70" s="122"/>
      <c r="F70" s="122"/>
      <c r="G70" s="122"/>
      <c r="H70" s="74"/>
    </row>
    <row r="71" spans="1:8" ht="20" customHeight="1" x14ac:dyDescent="0.2">
      <c r="A71" s="93" t="s">
        <v>89</v>
      </c>
      <c r="B71" s="129"/>
      <c r="C71" s="129"/>
      <c r="D71" s="129"/>
      <c r="E71" s="129"/>
      <c r="F71" s="129"/>
      <c r="G71" s="129"/>
      <c r="H71" s="89"/>
    </row>
    <row r="72" spans="1:8" ht="24" customHeight="1" x14ac:dyDescent="0.2">
      <c r="A72" s="77" t="s">
        <v>307</v>
      </c>
      <c r="B72" s="101" t="s">
        <v>308</v>
      </c>
      <c r="C72" s="101" t="s">
        <v>309</v>
      </c>
      <c r="D72" s="101" t="s">
        <v>310</v>
      </c>
      <c r="E72" s="101" t="s">
        <v>87</v>
      </c>
      <c r="F72" s="101" t="s">
        <v>50</v>
      </c>
      <c r="G72" s="101"/>
      <c r="H72" s="77"/>
    </row>
    <row r="73" spans="1:8" ht="18" customHeight="1" x14ac:dyDescent="0.2">
      <c r="A73" s="90" t="s">
        <v>311</v>
      </c>
      <c r="B73" s="130">
        <v>1000</v>
      </c>
      <c r="C73" s="119">
        <f>B73</f>
        <v>1000</v>
      </c>
      <c r="D73" s="119">
        <v>0</v>
      </c>
      <c r="E73" s="119" t="s">
        <v>90</v>
      </c>
      <c r="F73" s="119" t="s">
        <v>319</v>
      </c>
      <c r="G73" s="119"/>
      <c r="H73" s="15"/>
    </row>
    <row r="74" spans="1:8" ht="18" customHeight="1" x14ac:dyDescent="0.2">
      <c r="A74" s="91" t="s">
        <v>313</v>
      </c>
      <c r="B74" s="131">
        <v>2000</v>
      </c>
      <c r="C74" s="132">
        <f>B74</f>
        <v>2000</v>
      </c>
      <c r="D74" s="132">
        <v>0</v>
      </c>
      <c r="E74" s="132" t="s">
        <v>90</v>
      </c>
      <c r="F74" s="132" t="s">
        <v>320</v>
      </c>
      <c r="G74" s="132"/>
      <c r="H74" s="82"/>
    </row>
    <row r="75" spans="1:8" ht="18" customHeight="1" x14ac:dyDescent="0.2">
      <c r="A75" s="92" t="s">
        <v>315</v>
      </c>
      <c r="B75" s="133">
        <v>200</v>
      </c>
      <c r="C75" s="121">
        <f>B75</f>
        <v>200</v>
      </c>
      <c r="D75" s="121">
        <v>0</v>
      </c>
      <c r="E75" s="121" t="s">
        <v>90</v>
      </c>
      <c r="F75" s="121" t="s">
        <v>316</v>
      </c>
      <c r="G75" s="121"/>
      <c r="H75" s="73"/>
    </row>
    <row r="76" spans="1:8" ht="18" customHeight="1" x14ac:dyDescent="0.2">
      <c r="A76" s="91" t="s">
        <v>317</v>
      </c>
      <c r="B76" s="134">
        <v>300</v>
      </c>
      <c r="C76" s="132">
        <f>B76</f>
        <v>300</v>
      </c>
      <c r="D76" s="136">
        <v>0</v>
      </c>
      <c r="E76" s="132" t="s">
        <v>90</v>
      </c>
      <c r="F76" s="132" t="s">
        <v>318</v>
      </c>
      <c r="G76" s="132"/>
      <c r="H76" s="82"/>
    </row>
    <row r="77" spans="1:8" ht="6" customHeight="1" x14ac:dyDescent="0.2">
      <c r="A77" s="74"/>
      <c r="B77" s="135"/>
      <c r="C77" s="122"/>
      <c r="D77" s="135"/>
      <c r="E77" s="122"/>
      <c r="F77" s="122"/>
      <c r="G77" s="122"/>
      <c r="H77" s="74"/>
    </row>
    <row r="78" spans="1:8" ht="20" customHeight="1" x14ac:dyDescent="0.2">
      <c r="A78" s="93" t="s">
        <v>91</v>
      </c>
      <c r="B78" s="129"/>
      <c r="C78" s="129"/>
      <c r="D78" s="129"/>
      <c r="E78" s="129"/>
      <c r="F78" s="129"/>
      <c r="G78" s="129"/>
      <c r="H78" s="89"/>
    </row>
    <row r="79" spans="1:8" ht="24" customHeight="1" x14ac:dyDescent="0.2">
      <c r="A79" s="77" t="s">
        <v>307</v>
      </c>
      <c r="B79" s="101" t="s">
        <v>308</v>
      </c>
      <c r="C79" s="101" t="s">
        <v>309</v>
      </c>
      <c r="D79" s="101" t="s">
        <v>310</v>
      </c>
      <c r="E79" s="101" t="s">
        <v>87</v>
      </c>
      <c r="F79" s="101" t="s">
        <v>50</v>
      </c>
      <c r="G79" s="101"/>
      <c r="H79" s="77"/>
    </row>
    <row r="80" spans="1:8" ht="18" customHeight="1" x14ac:dyDescent="0.2">
      <c r="A80" s="90" t="s">
        <v>311</v>
      </c>
      <c r="B80" s="130">
        <v>1150</v>
      </c>
      <c r="C80" s="119">
        <f>B80/(1+VAT_RATE)</f>
        <v>1000.0000000000001</v>
      </c>
      <c r="D80" s="119">
        <f>B80-C80</f>
        <v>149.99999999999989</v>
      </c>
      <c r="E80" s="119" t="s">
        <v>88</v>
      </c>
      <c r="F80" s="119" t="s">
        <v>312</v>
      </c>
      <c r="G80" s="119"/>
      <c r="H80" s="15"/>
    </row>
    <row r="81" spans="1:8" ht="18" customHeight="1" x14ac:dyDescent="0.2">
      <c r="A81" s="91" t="s">
        <v>313</v>
      </c>
      <c r="B81" s="131">
        <v>2300</v>
      </c>
      <c r="C81" s="132">
        <f>B81/(1+VAT_RATE)</f>
        <v>2000.0000000000002</v>
      </c>
      <c r="D81" s="132">
        <f>B81-C81</f>
        <v>299.99999999999977</v>
      </c>
      <c r="E81" s="132" t="s">
        <v>88</v>
      </c>
      <c r="F81" s="132" t="s">
        <v>314</v>
      </c>
      <c r="G81" s="132"/>
      <c r="H81" s="82"/>
    </row>
    <row r="82" spans="1:8" ht="18" customHeight="1" x14ac:dyDescent="0.2">
      <c r="A82" s="92" t="s">
        <v>315</v>
      </c>
      <c r="B82" s="133">
        <v>230</v>
      </c>
      <c r="C82" s="121">
        <f>B82/(1+VAT_RATE)</f>
        <v>200.00000000000003</v>
      </c>
      <c r="D82" s="121">
        <f>B82-C82</f>
        <v>29.999999999999972</v>
      </c>
      <c r="E82" s="121" t="s">
        <v>88</v>
      </c>
      <c r="F82" s="121" t="s">
        <v>316</v>
      </c>
      <c r="G82" s="121"/>
      <c r="H82" s="73"/>
    </row>
    <row r="83" spans="1:8" ht="18" customHeight="1" x14ac:dyDescent="0.2">
      <c r="A83" s="91" t="s">
        <v>317</v>
      </c>
      <c r="B83" s="137">
        <v>345</v>
      </c>
      <c r="C83" s="132">
        <f>B83/(1+VAT_RATE)</f>
        <v>300</v>
      </c>
      <c r="D83" s="132">
        <f>B83-C83</f>
        <v>45</v>
      </c>
      <c r="E83" s="132" t="s">
        <v>88</v>
      </c>
      <c r="F83" s="132" t="s">
        <v>318</v>
      </c>
      <c r="G83" s="132"/>
      <c r="H83" s="82"/>
    </row>
    <row r="84" spans="1:8" ht="6" customHeight="1" x14ac:dyDescent="0.2">
      <c r="A84" s="74"/>
      <c r="B84" s="135"/>
      <c r="C84" s="122"/>
      <c r="D84" s="122"/>
      <c r="E84" s="122"/>
      <c r="F84" s="122"/>
      <c r="G84" s="122"/>
      <c r="H84" s="74"/>
    </row>
    <row r="85" spans="1:8" ht="22" customHeight="1" x14ac:dyDescent="0.2">
      <c r="A85" s="94" t="s">
        <v>321</v>
      </c>
      <c r="B85" s="128"/>
      <c r="C85" s="128"/>
      <c r="D85" s="128"/>
      <c r="E85" s="128"/>
      <c r="F85" s="128"/>
      <c r="G85" s="128"/>
      <c r="H85" s="87"/>
    </row>
    <row r="86" spans="1:8" ht="20" customHeight="1" x14ac:dyDescent="0.2">
      <c r="A86" s="93" t="s">
        <v>79</v>
      </c>
      <c r="B86" s="129"/>
      <c r="C86" s="129"/>
      <c r="D86" s="129"/>
      <c r="E86" s="129"/>
      <c r="F86" s="129"/>
      <c r="G86" s="129"/>
      <c r="H86" s="89"/>
    </row>
    <row r="87" spans="1:8" ht="24" customHeight="1" x14ac:dyDescent="0.2">
      <c r="A87" s="77" t="s">
        <v>307</v>
      </c>
      <c r="B87" s="101" t="s">
        <v>308</v>
      </c>
      <c r="C87" s="101" t="s">
        <v>309</v>
      </c>
      <c r="D87" s="101" t="s">
        <v>310</v>
      </c>
      <c r="E87" s="101" t="s">
        <v>87</v>
      </c>
      <c r="F87" s="101" t="s">
        <v>50</v>
      </c>
      <c r="G87" s="101"/>
      <c r="H87" s="77"/>
    </row>
    <row r="88" spans="1:8" ht="18" customHeight="1" x14ac:dyDescent="0.2">
      <c r="A88" s="90" t="s">
        <v>311</v>
      </c>
      <c r="B88" s="130">
        <v>1150</v>
      </c>
      <c r="C88" s="119">
        <f>B88/(1+VAT_RATE)</f>
        <v>1000.0000000000001</v>
      </c>
      <c r="D88" s="119">
        <f>B88-C88</f>
        <v>149.99999999999989</v>
      </c>
      <c r="E88" s="119" t="s">
        <v>88</v>
      </c>
      <c r="F88" s="119" t="s">
        <v>322</v>
      </c>
      <c r="G88" s="119"/>
      <c r="H88" s="15"/>
    </row>
    <row r="89" spans="1:8" ht="18" customHeight="1" x14ac:dyDescent="0.2">
      <c r="A89" s="91" t="s">
        <v>313</v>
      </c>
      <c r="B89" s="131">
        <v>2300</v>
      </c>
      <c r="C89" s="132">
        <f>B89/(1+VAT_RATE)</f>
        <v>2000.0000000000002</v>
      </c>
      <c r="D89" s="132">
        <f>B89-C89</f>
        <v>299.99999999999977</v>
      </c>
      <c r="E89" s="132" t="s">
        <v>88</v>
      </c>
      <c r="F89" s="132" t="s">
        <v>322</v>
      </c>
      <c r="G89" s="132"/>
      <c r="H89" s="82"/>
    </row>
    <row r="90" spans="1:8" ht="18" customHeight="1" x14ac:dyDescent="0.2">
      <c r="A90" s="92" t="s">
        <v>315</v>
      </c>
      <c r="B90" s="138">
        <v>230</v>
      </c>
      <c r="C90" s="121">
        <f>B90/(1+VAT_RATE)</f>
        <v>200.00000000000003</v>
      </c>
      <c r="D90" s="121">
        <f>B90-C90</f>
        <v>29.999999999999972</v>
      </c>
      <c r="E90" s="121" t="s">
        <v>88</v>
      </c>
      <c r="F90" s="121" t="s">
        <v>322</v>
      </c>
      <c r="G90" s="121"/>
      <c r="H90" s="73"/>
    </row>
    <row r="91" spans="1:8" ht="18" customHeight="1" x14ac:dyDescent="0.2">
      <c r="A91" s="91" t="s">
        <v>317</v>
      </c>
      <c r="B91" s="137">
        <v>345</v>
      </c>
      <c r="C91" s="132">
        <f>B91/(1+VAT_RATE)</f>
        <v>300</v>
      </c>
      <c r="D91" s="132">
        <f>B91-C91</f>
        <v>45</v>
      </c>
      <c r="E91" s="132" t="s">
        <v>88</v>
      </c>
      <c r="F91" s="132" t="s">
        <v>322</v>
      </c>
      <c r="G91" s="132"/>
      <c r="H91" s="82"/>
    </row>
    <row r="92" spans="1:8" ht="6" customHeight="1" x14ac:dyDescent="0.2">
      <c r="A92" s="74"/>
      <c r="B92" s="135"/>
      <c r="C92" s="122"/>
      <c r="D92" s="122"/>
      <c r="E92" s="122"/>
      <c r="F92" s="122"/>
      <c r="G92" s="122"/>
      <c r="H92" s="74"/>
    </row>
    <row r="93" spans="1:8" ht="20" customHeight="1" x14ac:dyDescent="0.2">
      <c r="A93" s="93" t="s">
        <v>89</v>
      </c>
      <c r="B93" s="129"/>
      <c r="C93" s="129"/>
      <c r="D93" s="129"/>
      <c r="E93" s="129"/>
      <c r="F93" s="129"/>
      <c r="G93" s="129"/>
      <c r="H93" s="89"/>
    </row>
    <row r="94" spans="1:8" ht="24" customHeight="1" x14ac:dyDescent="0.2">
      <c r="A94" s="77" t="s">
        <v>307</v>
      </c>
      <c r="B94" s="101" t="s">
        <v>308</v>
      </c>
      <c r="C94" s="101" t="s">
        <v>309</v>
      </c>
      <c r="D94" s="101" t="s">
        <v>310</v>
      </c>
      <c r="E94" s="101" t="s">
        <v>87</v>
      </c>
      <c r="F94" s="101" t="s">
        <v>50</v>
      </c>
      <c r="G94" s="101"/>
      <c r="H94" s="77"/>
    </row>
    <row r="95" spans="1:8" ht="18" customHeight="1" x14ac:dyDescent="0.2">
      <c r="A95" s="90" t="s">
        <v>311</v>
      </c>
      <c r="B95" s="130">
        <v>1000</v>
      </c>
      <c r="C95" s="119">
        <f>B95</f>
        <v>1000</v>
      </c>
      <c r="D95" s="119">
        <v>0</v>
      </c>
      <c r="E95" s="119" t="s">
        <v>90</v>
      </c>
      <c r="F95" s="119" t="s">
        <v>322</v>
      </c>
      <c r="G95" s="119"/>
      <c r="H95" s="15"/>
    </row>
    <row r="96" spans="1:8" ht="18" customHeight="1" x14ac:dyDescent="0.2">
      <c r="A96" s="91" t="s">
        <v>313</v>
      </c>
      <c r="B96" s="131">
        <v>2000</v>
      </c>
      <c r="C96" s="132">
        <f>B96</f>
        <v>2000</v>
      </c>
      <c r="D96" s="132">
        <v>0</v>
      </c>
      <c r="E96" s="132" t="s">
        <v>90</v>
      </c>
      <c r="F96" s="132" t="s">
        <v>322</v>
      </c>
      <c r="G96" s="132"/>
      <c r="H96" s="82"/>
    </row>
    <row r="97" spans="1:8" ht="18" customHeight="1" x14ac:dyDescent="0.2">
      <c r="A97" s="92" t="s">
        <v>315</v>
      </c>
      <c r="B97" s="138">
        <v>200</v>
      </c>
      <c r="C97" s="121">
        <f>B97</f>
        <v>200</v>
      </c>
      <c r="D97" s="121">
        <v>0</v>
      </c>
      <c r="E97" s="121" t="s">
        <v>90</v>
      </c>
      <c r="F97" s="121" t="s">
        <v>322</v>
      </c>
      <c r="G97" s="121"/>
      <c r="H97" s="73"/>
    </row>
    <row r="98" spans="1:8" ht="18" customHeight="1" x14ac:dyDescent="0.2">
      <c r="A98" s="91" t="s">
        <v>317</v>
      </c>
      <c r="B98" s="137">
        <v>300</v>
      </c>
      <c r="C98" s="132">
        <f>B98</f>
        <v>300</v>
      </c>
      <c r="D98" s="136">
        <v>0</v>
      </c>
      <c r="E98" s="132" t="s">
        <v>90</v>
      </c>
      <c r="F98" s="132" t="s">
        <v>322</v>
      </c>
      <c r="G98" s="132"/>
      <c r="H98" s="82"/>
    </row>
    <row r="99" spans="1:8" ht="6" customHeight="1" x14ac:dyDescent="0.2">
      <c r="A99" s="74"/>
      <c r="B99" s="135"/>
      <c r="C99" s="122"/>
      <c r="D99" s="135"/>
      <c r="E99" s="122"/>
      <c r="F99" s="122"/>
      <c r="G99" s="122"/>
      <c r="H99" s="74"/>
    </row>
    <row r="100" spans="1:8" ht="20" customHeight="1" x14ac:dyDescent="0.2">
      <c r="A100" s="93" t="s">
        <v>91</v>
      </c>
      <c r="B100" s="129"/>
      <c r="C100" s="129"/>
      <c r="D100" s="129"/>
      <c r="E100" s="129"/>
      <c r="F100" s="129"/>
      <c r="G100" s="129"/>
      <c r="H100" s="89"/>
    </row>
    <row r="101" spans="1:8" ht="24" customHeight="1" x14ac:dyDescent="0.2">
      <c r="A101" s="77" t="s">
        <v>307</v>
      </c>
      <c r="B101" s="101" t="s">
        <v>308</v>
      </c>
      <c r="C101" s="101" t="s">
        <v>309</v>
      </c>
      <c r="D101" s="101" t="s">
        <v>310</v>
      </c>
      <c r="E101" s="101" t="s">
        <v>87</v>
      </c>
      <c r="F101" s="101" t="s">
        <v>50</v>
      </c>
      <c r="G101" s="101"/>
      <c r="H101" s="77"/>
    </row>
    <row r="102" spans="1:8" ht="18" customHeight="1" x14ac:dyDescent="0.2">
      <c r="A102" s="90" t="s">
        <v>311</v>
      </c>
      <c r="B102" s="130">
        <v>1150</v>
      </c>
      <c r="C102" s="119">
        <f>B102/(1+VAT_RATE)</f>
        <v>1000.0000000000001</v>
      </c>
      <c r="D102" s="119">
        <f>B102-C102</f>
        <v>149.99999999999989</v>
      </c>
      <c r="E102" s="119" t="s">
        <v>88</v>
      </c>
      <c r="F102" s="119" t="s">
        <v>322</v>
      </c>
      <c r="G102" s="119"/>
      <c r="H102" s="15"/>
    </row>
    <row r="103" spans="1:8" ht="18" customHeight="1" x14ac:dyDescent="0.2">
      <c r="A103" s="91" t="s">
        <v>313</v>
      </c>
      <c r="B103" s="131">
        <v>2300</v>
      </c>
      <c r="C103" s="132">
        <f>B103/(1+VAT_RATE)</f>
        <v>2000.0000000000002</v>
      </c>
      <c r="D103" s="132">
        <f>B103-C103</f>
        <v>299.99999999999977</v>
      </c>
      <c r="E103" s="132" t="s">
        <v>88</v>
      </c>
      <c r="F103" s="132" t="s">
        <v>322</v>
      </c>
      <c r="G103" s="132"/>
      <c r="H103" s="82"/>
    </row>
    <row r="104" spans="1:8" ht="18" customHeight="1" x14ac:dyDescent="0.2">
      <c r="A104" s="92" t="s">
        <v>315</v>
      </c>
      <c r="B104" s="138">
        <v>230</v>
      </c>
      <c r="C104" s="121">
        <f>B104/(1+VAT_RATE)</f>
        <v>200.00000000000003</v>
      </c>
      <c r="D104" s="121">
        <f>B104-C104</f>
        <v>29.999999999999972</v>
      </c>
      <c r="E104" s="121" t="s">
        <v>88</v>
      </c>
      <c r="F104" s="121" t="s">
        <v>322</v>
      </c>
      <c r="G104" s="121"/>
      <c r="H104" s="73"/>
    </row>
    <row r="105" spans="1:8" ht="18" customHeight="1" x14ac:dyDescent="0.2">
      <c r="A105" s="95" t="s">
        <v>317</v>
      </c>
      <c r="B105" s="137">
        <v>345</v>
      </c>
      <c r="C105" s="136">
        <f>B105/(1+VAT_RATE)</f>
        <v>300</v>
      </c>
      <c r="D105" s="136">
        <f>B105-C105</f>
        <v>45</v>
      </c>
      <c r="E105" s="136" t="s">
        <v>88</v>
      </c>
      <c r="F105" s="136" t="s">
        <v>322</v>
      </c>
      <c r="G105" s="136"/>
      <c r="H105" s="96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5F7C"/>
  </sheetPr>
  <dimension ref="A1:I78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8.83203125" defaultRowHeight="15" x14ac:dyDescent="0.2"/>
  <cols>
    <col min="1" max="1" width="30" customWidth="1"/>
    <col min="2" max="9" width="16.6640625" customWidth="1"/>
  </cols>
  <sheetData>
    <row r="1" spans="1:9" s="1" customFormat="1" ht="30" customHeight="1" x14ac:dyDescent="0.25">
      <c r="A1" s="28" t="s">
        <v>100</v>
      </c>
      <c r="B1" s="28"/>
      <c r="C1" s="28"/>
      <c r="D1" s="28"/>
      <c r="E1" s="28"/>
      <c r="F1" s="28"/>
      <c r="G1" s="28"/>
      <c r="H1" s="28"/>
      <c r="I1" s="28"/>
    </row>
    <row r="2" spans="1:9" ht="6" customHeight="1" x14ac:dyDescent="0.2">
      <c r="A2" s="25"/>
      <c r="B2" s="25"/>
      <c r="C2" s="25"/>
      <c r="D2" s="25"/>
      <c r="E2" s="25"/>
      <c r="F2" s="25"/>
      <c r="G2" s="25"/>
      <c r="H2" s="3"/>
      <c r="I2" s="3"/>
    </row>
    <row r="3" spans="1:9" ht="22" customHeight="1" x14ac:dyDescent="0.2">
      <c r="A3" s="75" t="s">
        <v>101</v>
      </c>
      <c r="B3" s="152"/>
      <c r="C3" s="153"/>
      <c r="D3" s="153"/>
      <c r="E3" s="153"/>
      <c r="F3" s="153"/>
      <c r="G3" s="153"/>
      <c r="H3" s="128"/>
      <c r="I3" s="128"/>
    </row>
    <row r="4" spans="1:9" ht="18" customHeight="1" x14ac:dyDescent="0.2">
      <c r="A4" s="141" t="s">
        <v>102</v>
      </c>
      <c r="B4" s="423">
        <f>DISCOUNT_REDUIT</f>
        <v>0.75</v>
      </c>
      <c r="C4" s="154" t="s">
        <v>103</v>
      </c>
      <c r="D4" s="57"/>
      <c r="E4" s="57"/>
      <c r="F4" s="57"/>
      <c r="G4" s="57"/>
      <c r="H4" s="119"/>
      <c r="I4" s="119"/>
    </row>
    <row r="5" spans="1:9" ht="18" customHeight="1" x14ac:dyDescent="0.2">
      <c r="A5" s="142" t="s">
        <v>104</v>
      </c>
      <c r="B5" s="424">
        <f>DISCOUNT_REDUIT_3PLUS</f>
        <v>0.75</v>
      </c>
      <c r="C5" s="155" t="s">
        <v>105</v>
      </c>
      <c r="D5" s="156"/>
      <c r="E5" s="156"/>
      <c r="F5" s="156"/>
      <c r="G5" s="156"/>
      <c r="H5" s="157"/>
      <c r="I5" s="157"/>
    </row>
    <row r="6" spans="1:9" ht="6" customHeight="1" x14ac:dyDescent="0.2">
      <c r="A6" s="29"/>
      <c r="B6" s="57"/>
      <c r="C6" s="57"/>
      <c r="D6" s="57"/>
      <c r="E6" s="57"/>
      <c r="F6" s="57"/>
      <c r="G6" s="57"/>
      <c r="H6" s="119"/>
      <c r="I6" s="119"/>
    </row>
    <row r="7" spans="1:9" ht="22" customHeight="1" x14ac:dyDescent="0.2">
      <c r="A7" s="30" t="s">
        <v>106</v>
      </c>
      <c r="B7" s="51"/>
      <c r="C7" s="102"/>
      <c r="D7" s="102"/>
      <c r="E7" s="102"/>
      <c r="F7" s="102"/>
      <c r="G7" s="102"/>
      <c r="H7" s="128"/>
      <c r="I7" s="128"/>
    </row>
    <row r="8" spans="1:9" ht="20" customHeight="1" x14ac:dyDescent="0.2">
      <c r="A8" s="66" t="s">
        <v>79</v>
      </c>
      <c r="B8" s="158"/>
      <c r="C8" s="159"/>
      <c r="D8" s="159"/>
      <c r="E8" s="159"/>
      <c r="F8" s="159"/>
      <c r="G8" s="159"/>
      <c r="H8" s="160"/>
      <c r="I8" s="160"/>
    </row>
    <row r="9" spans="1:9" ht="24" customHeight="1" x14ac:dyDescent="0.2">
      <c r="A9" s="143" t="s">
        <v>48</v>
      </c>
      <c r="B9" s="150" t="s">
        <v>107</v>
      </c>
      <c r="C9" s="150" t="s">
        <v>108</v>
      </c>
      <c r="D9" s="150" t="s">
        <v>109</v>
      </c>
      <c r="E9" s="150" t="s">
        <v>110</v>
      </c>
      <c r="F9" s="150" t="s">
        <v>111</v>
      </c>
      <c r="G9" s="150" t="s">
        <v>87</v>
      </c>
      <c r="H9" s="151"/>
      <c r="I9" s="151"/>
    </row>
    <row r="10" spans="1:9" ht="18" customHeight="1" x14ac:dyDescent="0.2">
      <c r="A10" s="78" t="s">
        <v>51</v>
      </c>
      <c r="B10" s="125">
        <f>FEE_GRID!$D$6</f>
        <v>26086.956521739132</v>
      </c>
      <c r="C10" s="125">
        <f>B10*DISCOUNT_REDUIT</f>
        <v>19565.217391304348</v>
      </c>
      <c r="D10" s="125">
        <f>B10*DISCOUNT_REDUIT_3PLUS</f>
        <v>19565.217391304348</v>
      </c>
      <c r="E10" s="125">
        <f>B10-C10</f>
        <v>6521.7391304347839</v>
      </c>
      <c r="F10" s="125">
        <f>B10-D10</f>
        <v>6521.7391304347839</v>
      </c>
      <c r="G10" s="161" t="s">
        <v>88</v>
      </c>
      <c r="H10" s="119"/>
      <c r="I10" s="119"/>
    </row>
    <row r="11" spans="1:9" ht="18" customHeight="1" x14ac:dyDescent="0.2">
      <c r="A11" s="80" t="s">
        <v>52</v>
      </c>
      <c r="B11" s="126">
        <f>FEE_GRID!$D$7</f>
        <v>30000.000000000004</v>
      </c>
      <c r="C11" s="126">
        <f>B11*DISCOUNT_REDUIT</f>
        <v>22500.000000000004</v>
      </c>
      <c r="D11" s="126">
        <f>B11*DISCOUNT_REDUIT_3PLUS</f>
        <v>22500.000000000004</v>
      </c>
      <c r="E11" s="126">
        <f>B11-C11</f>
        <v>7500</v>
      </c>
      <c r="F11" s="126">
        <f>B11-D11</f>
        <v>7500</v>
      </c>
      <c r="G11" s="162" t="s">
        <v>88</v>
      </c>
      <c r="H11" s="157"/>
      <c r="I11" s="157"/>
    </row>
    <row r="12" spans="1:9" ht="18" customHeight="1" x14ac:dyDescent="0.2">
      <c r="A12" s="83" t="s">
        <v>53</v>
      </c>
      <c r="B12" s="127">
        <f>FEE_GRID!$D$8</f>
        <v>30000.000000000004</v>
      </c>
      <c r="C12" s="127">
        <f>B12*DISCOUNT_REDUIT</f>
        <v>22500.000000000004</v>
      </c>
      <c r="D12" s="127">
        <f>B12*DISCOUNT_REDUIT_3PLUS</f>
        <v>22500.000000000004</v>
      </c>
      <c r="E12" s="127">
        <f>B12-C12</f>
        <v>7500</v>
      </c>
      <c r="F12" s="127">
        <f>B12-D12</f>
        <v>7500</v>
      </c>
      <c r="G12" s="163" t="s">
        <v>88</v>
      </c>
      <c r="H12" s="119"/>
      <c r="I12" s="119"/>
    </row>
    <row r="13" spans="1:9" ht="18" customHeight="1" x14ac:dyDescent="0.2">
      <c r="A13" s="80" t="s">
        <v>54</v>
      </c>
      <c r="B13" s="126">
        <f>FEE_GRID!$D$9</f>
        <v>30000.000000000004</v>
      </c>
      <c r="C13" s="126">
        <f>B13*DISCOUNT_REDUIT</f>
        <v>22500.000000000004</v>
      </c>
      <c r="D13" s="126">
        <f>B13*DISCOUNT_REDUIT_3PLUS</f>
        <v>22500.000000000004</v>
      </c>
      <c r="E13" s="126">
        <f>B13-C13</f>
        <v>7500</v>
      </c>
      <c r="F13" s="126">
        <f>B13-D13</f>
        <v>7500</v>
      </c>
      <c r="G13" s="162" t="s">
        <v>88</v>
      </c>
      <c r="H13" s="157"/>
      <c r="I13" s="157"/>
    </row>
    <row r="14" spans="1:9" ht="18" customHeight="1" x14ac:dyDescent="0.2">
      <c r="A14" s="83" t="s">
        <v>55</v>
      </c>
      <c r="B14" s="127">
        <f>FEE_GRID!$D$10</f>
        <v>33478.260869565223</v>
      </c>
      <c r="C14" s="127">
        <f>B14*DISCOUNT_REDUIT</f>
        <v>25108.695652173919</v>
      </c>
      <c r="D14" s="127">
        <f>B14*DISCOUNT_REDUIT_3PLUS</f>
        <v>25108.695652173919</v>
      </c>
      <c r="E14" s="127">
        <f>B14-C14</f>
        <v>8369.565217391304</v>
      </c>
      <c r="F14" s="127">
        <f>B14-D14</f>
        <v>8369.565217391304</v>
      </c>
      <c r="G14" s="163" t="s">
        <v>88</v>
      </c>
      <c r="H14" s="119"/>
      <c r="I14" s="119"/>
    </row>
    <row r="15" spans="1:9" ht="6" customHeight="1" x14ac:dyDescent="0.2">
      <c r="A15" s="41"/>
      <c r="B15" s="116"/>
      <c r="C15" s="116"/>
      <c r="D15" s="116"/>
      <c r="E15" s="116"/>
      <c r="F15" s="116"/>
      <c r="G15" s="116"/>
      <c r="H15" s="119"/>
      <c r="I15" s="119"/>
    </row>
    <row r="16" spans="1:9" ht="20" customHeight="1" x14ac:dyDescent="0.2">
      <c r="A16" s="66" t="s">
        <v>89</v>
      </c>
      <c r="B16" s="158"/>
      <c r="C16" s="159"/>
      <c r="D16" s="159"/>
      <c r="E16" s="159"/>
      <c r="F16" s="159"/>
      <c r="G16" s="159"/>
      <c r="H16" s="160"/>
      <c r="I16" s="160"/>
    </row>
    <row r="17" spans="1:9" ht="24" customHeight="1" x14ac:dyDescent="0.2">
      <c r="A17" s="143" t="s">
        <v>48</v>
      </c>
      <c r="B17" s="150" t="s">
        <v>107</v>
      </c>
      <c r="C17" s="150" t="s">
        <v>108</v>
      </c>
      <c r="D17" s="150" t="s">
        <v>109</v>
      </c>
      <c r="E17" s="150" t="s">
        <v>110</v>
      </c>
      <c r="F17" s="150" t="s">
        <v>111</v>
      </c>
      <c r="G17" s="150" t="s">
        <v>87</v>
      </c>
      <c r="H17" s="151"/>
      <c r="I17" s="151"/>
    </row>
    <row r="18" spans="1:9" ht="18" customHeight="1" x14ac:dyDescent="0.2">
      <c r="A18" s="78" t="s">
        <v>51</v>
      </c>
      <c r="B18" s="125">
        <f>FEE_GRID!$D$14</f>
        <v>34783</v>
      </c>
      <c r="C18" s="125">
        <f>B18*DISCOUNT_REDUIT</f>
        <v>26087.25</v>
      </c>
      <c r="D18" s="125">
        <f>B18*DISCOUNT_REDUIT_3PLUS</f>
        <v>26087.25</v>
      </c>
      <c r="E18" s="125">
        <f>B18-C18</f>
        <v>8695.75</v>
      </c>
      <c r="F18" s="125">
        <f>B18-D18</f>
        <v>8695.75</v>
      </c>
      <c r="G18" s="161" t="s">
        <v>90</v>
      </c>
      <c r="H18" s="119"/>
      <c r="I18" s="119"/>
    </row>
    <row r="19" spans="1:9" ht="18" customHeight="1" x14ac:dyDescent="0.2">
      <c r="A19" s="80" t="s">
        <v>52</v>
      </c>
      <c r="B19" s="126">
        <f>FEE_GRID!$D$15</f>
        <v>35650</v>
      </c>
      <c r="C19" s="126">
        <f>B19*DISCOUNT_REDUIT</f>
        <v>26737.5</v>
      </c>
      <c r="D19" s="126">
        <f>B19*DISCOUNT_REDUIT_3PLUS</f>
        <v>26737.5</v>
      </c>
      <c r="E19" s="126">
        <f>B19-C19</f>
        <v>8912.5</v>
      </c>
      <c r="F19" s="126">
        <f>B19-D19</f>
        <v>8912.5</v>
      </c>
      <c r="G19" s="162" t="s">
        <v>90</v>
      </c>
      <c r="H19" s="157"/>
      <c r="I19" s="157"/>
    </row>
    <row r="20" spans="1:9" ht="18" customHeight="1" x14ac:dyDescent="0.2">
      <c r="A20" s="83" t="s">
        <v>53</v>
      </c>
      <c r="B20" s="127">
        <f>FEE_GRID!$D$16</f>
        <v>35650</v>
      </c>
      <c r="C20" s="127">
        <f>B20*DISCOUNT_REDUIT</f>
        <v>26737.5</v>
      </c>
      <c r="D20" s="127">
        <f>B20*DISCOUNT_REDUIT_3PLUS</f>
        <v>26737.5</v>
      </c>
      <c r="E20" s="127">
        <f>B20-C20</f>
        <v>8912.5</v>
      </c>
      <c r="F20" s="127">
        <f>B20-D20</f>
        <v>8912.5</v>
      </c>
      <c r="G20" s="163" t="s">
        <v>90</v>
      </c>
      <c r="H20" s="119"/>
      <c r="I20" s="119"/>
    </row>
    <row r="21" spans="1:9" ht="18" customHeight="1" x14ac:dyDescent="0.2">
      <c r="A21" s="80" t="s">
        <v>54</v>
      </c>
      <c r="B21" s="126">
        <f>FEE_GRID!$D$17</f>
        <v>35650</v>
      </c>
      <c r="C21" s="126">
        <f>B21*DISCOUNT_REDUIT</f>
        <v>26737.5</v>
      </c>
      <c r="D21" s="126">
        <f>B21*DISCOUNT_REDUIT_3PLUS</f>
        <v>26737.5</v>
      </c>
      <c r="E21" s="126">
        <f>B21-C21</f>
        <v>8912.5</v>
      </c>
      <c r="F21" s="126">
        <f>B21-D21</f>
        <v>8912.5</v>
      </c>
      <c r="G21" s="162" t="s">
        <v>90</v>
      </c>
      <c r="H21" s="157"/>
      <c r="I21" s="157"/>
    </row>
    <row r="22" spans="1:9" ht="18" customHeight="1" x14ac:dyDescent="0.2">
      <c r="A22" s="83" t="s">
        <v>55</v>
      </c>
      <c r="B22" s="127">
        <f>FEE_GRID!$D$18</f>
        <v>40000</v>
      </c>
      <c r="C22" s="127">
        <f>B22*DISCOUNT_REDUIT</f>
        <v>30000</v>
      </c>
      <c r="D22" s="127">
        <f>B22*DISCOUNT_REDUIT_3PLUS</f>
        <v>30000</v>
      </c>
      <c r="E22" s="127">
        <f>B22-C22</f>
        <v>10000</v>
      </c>
      <c r="F22" s="127">
        <f>B22-D22</f>
        <v>10000</v>
      </c>
      <c r="G22" s="163" t="s">
        <v>90</v>
      </c>
      <c r="H22" s="119"/>
      <c r="I22" s="119"/>
    </row>
    <row r="23" spans="1:9" ht="6" customHeight="1" x14ac:dyDescent="0.2">
      <c r="A23" s="41"/>
      <c r="B23" s="116"/>
      <c r="C23" s="116"/>
      <c r="D23" s="116"/>
      <c r="E23" s="116"/>
      <c r="F23" s="116"/>
      <c r="G23" s="116"/>
      <c r="H23" s="119"/>
      <c r="I23" s="119"/>
    </row>
    <row r="24" spans="1:9" ht="20" customHeight="1" x14ac:dyDescent="0.2">
      <c r="A24" s="66" t="s">
        <v>91</v>
      </c>
      <c r="B24" s="158"/>
      <c r="C24" s="159"/>
      <c r="D24" s="159"/>
      <c r="E24" s="159"/>
      <c r="F24" s="159"/>
      <c r="G24" s="159"/>
      <c r="H24" s="160"/>
      <c r="I24" s="160"/>
    </row>
    <row r="25" spans="1:9" ht="24" customHeight="1" x14ac:dyDescent="0.2">
      <c r="A25" s="143" t="s">
        <v>48</v>
      </c>
      <c r="B25" s="150" t="s">
        <v>107</v>
      </c>
      <c r="C25" s="150" t="s">
        <v>108</v>
      </c>
      <c r="D25" s="150" t="s">
        <v>109</v>
      </c>
      <c r="E25" s="150" t="s">
        <v>110</v>
      </c>
      <c r="F25" s="150" t="s">
        <v>111</v>
      </c>
      <c r="G25" s="150" t="s">
        <v>87</v>
      </c>
      <c r="H25" s="151"/>
      <c r="I25" s="151"/>
    </row>
    <row r="26" spans="1:9" ht="18" customHeight="1" x14ac:dyDescent="0.2">
      <c r="A26" s="78" t="s">
        <v>51</v>
      </c>
      <c r="B26" s="125">
        <f>FEE_GRID!$D$22</f>
        <v>34782.608695652176</v>
      </c>
      <c r="C26" s="125">
        <f>B26*DISCOUNT_REDUIT</f>
        <v>26086.956521739132</v>
      </c>
      <c r="D26" s="125">
        <f>B26*DISCOUNT_REDUIT_3PLUS</f>
        <v>26086.956521739132</v>
      </c>
      <c r="E26" s="125">
        <f>B26-C26</f>
        <v>8695.652173913044</v>
      </c>
      <c r="F26" s="125">
        <f>B26-D26</f>
        <v>8695.652173913044</v>
      </c>
      <c r="G26" s="161" t="s">
        <v>88</v>
      </c>
      <c r="H26" s="119"/>
      <c r="I26" s="119"/>
    </row>
    <row r="27" spans="1:9" ht="18" customHeight="1" x14ac:dyDescent="0.2">
      <c r="A27" s="80" t="s">
        <v>52</v>
      </c>
      <c r="B27" s="126">
        <f>FEE_GRID!$D$23</f>
        <v>35652.17391304348</v>
      </c>
      <c r="C27" s="126">
        <f>B27*DISCOUNT_REDUIT</f>
        <v>26739.130434782608</v>
      </c>
      <c r="D27" s="126">
        <f>B27*DISCOUNT_REDUIT_3PLUS</f>
        <v>26739.130434782608</v>
      </c>
      <c r="E27" s="126">
        <f>B27-C27</f>
        <v>8913.0434782608718</v>
      </c>
      <c r="F27" s="126">
        <f>B27-D27</f>
        <v>8913.0434782608718</v>
      </c>
      <c r="G27" s="162" t="s">
        <v>88</v>
      </c>
      <c r="H27" s="157"/>
      <c r="I27" s="157"/>
    </row>
    <row r="28" spans="1:9" ht="18" customHeight="1" x14ac:dyDescent="0.2">
      <c r="A28" s="83" t="s">
        <v>53</v>
      </c>
      <c r="B28" s="127">
        <f>FEE_GRID!$D$24</f>
        <v>35652.17391304348</v>
      </c>
      <c r="C28" s="127">
        <f>B28*DISCOUNT_REDUIT</f>
        <v>26739.130434782608</v>
      </c>
      <c r="D28" s="127">
        <f>B28*DISCOUNT_REDUIT_3PLUS</f>
        <v>26739.130434782608</v>
      </c>
      <c r="E28" s="127">
        <f>B28-C28</f>
        <v>8913.0434782608718</v>
      </c>
      <c r="F28" s="127">
        <f>B28-D28</f>
        <v>8913.0434782608718</v>
      </c>
      <c r="G28" s="163" t="s">
        <v>88</v>
      </c>
      <c r="H28" s="119"/>
      <c r="I28" s="119"/>
    </row>
    <row r="29" spans="1:9" ht="18" customHeight="1" x14ac:dyDescent="0.2">
      <c r="A29" s="80" t="s">
        <v>54</v>
      </c>
      <c r="B29" s="126">
        <f>FEE_GRID!$D$25</f>
        <v>35652.17391304348</v>
      </c>
      <c r="C29" s="126">
        <f>B29*DISCOUNT_REDUIT</f>
        <v>26739.130434782608</v>
      </c>
      <c r="D29" s="126">
        <f>B29*DISCOUNT_REDUIT_3PLUS</f>
        <v>26739.130434782608</v>
      </c>
      <c r="E29" s="126">
        <f>B29-C29</f>
        <v>8913.0434782608718</v>
      </c>
      <c r="F29" s="126">
        <f>B29-D29</f>
        <v>8913.0434782608718</v>
      </c>
      <c r="G29" s="162" t="s">
        <v>88</v>
      </c>
      <c r="H29" s="157"/>
      <c r="I29" s="157"/>
    </row>
    <row r="30" spans="1:9" ht="18" customHeight="1" x14ac:dyDescent="0.2">
      <c r="A30" s="83" t="s">
        <v>55</v>
      </c>
      <c r="B30" s="127">
        <f>FEE_GRID!$D$26</f>
        <v>40000</v>
      </c>
      <c r="C30" s="127">
        <f>B30*DISCOUNT_REDUIT</f>
        <v>30000</v>
      </c>
      <c r="D30" s="127">
        <f>B30*DISCOUNT_REDUIT_3PLUS</f>
        <v>30000</v>
      </c>
      <c r="E30" s="127">
        <f>B30-C30</f>
        <v>10000</v>
      </c>
      <c r="F30" s="127">
        <f>B30-D30</f>
        <v>10000</v>
      </c>
      <c r="G30" s="163" t="s">
        <v>88</v>
      </c>
      <c r="H30" s="119"/>
      <c r="I30" s="119"/>
    </row>
    <row r="31" spans="1:9" ht="6" customHeight="1" x14ac:dyDescent="0.2">
      <c r="A31" s="39"/>
      <c r="B31" s="112"/>
      <c r="C31" s="112"/>
      <c r="D31" s="112"/>
      <c r="E31" s="112"/>
      <c r="F31" s="112"/>
      <c r="G31" s="112"/>
      <c r="H31" s="119"/>
      <c r="I31" s="119"/>
    </row>
    <row r="32" spans="1:9" ht="6" customHeight="1" x14ac:dyDescent="0.2">
      <c r="A32" s="41"/>
      <c r="B32" s="116"/>
      <c r="C32" s="116"/>
      <c r="D32" s="116"/>
      <c r="E32" s="116"/>
      <c r="F32" s="116"/>
      <c r="G32" s="116"/>
      <c r="H32" s="119"/>
      <c r="I32" s="119"/>
    </row>
    <row r="33" spans="1:9" ht="22" customHeight="1" x14ac:dyDescent="0.2">
      <c r="A33" s="30" t="s">
        <v>112</v>
      </c>
      <c r="B33" s="51"/>
      <c r="C33" s="102"/>
      <c r="D33" s="102"/>
      <c r="E33" s="102"/>
      <c r="F33" s="102"/>
      <c r="G33" s="102"/>
      <c r="H33" s="128"/>
      <c r="I33" s="128"/>
    </row>
    <row r="34" spans="1:9" ht="20" customHeight="1" x14ac:dyDescent="0.2">
      <c r="A34" s="66" t="s">
        <v>79</v>
      </c>
      <c r="B34" s="158"/>
      <c r="C34" s="159"/>
      <c r="D34" s="159"/>
      <c r="E34" s="159"/>
      <c r="F34" s="159"/>
      <c r="G34" s="159"/>
      <c r="H34" s="160"/>
      <c r="I34" s="160"/>
    </row>
    <row r="35" spans="1:9" ht="24" customHeight="1" x14ac:dyDescent="0.2">
      <c r="A35" s="143" t="s">
        <v>48</v>
      </c>
      <c r="B35" s="150" t="s">
        <v>107</v>
      </c>
      <c r="C35" s="150" t="s">
        <v>108</v>
      </c>
      <c r="D35" s="150" t="s">
        <v>109</v>
      </c>
      <c r="E35" s="150" t="s">
        <v>110</v>
      </c>
      <c r="F35" s="150" t="s">
        <v>111</v>
      </c>
      <c r="G35" s="150" t="s">
        <v>87</v>
      </c>
      <c r="H35" s="151"/>
      <c r="I35" s="151"/>
    </row>
    <row r="36" spans="1:9" ht="18" customHeight="1" x14ac:dyDescent="0.2">
      <c r="A36" s="78" t="s">
        <v>51</v>
      </c>
      <c r="B36" s="125">
        <f>FEE_GRID!$D$32</f>
        <v>26086.956521739132</v>
      </c>
      <c r="C36" s="125">
        <f>B36*DISCOUNT_REDUIT</f>
        <v>19565.217391304348</v>
      </c>
      <c r="D36" s="125">
        <f>B36*DISCOUNT_REDUIT_3PLUS</f>
        <v>19565.217391304348</v>
      </c>
      <c r="E36" s="125">
        <f>B36-C36</f>
        <v>6521.7391304347839</v>
      </c>
      <c r="F36" s="125">
        <f>B36-D36</f>
        <v>6521.7391304347839</v>
      </c>
      <c r="G36" s="161" t="s">
        <v>88</v>
      </c>
      <c r="H36" s="119"/>
      <c r="I36" s="119"/>
    </row>
    <row r="37" spans="1:9" ht="18" customHeight="1" x14ac:dyDescent="0.2">
      <c r="A37" s="80" t="s">
        <v>52</v>
      </c>
      <c r="B37" s="126">
        <f>FEE_GRID!$D$33</f>
        <v>30869.565217391308</v>
      </c>
      <c r="C37" s="126">
        <f>B37*DISCOUNT_REDUIT</f>
        <v>23152.17391304348</v>
      </c>
      <c r="D37" s="126">
        <f>B37*DISCOUNT_REDUIT_3PLUS</f>
        <v>23152.17391304348</v>
      </c>
      <c r="E37" s="126">
        <f>B37-C37</f>
        <v>7717.3913043478278</v>
      </c>
      <c r="F37" s="126">
        <f>B37-D37</f>
        <v>7717.3913043478278</v>
      </c>
      <c r="G37" s="162" t="s">
        <v>88</v>
      </c>
      <c r="H37" s="157"/>
      <c r="I37" s="157"/>
    </row>
    <row r="38" spans="1:9" ht="18" customHeight="1" x14ac:dyDescent="0.2">
      <c r="A38" s="83" t="s">
        <v>53</v>
      </c>
      <c r="B38" s="127">
        <f>FEE_GRID!$D$34</f>
        <v>31304.34782608696</v>
      </c>
      <c r="C38" s="127">
        <f>B38*DISCOUNT_REDUIT</f>
        <v>23478.26086956522</v>
      </c>
      <c r="D38" s="127">
        <f>B38*DISCOUNT_REDUIT_3PLUS</f>
        <v>23478.26086956522</v>
      </c>
      <c r="E38" s="127">
        <f>B38-C38</f>
        <v>7826.0869565217399</v>
      </c>
      <c r="F38" s="127">
        <f>B38-D38</f>
        <v>7826.0869565217399</v>
      </c>
      <c r="G38" s="163" t="s">
        <v>88</v>
      </c>
      <c r="H38" s="119"/>
      <c r="I38" s="119"/>
    </row>
    <row r="39" spans="1:9" ht="18" customHeight="1" x14ac:dyDescent="0.2">
      <c r="A39" s="80" t="s">
        <v>54</v>
      </c>
      <c r="B39" s="126">
        <f>FEE_GRID!$D$35</f>
        <v>31739.130434782612</v>
      </c>
      <c r="C39" s="126">
        <f>B39*DISCOUNT_REDUIT</f>
        <v>23804.34782608696</v>
      </c>
      <c r="D39" s="126">
        <f>B39*DISCOUNT_REDUIT_3PLUS</f>
        <v>23804.34782608696</v>
      </c>
      <c r="E39" s="126">
        <f>B39-C39</f>
        <v>7934.782608695652</v>
      </c>
      <c r="F39" s="126">
        <f>B39-D39</f>
        <v>7934.782608695652</v>
      </c>
      <c r="G39" s="162" t="s">
        <v>88</v>
      </c>
      <c r="H39" s="157"/>
      <c r="I39" s="157"/>
    </row>
    <row r="40" spans="1:9" ht="18" customHeight="1" x14ac:dyDescent="0.2">
      <c r="A40" s="83" t="s">
        <v>55</v>
      </c>
      <c r="B40" s="127">
        <f>FEE_GRID!$D$36</f>
        <v>35478.260869565223</v>
      </c>
      <c r="C40" s="127">
        <f>B40*DISCOUNT_REDUIT</f>
        <v>26608.695652173919</v>
      </c>
      <c r="D40" s="127">
        <f>B40*DISCOUNT_REDUIT_3PLUS</f>
        <v>26608.695652173919</v>
      </c>
      <c r="E40" s="127">
        <f>B40-C40</f>
        <v>8869.565217391304</v>
      </c>
      <c r="F40" s="127">
        <f>B40-D40</f>
        <v>8869.565217391304</v>
      </c>
      <c r="G40" s="163" t="s">
        <v>88</v>
      </c>
      <c r="H40" s="119"/>
      <c r="I40" s="119"/>
    </row>
    <row r="41" spans="1:9" ht="6" customHeight="1" x14ac:dyDescent="0.2">
      <c r="A41" s="74"/>
      <c r="B41" s="122"/>
      <c r="C41" s="122"/>
      <c r="D41" s="122"/>
      <c r="E41" s="122"/>
      <c r="F41" s="122"/>
      <c r="G41" s="122"/>
      <c r="H41" s="119"/>
      <c r="I41" s="119"/>
    </row>
    <row r="42" spans="1:9" ht="20" customHeight="1" x14ac:dyDescent="0.2">
      <c r="A42" s="144" t="s">
        <v>89</v>
      </c>
      <c r="B42" s="164"/>
      <c r="C42" s="165"/>
      <c r="D42" s="165"/>
      <c r="E42" s="165"/>
      <c r="F42" s="165"/>
      <c r="G42" s="165"/>
      <c r="H42" s="160"/>
      <c r="I42" s="160"/>
    </row>
    <row r="43" spans="1:9" ht="24" customHeight="1" x14ac:dyDescent="0.2">
      <c r="A43" s="143" t="s">
        <v>48</v>
      </c>
      <c r="B43" s="150" t="s">
        <v>107</v>
      </c>
      <c r="C43" s="150" t="s">
        <v>108</v>
      </c>
      <c r="D43" s="150" t="s">
        <v>109</v>
      </c>
      <c r="E43" s="150" t="s">
        <v>110</v>
      </c>
      <c r="F43" s="150" t="s">
        <v>111</v>
      </c>
      <c r="G43" s="150" t="s">
        <v>87</v>
      </c>
      <c r="H43" s="151"/>
      <c r="I43" s="151"/>
    </row>
    <row r="44" spans="1:9" ht="18" customHeight="1" x14ac:dyDescent="0.2">
      <c r="A44" s="78" t="s">
        <v>51</v>
      </c>
      <c r="B44" s="125">
        <f>FEE_GRID!$D$40</f>
        <v>34783</v>
      </c>
      <c r="C44" s="125">
        <f>B44*DISCOUNT_REDUIT</f>
        <v>26087.25</v>
      </c>
      <c r="D44" s="125">
        <f>B44*DISCOUNT_REDUIT_3PLUS</f>
        <v>26087.25</v>
      </c>
      <c r="E44" s="125">
        <f>B44-C44</f>
        <v>8695.75</v>
      </c>
      <c r="F44" s="125">
        <f>B44-D44</f>
        <v>8695.75</v>
      </c>
      <c r="G44" s="161" t="s">
        <v>90</v>
      </c>
      <c r="H44" s="119"/>
      <c r="I44" s="119"/>
    </row>
    <row r="45" spans="1:9" ht="18" customHeight="1" x14ac:dyDescent="0.2">
      <c r="A45" s="80" t="s">
        <v>52</v>
      </c>
      <c r="B45" s="126">
        <f>FEE_GRID!$D$41</f>
        <v>36650</v>
      </c>
      <c r="C45" s="126">
        <f>B45*DISCOUNT_REDUIT</f>
        <v>27487.5</v>
      </c>
      <c r="D45" s="126">
        <f>B45*DISCOUNT_REDUIT_3PLUS</f>
        <v>27487.5</v>
      </c>
      <c r="E45" s="126">
        <f>B45-C45</f>
        <v>9162.5</v>
      </c>
      <c r="F45" s="126">
        <f>B45-D45</f>
        <v>9162.5</v>
      </c>
      <c r="G45" s="162" t="s">
        <v>90</v>
      </c>
      <c r="H45" s="157"/>
      <c r="I45" s="157"/>
    </row>
    <row r="46" spans="1:9" ht="18" customHeight="1" x14ac:dyDescent="0.2">
      <c r="A46" s="83" t="s">
        <v>53</v>
      </c>
      <c r="B46" s="127">
        <f>FEE_GRID!$D$42</f>
        <v>36650</v>
      </c>
      <c r="C46" s="127">
        <f>B46*DISCOUNT_REDUIT</f>
        <v>27487.5</v>
      </c>
      <c r="D46" s="127">
        <f>B46*DISCOUNT_REDUIT_3PLUS</f>
        <v>27487.5</v>
      </c>
      <c r="E46" s="127">
        <f>B46-C46</f>
        <v>9162.5</v>
      </c>
      <c r="F46" s="127">
        <f>B46-D46</f>
        <v>9162.5</v>
      </c>
      <c r="G46" s="163" t="s">
        <v>90</v>
      </c>
      <c r="H46" s="119"/>
      <c r="I46" s="119"/>
    </row>
    <row r="47" spans="1:9" ht="18" customHeight="1" x14ac:dyDescent="0.2">
      <c r="A47" s="80" t="s">
        <v>54</v>
      </c>
      <c r="B47" s="126">
        <f>FEE_GRID!$D$43</f>
        <v>36650</v>
      </c>
      <c r="C47" s="126">
        <f>B47*DISCOUNT_REDUIT</f>
        <v>27487.5</v>
      </c>
      <c r="D47" s="126">
        <f>B47*DISCOUNT_REDUIT_3PLUS</f>
        <v>27487.5</v>
      </c>
      <c r="E47" s="126">
        <f>B47-C47</f>
        <v>9162.5</v>
      </c>
      <c r="F47" s="126">
        <f>B47-D47</f>
        <v>9162.5</v>
      </c>
      <c r="G47" s="162" t="s">
        <v>90</v>
      </c>
      <c r="H47" s="157"/>
      <c r="I47" s="157"/>
    </row>
    <row r="48" spans="1:9" ht="18" customHeight="1" x14ac:dyDescent="0.2">
      <c r="A48" s="83" t="s">
        <v>55</v>
      </c>
      <c r="B48" s="127">
        <f>FEE_GRID!$D$44</f>
        <v>41000</v>
      </c>
      <c r="C48" s="127">
        <f>B48*DISCOUNT_REDUIT</f>
        <v>30750</v>
      </c>
      <c r="D48" s="127">
        <f>B48*DISCOUNT_REDUIT_3PLUS</f>
        <v>30750</v>
      </c>
      <c r="E48" s="127">
        <f>B48-C48</f>
        <v>10250</v>
      </c>
      <c r="F48" s="127">
        <f>B48-D48</f>
        <v>10250</v>
      </c>
      <c r="G48" s="163" t="s">
        <v>90</v>
      </c>
      <c r="H48" s="119"/>
      <c r="I48" s="119"/>
    </row>
    <row r="49" spans="1:9" ht="6" customHeight="1" x14ac:dyDescent="0.2">
      <c r="A49" s="74"/>
      <c r="B49" s="122"/>
      <c r="C49" s="122"/>
      <c r="D49" s="122"/>
      <c r="E49" s="122"/>
      <c r="F49" s="122"/>
      <c r="G49" s="122"/>
      <c r="H49" s="119"/>
      <c r="I49" s="119"/>
    </row>
    <row r="50" spans="1:9" ht="20" customHeight="1" x14ac:dyDescent="0.2">
      <c r="A50" s="144" t="s">
        <v>91</v>
      </c>
      <c r="B50" s="164"/>
      <c r="C50" s="165"/>
      <c r="D50" s="165"/>
      <c r="E50" s="165"/>
      <c r="F50" s="165"/>
      <c r="G50" s="165"/>
      <c r="H50" s="160"/>
      <c r="I50" s="160"/>
    </row>
    <row r="51" spans="1:9" ht="24" customHeight="1" x14ac:dyDescent="0.2">
      <c r="A51" s="143" t="s">
        <v>48</v>
      </c>
      <c r="B51" s="150" t="s">
        <v>107</v>
      </c>
      <c r="C51" s="150" t="s">
        <v>108</v>
      </c>
      <c r="D51" s="150" t="s">
        <v>109</v>
      </c>
      <c r="E51" s="150" t="s">
        <v>110</v>
      </c>
      <c r="F51" s="150" t="s">
        <v>111</v>
      </c>
      <c r="G51" s="150" t="s">
        <v>87</v>
      </c>
      <c r="H51" s="151"/>
      <c r="I51" s="151"/>
    </row>
    <row r="52" spans="1:9" ht="18" customHeight="1" x14ac:dyDescent="0.2">
      <c r="A52" s="78" t="s">
        <v>51</v>
      </c>
      <c r="B52" s="125">
        <f>FEE_GRID!$D$48</f>
        <v>34782.608695652176</v>
      </c>
      <c r="C52" s="125">
        <f>B52*DISCOUNT_REDUIT</f>
        <v>26086.956521739132</v>
      </c>
      <c r="D52" s="125">
        <f>B52*DISCOUNT_REDUIT_3PLUS</f>
        <v>26086.956521739132</v>
      </c>
      <c r="E52" s="125">
        <f>B52-C52</f>
        <v>8695.652173913044</v>
      </c>
      <c r="F52" s="125">
        <f>B52-D52</f>
        <v>8695.652173913044</v>
      </c>
      <c r="G52" s="161" t="s">
        <v>88</v>
      </c>
      <c r="H52" s="119"/>
      <c r="I52" s="119"/>
    </row>
    <row r="53" spans="1:9" ht="18" customHeight="1" x14ac:dyDescent="0.2">
      <c r="A53" s="80" t="s">
        <v>52</v>
      </c>
      <c r="B53" s="126">
        <f>FEE_GRID!$D$49</f>
        <v>36521.739130434784</v>
      </c>
      <c r="C53" s="126">
        <f>B53*DISCOUNT_REDUIT</f>
        <v>27391.304347826088</v>
      </c>
      <c r="D53" s="126">
        <f>B53*DISCOUNT_REDUIT_3PLUS</f>
        <v>27391.304347826088</v>
      </c>
      <c r="E53" s="126">
        <f>B53-C53</f>
        <v>9130.434782608696</v>
      </c>
      <c r="F53" s="126">
        <f>B53-D53</f>
        <v>9130.434782608696</v>
      </c>
      <c r="G53" s="162" t="s">
        <v>88</v>
      </c>
      <c r="H53" s="157"/>
      <c r="I53" s="157"/>
    </row>
    <row r="54" spans="1:9" ht="18" customHeight="1" x14ac:dyDescent="0.2">
      <c r="A54" s="83" t="s">
        <v>53</v>
      </c>
      <c r="B54" s="127">
        <f>FEE_GRID!$D$50</f>
        <v>36521.739130434784</v>
      </c>
      <c r="C54" s="127">
        <f>B54*DISCOUNT_REDUIT</f>
        <v>27391.304347826088</v>
      </c>
      <c r="D54" s="127">
        <f>B54*DISCOUNT_REDUIT_3PLUS</f>
        <v>27391.304347826088</v>
      </c>
      <c r="E54" s="127">
        <f>B54-C54</f>
        <v>9130.434782608696</v>
      </c>
      <c r="F54" s="127">
        <f>B54-D54</f>
        <v>9130.434782608696</v>
      </c>
      <c r="G54" s="163" t="s">
        <v>88</v>
      </c>
      <c r="H54" s="119"/>
      <c r="I54" s="119"/>
    </row>
    <row r="55" spans="1:9" ht="18" customHeight="1" x14ac:dyDescent="0.2">
      <c r="A55" s="80" t="s">
        <v>54</v>
      </c>
      <c r="B55" s="126">
        <f>FEE_GRID!$D$51</f>
        <v>36956.52173913044</v>
      </c>
      <c r="C55" s="126">
        <f>B55*DISCOUNT_REDUIT</f>
        <v>27717.391304347831</v>
      </c>
      <c r="D55" s="126">
        <f>B55*DISCOUNT_REDUIT_3PLUS</f>
        <v>27717.391304347831</v>
      </c>
      <c r="E55" s="126">
        <f>B55-C55</f>
        <v>9239.1304347826081</v>
      </c>
      <c r="F55" s="126">
        <f>B55-D55</f>
        <v>9239.1304347826081</v>
      </c>
      <c r="G55" s="162" t="s">
        <v>88</v>
      </c>
      <c r="H55" s="157"/>
      <c r="I55" s="157"/>
    </row>
    <row r="56" spans="1:9" ht="18" customHeight="1" x14ac:dyDescent="0.2">
      <c r="A56" s="83" t="s">
        <v>55</v>
      </c>
      <c r="B56" s="127">
        <f>FEE_GRID!$D$52</f>
        <v>41304.34782608696</v>
      </c>
      <c r="C56" s="127">
        <f>B56*DISCOUNT_REDUIT</f>
        <v>30978.26086956522</v>
      </c>
      <c r="D56" s="127">
        <f>B56*DISCOUNT_REDUIT_3PLUS</f>
        <v>30978.26086956522</v>
      </c>
      <c r="E56" s="127">
        <f>B56-C56</f>
        <v>10326.08695652174</v>
      </c>
      <c r="F56" s="127">
        <f>B56-D56</f>
        <v>10326.08695652174</v>
      </c>
      <c r="G56" s="163" t="s">
        <v>88</v>
      </c>
      <c r="H56" s="119"/>
      <c r="I56" s="119"/>
    </row>
    <row r="57" spans="1:9" ht="6" customHeight="1" x14ac:dyDescent="0.2">
      <c r="A57" s="73"/>
      <c r="B57" s="121"/>
      <c r="C57" s="121"/>
      <c r="D57" s="121"/>
      <c r="E57" s="121"/>
      <c r="F57" s="121"/>
      <c r="G57" s="121"/>
      <c r="H57" s="119"/>
      <c r="I57" s="119"/>
    </row>
    <row r="58" spans="1:9" ht="6" customHeight="1" thickBot="1" x14ac:dyDescent="0.25">
      <c r="A58" s="73"/>
      <c r="B58" s="121"/>
      <c r="C58" s="121"/>
      <c r="D58" s="121"/>
      <c r="E58" s="121"/>
      <c r="F58" s="121"/>
      <c r="G58" s="121"/>
      <c r="H58" s="119"/>
      <c r="I58" s="119"/>
    </row>
    <row r="59" spans="1:9" ht="22" customHeight="1" x14ac:dyDescent="0.2">
      <c r="A59" s="145" t="s">
        <v>113</v>
      </c>
      <c r="B59" s="166"/>
      <c r="C59" s="167"/>
      <c r="D59" s="167"/>
      <c r="E59" s="167"/>
      <c r="F59" s="167"/>
      <c r="G59" s="171"/>
      <c r="H59" s="128"/>
      <c r="I59" s="128"/>
    </row>
    <row r="60" spans="1:9" ht="24" customHeight="1" x14ac:dyDescent="0.2">
      <c r="A60" s="143" t="s">
        <v>48</v>
      </c>
      <c r="B60" s="150" t="s">
        <v>114</v>
      </c>
      <c r="C60" s="150" t="s">
        <v>115</v>
      </c>
      <c r="D60" s="150" t="s">
        <v>116</v>
      </c>
      <c r="E60" s="150" t="s">
        <v>117</v>
      </c>
      <c r="F60" s="150" t="s">
        <v>118</v>
      </c>
      <c r="G60" s="172" t="s">
        <v>119</v>
      </c>
      <c r="H60" s="151"/>
      <c r="I60" s="151"/>
    </row>
    <row r="61" spans="1:9" ht="18" customHeight="1" x14ac:dyDescent="0.2">
      <c r="A61" s="78" t="s">
        <v>51</v>
      </c>
      <c r="B61" s="125">
        <f>ENROLLMENT_DETAIL!$C$24+ENROLLMENT_DETAIL!$G$24+ENROLLMENT_DETAIL!$K$24</f>
        <v>1</v>
      </c>
      <c r="C61" s="125">
        <f>ENROLLMENT_DETAIL!$C$24*DISCOUNTS!$E$10+ENROLLMENT_DETAIL!$G$24*DISCOUNTS!$E$18+ENROLLMENT_DETAIL!$K$24*DISCOUNTS!$E$26</f>
        <v>6521.7391304347839</v>
      </c>
      <c r="D61" s="125">
        <f>ENROLLMENT_DETAIL!$D$24+ENROLLMENT_DETAIL!$H$24+ENROLLMENT_DETAIL!$L$24</f>
        <v>12</v>
      </c>
      <c r="E61" s="125">
        <f>ENROLLMENT_DETAIL!$D$24*DISCOUNTS!$F$10+ENROLLMENT_DETAIL!$H$24*DISCOUNTS!$F$18+ENROLLMENT_DETAIL!$L$24*DISCOUNTS!$F$26</f>
        <v>91304.445652173919</v>
      </c>
      <c r="F61" s="125">
        <f>C61+E61</f>
        <v>97826.184782608703</v>
      </c>
      <c r="G61" s="173"/>
      <c r="H61" s="119"/>
      <c r="I61" s="119"/>
    </row>
    <row r="62" spans="1:9" ht="18" customHeight="1" x14ac:dyDescent="0.2">
      <c r="A62" s="80" t="s">
        <v>52</v>
      </c>
      <c r="B62" s="126">
        <f>ENROLLMENT_DETAIL!$C$25+ENROLLMENT_DETAIL!$G$25+ENROLLMENT_DETAIL!$K$25</f>
        <v>6</v>
      </c>
      <c r="C62" s="126">
        <f>ENROLLMENT_DETAIL!$C$25*DISCOUNTS!$E$11+ENROLLMENT_DETAIL!$G$25*DISCOUNTS!$E$19+ENROLLMENT_DETAIL!$K$25*DISCOUNTS!$E$27</f>
        <v>49239.130434782615</v>
      </c>
      <c r="D62" s="126">
        <f>ENROLLMENT_DETAIL!$D$25+ENROLLMENT_DETAIL!$H$25+ENROLLMENT_DETAIL!$L$25</f>
        <v>48</v>
      </c>
      <c r="E62" s="126">
        <f>ENROLLMENT_DETAIL!$D$25*DISCOUNTS!$F$11+ENROLLMENT_DETAIL!$H$25*DISCOUNTS!$F$19+ENROLLMENT_DETAIL!$L$25*DISCOUNTS!$F$27</f>
        <v>399563.58695652179</v>
      </c>
      <c r="F62" s="126">
        <f>C62+E62</f>
        <v>448802.71739130438</v>
      </c>
      <c r="G62" s="174"/>
      <c r="H62" s="157"/>
      <c r="I62" s="157"/>
    </row>
    <row r="63" spans="1:9" ht="18" customHeight="1" x14ac:dyDescent="0.2">
      <c r="A63" s="83" t="s">
        <v>53</v>
      </c>
      <c r="B63" s="127">
        <f>ENROLLMENT_DETAIL!$C$26+ENROLLMENT_DETAIL!$G$26+ENROLLMENT_DETAIL!$K$26</f>
        <v>20</v>
      </c>
      <c r="C63" s="127">
        <f>ENROLLMENT_DETAIL!$C$26*DISCOUNTS!$E$12+ENROLLMENT_DETAIL!$G$26*DISCOUNTS!$E$20+ENROLLMENT_DETAIL!$K$26*DISCOUNTS!$E$28</f>
        <v>164130.4347826087</v>
      </c>
      <c r="D63" s="127">
        <f>ENROLLMENT_DETAIL!$D$26+ENROLLMENT_DETAIL!$H$26+ENROLLMENT_DETAIL!$L$26</f>
        <v>104</v>
      </c>
      <c r="E63" s="127">
        <f>ENROLLMENT_DETAIL!$D$26*DISCOUNTS!$F$12+ENROLLMENT_DETAIL!$H$26*DISCOUNTS!$F$20+ENROLLMENT_DETAIL!$L$26*DISCOUNTS!$F$28</f>
        <v>860540.7608695653</v>
      </c>
      <c r="F63" s="127">
        <f>C63+E63</f>
        <v>1024671.1956521741</v>
      </c>
      <c r="G63" s="175"/>
      <c r="H63" s="119"/>
      <c r="I63" s="119"/>
    </row>
    <row r="64" spans="1:9" ht="18" customHeight="1" x14ac:dyDescent="0.2">
      <c r="A64" s="80" t="s">
        <v>54</v>
      </c>
      <c r="B64" s="126">
        <f>ENROLLMENT_DETAIL!$C$27+ENROLLMENT_DETAIL!$G$27+ENROLLMENT_DETAIL!$K$27</f>
        <v>20</v>
      </c>
      <c r="C64" s="126">
        <f>ENROLLMENT_DETAIL!$C$27*DISCOUNTS!$E$13+ENROLLMENT_DETAIL!$G$27*DISCOUNTS!$E$21+ENROLLMENT_DETAIL!$K$27*DISCOUNTS!$E$29</f>
        <v>171195.65217391308</v>
      </c>
      <c r="D64" s="126">
        <f>ENROLLMENT_DETAIL!$D$27+ENROLLMENT_DETAIL!$H$27+ENROLLMENT_DETAIL!$L$27</f>
        <v>34</v>
      </c>
      <c r="E64" s="126">
        <f>ENROLLMENT_DETAIL!$D$27*DISCOUNTS!$F$13+ENROLLMENT_DETAIL!$H$27*DISCOUNTS!$F$21+ENROLLMENT_DETAIL!$L$27*DISCOUNTS!$F$29</f>
        <v>277608.69565217395</v>
      </c>
      <c r="F64" s="126">
        <f>C64+E64</f>
        <v>448804.34782608703</v>
      </c>
      <c r="G64" s="174"/>
      <c r="H64" s="157"/>
      <c r="I64" s="157"/>
    </row>
    <row r="65" spans="1:9" ht="18" customHeight="1" x14ac:dyDescent="0.2">
      <c r="A65" s="83" t="s">
        <v>55</v>
      </c>
      <c r="B65" s="127">
        <f>ENROLLMENT_DETAIL!$C$28+ENROLLMENT_DETAIL!$G$28+ENROLLMENT_DETAIL!$K$28</f>
        <v>22</v>
      </c>
      <c r="C65" s="127">
        <f>ENROLLMENT_DETAIL!$C$28*DISCOUNTS!$E$14+ENROLLMENT_DETAIL!$G$28*DISCOUNTS!$E$22+ENROLLMENT_DETAIL!$K$28*DISCOUNTS!$E$30</f>
        <v>210217.39130434784</v>
      </c>
      <c r="D65" s="127">
        <f>ENROLLMENT_DETAIL!$D$28+ENROLLMENT_DETAIL!$H$28+ENROLLMENT_DETAIL!$L$28</f>
        <v>0</v>
      </c>
      <c r="E65" s="127">
        <f>ENROLLMENT_DETAIL!$D$28*DISCOUNTS!$F$14+ENROLLMENT_DETAIL!$H$28*DISCOUNTS!$F$22+ENROLLMENT_DETAIL!$L$28*DISCOUNTS!$F$30</f>
        <v>0</v>
      </c>
      <c r="F65" s="127">
        <f>C65+E65</f>
        <v>210217.39130434784</v>
      </c>
      <c r="G65" s="175"/>
      <c r="H65" s="119"/>
      <c r="I65" s="119"/>
    </row>
    <row r="66" spans="1:9" ht="6" customHeight="1" thickBot="1" x14ac:dyDescent="0.25">
      <c r="A66" s="73"/>
      <c r="B66" s="121"/>
      <c r="C66" s="121"/>
      <c r="D66" s="121"/>
      <c r="E66" s="121"/>
      <c r="F66" s="121"/>
      <c r="G66" s="121"/>
      <c r="H66" s="119"/>
      <c r="I66" s="119"/>
    </row>
    <row r="67" spans="1:9" ht="24" customHeight="1" thickTop="1" thickBot="1" x14ac:dyDescent="0.25">
      <c r="A67" s="146" t="s">
        <v>120</v>
      </c>
      <c r="B67" s="169">
        <f>B61+B62+B63+B64+B65</f>
        <v>69</v>
      </c>
      <c r="C67" s="169">
        <f>C61+C62+C63+C64+C65</f>
        <v>601304.34782608703</v>
      </c>
      <c r="D67" s="169">
        <f>D61+D62+D63+D64+D65</f>
        <v>198</v>
      </c>
      <c r="E67" s="169">
        <f>E61+E62+E63+E64+E65</f>
        <v>1629017.489130435</v>
      </c>
      <c r="F67" s="169">
        <f>F61+F62+F63+F64+F65</f>
        <v>2230321.836956522</v>
      </c>
      <c r="G67" s="169">
        <f>IF(ENROLLMENT_DETAIL!$P$29=0,0,F67/ENROLLMENT_DETAIL!$P$29)</f>
        <v>3.8286184504492234E-2</v>
      </c>
      <c r="H67" s="170"/>
      <c r="I67" s="170">
        <f>F67/10</f>
        <v>223032.1836956522</v>
      </c>
    </row>
    <row r="68" spans="1:9" ht="6" customHeight="1" thickTop="1" thickBot="1" x14ac:dyDescent="0.25">
      <c r="A68" s="15"/>
      <c r="B68" s="119"/>
      <c r="C68" s="119"/>
      <c r="D68" s="119"/>
      <c r="E68" s="119"/>
      <c r="F68" s="119"/>
      <c r="G68" s="119"/>
      <c r="H68" s="119"/>
      <c r="I68" s="119"/>
    </row>
    <row r="69" spans="1:9" ht="22" customHeight="1" x14ac:dyDescent="0.2">
      <c r="A69" s="149" t="s">
        <v>121</v>
      </c>
      <c r="B69" s="167"/>
      <c r="C69" s="167"/>
      <c r="D69" s="167"/>
      <c r="E69" s="167"/>
      <c r="F69" s="167"/>
      <c r="G69" s="171"/>
      <c r="H69" s="128"/>
      <c r="I69" s="128"/>
    </row>
    <row r="70" spans="1:9" ht="24" customHeight="1" x14ac:dyDescent="0.2">
      <c r="A70" s="143" t="s">
        <v>48</v>
      </c>
      <c r="B70" s="150" t="s">
        <v>114</v>
      </c>
      <c r="C70" s="150" t="s">
        <v>115</v>
      </c>
      <c r="D70" s="150" t="s">
        <v>116</v>
      </c>
      <c r="E70" s="150" t="s">
        <v>117</v>
      </c>
      <c r="F70" s="150" t="s">
        <v>118</v>
      </c>
      <c r="G70" s="172" t="s">
        <v>119</v>
      </c>
      <c r="H70" s="151"/>
      <c r="I70" s="151"/>
    </row>
    <row r="71" spans="1:9" ht="18" customHeight="1" x14ac:dyDescent="0.2">
      <c r="A71" s="78" t="s">
        <v>51</v>
      </c>
      <c r="B71" s="125">
        <f>ENROLLMENT_DETAIL!$C$51+ENROLLMENT_DETAIL!$G$51+ENROLLMENT_DETAIL!$K$51</f>
        <v>1</v>
      </c>
      <c r="C71" s="125">
        <f>ENROLLMENT_DETAIL!$C$51*DISCOUNTS!$E$36+ENROLLMENT_DETAIL!$G$51*DISCOUNTS!$E$44+ENROLLMENT_DETAIL!$K$51*DISCOUNTS!$E$52</f>
        <v>6521.7391304347839</v>
      </c>
      <c r="D71" s="125">
        <f>ENROLLMENT_DETAIL!$D$51+ENROLLMENT_DETAIL!$H$51+ENROLLMENT_DETAIL!$L$51</f>
        <v>12</v>
      </c>
      <c r="E71" s="125">
        <f>ENROLLMENT_DETAIL!$D$51*DISCOUNTS!$F$36+ENROLLMENT_DETAIL!$H$51*DISCOUNTS!$F$44+ENROLLMENT_DETAIL!$L$51*DISCOUNTS!$F$52</f>
        <v>91304.445652173919</v>
      </c>
      <c r="F71" s="125">
        <f>C71+E71</f>
        <v>97826.184782608703</v>
      </c>
      <c r="G71" s="173"/>
      <c r="H71" s="119"/>
      <c r="I71" s="119"/>
    </row>
    <row r="72" spans="1:9" ht="18" customHeight="1" x14ac:dyDescent="0.2">
      <c r="A72" s="80" t="s">
        <v>52</v>
      </c>
      <c r="B72" s="126">
        <f>ENROLLMENT_DETAIL!$C$52+ENROLLMENT_DETAIL!$G$52+ENROLLMENT_DETAIL!$K$52</f>
        <v>5</v>
      </c>
      <c r="C72" s="126">
        <f>ENROLLMENT_DETAIL!$C$52*DISCOUNTS!$E$37+ENROLLMENT_DETAIL!$G$52*DISCOUNTS!$E$45+ENROLLMENT_DETAIL!$K$52*DISCOUNTS!$E$53</f>
        <v>41413.043478260879</v>
      </c>
      <c r="D72" s="126">
        <f>ENROLLMENT_DETAIL!$D$52+ENROLLMENT_DETAIL!$H$52+ENROLLMENT_DETAIL!$L$52</f>
        <v>45</v>
      </c>
      <c r="E72" s="126">
        <f>ENROLLMENT_DETAIL!$D$52*DISCOUNTS!$F$37+ENROLLMENT_DETAIL!$H$52*DISCOUNTS!$F$45+ENROLLMENT_DETAIL!$L$52*DISCOUNTS!$F$53</f>
        <v>382704.89130434784</v>
      </c>
      <c r="F72" s="126">
        <f>C72+E72</f>
        <v>424117.9347826087</v>
      </c>
      <c r="G72" s="174"/>
      <c r="H72" s="157"/>
      <c r="I72" s="157"/>
    </row>
    <row r="73" spans="1:9" ht="18" customHeight="1" x14ac:dyDescent="0.2">
      <c r="A73" s="83" t="s">
        <v>53</v>
      </c>
      <c r="B73" s="127">
        <f>ENROLLMENT_DETAIL!$C$53+ENROLLMENT_DETAIL!$G$53+ENROLLMENT_DETAIL!$K$53</f>
        <v>20</v>
      </c>
      <c r="C73" s="127">
        <f>ENROLLMENT_DETAIL!$C$53*DISCOUNTS!$E$38+ENROLLMENT_DETAIL!$G$53*DISCOUNTS!$E$46+ENROLLMENT_DETAIL!$K$53*DISCOUNTS!$E$54</f>
        <v>169565.21739130438</v>
      </c>
      <c r="D73" s="127">
        <f>ENROLLMENT_DETAIL!$D$53+ENROLLMENT_DETAIL!$H$53+ENROLLMENT_DETAIL!$L$53</f>
        <v>111</v>
      </c>
      <c r="E73" s="127">
        <f>ENROLLMENT_DETAIL!$D$53*DISCOUNTS!$F$38+ENROLLMENT_DETAIL!$H$53*DISCOUNTS!$F$46+ENROLLMENT_DETAIL!$L$53*DISCOUNTS!$F$54</f>
        <v>949757.60869565222</v>
      </c>
      <c r="F73" s="127">
        <f>C73+E73</f>
        <v>1119322.8260869565</v>
      </c>
      <c r="G73" s="175"/>
      <c r="H73" s="119"/>
      <c r="I73" s="119"/>
    </row>
    <row r="74" spans="1:9" ht="18" customHeight="1" x14ac:dyDescent="0.2">
      <c r="A74" s="80" t="s">
        <v>54</v>
      </c>
      <c r="B74" s="126">
        <f>ENROLLMENT_DETAIL!$C$54+ENROLLMENT_DETAIL!$G$54+ENROLLMENT_DETAIL!$K$54</f>
        <v>18</v>
      </c>
      <c r="C74" s="126">
        <f>ENROLLMENT_DETAIL!$C$54*DISCOUNTS!$E$39+ENROLLMENT_DETAIL!$G$54*DISCOUNTS!$E$47+ENROLLMENT_DETAIL!$K$54*DISCOUNTS!$E$55</f>
        <v>158478.26086956522</v>
      </c>
      <c r="D74" s="126">
        <f>ENROLLMENT_DETAIL!$D$54+ENROLLMENT_DETAIL!$H$54+ENROLLMENT_DETAIL!$L$54</f>
        <v>47</v>
      </c>
      <c r="E74" s="126">
        <f>ENROLLMENT_DETAIL!$D$54*DISCOUNTS!$F$39+ENROLLMENT_DETAIL!$H$54*DISCOUNTS!$F$47+ENROLLMENT_DETAIL!$L$54*DISCOUNTS!$F$55</f>
        <v>404162.5</v>
      </c>
      <c r="F74" s="126">
        <f>C74+E74</f>
        <v>562640.76086956519</v>
      </c>
      <c r="G74" s="174"/>
      <c r="H74" s="157"/>
      <c r="I74" s="157"/>
    </row>
    <row r="75" spans="1:9" ht="18" customHeight="1" x14ac:dyDescent="0.2">
      <c r="A75" s="83" t="s">
        <v>55</v>
      </c>
      <c r="B75" s="127">
        <f>ENROLLMENT_DETAIL!$C$55+ENROLLMENT_DETAIL!$G$55+ENROLLMENT_DETAIL!$K$55</f>
        <v>20</v>
      </c>
      <c r="C75" s="127">
        <f>ENROLLMENT_DETAIL!$C$55*DISCOUNTS!$E$40+ENROLLMENT_DETAIL!$G$55*DISCOUNTS!$E$48+ENROLLMENT_DETAIL!$K$55*DISCOUNTS!$E$56</f>
        <v>199239.13043478262</v>
      </c>
      <c r="D75" s="127">
        <f>ENROLLMENT_DETAIL!$D$55+ENROLLMENT_DETAIL!$H$55+ENROLLMENT_DETAIL!$L$55</f>
        <v>9</v>
      </c>
      <c r="E75" s="127">
        <f>ENROLLMENT_DETAIL!$D$55*DISCOUNTS!$F$40+ENROLLMENT_DETAIL!$H$55*DISCOUNTS!$F$48+ENROLLMENT_DETAIL!$L$55*DISCOUNTS!$F$56</f>
        <v>85652.173913043487</v>
      </c>
      <c r="F75" s="127">
        <f>C75+E75</f>
        <v>284891.30434782611</v>
      </c>
      <c r="G75" s="175"/>
      <c r="H75" s="119"/>
      <c r="I75" s="119"/>
    </row>
    <row r="76" spans="1:9" ht="6" customHeight="1" thickBot="1" x14ac:dyDescent="0.25">
      <c r="A76" s="73"/>
      <c r="B76" s="121"/>
      <c r="C76" s="121"/>
      <c r="D76" s="121"/>
      <c r="E76" s="121"/>
      <c r="F76" s="121"/>
      <c r="G76" s="175"/>
      <c r="H76" s="119"/>
      <c r="I76" s="119"/>
    </row>
    <row r="77" spans="1:9" ht="24" customHeight="1" thickTop="1" thickBot="1" x14ac:dyDescent="0.25">
      <c r="A77" s="146" t="s">
        <v>120</v>
      </c>
      <c r="B77" s="169">
        <f>B71+B72+B73+B74+B75</f>
        <v>64</v>
      </c>
      <c r="C77" s="169">
        <f>C71+C72+C73+C74+C75</f>
        <v>575217.3913043479</v>
      </c>
      <c r="D77" s="169">
        <f>D71+D72+D73+D74+D75</f>
        <v>224</v>
      </c>
      <c r="E77" s="169">
        <f>E71+E72+E73+E74+E75</f>
        <v>1913581.6195652173</v>
      </c>
      <c r="F77" s="169">
        <f>F71+F72+F73+F74+F75</f>
        <v>2488799.0108695654</v>
      </c>
      <c r="G77" s="169">
        <f>IF(ENROLLMENT_DETAIL!$P$56=0,0,F77/ENROLLMENT_DETAIL!$P$56)</f>
        <v>4.1445655977239378E-2</v>
      </c>
      <c r="H77" s="170"/>
      <c r="I77" s="170">
        <f>F77/10</f>
        <v>248879.90108695655</v>
      </c>
    </row>
    <row r="78" spans="1:9" ht="16" thickTop="1" x14ac:dyDescent="0.2"/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8C8D"/>
  </sheetPr>
  <dimension ref="A1:H9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8" width="14.1640625" customWidth="1"/>
    <col min="9" max="9" width="12" customWidth="1"/>
  </cols>
  <sheetData>
    <row r="1" spans="1:8" s="1" customFormat="1" ht="30" customHeight="1" thickBot="1" x14ac:dyDescent="0.3">
      <c r="A1" s="26" t="s">
        <v>122</v>
      </c>
      <c r="B1" s="26"/>
      <c r="C1" s="26"/>
      <c r="D1" s="26"/>
      <c r="E1" s="26"/>
      <c r="F1" s="26"/>
      <c r="G1" s="26"/>
      <c r="H1" s="26"/>
    </row>
    <row r="2" spans="1:8" ht="6" customHeight="1" thickTop="1" x14ac:dyDescent="0.2">
      <c r="A2" s="25"/>
      <c r="B2" s="25"/>
      <c r="C2" s="25"/>
      <c r="D2" s="25"/>
      <c r="E2" s="25"/>
      <c r="F2" s="25"/>
      <c r="G2" s="25"/>
      <c r="H2" s="3"/>
    </row>
    <row r="3" spans="1:8" ht="22" customHeight="1" x14ac:dyDescent="0.2">
      <c r="A3" s="75" t="s">
        <v>123</v>
      </c>
      <c r="B3" s="139"/>
      <c r="C3" s="140"/>
      <c r="D3" s="140"/>
      <c r="E3" s="140"/>
      <c r="F3" s="140"/>
      <c r="G3" s="140"/>
      <c r="H3" s="87"/>
    </row>
    <row r="4" spans="1:8" ht="24" customHeight="1" x14ac:dyDescent="0.2">
      <c r="A4" s="143" t="s">
        <v>61</v>
      </c>
      <c r="B4" s="143" t="s">
        <v>124</v>
      </c>
      <c r="C4" s="143" t="s">
        <v>125</v>
      </c>
      <c r="D4" s="143" t="s">
        <v>126</v>
      </c>
      <c r="E4" s="143" t="s">
        <v>127</v>
      </c>
      <c r="F4" s="143" t="s">
        <v>128</v>
      </c>
      <c r="G4" s="143" t="s">
        <v>129</v>
      </c>
      <c r="H4" s="14"/>
    </row>
    <row r="5" spans="1:8" ht="18" customHeight="1" x14ac:dyDescent="0.2">
      <c r="A5" s="78" t="s">
        <v>62</v>
      </c>
      <c r="B5" s="34" t="s">
        <v>130</v>
      </c>
      <c r="C5" s="105">
        <v>60</v>
      </c>
      <c r="D5" s="105">
        <v>67</v>
      </c>
      <c r="E5" s="105">
        <v>68</v>
      </c>
      <c r="F5" s="105">
        <v>59</v>
      </c>
      <c r="G5" s="108">
        <v>65</v>
      </c>
      <c r="H5" s="16"/>
    </row>
    <row r="6" spans="1:8" ht="18" customHeight="1" thickBot="1" x14ac:dyDescent="0.25">
      <c r="A6" s="80" t="s">
        <v>63</v>
      </c>
      <c r="B6" s="35" t="s">
        <v>131</v>
      </c>
      <c r="C6" s="109">
        <v>94</v>
      </c>
      <c r="D6" s="109">
        <v>85</v>
      </c>
      <c r="E6" s="109">
        <v>86</v>
      </c>
      <c r="F6" s="109">
        <v>109</v>
      </c>
      <c r="G6" s="55">
        <v>71</v>
      </c>
      <c r="H6" s="19"/>
    </row>
    <row r="7" spans="1:8" ht="18" customHeight="1" x14ac:dyDescent="0.2">
      <c r="A7" s="176" t="s">
        <v>64</v>
      </c>
      <c r="B7" s="177" t="s">
        <v>132</v>
      </c>
      <c r="C7" s="197">
        <v>97</v>
      </c>
      <c r="D7" s="197">
        <v>115</v>
      </c>
      <c r="E7" s="197">
        <v>95</v>
      </c>
      <c r="F7" s="197">
        <v>123</v>
      </c>
      <c r="G7" s="198">
        <v>124</v>
      </c>
      <c r="H7" s="16"/>
    </row>
    <row r="8" spans="1:8" ht="18" customHeight="1" x14ac:dyDescent="0.2">
      <c r="A8" s="178" t="s">
        <v>65</v>
      </c>
      <c r="B8" s="179" t="s">
        <v>133</v>
      </c>
      <c r="C8" s="199">
        <v>118</v>
      </c>
      <c r="D8" s="199">
        <v>103</v>
      </c>
      <c r="E8" s="199">
        <v>126</v>
      </c>
      <c r="F8" s="199">
        <v>116</v>
      </c>
      <c r="G8" s="200">
        <v>126</v>
      </c>
      <c r="H8" s="19"/>
    </row>
    <row r="9" spans="1:8" ht="18" customHeight="1" x14ac:dyDescent="0.2">
      <c r="A9" s="83" t="s">
        <v>66</v>
      </c>
      <c r="B9" s="38" t="s">
        <v>134</v>
      </c>
      <c r="C9" s="111">
        <v>119</v>
      </c>
      <c r="D9" s="111">
        <v>116</v>
      </c>
      <c r="E9" s="111">
        <v>108</v>
      </c>
      <c r="F9" s="111">
        <v>140</v>
      </c>
      <c r="G9" s="113">
        <v>118</v>
      </c>
      <c r="H9" s="16"/>
    </row>
    <row r="10" spans="1:8" ht="18" customHeight="1" x14ac:dyDescent="0.2">
      <c r="A10" s="80" t="s">
        <v>67</v>
      </c>
      <c r="B10" s="35" t="s">
        <v>135</v>
      </c>
      <c r="C10" s="109">
        <v>113</v>
      </c>
      <c r="D10" s="109">
        <v>120</v>
      </c>
      <c r="E10" s="109">
        <v>122</v>
      </c>
      <c r="F10" s="109">
        <v>126</v>
      </c>
      <c r="G10" s="55">
        <v>132</v>
      </c>
      <c r="H10" s="19"/>
    </row>
    <row r="11" spans="1:8" ht="18" customHeight="1" x14ac:dyDescent="0.2">
      <c r="A11" s="83" t="s">
        <v>68</v>
      </c>
      <c r="B11" s="38" t="s">
        <v>136</v>
      </c>
      <c r="C11" s="111">
        <v>108</v>
      </c>
      <c r="D11" s="111">
        <v>123</v>
      </c>
      <c r="E11" s="111">
        <v>125</v>
      </c>
      <c r="F11" s="111">
        <v>124</v>
      </c>
      <c r="G11" s="113">
        <v>121</v>
      </c>
      <c r="H11" s="16"/>
    </row>
    <row r="12" spans="1:8" ht="18" customHeight="1" x14ac:dyDescent="0.2">
      <c r="A12" s="80" t="s">
        <v>69</v>
      </c>
      <c r="B12" s="35" t="s">
        <v>137</v>
      </c>
      <c r="C12" s="109">
        <v>98</v>
      </c>
      <c r="D12" s="109">
        <v>112</v>
      </c>
      <c r="E12" s="109">
        <v>126</v>
      </c>
      <c r="F12" s="109">
        <v>145</v>
      </c>
      <c r="G12" s="55">
        <v>121</v>
      </c>
      <c r="H12" s="19"/>
    </row>
    <row r="13" spans="1:8" ht="18" customHeight="1" x14ac:dyDescent="0.2">
      <c r="A13" s="83" t="s">
        <v>70</v>
      </c>
      <c r="B13" s="38" t="s">
        <v>138</v>
      </c>
      <c r="C13" s="111">
        <v>115</v>
      </c>
      <c r="D13" s="111">
        <v>99</v>
      </c>
      <c r="E13" s="111">
        <v>112</v>
      </c>
      <c r="F13" s="111">
        <v>146</v>
      </c>
      <c r="G13" s="113">
        <v>151</v>
      </c>
      <c r="H13" s="16"/>
    </row>
    <row r="14" spans="1:8" ht="18" customHeight="1" x14ac:dyDescent="0.2">
      <c r="A14" s="80" t="s">
        <v>71</v>
      </c>
      <c r="B14" s="35" t="s">
        <v>139</v>
      </c>
      <c r="C14" s="109">
        <v>90</v>
      </c>
      <c r="D14" s="109">
        <v>117</v>
      </c>
      <c r="E14" s="109">
        <v>102</v>
      </c>
      <c r="F14" s="109">
        <v>121</v>
      </c>
      <c r="G14" s="55">
        <v>139</v>
      </c>
      <c r="H14" s="19"/>
    </row>
    <row r="15" spans="1:8" ht="18" customHeight="1" x14ac:dyDescent="0.2">
      <c r="A15" s="83" t="s">
        <v>72</v>
      </c>
      <c r="B15" s="38" t="s">
        <v>140</v>
      </c>
      <c r="C15" s="111">
        <v>98</v>
      </c>
      <c r="D15" s="111">
        <v>96</v>
      </c>
      <c r="E15" s="111">
        <v>126</v>
      </c>
      <c r="F15" s="111">
        <v>104</v>
      </c>
      <c r="G15" s="113">
        <v>120</v>
      </c>
      <c r="H15" s="16"/>
    </row>
    <row r="16" spans="1:8" ht="18" customHeight="1" x14ac:dyDescent="0.2">
      <c r="A16" s="80" t="s">
        <v>73</v>
      </c>
      <c r="B16" s="35" t="s">
        <v>141</v>
      </c>
      <c r="C16" s="109">
        <v>86</v>
      </c>
      <c r="D16" s="109">
        <v>101</v>
      </c>
      <c r="E16" s="109">
        <v>110</v>
      </c>
      <c r="F16" s="109">
        <v>128</v>
      </c>
      <c r="G16" s="55">
        <v>103</v>
      </c>
      <c r="H16" s="19"/>
    </row>
    <row r="17" spans="1:8" ht="18" customHeight="1" x14ac:dyDescent="0.2">
      <c r="A17" s="83" t="s">
        <v>74</v>
      </c>
      <c r="B17" s="38" t="s">
        <v>142</v>
      </c>
      <c r="C17" s="111">
        <v>77</v>
      </c>
      <c r="D17" s="111">
        <v>90</v>
      </c>
      <c r="E17" s="111">
        <v>104</v>
      </c>
      <c r="F17" s="111">
        <v>130</v>
      </c>
      <c r="G17" s="113">
        <v>125</v>
      </c>
      <c r="H17" s="16"/>
    </row>
    <row r="18" spans="1:8" ht="18" customHeight="1" x14ac:dyDescent="0.2">
      <c r="A18" s="80" t="s">
        <v>75</v>
      </c>
      <c r="B18" s="35" t="s">
        <v>143</v>
      </c>
      <c r="C18" s="109">
        <v>87</v>
      </c>
      <c r="D18" s="109">
        <v>77</v>
      </c>
      <c r="E18" s="109">
        <v>102</v>
      </c>
      <c r="F18" s="109">
        <v>114</v>
      </c>
      <c r="G18" s="55">
        <v>120</v>
      </c>
      <c r="H18" s="19"/>
    </row>
    <row r="19" spans="1:8" ht="18" customHeight="1" x14ac:dyDescent="0.2">
      <c r="A19" s="83" t="s">
        <v>76</v>
      </c>
      <c r="B19" s="38" t="s">
        <v>144</v>
      </c>
      <c r="C19" s="114">
        <v>74</v>
      </c>
      <c r="D19" s="114">
        <v>78</v>
      </c>
      <c r="E19" s="114">
        <v>75</v>
      </c>
      <c r="F19" s="114">
        <v>109</v>
      </c>
      <c r="G19" s="56">
        <v>111</v>
      </c>
      <c r="H19" s="16"/>
    </row>
    <row r="20" spans="1:8" ht="6" customHeight="1" x14ac:dyDescent="0.2">
      <c r="A20" s="39"/>
      <c r="B20" s="39"/>
      <c r="C20" s="201"/>
      <c r="D20" s="201"/>
      <c r="E20" s="201"/>
      <c r="F20" s="201"/>
      <c r="G20" s="201"/>
      <c r="H20" s="16"/>
    </row>
    <row r="21" spans="1:8" ht="22" customHeight="1" x14ac:dyDescent="0.2">
      <c r="A21" s="181" t="s">
        <v>145</v>
      </c>
      <c r="B21" s="182"/>
      <c r="C21" s="202"/>
      <c r="D21" s="202"/>
      <c r="E21" s="202"/>
      <c r="F21" s="202"/>
      <c r="G21" s="202"/>
      <c r="H21" s="203"/>
    </row>
    <row r="22" spans="1:8" ht="18" customHeight="1" x14ac:dyDescent="0.2">
      <c r="A22" s="78" t="s">
        <v>51</v>
      </c>
      <c r="B22" s="78"/>
      <c r="C22" s="125">
        <v>60</v>
      </c>
      <c r="D22" s="125">
        <v>67</v>
      </c>
      <c r="E22" s="125">
        <v>68</v>
      </c>
      <c r="F22" s="125">
        <v>59</v>
      </c>
      <c r="G22" s="125">
        <v>65</v>
      </c>
      <c r="H22" s="16"/>
    </row>
    <row r="23" spans="1:8" ht="18" customHeight="1" x14ac:dyDescent="0.2">
      <c r="A23" s="80" t="s">
        <v>52</v>
      </c>
      <c r="B23" s="80"/>
      <c r="C23" s="126">
        <v>191</v>
      </c>
      <c r="D23" s="126">
        <v>200</v>
      </c>
      <c r="E23" s="126">
        <v>181</v>
      </c>
      <c r="F23" s="126">
        <v>232</v>
      </c>
      <c r="G23" s="126">
        <v>195</v>
      </c>
      <c r="H23" s="19"/>
    </row>
    <row r="24" spans="1:8" ht="18" customHeight="1" x14ac:dyDescent="0.2">
      <c r="A24" s="83" t="s">
        <v>53</v>
      </c>
      <c r="B24" s="83"/>
      <c r="C24" s="127">
        <v>556</v>
      </c>
      <c r="D24" s="127">
        <v>574</v>
      </c>
      <c r="E24" s="127">
        <v>607</v>
      </c>
      <c r="F24" s="127">
        <v>651</v>
      </c>
      <c r="G24" s="127">
        <v>618</v>
      </c>
      <c r="H24" s="16"/>
    </row>
    <row r="25" spans="1:8" ht="18" customHeight="1" x14ac:dyDescent="0.2">
      <c r="A25" s="80" t="s">
        <v>54</v>
      </c>
      <c r="B25" s="80"/>
      <c r="C25" s="126">
        <v>389</v>
      </c>
      <c r="D25" s="126">
        <v>413</v>
      </c>
      <c r="E25" s="126">
        <v>450</v>
      </c>
      <c r="F25" s="126">
        <v>499</v>
      </c>
      <c r="G25" s="126">
        <v>513</v>
      </c>
      <c r="H25" s="19"/>
    </row>
    <row r="26" spans="1:8" ht="18" customHeight="1" thickBot="1" x14ac:dyDescent="0.25">
      <c r="A26" s="83" t="s">
        <v>55</v>
      </c>
      <c r="B26" s="83"/>
      <c r="C26" s="127">
        <v>238</v>
      </c>
      <c r="D26" s="127">
        <v>245</v>
      </c>
      <c r="E26" s="127">
        <v>281</v>
      </c>
      <c r="F26" s="127">
        <v>353</v>
      </c>
      <c r="G26" s="127">
        <v>356</v>
      </c>
      <c r="H26" s="16"/>
    </row>
    <row r="27" spans="1:8" ht="24" customHeight="1" thickTop="1" thickBot="1" x14ac:dyDescent="0.25">
      <c r="A27" s="146" t="s">
        <v>120</v>
      </c>
      <c r="B27" s="183"/>
      <c r="C27" s="169">
        <v>1434</v>
      </c>
      <c r="D27" s="169">
        <v>1499</v>
      </c>
      <c r="E27" s="169">
        <v>1587</v>
      </c>
      <c r="F27" s="169">
        <v>1794</v>
      </c>
      <c r="G27" s="169">
        <v>1747</v>
      </c>
      <c r="H27" s="204"/>
    </row>
    <row r="28" spans="1:8" ht="6" customHeight="1" thickTop="1" x14ac:dyDescent="0.2">
      <c r="A28" s="29"/>
      <c r="B28" s="29"/>
      <c r="C28" s="205"/>
      <c r="D28" s="205"/>
      <c r="E28" s="205"/>
      <c r="F28" s="205"/>
      <c r="G28" s="205"/>
      <c r="H28" s="16"/>
    </row>
    <row r="29" spans="1:8" ht="22" customHeight="1" thickBot="1" x14ac:dyDescent="0.25">
      <c r="A29" s="184" t="s">
        <v>146</v>
      </c>
      <c r="B29" s="185"/>
      <c r="C29" s="206"/>
      <c r="D29" s="206"/>
      <c r="E29" s="206"/>
      <c r="F29" s="206"/>
      <c r="G29" s="207"/>
      <c r="H29" s="208"/>
    </row>
    <row r="30" spans="1:8" ht="24" customHeight="1" x14ac:dyDescent="0.2">
      <c r="A30" s="143" t="s">
        <v>147</v>
      </c>
      <c r="B30" s="192" t="s">
        <v>126</v>
      </c>
      <c r="C30" s="192" t="s">
        <v>127</v>
      </c>
      <c r="D30" s="192" t="s">
        <v>128</v>
      </c>
      <c r="E30" s="192" t="s">
        <v>129</v>
      </c>
      <c r="F30" s="192" t="s">
        <v>148</v>
      </c>
      <c r="G30" s="186"/>
      <c r="H30" s="14"/>
    </row>
    <row r="31" spans="1:8" ht="18" customHeight="1" x14ac:dyDescent="0.2">
      <c r="A31" s="78" t="s">
        <v>149</v>
      </c>
      <c r="B31" s="193">
        <v>1.416666666666667</v>
      </c>
      <c r="C31" s="209">
        <v>1.283582089552239</v>
      </c>
      <c r="D31" s="209">
        <v>1.6029411764705881</v>
      </c>
      <c r="E31" s="209">
        <v>1.203389830508474</v>
      </c>
      <c r="F31" s="209">
        <v>1.3766449407994921</v>
      </c>
      <c r="G31" s="16"/>
      <c r="H31" s="16"/>
    </row>
    <row r="32" spans="1:8" ht="18" customHeight="1" x14ac:dyDescent="0.2">
      <c r="A32" s="80" t="s">
        <v>150</v>
      </c>
      <c r="B32" s="194">
        <v>1.2234042553191491</v>
      </c>
      <c r="C32" s="210">
        <v>1.117647058823529</v>
      </c>
      <c r="D32" s="210">
        <v>1.430232558139535</v>
      </c>
      <c r="E32" s="210">
        <v>1.1376146788990831</v>
      </c>
      <c r="F32" s="210">
        <v>1.227224637795324</v>
      </c>
      <c r="G32" s="211"/>
      <c r="H32" s="19"/>
    </row>
    <row r="33" spans="1:8" ht="18" customHeight="1" x14ac:dyDescent="0.2">
      <c r="A33" s="83" t="s">
        <v>151</v>
      </c>
      <c r="B33" s="195">
        <v>1.061855670103093</v>
      </c>
      <c r="C33" s="212">
        <v>1.0956521739130429</v>
      </c>
      <c r="D33" s="212">
        <v>1.2210526315789469</v>
      </c>
      <c r="E33" s="212">
        <v>1.024390243902439</v>
      </c>
      <c r="F33" s="212">
        <v>1.1007376798743811</v>
      </c>
      <c r="G33" s="213"/>
      <c r="H33" s="16"/>
    </row>
    <row r="34" spans="1:8" ht="18" customHeight="1" x14ac:dyDescent="0.2">
      <c r="A34" s="80" t="s">
        <v>152</v>
      </c>
      <c r="B34" s="194">
        <v>0.98305084745762716</v>
      </c>
      <c r="C34" s="210">
        <v>1.0485436893203881</v>
      </c>
      <c r="D34" s="210">
        <v>1.1111111111111109</v>
      </c>
      <c r="E34" s="210">
        <v>1.017241379310345</v>
      </c>
      <c r="F34" s="210">
        <v>1.039986756799868</v>
      </c>
      <c r="G34" s="211"/>
      <c r="H34" s="19"/>
    </row>
    <row r="35" spans="1:8" ht="18" customHeight="1" x14ac:dyDescent="0.2">
      <c r="A35" s="83" t="s">
        <v>153</v>
      </c>
      <c r="B35" s="195">
        <v>1.008403361344538</v>
      </c>
      <c r="C35" s="212">
        <v>1.051724137931034</v>
      </c>
      <c r="D35" s="212">
        <v>1.166666666666667</v>
      </c>
      <c r="E35" s="212">
        <v>0.94285714285714284</v>
      </c>
      <c r="F35" s="212">
        <v>1.042412827199845</v>
      </c>
      <c r="G35" s="213"/>
      <c r="H35" s="16"/>
    </row>
    <row r="36" spans="1:8" ht="18" customHeight="1" x14ac:dyDescent="0.2">
      <c r="A36" s="80" t="s">
        <v>154</v>
      </c>
      <c r="B36" s="194">
        <v>1.0884955752212391</v>
      </c>
      <c r="C36" s="210">
        <v>1.041666666666667</v>
      </c>
      <c r="D36" s="210">
        <v>1.0163934426229511</v>
      </c>
      <c r="E36" s="210">
        <v>0.96031746031746035</v>
      </c>
      <c r="F36" s="210">
        <v>1.0267182862070789</v>
      </c>
      <c r="G36" s="211"/>
      <c r="H36" s="19"/>
    </row>
    <row r="37" spans="1:8" ht="18" customHeight="1" x14ac:dyDescent="0.2">
      <c r="A37" s="83" t="s">
        <v>155</v>
      </c>
      <c r="B37" s="195">
        <v>1.037037037037037</v>
      </c>
      <c r="C37" s="212">
        <v>1.024390243902439</v>
      </c>
      <c r="D37" s="212">
        <v>1.1599999999999999</v>
      </c>
      <c r="E37" s="212">
        <v>0.97580645161290325</v>
      </c>
      <c r="F37" s="212">
        <v>1.0493084331380951</v>
      </c>
      <c r="G37" s="213"/>
      <c r="H37" s="16"/>
    </row>
    <row r="38" spans="1:8" ht="18" customHeight="1" x14ac:dyDescent="0.2">
      <c r="A38" s="80" t="s">
        <v>156</v>
      </c>
      <c r="B38" s="194">
        <v>1.010204081632653</v>
      </c>
      <c r="C38" s="210">
        <v>1</v>
      </c>
      <c r="D38" s="210">
        <v>1.1587301587301591</v>
      </c>
      <c r="E38" s="210">
        <v>1.0413793103448279</v>
      </c>
      <c r="F38" s="210">
        <v>1.0525783876769099</v>
      </c>
      <c r="G38" s="211"/>
      <c r="H38" s="19"/>
    </row>
    <row r="39" spans="1:8" ht="18" customHeight="1" x14ac:dyDescent="0.2">
      <c r="A39" s="83" t="s">
        <v>157</v>
      </c>
      <c r="B39" s="195">
        <v>1.017391304347826</v>
      </c>
      <c r="C39" s="212">
        <v>1.0303030303030301</v>
      </c>
      <c r="D39" s="212">
        <v>1.080357142857143</v>
      </c>
      <c r="E39" s="212">
        <v>0.95205479452054798</v>
      </c>
      <c r="F39" s="212">
        <v>1.020026568007137</v>
      </c>
      <c r="G39" s="213"/>
      <c r="H39" s="16"/>
    </row>
    <row r="40" spans="1:8" ht="18" customHeight="1" x14ac:dyDescent="0.2">
      <c r="A40" s="80" t="s">
        <v>158</v>
      </c>
      <c r="B40" s="194">
        <v>1.0666666666666671</v>
      </c>
      <c r="C40" s="210">
        <v>1.0769230769230771</v>
      </c>
      <c r="D40" s="210">
        <v>1.0196078431372551</v>
      </c>
      <c r="E40" s="210">
        <v>0.99173553719008267</v>
      </c>
      <c r="F40" s="210">
        <v>1.03873328097927</v>
      </c>
      <c r="G40" s="211"/>
      <c r="H40" s="19"/>
    </row>
    <row r="41" spans="1:8" ht="18" customHeight="1" x14ac:dyDescent="0.2">
      <c r="A41" s="83" t="s">
        <v>159</v>
      </c>
      <c r="B41" s="195">
        <v>1.0306122448979591</v>
      </c>
      <c r="C41" s="212">
        <v>1.145833333333333</v>
      </c>
      <c r="D41" s="212">
        <v>1.015873015873016</v>
      </c>
      <c r="E41" s="212">
        <v>0.99038461538461542</v>
      </c>
      <c r="F41" s="212">
        <v>1.045675802372231</v>
      </c>
      <c r="G41" s="213"/>
      <c r="H41" s="16"/>
    </row>
    <row r="42" spans="1:8" ht="18" customHeight="1" x14ac:dyDescent="0.2">
      <c r="A42" s="80" t="s">
        <v>160</v>
      </c>
      <c r="B42" s="194">
        <v>1.046511627906977</v>
      </c>
      <c r="C42" s="210">
        <v>1.02970297029703</v>
      </c>
      <c r="D42" s="210">
        <v>1.1818181818181821</v>
      </c>
      <c r="E42" s="210">
        <v>0.9765625</v>
      </c>
      <c r="F42" s="210">
        <v>1.0586488200055471</v>
      </c>
      <c r="G42" s="211"/>
      <c r="H42" s="19"/>
    </row>
    <row r="43" spans="1:8" ht="18" customHeight="1" x14ac:dyDescent="0.2">
      <c r="A43" s="83" t="s">
        <v>161</v>
      </c>
      <c r="B43" s="195">
        <v>1</v>
      </c>
      <c r="C43" s="212">
        <v>1.1333333333333331</v>
      </c>
      <c r="D43" s="212">
        <v>1.096153846153846</v>
      </c>
      <c r="E43" s="212">
        <v>0.92307692307692313</v>
      </c>
      <c r="F43" s="212">
        <v>1.0381410256410259</v>
      </c>
      <c r="G43" s="213"/>
      <c r="H43" s="16"/>
    </row>
    <row r="44" spans="1:8" ht="18" customHeight="1" x14ac:dyDescent="0.2">
      <c r="A44" s="80" t="s">
        <v>162</v>
      </c>
      <c r="B44" s="187">
        <v>0.89655172413793105</v>
      </c>
      <c r="C44" s="214">
        <v>0.97402597402597402</v>
      </c>
      <c r="D44" s="214">
        <v>1.0686274509803919</v>
      </c>
      <c r="E44" s="214">
        <v>0.97368421052631582</v>
      </c>
      <c r="F44" s="214">
        <v>0.97822233991765328</v>
      </c>
      <c r="G44" s="211"/>
      <c r="H44" s="19"/>
    </row>
    <row r="45" spans="1:8" ht="6" customHeight="1" x14ac:dyDescent="0.2">
      <c r="A45" s="73"/>
      <c r="B45" s="73"/>
      <c r="C45" s="213"/>
      <c r="D45" s="213"/>
      <c r="E45" s="213"/>
      <c r="F45" s="213"/>
      <c r="G45" s="213"/>
      <c r="H45" s="16"/>
    </row>
    <row r="46" spans="1:8" ht="6" customHeight="1" x14ac:dyDescent="0.2">
      <c r="A46" s="73"/>
      <c r="B46" s="73"/>
      <c r="C46" s="213"/>
      <c r="D46" s="213"/>
      <c r="E46" s="213"/>
      <c r="F46" s="213"/>
      <c r="G46" s="213"/>
      <c r="H46" s="16"/>
    </row>
    <row r="47" spans="1:8" ht="22" customHeight="1" thickBot="1" x14ac:dyDescent="0.25">
      <c r="A47" s="184" t="s">
        <v>163</v>
      </c>
      <c r="B47" s="191"/>
      <c r="C47" s="215"/>
      <c r="D47" s="215"/>
      <c r="E47" s="215"/>
      <c r="F47" s="215"/>
      <c r="G47" s="216"/>
      <c r="H47" s="208"/>
    </row>
    <row r="48" spans="1:8" ht="24" customHeight="1" x14ac:dyDescent="0.2">
      <c r="A48" s="143" t="s">
        <v>48</v>
      </c>
      <c r="B48" s="150" t="s">
        <v>125</v>
      </c>
      <c r="C48" s="150" t="s">
        <v>126</v>
      </c>
      <c r="D48" s="150" t="s">
        <v>127</v>
      </c>
      <c r="E48" s="150" t="s">
        <v>128</v>
      </c>
      <c r="F48" s="150" t="s">
        <v>129</v>
      </c>
      <c r="G48" s="172" t="s">
        <v>164</v>
      </c>
      <c r="H48" s="14"/>
    </row>
    <row r="49" spans="1:8" ht="18" customHeight="1" x14ac:dyDescent="0.2">
      <c r="A49" s="78" t="s">
        <v>51</v>
      </c>
      <c r="B49" s="98">
        <v>60</v>
      </c>
      <c r="C49" s="125">
        <v>67</v>
      </c>
      <c r="D49" s="125">
        <v>68</v>
      </c>
      <c r="E49" s="125">
        <v>59</v>
      </c>
      <c r="F49" s="125">
        <v>65</v>
      </c>
      <c r="G49" s="217">
        <v>2.0212232691348531E-2</v>
      </c>
      <c r="H49" s="16"/>
    </row>
    <row r="50" spans="1:8" ht="18" customHeight="1" x14ac:dyDescent="0.2">
      <c r="A50" s="80" t="s">
        <v>52</v>
      </c>
      <c r="B50" s="99">
        <v>191</v>
      </c>
      <c r="C50" s="126">
        <v>200</v>
      </c>
      <c r="D50" s="126">
        <v>181</v>
      </c>
      <c r="E50" s="126">
        <v>232</v>
      </c>
      <c r="F50" s="126">
        <v>195</v>
      </c>
      <c r="G50" s="218">
        <v>5.1949799854125178E-3</v>
      </c>
      <c r="H50" s="19"/>
    </row>
    <row r="51" spans="1:8" ht="18" customHeight="1" x14ac:dyDescent="0.2">
      <c r="A51" s="83" t="s">
        <v>53</v>
      </c>
      <c r="B51" s="100">
        <v>556</v>
      </c>
      <c r="C51" s="127">
        <v>574</v>
      </c>
      <c r="D51" s="127">
        <v>607</v>
      </c>
      <c r="E51" s="127">
        <v>651</v>
      </c>
      <c r="F51" s="127">
        <v>618</v>
      </c>
      <c r="G51" s="219">
        <v>2.678241187465424E-2</v>
      </c>
      <c r="H51" s="16"/>
    </row>
    <row r="52" spans="1:8" ht="18" customHeight="1" x14ac:dyDescent="0.2">
      <c r="A52" s="80" t="s">
        <v>54</v>
      </c>
      <c r="B52" s="99">
        <v>389</v>
      </c>
      <c r="C52" s="126">
        <v>413</v>
      </c>
      <c r="D52" s="126">
        <v>450</v>
      </c>
      <c r="E52" s="126">
        <v>499</v>
      </c>
      <c r="F52" s="126">
        <v>513</v>
      </c>
      <c r="G52" s="218">
        <v>7.1622789637796558E-2</v>
      </c>
      <c r="H52" s="19"/>
    </row>
    <row r="53" spans="1:8" ht="18" customHeight="1" thickBot="1" x14ac:dyDescent="0.25">
      <c r="A53" s="83" t="s">
        <v>55</v>
      </c>
      <c r="B53" s="84">
        <v>238</v>
      </c>
      <c r="C53" s="220">
        <v>245</v>
      </c>
      <c r="D53" s="220">
        <v>281</v>
      </c>
      <c r="E53" s="220">
        <v>353</v>
      </c>
      <c r="F53" s="220">
        <v>356</v>
      </c>
      <c r="G53" s="221">
        <v>0.1059061169665312</v>
      </c>
      <c r="H53" s="16"/>
    </row>
    <row r="54" spans="1:8" ht="24" customHeight="1" thickTop="1" thickBot="1" x14ac:dyDescent="0.25">
      <c r="A54" s="146" t="s">
        <v>120</v>
      </c>
      <c r="B54" s="147">
        <v>1434</v>
      </c>
      <c r="C54" s="222">
        <v>1499</v>
      </c>
      <c r="D54" s="222">
        <v>1587</v>
      </c>
      <c r="E54" s="222">
        <v>1794</v>
      </c>
      <c r="F54" s="222">
        <v>1747</v>
      </c>
      <c r="G54" s="223">
        <v>5.0596472832737938E-2</v>
      </c>
      <c r="H54" s="204"/>
    </row>
    <row r="55" spans="1:8" ht="6" customHeight="1" thickTop="1" x14ac:dyDescent="0.2">
      <c r="A55" s="15"/>
      <c r="B55" s="15"/>
      <c r="C55" s="16"/>
      <c r="D55" s="16"/>
      <c r="E55" s="16"/>
      <c r="F55" s="16"/>
      <c r="G55" s="16"/>
      <c r="H55" s="16"/>
    </row>
    <row r="56" spans="1:8" ht="22" customHeight="1" thickBot="1" x14ac:dyDescent="0.25">
      <c r="A56" s="184" t="s">
        <v>165</v>
      </c>
      <c r="B56" s="188"/>
      <c r="C56" s="224"/>
      <c r="D56" s="224"/>
      <c r="E56" s="224"/>
      <c r="F56" s="224"/>
      <c r="G56" s="225"/>
      <c r="H56" s="208"/>
    </row>
    <row r="57" spans="1:8" ht="24" customHeight="1" x14ac:dyDescent="0.2">
      <c r="A57" s="143" t="s">
        <v>61</v>
      </c>
      <c r="B57" s="172" t="s">
        <v>126</v>
      </c>
      <c r="C57" s="172" t="s">
        <v>127</v>
      </c>
      <c r="D57" s="172" t="s">
        <v>128</v>
      </c>
      <c r="E57" s="172" t="s">
        <v>129</v>
      </c>
      <c r="F57" s="14"/>
      <c r="G57" s="14"/>
      <c r="H57" s="14"/>
    </row>
    <row r="58" spans="1:8" ht="18" customHeight="1" x14ac:dyDescent="0.2">
      <c r="A58" s="78" t="s">
        <v>62</v>
      </c>
      <c r="B58" s="79">
        <v>0.1166666666666667</v>
      </c>
      <c r="C58" s="217">
        <v>1.492537313432836E-2</v>
      </c>
      <c r="D58" s="217">
        <v>-0.13235294117647059</v>
      </c>
      <c r="E58" s="217">
        <v>0.10169491525423729</v>
      </c>
      <c r="F58" s="16"/>
      <c r="G58" s="16"/>
      <c r="H58" s="16"/>
    </row>
    <row r="59" spans="1:8" ht="18" customHeight="1" x14ac:dyDescent="0.2">
      <c r="A59" s="80" t="s">
        <v>63</v>
      </c>
      <c r="B59" s="81">
        <v>-9.5744680851063829E-2</v>
      </c>
      <c r="C59" s="218">
        <v>1.1764705882352939E-2</v>
      </c>
      <c r="D59" s="218">
        <v>0.26744186046511631</v>
      </c>
      <c r="E59" s="218">
        <v>-0.34862385321100919</v>
      </c>
      <c r="F59" s="211"/>
      <c r="G59" s="211"/>
      <c r="H59" s="19"/>
    </row>
    <row r="60" spans="1:8" ht="18" customHeight="1" x14ac:dyDescent="0.2">
      <c r="A60" s="83" t="s">
        <v>64</v>
      </c>
      <c r="B60" s="85">
        <v>0.18556701030927841</v>
      </c>
      <c r="C60" s="219">
        <v>-0.17391304347826089</v>
      </c>
      <c r="D60" s="219">
        <v>0.29473684210526307</v>
      </c>
      <c r="E60" s="219">
        <v>8.130081300813009E-3</v>
      </c>
      <c r="F60" s="213"/>
      <c r="G60" s="213"/>
      <c r="H60" s="16"/>
    </row>
    <row r="61" spans="1:8" ht="18" customHeight="1" x14ac:dyDescent="0.2">
      <c r="A61" s="80" t="s">
        <v>65</v>
      </c>
      <c r="B61" s="81">
        <v>-0.1271186440677966</v>
      </c>
      <c r="C61" s="218">
        <v>0.22330097087378639</v>
      </c>
      <c r="D61" s="218">
        <v>-7.9365079365079361E-2</v>
      </c>
      <c r="E61" s="218">
        <v>8.6206896551724144E-2</v>
      </c>
      <c r="F61" s="211"/>
      <c r="G61" s="211"/>
      <c r="H61" s="19"/>
    </row>
    <row r="62" spans="1:8" ht="18" customHeight="1" x14ac:dyDescent="0.2">
      <c r="A62" s="83" t="s">
        <v>66</v>
      </c>
      <c r="B62" s="85">
        <v>-2.5210084033613449E-2</v>
      </c>
      <c r="C62" s="219">
        <v>-6.8965517241379309E-2</v>
      </c>
      <c r="D62" s="219">
        <v>0.29629629629629628</v>
      </c>
      <c r="E62" s="219">
        <v>-0.15714285714285711</v>
      </c>
      <c r="F62" s="213"/>
      <c r="G62" s="213"/>
      <c r="H62" s="16"/>
    </row>
    <row r="63" spans="1:8" ht="18" customHeight="1" x14ac:dyDescent="0.2">
      <c r="A63" s="80" t="s">
        <v>67</v>
      </c>
      <c r="B63" s="81">
        <v>6.1946902654867263E-2</v>
      </c>
      <c r="C63" s="218">
        <v>1.666666666666667E-2</v>
      </c>
      <c r="D63" s="218">
        <v>3.2786885245901641E-2</v>
      </c>
      <c r="E63" s="218">
        <v>4.7619047619047623E-2</v>
      </c>
      <c r="F63" s="211"/>
      <c r="G63" s="211"/>
      <c r="H63" s="19"/>
    </row>
    <row r="64" spans="1:8" ht="18" customHeight="1" x14ac:dyDescent="0.2">
      <c r="A64" s="83" t="s">
        <v>68</v>
      </c>
      <c r="B64" s="85">
        <v>0.1388888888888889</v>
      </c>
      <c r="C64" s="219">
        <v>1.6260162601626021E-2</v>
      </c>
      <c r="D64" s="219">
        <v>-8.0000000000000002E-3</v>
      </c>
      <c r="E64" s="219">
        <v>-2.419354838709677E-2</v>
      </c>
      <c r="F64" s="213"/>
      <c r="G64" s="213"/>
      <c r="H64" s="16"/>
    </row>
    <row r="65" spans="1:8" ht="18" customHeight="1" x14ac:dyDescent="0.2">
      <c r="A65" s="80" t="s">
        <v>69</v>
      </c>
      <c r="B65" s="81">
        <v>0.14285714285714279</v>
      </c>
      <c r="C65" s="218">
        <v>0.125</v>
      </c>
      <c r="D65" s="218">
        <v>0.15079365079365081</v>
      </c>
      <c r="E65" s="218">
        <v>-0.16551724137931029</v>
      </c>
      <c r="F65" s="211"/>
      <c r="G65" s="211"/>
      <c r="H65" s="19"/>
    </row>
    <row r="66" spans="1:8" ht="18" customHeight="1" x14ac:dyDescent="0.2">
      <c r="A66" s="83" t="s">
        <v>70</v>
      </c>
      <c r="B66" s="85">
        <v>-0.1391304347826087</v>
      </c>
      <c r="C66" s="219">
        <v>0.1313131313131313</v>
      </c>
      <c r="D66" s="219">
        <v>0.30357142857142849</v>
      </c>
      <c r="E66" s="219">
        <v>3.4246575342465752E-2</v>
      </c>
      <c r="F66" s="213"/>
      <c r="G66" s="213"/>
      <c r="H66" s="16"/>
    </row>
    <row r="67" spans="1:8" ht="18" customHeight="1" x14ac:dyDescent="0.2">
      <c r="A67" s="80" t="s">
        <v>71</v>
      </c>
      <c r="B67" s="81">
        <v>0.3</v>
      </c>
      <c r="C67" s="218">
        <v>-0.12820512820512819</v>
      </c>
      <c r="D67" s="218">
        <v>0.1862745098039216</v>
      </c>
      <c r="E67" s="218">
        <v>0.1487603305785124</v>
      </c>
      <c r="F67" s="211"/>
      <c r="G67" s="211"/>
      <c r="H67" s="19"/>
    </row>
    <row r="68" spans="1:8" ht="18" customHeight="1" x14ac:dyDescent="0.2">
      <c r="A68" s="83" t="s">
        <v>72</v>
      </c>
      <c r="B68" s="85">
        <v>-2.0408163265306121E-2</v>
      </c>
      <c r="C68" s="219">
        <v>0.3125</v>
      </c>
      <c r="D68" s="219">
        <v>-0.17460317460317459</v>
      </c>
      <c r="E68" s="219">
        <v>0.15384615384615391</v>
      </c>
      <c r="F68" s="213"/>
      <c r="G68" s="213"/>
      <c r="H68" s="16"/>
    </row>
    <row r="69" spans="1:8" ht="18" customHeight="1" x14ac:dyDescent="0.2">
      <c r="A69" s="80" t="s">
        <v>73</v>
      </c>
      <c r="B69" s="81">
        <v>0.1744186046511628</v>
      </c>
      <c r="C69" s="218">
        <v>8.9108910891089105E-2</v>
      </c>
      <c r="D69" s="218">
        <v>0.16363636363636361</v>
      </c>
      <c r="E69" s="218">
        <v>-0.1953125</v>
      </c>
      <c r="F69" s="211"/>
      <c r="G69" s="211"/>
      <c r="H69" s="19"/>
    </row>
    <row r="70" spans="1:8" ht="18" customHeight="1" x14ac:dyDescent="0.2">
      <c r="A70" s="83" t="s">
        <v>74</v>
      </c>
      <c r="B70" s="85">
        <v>0.1688311688311688</v>
      </c>
      <c r="C70" s="219">
        <v>0.15555555555555561</v>
      </c>
      <c r="D70" s="219">
        <v>0.25</v>
      </c>
      <c r="E70" s="219">
        <v>-3.8461538461538457E-2</v>
      </c>
      <c r="F70" s="213"/>
      <c r="G70" s="213"/>
      <c r="H70" s="16"/>
    </row>
    <row r="71" spans="1:8" ht="18" customHeight="1" x14ac:dyDescent="0.2">
      <c r="A71" s="80" t="s">
        <v>75</v>
      </c>
      <c r="B71" s="81">
        <v>-0.1149425287356322</v>
      </c>
      <c r="C71" s="218">
        <v>0.32467532467532467</v>
      </c>
      <c r="D71" s="218">
        <v>0.1176470588235294</v>
      </c>
      <c r="E71" s="218">
        <v>5.2631578947368418E-2</v>
      </c>
      <c r="F71" s="211"/>
      <c r="G71" s="211"/>
      <c r="H71" s="19"/>
    </row>
    <row r="72" spans="1:8" ht="18" customHeight="1" x14ac:dyDescent="0.2">
      <c r="A72" s="83" t="s">
        <v>76</v>
      </c>
      <c r="B72" s="189">
        <v>5.4054054054054057E-2</v>
      </c>
      <c r="C72" s="221">
        <v>-3.8461538461538457E-2</v>
      </c>
      <c r="D72" s="221">
        <v>0.45333333333333331</v>
      </c>
      <c r="E72" s="221">
        <v>1.834862385321101E-2</v>
      </c>
      <c r="F72" s="213"/>
      <c r="G72" s="213"/>
      <c r="H72" s="16"/>
    </row>
    <row r="73" spans="1:8" ht="6" customHeight="1" x14ac:dyDescent="0.2">
      <c r="A73" s="73"/>
      <c r="B73" s="73"/>
      <c r="C73" s="213"/>
      <c r="D73" s="213"/>
      <c r="E73" s="213"/>
      <c r="F73" s="213"/>
      <c r="G73" s="213"/>
      <c r="H73" s="16"/>
    </row>
    <row r="74" spans="1:8" ht="6" customHeight="1" x14ac:dyDescent="0.2">
      <c r="A74" s="73"/>
      <c r="B74" s="73"/>
      <c r="C74" s="213"/>
      <c r="D74" s="213"/>
      <c r="E74" s="213"/>
      <c r="F74" s="213"/>
      <c r="G74" s="213"/>
      <c r="H74" s="16"/>
    </row>
    <row r="75" spans="1:8" ht="22" customHeight="1" thickBot="1" x14ac:dyDescent="0.25">
      <c r="A75" s="184" t="s">
        <v>166</v>
      </c>
      <c r="B75" s="188"/>
      <c r="C75" s="224"/>
      <c r="D75" s="224"/>
      <c r="E75" s="224"/>
      <c r="F75" s="224"/>
      <c r="G75" s="224"/>
      <c r="H75" s="208"/>
    </row>
    <row r="76" spans="1:8" ht="24" customHeight="1" x14ac:dyDescent="0.2">
      <c r="A76" s="143" t="s">
        <v>61</v>
      </c>
      <c r="B76" s="143" t="s">
        <v>48</v>
      </c>
      <c r="C76" s="172" t="s">
        <v>125</v>
      </c>
      <c r="D76" s="172" t="s">
        <v>126</v>
      </c>
      <c r="E76" s="172" t="s">
        <v>127</v>
      </c>
      <c r="F76" s="172" t="s">
        <v>128</v>
      </c>
      <c r="G76" s="172" t="s">
        <v>129</v>
      </c>
      <c r="H76" s="196" t="s">
        <v>167</v>
      </c>
    </row>
    <row r="77" spans="1:8" ht="18" customHeight="1" x14ac:dyDescent="0.2">
      <c r="A77" s="78" t="s">
        <v>62</v>
      </c>
      <c r="B77" s="78" t="s">
        <v>51</v>
      </c>
      <c r="C77" s="217">
        <v>1</v>
      </c>
      <c r="D77" s="217">
        <v>1</v>
      </c>
      <c r="E77" s="217">
        <v>1</v>
      </c>
      <c r="F77" s="217">
        <v>1</v>
      </c>
      <c r="G77" s="217">
        <v>1</v>
      </c>
      <c r="H77" s="226">
        <v>1</v>
      </c>
    </row>
    <row r="78" spans="1:8" ht="6" customHeight="1" x14ac:dyDescent="0.2">
      <c r="A78" s="73"/>
      <c r="B78" s="73"/>
      <c r="C78" s="175"/>
      <c r="D78" s="175"/>
      <c r="E78" s="175"/>
      <c r="F78" s="175"/>
      <c r="G78" s="175"/>
      <c r="H78" s="226"/>
    </row>
    <row r="79" spans="1:8" ht="18" customHeight="1" x14ac:dyDescent="0.2">
      <c r="A79" s="83" t="s">
        <v>63</v>
      </c>
      <c r="B79" s="83" t="s">
        <v>52</v>
      </c>
      <c r="C79" s="219">
        <v>0.49214659685863882</v>
      </c>
      <c r="D79" s="219">
        <v>0.42499999999999999</v>
      </c>
      <c r="E79" s="219">
        <v>0.47513812154696128</v>
      </c>
      <c r="F79" s="219">
        <v>0.46982758620689657</v>
      </c>
      <c r="G79" s="219">
        <v>0.36410256410256409</v>
      </c>
      <c r="H79" s="226">
        <v>0.36410256410256409</v>
      </c>
    </row>
    <row r="80" spans="1:8" ht="18" customHeight="1" x14ac:dyDescent="0.2">
      <c r="A80" s="80" t="s">
        <v>64</v>
      </c>
      <c r="B80" s="80" t="s">
        <v>52</v>
      </c>
      <c r="C80" s="218">
        <v>0.50785340314136129</v>
      </c>
      <c r="D80" s="218">
        <v>0.57499999999999996</v>
      </c>
      <c r="E80" s="218">
        <v>0.52486187845303867</v>
      </c>
      <c r="F80" s="218">
        <v>0.53017241379310343</v>
      </c>
      <c r="G80" s="218">
        <v>0.63589743589743586</v>
      </c>
      <c r="H80" s="227">
        <v>0.63589743589743586</v>
      </c>
    </row>
    <row r="81" spans="1:8" ht="6" customHeight="1" x14ac:dyDescent="0.2">
      <c r="A81" s="73"/>
      <c r="B81" s="73"/>
      <c r="C81" s="175"/>
      <c r="D81" s="175"/>
      <c r="E81" s="175"/>
      <c r="F81" s="175"/>
      <c r="G81" s="175"/>
      <c r="H81" s="226"/>
    </row>
    <row r="82" spans="1:8" ht="18" customHeight="1" x14ac:dyDescent="0.2">
      <c r="A82" s="83" t="s">
        <v>65</v>
      </c>
      <c r="B82" s="83" t="s">
        <v>53</v>
      </c>
      <c r="C82" s="219">
        <v>0.21223021582733809</v>
      </c>
      <c r="D82" s="219">
        <v>0.17944250871080139</v>
      </c>
      <c r="E82" s="219">
        <v>0.20757825370675451</v>
      </c>
      <c r="F82" s="219">
        <v>0.1781874039938556</v>
      </c>
      <c r="G82" s="219">
        <v>0.20388349514563109</v>
      </c>
      <c r="H82" s="226">
        <v>0.20388349514563109</v>
      </c>
    </row>
    <row r="83" spans="1:8" ht="18" customHeight="1" x14ac:dyDescent="0.2">
      <c r="A83" s="80" t="s">
        <v>66</v>
      </c>
      <c r="B83" s="80" t="s">
        <v>53</v>
      </c>
      <c r="C83" s="218">
        <v>0.2140287769784173</v>
      </c>
      <c r="D83" s="218">
        <v>0.20209059233449481</v>
      </c>
      <c r="E83" s="218">
        <v>0.17792421746293249</v>
      </c>
      <c r="F83" s="218">
        <v>0.21505376344086019</v>
      </c>
      <c r="G83" s="218">
        <v>0.19093851132686079</v>
      </c>
      <c r="H83" s="227">
        <v>0.19093851132686079</v>
      </c>
    </row>
    <row r="84" spans="1:8" ht="18" customHeight="1" x14ac:dyDescent="0.2">
      <c r="A84" s="83" t="s">
        <v>67</v>
      </c>
      <c r="B84" s="83" t="s">
        <v>53</v>
      </c>
      <c r="C84" s="219">
        <v>0.20323741007194249</v>
      </c>
      <c r="D84" s="219">
        <v>0.20905923344947741</v>
      </c>
      <c r="E84" s="219">
        <v>0.2009884678747941</v>
      </c>
      <c r="F84" s="219">
        <v>0.19354838709677419</v>
      </c>
      <c r="G84" s="219">
        <v>0.2135922330097087</v>
      </c>
      <c r="H84" s="226">
        <v>0.2135922330097087</v>
      </c>
    </row>
    <row r="85" spans="1:8" ht="18" customHeight="1" x14ac:dyDescent="0.2">
      <c r="A85" s="80" t="s">
        <v>68</v>
      </c>
      <c r="B85" s="80" t="s">
        <v>53</v>
      </c>
      <c r="C85" s="218">
        <v>0.1942446043165468</v>
      </c>
      <c r="D85" s="218">
        <v>0.2142857142857143</v>
      </c>
      <c r="E85" s="218">
        <v>0.20593080724876439</v>
      </c>
      <c r="F85" s="218">
        <v>0.19047619047619049</v>
      </c>
      <c r="G85" s="218">
        <v>0.19579288025889971</v>
      </c>
      <c r="H85" s="227">
        <v>0.19579288025889971</v>
      </c>
    </row>
    <row r="86" spans="1:8" ht="18" customHeight="1" x14ac:dyDescent="0.2">
      <c r="A86" s="83" t="s">
        <v>69</v>
      </c>
      <c r="B86" s="83" t="s">
        <v>53</v>
      </c>
      <c r="C86" s="219">
        <v>0.17625899280575541</v>
      </c>
      <c r="D86" s="219">
        <v>0.1951219512195122</v>
      </c>
      <c r="E86" s="219">
        <v>0.20757825370675451</v>
      </c>
      <c r="F86" s="219">
        <v>0.2227342549923195</v>
      </c>
      <c r="G86" s="219">
        <v>0.19579288025889971</v>
      </c>
      <c r="H86" s="226">
        <v>0.19579288025889971</v>
      </c>
    </row>
    <row r="87" spans="1:8" ht="6" customHeight="1" x14ac:dyDescent="0.2">
      <c r="A87" s="73"/>
      <c r="B87" s="73"/>
      <c r="C87" s="175"/>
      <c r="D87" s="175"/>
      <c r="E87" s="175"/>
      <c r="F87" s="175"/>
      <c r="G87" s="175"/>
      <c r="H87" s="226"/>
    </row>
    <row r="88" spans="1:8" ht="18" customHeight="1" x14ac:dyDescent="0.2">
      <c r="A88" s="83" t="s">
        <v>70</v>
      </c>
      <c r="B88" s="83" t="s">
        <v>54</v>
      </c>
      <c r="C88" s="219">
        <v>0.29562982005141392</v>
      </c>
      <c r="D88" s="219">
        <v>0.23970944309927361</v>
      </c>
      <c r="E88" s="219">
        <v>0.24888888888888891</v>
      </c>
      <c r="F88" s="219">
        <v>0.29258517034068138</v>
      </c>
      <c r="G88" s="219">
        <v>0.29434697855750491</v>
      </c>
      <c r="H88" s="226">
        <v>0.29434697855750491</v>
      </c>
    </row>
    <row r="89" spans="1:8" ht="18" customHeight="1" x14ac:dyDescent="0.2">
      <c r="A89" s="80" t="s">
        <v>71</v>
      </c>
      <c r="B89" s="80" t="s">
        <v>54</v>
      </c>
      <c r="C89" s="218">
        <v>0.23136246786632389</v>
      </c>
      <c r="D89" s="218">
        <v>0.28329297820823252</v>
      </c>
      <c r="E89" s="218">
        <v>0.22666666666666671</v>
      </c>
      <c r="F89" s="218">
        <v>0.24248496993987981</v>
      </c>
      <c r="G89" s="218">
        <v>0.27095516569200778</v>
      </c>
      <c r="H89" s="227">
        <v>0.27095516569200778</v>
      </c>
    </row>
    <row r="90" spans="1:8" ht="18" customHeight="1" x14ac:dyDescent="0.2">
      <c r="A90" s="83" t="s">
        <v>72</v>
      </c>
      <c r="B90" s="83" t="s">
        <v>54</v>
      </c>
      <c r="C90" s="219">
        <v>0.25192802056555269</v>
      </c>
      <c r="D90" s="219">
        <v>0.23244552058111381</v>
      </c>
      <c r="E90" s="219">
        <v>0.28000000000000003</v>
      </c>
      <c r="F90" s="219">
        <v>0.20841683366733471</v>
      </c>
      <c r="G90" s="219">
        <v>0.23391812865497069</v>
      </c>
      <c r="H90" s="226">
        <v>0.23391812865497069</v>
      </c>
    </row>
    <row r="91" spans="1:8" ht="18" customHeight="1" x14ac:dyDescent="0.2">
      <c r="A91" s="80" t="s">
        <v>73</v>
      </c>
      <c r="B91" s="80" t="s">
        <v>54</v>
      </c>
      <c r="C91" s="218">
        <v>0.2210796915167095</v>
      </c>
      <c r="D91" s="218">
        <v>0.24455205811138009</v>
      </c>
      <c r="E91" s="218">
        <v>0.24444444444444441</v>
      </c>
      <c r="F91" s="218">
        <v>0.25651302605210419</v>
      </c>
      <c r="G91" s="218">
        <v>0.20077972709551661</v>
      </c>
      <c r="H91" s="227">
        <v>0.20077972709551661</v>
      </c>
    </row>
    <row r="92" spans="1:8" ht="6" customHeight="1" x14ac:dyDescent="0.2">
      <c r="A92" s="73"/>
      <c r="B92" s="73"/>
      <c r="C92" s="175"/>
      <c r="D92" s="175"/>
      <c r="E92" s="175"/>
      <c r="F92" s="175"/>
      <c r="G92" s="175"/>
      <c r="H92" s="226"/>
    </row>
    <row r="93" spans="1:8" ht="18" customHeight="1" x14ac:dyDescent="0.2">
      <c r="A93" s="83" t="s">
        <v>74</v>
      </c>
      <c r="B93" s="83" t="s">
        <v>55</v>
      </c>
      <c r="C93" s="219">
        <v>0.3235294117647059</v>
      </c>
      <c r="D93" s="219">
        <v>0.36734693877551022</v>
      </c>
      <c r="E93" s="219">
        <v>0.37010676156583627</v>
      </c>
      <c r="F93" s="219">
        <v>0.36827195467422102</v>
      </c>
      <c r="G93" s="219">
        <v>0.351123595505618</v>
      </c>
      <c r="H93" s="226">
        <v>0.351123595505618</v>
      </c>
    </row>
    <row r="94" spans="1:8" ht="18" customHeight="1" x14ac:dyDescent="0.2">
      <c r="A94" s="80" t="s">
        <v>75</v>
      </c>
      <c r="B94" s="80" t="s">
        <v>55</v>
      </c>
      <c r="C94" s="218">
        <v>0.36554621848739488</v>
      </c>
      <c r="D94" s="218">
        <v>0.31428571428571428</v>
      </c>
      <c r="E94" s="218">
        <v>0.36298932384341642</v>
      </c>
      <c r="F94" s="218">
        <v>0.32294617563739381</v>
      </c>
      <c r="G94" s="218">
        <v>0.33707865168539319</v>
      </c>
      <c r="H94" s="227">
        <v>0.33707865168539319</v>
      </c>
    </row>
    <row r="95" spans="1:8" ht="18" customHeight="1" x14ac:dyDescent="0.2">
      <c r="A95" s="44" t="s">
        <v>76</v>
      </c>
      <c r="B95" s="44" t="s">
        <v>55</v>
      </c>
      <c r="C95" s="228">
        <v>0.31092436974789922</v>
      </c>
      <c r="D95" s="228">
        <v>0.3183673469387755</v>
      </c>
      <c r="E95" s="228">
        <v>0.2669039145907473</v>
      </c>
      <c r="F95" s="228">
        <v>0.30878186968838528</v>
      </c>
      <c r="G95" s="228">
        <v>0.31179775280898869</v>
      </c>
      <c r="H95" s="226">
        <v>0.31179775280898869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37C7-8079-DA42-9BF4-3197714F688B}">
  <sheetPr>
    <tabColor rgb="FF27AE60"/>
  </sheetPr>
  <dimension ref="A1:J77"/>
  <sheetViews>
    <sheetView showGridLines="0" workbookViewId="0">
      <selection activeCell="M26" sqref="M26"/>
    </sheetView>
  </sheetViews>
  <sheetFormatPr baseColWidth="10" defaultRowHeight="15" x14ac:dyDescent="0.2"/>
  <cols>
    <col min="1" max="1" width="14.1640625" customWidth="1"/>
    <col min="2" max="2" width="20" customWidth="1"/>
    <col min="3" max="10" width="14.1640625" customWidth="1"/>
  </cols>
  <sheetData>
    <row r="1" spans="1:10" s="1" customFormat="1" ht="30" customHeight="1" x14ac:dyDescent="0.25">
      <c r="A1" s="229" t="s">
        <v>288</v>
      </c>
      <c r="B1" s="229"/>
      <c r="C1" s="229"/>
      <c r="D1" s="229"/>
      <c r="E1" s="229"/>
      <c r="F1" s="229"/>
      <c r="G1" s="229"/>
      <c r="H1" s="229"/>
      <c r="I1" s="229"/>
      <c r="J1" s="229"/>
    </row>
    <row r="2" spans="1:10" ht="20" customHeight="1" x14ac:dyDescent="0.2">
      <c r="A2" s="230" t="s">
        <v>289</v>
      </c>
      <c r="B2" s="230"/>
      <c r="C2" s="230"/>
      <c r="D2" s="230"/>
      <c r="E2" s="230"/>
      <c r="F2" s="230"/>
      <c r="G2" s="230"/>
      <c r="H2" s="230"/>
      <c r="I2" s="230"/>
      <c r="J2" s="230"/>
    </row>
    <row r="3" spans="1:10" ht="6" customHeight="1" x14ac:dyDescent="0.2">
      <c r="A3" s="25"/>
      <c r="B3" s="25"/>
      <c r="C3" s="25"/>
      <c r="D3" s="25"/>
      <c r="E3" s="25"/>
      <c r="F3" s="25"/>
      <c r="G3" s="25"/>
      <c r="H3" s="3"/>
      <c r="I3" s="3"/>
      <c r="J3" s="3"/>
    </row>
    <row r="4" spans="1:10" ht="22" customHeight="1" x14ac:dyDescent="0.2">
      <c r="A4" s="231" t="s">
        <v>168</v>
      </c>
      <c r="B4" s="232"/>
      <c r="C4" s="232"/>
      <c r="D4" s="232"/>
      <c r="E4" s="232"/>
      <c r="F4" s="232"/>
      <c r="G4" s="232"/>
      <c r="H4" s="233"/>
      <c r="I4" s="233"/>
      <c r="J4" s="87"/>
    </row>
    <row r="5" spans="1:10" ht="24" customHeight="1" x14ac:dyDescent="0.2">
      <c r="A5" s="186" t="s">
        <v>61</v>
      </c>
      <c r="B5" s="186" t="s">
        <v>48</v>
      </c>
      <c r="C5" s="246" t="s">
        <v>290</v>
      </c>
      <c r="D5" s="246" t="s">
        <v>291</v>
      </c>
      <c r="E5" s="246" t="s">
        <v>292</v>
      </c>
      <c r="F5" s="246" t="s">
        <v>293</v>
      </c>
      <c r="G5" s="246" t="s">
        <v>294</v>
      </c>
      <c r="H5" s="151"/>
      <c r="I5" s="151"/>
      <c r="J5" s="151"/>
    </row>
    <row r="6" spans="1:10" ht="18" customHeight="1" x14ac:dyDescent="0.2">
      <c r="A6" s="29" t="s">
        <v>62</v>
      </c>
      <c r="B6" s="29" t="s">
        <v>51</v>
      </c>
      <c r="C6" s="57">
        <f>HISTORICAL!E5</f>
        <v>68</v>
      </c>
      <c r="D6" s="57">
        <f>HISTORICAL!F5</f>
        <v>59</v>
      </c>
      <c r="E6" s="57">
        <f>HISTORICAL!G5</f>
        <v>65</v>
      </c>
      <c r="F6" s="57">
        <f>HISTORICAL!G5</f>
        <v>65</v>
      </c>
      <c r="G6" s="57">
        <f t="shared" ref="G6:G20" si="0">F6-E6</f>
        <v>0</v>
      </c>
      <c r="H6" s="119"/>
      <c r="I6" s="119"/>
      <c r="J6" s="119"/>
    </row>
    <row r="7" spans="1:10" ht="18" customHeight="1" x14ac:dyDescent="0.2">
      <c r="A7" s="36" t="s">
        <v>63</v>
      </c>
      <c r="B7" s="36" t="s">
        <v>52</v>
      </c>
      <c r="C7" s="110">
        <f>HISTORICAL!E6</f>
        <v>86</v>
      </c>
      <c r="D7" s="110">
        <f>HISTORICAL!F6</f>
        <v>109</v>
      </c>
      <c r="E7" s="110">
        <f>HISTORICAL!G6</f>
        <v>71</v>
      </c>
      <c r="F7" s="60">
        <f>HISTORICAL!G6+6</f>
        <v>77</v>
      </c>
      <c r="G7" s="110">
        <f t="shared" si="0"/>
        <v>6</v>
      </c>
      <c r="H7" s="132"/>
      <c r="I7" s="132"/>
      <c r="J7" s="157"/>
    </row>
    <row r="8" spans="1:10" ht="18" customHeight="1" x14ac:dyDescent="0.2">
      <c r="A8" s="39" t="s">
        <v>64</v>
      </c>
      <c r="B8" s="39" t="s">
        <v>52</v>
      </c>
      <c r="C8" s="112">
        <f>HISTORICAL!E7</f>
        <v>95</v>
      </c>
      <c r="D8" s="112">
        <f>HISTORICAL!F7</f>
        <v>123</v>
      </c>
      <c r="E8" s="112">
        <f>HISTORICAL!G7</f>
        <v>124</v>
      </c>
      <c r="F8" s="112">
        <f>HISTORICAL!G7</f>
        <v>124</v>
      </c>
      <c r="G8" s="112">
        <f t="shared" si="0"/>
        <v>0</v>
      </c>
      <c r="H8" s="121"/>
      <c r="I8" s="121"/>
      <c r="J8" s="119"/>
    </row>
    <row r="9" spans="1:10" ht="18" customHeight="1" x14ac:dyDescent="0.2">
      <c r="A9" s="36" t="s">
        <v>65</v>
      </c>
      <c r="B9" s="36" t="s">
        <v>53</v>
      </c>
      <c r="C9" s="110">
        <f>HISTORICAL!E8</f>
        <v>126</v>
      </c>
      <c r="D9" s="110">
        <f>HISTORICAL!F8</f>
        <v>116</v>
      </c>
      <c r="E9" s="110">
        <f>HISTORICAL!G8</f>
        <v>126</v>
      </c>
      <c r="F9" s="60">
        <f>HISTORICAL!G8</f>
        <v>126</v>
      </c>
      <c r="G9" s="110">
        <f t="shared" si="0"/>
        <v>0</v>
      </c>
      <c r="H9" s="132"/>
      <c r="I9" s="132"/>
      <c r="J9" s="157"/>
    </row>
    <row r="10" spans="1:10" ht="18" customHeight="1" x14ac:dyDescent="0.2">
      <c r="A10" s="39" t="s">
        <v>66</v>
      </c>
      <c r="B10" s="39" t="s">
        <v>53</v>
      </c>
      <c r="C10" s="112">
        <f>HISTORICAL!E9</f>
        <v>108</v>
      </c>
      <c r="D10" s="112">
        <f>HISTORICAL!F9</f>
        <v>140</v>
      </c>
      <c r="E10" s="112">
        <f>HISTORICAL!G9</f>
        <v>118</v>
      </c>
      <c r="F10" s="112">
        <f>HISTORICAL!G9</f>
        <v>118</v>
      </c>
      <c r="G10" s="112">
        <f t="shared" si="0"/>
        <v>0</v>
      </c>
      <c r="H10" s="121"/>
      <c r="I10" s="121"/>
      <c r="J10" s="119"/>
    </row>
    <row r="11" spans="1:10" ht="18" customHeight="1" x14ac:dyDescent="0.2">
      <c r="A11" s="36" t="s">
        <v>67</v>
      </c>
      <c r="B11" s="36" t="s">
        <v>53</v>
      </c>
      <c r="C11" s="110">
        <f>HISTORICAL!E10</f>
        <v>122</v>
      </c>
      <c r="D11" s="110">
        <f>HISTORICAL!F10</f>
        <v>126</v>
      </c>
      <c r="E11" s="110">
        <f>HISTORICAL!G10</f>
        <v>132</v>
      </c>
      <c r="F11" s="60">
        <f>HISTORICAL!G10</f>
        <v>132</v>
      </c>
      <c r="G11" s="110">
        <f t="shared" si="0"/>
        <v>0</v>
      </c>
      <c r="H11" s="132"/>
      <c r="I11" s="132"/>
      <c r="J11" s="157"/>
    </row>
    <row r="12" spans="1:10" ht="18" customHeight="1" x14ac:dyDescent="0.2">
      <c r="A12" s="39" t="s">
        <v>68</v>
      </c>
      <c r="B12" s="39" t="s">
        <v>53</v>
      </c>
      <c r="C12" s="112">
        <f>HISTORICAL!E11</f>
        <v>125</v>
      </c>
      <c r="D12" s="112">
        <f>HISTORICAL!F11</f>
        <v>124</v>
      </c>
      <c r="E12" s="112">
        <f>HISTORICAL!G11</f>
        <v>121</v>
      </c>
      <c r="F12" s="112">
        <f>HISTORICAL!G11</f>
        <v>121</v>
      </c>
      <c r="G12" s="112">
        <f t="shared" si="0"/>
        <v>0</v>
      </c>
      <c r="H12" s="121"/>
      <c r="I12" s="121"/>
      <c r="J12" s="119"/>
    </row>
    <row r="13" spans="1:10" ht="18" customHeight="1" x14ac:dyDescent="0.2">
      <c r="A13" s="36" t="s">
        <v>69</v>
      </c>
      <c r="B13" s="36" t="s">
        <v>53</v>
      </c>
      <c r="C13" s="110">
        <f>HISTORICAL!E12</f>
        <v>126</v>
      </c>
      <c r="D13" s="110">
        <f>HISTORICAL!F12</f>
        <v>145</v>
      </c>
      <c r="E13" s="110">
        <f>HISTORICAL!G12</f>
        <v>121</v>
      </c>
      <c r="F13" s="60">
        <f>HISTORICAL!G12</f>
        <v>121</v>
      </c>
      <c r="G13" s="110">
        <f t="shared" si="0"/>
        <v>0</v>
      </c>
      <c r="H13" s="132"/>
      <c r="I13" s="132"/>
      <c r="J13" s="157"/>
    </row>
    <row r="14" spans="1:10" ht="18" customHeight="1" x14ac:dyDescent="0.2">
      <c r="A14" s="39" t="s">
        <v>70</v>
      </c>
      <c r="B14" s="39" t="s">
        <v>54</v>
      </c>
      <c r="C14" s="112">
        <f>HISTORICAL!E13</f>
        <v>112</v>
      </c>
      <c r="D14" s="112">
        <f>HISTORICAL!F13</f>
        <v>146</v>
      </c>
      <c r="E14" s="112">
        <f>HISTORICAL!G13</f>
        <v>151</v>
      </c>
      <c r="F14" s="112">
        <f>HISTORICAL!G13</f>
        <v>151</v>
      </c>
      <c r="G14" s="112">
        <f t="shared" si="0"/>
        <v>0</v>
      </c>
      <c r="H14" s="121"/>
      <c r="I14" s="121"/>
      <c r="J14" s="119"/>
    </row>
    <row r="15" spans="1:10" ht="18" customHeight="1" x14ac:dyDescent="0.2">
      <c r="A15" s="36" t="s">
        <v>71</v>
      </c>
      <c r="B15" s="36" t="s">
        <v>54</v>
      </c>
      <c r="C15" s="110">
        <f>HISTORICAL!E14</f>
        <v>102</v>
      </c>
      <c r="D15" s="110">
        <f>HISTORICAL!F14</f>
        <v>121</v>
      </c>
      <c r="E15" s="110">
        <f>HISTORICAL!G14</f>
        <v>139</v>
      </c>
      <c r="F15" s="60">
        <f>HISTORICAL!G14</f>
        <v>139</v>
      </c>
      <c r="G15" s="110">
        <f t="shared" si="0"/>
        <v>0</v>
      </c>
      <c r="H15" s="132"/>
      <c r="I15" s="132"/>
      <c r="J15" s="157"/>
    </row>
    <row r="16" spans="1:10" ht="18" customHeight="1" x14ac:dyDescent="0.2">
      <c r="A16" s="39" t="s">
        <v>72</v>
      </c>
      <c r="B16" s="39" t="s">
        <v>54</v>
      </c>
      <c r="C16" s="112">
        <f>HISTORICAL!E15</f>
        <v>126</v>
      </c>
      <c r="D16" s="112">
        <f>HISTORICAL!F15</f>
        <v>104</v>
      </c>
      <c r="E16" s="112">
        <f>HISTORICAL!G15</f>
        <v>120</v>
      </c>
      <c r="F16" s="112">
        <f>HISTORICAL!G15</f>
        <v>120</v>
      </c>
      <c r="G16" s="112">
        <f t="shared" si="0"/>
        <v>0</v>
      </c>
      <c r="H16" s="121"/>
      <c r="I16" s="121"/>
      <c r="J16" s="119"/>
    </row>
    <row r="17" spans="1:10" ht="18" customHeight="1" x14ac:dyDescent="0.2">
      <c r="A17" s="36" t="s">
        <v>73</v>
      </c>
      <c r="B17" s="36" t="s">
        <v>54</v>
      </c>
      <c r="C17" s="110">
        <f>HISTORICAL!E16</f>
        <v>110</v>
      </c>
      <c r="D17" s="110">
        <f>HISTORICAL!F16</f>
        <v>128</v>
      </c>
      <c r="E17" s="110">
        <f>HISTORICAL!G16</f>
        <v>103</v>
      </c>
      <c r="F17" s="60">
        <f>HISTORICAL!G16</f>
        <v>103</v>
      </c>
      <c r="G17" s="110">
        <f t="shared" si="0"/>
        <v>0</v>
      </c>
      <c r="H17" s="132"/>
      <c r="I17" s="132"/>
      <c r="J17" s="157"/>
    </row>
    <row r="18" spans="1:10" ht="18" customHeight="1" x14ac:dyDescent="0.2">
      <c r="A18" s="39" t="s">
        <v>74</v>
      </c>
      <c r="B18" s="39" t="s">
        <v>55</v>
      </c>
      <c r="C18" s="112">
        <f>HISTORICAL!E17</f>
        <v>104</v>
      </c>
      <c r="D18" s="112">
        <f>HISTORICAL!F17</f>
        <v>130</v>
      </c>
      <c r="E18" s="112">
        <f>HISTORICAL!G17</f>
        <v>125</v>
      </c>
      <c r="F18" s="112">
        <f>HISTORICAL!G17</f>
        <v>125</v>
      </c>
      <c r="G18" s="112">
        <f t="shared" si="0"/>
        <v>0</v>
      </c>
      <c r="H18" s="121"/>
      <c r="I18" s="121"/>
      <c r="J18" s="119"/>
    </row>
    <row r="19" spans="1:10" ht="18" customHeight="1" x14ac:dyDescent="0.2">
      <c r="A19" s="36" t="s">
        <v>75</v>
      </c>
      <c r="B19" s="36" t="s">
        <v>55</v>
      </c>
      <c r="C19" s="110">
        <f>HISTORICAL!E18</f>
        <v>102</v>
      </c>
      <c r="D19" s="110">
        <f>HISTORICAL!F18</f>
        <v>114</v>
      </c>
      <c r="E19" s="110">
        <f>HISTORICAL!G18</f>
        <v>120</v>
      </c>
      <c r="F19" s="60">
        <f>HISTORICAL!G18</f>
        <v>120</v>
      </c>
      <c r="G19" s="110">
        <f t="shared" si="0"/>
        <v>0</v>
      </c>
      <c r="H19" s="132"/>
      <c r="I19" s="132"/>
      <c r="J19" s="157"/>
    </row>
    <row r="20" spans="1:10" ht="18" customHeight="1" x14ac:dyDescent="0.2">
      <c r="A20" s="39" t="s">
        <v>76</v>
      </c>
      <c r="B20" s="39" t="s">
        <v>55</v>
      </c>
      <c r="C20" s="112">
        <f>HISTORICAL!E19</f>
        <v>75</v>
      </c>
      <c r="D20" s="112">
        <f>HISTORICAL!F19</f>
        <v>109</v>
      </c>
      <c r="E20" s="112">
        <f>HISTORICAL!G19</f>
        <v>111</v>
      </c>
      <c r="F20" s="112">
        <f>HISTORICAL!G19</f>
        <v>111</v>
      </c>
      <c r="G20" s="112">
        <f t="shared" si="0"/>
        <v>0</v>
      </c>
      <c r="H20" s="121"/>
      <c r="I20" s="121"/>
      <c r="J20" s="119"/>
    </row>
    <row r="21" spans="1:10" ht="6" customHeight="1" x14ac:dyDescent="0.2">
      <c r="A21" s="39"/>
      <c r="B21" s="39"/>
      <c r="C21" s="112"/>
      <c r="D21" s="112"/>
      <c r="E21" s="112"/>
      <c r="F21" s="112"/>
      <c r="G21" s="112"/>
      <c r="H21" s="121"/>
      <c r="I21" s="121"/>
      <c r="J21" s="119"/>
    </row>
    <row r="22" spans="1:10" ht="20" customHeight="1" x14ac:dyDescent="0.2">
      <c r="A22" s="182" t="s">
        <v>176</v>
      </c>
      <c r="B22" s="182"/>
      <c r="C22" s="247"/>
      <c r="D22" s="247"/>
      <c r="E22" s="247"/>
      <c r="F22" s="247"/>
      <c r="G22" s="247"/>
      <c r="H22" s="248"/>
      <c r="I22" s="248"/>
      <c r="J22" s="249"/>
    </row>
    <row r="23" spans="1:10" ht="20" customHeight="1" x14ac:dyDescent="0.2">
      <c r="A23" s="235" t="s">
        <v>51</v>
      </c>
      <c r="B23" s="235"/>
      <c r="C23" s="250">
        <f>C6</f>
        <v>68</v>
      </c>
      <c r="D23" s="250">
        <f>D6</f>
        <v>59</v>
      </c>
      <c r="E23" s="250">
        <f>E6</f>
        <v>65</v>
      </c>
      <c r="F23" s="250">
        <f>F6</f>
        <v>65</v>
      </c>
      <c r="G23" s="250">
        <f>G6</f>
        <v>0</v>
      </c>
      <c r="H23" s="251"/>
      <c r="I23" s="251"/>
      <c r="J23" s="251"/>
    </row>
    <row r="24" spans="1:10" ht="20" customHeight="1" x14ac:dyDescent="0.2">
      <c r="A24" s="236" t="s">
        <v>52</v>
      </c>
      <c r="B24" s="236"/>
      <c r="C24" s="252">
        <f>SUM(C7:C8)</f>
        <v>181</v>
      </c>
      <c r="D24" s="252">
        <f>SUM(D7:D8)</f>
        <v>232</v>
      </c>
      <c r="E24" s="252">
        <f>SUM(E7:E8)</f>
        <v>195</v>
      </c>
      <c r="F24" s="252">
        <f>SUM(F7:F8)</f>
        <v>201</v>
      </c>
      <c r="G24" s="252">
        <f>SUM(G7:G8)</f>
        <v>6</v>
      </c>
      <c r="H24" s="253"/>
      <c r="I24" s="253"/>
      <c r="J24" s="251"/>
    </row>
    <row r="25" spans="1:10" ht="20" customHeight="1" x14ac:dyDescent="0.2">
      <c r="A25" s="236" t="s">
        <v>53</v>
      </c>
      <c r="B25" s="236"/>
      <c r="C25" s="252">
        <f>SUM(C9:C13)</f>
        <v>607</v>
      </c>
      <c r="D25" s="252">
        <f>SUM(D9:D13)</f>
        <v>651</v>
      </c>
      <c r="E25" s="252">
        <f>SUM(E9:E13)</f>
        <v>618</v>
      </c>
      <c r="F25" s="252">
        <f>SUM(F9:F13)</f>
        <v>618</v>
      </c>
      <c r="G25" s="252">
        <f>SUM(G9:G13)</f>
        <v>0</v>
      </c>
      <c r="H25" s="253"/>
      <c r="I25" s="253"/>
      <c r="J25" s="251"/>
    </row>
    <row r="26" spans="1:10" ht="20" customHeight="1" x14ac:dyDescent="0.2">
      <c r="A26" s="236" t="s">
        <v>54</v>
      </c>
      <c r="B26" s="236"/>
      <c r="C26" s="252">
        <f>SUM(C14:C17)</f>
        <v>450</v>
      </c>
      <c r="D26" s="252">
        <f>SUM(D14:D17)</f>
        <v>499</v>
      </c>
      <c r="E26" s="252">
        <f>SUM(E14:E17)</f>
        <v>513</v>
      </c>
      <c r="F26" s="252">
        <f>SUM(F14:F17)</f>
        <v>513</v>
      </c>
      <c r="G26" s="252">
        <f>SUM(G14:G17)</f>
        <v>0</v>
      </c>
      <c r="H26" s="253"/>
      <c r="I26" s="253"/>
      <c r="J26" s="251"/>
    </row>
    <row r="27" spans="1:10" ht="20" customHeight="1" thickBot="1" x14ac:dyDescent="0.25">
      <c r="A27" s="236" t="s">
        <v>55</v>
      </c>
      <c r="B27" s="236"/>
      <c r="C27" s="252">
        <f>SUM(C18:C20)</f>
        <v>281</v>
      </c>
      <c r="D27" s="252">
        <f>SUM(D18:D20)</f>
        <v>353</v>
      </c>
      <c r="E27" s="252">
        <f>SUM(E18:E20)</f>
        <v>356</v>
      </c>
      <c r="F27" s="252">
        <f>SUM(F18:F20)</f>
        <v>356</v>
      </c>
      <c r="G27" s="252">
        <f>SUM(G18:G20)</f>
        <v>0</v>
      </c>
      <c r="H27" s="253"/>
      <c r="I27" s="253"/>
      <c r="J27" s="251"/>
    </row>
    <row r="28" spans="1:10" s="2" customFormat="1" ht="24" customHeight="1" thickTop="1" thickBot="1" x14ac:dyDescent="0.25">
      <c r="A28" s="183" t="s">
        <v>177</v>
      </c>
      <c r="B28" s="183"/>
      <c r="C28" s="169">
        <f>SUM(C23:C27)</f>
        <v>1587</v>
      </c>
      <c r="D28" s="169">
        <f>SUM(D23:D27)</f>
        <v>1794</v>
      </c>
      <c r="E28" s="169">
        <f>SUM(E23:E27)</f>
        <v>1747</v>
      </c>
      <c r="F28" s="169">
        <f>SUM(F23:F27)</f>
        <v>1753</v>
      </c>
      <c r="G28" s="169">
        <f>SUM(G23:G27)</f>
        <v>6</v>
      </c>
      <c r="H28" s="170"/>
      <c r="I28" s="170"/>
      <c r="J28" s="170"/>
    </row>
    <row r="29" spans="1:10" ht="6" customHeight="1" thickTop="1" x14ac:dyDescent="0.2">
      <c r="A29" s="29"/>
      <c r="B29" s="29"/>
      <c r="C29" s="57"/>
      <c r="D29" s="57"/>
      <c r="E29" s="57"/>
      <c r="F29" s="57"/>
      <c r="G29" s="57"/>
      <c r="H29" s="119"/>
      <c r="I29" s="119"/>
      <c r="J29" s="119"/>
    </row>
    <row r="30" spans="1:10" ht="22" customHeight="1" thickBot="1" x14ac:dyDescent="0.25">
      <c r="A30" s="238" t="s">
        <v>295</v>
      </c>
      <c r="B30" s="239"/>
      <c r="C30" s="254"/>
      <c r="D30" s="254"/>
      <c r="E30" s="254"/>
      <c r="F30" s="254"/>
      <c r="G30" s="254"/>
      <c r="H30" s="255"/>
      <c r="I30" s="255"/>
      <c r="J30" s="128"/>
    </row>
    <row r="31" spans="1:10" ht="24" customHeight="1" x14ac:dyDescent="0.2">
      <c r="A31" s="14" t="s">
        <v>61</v>
      </c>
      <c r="B31" s="14" t="s">
        <v>296</v>
      </c>
      <c r="C31" s="151" t="s">
        <v>297</v>
      </c>
      <c r="D31" s="151" t="s">
        <v>178</v>
      </c>
      <c r="E31" s="151" t="s">
        <v>179</v>
      </c>
      <c r="F31" s="151" t="s">
        <v>298</v>
      </c>
      <c r="G31" s="151" t="s">
        <v>180</v>
      </c>
      <c r="H31" s="151" t="s">
        <v>299</v>
      </c>
      <c r="I31" s="151" t="s">
        <v>181</v>
      </c>
      <c r="J31" s="151"/>
    </row>
    <row r="32" spans="1:10" ht="18" customHeight="1" x14ac:dyDescent="0.2">
      <c r="A32" s="15" t="s">
        <v>62</v>
      </c>
      <c r="B32" s="15" t="s">
        <v>182</v>
      </c>
      <c r="C32" s="119">
        <v>0</v>
      </c>
      <c r="D32" s="119" t="s">
        <v>183</v>
      </c>
      <c r="E32" s="119" t="s">
        <v>183</v>
      </c>
      <c r="F32" s="119" t="s">
        <v>183</v>
      </c>
      <c r="G32" s="119" t="s">
        <v>183</v>
      </c>
      <c r="H32" s="256">
        <v>1</v>
      </c>
      <c r="I32" s="119">
        <f>NEW_PS_INTAKE+H32</f>
        <v>65</v>
      </c>
      <c r="J32" s="119">
        <f>I32</f>
        <v>65</v>
      </c>
    </row>
    <row r="33" spans="1:10" ht="18" customHeight="1" x14ac:dyDescent="0.2">
      <c r="A33" s="82" t="s">
        <v>63</v>
      </c>
      <c r="B33" s="82" t="s">
        <v>62</v>
      </c>
      <c r="C33" s="132">
        <f t="shared" ref="C33:C46" si="1">F6</f>
        <v>65</v>
      </c>
      <c r="D33" s="259">
        <v>0.97</v>
      </c>
      <c r="E33" s="132">
        <f t="shared" ref="E33:E46" si="2">ROUND(C33*D33,0)</f>
        <v>63</v>
      </c>
      <c r="F33" s="132">
        <f>ROUND(LATERAL_WEIGHT_RECENT*HISTORICAL!G6+(1-LATERAL_WEIGHT_RECENT)*HISTORICAL!F6,0)</f>
        <v>79</v>
      </c>
      <c r="G33" s="132">
        <f t="shared" ref="G33:G46" si="3">MAX(0,F33-E33)</f>
        <v>16</v>
      </c>
      <c r="H33" s="131">
        <v>-2</v>
      </c>
      <c r="I33" s="132">
        <f t="shared" ref="I33:I46" si="4">E33+G33+H33</f>
        <v>77</v>
      </c>
      <c r="J33" s="157">
        <f>I33-E33</f>
        <v>14</v>
      </c>
    </row>
    <row r="34" spans="1:10" ht="18" customHeight="1" x14ac:dyDescent="0.2">
      <c r="A34" s="73" t="s">
        <v>64</v>
      </c>
      <c r="B34" s="73" t="s">
        <v>63</v>
      </c>
      <c r="C34" s="121">
        <f t="shared" si="1"/>
        <v>77</v>
      </c>
      <c r="D34" s="260">
        <v>0.97</v>
      </c>
      <c r="E34" s="121">
        <f t="shared" si="2"/>
        <v>75</v>
      </c>
      <c r="F34" s="121">
        <f>ROUND(LATERAL_WEIGHT_RECENT*HISTORICAL!G7+(1-LATERAL_WEIGHT_RECENT)*HISTORICAL!F7,0)</f>
        <v>124</v>
      </c>
      <c r="G34" s="121">
        <f t="shared" si="3"/>
        <v>49</v>
      </c>
      <c r="H34" s="138">
        <v>0</v>
      </c>
      <c r="I34" s="121">
        <f t="shared" si="4"/>
        <v>124</v>
      </c>
      <c r="J34" s="119">
        <f t="shared" ref="J34:J46" si="5">I34-E34</f>
        <v>49</v>
      </c>
    </row>
    <row r="35" spans="1:10" ht="18" customHeight="1" x14ac:dyDescent="0.2">
      <c r="A35" s="82" t="s">
        <v>65</v>
      </c>
      <c r="B35" s="82" t="s">
        <v>64</v>
      </c>
      <c r="C35" s="132">
        <f t="shared" si="1"/>
        <v>124</v>
      </c>
      <c r="D35" s="259">
        <v>0.97</v>
      </c>
      <c r="E35" s="132">
        <f t="shared" si="2"/>
        <v>120</v>
      </c>
      <c r="F35" s="132">
        <f>ROUND(LATERAL_WEIGHT_RECENT*HISTORICAL!G8+(1-LATERAL_WEIGHT_RECENT)*HISTORICAL!F8,0)</f>
        <v>124</v>
      </c>
      <c r="G35" s="132">
        <f t="shared" si="3"/>
        <v>4</v>
      </c>
      <c r="H35" s="131">
        <v>2</v>
      </c>
      <c r="I35" s="132">
        <f t="shared" si="4"/>
        <v>126</v>
      </c>
      <c r="J35" s="157">
        <f t="shared" si="5"/>
        <v>6</v>
      </c>
    </row>
    <row r="36" spans="1:10" ht="18" customHeight="1" x14ac:dyDescent="0.2">
      <c r="A36" s="73" t="s">
        <v>66</v>
      </c>
      <c r="B36" s="73" t="s">
        <v>65</v>
      </c>
      <c r="C36" s="121">
        <f t="shared" si="1"/>
        <v>126</v>
      </c>
      <c r="D36" s="260">
        <v>0.98</v>
      </c>
      <c r="E36" s="121">
        <f t="shared" si="2"/>
        <v>123</v>
      </c>
      <c r="F36" s="121">
        <f>ROUND(LATERAL_WEIGHT_RECENT*HISTORICAL!G9+(1-LATERAL_WEIGHT_RECENT)*HISTORICAL!F9,0)</f>
        <v>122</v>
      </c>
      <c r="G36" s="121">
        <f t="shared" si="3"/>
        <v>0</v>
      </c>
      <c r="H36" s="138">
        <v>-5</v>
      </c>
      <c r="I36" s="121">
        <f t="shared" si="4"/>
        <v>118</v>
      </c>
      <c r="J36" s="119"/>
    </row>
    <row r="37" spans="1:10" ht="18" customHeight="1" x14ac:dyDescent="0.2">
      <c r="A37" s="82" t="s">
        <v>67</v>
      </c>
      <c r="B37" s="82" t="s">
        <v>66</v>
      </c>
      <c r="C37" s="132">
        <f t="shared" si="1"/>
        <v>118</v>
      </c>
      <c r="D37" s="259">
        <v>0.94</v>
      </c>
      <c r="E37" s="132">
        <f t="shared" si="2"/>
        <v>111</v>
      </c>
      <c r="F37" s="132">
        <f>ROUND(LATERAL_WEIGHT_RECENT*HISTORICAL!G10+(1-LATERAL_WEIGHT_RECENT)*HISTORICAL!F10,0)</f>
        <v>131</v>
      </c>
      <c r="G37" s="132">
        <f t="shared" si="3"/>
        <v>20</v>
      </c>
      <c r="H37" s="131">
        <v>1</v>
      </c>
      <c r="I37" s="132">
        <f t="shared" si="4"/>
        <v>132</v>
      </c>
      <c r="J37" s="157">
        <f t="shared" si="5"/>
        <v>21</v>
      </c>
    </row>
    <row r="38" spans="1:10" ht="18" customHeight="1" x14ac:dyDescent="0.2">
      <c r="A38" s="73" t="s">
        <v>68</v>
      </c>
      <c r="B38" s="73" t="s">
        <v>67</v>
      </c>
      <c r="C38" s="121">
        <f t="shared" si="1"/>
        <v>132</v>
      </c>
      <c r="D38" s="260">
        <v>0.96</v>
      </c>
      <c r="E38" s="121">
        <f t="shared" si="2"/>
        <v>127</v>
      </c>
      <c r="F38" s="121">
        <f>ROUND(LATERAL_WEIGHT_RECENT*HISTORICAL!G11+(1-LATERAL_WEIGHT_RECENT)*HISTORICAL!F11,0)</f>
        <v>122</v>
      </c>
      <c r="G38" s="121">
        <f t="shared" si="3"/>
        <v>0</v>
      </c>
      <c r="H38" s="138">
        <v>-6</v>
      </c>
      <c r="I38" s="121">
        <f t="shared" si="4"/>
        <v>121</v>
      </c>
      <c r="J38" s="119"/>
    </row>
    <row r="39" spans="1:10" ht="18" customHeight="1" x14ac:dyDescent="0.2">
      <c r="A39" s="82" t="s">
        <v>69</v>
      </c>
      <c r="B39" s="82" t="s">
        <v>68</v>
      </c>
      <c r="C39" s="132">
        <f t="shared" si="1"/>
        <v>121</v>
      </c>
      <c r="D39" s="259">
        <v>0.98</v>
      </c>
      <c r="E39" s="132">
        <f t="shared" si="2"/>
        <v>119</v>
      </c>
      <c r="F39" s="132">
        <f>ROUND(LATERAL_WEIGHT_RECENT*HISTORICAL!G12+(1-LATERAL_WEIGHT_RECENT)*HISTORICAL!F12,0)</f>
        <v>126</v>
      </c>
      <c r="G39" s="132">
        <f t="shared" si="3"/>
        <v>7</v>
      </c>
      <c r="H39" s="131">
        <v>-5</v>
      </c>
      <c r="I39" s="132">
        <f t="shared" si="4"/>
        <v>121</v>
      </c>
      <c r="J39" s="157">
        <f t="shared" si="5"/>
        <v>2</v>
      </c>
    </row>
    <row r="40" spans="1:10" ht="18" customHeight="1" x14ac:dyDescent="0.2">
      <c r="A40" s="73" t="s">
        <v>70</v>
      </c>
      <c r="B40" s="73" t="s">
        <v>69</v>
      </c>
      <c r="C40" s="121">
        <f t="shared" si="1"/>
        <v>121</v>
      </c>
      <c r="D40" s="260">
        <v>0.97</v>
      </c>
      <c r="E40" s="121">
        <f t="shared" si="2"/>
        <v>117</v>
      </c>
      <c r="F40" s="121">
        <f>ROUND(LATERAL_WEIGHT_RECENT*HISTORICAL!G13+(1-LATERAL_WEIGHT_RECENT)*HISTORICAL!F13,0)</f>
        <v>150</v>
      </c>
      <c r="G40" s="121">
        <f t="shared" si="3"/>
        <v>33</v>
      </c>
      <c r="H40" s="138">
        <v>1</v>
      </c>
      <c r="I40" s="121">
        <f t="shared" si="4"/>
        <v>151</v>
      </c>
      <c r="J40" s="119">
        <f t="shared" si="5"/>
        <v>34</v>
      </c>
    </row>
    <row r="41" spans="1:10" ht="18" customHeight="1" x14ac:dyDescent="0.2">
      <c r="A41" s="82" t="s">
        <v>71</v>
      </c>
      <c r="B41" s="82" t="s">
        <v>70</v>
      </c>
      <c r="C41" s="132">
        <f t="shared" si="1"/>
        <v>151</v>
      </c>
      <c r="D41" s="259">
        <v>0.95</v>
      </c>
      <c r="E41" s="132">
        <f t="shared" si="2"/>
        <v>143</v>
      </c>
      <c r="F41" s="132">
        <f>ROUND(LATERAL_WEIGHT_RECENT*HISTORICAL!G14+(1-LATERAL_WEIGHT_RECENT)*HISTORICAL!F14,0)</f>
        <v>135</v>
      </c>
      <c r="G41" s="132">
        <f t="shared" si="3"/>
        <v>0</v>
      </c>
      <c r="H41" s="131">
        <v>-4</v>
      </c>
      <c r="I41" s="132">
        <f t="shared" si="4"/>
        <v>139</v>
      </c>
      <c r="J41" s="157"/>
    </row>
    <row r="42" spans="1:10" ht="18" customHeight="1" x14ac:dyDescent="0.2">
      <c r="A42" s="73" t="s">
        <v>72</v>
      </c>
      <c r="B42" s="73" t="s">
        <v>71</v>
      </c>
      <c r="C42" s="121">
        <f t="shared" si="1"/>
        <v>139</v>
      </c>
      <c r="D42" s="260">
        <v>0.99</v>
      </c>
      <c r="E42" s="121">
        <f t="shared" si="2"/>
        <v>138</v>
      </c>
      <c r="F42" s="121">
        <f>ROUND(LATERAL_WEIGHT_RECENT*HISTORICAL!G15+(1-LATERAL_WEIGHT_RECENT)*HISTORICAL!F15,0)</f>
        <v>117</v>
      </c>
      <c r="G42" s="121">
        <f t="shared" si="3"/>
        <v>0</v>
      </c>
      <c r="H42" s="138">
        <v>-18</v>
      </c>
      <c r="I42" s="121">
        <f t="shared" si="4"/>
        <v>120</v>
      </c>
      <c r="J42" s="119"/>
    </row>
    <row r="43" spans="1:10" ht="18" customHeight="1" x14ac:dyDescent="0.2">
      <c r="A43" s="82" t="s">
        <v>73</v>
      </c>
      <c r="B43" s="82" t="s">
        <v>72</v>
      </c>
      <c r="C43" s="132">
        <f t="shared" si="1"/>
        <v>120</v>
      </c>
      <c r="D43" s="259">
        <v>0.99</v>
      </c>
      <c r="E43" s="132">
        <f t="shared" si="2"/>
        <v>119</v>
      </c>
      <c r="F43" s="132">
        <f>ROUND(LATERAL_WEIGHT_RECENT*HISTORICAL!G16+(1-LATERAL_WEIGHT_RECENT)*HISTORICAL!F16,0)</f>
        <v>108</v>
      </c>
      <c r="G43" s="132">
        <f t="shared" si="3"/>
        <v>0</v>
      </c>
      <c r="H43" s="131">
        <v>-16</v>
      </c>
      <c r="I43" s="132">
        <f t="shared" si="4"/>
        <v>103</v>
      </c>
      <c r="J43" s="157"/>
    </row>
    <row r="44" spans="1:10" ht="18" customHeight="1" x14ac:dyDescent="0.2">
      <c r="A44" s="73" t="s">
        <v>74</v>
      </c>
      <c r="B44" s="73" t="s">
        <v>73</v>
      </c>
      <c r="C44" s="121">
        <f t="shared" si="1"/>
        <v>103</v>
      </c>
      <c r="D44" s="260">
        <v>0.98</v>
      </c>
      <c r="E44" s="121">
        <f t="shared" si="2"/>
        <v>101</v>
      </c>
      <c r="F44" s="121">
        <f>ROUND(LATERAL_WEIGHT_RECENT*HISTORICAL!G17+(1-LATERAL_WEIGHT_RECENT)*HISTORICAL!F17,0)</f>
        <v>126</v>
      </c>
      <c r="G44" s="121">
        <f t="shared" si="3"/>
        <v>25</v>
      </c>
      <c r="H44" s="138">
        <v>-1</v>
      </c>
      <c r="I44" s="121">
        <f t="shared" si="4"/>
        <v>125</v>
      </c>
      <c r="J44" s="119">
        <f t="shared" si="5"/>
        <v>24</v>
      </c>
    </row>
    <row r="45" spans="1:10" ht="18" customHeight="1" x14ac:dyDescent="0.2">
      <c r="A45" s="82" t="s">
        <v>75</v>
      </c>
      <c r="B45" s="82" t="s">
        <v>74</v>
      </c>
      <c r="C45" s="132">
        <f t="shared" si="1"/>
        <v>125</v>
      </c>
      <c r="D45" s="259">
        <v>0.92</v>
      </c>
      <c r="E45" s="132">
        <f t="shared" si="2"/>
        <v>115</v>
      </c>
      <c r="F45" s="132">
        <f>ROUND(LATERAL_WEIGHT_RECENT*HISTORICAL!G18+(1-LATERAL_WEIGHT_RECENT)*HISTORICAL!F18,0)</f>
        <v>119</v>
      </c>
      <c r="G45" s="132">
        <f t="shared" si="3"/>
        <v>4</v>
      </c>
      <c r="H45" s="131">
        <v>1</v>
      </c>
      <c r="I45" s="132">
        <f t="shared" si="4"/>
        <v>120</v>
      </c>
      <c r="J45" s="157">
        <f t="shared" si="5"/>
        <v>5</v>
      </c>
    </row>
    <row r="46" spans="1:10" ht="18" customHeight="1" x14ac:dyDescent="0.2">
      <c r="A46" s="73" t="s">
        <v>76</v>
      </c>
      <c r="B46" s="73" t="s">
        <v>75</v>
      </c>
      <c r="C46" s="121">
        <f t="shared" si="1"/>
        <v>120</v>
      </c>
      <c r="D46" s="261">
        <v>0.9</v>
      </c>
      <c r="E46" s="121">
        <f t="shared" si="2"/>
        <v>108</v>
      </c>
      <c r="F46" s="121">
        <f>ROUND(LATERAL_WEIGHT_RECENT*HISTORICAL!G19+(1-LATERAL_WEIGHT_RECENT)*HISTORICAL!F19,0)</f>
        <v>111</v>
      </c>
      <c r="G46" s="121">
        <f t="shared" si="3"/>
        <v>3</v>
      </c>
      <c r="H46" s="257">
        <v>0</v>
      </c>
      <c r="I46" s="121">
        <f t="shared" si="4"/>
        <v>111</v>
      </c>
      <c r="J46" s="119">
        <f t="shared" si="5"/>
        <v>3</v>
      </c>
    </row>
    <row r="47" spans="1:10" ht="6" customHeight="1" thickBot="1" x14ac:dyDescent="0.25">
      <c r="A47" s="73"/>
      <c r="B47" s="73"/>
      <c r="C47" s="121"/>
      <c r="D47" s="262"/>
      <c r="E47" s="121"/>
      <c r="F47" s="121"/>
      <c r="G47" s="121"/>
      <c r="H47" s="119"/>
      <c r="I47" s="121"/>
      <c r="J47" s="119"/>
    </row>
    <row r="48" spans="1:10" ht="24" customHeight="1" thickTop="1" thickBot="1" x14ac:dyDescent="0.25">
      <c r="A48" s="148" t="s">
        <v>184</v>
      </c>
      <c r="B48" s="148"/>
      <c r="C48" s="170">
        <f>SUM(C32:C46)</f>
        <v>1642</v>
      </c>
      <c r="D48" s="263"/>
      <c r="E48" s="170">
        <f>SUM(E33:E46)</f>
        <v>1579</v>
      </c>
      <c r="F48" s="170">
        <f>SUM(F33:F46)</f>
        <v>1694</v>
      </c>
      <c r="G48" s="170">
        <f>SUM(G33:G46)</f>
        <v>161</v>
      </c>
      <c r="H48" s="170">
        <f>SUM(H32:H46)</f>
        <v>-51</v>
      </c>
      <c r="I48" s="170">
        <f>SUM(I32:I46)</f>
        <v>1753</v>
      </c>
      <c r="J48" s="170"/>
    </row>
    <row r="49" spans="1:10" ht="6" customHeight="1" thickTop="1" x14ac:dyDescent="0.2">
      <c r="A49" s="15"/>
      <c r="B49" s="15"/>
      <c r="C49" s="119"/>
      <c r="D49" s="119"/>
      <c r="E49" s="119"/>
      <c r="F49" s="119"/>
      <c r="G49" s="119"/>
      <c r="H49" s="119"/>
      <c r="I49" s="119"/>
      <c r="J49" s="119"/>
    </row>
    <row r="50" spans="1:10" ht="22" customHeight="1" thickBot="1" x14ac:dyDescent="0.25">
      <c r="A50" s="242" t="s">
        <v>300</v>
      </c>
      <c r="B50" s="240"/>
      <c r="C50" s="255"/>
      <c r="D50" s="255"/>
      <c r="E50" s="255"/>
      <c r="F50" s="255"/>
      <c r="G50" s="255"/>
      <c r="H50" s="255"/>
      <c r="I50" s="255"/>
      <c r="J50" s="128"/>
    </row>
    <row r="51" spans="1:10" ht="24" customHeight="1" x14ac:dyDescent="0.2">
      <c r="A51" s="14" t="s">
        <v>61</v>
      </c>
      <c r="B51" s="14" t="s">
        <v>48</v>
      </c>
      <c r="C51" s="151" t="s">
        <v>301</v>
      </c>
      <c r="D51" s="151"/>
      <c r="E51" s="151"/>
      <c r="F51" s="151"/>
      <c r="G51" s="151"/>
      <c r="H51" s="151"/>
      <c r="I51" s="151"/>
      <c r="J51" s="151"/>
    </row>
    <row r="52" spans="1:10" ht="18" customHeight="1" x14ac:dyDescent="0.2">
      <c r="A52" s="15" t="s">
        <v>62</v>
      </c>
      <c r="B52" s="15" t="s">
        <v>51</v>
      </c>
      <c r="C52" s="119">
        <f t="shared" ref="C52:C66" si="6">I32</f>
        <v>65</v>
      </c>
      <c r="D52" s="119"/>
      <c r="E52" s="119"/>
      <c r="F52" s="119"/>
      <c r="G52" s="119"/>
      <c r="H52" s="119"/>
      <c r="I52" s="119"/>
      <c r="J52" s="119"/>
    </row>
    <row r="53" spans="1:10" ht="18" customHeight="1" x14ac:dyDescent="0.2">
      <c r="A53" s="82" t="s">
        <v>63</v>
      </c>
      <c r="B53" s="82" t="s">
        <v>52</v>
      </c>
      <c r="C53" s="132">
        <f t="shared" si="6"/>
        <v>77</v>
      </c>
      <c r="D53" s="132"/>
      <c r="E53" s="132"/>
      <c r="F53" s="132"/>
      <c r="G53" s="132"/>
      <c r="H53" s="132"/>
      <c r="I53" s="132"/>
      <c r="J53" s="157"/>
    </row>
    <row r="54" spans="1:10" ht="18" customHeight="1" x14ac:dyDescent="0.2">
      <c r="A54" s="73" t="s">
        <v>64</v>
      </c>
      <c r="B54" s="73" t="s">
        <v>52</v>
      </c>
      <c r="C54" s="121">
        <f t="shared" si="6"/>
        <v>124</v>
      </c>
      <c r="D54" s="121"/>
      <c r="E54" s="121"/>
      <c r="F54" s="121"/>
      <c r="G54" s="121"/>
      <c r="H54" s="121"/>
      <c r="I54" s="121"/>
      <c r="J54" s="119"/>
    </row>
    <row r="55" spans="1:10" ht="18" customHeight="1" x14ac:dyDescent="0.2">
      <c r="A55" s="82" t="s">
        <v>65</v>
      </c>
      <c r="B55" s="82" t="s">
        <v>53</v>
      </c>
      <c r="C55" s="132">
        <f t="shared" si="6"/>
        <v>126</v>
      </c>
      <c r="D55" s="132"/>
      <c r="E55" s="132"/>
      <c r="F55" s="132"/>
      <c r="G55" s="132"/>
      <c r="H55" s="132"/>
      <c r="I55" s="132"/>
      <c r="J55" s="157"/>
    </row>
    <row r="56" spans="1:10" ht="18" customHeight="1" x14ac:dyDescent="0.2">
      <c r="A56" s="73" t="s">
        <v>66</v>
      </c>
      <c r="B56" s="73" t="s">
        <v>53</v>
      </c>
      <c r="C56" s="121">
        <f t="shared" si="6"/>
        <v>118</v>
      </c>
      <c r="D56" s="121"/>
      <c r="E56" s="121"/>
      <c r="F56" s="121"/>
      <c r="G56" s="121"/>
      <c r="H56" s="121"/>
      <c r="I56" s="121"/>
      <c r="J56" s="119"/>
    </row>
    <row r="57" spans="1:10" ht="18" customHeight="1" x14ac:dyDescent="0.2">
      <c r="A57" s="82" t="s">
        <v>67</v>
      </c>
      <c r="B57" s="82" t="s">
        <v>53</v>
      </c>
      <c r="C57" s="132">
        <f t="shared" si="6"/>
        <v>132</v>
      </c>
      <c r="D57" s="132"/>
      <c r="E57" s="132"/>
      <c r="F57" s="132"/>
      <c r="G57" s="132"/>
      <c r="H57" s="132"/>
      <c r="I57" s="132"/>
      <c r="J57" s="157"/>
    </row>
    <row r="58" spans="1:10" ht="18" customHeight="1" x14ac:dyDescent="0.2">
      <c r="A58" s="73" t="s">
        <v>68</v>
      </c>
      <c r="B58" s="73" t="s">
        <v>53</v>
      </c>
      <c r="C58" s="121">
        <f t="shared" si="6"/>
        <v>121</v>
      </c>
      <c r="D58" s="121"/>
      <c r="E58" s="121"/>
      <c r="F58" s="121"/>
      <c r="G58" s="121"/>
      <c r="H58" s="121"/>
      <c r="I58" s="121"/>
      <c r="J58" s="119"/>
    </row>
    <row r="59" spans="1:10" ht="18" customHeight="1" x14ac:dyDescent="0.2">
      <c r="A59" s="82" t="s">
        <v>69</v>
      </c>
      <c r="B59" s="82" t="s">
        <v>53</v>
      </c>
      <c r="C59" s="132">
        <f t="shared" si="6"/>
        <v>121</v>
      </c>
      <c r="D59" s="132"/>
      <c r="E59" s="132"/>
      <c r="F59" s="132"/>
      <c r="G59" s="132"/>
      <c r="H59" s="132"/>
      <c r="I59" s="132"/>
      <c r="J59" s="157"/>
    </row>
    <row r="60" spans="1:10" ht="18" customHeight="1" x14ac:dyDescent="0.2">
      <c r="A60" s="73" t="s">
        <v>70</v>
      </c>
      <c r="B60" s="73" t="s">
        <v>54</v>
      </c>
      <c r="C60" s="121">
        <f t="shared" si="6"/>
        <v>151</v>
      </c>
      <c r="D60" s="121"/>
      <c r="E60" s="121"/>
      <c r="F60" s="121"/>
      <c r="G60" s="121"/>
      <c r="H60" s="121"/>
      <c r="I60" s="121"/>
      <c r="J60" s="119"/>
    </row>
    <row r="61" spans="1:10" ht="18" customHeight="1" x14ac:dyDescent="0.2">
      <c r="A61" s="82" t="s">
        <v>71</v>
      </c>
      <c r="B61" s="82" t="s">
        <v>54</v>
      </c>
      <c r="C61" s="132">
        <f t="shared" si="6"/>
        <v>139</v>
      </c>
      <c r="D61" s="132"/>
      <c r="E61" s="132"/>
      <c r="F61" s="132"/>
      <c r="G61" s="132"/>
      <c r="H61" s="132"/>
      <c r="I61" s="132"/>
      <c r="J61" s="157"/>
    </row>
    <row r="62" spans="1:10" ht="18" customHeight="1" x14ac:dyDescent="0.2">
      <c r="A62" s="73" t="s">
        <v>72</v>
      </c>
      <c r="B62" s="73" t="s">
        <v>54</v>
      </c>
      <c r="C62" s="121">
        <f t="shared" si="6"/>
        <v>120</v>
      </c>
      <c r="D62" s="121"/>
      <c r="E62" s="121"/>
      <c r="F62" s="121"/>
      <c r="G62" s="121"/>
      <c r="H62" s="121"/>
      <c r="I62" s="121"/>
      <c r="J62" s="119"/>
    </row>
    <row r="63" spans="1:10" ht="18" customHeight="1" x14ac:dyDescent="0.2">
      <c r="A63" s="82" t="s">
        <v>73</v>
      </c>
      <c r="B63" s="82" t="s">
        <v>54</v>
      </c>
      <c r="C63" s="132">
        <f t="shared" si="6"/>
        <v>103</v>
      </c>
      <c r="D63" s="132"/>
      <c r="E63" s="132"/>
      <c r="F63" s="132"/>
      <c r="G63" s="132"/>
      <c r="H63" s="132"/>
      <c r="I63" s="132"/>
      <c r="J63" s="157"/>
    </row>
    <row r="64" spans="1:10" ht="18" customHeight="1" x14ac:dyDescent="0.2">
      <c r="A64" s="73" t="s">
        <v>74</v>
      </c>
      <c r="B64" s="73" t="s">
        <v>55</v>
      </c>
      <c r="C64" s="121">
        <f t="shared" si="6"/>
        <v>125</v>
      </c>
      <c r="D64" s="121"/>
      <c r="E64" s="121"/>
      <c r="F64" s="121"/>
      <c r="G64" s="121"/>
      <c r="H64" s="121"/>
      <c r="I64" s="121"/>
      <c r="J64" s="119"/>
    </row>
    <row r="65" spans="1:10" ht="18" customHeight="1" x14ac:dyDescent="0.2">
      <c r="A65" s="82" t="s">
        <v>75</v>
      </c>
      <c r="B65" s="82" t="s">
        <v>55</v>
      </c>
      <c r="C65" s="132">
        <f t="shared" si="6"/>
        <v>120</v>
      </c>
      <c r="D65" s="132"/>
      <c r="E65" s="132"/>
      <c r="F65" s="132"/>
      <c r="G65" s="132"/>
      <c r="H65" s="132"/>
      <c r="I65" s="132"/>
      <c r="J65" s="157"/>
    </row>
    <row r="66" spans="1:10" ht="18" customHeight="1" x14ac:dyDescent="0.2">
      <c r="A66" s="73" t="s">
        <v>76</v>
      </c>
      <c r="B66" s="73" t="s">
        <v>55</v>
      </c>
      <c r="C66" s="121">
        <f t="shared" si="6"/>
        <v>111</v>
      </c>
      <c r="D66" s="121"/>
      <c r="E66" s="121"/>
      <c r="F66" s="121"/>
      <c r="G66" s="121"/>
      <c r="H66" s="121"/>
      <c r="I66" s="121"/>
      <c r="J66" s="119"/>
    </row>
    <row r="67" spans="1:10" ht="6" customHeight="1" x14ac:dyDescent="0.2">
      <c r="A67" s="73"/>
      <c r="B67" s="73"/>
      <c r="C67" s="121"/>
      <c r="D67" s="121"/>
      <c r="E67" s="121"/>
      <c r="F67" s="121"/>
      <c r="G67" s="121"/>
      <c r="H67" s="121"/>
      <c r="I67" s="121"/>
      <c r="J67" s="119"/>
    </row>
    <row r="68" spans="1:10" ht="22" customHeight="1" thickBot="1" x14ac:dyDescent="0.25">
      <c r="A68" s="243" t="s">
        <v>185</v>
      </c>
      <c r="B68" s="190"/>
      <c r="C68" s="258"/>
      <c r="D68" s="258"/>
      <c r="E68" s="258"/>
      <c r="F68" s="258"/>
      <c r="G68" s="258"/>
      <c r="H68" s="258"/>
      <c r="I68" s="258"/>
      <c r="J68" s="128"/>
    </row>
    <row r="69" spans="1:10" ht="24" customHeight="1" x14ac:dyDescent="0.2">
      <c r="A69" s="14" t="s">
        <v>48</v>
      </c>
      <c r="B69" s="14" t="s">
        <v>186</v>
      </c>
      <c r="C69" s="151" t="s">
        <v>181</v>
      </c>
      <c r="D69" s="151" t="s">
        <v>187</v>
      </c>
      <c r="E69" s="151" t="s">
        <v>188</v>
      </c>
      <c r="F69" s="151"/>
      <c r="G69" s="151"/>
      <c r="H69" s="151"/>
      <c r="I69" s="151"/>
      <c r="J69" s="151"/>
    </row>
    <row r="70" spans="1:10" ht="20" customHeight="1" x14ac:dyDescent="0.2">
      <c r="A70" s="180" t="s">
        <v>51</v>
      </c>
      <c r="B70" s="244">
        <f>F23</f>
        <v>65</v>
      </c>
      <c r="C70" s="251">
        <f>C52</f>
        <v>65</v>
      </c>
      <c r="D70" s="251">
        <f>C70-B70</f>
        <v>0</v>
      </c>
      <c r="E70" s="251">
        <f>IF(B70=0,0,(C70-B70)/B70)</f>
        <v>0</v>
      </c>
      <c r="F70" s="251"/>
      <c r="G70" s="251"/>
      <c r="H70" s="251"/>
      <c r="I70" s="251"/>
      <c r="J70" s="251"/>
    </row>
    <row r="71" spans="1:10" ht="20" customHeight="1" x14ac:dyDescent="0.2">
      <c r="A71" s="237" t="s">
        <v>52</v>
      </c>
      <c r="B71" s="245">
        <f>F24</f>
        <v>201</v>
      </c>
      <c r="C71" s="253">
        <f>C53+C54</f>
        <v>201</v>
      </c>
      <c r="D71" s="253">
        <f>C71-B71</f>
        <v>0</v>
      </c>
      <c r="E71" s="253">
        <f>IF(B71=0,0,(C71-B71)/B71)</f>
        <v>0</v>
      </c>
      <c r="F71" s="253"/>
      <c r="G71" s="253"/>
      <c r="H71" s="253"/>
      <c r="I71" s="253"/>
      <c r="J71" s="251"/>
    </row>
    <row r="72" spans="1:10" ht="20" customHeight="1" x14ac:dyDescent="0.2">
      <c r="A72" s="237" t="s">
        <v>53</v>
      </c>
      <c r="B72" s="245">
        <f>F25</f>
        <v>618</v>
      </c>
      <c r="C72" s="253">
        <f>C55+C56+C57+C58+C59</f>
        <v>618</v>
      </c>
      <c r="D72" s="253">
        <f>C72-B72</f>
        <v>0</v>
      </c>
      <c r="E72" s="430">
        <f>IF(B72=0,0,(C72-B72)/B72)</f>
        <v>0</v>
      </c>
      <c r="F72" s="253"/>
      <c r="G72" s="253"/>
      <c r="H72" s="253"/>
      <c r="I72" s="253"/>
      <c r="J72" s="251"/>
    </row>
    <row r="73" spans="1:10" ht="20" customHeight="1" x14ac:dyDescent="0.2">
      <c r="A73" s="237" t="s">
        <v>54</v>
      </c>
      <c r="B73" s="245">
        <f>F26</f>
        <v>513</v>
      </c>
      <c r="C73" s="253">
        <f>C60+C61+C62+C63</f>
        <v>513</v>
      </c>
      <c r="D73" s="253">
        <f>C73-B73</f>
        <v>0</v>
      </c>
      <c r="E73" s="430">
        <f>IF(B73=0,0,(C73-B73)/B73)</f>
        <v>0</v>
      </c>
      <c r="F73" s="253"/>
      <c r="G73" s="253"/>
      <c r="H73" s="253"/>
      <c r="I73" s="253"/>
      <c r="J73" s="251"/>
    </row>
    <row r="74" spans="1:10" ht="20" customHeight="1" x14ac:dyDescent="0.2">
      <c r="A74" s="237" t="s">
        <v>55</v>
      </c>
      <c r="B74" s="245">
        <f>F27</f>
        <v>356</v>
      </c>
      <c r="C74" s="253">
        <f>C64+C65+C66</f>
        <v>356</v>
      </c>
      <c r="D74" s="253">
        <f>C74-B74</f>
        <v>0</v>
      </c>
      <c r="E74" s="430">
        <f>IF(B74=0,0,(C74-B74)/B74)</f>
        <v>0</v>
      </c>
      <c r="F74" s="253"/>
      <c r="G74" s="253"/>
      <c r="H74" s="253"/>
      <c r="I74" s="253"/>
      <c r="J74" s="251"/>
    </row>
    <row r="75" spans="1:10" ht="6" customHeight="1" thickBot="1" x14ac:dyDescent="0.25">
      <c r="A75" s="73"/>
      <c r="B75" s="73"/>
      <c r="C75" s="121"/>
      <c r="D75" s="121"/>
      <c r="E75" s="175"/>
      <c r="F75" s="121"/>
      <c r="G75" s="121"/>
      <c r="H75" s="121"/>
      <c r="I75" s="121"/>
      <c r="J75" s="119"/>
    </row>
    <row r="76" spans="1:10" ht="24" customHeight="1" thickTop="1" thickBot="1" x14ac:dyDescent="0.25">
      <c r="A76" s="148" t="s">
        <v>120</v>
      </c>
      <c r="B76" s="241">
        <f>SUM(B70:B74)</f>
        <v>1753</v>
      </c>
      <c r="C76" s="170">
        <f>SUM(C70:C74)</f>
        <v>1753</v>
      </c>
      <c r="D76" s="170">
        <f>C76-B76</f>
        <v>0</v>
      </c>
      <c r="E76" s="431">
        <f>IF(B76=0,0,(C76-B76)/B76)</f>
        <v>0</v>
      </c>
      <c r="F76" s="170"/>
      <c r="G76" s="170"/>
      <c r="H76" s="170"/>
      <c r="I76" s="170"/>
      <c r="J76" s="170"/>
    </row>
    <row r="77" spans="1:10" ht="16" thickTop="1" x14ac:dyDescent="0.2"/>
  </sheetData>
  <mergeCells count="2">
    <mergeCell ref="A1:J1"/>
    <mergeCell ref="A2:J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0E90-506D-7C4C-9B97-272FAC53B020}">
  <sheetPr>
    <tabColor rgb="FF27AE60"/>
  </sheetPr>
  <dimension ref="A1:P57"/>
  <sheetViews>
    <sheetView showGridLines="0" workbookViewId="0">
      <selection activeCell="M39" sqref="M39"/>
    </sheetView>
  </sheetViews>
  <sheetFormatPr baseColWidth="10" defaultRowHeight="15" x14ac:dyDescent="0.2"/>
  <cols>
    <col min="1" max="1" width="14.1640625" customWidth="1"/>
    <col min="2" max="2" width="20" customWidth="1"/>
    <col min="3" max="15" width="11.6640625" customWidth="1"/>
    <col min="16" max="16" width="16.6640625" customWidth="1"/>
  </cols>
  <sheetData>
    <row r="1" spans="1:16" s="1" customFormat="1" ht="30" customHeight="1" thickBot="1" x14ac:dyDescent="0.3">
      <c r="A1" s="27" t="s">
        <v>302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customHeight="1" thickTop="1" x14ac:dyDescent="0.2">
      <c r="A2" s="265" t="s">
        <v>303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</row>
    <row r="3" spans="1:16" ht="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22" customHeight="1" thickBot="1" x14ac:dyDescent="0.25">
      <c r="A4" s="238" t="s">
        <v>304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</row>
    <row r="5" spans="1:16" ht="20" customHeight="1" x14ac:dyDescent="0.2">
      <c r="A5" s="266"/>
      <c r="B5" s="266"/>
      <c r="C5" s="267" t="s">
        <v>79</v>
      </c>
      <c r="D5" s="266"/>
      <c r="E5" s="266"/>
      <c r="F5" s="266"/>
      <c r="G5" s="267" t="s">
        <v>23</v>
      </c>
      <c r="H5" s="266"/>
      <c r="I5" s="266"/>
      <c r="J5" s="266"/>
      <c r="K5" s="267" t="s">
        <v>169</v>
      </c>
      <c r="L5" s="266"/>
      <c r="M5" s="266"/>
      <c r="N5" s="266"/>
      <c r="O5" s="266"/>
      <c r="P5" s="266"/>
    </row>
    <row r="6" spans="1:16" ht="24" customHeight="1" x14ac:dyDescent="0.2">
      <c r="A6" s="268" t="s">
        <v>61</v>
      </c>
      <c r="B6" s="268" t="s">
        <v>48</v>
      </c>
      <c r="C6" s="268" t="s">
        <v>170</v>
      </c>
      <c r="D6" s="268" t="s">
        <v>171</v>
      </c>
      <c r="E6" s="268" t="s">
        <v>172</v>
      </c>
      <c r="F6" s="268" t="s">
        <v>173</v>
      </c>
      <c r="G6" s="268" t="s">
        <v>170</v>
      </c>
      <c r="H6" s="268" t="s">
        <v>171</v>
      </c>
      <c r="I6" s="268" t="s">
        <v>172</v>
      </c>
      <c r="J6" s="268" t="s">
        <v>173</v>
      </c>
      <c r="K6" s="268" t="s">
        <v>170</v>
      </c>
      <c r="L6" s="268" t="s">
        <v>171</v>
      </c>
      <c r="M6" s="268" t="s">
        <v>172</v>
      </c>
      <c r="N6" s="268" t="s">
        <v>173</v>
      </c>
      <c r="O6" s="268" t="s">
        <v>174</v>
      </c>
      <c r="P6" s="268" t="s">
        <v>175</v>
      </c>
    </row>
    <row r="7" spans="1:16" ht="18" customHeight="1" x14ac:dyDescent="0.2">
      <c r="A7" s="29" t="s">
        <v>62</v>
      </c>
      <c r="B7" s="29" t="s">
        <v>51</v>
      </c>
      <c r="C7" s="105">
        <v>1</v>
      </c>
      <c r="D7" s="105">
        <v>6</v>
      </c>
      <c r="E7" s="105">
        <v>17</v>
      </c>
      <c r="F7" s="57">
        <f t="shared" ref="F7:F21" si="0">SUM(C7:E7)</f>
        <v>24</v>
      </c>
      <c r="G7" s="105">
        <v>0</v>
      </c>
      <c r="H7" s="105">
        <v>1</v>
      </c>
      <c r="I7" s="105">
        <v>1</v>
      </c>
      <c r="J7" s="57">
        <f t="shared" ref="J7:J21" si="1">SUM(G7:I7)</f>
        <v>2</v>
      </c>
      <c r="K7" s="105">
        <v>0</v>
      </c>
      <c r="L7" s="105">
        <v>5</v>
      </c>
      <c r="M7" s="105">
        <v>34</v>
      </c>
      <c r="N7" s="57">
        <f t="shared" ref="N7:N21" si="2">SUM(K7:M7)</f>
        <v>39</v>
      </c>
      <c r="O7" s="57">
        <f t="shared" ref="O7:O21" si="3">F7+J7+N7</f>
        <v>65</v>
      </c>
      <c r="P7" s="57">
        <f>C7*DISCOUNTS!$C$10+D7*DISCOUNTS!$D$10+E7*FEE_GRID!$D$6+G7*DISCOUNTS!$C$18+H7*DISCOUNTS!$D$18+I7*FEE_GRID!$D$14+K7*DISCOUNTS!$C$26+L7*DISCOUNTS!$D$26+M7*FEE_GRID!$D$22</f>
        <v>1954348.5108695654</v>
      </c>
    </row>
    <row r="8" spans="1:16" ht="18" customHeight="1" x14ac:dyDescent="0.2">
      <c r="A8" s="36" t="s">
        <v>63</v>
      </c>
      <c r="B8" s="36" t="s">
        <v>52</v>
      </c>
      <c r="C8" s="109">
        <v>1</v>
      </c>
      <c r="D8" s="109">
        <v>8</v>
      </c>
      <c r="E8" s="53">
        <v>18</v>
      </c>
      <c r="F8" s="110">
        <f t="shared" si="0"/>
        <v>27</v>
      </c>
      <c r="G8" s="109">
        <v>0</v>
      </c>
      <c r="H8" s="109">
        <v>1</v>
      </c>
      <c r="I8" s="109">
        <v>1</v>
      </c>
      <c r="J8" s="110">
        <f t="shared" si="1"/>
        <v>2</v>
      </c>
      <c r="K8" s="109">
        <v>1</v>
      </c>
      <c r="L8" s="109">
        <v>10</v>
      </c>
      <c r="M8" s="109">
        <v>37</v>
      </c>
      <c r="N8" s="110">
        <f t="shared" si="2"/>
        <v>48</v>
      </c>
      <c r="O8" s="110">
        <f t="shared" si="3"/>
        <v>77</v>
      </c>
      <c r="P8" s="110">
        <f>C8*DISCOUNTS!$C$11+D8*DISCOUNTS!$D$11+E8*FEE_GRID!$D$7+G8*DISCOUNTS!$C$19+H8*DISCOUNTS!$D$19+I8*FEE_GRID!$D$15+K8*DISCOUNTS!$C$27+L8*DISCOUNTS!$D$27+M8*FEE_GRID!$D$23</f>
        <v>2418148.3695652178</v>
      </c>
    </row>
    <row r="9" spans="1:16" ht="18" customHeight="1" x14ac:dyDescent="0.2">
      <c r="A9" s="39" t="s">
        <v>64</v>
      </c>
      <c r="B9" s="39" t="s">
        <v>52</v>
      </c>
      <c r="C9" s="111">
        <v>2</v>
      </c>
      <c r="D9" s="111">
        <v>12</v>
      </c>
      <c r="E9" s="111">
        <v>29</v>
      </c>
      <c r="F9" s="112">
        <f t="shared" si="0"/>
        <v>43</v>
      </c>
      <c r="G9" s="111">
        <v>0</v>
      </c>
      <c r="H9" s="111">
        <v>2</v>
      </c>
      <c r="I9" s="111">
        <v>2</v>
      </c>
      <c r="J9" s="112">
        <f t="shared" si="1"/>
        <v>4</v>
      </c>
      <c r="K9" s="111">
        <v>2</v>
      </c>
      <c r="L9" s="111">
        <v>15</v>
      </c>
      <c r="M9" s="111">
        <v>60</v>
      </c>
      <c r="N9" s="112">
        <f t="shared" si="2"/>
        <v>77</v>
      </c>
      <c r="O9" s="112">
        <f t="shared" si="3"/>
        <v>124</v>
      </c>
      <c r="P9" s="112">
        <f>C9*DISCOUNTS!$C$11+D9*DISCOUNTS!$D$11+E9*FEE_GRID!$D$7+G9*DISCOUNTS!$C$19+H9*DISCOUNTS!$D$19+I9*FEE_GRID!$D$15+K9*DISCOUNTS!$C$27+L9*DISCOUNTS!$D$27+M9*FEE_GRID!$D$23</f>
        <v>3903470.6521739135</v>
      </c>
    </row>
    <row r="10" spans="1:16" ht="18" customHeight="1" x14ac:dyDescent="0.2">
      <c r="A10" s="36" t="s">
        <v>65</v>
      </c>
      <c r="B10" s="36" t="s">
        <v>53</v>
      </c>
      <c r="C10" s="109">
        <v>2</v>
      </c>
      <c r="D10" s="109">
        <v>10</v>
      </c>
      <c r="E10" s="53">
        <v>32</v>
      </c>
      <c r="F10" s="110">
        <f t="shared" si="0"/>
        <v>44</v>
      </c>
      <c r="G10" s="109">
        <v>0</v>
      </c>
      <c r="H10" s="109">
        <v>1</v>
      </c>
      <c r="I10" s="109">
        <v>2</v>
      </c>
      <c r="J10" s="110">
        <f t="shared" si="1"/>
        <v>3</v>
      </c>
      <c r="K10" s="109">
        <v>2</v>
      </c>
      <c r="L10" s="109">
        <v>11</v>
      </c>
      <c r="M10" s="109">
        <v>66</v>
      </c>
      <c r="N10" s="110">
        <f t="shared" si="2"/>
        <v>79</v>
      </c>
      <c r="O10" s="110">
        <f t="shared" si="3"/>
        <v>126</v>
      </c>
      <c r="P10" s="110">
        <f>C10*DISCOUNTS!$C$12+D10*DISCOUNTS!$D$12+E10*FEE_GRID!$D$8+G10*DISCOUNTS!$C$20+H10*DISCOUNTS!$D$20+I10*FEE_GRID!$D$16+K10*DISCOUNTS!$C$28+L10*DISCOUNTS!$D$28+M10*FEE_GRID!$D$24</f>
        <v>4028689.6739130439</v>
      </c>
    </row>
    <row r="11" spans="1:16" ht="18" customHeight="1" x14ac:dyDescent="0.2">
      <c r="A11" s="39" t="s">
        <v>66</v>
      </c>
      <c r="B11" s="39" t="s">
        <v>53</v>
      </c>
      <c r="C11" s="111">
        <v>2</v>
      </c>
      <c r="D11" s="111">
        <v>9</v>
      </c>
      <c r="E11" s="111">
        <v>30</v>
      </c>
      <c r="F11" s="112">
        <f t="shared" si="0"/>
        <v>41</v>
      </c>
      <c r="G11" s="111">
        <v>0</v>
      </c>
      <c r="H11" s="111">
        <v>1</v>
      </c>
      <c r="I11" s="111">
        <v>2</v>
      </c>
      <c r="J11" s="112">
        <f t="shared" si="1"/>
        <v>3</v>
      </c>
      <c r="K11" s="111">
        <v>2</v>
      </c>
      <c r="L11" s="111">
        <v>10</v>
      </c>
      <c r="M11" s="111">
        <v>62</v>
      </c>
      <c r="N11" s="112">
        <f t="shared" si="2"/>
        <v>74</v>
      </c>
      <c r="O11" s="112">
        <f t="shared" si="3"/>
        <v>118</v>
      </c>
      <c r="P11" s="112">
        <f>C11*DISCOUNTS!$C$12+D11*DISCOUNTS!$D$12+E11*FEE_GRID!$D$8+G11*DISCOUNTS!$C$20+H11*DISCOUNTS!$D$20+I11*FEE_GRID!$D$16+K11*DISCOUNTS!$C$28+L11*DISCOUNTS!$D$28+M11*FEE_GRID!$D$24</f>
        <v>3776841.8478260874</v>
      </c>
    </row>
    <row r="12" spans="1:16" ht="18" customHeight="1" x14ac:dyDescent="0.2">
      <c r="A12" s="36" t="s">
        <v>67</v>
      </c>
      <c r="B12" s="36" t="s">
        <v>53</v>
      </c>
      <c r="C12" s="109">
        <v>2</v>
      </c>
      <c r="D12" s="109">
        <v>10</v>
      </c>
      <c r="E12" s="53">
        <v>34</v>
      </c>
      <c r="F12" s="110">
        <f t="shared" si="0"/>
        <v>46</v>
      </c>
      <c r="G12" s="109">
        <v>0</v>
      </c>
      <c r="H12" s="109">
        <v>1</v>
      </c>
      <c r="I12" s="109">
        <v>2</v>
      </c>
      <c r="J12" s="110">
        <f t="shared" si="1"/>
        <v>3</v>
      </c>
      <c r="K12" s="109">
        <v>2</v>
      </c>
      <c r="L12" s="109">
        <v>11</v>
      </c>
      <c r="M12" s="109">
        <v>70</v>
      </c>
      <c r="N12" s="110">
        <f t="shared" si="2"/>
        <v>83</v>
      </c>
      <c r="O12" s="110">
        <f t="shared" si="3"/>
        <v>132</v>
      </c>
      <c r="P12" s="110">
        <f>C12*DISCOUNTS!$C$12+D12*DISCOUNTS!$D$12+E12*FEE_GRID!$D$8+G12*DISCOUNTS!$C$20+H12*DISCOUNTS!$D$20+I12*FEE_GRID!$D$16+K12*DISCOUNTS!$C$28+L12*DISCOUNTS!$D$28+M12*FEE_GRID!$D$24</f>
        <v>4231298.3695652178</v>
      </c>
    </row>
    <row r="13" spans="1:16" ht="18" customHeight="1" x14ac:dyDescent="0.2">
      <c r="A13" s="39" t="s">
        <v>68</v>
      </c>
      <c r="B13" s="39" t="s">
        <v>53</v>
      </c>
      <c r="C13" s="111">
        <v>2</v>
      </c>
      <c r="D13" s="111">
        <v>9</v>
      </c>
      <c r="E13" s="111">
        <v>31</v>
      </c>
      <c r="F13" s="112">
        <f t="shared" si="0"/>
        <v>42</v>
      </c>
      <c r="G13" s="111">
        <v>0</v>
      </c>
      <c r="H13" s="111">
        <v>1</v>
      </c>
      <c r="I13" s="111">
        <v>2</v>
      </c>
      <c r="J13" s="112">
        <f t="shared" si="1"/>
        <v>3</v>
      </c>
      <c r="K13" s="111">
        <v>2</v>
      </c>
      <c r="L13" s="111">
        <v>10</v>
      </c>
      <c r="M13" s="111">
        <v>64</v>
      </c>
      <c r="N13" s="112">
        <f t="shared" si="2"/>
        <v>76</v>
      </c>
      <c r="O13" s="112">
        <f t="shared" si="3"/>
        <v>121</v>
      </c>
      <c r="P13" s="112">
        <f>C13*DISCOUNTS!$C$12+D13*DISCOUNTS!$D$12+E13*FEE_GRID!$D$8+G13*DISCOUNTS!$C$20+H13*DISCOUNTS!$D$20+I13*FEE_GRID!$D$16+K13*DISCOUNTS!$C$28+L13*DISCOUNTS!$D$28+M13*FEE_GRID!$D$24</f>
        <v>3878146.1956521743</v>
      </c>
    </row>
    <row r="14" spans="1:16" ht="18" customHeight="1" x14ac:dyDescent="0.2">
      <c r="A14" s="36" t="s">
        <v>69</v>
      </c>
      <c r="B14" s="36" t="s">
        <v>53</v>
      </c>
      <c r="C14" s="109">
        <v>2</v>
      </c>
      <c r="D14" s="109">
        <v>9</v>
      </c>
      <c r="E14" s="53">
        <v>31</v>
      </c>
      <c r="F14" s="110">
        <f t="shared" si="0"/>
        <v>42</v>
      </c>
      <c r="G14" s="109">
        <v>0</v>
      </c>
      <c r="H14" s="109">
        <v>1</v>
      </c>
      <c r="I14" s="109">
        <v>2</v>
      </c>
      <c r="J14" s="110">
        <f t="shared" si="1"/>
        <v>3</v>
      </c>
      <c r="K14" s="109">
        <v>2</v>
      </c>
      <c r="L14" s="109">
        <v>10</v>
      </c>
      <c r="M14" s="109">
        <v>64</v>
      </c>
      <c r="N14" s="110">
        <f t="shared" si="2"/>
        <v>76</v>
      </c>
      <c r="O14" s="110">
        <f t="shared" si="3"/>
        <v>121</v>
      </c>
      <c r="P14" s="110">
        <f>C14*DISCOUNTS!$C$12+D14*DISCOUNTS!$D$12+E14*FEE_GRID!$D$8+G14*DISCOUNTS!$C$20+H14*DISCOUNTS!$D$20+I14*FEE_GRID!$D$16+K14*DISCOUNTS!$C$28+L14*DISCOUNTS!$D$28+M14*FEE_GRID!$D$24</f>
        <v>3878146.1956521743</v>
      </c>
    </row>
    <row r="15" spans="1:16" ht="18" customHeight="1" x14ac:dyDescent="0.2">
      <c r="A15" s="39" t="s">
        <v>70</v>
      </c>
      <c r="B15" s="39" t="s">
        <v>54</v>
      </c>
      <c r="C15" s="111">
        <v>2</v>
      </c>
      <c r="D15" s="111">
        <v>5</v>
      </c>
      <c r="E15" s="111">
        <v>43</v>
      </c>
      <c r="F15" s="112">
        <f t="shared" si="0"/>
        <v>50</v>
      </c>
      <c r="G15" s="111">
        <v>0</v>
      </c>
      <c r="H15" s="111">
        <v>0</v>
      </c>
      <c r="I15" s="111">
        <v>3</v>
      </c>
      <c r="J15" s="112">
        <f t="shared" si="1"/>
        <v>3</v>
      </c>
      <c r="K15" s="111">
        <v>4</v>
      </c>
      <c r="L15" s="111">
        <v>5</v>
      </c>
      <c r="M15" s="111">
        <v>89</v>
      </c>
      <c r="N15" s="112">
        <f t="shared" si="2"/>
        <v>98</v>
      </c>
      <c r="O15" s="112">
        <f t="shared" si="3"/>
        <v>151</v>
      </c>
      <c r="P15" s="112">
        <f>C15*DISCOUNTS!$C$13+D15*DISCOUNTS!$D$13+E15*FEE_GRID!$D$9+G15*DISCOUNTS!$C$21+H15*DISCOUNTS!$D$21+I15*FEE_GRID!$D$17+K15*DISCOUNTS!$C$29+L15*DISCOUNTS!$D$29+M15*FEE_GRID!$D$25</f>
        <v>4968145.6521739131</v>
      </c>
    </row>
    <row r="16" spans="1:16" ht="18" customHeight="1" x14ac:dyDescent="0.2">
      <c r="A16" s="36" t="s">
        <v>71</v>
      </c>
      <c r="B16" s="36" t="s">
        <v>54</v>
      </c>
      <c r="C16" s="109">
        <v>1</v>
      </c>
      <c r="D16" s="109">
        <v>5</v>
      </c>
      <c r="E16" s="53">
        <v>40</v>
      </c>
      <c r="F16" s="110">
        <f t="shared" si="0"/>
        <v>46</v>
      </c>
      <c r="G16" s="109">
        <v>0</v>
      </c>
      <c r="H16" s="109">
        <v>0</v>
      </c>
      <c r="I16" s="109">
        <v>3</v>
      </c>
      <c r="J16" s="110">
        <f t="shared" si="1"/>
        <v>3</v>
      </c>
      <c r="K16" s="109">
        <v>4</v>
      </c>
      <c r="L16" s="109">
        <v>4</v>
      </c>
      <c r="M16" s="109">
        <v>82</v>
      </c>
      <c r="N16" s="110">
        <f t="shared" si="2"/>
        <v>90</v>
      </c>
      <c r="O16" s="110">
        <f t="shared" si="3"/>
        <v>139</v>
      </c>
      <c r="P16" s="110">
        <f>C16*DISCOUNTS!$C$13+D16*DISCOUNTS!$D$13+E16*FEE_GRID!$D$9+G16*DISCOUNTS!$C$21+H16*DISCOUNTS!$D$21+I16*FEE_GRID!$D$17+K16*DISCOUNTS!$C$29+L16*DISCOUNTS!$D$29+M16*FEE_GRID!$D$25</f>
        <v>4579341.3043478262</v>
      </c>
    </row>
    <row r="17" spans="1:16" ht="18" customHeight="1" x14ac:dyDescent="0.2">
      <c r="A17" s="39" t="s">
        <v>72</v>
      </c>
      <c r="B17" s="39" t="s">
        <v>54</v>
      </c>
      <c r="C17" s="111">
        <v>1</v>
      </c>
      <c r="D17" s="111">
        <v>4</v>
      </c>
      <c r="E17" s="111">
        <v>34</v>
      </c>
      <c r="F17" s="112">
        <f t="shared" si="0"/>
        <v>39</v>
      </c>
      <c r="G17" s="111">
        <v>0</v>
      </c>
      <c r="H17" s="111">
        <v>0</v>
      </c>
      <c r="I17" s="111">
        <v>2</v>
      </c>
      <c r="J17" s="112">
        <f t="shared" si="1"/>
        <v>2</v>
      </c>
      <c r="K17" s="111">
        <v>4</v>
      </c>
      <c r="L17" s="111">
        <v>4</v>
      </c>
      <c r="M17" s="111">
        <v>71</v>
      </c>
      <c r="N17" s="112">
        <f t="shared" si="2"/>
        <v>79</v>
      </c>
      <c r="O17" s="112">
        <f t="shared" si="3"/>
        <v>120</v>
      </c>
      <c r="P17" s="112">
        <f>C17*DISCOUNTS!$C$13+D17*DISCOUNTS!$D$13+E17*FEE_GRID!$D$9+G17*DISCOUNTS!$C$21+H17*DISCOUNTS!$D$21+I17*FEE_GRID!$D$17+K17*DISCOUNTS!$C$29+L17*DISCOUNTS!$D$29+M17*FEE_GRID!$D$25</f>
        <v>3949017.3913043477</v>
      </c>
    </row>
    <row r="18" spans="1:16" ht="18" customHeight="1" x14ac:dyDescent="0.2">
      <c r="A18" s="36" t="s">
        <v>73</v>
      </c>
      <c r="B18" s="36" t="s">
        <v>54</v>
      </c>
      <c r="C18" s="109">
        <v>1</v>
      </c>
      <c r="D18" s="109">
        <v>4</v>
      </c>
      <c r="E18" s="53">
        <v>29</v>
      </c>
      <c r="F18" s="110">
        <f t="shared" si="0"/>
        <v>34</v>
      </c>
      <c r="G18" s="109">
        <v>0</v>
      </c>
      <c r="H18" s="109">
        <v>0</v>
      </c>
      <c r="I18" s="109">
        <v>2</v>
      </c>
      <c r="J18" s="110">
        <f t="shared" si="1"/>
        <v>2</v>
      </c>
      <c r="K18" s="109">
        <v>3</v>
      </c>
      <c r="L18" s="109">
        <v>3</v>
      </c>
      <c r="M18" s="109">
        <v>61</v>
      </c>
      <c r="N18" s="110">
        <f t="shared" si="2"/>
        <v>67</v>
      </c>
      <c r="O18" s="110">
        <f t="shared" si="3"/>
        <v>103</v>
      </c>
      <c r="P18" s="110">
        <f>C18*DISCOUNTS!$C$13+D18*DISCOUNTS!$D$13+E18*FEE_GRID!$D$9+G18*DISCOUNTS!$C$21+H18*DISCOUNTS!$D$21+I18*FEE_GRID!$D$17+K18*DISCOUNTS!$C$29+L18*DISCOUNTS!$D$29+M18*FEE_GRID!$D$25</f>
        <v>3389017.3913043481</v>
      </c>
    </row>
    <row r="19" spans="1:16" ht="18" customHeight="1" x14ac:dyDescent="0.2">
      <c r="A19" s="39" t="s">
        <v>74</v>
      </c>
      <c r="B19" s="39" t="s">
        <v>55</v>
      </c>
      <c r="C19" s="111">
        <v>2</v>
      </c>
      <c r="D19" s="111">
        <v>0</v>
      </c>
      <c r="E19" s="111">
        <v>37</v>
      </c>
      <c r="F19" s="112">
        <f t="shared" si="0"/>
        <v>39</v>
      </c>
      <c r="G19" s="111">
        <v>0</v>
      </c>
      <c r="H19" s="111">
        <v>0</v>
      </c>
      <c r="I19" s="111">
        <v>3</v>
      </c>
      <c r="J19" s="112">
        <f t="shared" si="1"/>
        <v>3</v>
      </c>
      <c r="K19" s="111">
        <v>6</v>
      </c>
      <c r="L19" s="111">
        <v>0</v>
      </c>
      <c r="M19" s="111">
        <v>77</v>
      </c>
      <c r="N19" s="112">
        <f t="shared" si="2"/>
        <v>83</v>
      </c>
      <c r="O19" s="112">
        <f t="shared" si="3"/>
        <v>125</v>
      </c>
      <c r="P19" s="112">
        <f>C19*DISCOUNTS!$C$14+D19*DISCOUNTS!$D$14+E19*FEE_GRID!$D$10+G19*DISCOUNTS!$C$22+H19*DISCOUNTS!$D$22+I19*FEE_GRID!$D$18+K19*DISCOUNTS!$C$30+L19*DISCOUNTS!$D$30+M19*FEE_GRID!$D$26</f>
        <v>4668913.0434782617</v>
      </c>
    </row>
    <row r="20" spans="1:16" ht="18" customHeight="1" x14ac:dyDescent="0.2">
      <c r="A20" s="36" t="s">
        <v>75</v>
      </c>
      <c r="B20" s="36" t="s">
        <v>55</v>
      </c>
      <c r="C20" s="109">
        <v>2</v>
      </c>
      <c r="D20" s="109">
        <v>0</v>
      </c>
      <c r="E20" s="53">
        <v>36</v>
      </c>
      <c r="F20" s="110">
        <f t="shared" si="0"/>
        <v>38</v>
      </c>
      <c r="G20" s="109">
        <v>0</v>
      </c>
      <c r="H20" s="109">
        <v>0</v>
      </c>
      <c r="I20" s="109">
        <v>3</v>
      </c>
      <c r="J20" s="110">
        <f t="shared" si="1"/>
        <v>3</v>
      </c>
      <c r="K20" s="109">
        <v>5</v>
      </c>
      <c r="L20" s="109">
        <v>0</v>
      </c>
      <c r="M20" s="109">
        <v>74</v>
      </c>
      <c r="N20" s="110">
        <f t="shared" si="2"/>
        <v>79</v>
      </c>
      <c r="O20" s="110">
        <f t="shared" si="3"/>
        <v>120</v>
      </c>
      <c r="P20" s="110">
        <f>C20*DISCOUNTS!$C$14+D20*DISCOUNTS!$D$14+E20*FEE_GRID!$D$10+G20*DISCOUNTS!$C$22+H20*DISCOUNTS!$D$22+I20*FEE_GRID!$D$18+K20*DISCOUNTS!$C$30+L20*DISCOUNTS!$D$30+M20*FEE_GRID!$D$26</f>
        <v>4485434.7826086963</v>
      </c>
    </row>
    <row r="21" spans="1:16" ht="18" customHeight="1" x14ac:dyDescent="0.2">
      <c r="A21" s="73" t="s">
        <v>76</v>
      </c>
      <c r="B21" s="73" t="s">
        <v>55</v>
      </c>
      <c r="C21" s="257">
        <v>2</v>
      </c>
      <c r="D21" s="257">
        <v>0</v>
      </c>
      <c r="E21" s="257">
        <v>33</v>
      </c>
      <c r="F21" s="121">
        <f t="shared" si="0"/>
        <v>35</v>
      </c>
      <c r="G21" s="257">
        <v>0</v>
      </c>
      <c r="H21" s="257">
        <v>0</v>
      </c>
      <c r="I21" s="257">
        <v>2</v>
      </c>
      <c r="J21" s="121">
        <f t="shared" si="1"/>
        <v>2</v>
      </c>
      <c r="K21" s="257">
        <v>5</v>
      </c>
      <c r="L21" s="257">
        <v>0</v>
      </c>
      <c r="M21" s="257">
        <v>69</v>
      </c>
      <c r="N21" s="121">
        <f t="shared" si="2"/>
        <v>74</v>
      </c>
      <c r="O21" s="121">
        <f t="shared" si="3"/>
        <v>111</v>
      </c>
      <c r="P21" s="121">
        <f>C21*DISCOUNTS!$C$14+D21*DISCOUNTS!$D$14+E21*FEE_GRID!$D$10+G21*DISCOUNTS!$C$22+H21*DISCOUNTS!$D$22+I21*FEE_GRID!$D$18+K21*DISCOUNTS!$C$30+L21*DISCOUNTS!$D$30+M21*FEE_GRID!$D$26</f>
        <v>4145000</v>
      </c>
    </row>
    <row r="22" spans="1:16" ht="6" customHeight="1" x14ac:dyDescent="0.2">
      <c r="A22" s="73"/>
      <c r="B22" s="73"/>
      <c r="C22" s="119"/>
      <c r="D22" s="119"/>
      <c r="E22" s="119"/>
      <c r="F22" s="121"/>
      <c r="G22" s="119"/>
      <c r="H22" s="119"/>
      <c r="I22" s="119"/>
      <c r="J22" s="121"/>
      <c r="K22" s="119"/>
      <c r="L22" s="119"/>
      <c r="M22" s="119"/>
      <c r="N22" s="121"/>
      <c r="O22" s="121"/>
      <c r="P22" s="121"/>
    </row>
    <row r="23" spans="1:16" ht="20" customHeight="1" x14ac:dyDescent="0.2">
      <c r="A23" s="234" t="s">
        <v>176</v>
      </c>
      <c r="B23" s="234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</row>
    <row r="24" spans="1:16" ht="20" customHeight="1" x14ac:dyDescent="0.2">
      <c r="A24" s="180" t="s">
        <v>51</v>
      </c>
      <c r="B24" s="180"/>
      <c r="C24" s="251">
        <f t="shared" ref="C24:P24" si="4">C7</f>
        <v>1</v>
      </c>
      <c r="D24" s="251">
        <f t="shared" si="4"/>
        <v>6</v>
      </c>
      <c r="E24" s="251">
        <f t="shared" si="4"/>
        <v>17</v>
      </c>
      <c r="F24" s="251">
        <f t="shared" si="4"/>
        <v>24</v>
      </c>
      <c r="G24" s="251">
        <f t="shared" si="4"/>
        <v>0</v>
      </c>
      <c r="H24" s="251">
        <f t="shared" si="4"/>
        <v>1</v>
      </c>
      <c r="I24" s="251">
        <f t="shared" si="4"/>
        <v>1</v>
      </c>
      <c r="J24" s="251">
        <f t="shared" si="4"/>
        <v>2</v>
      </c>
      <c r="K24" s="251">
        <f t="shared" si="4"/>
        <v>0</v>
      </c>
      <c r="L24" s="251">
        <f t="shared" si="4"/>
        <v>5</v>
      </c>
      <c r="M24" s="251">
        <f t="shared" si="4"/>
        <v>34</v>
      </c>
      <c r="N24" s="251">
        <f t="shared" si="4"/>
        <v>39</v>
      </c>
      <c r="O24" s="251">
        <f t="shared" si="4"/>
        <v>65</v>
      </c>
      <c r="P24" s="251">
        <f t="shared" si="4"/>
        <v>1954348.5108695654</v>
      </c>
    </row>
    <row r="25" spans="1:16" ht="20" customHeight="1" x14ac:dyDescent="0.2">
      <c r="A25" s="237" t="s">
        <v>52</v>
      </c>
      <c r="B25" s="237"/>
      <c r="C25" s="253">
        <f t="shared" ref="C25:P25" si="5">SUM(C8:C9)</f>
        <v>3</v>
      </c>
      <c r="D25" s="253">
        <f t="shared" si="5"/>
        <v>20</v>
      </c>
      <c r="E25" s="253">
        <f t="shared" si="5"/>
        <v>47</v>
      </c>
      <c r="F25" s="253">
        <f t="shared" si="5"/>
        <v>70</v>
      </c>
      <c r="G25" s="253">
        <f t="shared" si="5"/>
        <v>0</v>
      </c>
      <c r="H25" s="253">
        <f t="shared" si="5"/>
        <v>3</v>
      </c>
      <c r="I25" s="253">
        <f t="shared" si="5"/>
        <v>3</v>
      </c>
      <c r="J25" s="253">
        <f t="shared" si="5"/>
        <v>6</v>
      </c>
      <c r="K25" s="253">
        <f t="shared" si="5"/>
        <v>3</v>
      </c>
      <c r="L25" s="253">
        <f t="shared" si="5"/>
        <v>25</v>
      </c>
      <c r="M25" s="253">
        <f t="shared" si="5"/>
        <v>97</v>
      </c>
      <c r="N25" s="253">
        <f t="shared" si="5"/>
        <v>125</v>
      </c>
      <c r="O25" s="253">
        <f t="shared" si="5"/>
        <v>201</v>
      </c>
      <c r="P25" s="253">
        <f t="shared" si="5"/>
        <v>6321619.0217391308</v>
      </c>
    </row>
    <row r="26" spans="1:16" ht="20" customHeight="1" x14ac:dyDescent="0.2">
      <c r="A26" s="237" t="s">
        <v>53</v>
      </c>
      <c r="B26" s="237"/>
      <c r="C26" s="253">
        <f t="shared" ref="C26:P26" si="6">SUM(C10:C14)</f>
        <v>10</v>
      </c>
      <c r="D26" s="253">
        <f t="shared" si="6"/>
        <v>47</v>
      </c>
      <c r="E26" s="253">
        <f t="shared" si="6"/>
        <v>158</v>
      </c>
      <c r="F26" s="253">
        <f t="shared" si="6"/>
        <v>215</v>
      </c>
      <c r="G26" s="253">
        <f t="shared" si="6"/>
        <v>0</v>
      </c>
      <c r="H26" s="253">
        <f t="shared" si="6"/>
        <v>5</v>
      </c>
      <c r="I26" s="253">
        <f t="shared" si="6"/>
        <v>10</v>
      </c>
      <c r="J26" s="253">
        <f t="shared" si="6"/>
        <v>15</v>
      </c>
      <c r="K26" s="253">
        <f t="shared" si="6"/>
        <v>10</v>
      </c>
      <c r="L26" s="253">
        <f t="shared" si="6"/>
        <v>52</v>
      </c>
      <c r="M26" s="253">
        <f t="shared" si="6"/>
        <v>326</v>
      </c>
      <c r="N26" s="253">
        <f t="shared" si="6"/>
        <v>388</v>
      </c>
      <c r="O26" s="253">
        <f t="shared" si="6"/>
        <v>618</v>
      </c>
      <c r="P26" s="253">
        <f t="shared" si="6"/>
        <v>19793122.282608695</v>
      </c>
    </row>
    <row r="27" spans="1:16" ht="20" customHeight="1" x14ac:dyDescent="0.2">
      <c r="A27" s="237" t="s">
        <v>54</v>
      </c>
      <c r="B27" s="237"/>
      <c r="C27" s="253">
        <f t="shared" ref="C27:P27" si="7">SUM(C15:C18)</f>
        <v>5</v>
      </c>
      <c r="D27" s="253">
        <f t="shared" si="7"/>
        <v>18</v>
      </c>
      <c r="E27" s="253">
        <f t="shared" si="7"/>
        <v>146</v>
      </c>
      <c r="F27" s="253">
        <f t="shared" si="7"/>
        <v>169</v>
      </c>
      <c r="G27" s="253">
        <f t="shared" si="7"/>
        <v>0</v>
      </c>
      <c r="H27" s="253">
        <f t="shared" si="7"/>
        <v>0</v>
      </c>
      <c r="I27" s="253">
        <f t="shared" si="7"/>
        <v>10</v>
      </c>
      <c r="J27" s="253">
        <f t="shared" si="7"/>
        <v>10</v>
      </c>
      <c r="K27" s="253">
        <f t="shared" si="7"/>
        <v>15</v>
      </c>
      <c r="L27" s="253">
        <f t="shared" si="7"/>
        <v>16</v>
      </c>
      <c r="M27" s="253">
        <f t="shared" si="7"/>
        <v>303</v>
      </c>
      <c r="N27" s="253">
        <f t="shared" si="7"/>
        <v>334</v>
      </c>
      <c r="O27" s="253">
        <f t="shared" si="7"/>
        <v>513</v>
      </c>
      <c r="P27" s="253">
        <f t="shared" si="7"/>
        <v>16885521.739130434</v>
      </c>
    </row>
    <row r="28" spans="1:16" ht="20" customHeight="1" thickBot="1" x14ac:dyDescent="0.25">
      <c r="A28" s="237" t="s">
        <v>55</v>
      </c>
      <c r="B28" s="237"/>
      <c r="C28" s="253">
        <f t="shared" ref="C28:P28" si="8">SUM(C19:C21)</f>
        <v>6</v>
      </c>
      <c r="D28" s="253">
        <f t="shared" si="8"/>
        <v>0</v>
      </c>
      <c r="E28" s="253">
        <f t="shared" si="8"/>
        <v>106</v>
      </c>
      <c r="F28" s="253">
        <f t="shared" si="8"/>
        <v>112</v>
      </c>
      <c r="G28" s="253">
        <f t="shared" si="8"/>
        <v>0</v>
      </c>
      <c r="H28" s="253">
        <f t="shared" si="8"/>
        <v>0</v>
      </c>
      <c r="I28" s="253">
        <f t="shared" si="8"/>
        <v>8</v>
      </c>
      <c r="J28" s="253">
        <f t="shared" si="8"/>
        <v>8</v>
      </c>
      <c r="K28" s="253">
        <f t="shared" si="8"/>
        <v>16</v>
      </c>
      <c r="L28" s="253">
        <f t="shared" si="8"/>
        <v>0</v>
      </c>
      <c r="M28" s="253">
        <f t="shared" si="8"/>
        <v>220</v>
      </c>
      <c r="N28" s="253">
        <f t="shared" si="8"/>
        <v>236</v>
      </c>
      <c r="O28" s="253">
        <f t="shared" si="8"/>
        <v>356</v>
      </c>
      <c r="P28" s="253">
        <f t="shared" si="8"/>
        <v>13299347.826086957</v>
      </c>
    </row>
    <row r="29" spans="1:16" ht="24" customHeight="1" thickTop="1" thickBot="1" x14ac:dyDescent="0.25">
      <c r="A29" s="148" t="s">
        <v>177</v>
      </c>
      <c r="B29" s="148"/>
      <c r="C29" s="170">
        <f t="shared" ref="C29:P29" si="9">SUM(C24:C28)</f>
        <v>25</v>
      </c>
      <c r="D29" s="170">
        <f t="shared" si="9"/>
        <v>91</v>
      </c>
      <c r="E29" s="170">
        <f t="shared" si="9"/>
        <v>474</v>
      </c>
      <c r="F29" s="170">
        <f t="shared" si="9"/>
        <v>590</v>
      </c>
      <c r="G29" s="170">
        <f t="shared" si="9"/>
        <v>0</v>
      </c>
      <c r="H29" s="170">
        <f t="shared" si="9"/>
        <v>9</v>
      </c>
      <c r="I29" s="170">
        <f t="shared" si="9"/>
        <v>32</v>
      </c>
      <c r="J29" s="170">
        <f t="shared" si="9"/>
        <v>41</v>
      </c>
      <c r="K29" s="170">
        <f t="shared" si="9"/>
        <v>44</v>
      </c>
      <c r="L29" s="170">
        <f t="shared" si="9"/>
        <v>98</v>
      </c>
      <c r="M29" s="170">
        <f t="shared" si="9"/>
        <v>980</v>
      </c>
      <c r="N29" s="170">
        <f t="shared" si="9"/>
        <v>1122</v>
      </c>
      <c r="O29" s="170">
        <f t="shared" si="9"/>
        <v>1753</v>
      </c>
      <c r="P29" s="170">
        <f t="shared" si="9"/>
        <v>58253959.380434781</v>
      </c>
    </row>
    <row r="30" spans="1:16" ht="6" customHeight="1" thickTop="1" x14ac:dyDescent="0.2">
      <c r="A30" s="15"/>
      <c r="B30" s="15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</row>
    <row r="31" spans="1:16" ht="22" customHeight="1" thickBot="1" x14ac:dyDescent="0.25">
      <c r="A31" s="242" t="s">
        <v>305</v>
      </c>
      <c r="B31" s="240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</row>
    <row r="32" spans="1:16" ht="20" customHeight="1" x14ac:dyDescent="0.2">
      <c r="A32" s="89"/>
      <c r="B32" s="89"/>
      <c r="C32" s="129" t="s">
        <v>79</v>
      </c>
      <c r="D32" s="129"/>
      <c r="E32" s="129"/>
      <c r="F32" s="129"/>
      <c r="G32" s="129" t="s">
        <v>23</v>
      </c>
      <c r="H32" s="129"/>
      <c r="I32" s="129"/>
      <c r="J32" s="129"/>
      <c r="K32" s="129" t="s">
        <v>169</v>
      </c>
      <c r="L32" s="129"/>
      <c r="M32" s="129"/>
      <c r="N32" s="129"/>
      <c r="O32" s="129"/>
      <c r="P32" s="129"/>
    </row>
    <row r="33" spans="1:16" ht="24" customHeight="1" x14ac:dyDescent="0.2">
      <c r="A33" s="269" t="s">
        <v>61</v>
      </c>
      <c r="B33" s="269" t="s">
        <v>48</v>
      </c>
      <c r="C33" s="270" t="s">
        <v>170</v>
      </c>
      <c r="D33" s="270" t="s">
        <v>171</v>
      </c>
      <c r="E33" s="270" t="s">
        <v>172</v>
      </c>
      <c r="F33" s="270" t="s">
        <v>173</v>
      </c>
      <c r="G33" s="270" t="s">
        <v>170</v>
      </c>
      <c r="H33" s="270" t="s">
        <v>171</v>
      </c>
      <c r="I33" s="270" t="s">
        <v>172</v>
      </c>
      <c r="J33" s="270" t="s">
        <v>173</v>
      </c>
      <c r="K33" s="270" t="s">
        <v>170</v>
      </c>
      <c r="L33" s="270" t="s">
        <v>171</v>
      </c>
      <c r="M33" s="270" t="s">
        <v>172</v>
      </c>
      <c r="N33" s="270" t="s">
        <v>173</v>
      </c>
      <c r="O33" s="270" t="s">
        <v>174</v>
      </c>
      <c r="P33" s="270" t="s">
        <v>175</v>
      </c>
    </row>
    <row r="34" spans="1:16" ht="18" customHeight="1" x14ac:dyDescent="0.2">
      <c r="A34" s="15" t="s">
        <v>62</v>
      </c>
      <c r="B34" s="15" t="s">
        <v>51</v>
      </c>
      <c r="C34" s="271">
        <f>IF($O$7=0,0,ROUND(ENROLLMENT_HEADCOUNT!$C$52*C7/$O$7,0))</f>
        <v>1</v>
      </c>
      <c r="D34" s="271">
        <f>IF($O$7=0,0,ROUND(ENROLLMENT_HEADCOUNT!$C$52*D7/$O$7,0))</f>
        <v>6</v>
      </c>
      <c r="E34" s="120">
        <f>IF($O$7=0,0,ROUND(ENROLLMENT_HEADCOUNT!$C$52*E7/$O$7,0))</f>
        <v>17</v>
      </c>
      <c r="F34" s="119">
        <f t="shared" ref="F34:F48" si="10">SUM(C34:E34)</f>
        <v>24</v>
      </c>
      <c r="G34" s="271">
        <f>IF($O$7=0,0,ROUND(ENROLLMENT_HEADCOUNT!$C$52*G7/$O$7,0))</f>
        <v>0</v>
      </c>
      <c r="H34" s="271">
        <f>IF($O$7=0,0,ROUND(ENROLLMENT_HEADCOUNT!$C$52*H7/$O$7,0))</f>
        <v>1</v>
      </c>
      <c r="I34" s="120">
        <f>IF($O$7=0,0,ROUND(ENROLLMENT_HEADCOUNT!$C$52*I7/$O$7,0))</f>
        <v>1</v>
      </c>
      <c r="J34" s="119">
        <f t="shared" ref="J34:J48" si="11">SUM(G34:I34)</f>
        <v>2</v>
      </c>
      <c r="K34" s="271">
        <f>IF($O$7=0,0,ROUND(ENROLLMENT_HEADCOUNT!$C$52*K7/$O$7,0))</f>
        <v>0</v>
      </c>
      <c r="L34" s="120">
        <f>IF($O$7=0,0,ROUND(ENROLLMENT_HEADCOUNT!$C$52*L7/$O$7,0))</f>
        <v>5</v>
      </c>
      <c r="M34" s="119">
        <f>ENROLLMENT_HEADCOUNT!$C$52-C34-D34-E34-G34-H34-I34-K34-L34</f>
        <v>34</v>
      </c>
      <c r="N34" s="119">
        <f>SUM(K34:M34)</f>
        <v>39</v>
      </c>
      <c r="O34" s="119">
        <f>F34+J34+N34</f>
        <v>65</v>
      </c>
      <c r="P34" s="119">
        <f>C34*DISCOUNTS!$C$36+D34*DISCOUNTS!$D$36+E34*FEE_GRID!$D$32+G34*DISCOUNTS!$C$44+H34*DISCOUNTS!$D$44+I34*FEE_GRID!$D$40+K34*DISCOUNTS!$C$52+L34*DISCOUNTS!$D$52+M34*FEE_GRID!$D$48</f>
        <v>1954348.5108695654</v>
      </c>
    </row>
    <row r="35" spans="1:16" ht="18" customHeight="1" x14ac:dyDescent="0.2">
      <c r="A35" s="82" t="s">
        <v>63</v>
      </c>
      <c r="B35" s="82" t="s">
        <v>52</v>
      </c>
      <c r="C35" s="132">
        <f>IF($O$7=0,0,ROUND(ENROLLMENT_HEADCOUNT!$C$53*C7/$O$7,0))</f>
        <v>1</v>
      </c>
      <c r="D35" s="132">
        <f>IF($O$7=0,0,ROUND(ENROLLMENT_HEADCOUNT!$C$53*D7/$O$7,0))</f>
        <v>7</v>
      </c>
      <c r="E35" s="132">
        <f>IF($O$7=0,0,ROUND(ENROLLMENT_HEADCOUNT!$C$53*E7/$O$7,0))</f>
        <v>20</v>
      </c>
      <c r="F35" s="132">
        <f t="shared" si="10"/>
        <v>28</v>
      </c>
      <c r="G35" s="132">
        <f>IF($O$7=0,0,ROUND(ENROLLMENT_HEADCOUNT!$C$53*G7/$O$7,0))</f>
        <v>0</v>
      </c>
      <c r="H35" s="132">
        <f>IF($O$7=0,0,ROUND(ENROLLMENT_HEADCOUNT!$C$53*H7/$O$7,0))</f>
        <v>1</v>
      </c>
      <c r="I35" s="132">
        <f>IF($O$7=0,0,ROUND(ENROLLMENT_HEADCOUNT!$C$53*I7/$O$7,0))</f>
        <v>1</v>
      </c>
      <c r="J35" s="132">
        <f t="shared" si="11"/>
        <v>2</v>
      </c>
      <c r="K35" s="132">
        <f>IF($O$7=0,0,ROUND(ENROLLMENT_HEADCOUNT!$C$53*K7/$O$7,0))</f>
        <v>0</v>
      </c>
      <c r="L35" s="132">
        <f>IF($O$7=0,0,ROUND(ENROLLMENT_HEADCOUNT!$C$53*L7/$O$7,0))</f>
        <v>6</v>
      </c>
      <c r="M35" s="132">
        <f>ENROLLMENT_HEADCOUNT!$C$53-C35-D35-E35-G35-H35-I35-K35-L35</f>
        <v>41</v>
      </c>
      <c r="N35" s="132">
        <f t="shared" ref="N35:N48" si="12">SUM(K35:M35)</f>
        <v>47</v>
      </c>
      <c r="O35" s="132">
        <f t="shared" ref="O35:O48" si="13">F35+J35+N35</f>
        <v>77</v>
      </c>
      <c r="P35" s="132">
        <f>C35*DISCOUNTS!$C$37+D35*DISCOUNTS!$D$37+E35*FEE_GRID!$D$33+G35*DISCOUNTS!$C$45+H35*DISCOUNTS!$D$45+I35*FEE_GRID!$D$41+K35*DISCOUNTS!$C$53+L35*DISCOUNTS!$D$53+M35*FEE_GRID!$D$49</f>
        <v>2528485.326086957</v>
      </c>
    </row>
    <row r="36" spans="1:16" ht="18" customHeight="1" x14ac:dyDescent="0.2">
      <c r="A36" s="73" t="s">
        <v>64</v>
      </c>
      <c r="B36" s="73" t="s">
        <v>52</v>
      </c>
      <c r="C36" s="272">
        <f>IF($O$8=0,0,ROUND(ENROLLMENT_HEADCOUNT!$C$54*C8/$O$8,0))</f>
        <v>2</v>
      </c>
      <c r="D36" s="272">
        <f>IF($O$8=0,0,ROUND(ENROLLMENT_HEADCOUNT!$C$54*D8/$O$8,0))</f>
        <v>13</v>
      </c>
      <c r="E36" s="273">
        <f>IF($O$8=0,0,ROUND(ENROLLMENT_HEADCOUNT!$C$54*E8/$O$8,0))</f>
        <v>29</v>
      </c>
      <c r="F36" s="121">
        <f t="shared" si="10"/>
        <v>44</v>
      </c>
      <c r="G36" s="272">
        <f>IF($O$8=0,0,ROUND(ENROLLMENT_HEADCOUNT!$C$54*G8/$O$8,0))</f>
        <v>0</v>
      </c>
      <c r="H36" s="272">
        <f>IF($O$8=0,0,ROUND(ENROLLMENT_HEADCOUNT!$C$54*H8/$O$8,0))</f>
        <v>2</v>
      </c>
      <c r="I36" s="273">
        <f>IF($O$8=0,0,ROUND(ENROLLMENT_HEADCOUNT!$C$54*I8/$O$8,0))</f>
        <v>2</v>
      </c>
      <c r="J36" s="121">
        <f t="shared" si="11"/>
        <v>4</v>
      </c>
      <c r="K36" s="272">
        <f>IF($O$8=0,0,ROUND(ENROLLMENT_HEADCOUNT!$C$54*K8/$O$8,0))</f>
        <v>2</v>
      </c>
      <c r="L36" s="273">
        <f>IF($O$8=0,0,ROUND(ENROLLMENT_HEADCOUNT!$C$54*L8/$O$8,0))</f>
        <v>16</v>
      </c>
      <c r="M36" s="121">
        <f>ENROLLMENT_HEADCOUNT!$C$54-C36-D36-E36-G36-H36-I36-K36-L36</f>
        <v>58</v>
      </c>
      <c r="N36" s="121">
        <f t="shared" si="12"/>
        <v>76</v>
      </c>
      <c r="O36" s="121">
        <f t="shared" si="13"/>
        <v>124</v>
      </c>
      <c r="P36" s="121">
        <f>C36*DISCOUNTS!$C$37+D36*DISCOUNTS!$D$37+E36*FEE_GRID!$D$33+G36*DISCOUNTS!$C$45+H36*DISCOUNTS!$D$45+I36*FEE_GRID!$D$41+K36*DISCOUNTS!$C$53+L36*DISCOUNTS!$D$53+M36*FEE_GRID!$D$49</f>
        <v>3982079.3478260869</v>
      </c>
    </row>
    <row r="37" spans="1:16" ht="18" customHeight="1" x14ac:dyDescent="0.2">
      <c r="A37" s="82" t="s">
        <v>65</v>
      </c>
      <c r="B37" s="82" t="s">
        <v>53</v>
      </c>
      <c r="C37" s="132">
        <f>IF($O$9=0,0,ROUND(ENROLLMENT_HEADCOUNT!$C$55*C9/$O$9,0))</f>
        <v>2</v>
      </c>
      <c r="D37" s="132">
        <f>IF($O$9=0,0,ROUND(ENROLLMENT_HEADCOUNT!$C$55*D9/$O$9,0))</f>
        <v>12</v>
      </c>
      <c r="E37" s="132">
        <f>IF($O$9=0,0,ROUND(ENROLLMENT_HEADCOUNT!$C$55*E9/$O$9,0))</f>
        <v>29</v>
      </c>
      <c r="F37" s="132">
        <f t="shared" si="10"/>
        <v>43</v>
      </c>
      <c r="G37" s="132">
        <f>IF($O$9=0,0,ROUND(ENROLLMENT_HEADCOUNT!$C$55*G9/$O$9,0))</f>
        <v>0</v>
      </c>
      <c r="H37" s="132">
        <f>IF($O$9=0,0,ROUND(ENROLLMENT_HEADCOUNT!$C$55*H9/$O$9,0))</f>
        <v>2</v>
      </c>
      <c r="I37" s="132">
        <f>IF($O$9=0,0,ROUND(ENROLLMENT_HEADCOUNT!$C$55*I9/$O$9,0))</f>
        <v>2</v>
      </c>
      <c r="J37" s="132">
        <f t="shared" si="11"/>
        <v>4</v>
      </c>
      <c r="K37" s="132">
        <f>IF($O$9=0,0,ROUND(ENROLLMENT_HEADCOUNT!$C$55*K9/$O$9,0))</f>
        <v>2</v>
      </c>
      <c r="L37" s="132">
        <f>IF($O$9=0,0,ROUND(ENROLLMENT_HEADCOUNT!$C$55*L9/$O$9,0))</f>
        <v>15</v>
      </c>
      <c r="M37" s="132">
        <f>ENROLLMENT_HEADCOUNT!$C$55-C37-D37-E37-G37-H37-I37-K37-L37</f>
        <v>62</v>
      </c>
      <c r="N37" s="132">
        <f t="shared" si="12"/>
        <v>79</v>
      </c>
      <c r="O37" s="132">
        <f t="shared" si="13"/>
        <v>126</v>
      </c>
      <c r="P37" s="132">
        <f>C37*DISCOUNTS!$C$38+D37*DISCOUNTS!$D$38+E37*FEE_GRID!$D$34+G37*DISCOUNTS!$C$46+H37*DISCOUNTS!$D$46+I37*FEE_GRID!$D$42+K37*DISCOUNTS!$C$54+L37*DISCOUNTS!$D$54+M37*FEE_GRID!$D$50</f>
        <v>4094796.739130435</v>
      </c>
    </row>
    <row r="38" spans="1:16" ht="18" customHeight="1" x14ac:dyDescent="0.2">
      <c r="A38" s="73" t="s">
        <v>66</v>
      </c>
      <c r="B38" s="73" t="s">
        <v>53</v>
      </c>
      <c r="C38" s="272">
        <f>IF($O$10=0,0,ROUND(ENROLLMENT_HEADCOUNT!$C$56*C10/$O$10,0))</f>
        <v>2</v>
      </c>
      <c r="D38" s="272">
        <f>IF($O$10=0,0,ROUND(ENROLLMENT_HEADCOUNT!$C$56*D10/$O$10,0))</f>
        <v>9</v>
      </c>
      <c r="E38" s="273">
        <f>IF($O$10=0,0,ROUND(ENROLLMENT_HEADCOUNT!$C$56*E10/$O$10,0))</f>
        <v>30</v>
      </c>
      <c r="F38" s="121">
        <f t="shared" si="10"/>
        <v>41</v>
      </c>
      <c r="G38" s="272">
        <f>IF($O$10=0,0,ROUND(ENROLLMENT_HEADCOUNT!$C$56*G10/$O$10,0))</f>
        <v>0</v>
      </c>
      <c r="H38" s="272">
        <f>IF($O$10=0,0,ROUND(ENROLLMENT_HEADCOUNT!$C$56*H10/$O$10,0))</f>
        <v>1</v>
      </c>
      <c r="I38" s="273">
        <f>IF($O$10=0,0,ROUND(ENROLLMENT_HEADCOUNT!$C$56*I10/$O$10,0))</f>
        <v>2</v>
      </c>
      <c r="J38" s="121">
        <f t="shared" si="11"/>
        <v>3</v>
      </c>
      <c r="K38" s="272">
        <f>IF($O$10=0,0,ROUND(ENROLLMENT_HEADCOUNT!$C$56*K10/$O$10,0))</f>
        <v>2</v>
      </c>
      <c r="L38" s="273">
        <f>IF($O$10=0,0,ROUND(ENROLLMENT_HEADCOUNT!$C$56*L10/$O$10,0))</f>
        <v>10</v>
      </c>
      <c r="M38" s="121">
        <f>ENROLLMENT_HEADCOUNT!$C$56-C38-D38-E38-G38-H38-I38-K38-L38</f>
        <v>62</v>
      </c>
      <c r="N38" s="121">
        <f t="shared" si="12"/>
        <v>74</v>
      </c>
      <c r="O38" s="121">
        <f t="shared" si="13"/>
        <v>118</v>
      </c>
      <c r="P38" s="121">
        <f>C38*DISCOUNTS!$C$38+D38*DISCOUNTS!$D$38+E38*FEE_GRID!$D$34+G38*DISCOUNTS!$C$46+H38*DISCOUNTS!$D$46+I38*FEE_GRID!$D$42+K38*DISCOUNTS!$C$54+L38*DISCOUNTS!$D$54+M38*FEE_GRID!$D$50</f>
        <v>3891222.2826086958</v>
      </c>
    </row>
    <row r="39" spans="1:16" ht="18" customHeight="1" x14ac:dyDescent="0.2">
      <c r="A39" s="82" t="s">
        <v>67</v>
      </c>
      <c r="B39" s="82" t="s">
        <v>53</v>
      </c>
      <c r="C39" s="132">
        <f>IF($O$11=0,0,ROUND(ENROLLMENT_HEADCOUNT!$C$57*C11/$O$11,0))</f>
        <v>2</v>
      </c>
      <c r="D39" s="132">
        <f>IF($O$11=0,0,ROUND(ENROLLMENT_HEADCOUNT!$C$57*D11/$O$11,0))</f>
        <v>10</v>
      </c>
      <c r="E39" s="132">
        <f>IF($O$11=0,0,ROUND(ENROLLMENT_HEADCOUNT!$C$57*E11/$O$11,0))</f>
        <v>34</v>
      </c>
      <c r="F39" s="132">
        <f t="shared" si="10"/>
        <v>46</v>
      </c>
      <c r="G39" s="132">
        <f>IF($O$11=0,0,ROUND(ENROLLMENT_HEADCOUNT!$C$57*G11/$O$11,0))</f>
        <v>0</v>
      </c>
      <c r="H39" s="132">
        <f>IF($O$11=0,0,ROUND(ENROLLMENT_HEADCOUNT!$C$57*H11/$O$11,0))</f>
        <v>1</v>
      </c>
      <c r="I39" s="132">
        <f>IF($O$11=0,0,ROUND(ENROLLMENT_HEADCOUNT!$C$57*I11/$O$11,0))</f>
        <v>2</v>
      </c>
      <c r="J39" s="132">
        <f t="shared" si="11"/>
        <v>3</v>
      </c>
      <c r="K39" s="132">
        <f>IF($O$11=0,0,ROUND(ENROLLMENT_HEADCOUNT!$C$57*K11/$O$11,0))</f>
        <v>2</v>
      </c>
      <c r="L39" s="132">
        <f>IF($O$11=0,0,ROUND(ENROLLMENT_HEADCOUNT!$C$57*L11/$O$11,0))</f>
        <v>11</v>
      </c>
      <c r="M39" s="132">
        <f>ENROLLMENT_HEADCOUNT!$C$57-C39-D39-E39-G39-H39-I39-K39-L39</f>
        <v>70</v>
      </c>
      <c r="N39" s="132">
        <f t="shared" si="12"/>
        <v>83</v>
      </c>
      <c r="O39" s="132">
        <f t="shared" si="13"/>
        <v>132</v>
      </c>
      <c r="P39" s="132">
        <f>C39*DISCOUNTS!$C$38+D39*DISCOUNTS!$D$38+E39*FEE_GRID!$D$34+G39*DISCOUNTS!$C$46+H39*DISCOUNTS!$D$46+I39*FEE_GRID!$D$42+K39*DISCOUNTS!$C$54+L39*DISCOUNTS!$D$54+M39*FEE_GRID!$D$50</f>
        <v>4359483.1521739131</v>
      </c>
    </row>
    <row r="40" spans="1:16" ht="18" customHeight="1" x14ac:dyDescent="0.2">
      <c r="A40" s="73" t="s">
        <v>68</v>
      </c>
      <c r="B40" s="73" t="s">
        <v>53</v>
      </c>
      <c r="C40" s="272">
        <f>IF($O$12=0,0,ROUND(ENROLLMENT_HEADCOUNT!$C$58*C12/$O$12,0))</f>
        <v>2</v>
      </c>
      <c r="D40" s="272">
        <f>IF($O$12=0,0,ROUND(ENROLLMENT_HEADCOUNT!$C$58*D12/$O$12,0))</f>
        <v>9</v>
      </c>
      <c r="E40" s="273">
        <f>IF($O$12=0,0,ROUND(ENROLLMENT_HEADCOUNT!$C$58*E12/$O$12,0))</f>
        <v>31</v>
      </c>
      <c r="F40" s="121">
        <f t="shared" si="10"/>
        <v>42</v>
      </c>
      <c r="G40" s="272">
        <f>IF($O$12=0,0,ROUND(ENROLLMENT_HEADCOUNT!$C$58*G12/$O$12,0))</f>
        <v>0</v>
      </c>
      <c r="H40" s="272">
        <f>IF($O$12=0,0,ROUND(ENROLLMENT_HEADCOUNT!$C$58*H12/$O$12,0))</f>
        <v>1</v>
      </c>
      <c r="I40" s="273">
        <f>IF($O$12=0,0,ROUND(ENROLLMENT_HEADCOUNT!$C$58*I12/$O$12,0))</f>
        <v>2</v>
      </c>
      <c r="J40" s="121">
        <f t="shared" si="11"/>
        <v>3</v>
      </c>
      <c r="K40" s="272">
        <f>IF($O$12=0,0,ROUND(ENROLLMENT_HEADCOUNT!$C$58*K12/$O$12,0))</f>
        <v>2</v>
      </c>
      <c r="L40" s="273">
        <f>IF($O$12=0,0,ROUND(ENROLLMENT_HEADCOUNT!$C$58*L12/$O$12,0))</f>
        <v>10</v>
      </c>
      <c r="M40" s="121">
        <f>ENROLLMENT_HEADCOUNT!$C$58-C40-D40-E40-G40-H40-I40-K40-L40</f>
        <v>64</v>
      </c>
      <c r="N40" s="121">
        <f t="shared" si="12"/>
        <v>76</v>
      </c>
      <c r="O40" s="121">
        <f t="shared" si="13"/>
        <v>121</v>
      </c>
      <c r="P40" s="121">
        <f>C40*DISCOUNTS!$C$38+D40*DISCOUNTS!$D$38+E40*FEE_GRID!$D$34+G40*DISCOUNTS!$C$46+H40*DISCOUNTS!$D$46+I40*FEE_GRID!$D$42+K40*DISCOUNTS!$C$54+L40*DISCOUNTS!$D$54+M40*FEE_GRID!$D$50</f>
        <v>3995570.1086956523</v>
      </c>
    </row>
    <row r="41" spans="1:16" ht="18" customHeight="1" x14ac:dyDescent="0.2">
      <c r="A41" s="82" t="s">
        <v>69</v>
      </c>
      <c r="B41" s="82" t="s">
        <v>53</v>
      </c>
      <c r="C41" s="132">
        <f>IF($O$13=0,0,ROUND(ENROLLMENT_HEADCOUNT!$C$59*C13/$O$13,0))</f>
        <v>2</v>
      </c>
      <c r="D41" s="132">
        <f>IF($O$13=0,0,ROUND(ENROLLMENT_HEADCOUNT!$C$59*D13/$O$13,0))</f>
        <v>9</v>
      </c>
      <c r="E41" s="132">
        <f>IF($O$13=0,0,ROUND(ENROLLMENT_HEADCOUNT!$C$59*E13/$O$13,0))</f>
        <v>31</v>
      </c>
      <c r="F41" s="132">
        <f t="shared" si="10"/>
        <v>42</v>
      </c>
      <c r="G41" s="132">
        <f>IF($O$13=0,0,ROUND(ENROLLMENT_HEADCOUNT!$C$59*G13/$O$13,0))</f>
        <v>0</v>
      </c>
      <c r="H41" s="132">
        <f>IF($O$13=0,0,ROUND(ENROLLMENT_HEADCOUNT!$C$59*H13/$O$13,0))</f>
        <v>1</v>
      </c>
      <c r="I41" s="132">
        <f>IF($O$13=0,0,ROUND(ENROLLMENT_HEADCOUNT!$C$59*I13/$O$13,0))</f>
        <v>2</v>
      </c>
      <c r="J41" s="132">
        <f t="shared" si="11"/>
        <v>3</v>
      </c>
      <c r="K41" s="132">
        <f>IF($O$13=0,0,ROUND(ENROLLMENT_HEADCOUNT!$C$59*K13/$O$13,0))</f>
        <v>2</v>
      </c>
      <c r="L41" s="132">
        <f>IF($O$13=0,0,ROUND(ENROLLMENT_HEADCOUNT!$C$59*L13/$O$13,0))</f>
        <v>10</v>
      </c>
      <c r="M41" s="132">
        <f>ENROLLMENT_HEADCOUNT!$C$59-C41-D41-E41-G41-H41-I41-K41-L41</f>
        <v>64</v>
      </c>
      <c r="N41" s="132">
        <f t="shared" si="12"/>
        <v>76</v>
      </c>
      <c r="O41" s="132">
        <f t="shared" si="13"/>
        <v>121</v>
      </c>
      <c r="P41" s="132">
        <f>C41*DISCOUNTS!$C$38+D41*DISCOUNTS!$D$38+E41*FEE_GRID!$D$34+G41*DISCOUNTS!$C$46+H41*DISCOUNTS!$D$46+I41*FEE_GRID!$D$42+K41*DISCOUNTS!$C$54+L41*DISCOUNTS!$D$54+M41*FEE_GRID!$D$50</f>
        <v>3995570.1086956523</v>
      </c>
    </row>
    <row r="42" spans="1:16" ht="18" customHeight="1" x14ac:dyDescent="0.2">
      <c r="A42" s="73" t="s">
        <v>70</v>
      </c>
      <c r="B42" s="73" t="s">
        <v>54</v>
      </c>
      <c r="C42" s="272">
        <f>IF($O$14=0,0,ROUND(ENROLLMENT_HEADCOUNT!$C$60*C14/$O$14,0))</f>
        <v>2</v>
      </c>
      <c r="D42" s="272">
        <f>IF($O$14=0,0,ROUND(ENROLLMENT_HEADCOUNT!$C$60*D14/$O$14,0))</f>
        <v>11</v>
      </c>
      <c r="E42" s="273">
        <f>IF($O$14=0,0,ROUND(ENROLLMENT_HEADCOUNT!$C$60*E14/$O$14,0))</f>
        <v>39</v>
      </c>
      <c r="F42" s="121">
        <f t="shared" si="10"/>
        <v>52</v>
      </c>
      <c r="G42" s="272">
        <f>IF($O$14=0,0,ROUND(ENROLLMENT_HEADCOUNT!$C$60*G14/$O$14,0))</f>
        <v>0</v>
      </c>
      <c r="H42" s="272">
        <f>IF($O$14=0,0,ROUND(ENROLLMENT_HEADCOUNT!$C$60*H14/$O$14,0))</f>
        <v>1</v>
      </c>
      <c r="I42" s="273">
        <f>IF($O$14=0,0,ROUND(ENROLLMENT_HEADCOUNT!$C$60*I14/$O$14,0))</f>
        <v>2</v>
      </c>
      <c r="J42" s="121">
        <f t="shared" si="11"/>
        <v>3</v>
      </c>
      <c r="K42" s="272">
        <f>IF($O$14=0,0,ROUND(ENROLLMENT_HEADCOUNT!$C$60*K14/$O$14,0))</f>
        <v>2</v>
      </c>
      <c r="L42" s="273">
        <f>IF($O$14=0,0,ROUND(ENROLLMENT_HEADCOUNT!$C$60*L14/$O$14,0))</f>
        <v>12</v>
      </c>
      <c r="M42" s="121">
        <f>ENROLLMENT_HEADCOUNT!$C$60-C42-D42-E42-G42-H42-I42-K42-L42</f>
        <v>82</v>
      </c>
      <c r="N42" s="121">
        <f t="shared" si="12"/>
        <v>96</v>
      </c>
      <c r="O42" s="121">
        <f t="shared" si="13"/>
        <v>151</v>
      </c>
      <c r="P42" s="121">
        <f>C42*DISCOUNTS!$C$39+D42*DISCOUNTS!$D$39+E42*FEE_GRID!$D$35+G42*DISCOUNTS!$C$47+H42*DISCOUNTS!$D$47+I42*FEE_GRID!$D$43+K42*DISCOUNTS!$C$55+L42*DISCOUNTS!$D$55+M42*FEE_GRID!$D$51</f>
        <v>5066548.3695652187</v>
      </c>
    </row>
    <row r="43" spans="1:16" ht="18" customHeight="1" x14ac:dyDescent="0.2">
      <c r="A43" s="82" t="s">
        <v>71</v>
      </c>
      <c r="B43" s="82" t="s">
        <v>54</v>
      </c>
      <c r="C43" s="132">
        <f>IF($O$15=0,0,ROUND(ENROLLMENT_HEADCOUNT!$C$61*C15/$O$15,0))</f>
        <v>2</v>
      </c>
      <c r="D43" s="132">
        <f>IF($O$15=0,0,ROUND(ENROLLMENT_HEADCOUNT!$C$61*D15/$O$15,0))</f>
        <v>5</v>
      </c>
      <c r="E43" s="132">
        <f>IF($O$15=0,0,ROUND(ENROLLMENT_HEADCOUNT!$C$61*E15/$O$15,0))</f>
        <v>40</v>
      </c>
      <c r="F43" s="132">
        <f t="shared" si="10"/>
        <v>47</v>
      </c>
      <c r="G43" s="132">
        <f>IF($O$15=0,0,ROUND(ENROLLMENT_HEADCOUNT!$C$61*G15/$O$15,0))</f>
        <v>0</v>
      </c>
      <c r="H43" s="132">
        <f>IF($O$15=0,0,ROUND(ENROLLMENT_HEADCOUNT!$C$61*H15/$O$15,0))</f>
        <v>0</v>
      </c>
      <c r="I43" s="132">
        <f>IF($O$15=0,0,ROUND(ENROLLMENT_HEADCOUNT!$C$61*I15/$O$15,0))</f>
        <v>3</v>
      </c>
      <c r="J43" s="132">
        <f t="shared" si="11"/>
        <v>3</v>
      </c>
      <c r="K43" s="132">
        <f>IF($O$15=0,0,ROUND(ENROLLMENT_HEADCOUNT!$C$61*K15/$O$15,0))</f>
        <v>4</v>
      </c>
      <c r="L43" s="132">
        <f>IF($O$15=0,0,ROUND(ENROLLMENT_HEADCOUNT!$C$61*L15/$O$15,0))</f>
        <v>5</v>
      </c>
      <c r="M43" s="132">
        <f>ENROLLMENT_HEADCOUNT!$C$61-C43-D43-E43-G43-H43-I43-K43-L43</f>
        <v>80</v>
      </c>
      <c r="N43" s="132">
        <f t="shared" si="12"/>
        <v>89</v>
      </c>
      <c r="O43" s="132">
        <f t="shared" si="13"/>
        <v>139</v>
      </c>
      <c r="P43" s="132">
        <f>C43*DISCOUNTS!$C$39+D43*DISCOUNTS!$D$39+E43*FEE_GRID!$D$35+G43*DISCOUNTS!$C$47+H43*DISCOUNTS!$D$47+I43*FEE_GRID!$D$43+K43*DISCOUNTS!$C$55+L43*DISCOUNTS!$D$55+M43*FEE_GRID!$D$51</f>
        <v>4752123.9130434785</v>
      </c>
    </row>
    <row r="44" spans="1:16" ht="18" customHeight="1" x14ac:dyDescent="0.2">
      <c r="A44" s="73" t="s">
        <v>72</v>
      </c>
      <c r="B44" s="73" t="s">
        <v>54</v>
      </c>
      <c r="C44" s="272">
        <f>IF($O$16=0,0,ROUND(ENROLLMENT_HEADCOUNT!$C$62*C16/$O$16,0))</f>
        <v>1</v>
      </c>
      <c r="D44" s="272">
        <f>IF($O$16=0,0,ROUND(ENROLLMENT_HEADCOUNT!$C$62*D16/$O$16,0))</f>
        <v>4</v>
      </c>
      <c r="E44" s="273">
        <f>IF($O$16=0,0,ROUND(ENROLLMENT_HEADCOUNT!$C$62*E16/$O$16,0))</f>
        <v>35</v>
      </c>
      <c r="F44" s="121">
        <f t="shared" si="10"/>
        <v>40</v>
      </c>
      <c r="G44" s="272">
        <f>IF($O$16=0,0,ROUND(ENROLLMENT_HEADCOUNT!$C$62*G16/$O$16,0))</f>
        <v>0</v>
      </c>
      <c r="H44" s="272">
        <f>IF($O$16=0,0,ROUND(ENROLLMENT_HEADCOUNT!$C$62*H16/$O$16,0))</f>
        <v>0</v>
      </c>
      <c r="I44" s="273">
        <f>IF($O$16=0,0,ROUND(ENROLLMENT_HEADCOUNT!$C$62*I16/$O$16,0))</f>
        <v>3</v>
      </c>
      <c r="J44" s="121">
        <f t="shared" si="11"/>
        <v>3</v>
      </c>
      <c r="K44" s="272">
        <f>IF($O$16=0,0,ROUND(ENROLLMENT_HEADCOUNT!$C$62*K16/$O$16,0))</f>
        <v>3</v>
      </c>
      <c r="L44" s="273">
        <f>IF($O$16=0,0,ROUND(ENROLLMENT_HEADCOUNT!$C$62*L16/$O$16,0))</f>
        <v>3</v>
      </c>
      <c r="M44" s="121">
        <f>ENROLLMENT_HEADCOUNT!$C$62-C44-D44-E44-G44-H44-I44-K44-L44</f>
        <v>71</v>
      </c>
      <c r="N44" s="121">
        <f t="shared" si="12"/>
        <v>77</v>
      </c>
      <c r="O44" s="121">
        <f t="shared" si="13"/>
        <v>120</v>
      </c>
      <c r="P44" s="121">
        <f>C44*DISCOUNTS!$C$39+D44*DISCOUNTS!$D$39+E44*FEE_GRID!$D$35+G44*DISCOUNTS!$C$47+H44*DISCOUNTS!$D$47+I44*FEE_GRID!$D$43+K44*DISCOUNTS!$C$55+L44*DISCOUNTS!$D$55+M44*FEE_GRID!$D$51</f>
        <v>4130058.6956521743</v>
      </c>
    </row>
    <row r="45" spans="1:16" ht="18" customHeight="1" x14ac:dyDescent="0.2">
      <c r="A45" s="82" t="s">
        <v>73</v>
      </c>
      <c r="B45" s="82" t="s">
        <v>54</v>
      </c>
      <c r="C45" s="132">
        <f>IF($O$17=0,0,ROUND(ENROLLMENT_HEADCOUNT!$C$63*C17/$O$17,0))</f>
        <v>1</v>
      </c>
      <c r="D45" s="132">
        <f>IF($O$17=0,0,ROUND(ENROLLMENT_HEADCOUNT!$C$63*D17/$O$17,0))</f>
        <v>3</v>
      </c>
      <c r="E45" s="132">
        <f>IF($O$17=0,0,ROUND(ENROLLMENT_HEADCOUNT!$C$63*E17/$O$17,0))</f>
        <v>29</v>
      </c>
      <c r="F45" s="132">
        <f t="shared" si="10"/>
        <v>33</v>
      </c>
      <c r="G45" s="132">
        <f>IF($O$17=0,0,ROUND(ENROLLMENT_HEADCOUNT!$C$63*G17/$O$17,0))</f>
        <v>0</v>
      </c>
      <c r="H45" s="132">
        <f>IF($O$17=0,0,ROUND(ENROLLMENT_HEADCOUNT!$C$63*H17/$O$17,0))</f>
        <v>0</v>
      </c>
      <c r="I45" s="132">
        <f>IF($O$17=0,0,ROUND(ENROLLMENT_HEADCOUNT!$C$63*I17/$O$17,0))</f>
        <v>2</v>
      </c>
      <c r="J45" s="132">
        <f t="shared" si="11"/>
        <v>2</v>
      </c>
      <c r="K45" s="132">
        <f>IF($O$17=0,0,ROUND(ENROLLMENT_HEADCOUNT!$C$63*K17/$O$17,0))</f>
        <v>3</v>
      </c>
      <c r="L45" s="132">
        <f>IF($O$17=0,0,ROUND(ENROLLMENT_HEADCOUNT!$C$63*L17/$O$17,0))</f>
        <v>3</v>
      </c>
      <c r="M45" s="132">
        <f>ENROLLMENT_HEADCOUNT!$C$63-C45-D45-E45-G45-H45-I45-K45-L45</f>
        <v>62</v>
      </c>
      <c r="N45" s="132">
        <f t="shared" si="12"/>
        <v>68</v>
      </c>
      <c r="O45" s="132">
        <f t="shared" si="13"/>
        <v>103</v>
      </c>
      <c r="P45" s="132">
        <f>C45*DISCOUNTS!$C$39+D45*DISCOUNTS!$D$39+E45*FEE_GRID!$D$35+G45*DISCOUNTS!$C$47+H45*DISCOUNTS!$D$47+I45*FEE_GRID!$D$43+K45*DISCOUNTS!$C$55+L45*DISCOUNTS!$D$55+M45*FEE_GRID!$D$51</f>
        <v>3546560.8695652178</v>
      </c>
    </row>
    <row r="46" spans="1:16" ht="18" customHeight="1" x14ac:dyDescent="0.2">
      <c r="A46" s="73" t="s">
        <v>74</v>
      </c>
      <c r="B46" s="73" t="s">
        <v>55</v>
      </c>
      <c r="C46" s="272">
        <f>IF($O$18=0,0,ROUND(ENROLLMENT_HEADCOUNT!$C$64*C18/$O$18,0))</f>
        <v>1</v>
      </c>
      <c r="D46" s="272">
        <f>IF($O$18=0,0,ROUND(ENROLLMENT_HEADCOUNT!$C$64*D18/$O$18,0))</f>
        <v>5</v>
      </c>
      <c r="E46" s="273">
        <f>IF($O$18=0,0,ROUND(ENROLLMENT_HEADCOUNT!$C$64*E18/$O$18,0))</f>
        <v>35</v>
      </c>
      <c r="F46" s="121">
        <f t="shared" si="10"/>
        <v>41</v>
      </c>
      <c r="G46" s="272">
        <f>IF($O$18=0,0,ROUND(ENROLLMENT_HEADCOUNT!$C$64*G18/$O$18,0))</f>
        <v>0</v>
      </c>
      <c r="H46" s="272">
        <f>IF($O$18=0,0,ROUND(ENROLLMENT_HEADCOUNT!$C$64*H18/$O$18,0))</f>
        <v>0</v>
      </c>
      <c r="I46" s="273">
        <f>IF($O$18=0,0,ROUND(ENROLLMENT_HEADCOUNT!$C$64*I18/$O$18,0))</f>
        <v>2</v>
      </c>
      <c r="J46" s="121">
        <f t="shared" si="11"/>
        <v>2</v>
      </c>
      <c r="K46" s="272">
        <f>IF($O$18=0,0,ROUND(ENROLLMENT_HEADCOUNT!$C$64*K18/$O$18,0))</f>
        <v>4</v>
      </c>
      <c r="L46" s="273">
        <f>IF($O$18=0,0,ROUND(ENROLLMENT_HEADCOUNT!$C$64*L18/$O$18,0))</f>
        <v>4</v>
      </c>
      <c r="M46" s="121">
        <f>ENROLLMENT_HEADCOUNT!$C$64-C46-D46-E46-G46-H46-I46-K46-L46</f>
        <v>74</v>
      </c>
      <c r="N46" s="121">
        <f t="shared" si="12"/>
        <v>82</v>
      </c>
      <c r="O46" s="121">
        <f t="shared" si="13"/>
        <v>125</v>
      </c>
      <c r="P46" s="121">
        <f>C46*DISCOUNTS!$C$40+D46*DISCOUNTS!$D$40+E46*FEE_GRID!$D$36+G46*DISCOUNTS!$C$48+H46*DISCOUNTS!$D$48+I46*FEE_GRID!$D$44+K46*DISCOUNTS!$C$56+L46*DISCOUNTS!$D$56+M46*FEE_GRID!$D$52</f>
        <v>4787739.1304347832</v>
      </c>
    </row>
    <row r="47" spans="1:16" ht="18" customHeight="1" x14ac:dyDescent="0.2">
      <c r="A47" s="82" t="s">
        <v>75</v>
      </c>
      <c r="B47" s="82" t="s">
        <v>55</v>
      </c>
      <c r="C47" s="132">
        <f>IF($O$19=0,0,ROUND(ENROLLMENT_HEADCOUNT!$C$65*C19/$O$19,0))</f>
        <v>2</v>
      </c>
      <c r="D47" s="132">
        <f>IF($O$19=0,0,ROUND(ENROLLMENT_HEADCOUNT!$C$65*D19/$O$19,0))</f>
        <v>0</v>
      </c>
      <c r="E47" s="132">
        <f>IF($O$19=0,0,ROUND(ENROLLMENT_HEADCOUNT!$C$65*E19/$O$19,0))</f>
        <v>36</v>
      </c>
      <c r="F47" s="132">
        <f t="shared" si="10"/>
        <v>38</v>
      </c>
      <c r="G47" s="132">
        <f>IF($O$19=0,0,ROUND(ENROLLMENT_HEADCOUNT!$C$65*G19/$O$19,0))</f>
        <v>0</v>
      </c>
      <c r="H47" s="132">
        <f>IF($O$19=0,0,ROUND(ENROLLMENT_HEADCOUNT!$C$65*H19/$O$19,0))</f>
        <v>0</v>
      </c>
      <c r="I47" s="132">
        <f>IF($O$19=0,0,ROUND(ENROLLMENT_HEADCOUNT!$C$65*I19/$O$19,0))</f>
        <v>3</v>
      </c>
      <c r="J47" s="132">
        <f t="shared" si="11"/>
        <v>3</v>
      </c>
      <c r="K47" s="132">
        <f>IF($O$19=0,0,ROUND(ENROLLMENT_HEADCOUNT!$C$65*K19/$O$19,0))</f>
        <v>6</v>
      </c>
      <c r="L47" s="132">
        <f>IF($O$19=0,0,ROUND(ENROLLMENT_HEADCOUNT!$C$65*L19/$O$19,0))</f>
        <v>0</v>
      </c>
      <c r="M47" s="132">
        <f>ENROLLMENT_HEADCOUNT!$C$65-C47-D47-E47-G47-H47-I47-K47-L47</f>
        <v>73</v>
      </c>
      <c r="N47" s="132">
        <f t="shared" si="12"/>
        <v>79</v>
      </c>
      <c r="O47" s="132">
        <f t="shared" si="13"/>
        <v>120</v>
      </c>
      <c r="P47" s="132">
        <f>C47*DISCOUNTS!$C$40+D47*DISCOUNTS!$D$40+E47*FEE_GRID!$D$36+G47*DISCOUNTS!$C$48+H47*DISCOUNTS!$D$48+I47*FEE_GRID!$D$44+K47*DISCOUNTS!$C$56+L47*DISCOUNTS!$D$56+M47*FEE_GRID!$D$52</f>
        <v>4654521.7391304355</v>
      </c>
    </row>
    <row r="48" spans="1:16" ht="18" customHeight="1" x14ac:dyDescent="0.2">
      <c r="A48" s="73" t="s">
        <v>76</v>
      </c>
      <c r="B48" s="73" t="s">
        <v>55</v>
      </c>
      <c r="C48" s="272">
        <f>IF($O$20=0,0,ROUND(ENROLLMENT_HEADCOUNT!$C$66*C20/$O$20,0))</f>
        <v>2</v>
      </c>
      <c r="D48" s="272">
        <f>IF($O$20=0,0,ROUND(ENROLLMENT_HEADCOUNT!$C$66*D20/$O$20,0))</f>
        <v>0</v>
      </c>
      <c r="E48" s="273">
        <f>IF($O$20=0,0,ROUND(ENROLLMENT_HEADCOUNT!$C$66*E20/$O$20,0))</f>
        <v>33</v>
      </c>
      <c r="F48" s="121">
        <f t="shared" si="10"/>
        <v>35</v>
      </c>
      <c r="G48" s="272">
        <f>IF($O$20=0,0,ROUND(ENROLLMENT_HEADCOUNT!$C$66*G20/$O$20,0))</f>
        <v>0</v>
      </c>
      <c r="H48" s="272">
        <f>IF($O$20=0,0,ROUND(ENROLLMENT_HEADCOUNT!$C$66*H20/$O$20,0))</f>
        <v>0</v>
      </c>
      <c r="I48" s="273">
        <f>IF($O$20=0,0,ROUND(ENROLLMENT_HEADCOUNT!$C$66*I20/$O$20,0))</f>
        <v>3</v>
      </c>
      <c r="J48" s="121">
        <f t="shared" si="11"/>
        <v>3</v>
      </c>
      <c r="K48" s="272">
        <f>IF($O$20=0,0,ROUND(ENROLLMENT_HEADCOUNT!$C$66*K20/$O$20,0))</f>
        <v>5</v>
      </c>
      <c r="L48" s="273">
        <f>IF($O$20=0,0,ROUND(ENROLLMENT_HEADCOUNT!$C$66*L20/$O$20,0))</f>
        <v>0</v>
      </c>
      <c r="M48" s="121">
        <f>ENROLLMENT_HEADCOUNT!$C$66-C48-D48-E48-G48-H48-I48-K48-L48</f>
        <v>68</v>
      </c>
      <c r="N48" s="121">
        <f t="shared" si="12"/>
        <v>73</v>
      </c>
      <c r="O48" s="121">
        <f t="shared" si="13"/>
        <v>111</v>
      </c>
      <c r="P48" s="121">
        <f>C48*DISCOUNTS!$C$40+D48*DISCOUNTS!$D$40+E48*FEE_GRID!$D$36+G48*DISCOUNTS!$C$48+H48*DISCOUNTS!$D$48+I48*FEE_GRID!$D$44+K48*DISCOUNTS!$C$56+L48*DISCOUNTS!$D$56+M48*FEE_GRID!$D$52</f>
        <v>4310586.9565217393</v>
      </c>
    </row>
    <row r="49" spans="1:16" ht="6" customHeight="1" x14ac:dyDescent="0.2">
      <c r="A49" s="73"/>
      <c r="B49" s="73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</row>
    <row r="50" spans="1:16" ht="20" customHeight="1" x14ac:dyDescent="0.2">
      <c r="A50" s="234" t="s">
        <v>176</v>
      </c>
      <c r="B50" s="234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</row>
    <row r="51" spans="1:16" ht="20" customHeight="1" x14ac:dyDescent="0.2">
      <c r="A51" s="180" t="s">
        <v>51</v>
      </c>
      <c r="B51" s="180"/>
      <c r="C51" s="251">
        <f t="shared" ref="C51:P51" si="14">C34</f>
        <v>1</v>
      </c>
      <c r="D51" s="251">
        <f t="shared" si="14"/>
        <v>6</v>
      </c>
      <c r="E51" s="251">
        <f t="shared" si="14"/>
        <v>17</v>
      </c>
      <c r="F51" s="251">
        <f t="shared" si="14"/>
        <v>24</v>
      </c>
      <c r="G51" s="251">
        <f t="shared" si="14"/>
        <v>0</v>
      </c>
      <c r="H51" s="251">
        <f t="shared" si="14"/>
        <v>1</v>
      </c>
      <c r="I51" s="251">
        <f t="shared" si="14"/>
        <v>1</v>
      </c>
      <c r="J51" s="251">
        <f t="shared" si="14"/>
        <v>2</v>
      </c>
      <c r="K51" s="251">
        <f t="shared" si="14"/>
        <v>0</v>
      </c>
      <c r="L51" s="251">
        <f t="shared" si="14"/>
        <v>5</v>
      </c>
      <c r="M51" s="251">
        <f t="shared" si="14"/>
        <v>34</v>
      </c>
      <c r="N51" s="251">
        <f t="shared" si="14"/>
        <v>39</v>
      </c>
      <c r="O51" s="251">
        <f t="shared" si="14"/>
        <v>65</v>
      </c>
      <c r="P51" s="251">
        <f t="shared" si="14"/>
        <v>1954348.5108695654</v>
      </c>
    </row>
    <row r="52" spans="1:16" ht="20" customHeight="1" x14ac:dyDescent="0.2">
      <c r="A52" s="237" t="s">
        <v>52</v>
      </c>
      <c r="B52" s="237"/>
      <c r="C52" s="253">
        <f t="shared" ref="C52:P52" si="15">SUM(C35:C36)</f>
        <v>3</v>
      </c>
      <c r="D52" s="253">
        <f t="shared" si="15"/>
        <v>20</v>
      </c>
      <c r="E52" s="253">
        <f t="shared" si="15"/>
        <v>49</v>
      </c>
      <c r="F52" s="253">
        <f t="shared" si="15"/>
        <v>72</v>
      </c>
      <c r="G52" s="253">
        <f t="shared" si="15"/>
        <v>0</v>
      </c>
      <c r="H52" s="253">
        <f t="shared" si="15"/>
        <v>3</v>
      </c>
      <c r="I52" s="253">
        <f t="shared" si="15"/>
        <v>3</v>
      </c>
      <c r="J52" s="253">
        <f t="shared" si="15"/>
        <v>6</v>
      </c>
      <c r="K52" s="253">
        <f t="shared" si="15"/>
        <v>2</v>
      </c>
      <c r="L52" s="253">
        <f t="shared" si="15"/>
        <v>22</v>
      </c>
      <c r="M52" s="253">
        <f t="shared" si="15"/>
        <v>99</v>
      </c>
      <c r="N52" s="253">
        <f t="shared" si="15"/>
        <v>123</v>
      </c>
      <c r="O52" s="253">
        <f t="shared" si="15"/>
        <v>201</v>
      </c>
      <c r="P52" s="253">
        <f t="shared" si="15"/>
        <v>6510564.6739130439</v>
      </c>
    </row>
    <row r="53" spans="1:16" ht="20" customHeight="1" x14ac:dyDescent="0.2">
      <c r="A53" s="237" t="s">
        <v>53</v>
      </c>
      <c r="B53" s="237"/>
      <c r="C53" s="253">
        <f t="shared" ref="C53:P53" si="16">SUM(C37:C41)</f>
        <v>10</v>
      </c>
      <c r="D53" s="253">
        <f t="shared" si="16"/>
        <v>49</v>
      </c>
      <c r="E53" s="253">
        <f t="shared" si="16"/>
        <v>155</v>
      </c>
      <c r="F53" s="253">
        <f t="shared" si="16"/>
        <v>214</v>
      </c>
      <c r="G53" s="253">
        <f t="shared" si="16"/>
        <v>0</v>
      </c>
      <c r="H53" s="253">
        <f t="shared" si="16"/>
        <v>6</v>
      </c>
      <c r="I53" s="253">
        <f t="shared" si="16"/>
        <v>10</v>
      </c>
      <c r="J53" s="253">
        <f t="shared" si="16"/>
        <v>16</v>
      </c>
      <c r="K53" s="253">
        <f t="shared" si="16"/>
        <v>10</v>
      </c>
      <c r="L53" s="253">
        <f t="shared" si="16"/>
        <v>56</v>
      </c>
      <c r="M53" s="253">
        <f t="shared" si="16"/>
        <v>322</v>
      </c>
      <c r="N53" s="253">
        <f t="shared" si="16"/>
        <v>388</v>
      </c>
      <c r="O53" s="253">
        <f t="shared" si="16"/>
        <v>618</v>
      </c>
      <c r="P53" s="253">
        <f t="shared" si="16"/>
        <v>20336642.391304348</v>
      </c>
    </row>
    <row r="54" spans="1:16" ht="20" customHeight="1" x14ac:dyDescent="0.2">
      <c r="A54" s="237" t="s">
        <v>54</v>
      </c>
      <c r="B54" s="237"/>
      <c r="C54" s="253">
        <f t="shared" ref="C54:P54" si="17">SUM(C42:C45)</f>
        <v>6</v>
      </c>
      <c r="D54" s="253">
        <f t="shared" si="17"/>
        <v>23</v>
      </c>
      <c r="E54" s="253">
        <f t="shared" si="17"/>
        <v>143</v>
      </c>
      <c r="F54" s="253">
        <f t="shared" si="17"/>
        <v>172</v>
      </c>
      <c r="G54" s="253">
        <f t="shared" si="17"/>
        <v>0</v>
      </c>
      <c r="H54" s="253">
        <f t="shared" si="17"/>
        <v>1</v>
      </c>
      <c r="I54" s="253">
        <f t="shared" si="17"/>
        <v>10</v>
      </c>
      <c r="J54" s="253">
        <f t="shared" si="17"/>
        <v>11</v>
      </c>
      <c r="K54" s="253">
        <f t="shared" si="17"/>
        <v>12</v>
      </c>
      <c r="L54" s="253">
        <f t="shared" si="17"/>
        <v>23</v>
      </c>
      <c r="M54" s="253">
        <f t="shared" si="17"/>
        <v>295</v>
      </c>
      <c r="N54" s="253">
        <f t="shared" si="17"/>
        <v>330</v>
      </c>
      <c r="O54" s="253">
        <f t="shared" si="17"/>
        <v>513</v>
      </c>
      <c r="P54" s="253">
        <f t="shared" si="17"/>
        <v>17495291.84782609</v>
      </c>
    </row>
    <row r="55" spans="1:16" ht="20" customHeight="1" thickBot="1" x14ac:dyDescent="0.25">
      <c r="A55" s="237" t="s">
        <v>55</v>
      </c>
      <c r="B55" s="237"/>
      <c r="C55" s="253">
        <f t="shared" ref="C55:P55" si="18">SUM(C46:C48)</f>
        <v>5</v>
      </c>
      <c r="D55" s="253">
        <f t="shared" si="18"/>
        <v>5</v>
      </c>
      <c r="E55" s="253">
        <f t="shared" si="18"/>
        <v>104</v>
      </c>
      <c r="F55" s="253">
        <f t="shared" si="18"/>
        <v>114</v>
      </c>
      <c r="G55" s="253">
        <f t="shared" si="18"/>
        <v>0</v>
      </c>
      <c r="H55" s="253">
        <f t="shared" si="18"/>
        <v>0</v>
      </c>
      <c r="I55" s="253">
        <f t="shared" si="18"/>
        <v>8</v>
      </c>
      <c r="J55" s="253">
        <f t="shared" si="18"/>
        <v>8</v>
      </c>
      <c r="K55" s="253">
        <f t="shared" si="18"/>
        <v>15</v>
      </c>
      <c r="L55" s="253">
        <f t="shared" si="18"/>
        <v>4</v>
      </c>
      <c r="M55" s="253">
        <f t="shared" si="18"/>
        <v>215</v>
      </c>
      <c r="N55" s="253">
        <f t="shared" si="18"/>
        <v>234</v>
      </c>
      <c r="O55" s="253">
        <f t="shared" si="18"/>
        <v>356</v>
      </c>
      <c r="P55" s="253">
        <f t="shared" si="18"/>
        <v>13752847.826086957</v>
      </c>
    </row>
    <row r="56" spans="1:16" ht="24" customHeight="1" thickTop="1" thickBot="1" x14ac:dyDescent="0.25">
      <c r="A56" s="148" t="s">
        <v>184</v>
      </c>
      <c r="B56" s="148"/>
      <c r="C56" s="170">
        <f t="shared" ref="C56:P56" si="19">SUM(C51:C55)</f>
        <v>25</v>
      </c>
      <c r="D56" s="170">
        <f t="shared" si="19"/>
        <v>103</v>
      </c>
      <c r="E56" s="170">
        <f t="shared" si="19"/>
        <v>468</v>
      </c>
      <c r="F56" s="170">
        <f t="shared" si="19"/>
        <v>596</v>
      </c>
      <c r="G56" s="170">
        <f t="shared" si="19"/>
        <v>0</v>
      </c>
      <c r="H56" s="170">
        <f t="shared" si="19"/>
        <v>11</v>
      </c>
      <c r="I56" s="170">
        <f t="shared" si="19"/>
        <v>32</v>
      </c>
      <c r="J56" s="170">
        <f t="shared" si="19"/>
        <v>43</v>
      </c>
      <c r="K56" s="170">
        <f t="shared" si="19"/>
        <v>39</v>
      </c>
      <c r="L56" s="170">
        <f t="shared" si="19"/>
        <v>110</v>
      </c>
      <c r="M56" s="170">
        <f t="shared" si="19"/>
        <v>965</v>
      </c>
      <c r="N56" s="170">
        <f t="shared" si="19"/>
        <v>1114</v>
      </c>
      <c r="O56" s="170">
        <f t="shared" si="19"/>
        <v>1753</v>
      </c>
      <c r="P56" s="170">
        <f t="shared" si="19"/>
        <v>60049695.25</v>
      </c>
    </row>
    <row r="57" spans="1:16" ht="16" thickTop="1" x14ac:dyDescent="0.2"/>
  </sheetData>
  <mergeCells count="2">
    <mergeCell ref="A1:P1"/>
    <mergeCell ref="A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L32"/>
  <sheetViews>
    <sheetView showGridLines="0" workbookViewId="0">
      <selection activeCell="M39" sqref="M39"/>
    </sheetView>
  </sheetViews>
  <sheetFormatPr baseColWidth="10" defaultColWidth="8.83203125" defaultRowHeight="15" x14ac:dyDescent="0.2"/>
  <cols>
    <col min="1" max="2" width="20" customWidth="1"/>
    <col min="3" max="12" width="14.1640625" customWidth="1"/>
  </cols>
  <sheetData>
    <row r="1" spans="1:12" s="1" customFormat="1" ht="30" customHeight="1" thickBot="1" x14ac:dyDescent="0.3">
      <c r="A1" s="26" t="s">
        <v>189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6" customHeight="1" thickTop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22" customHeight="1" x14ac:dyDescent="0.2">
      <c r="A3" s="30" t="s">
        <v>190</v>
      </c>
      <c r="B3" s="31"/>
      <c r="C3" s="32"/>
      <c r="D3" s="32"/>
      <c r="E3" s="32"/>
      <c r="F3" s="32"/>
      <c r="G3" s="32"/>
      <c r="H3" s="32"/>
      <c r="I3" s="32"/>
      <c r="J3" s="32"/>
      <c r="K3" s="276"/>
      <c r="L3" s="276"/>
    </row>
    <row r="4" spans="1:12" ht="24" customHeight="1" x14ac:dyDescent="0.2">
      <c r="A4" s="69" t="s">
        <v>61</v>
      </c>
      <c r="B4" s="69" t="s">
        <v>48</v>
      </c>
      <c r="C4" s="69" t="s">
        <v>191</v>
      </c>
      <c r="D4" s="69" t="s">
        <v>49</v>
      </c>
      <c r="E4" s="69" t="s">
        <v>192</v>
      </c>
      <c r="F4" s="69" t="s">
        <v>193</v>
      </c>
      <c r="G4" s="69" t="s">
        <v>194</v>
      </c>
      <c r="H4" s="69" t="s">
        <v>195</v>
      </c>
      <c r="I4" s="69" t="s">
        <v>196</v>
      </c>
      <c r="J4" s="69" t="s">
        <v>197</v>
      </c>
      <c r="K4" s="277"/>
      <c r="L4" s="278" t="s">
        <v>284</v>
      </c>
    </row>
    <row r="5" spans="1:12" ht="18" customHeight="1" x14ac:dyDescent="0.2">
      <c r="A5" s="78" t="s">
        <v>62</v>
      </c>
      <c r="B5" s="287" t="s">
        <v>51</v>
      </c>
      <c r="C5" s="288">
        <f>ENROLLMENT_DETAIL!$O$34</f>
        <v>65</v>
      </c>
      <c r="D5" s="108">
        <v>24</v>
      </c>
      <c r="E5" s="289">
        <f t="shared" ref="E5:E19" si="0">IF(C5=0,0,CEILING(C5/D5,1))</f>
        <v>3</v>
      </c>
      <c r="F5" s="125">
        <f t="shared" ref="F5:F19" si="1">INT(E5*D5*0.7)</f>
        <v>50</v>
      </c>
      <c r="G5" s="125">
        <f t="shared" ref="G5:G19" si="2">INT(E5*D5*0.85)</f>
        <v>61</v>
      </c>
      <c r="H5" s="125">
        <f t="shared" ref="H5:H19" si="3">E5*D5</f>
        <v>72</v>
      </c>
      <c r="I5" s="217">
        <f t="shared" ref="I5:I18" si="4">IF(E5=0,0,C5/(E5*D5))</f>
        <v>0.90277777777777779</v>
      </c>
      <c r="J5" s="290" t="str">
        <f t="shared" ref="J5:J19" si="5">IF(C5&gt;H5,"OVER",IF(C5&lt;F5,"UNDER","OK"))</f>
        <v>OK</v>
      </c>
      <c r="K5" s="205"/>
      <c r="L5" s="57">
        <f>H5-C5</f>
        <v>7</v>
      </c>
    </row>
    <row r="6" spans="1:12" ht="18" customHeight="1" x14ac:dyDescent="0.2">
      <c r="A6" s="80" t="s">
        <v>63</v>
      </c>
      <c r="B6" s="291" t="s">
        <v>52</v>
      </c>
      <c r="C6" s="292">
        <f>ENROLLMENT_DETAIL!$O$35</f>
        <v>77</v>
      </c>
      <c r="D6" s="55">
        <v>24</v>
      </c>
      <c r="E6" s="293">
        <f t="shared" si="0"/>
        <v>4</v>
      </c>
      <c r="F6" s="126">
        <f t="shared" si="1"/>
        <v>67</v>
      </c>
      <c r="G6" s="126">
        <f t="shared" si="2"/>
        <v>81</v>
      </c>
      <c r="H6" s="126">
        <f t="shared" si="3"/>
        <v>96</v>
      </c>
      <c r="I6" s="218">
        <f t="shared" si="4"/>
        <v>0.80208333333333337</v>
      </c>
      <c r="J6" s="294" t="str">
        <f t="shared" si="5"/>
        <v>OK</v>
      </c>
      <c r="K6" s="295"/>
      <c r="L6" s="110">
        <f t="shared" ref="L6:L19" si="6">H6-C6</f>
        <v>19</v>
      </c>
    </row>
    <row r="7" spans="1:12" ht="18" customHeight="1" x14ac:dyDescent="0.2">
      <c r="A7" s="83" t="s">
        <v>64</v>
      </c>
      <c r="B7" s="296" t="s">
        <v>52</v>
      </c>
      <c r="C7" s="297">
        <f>ENROLLMENT_DETAIL!$O$36</f>
        <v>124</v>
      </c>
      <c r="D7" s="113">
        <v>24</v>
      </c>
      <c r="E7" s="298">
        <f t="shared" si="0"/>
        <v>6</v>
      </c>
      <c r="F7" s="127">
        <f t="shared" si="1"/>
        <v>100</v>
      </c>
      <c r="G7" s="127">
        <f t="shared" si="2"/>
        <v>122</v>
      </c>
      <c r="H7" s="127">
        <f t="shared" si="3"/>
        <v>144</v>
      </c>
      <c r="I7" s="219">
        <f t="shared" si="4"/>
        <v>0.86111111111111116</v>
      </c>
      <c r="J7" s="299" t="str">
        <f t="shared" si="5"/>
        <v>OK</v>
      </c>
      <c r="K7" s="300"/>
      <c r="L7" s="112">
        <f t="shared" si="6"/>
        <v>20</v>
      </c>
    </row>
    <row r="8" spans="1:12" ht="18" customHeight="1" x14ac:dyDescent="0.2">
      <c r="A8" s="80" t="s">
        <v>65</v>
      </c>
      <c r="B8" s="291" t="s">
        <v>53</v>
      </c>
      <c r="C8" s="292">
        <f>ENROLLMENT_DETAIL!$O$37</f>
        <v>126</v>
      </c>
      <c r="D8" s="55">
        <v>26</v>
      </c>
      <c r="E8" s="293">
        <f t="shared" si="0"/>
        <v>5</v>
      </c>
      <c r="F8" s="126">
        <f t="shared" si="1"/>
        <v>91</v>
      </c>
      <c r="G8" s="126">
        <f t="shared" si="2"/>
        <v>110</v>
      </c>
      <c r="H8" s="126">
        <f t="shared" si="3"/>
        <v>130</v>
      </c>
      <c r="I8" s="218">
        <f t="shared" si="4"/>
        <v>0.96923076923076923</v>
      </c>
      <c r="J8" s="294" t="str">
        <f t="shared" si="5"/>
        <v>OK</v>
      </c>
      <c r="K8" s="295"/>
      <c r="L8" s="110">
        <f t="shared" si="6"/>
        <v>4</v>
      </c>
    </row>
    <row r="9" spans="1:12" ht="18" customHeight="1" x14ac:dyDescent="0.2">
      <c r="A9" s="83" t="s">
        <v>66</v>
      </c>
      <c r="B9" s="296" t="s">
        <v>53</v>
      </c>
      <c r="C9" s="297">
        <f>ENROLLMENT_DETAIL!$O$38</f>
        <v>118</v>
      </c>
      <c r="D9" s="113">
        <v>26</v>
      </c>
      <c r="E9" s="298">
        <f t="shared" si="0"/>
        <v>5</v>
      </c>
      <c r="F9" s="127">
        <f t="shared" si="1"/>
        <v>91</v>
      </c>
      <c r="G9" s="127">
        <f t="shared" si="2"/>
        <v>110</v>
      </c>
      <c r="H9" s="127">
        <f t="shared" si="3"/>
        <v>130</v>
      </c>
      <c r="I9" s="219">
        <f t="shared" si="4"/>
        <v>0.90769230769230769</v>
      </c>
      <c r="J9" s="299" t="str">
        <f t="shared" si="5"/>
        <v>OK</v>
      </c>
      <c r="K9" s="300"/>
      <c r="L9" s="112">
        <f t="shared" si="6"/>
        <v>12</v>
      </c>
    </row>
    <row r="10" spans="1:12" ht="18" customHeight="1" x14ac:dyDescent="0.2">
      <c r="A10" s="80" t="s">
        <v>67</v>
      </c>
      <c r="B10" s="291" t="s">
        <v>53</v>
      </c>
      <c r="C10" s="292">
        <f>ENROLLMENT_DETAIL!$O$39</f>
        <v>132</v>
      </c>
      <c r="D10" s="55">
        <v>26</v>
      </c>
      <c r="E10" s="293">
        <f t="shared" si="0"/>
        <v>6</v>
      </c>
      <c r="F10" s="126">
        <f t="shared" si="1"/>
        <v>109</v>
      </c>
      <c r="G10" s="126">
        <f t="shared" si="2"/>
        <v>132</v>
      </c>
      <c r="H10" s="126">
        <f t="shared" si="3"/>
        <v>156</v>
      </c>
      <c r="I10" s="218">
        <f t="shared" si="4"/>
        <v>0.84615384615384615</v>
      </c>
      <c r="J10" s="294" t="str">
        <f t="shared" si="5"/>
        <v>OK</v>
      </c>
      <c r="K10" s="295"/>
      <c r="L10" s="110">
        <f t="shared" si="6"/>
        <v>24</v>
      </c>
    </row>
    <row r="11" spans="1:12" ht="18" customHeight="1" x14ac:dyDescent="0.2">
      <c r="A11" s="83" t="s">
        <v>68</v>
      </c>
      <c r="B11" s="296" t="s">
        <v>53</v>
      </c>
      <c r="C11" s="297">
        <f>ENROLLMENT_DETAIL!$O$40</f>
        <v>121</v>
      </c>
      <c r="D11" s="113">
        <v>26</v>
      </c>
      <c r="E11" s="298">
        <f t="shared" si="0"/>
        <v>5</v>
      </c>
      <c r="F11" s="127">
        <f t="shared" si="1"/>
        <v>91</v>
      </c>
      <c r="G11" s="127">
        <f t="shared" si="2"/>
        <v>110</v>
      </c>
      <c r="H11" s="127">
        <f t="shared" si="3"/>
        <v>130</v>
      </c>
      <c r="I11" s="219">
        <f t="shared" si="4"/>
        <v>0.93076923076923079</v>
      </c>
      <c r="J11" s="299" t="str">
        <f t="shared" si="5"/>
        <v>OK</v>
      </c>
      <c r="K11" s="300"/>
      <c r="L11" s="112">
        <f t="shared" si="6"/>
        <v>9</v>
      </c>
    </row>
    <row r="12" spans="1:12" ht="18" customHeight="1" x14ac:dyDescent="0.2">
      <c r="A12" s="80" t="s">
        <v>69</v>
      </c>
      <c r="B12" s="291" t="s">
        <v>53</v>
      </c>
      <c r="C12" s="292">
        <f>ENROLLMENT_DETAIL!$O$41</f>
        <v>121</v>
      </c>
      <c r="D12" s="55">
        <v>26</v>
      </c>
      <c r="E12" s="293">
        <f t="shared" si="0"/>
        <v>5</v>
      </c>
      <c r="F12" s="126">
        <f t="shared" si="1"/>
        <v>91</v>
      </c>
      <c r="G12" s="126">
        <f t="shared" si="2"/>
        <v>110</v>
      </c>
      <c r="H12" s="126">
        <f t="shared" si="3"/>
        <v>130</v>
      </c>
      <c r="I12" s="218">
        <f t="shared" si="4"/>
        <v>0.93076923076923079</v>
      </c>
      <c r="J12" s="294" t="str">
        <f t="shared" si="5"/>
        <v>OK</v>
      </c>
      <c r="K12" s="295"/>
      <c r="L12" s="110">
        <f t="shared" si="6"/>
        <v>9</v>
      </c>
    </row>
    <row r="13" spans="1:12" ht="18" customHeight="1" x14ac:dyDescent="0.2">
      <c r="A13" s="83" t="s">
        <v>70</v>
      </c>
      <c r="B13" s="296" t="s">
        <v>54</v>
      </c>
      <c r="C13" s="297">
        <f>ENROLLMENT_DETAIL!$O$42</f>
        <v>151</v>
      </c>
      <c r="D13" s="113">
        <v>26</v>
      </c>
      <c r="E13" s="298">
        <f t="shared" si="0"/>
        <v>6</v>
      </c>
      <c r="F13" s="127">
        <f t="shared" si="1"/>
        <v>109</v>
      </c>
      <c r="G13" s="127">
        <f t="shared" si="2"/>
        <v>132</v>
      </c>
      <c r="H13" s="127">
        <f t="shared" si="3"/>
        <v>156</v>
      </c>
      <c r="I13" s="219">
        <f t="shared" si="4"/>
        <v>0.96794871794871795</v>
      </c>
      <c r="J13" s="299" t="str">
        <f t="shared" si="5"/>
        <v>OK</v>
      </c>
      <c r="K13" s="300"/>
      <c r="L13" s="112">
        <f t="shared" si="6"/>
        <v>5</v>
      </c>
    </row>
    <row r="14" spans="1:12" ht="18" customHeight="1" x14ac:dyDescent="0.2">
      <c r="A14" s="80" t="s">
        <v>71</v>
      </c>
      <c r="B14" s="291" t="s">
        <v>54</v>
      </c>
      <c r="C14" s="292">
        <f>ENROLLMENT_DETAIL!$O$43</f>
        <v>139</v>
      </c>
      <c r="D14" s="55">
        <v>26</v>
      </c>
      <c r="E14" s="293">
        <f t="shared" si="0"/>
        <v>6</v>
      </c>
      <c r="F14" s="126">
        <f t="shared" si="1"/>
        <v>109</v>
      </c>
      <c r="G14" s="126">
        <f t="shared" si="2"/>
        <v>132</v>
      </c>
      <c r="H14" s="126">
        <f t="shared" si="3"/>
        <v>156</v>
      </c>
      <c r="I14" s="218">
        <f t="shared" si="4"/>
        <v>0.89102564102564108</v>
      </c>
      <c r="J14" s="294" t="str">
        <f t="shared" si="5"/>
        <v>OK</v>
      </c>
      <c r="K14" s="295"/>
      <c r="L14" s="110">
        <f t="shared" si="6"/>
        <v>17</v>
      </c>
    </row>
    <row r="15" spans="1:12" ht="18" customHeight="1" x14ac:dyDescent="0.2">
      <c r="A15" s="83" t="s">
        <v>72</v>
      </c>
      <c r="B15" s="296" t="s">
        <v>54</v>
      </c>
      <c r="C15" s="297">
        <f>ENROLLMENT_DETAIL!$O$44</f>
        <v>120</v>
      </c>
      <c r="D15" s="113">
        <v>26</v>
      </c>
      <c r="E15" s="298">
        <f t="shared" si="0"/>
        <v>5</v>
      </c>
      <c r="F15" s="127">
        <f t="shared" si="1"/>
        <v>91</v>
      </c>
      <c r="G15" s="127">
        <f t="shared" si="2"/>
        <v>110</v>
      </c>
      <c r="H15" s="127">
        <f t="shared" si="3"/>
        <v>130</v>
      </c>
      <c r="I15" s="219">
        <f t="shared" si="4"/>
        <v>0.92307692307692313</v>
      </c>
      <c r="J15" s="299" t="str">
        <f t="shared" si="5"/>
        <v>OK</v>
      </c>
      <c r="K15" s="300"/>
      <c r="L15" s="112">
        <f t="shared" si="6"/>
        <v>10</v>
      </c>
    </row>
    <row r="16" spans="1:12" ht="18" customHeight="1" x14ac:dyDescent="0.2">
      <c r="A16" s="80" t="s">
        <v>73</v>
      </c>
      <c r="B16" s="291" t="s">
        <v>54</v>
      </c>
      <c r="C16" s="292">
        <f>ENROLLMENT_DETAIL!$O$45</f>
        <v>103</v>
      </c>
      <c r="D16" s="55">
        <v>26</v>
      </c>
      <c r="E16" s="293">
        <f t="shared" si="0"/>
        <v>4</v>
      </c>
      <c r="F16" s="126">
        <f t="shared" si="1"/>
        <v>72</v>
      </c>
      <c r="G16" s="126">
        <f t="shared" si="2"/>
        <v>88</v>
      </c>
      <c r="H16" s="126">
        <f t="shared" si="3"/>
        <v>104</v>
      </c>
      <c r="I16" s="218">
        <f t="shared" si="4"/>
        <v>0.99038461538461542</v>
      </c>
      <c r="J16" s="294" t="str">
        <f t="shared" si="5"/>
        <v>OK</v>
      </c>
      <c r="K16" s="295"/>
      <c r="L16" s="110">
        <f t="shared" si="6"/>
        <v>1</v>
      </c>
    </row>
    <row r="17" spans="1:12" ht="18" customHeight="1" x14ac:dyDescent="0.2">
      <c r="A17" s="83" t="s">
        <v>74</v>
      </c>
      <c r="B17" s="296" t="s">
        <v>55</v>
      </c>
      <c r="C17" s="297">
        <f>ENROLLMENT_DETAIL!$O$46</f>
        <v>125</v>
      </c>
      <c r="D17" s="113">
        <v>28</v>
      </c>
      <c r="E17" s="298">
        <f t="shared" si="0"/>
        <v>5</v>
      </c>
      <c r="F17" s="127">
        <f t="shared" si="1"/>
        <v>98</v>
      </c>
      <c r="G17" s="127">
        <f t="shared" si="2"/>
        <v>119</v>
      </c>
      <c r="H17" s="127">
        <f t="shared" si="3"/>
        <v>140</v>
      </c>
      <c r="I17" s="219">
        <f t="shared" si="4"/>
        <v>0.8928571428571429</v>
      </c>
      <c r="J17" s="299" t="str">
        <f t="shared" si="5"/>
        <v>OK</v>
      </c>
      <c r="K17" s="300"/>
      <c r="L17" s="112">
        <f t="shared" si="6"/>
        <v>15</v>
      </c>
    </row>
    <row r="18" spans="1:12" ht="18" customHeight="1" x14ac:dyDescent="0.2">
      <c r="A18" s="80" t="s">
        <v>75</v>
      </c>
      <c r="B18" s="291" t="s">
        <v>55</v>
      </c>
      <c r="C18" s="292">
        <f>ENROLLMENT_DETAIL!$O$47</f>
        <v>120</v>
      </c>
      <c r="D18" s="55">
        <v>28</v>
      </c>
      <c r="E18" s="293">
        <f t="shared" si="0"/>
        <v>5</v>
      </c>
      <c r="F18" s="126">
        <f t="shared" si="1"/>
        <v>98</v>
      </c>
      <c r="G18" s="126">
        <f t="shared" si="2"/>
        <v>119</v>
      </c>
      <c r="H18" s="126">
        <f t="shared" si="3"/>
        <v>140</v>
      </c>
      <c r="I18" s="218">
        <f t="shared" si="4"/>
        <v>0.8571428571428571</v>
      </c>
      <c r="J18" s="294" t="str">
        <f t="shared" si="5"/>
        <v>OK</v>
      </c>
      <c r="K18" s="295"/>
      <c r="L18" s="110">
        <f t="shared" si="6"/>
        <v>20</v>
      </c>
    </row>
    <row r="19" spans="1:12" ht="18" customHeight="1" x14ac:dyDescent="0.2">
      <c r="A19" s="44" t="s">
        <v>76</v>
      </c>
      <c r="B19" s="301" t="s">
        <v>55</v>
      </c>
      <c r="C19" s="302">
        <f>ENROLLMENT_DETAIL!$O$48</f>
        <v>111</v>
      </c>
      <c r="D19" s="56">
        <v>28</v>
      </c>
      <c r="E19" s="303">
        <f t="shared" si="0"/>
        <v>4</v>
      </c>
      <c r="F19" s="62">
        <f t="shared" si="1"/>
        <v>78</v>
      </c>
      <c r="G19" s="62">
        <f t="shared" si="2"/>
        <v>95</v>
      </c>
      <c r="H19" s="62">
        <f t="shared" si="3"/>
        <v>112</v>
      </c>
      <c r="I19" s="228">
        <f>IF(E19=0,0,C19/(E19*D19))</f>
        <v>0.9910714285714286</v>
      </c>
      <c r="J19" s="304" t="str">
        <f t="shared" si="5"/>
        <v>OK</v>
      </c>
      <c r="K19" s="305"/>
      <c r="L19" s="116">
        <f t="shared" si="6"/>
        <v>1</v>
      </c>
    </row>
    <row r="20" spans="1:12" ht="6" customHeight="1" x14ac:dyDescent="0.2">
      <c r="A20" s="29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</row>
    <row r="21" spans="1:12" ht="22" customHeight="1" thickBot="1" x14ac:dyDescent="0.25">
      <c r="A21" s="30" t="s">
        <v>198</v>
      </c>
      <c r="B21" s="306"/>
      <c r="C21" s="307"/>
      <c r="D21" s="307"/>
      <c r="E21" s="307"/>
      <c r="F21" s="307"/>
      <c r="G21" s="308"/>
      <c r="H21" s="308"/>
      <c r="I21" s="308"/>
      <c r="J21" s="308"/>
      <c r="K21" s="308"/>
      <c r="L21" s="308"/>
    </row>
    <row r="22" spans="1:12" ht="24" customHeight="1" x14ac:dyDescent="0.2">
      <c r="A22" s="281" t="s">
        <v>48</v>
      </c>
      <c r="B22" s="285" t="s">
        <v>199</v>
      </c>
      <c r="C22" s="285" t="s">
        <v>200</v>
      </c>
      <c r="D22" s="286" t="s">
        <v>201</v>
      </c>
      <c r="E22" s="281" t="s">
        <v>202</v>
      </c>
      <c r="F22" s="282"/>
      <c r="G22" s="282"/>
      <c r="H22" s="282"/>
      <c r="I22" s="282"/>
      <c r="J22" s="282"/>
      <c r="K22" s="282"/>
      <c r="L22" s="282"/>
    </row>
    <row r="23" spans="1:12" ht="18" customHeight="1" x14ac:dyDescent="0.2">
      <c r="A23" s="78" t="s">
        <v>51</v>
      </c>
      <c r="B23" s="125">
        <f>C5</f>
        <v>65</v>
      </c>
      <c r="C23" s="125">
        <f>E5</f>
        <v>3</v>
      </c>
      <c r="D23" s="217">
        <f>IF((H5)=0,0,B23/(H5))</f>
        <v>0.90277777777777779</v>
      </c>
      <c r="E23" s="290" t="str">
        <f>IF(D23&gt;=1,"OVER",IF(D23&lt;0.7,"UNDER","OK"))</f>
        <v>OK</v>
      </c>
      <c r="F23" s="205"/>
      <c r="G23" s="205"/>
      <c r="H23" s="205"/>
      <c r="I23" s="205"/>
      <c r="J23" s="205"/>
      <c r="K23" s="205"/>
      <c r="L23" s="205"/>
    </row>
    <row r="24" spans="1:12" ht="18" customHeight="1" x14ac:dyDescent="0.2">
      <c r="A24" s="80" t="s">
        <v>52</v>
      </c>
      <c r="B24" s="126">
        <f>C6+C7</f>
        <v>201</v>
      </c>
      <c r="C24" s="126">
        <f>E6+E7</f>
        <v>10</v>
      </c>
      <c r="D24" s="218">
        <f>IF((H6+H7)=0,0,B24/(H6+H7))</f>
        <v>0.83750000000000002</v>
      </c>
      <c r="E24" s="294" t="str">
        <f>IF(D24&gt;=1,"OVER",IF(D24&lt;0.7,"UNDER","OK"))</f>
        <v>OK</v>
      </c>
      <c r="F24" s="295"/>
      <c r="G24" s="295"/>
      <c r="H24" s="295"/>
      <c r="I24" s="295"/>
      <c r="J24" s="295"/>
      <c r="K24" s="295"/>
      <c r="L24" s="295"/>
    </row>
    <row r="25" spans="1:12" ht="18" customHeight="1" x14ac:dyDescent="0.2">
      <c r="A25" s="83" t="s">
        <v>53</v>
      </c>
      <c r="B25" s="127">
        <f>C8+C9+C10+C11+C12</f>
        <v>618</v>
      </c>
      <c r="C25" s="127">
        <f>E8+E9+E10+E11+E12</f>
        <v>26</v>
      </c>
      <c r="D25" s="219">
        <f>IF((H8+H9+H10+H11+H12)=0,0,B25/(H8+H9+H10+H11+H12))</f>
        <v>0.91420118343195267</v>
      </c>
      <c r="E25" s="299" t="str">
        <f>IF(D25&gt;=1,"OVER",IF(D25&lt;0.7,"UNDER","OK"))</f>
        <v>OK</v>
      </c>
      <c r="F25" s="300"/>
      <c r="G25" s="300"/>
      <c r="H25" s="300"/>
      <c r="I25" s="300"/>
      <c r="J25" s="300"/>
      <c r="K25" s="300"/>
      <c r="L25" s="300"/>
    </row>
    <row r="26" spans="1:12" ht="18" customHeight="1" x14ac:dyDescent="0.2">
      <c r="A26" s="80" t="s">
        <v>54</v>
      </c>
      <c r="B26" s="126">
        <f>C13+C14+C15+C16</f>
        <v>513</v>
      </c>
      <c r="C26" s="126">
        <f>E13+E14+E15+E16</f>
        <v>21</v>
      </c>
      <c r="D26" s="218">
        <f>IF((H13+H14+H15+H16)=0,0,B26/(H13+H14+H15+H16))</f>
        <v>0.93956043956043955</v>
      </c>
      <c r="E26" s="294" t="str">
        <f>IF(D26&gt;=1,"OVER",IF(D26&lt;0.7,"UNDER","OK"))</f>
        <v>OK</v>
      </c>
      <c r="F26" s="295"/>
      <c r="G26" s="295"/>
      <c r="H26" s="295"/>
      <c r="I26" s="295"/>
      <c r="J26" s="295"/>
      <c r="K26" s="295"/>
      <c r="L26" s="295"/>
    </row>
    <row r="27" spans="1:12" ht="18" customHeight="1" x14ac:dyDescent="0.2">
      <c r="A27" s="83" t="s">
        <v>55</v>
      </c>
      <c r="B27" s="220">
        <f>C17+C18+C19</f>
        <v>356</v>
      </c>
      <c r="C27" s="220">
        <f>E17+E18+E19</f>
        <v>14</v>
      </c>
      <c r="D27" s="219">
        <f>IF((H17+H18+H19)=0,0,B27/(H17+H18+H19))</f>
        <v>0.90816326530612246</v>
      </c>
      <c r="E27" s="299" t="str">
        <f>IF(D27&gt;=1,"OVER",IF(D27&lt;0.7,"UNDER","OK"))</f>
        <v>OK</v>
      </c>
      <c r="F27" s="300"/>
      <c r="G27" s="300"/>
      <c r="H27" s="300"/>
      <c r="I27" s="300"/>
      <c r="J27" s="300"/>
      <c r="K27" s="300"/>
      <c r="L27" s="300"/>
    </row>
    <row r="28" spans="1:12" ht="6" customHeight="1" thickBot="1" x14ac:dyDescent="0.25">
      <c r="A28" s="39"/>
      <c r="B28" s="300"/>
      <c r="C28" s="300"/>
      <c r="D28" s="300"/>
      <c r="E28" s="300"/>
      <c r="F28" s="300"/>
      <c r="G28" s="300"/>
      <c r="H28" s="300"/>
      <c r="I28" s="300"/>
      <c r="J28" s="300"/>
      <c r="K28" s="300"/>
      <c r="L28" s="300"/>
    </row>
    <row r="29" spans="1:12" ht="22" customHeight="1" thickBot="1" x14ac:dyDescent="0.25">
      <c r="A29" s="283" t="s">
        <v>203</v>
      </c>
      <c r="B29" s="309"/>
      <c r="C29" s="310"/>
      <c r="D29" s="310"/>
      <c r="E29" s="311"/>
      <c r="F29" s="311"/>
      <c r="G29" s="311"/>
      <c r="H29" s="311"/>
      <c r="I29" s="311"/>
      <c r="J29" s="311"/>
      <c r="K29" s="311"/>
      <c r="L29" s="311"/>
    </row>
    <row r="30" spans="1:12" ht="20" customHeight="1" thickBot="1" x14ac:dyDescent="0.25">
      <c r="A30" s="274" t="s">
        <v>204</v>
      </c>
      <c r="B30" s="312">
        <f>B23+B24+B25+B26+B27</f>
        <v>1753</v>
      </c>
      <c r="C30" s="313"/>
      <c r="D30" s="313"/>
      <c r="E30" s="313"/>
      <c r="F30" s="313"/>
      <c r="G30" s="313"/>
      <c r="H30" s="313"/>
      <c r="I30" s="313"/>
      <c r="J30" s="313"/>
      <c r="K30" s="313"/>
      <c r="L30" s="313"/>
    </row>
    <row r="31" spans="1:12" ht="20" customHeight="1" x14ac:dyDescent="0.2">
      <c r="A31" s="284" t="s">
        <v>200</v>
      </c>
      <c r="B31" s="314">
        <f>C23+C24+C25+C26+C27</f>
        <v>74</v>
      </c>
      <c r="C31" s="315"/>
      <c r="D31" s="316"/>
      <c r="E31" s="316"/>
      <c r="F31" s="316"/>
      <c r="G31" s="316"/>
      <c r="H31" s="316"/>
      <c r="I31" s="316"/>
      <c r="J31" s="316"/>
      <c r="K31" s="316"/>
      <c r="L31" s="316"/>
    </row>
    <row r="32" spans="1:12" ht="20" customHeight="1" x14ac:dyDescent="0.2">
      <c r="A32" s="275" t="s">
        <v>205</v>
      </c>
      <c r="B32" s="317">
        <f>IF((H5+H6+H7+H8+H9+H10+H11+H12+H13+H14+H15+H16+H17+H18+H19)=0,0,CLASS_CAPACITY!$B$30/(H5+H6+H7+H8+H9+H10+H11+H12+H13+H14+H15+H16+H17+H18+H19))</f>
        <v>0.91017653167185875</v>
      </c>
      <c r="C32" s="318"/>
      <c r="D32" s="264"/>
      <c r="E32" s="264"/>
      <c r="F32" s="264"/>
      <c r="G32" s="264"/>
      <c r="H32" s="264"/>
      <c r="I32" s="264"/>
      <c r="J32" s="264"/>
      <c r="K32" s="264"/>
      <c r="L32" s="264"/>
    </row>
  </sheetData>
  <mergeCells count="1">
    <mergeCell ref="A1:L1"/>
  </mergeCells>
  <conditionalFormatting sqref="E23:E27">
    <cfRule type="cellIs" dxfId="7" priority="4" operator="equal">
      <formula>"OVER"</formula>
    </cfRule>
    <cfRule type="cellIs" dxfId="6" priority="5" operator="equal">
      <formula>"UNDER"</formula>
    </cfRule>
    <cfRule type="cellIs" dxfId="5" priority="6" operator="equal">
      <formula>"OK"</formula>
    </cfRule>
  </conditionalFormatting>
  <conditionalFormatting sqref="I5:I19">
    <cfRule type="colorScale" priority="7">
      <colorScale>
        <cfvo type="min"/>
        <cfvo type="percentile" val="50"/>
        <cfvo type="max"/>
        <color rgb="FFFFFFFF"/>
        <color rgb="FFFFF2CC"/>
        <color rgb="FFE74C3C"/>
      </colorScale>
    </cfRule>
  </conditionalFormatting>
  <conditionalFormatting sqref="J5:J19">
    <cfRule type="cellIs" dxfId="4" priority="1" operator="equal">
      <formula>"OVER"</formula>
    </cfRule>
    <cfRule type="cellIs" dxfId="3" priority="2" operator="equal">
      <formula>"UNDER"</formula>
    </cfRule>
    <cfRule type="cellIs" dxfId="2" priority="3" operator="equal">
      <formula>"OK"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Q48"/>
  <sheetViews>
    <sheetView showGridLines="0" workbookViewId="0">
      <selection activeCell="M39" sqref="M39"/>
    </sheetView>
  </sheetViews>
  <sheetFormatPr baseColWidth="10" defaultColWidth="8.83203125" defaultRowHeight="15" outlineLevelRow="1" x14ac:dyDescent="0.2"/>
  <cols>
    <col min="1" max="1" width="35" customWidth="1"/>
    <col min="2" max="2" width="16.6640625" customWidth="1"/>
    <col min="3" max="15" width="14.1640625" customWidth="1"/>
    <col min="16" max="16" width="16.6640625" customWidth="1"/>
    <col min="17" max="17" width="10" customWidth="1"/>
  </cols>
  <sheetData>
    <row r="1" spans="1:17" s="1" customFormat="1" ht="30" customHeight="1" thickBot="1" x14ac:dyDescent="0.3">
      <c r="A1" s="27" t="s">
        <v>353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0" customHeight="1" thickTop="1" x14ac:dyDescent="0.2">
      <c r="A2" s="265" t="s">
        <v>354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</row>
    <row r="3" spans="1:17" ht="6" customHeight="1" thickBo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28" customHeight="1" x14ac:dyDescent="0.2">
      <c r="A4" s="321" t="s">
        <v>235</v>
      </c>
      <c r="B4" s="319" t="s">
        <v>355</v>
      </c>
      <c r="C4" s="319" t="s">
        <v>226</v>
      </c>
      <c r="D4" s="319" t="s">
        <v>236</v>
      </c>
      <c r="E4" s="319" t="s">
        <v>237</v>
      </c>
      <c r="F4" s="319" t="s">
        <v>56</v>
      </c>
      <c r="G4" s="319" t="s">
        <v>238</v>
      </c>
      <c r="H4" s="319" t="s">
        <v>57</v>
      </c>
      <c r="I4" s="319" t="s">
        <v>239</v>
      </c>
      <c r="J4" s="319" t="s">
        <v>240</v>
      </c>
      <c r="K4" s="319" t="s">
        <v>241</v>
      </c>
      <c r="L4" s="319" t="s">
        <v>242</v>
      </c>
      <c r="M4" s="319" t="s">
        <v>243</v>
      </c>
      <c r="N4" s="319" t="s">
        <v>244</v>
      </c>
      <c r="O4" s="320" t="s">
        <v>245</v>
      </c>
      <c r="P4" s="369" t="s">
        <v>246</v>
      </c>
      <c r="Q4" s="320" t="s">
        <v>356</v>
      </c>
    </row>
    <row r="5" spans="1:17" ht="22" customHeight="1" x14ac:dyDescent="0.2">
      <c r="A5" s="322" t="s">
        <v>206</v>
      </c>
      <c r="B5" s="338"/>
      <c r="C5" s="45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70"/>
      <c r="Q5" s="45"/>
    </row>
    <row r="6" spans="1:17" ht="18" customHeight="1" x14ac:dyDescent="0.2">
      <c r="A6" s="323" t="s">
        <v>346</v>
      </c>
      <c r="B6" s="57">
        <f>NEW_STUDENTS_FR*FEE_GRID!$C$88</f>
        <v>76000.000000000015</v>
      </c>
      <c r="C6" s="205" t="s">
        <v>228</v>
      </c>
      <c r="D6" s="57">
        <f t="shared" ref="D6:O11" si="0">IF($C6="Academic /10",IF(OR(D$4="Jul",D$4="Aug"),0,$B6/10),IF($C6="Year-round /12",$B6/12,IF($C6="May-Jun",IF(OR(D$4="May",D$4="Jun"),$B6/2,0),IF($C6="Jul-Aug",IF(OR(D$4="Jul",D$4="Aug"),$B6/2,0),IF($C6="Jun only",IF(D$4="Jun",$B6,0),IF($C6="Custom months",0,0))))))</f>
        <v>0</v>
      </c>
      <c r="E6" s="57">
        <f t="shared" si="0"/>
        <v>0</v>
      </c>
      <c r="F6" s="57">
        <f t="shared" si="0"/>
        <v>0</v>
      </c>
      <c r="G6" s="57">
        <f t="shared" si="0"/>
        <v>0</v>
      </c>
      <c r="H6" s="57">
        <f t="shared" si="0"/>
        <v>38000.000000000007</v>
      </c>
      <c r="I6" s="57">
        <f t="shared" si="0"/>
        <v>38000.000000000007</v>
      </c>
      <c r="J6" s="57">
        <f t="shared" si="0"/>
        <v>0</v>
      </c>
      <c r="K6" s="57">
        <f t="shared" si="0"/>
        <v>0</v>
      </c>
      <c r="L6" s="57">
        <f t="shared" si="0"/>
        <v>0</v>
      </c>
      <c r="M6" s="57">
        <f t="shared" si="0"/>
        <v>0</v>
      </c>
      <c r="N6" s="57">
        <f t="shared" si="0"/>
        <v>0</v>
      </c>
      <c r="O6" s="57">
        <f t="shared" si="0"/>
        <v>0</v>
      </c>
      <c r="P6" s="371">
        <f t="shared" ref="P6:P12" si="1">SUM(D6:O6)</f>
        <v>76000.000000000015</v>
      </c>
      <c r="Q6" s="201">
        <f t="shared" ref="Q6:Q12" si="2">P6-B6</f>
        <v>0</v>
      </c>
    </row>
    <row r="7" spans="1:17" ht="18" customHeight="1" x14ac:dyDescent="0.2">
      <c r="A7" s="324" t="s">
        <v>347</v>
      </c>
      <c r="B7" s="110">
        <f>NEW_STUDENTS_NAT*FEE_GRID!$C$95</f>
        <v>5000</v>
      </c>
      <c r="C7" s="295" t="s">
        <v>228</v>
      </c>
      <c r="D7" s="110">
        <f t="shared" si="0"/>
        <v>0</v>
      </c>
      <c r="E7" s="110">
        <f t="shared" si="0"/>
        <v>0</v>
      </c>
      <c r="F7" s="110">
        <f t="shared" si="0"/>
        <v>0</v>
      </c>
      <c r="G7" s="110">
        <f t="shared" si="0"/>
        <v>0</v>
      </c>
      <c r="H7" s="110">
        <f t="shared" si="0"/>
        <v>2500</v>
      </c>
      <c r="I7" s="110">
        <f t="shared" si="0"/>
        <v>2500</v>
      </c>
      <c r="J7" s="110">
        <f t="shared" si="0"/>
        <v>0</v>
      </c>
      <c r="K7" s="110">
        <f t="shared" si="0"/>
        <v>0</v>
      </c>
      <c r="L7" s="110">
        <f t="shared" si="0"/>
        <v>0</v>
      </c>
      <c r="M7" s="110">
        <f t="shared" si="0"/>
        <v>0</v>
      </c>
      <c r="N7" s="110">
        <f t="shared" si="0"/>
        <v>0</v>
      </c>
      <c r="O7" s="110">
        <f t="shared" si="0"/>
        <v>0</v>
      </c>
      <c r="P7" s="372">
        <f t="shared" si="1"/>
        <v>5000</v>
      </c>
      <c r="Q7" s="279">
        <f t="shared" si="2"/>
        <v>0</v>
      </c>
    </row>
    <row r="8" spans="1:17" ht="18" customHeight="1" x14ac:dyDescent="0.2">
      <c r="A8" s="325" t="s">
        <v>348</v>
      </c>
      <c r="B8" s="112">
        <f>NEW_STUDENTS_AUT*FEE_GRID!$C$102</f>
        <v>142000.00000000003</v>
      </c>
      <c r="C8" s="300" t="s">
        <v>228</v>
      </c>
      <c r="D8" s="112">
        <f t="shared" si="0"/>
        <v>0</v>
      </c>
      <c r="E8" s="112">
        <f t="shared" si="0"/>
        <v>0</v>
      </c>
      <c r="F8" s="112">
        <f t="shared" si="0"/>
        <v>0</v>
      </c>
      <c r="G8" s="112">
        <f t="shared" si="0"/>
        <v>0</v>
      </c>
      <c r="H8" s="112">
        <f t="shared" si="0"/>
        <v>71000.000000000015</v>
      </c>
      <c r="I8" s="112">
        <f t="shared" si="0"/>
        <v>71000.000000000015</v>
      </c>
      <c r="J8" s="112">
        <f t="shared" si="0"/>
        <v>0</v>
      </c>
      <c r="K8" s="112">
        <f t="shared" si="0"/>
        <v>0</v>
      </c>
      <c r="L8" s="112">
        <f t="shared" si="0"/>
        <v>0</v>
      </c>
      <c r="M8" s="112">
        <f t="shared" si="0"/>
        <v>0</v>
      </c>
      <c r="N8" s="112">
        <f t="shared" si="0"/>
        <v>0</v>
      </c>
      <c r="O8" s="112">
        <f t="shared" si="0"/>
        <v>0</v>
      </c>
      <c r="P8" s="373">
        <f t="shared" si="1"/>
        <v>142000.00000000003</v>
      </c>
      <c r="Q8" s="280">
        <f t="shared" si="2"/>
        <v>0</v>
      </c>
    </row>
    <row r="9" spans="1:17" ht="18" customHeight="1" x14ac:dyDescent="0.2">
      <c r="A9" s="324" t="s">
        <v>349</v>
      </c>
      <c r="B9" s="110">
        <f>NEW_STUDENTS_FR*FEE_GRID!$C$89</f>
        <v>152000.00000000003</v>
      </c>
      <c r="C9" s="295" t="s">
        <v>228</v>
      </c>
      <c r="D9" s="110">
        <f t="shared" si="0"/>
        <v>0</v>
      </c>
      <c r="E9" s="110">
        <f t="shared" si="0"/>
        <v>0</v>
      </c>
      <c r="F9" s="110">
        <f t="shared" si="0"/>
        <v>0</v>
      </c>
      <c r="G9" s="110">
        <f t="shared" si="0"/>
        <v>0</v>
      </c>
      <c r="H9" s="110">
        <f t="shared" si="0"/>
        <v>76000.000000000015</v>
      </c>
      <c r="I9" s="110">
        <f t="shared" si="0"/>
        <v>76000.000000000015</v>
      </c>
      <c r="J9" s="110">
        <f t="shared" si="0"/>
        <v>0</v>
      </c>
      <c r="K9" s="110">
        <f t="shared" si="0"/>
        <v>0</v>
      </c>
      <c r="L9" s="110">
        <f t="shared" si="0"/>
        <v>0</v>
      </c>
      <c r="M9" s="110">
        <f t="shared" si="0"/>
        <v>0</v>
      </c>
      <c r="N9" s="110">
        <f t="shared" si="0"/>
        <v>0</v>
      </c>
      <c r="O9" s="110">
        <f t="shared" si="0"/>
        <v>0</v>
      </c>
      <c r="P9" s="372">
        <f t="shared" si="1"/>
        <v>152000.00000000003</v>
      </c>
      <c r="Q9" s="279">
        <f t="shared" si="2"/>
        <v>0</v>
      </c>
    </row>
    <row r="10" spans="1:17" ht="18" customHeight="1" x14ac:dyDescent="0.2">
      <c r="A10" s="325" t="s">
        <v>350</v>
      </c>
      <c r="B10" s="112">
        <f>NEW_STUDENTS_NAT*FEE_GRID!$C$96</f>
        <v>10000</v>
      </c>
      <c r="C10" s="300" t="s">
        <v>228</v>
      </c>
      <c r="D10" s="112">
        <f t="shared" si="0"/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5000</v>
      </c>
      <c r="I10" s="112">
        <f t="shared" si="0"/>
        <v>5000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373">
        <f t="shared" si="1"/>
        <v>10000</v>
      </c>
      <c r="Q10" s="280">
        <f t="shared" si="2"/>
        <v>0</v>
      </c>
    </row>
    <row r="11" spans="1:17" ht="18" customHeight="1" x14ac:dyDescent="0.2">
      <c r="A11" s="324" t="s">
        <v>351</v>
      </c>
      <c r="B11" s="110">
        <f>NEW_STUDENTS_AUT*FEE_GRID!$C$103</f>
        <v>284000.00000000006</v>
      </c>
      <c r="C11" s="295" t="s">
        <v>228</v>
      </c>
      <c r="D11" s="110">
        <f t="shared" si="0"/>
        <v>0</v>
      </c>
      <c r="E11" s="110">
        <f t="shared" si="0"/>
        <v>0</v>
      </c>
      <c r="F11" s="110">
        <f t="shared" si="0"/>
        <v>0</v>
      </c>
      <c r="G11" s="110">
        <f t="shared" si="0"/>
        <v>0</v>
      </c>
      <c r="H11" s="110">
        <f t="shared" si="0"/>
        <v>142000.00000000003</v>
      </c>
      <c r="I11" s="110">
        <f t="shared" si="0"/>
        <v>142000.00000000003</v>
      </c>
      <c r="J11" s="110">
        <f t="shared" si="0"/>
        <v>0</v>
      </c>
      <c r="K11" s="110">
        <f t="shared" si="0"/>
        <v>0</v>
      </c>
      <c r="L11" s="110">
        <f t="shared" si="0"/>
        <v>0</v>
      </c>
      <c r="M11" s="110">
        <f t="shared" si="0"/>
        <v>0</v>
      </c>
      <c r="N11" s="110">
        <f t="shared" si="0"/>
        <v>0</v>
      </c>
      <c r="O11" s="110">
        <f t="shared" si="0"/>
        <v>0</v>
      </c>
      <c r="P11" s="372">
        <f t="shared" si="1"/>
        <v>284000.00000000006</v>
      </c>
      <c r="Q11" s="279">
        <f t="shared" si="2"/>
        <v>0</v>
      </c>
    </row>
    <row r="12" spans="1:17" ht="18" customHeight="1" x14ac:dyDescent="0.2">
      <c r="A12" s="325" t="s">
        <v>315</v>
      </c>
      <c r="B12" s="112">
        <f>NEW_STUDENTS_PRIMAIRE*FEE_GRID!$C$90</f>
        <v>15800.000000000002</v>
      </c>
      <c r="C12" s="300" t="s">
        <v>357</v>
      </c>
      <c r="D12" s="112">
        <f t="shared" ref="D12:O12" si="3">IF($C12="Academic /10",IF(OR(D$4="Jul",D$4="Aug"),0,$B12/10),IF($C12="Year-round /12",$B12/12,IF($C12="May-Jun",IF(OR(D$4="May",D$4="Jun"),$B12/2,0),IF($C12="Jul-Aug",IF(OR(D$4="Jul",D$4="Aug"),$B12/2,0),IF($C12="Jun only",IF(D$4="Jun",$B12,0),IF($C12="Custom months",IF(SUM($D13:$O13)=0,0,$B12*D13/SUM($D13:$O13)),0))))))</f>
        <v>0</v>
      </c>
      <c r="E12" s="112">
        <f t="shared" si="3"/>
        <v>0</v>
      </c>
      <c r="F12" s="112">
        <f t="shared" si="3"/>
        <v>0</v>
      </c>
      <c r="G12" s="112">
        <f t="shared" si="3"/>
        <v>0</v>
      </c>
      <c r="H12" s="112">
        <f t="shared" si="3"/>
        <v>0</v>
      </c>
      <c r="I12" s="112">
        <f t="shared" si="3"/>
        <v>0</v>
      </c>
      <c r="J12" s="112">
        <f t="shared" si="3"/>
        <v>0</v>
      </c>
      <c r="K12" s="112">
        <f t="shared" si="3"/>
        <v>0</v>
      </c>
      <c r="L12" s="112">
        <f t="shared" si="3"/>
        <v>0</v>
      </c>
      <c r="M12" s="112">
        <f t="shared" si="3"/>
        <v>7900.0000000000009</v>
      </c>
      <c r="N12" s="112">
        <f t="shared" si="3"/>
        <v>7900.0000000000009</v>
      </c>
      <c r="O12" s="112">
        <f t="shared" si="3"/>
        <v>0</v>
      </c>
      <c r="P12" s="373">
        <f t="shared" si="1"/>
        <v>15800.000000000002</v>
      </c>
      <c r="Q12" s="280">
        <f t="shared" si="2"/>
        <v>0</v>
      </c>
    </row>
    <row r="13" spans="1:17" ht="16" customHeight="1" outlineLevel="1" x14ac:dyDescent="0.2">
      <c r="A13" s="326" t="s">
        <v>358</v>
      </c>
      <c r="B13" s="339"/>
      <c r="C13" s="340"/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341">
        <v>0</v>
      </c>
      <c r="K13" s="341">
        <v>0</v>
      </c>
      <c r="L13" s="341">
        <v>0</v>
      </c>
      <c r="M13" s="341">
        <v>1</v>
      </c>
      <c r="N13" s="341">
        <v>1</v>
      </c>
      <c r="O13" s="341">
        <v>0</v>
      </c>
      <c r="P13" s="374"/>
      <c r="Q13" s="342"/>
    </row>
    <row r="14" spans="1:17" ht="18" customHeight="1" x14ac:dyDescent="0.2">
      <c r="A14" s="324" t="s">
        <v>317</v>
      </c>
      <c r="B14" s="110">
        <f>NEW_STUDENTS_SECONDAIRE*FEE_GRID!$C$91</f>
        <v>33000</v>
      </c>
      <c r="C14" s="295" t="s">
        <v>357</v>
      </c>
      <c r="D14" s="156">
        <f t="shared" ref="D14:O14" si="4">IF($C14="Academic /10",IF(OR(D$4="Jul",D$4="Aug"),0,$B14/10),IF($C14="Year-round /12",$B14/12,IF($C14="May-Jun",IF(OR(D$4="May",D$4="Jun"),$B14/2,0),IF($C14="Jul-Aug",IF(OR(D$4="Jul",D$4="Aug"),$B14/2,0),IF($C14="Jun only",IF(D$4="Jun",$B14,0),IF($C14="Custom months",IF(SUM($D15:$O15)=0,0,$B14*D15/SUM($D15:$O15)),0))))))</f>
        <v>0</v>
      </c>
      <c r="E14" s="156">
        <f t="shared" si="4"/>
        <v>0</v>
      </c>
      <c r="F14" s="156">
        <f t="shared" si="4"/>
        <v>0</v>
      </c>
      <c r="G14" s="156">
        <f t="shared" si="4"/>
        <v>0</v>
      </c>
      <c r="H14" s="156">
        <f t="shared" si="4"/>
        <v>0</v>
      </c>
      <c r="I14" s="156">
        <f t="shared" si="4"/>
        <v>0</v>
      </c>
      <c r="J14" s="156">
        <f t="shared" si="4"/>
        <v>0</v>
      </c>
      <c r="K14" s="156">
        <f t="shared" si="4"/>
        <v>0</v>
      </c>
      <c r="L14" s="156">
        <f t="shared" si="4"/>
        <v>0</v>
      </c>
      <c r="M14" s="156">
        <f t="shared" si="4"/>
        <v>16500</v>
      </c>
      <c r="N14" s="156">
        <f t="shared" si="4"/>
        <v>16500</v>
      </c>
      <c r="O14" s="156">
        <f t="shared" si="4"/>
        <v>0</v>
      </c>
      <c r="P14" s="372">
        <f>SUM(D14:O14)</f>
        <v>33000</v>
      </c>
      <c r="Q14" s="279">
        <f>P14-B14</f>
        <v>0</v>
      </c>
    </row>
    <row r="15" spans="1:17" ht="16" customHeight="1" outlineLevel="1" x14ac:dyDescent="0.2">
      <c r="A15" s="326" t="s">
        <v>358</v>
      </c>
      <c r="B15" s="339"/>
      <c r="C15" s="340"/>
      <c r="D15" s="343">
        <v>0</v>
      </c>
      <c r="E15" s="343">
        <v>0</v>
      </c>
      <c r="F15" s="343">
        <v>0</v>
      </c>
      <c r="G15" s="343">
        <v>0</v>
      </c>
      <c r="H15" s="343">
        <v>0</v>
      </c>
      <c r="I15" s="343">
        <v>0</v>
      </c>
      <c r="J15" s="343">
        <v>0</v>
      </c>
      <c r="K15" s="343">
        <v>0</v>
      </c>
      <c r="L15" s="343">
        <v>0</v>
      </c>
      <c r="M15" s="343">
        <v>1</v>
      </c>
      <c r="N15" s="343">
        <v>1</v>
      </c>
      <c r="O15" s="343">
        <v>0</v>
      </c>
      <c r="P15" s="374"/>
      <c r="Q15" s="342"/>
    </row>
    <row r="16" spans="1:17" ht="22" customHeight="1" x14ac:dyDescent="0.2">
      <c r="A16" s="327" t="s">
        <v>359</v>
      </c>
      <c r="B16" s="344">
        <f>SUM(B6:B11)+B12+B14</f>
        <v>717800.00000000023</v>
      </c>
      <c r="C16" s="345"/>
      <c r="D16" s="344">
        <f t="shared" ref="D16:P16" si="5">SUM(D6:D11)+D12+D14</f>
        <v>0</v>
      </c>
      <c r="E16" s="344">
        <f t="shared" si="5"/>
        <v>0</v>
      </c>
      <c r="F16" s="344">
        <f t="shared" si="5"/>
        <v>0</v>
      </c>
      <c r="G16" s="344">
        <f t="shared" si="5"/>
        <v>0</v>
      </c>
      <c r="H16" s="344">
        <f t="shared" si="5"/>
        <v>334500.00000000012</v>
      </c>
      <c r="I16" s="344">
        <f t="shared" si="5"/>
        <v>334500.00000000012</v>
      </c>
      <c r="J16" s="344">
        <f t="shared" si="5"/>
        <v>0</v>
      </c>
      <c r="K16" s="344">
        <f t="shared" si="5"/>
        <v>0</v>
      </c>
      <c r="L16" s="344">
        <f t="shared" si="5"/>
        <v>0</v>
      </c>
      <c r="M16" s="344">
        <f t="shared" si="5"/>
        <v>24400</v>
      </c>
      <c r="N16" s="344">
        <f t="shared" si="5"/>
        <v>24400</v>
      </c>
      <c r="O16" s="344">
        <f t="shared" si="5"/>
        <v>0</v>
      </c>
      <c r="P16" s="375">
        <f t="shared" si="5"/>
        <v>717800.00000000023</v>
      </c>
      <c r="Q16" s="346">
        <f>P16-B16</f>
        <v>0</v>
      </c>
    </row>
    <row r="17" spans="1:17" ht="6" customHeight="1" x14ac:dyDescent="0.2">
      <c r="A17" s="328"/>
      <c r="B17" s="115"/>
      <c r="C17" s="347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376"/>
      <c r="Q17" s="348"/>
    </row>
    <row r="18" spans="1:17" ht="18" customHeight="1" x14ac:dyDescent="0.2">
      <c r="A18" s="323" t="s">
        <v>207</v>
      </c>
      <c r="B18" s="57">
        <f>ENROLLMENT_DETAIL!$F$56*DAI_FEE_FR</f>
        <v>2980000</v>
      </c>
      <c r="C18" s="205" t="s">
        <v>228</v>
      </c>
      <c r="D18" s="57">
        <f t="shared" ref="D18:O20" si="6">IF($C18="Academic /10",IF(OR(D$4="Jul",D$4="Aug"),0,$B18/10),IF($C18="Year-round /12",$B18/12,IF($C18="May-Jun",IF(OR(D$4="May",D$4="Jun"),$B18/2,0),IF($C18="Jul-Aug",IF(OR(D$4="Jul",D$4="Aug"),$B18/2,0),IF($C18="Jun only",IF(D$4="Jun",$B18,0),IF($C18="Custom months",0,0))))))</f>
        <v>0</v>
      </c>
      <c r="E18" s="57">
        <f t="shared" si="6"/>
        <v>0</v>
      </c>
      <c r="F18" s="57">
        <f t="shared" si="6"/>
        <v>0</v>
      </c>
      <c r="G18" s="57">
        <f t="shared" si="6"/>
        <v>0</v>
      </c>
      <c r="H18" s="57">
        <f t="shared" si="6"/>
        <v>1490000</v>
      </c>
      <c r="I18" s="57">
        <f t="shared" si="6"/>
        <v>1490000</v>
      </c>
      <c r="J18" s="57">
        <f t="shared" si="6"/>
        <v>0</v>
      </c>
      <c r="K18" s="57">
        <f t="shared" si="6"/>
        <v>0</v>
      </c>
      <c r="L18" s="57">
        <f t="shared" si="6"/>
        <v>0</v>
      </c>
      <c r="M18" s="57">
        <f t="shared" si="6"/>
        <v>0</v>
      </c>
      <c r="N18" s="57">
        <f t="shared" si="6"/>
        <v>0</v>
      </c>
      <c r="O18" s="57">
        <f t="shared" si="6"/>
        <v>0</v>
      </c>
      <c r="P18" s="371">
        <f>SUM(D18:O18)</f>
        <v>2980000</v>
      </c>
      <c r="Q18" s="201">
        <f>P18-B18</f>
        <v>0</v>
      </c>
    </row>
    <row r="19" spans="1:17" ht="18" customHeight="1" x14ac:dyDescent="0.2">
      <c r="A19" s="329" t="s">
        <v>208</v>
      </c>
      <c r="B19" s="156">
        <f>ENROLLMENT_DETAIL!$J$56*DAI_FEE_NAT</f>
        <v>187050</v>
      </c>
      <c r="C19" s="349" t="s">
        <v>228</v>
      </c>
      <c r="D19" s="156">
        <f t="shared" si="6"/>
        <v>0</v>
      </c>
      <c r="E19" s="156">
        <f t="shared" si="6"/>
        <v>0</v>
      </c>
      <c r="F19" s="156">
        <f t="shared" si="6"/>
        <v>0</v>
      </c>
      <c r="G19" s="156">
        <f t="shared" si="6"/>
        <v>0</v>
      </c>
      <c r="H19" s="156">
        <f t="shared" si="6"/>
        <v>93525</v>
      </c>
      <c r="I19" s="156">
        <f t="shared" si="6"/>
        <v>93525</v>
      </c>
      <c r="J19" s="156">
        <f t="shared" si="6"/>
        <v>0</v>
      </c>
      <c r="K19" s="156">
        <f t="shared" si="6"/>
        <v>0</v>
      </c>
      <c r="L19" s="156">
        <f t="shared" si="6"/>
        <v>0</v>
      </c>
      <c r="M19" s="156">
        <f t="shared" si="6"/>
        <v>0</v>
      </c>
      <c r="N19" s="156">
        <f t="shared" si="6"/>
        <v>0</v>
      </c>
      <c r="O19" s="156">
        <f t="shared" si="6"/>
        <v>0</v>
      </c>
      <c r="P19" s="377">
        <f>SUM(D19:O19)</f>
        <v>187050</v>
      </c>
      <c r="Q19" s="350">
        <f>P19-B19</f>
        <v>0</v>
      </c>
    </row>
    <row r="20" spans="1:17" ht="18" customHeight="1" x14ac:dyDescent="0.2">
      <c r="A20" s="325" t="s">
        <v>209</v>
      </c>
      <c r="B20" s="112">
        <f>ENROLLMENT_DETAIL!$N$56*DAI_FEE_AUT</f>
        <v>5570000</v>
      </c>
      <c r="C20" s="300" t="s">
        <v>228</v>
      </c>
      <c r="D20" s="112">
        <f t="shared" si="6"/>
        <v>0</v>
      </c>
      <c r="E20" s="112">
        <f t="shared" si="6"/>
        <v>0</v>
      </c>
      <c r="F20" s="112">
        <f t="shared" si="6"/>
        <v>0</v>
      </c>
      <c r="G20" s="112">
        <f t="shared" si="6"/>
        <v>0</v>
      </c>
      <c r="H20" s="112">
        <f t="shared" si="6"/>
        <v>2785000</v>
      </c>
      <c r="I20" s="112">
        <f t="shared" si="6"/>
        <v>2785000</v>
      </c>
      <c r="J20" s="112">
        <f t="shared" si="6"/>
        <v>0</v>
      </c>
      <c r="K20" s="112">
        <f t="shared" si="6"/>
        <v>0</v>
      </c>
      <c r="L20" s="112">
        <f t="shared" si="6"/>
        <v>0</v>
      </c>
      <c r="M20" s="112">
        <f t="shared" si="6"/>
        <v>0</v>
      </c>
      <c r="N20" s="112">
        <f t="shared" si="6"/>
        <v>0</v>
      </c>
      <c r="O20" s="112">
        <f t="shared" si="6"/>
        <v>0</v>
      </c>
      <c r="P20" s="373">
        <f>SUM(D20:O20)</f>
        <v>5570000</v>
      </c>
      <c r="Q20" s="280">
        <f>P20-B20</f>
        <v>0</v>
      </c>
    </row>
    <row r="21" spans="1:17" ht="22" customHeight="1" x14ac:dyDescent="0.2">
      <c r="A21" s="330" t="s">
        <v>360</v>
      </c>
      <c r="B21" s="351">
        <f>SUM(B18:B20)</f>
        <v>8737050</v>
      </c>
      <c r="C21" s="352"/>
      <c r="D21" s="351">
        <f t="shared" ref="D21:P21" si="7">SUM(D18:D20)</f>
        <v>0</v>
      </c>
      <c r="E21" s="351">
        <f t="shared" si="7"/>
        <v>0</v>
      </c>
      <c r="F21" s="351">
        <f t="shared" si="7"/>
        <v>0</v>
      </c>
      <c r="G21" s="351">
        <f t="shared" si="7"/>
        <v>0</v>
      </c>
      <c r="H21" s="351">
        <f t="shared" si="7"/>
        <v>4368525</v>
      </c>
      <c r="I21" s="351">
        <f t="shared" si="7"/>
        <v>4368525</v>
      </c>
      <c r="J21" s="351">
        <f t="shared" si="7"/>
        <v>0</v>
      </c>
      <c r="K21" s="351">
        <f t="shared" si="7"/>
        <v>0</v>
      </c>
      <c r="L21" s="351">
        <f t="shared" si="7"/>
        <v>0</v>
      </c>
      <c r="M21" s="351">
        <f t="shared" si="7"/>
        <v>0</v>
      </c>
      <c r="N21" s="351">
        <f t="shared" si="7"/>
        <v>0</v>
      </c>
      <c r="O21" s="351">
        <f t="shared" si="7"/>
        <v>0</v>
      </c>
      <c r="P21" s="378">
        <f t="shared" si="7"/>
        <v>8737050</v>
      </c>
      <c r="Q21" s="353">
        <f>P21-B21</f>
        <v>0</v>
      </c>
    </row>
    <row r="22" spans="1:17" ht="6" customHeight="1" x14ac:dyDescent="0.2">
      <c r="A22" s="90"/>
      <c r="B22" s="119"/>
      <c r="C22" s="16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379"/>
      <c r="Q22" s="354"/>
    </row>
    <row r="23" spans="1:17" ht="22" customHeight="1" x14ac:dyDescent="0.2">
      <c r="A23" s="330" t="s">
        <v>211</v>
      </c>
      <c r="B23" s="351">
        <f>B16+B21</f>
        <v>9454850</v>
      </c>
      <c r="C23" s="352"/>
      <c r="D23" s="351">
        <f t="shared" ref="D23:O23" si="8">D16+D21</f>
        <v>0</v>
      </c>
      <c r="E23" s="351">
        <f t="shared" si="8"/>
        <v>0</v>
      </c>
      <c r="F23" s="351">
        <f t="shared" si="8"/>
        <v>0</v>
      </c>
      <c r="G23" s="351">
        <f t="shared" si="8"/>
        <v>0</v>
      </c>
      <c r="H23" s="351">
        <f t="shared" si="8"/>
        <v>4703025</v>
      </c>
      <c r="I23" s="351">
        <f t="shared" si="8"/>
        <v>4703025</v>
      </c>
      <c r="J23" s="351">
        <f t="shared" si="8"/>
        <v>0</v>
      </c>
      <c r="K23" s="351">
        <f t="shared" si="8"/>
        <v>0</v>
      </c>
      <c r="L23" s="351">
        <f t="shared" si="8"/>
        <v>0</v>
      </c>
      <c r="M23" s="351">
        <f t="shared" si="8"/>
        <v>24400</v>
      </c>
      <c r="N23" s="351">
        <f t="shared" si="8"/>
        <v>24400</v>
      </c>
      <c r="O23" s="351">
        <f t="shared" si="8"/>
        <v>0</v>
      </c>
      <c r="P23" s="378">
        <f>SUM(D23:O23)</f>
        <v>9454850</v>
      </c>
      <c r="Q23" s="353">
        <f>P23-B23</f>
        <v>0</v>
      </c>
    </row>
    <row r="24" spans="1:17" ht="6" customHeight="1" x14ac:dyDescent="0.2">
      <c r="A24" s="331"/>
      <c r="B24" s="168"/>
      <c r="C24" s="355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379"/>
      <c r="Q24" s="356"/>
    </row>
    <row r="25" spans="1:17" ht="22" customHeight="1" x14ac:dyDescent="0.2">
      <c r="A25" s="332" t="s">
        <v>212</v>
      </c>
      <c r="B25" s="357"/>
      <c r="C25" s="358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80"/>
      <c r="Q25" s="359"/>
    </row>
    <row r="26" spans="1:17" ht="18" customHeight="1" x14ac:dyDescent="0.2">
      <c r="A26" s="92" t="s">
        <v>260</v>
      </c>
      <c r="B26" s="121">
        <f>APS_MONTHLY*ACADEMIC_MONTHS</f>
        <v>1230000</v>
      </c>
      <c r="C26" s="213" t="s">
        <v>221</v>
      </c>
      <c r="D26" s="121">
        <f t="shared" ref="D26:O27" si="9">IF($C26="Academic /10",IF(OR(D$4="Jul",D$4="Aug"),0,$B26/10),IF($C26="Year-round /12",$B26/12,IF($C26="May-Jun",IF(OR(D$4="May",D$4="Jun"),$B26/2,0),IF($C26="Jul-Aug",IF(OR(D$4="Jul",D$4="Aug"),$B26/2,0),IF($C26="Jun only",IF(D$4="Jun",$B26,0),IF($C26="Custom months",0,0))))))</f>
        <v>123000</v>
      </c>
      <c r="E26" s="121">
        <f t="shared" si="9"/>
        <v>123000</v>
      </c>
      <c r="F26" s="121">
        <f t="shared" si="9"/>
        <v>123000</v>
      </c>
      <c r="G26" s="121">
        <f t="shared" si="9"/>
        <v>123000</v>
      </c>
      <c r="H26" s="121">
        <f t="shared" si="9"/>
        <v>123000</v>
      </c>
      <c r="I26" s="121">
        <f t="shared" si="9"/>
        <v>123000</v>
      </c>
      <c r="J26" s="121">
        <f t="shared" si="9"/>
        <v>0</v>
      </c>
      <c r="K26" s="121">
        <f t="shared" si="9"/>
        <v>0</v>
      </c>
      <c r="L26" s="121">
        <f t="shared" si="9"/>
        <v>123000</v>
      </c>
      <c r="M26" s="121">
        <f t="shared" si="9"/>
        <v>123000</v>
      </c>
      <c r="N26" s="121">
        <f t="shared" si="9"/>
        <v>123000</v>
      </c>
      <c r="O26" s="121">
        <f t="shared" si="9"/>
        <v>123000</v>
      </c>
      <c r="P26" s="381">
        <f>SUM(D26:O26)</f>
        <v>1230000</v>
      </c>
      <c r="Q26" s="360">
        <f>P26-B26</f>
        <v>0</v>
      </c>
    </row>
    <row r="27" spans="1:17" ht="18" customHeight="1" x14ac:dyDescent="0.2">
      <c r="A27" s="91" t="s">
        <v>261</v>
      </c>
      <c r="B27" s="132">
        <f>GARDERIE_MONTHLY*ACADEMIC_MONTHS</f>
        <v>30000</v>
      </c>
      <c r="C27" s="211" t="s">
        <v>221</v>
      </c>
      <c r="D27" s="132">
        <f t="shared" si="9"/>
        <v>3000</v>
      </c>
      <c r="E27" s="132">
        <f t="shared" si="9"/>
        <v>3000</v>
      </c>
      <c r="F27" s="132">
        <f t="shared" si="9"/>
        <v>3000</v>
      </c>
      <c r="G27" s="132">
        <f t="shared" si="9"/>
        <v>3000</v>
      </c>
      <c r="H27" s="132">
        <f t="shared" si="9"/>
        <v>3000</v>
      </c>
      <c r="I27" s="132">
        <f t="shared" si="9"/>
        <v>3000</v>
      </c>
      <c r="J27" s="132">
        <f t="shared" si="9"/>
        <v>0</v>
      </c>
      <c r="K27" s="132">
        <f t="shared" si="9"/>
        <v>0</v>
      </c>
      <c r="L27" s="132">
        <f t="shared" si="9"/>
        <v>3000</v>
      </c>
      <c r="M27" s="132">
        <f t="shared" si="9"/>
        <v>3000</v>
      </c>
      <c r="N27" s="132">
        <f t="shared" si="9"/>
        <v>3000</v>
      </c>
      <c r="O27" s="132">
        <f t="shared" si="9"/>
        <v>3000</v>
      </c>
      <c r="P27" s="382">
        <f>SUM(D27:O27)</f>
        <v>30000</v>
      </c>
      <c r="Q27" s="361">
        <f>P27-B27</f>
        <v>0</v>
      </c>
    </row>
    <row r="28" spans="1:17" ht="18" customHeight="1" x14ac:dyDescent="0.2">
      <c r="A28" s="92" t="s">
        <v>213</v>
      </c>
      <c r="B28" s="121">
        <f>CLASS_PHOTOS</f>
        <v>52800</v>
      </c>
      <c r="C28" s="213" t="s">
        <v>357</v>
      </c>
      <c r="D28" s="121">
        <f t="shared" ref="D28:O28" si="10">IF($C28="Academic /10",IF(OR(D$4="Jul",D$4="Aug"),0,$B28/10),IF($C28="Year-round /12",$B28/12,IF($C28="May-Jun",IF(OR(D$4="May",D$4="Jun"),$B28/2,0),IF($C28="Jul-Aug",IF(OR(D$4="Jul",D$4="Aug"),$B28/2,0),IF($C28="Jun only",IF(D$4="Jun",$B28,0),IF($C28="Custom months",IF(SUM($D29:$O29)=0,0,$B28*D29/SUM($D29:$O29)),0))))))</f>
        <v>0</v>
      </c>
      <c r="E28" s="121">
        <f t="shared" si="10"/>
        <v>0</v>
      </c>
      <c r="F28" s="121">
        <f t="shared" si="10"/>
        <v>0</v>
      </c>
      <c r="G28" s="121">
        <f t="shared" si="10"/>
        <v>0</v>
      </c>
      <c r="H28" s="121">
        <f t="shared" si="10"/>
        <v>0</v>
      </c>
      <c r="I28" s="121">
        <f t="shared" si="10"/>
        <v>0</v>
      </c>
      <c r="J28" s="121">
        <f t="shared" si="10"/>
        <v>0</v>
      </c>
      <c r="K28" s="121">
        <f t="shared" si="10"/>
        <v>0</v>
      </c>
      <c r="L28" s="121">
        <f t="shared" si="10"/>
        <v>0</v>
      </c>
      <c r="M28" s="121">
        <f t="shared" si="10"/>
        <v>0</v>
      </c>
      <c r="N28" s="121">
        <f t="shared" si="10"/>
        <v>26400</v>
      </c>
      <c r="O28" s="121">
        <f t="shared" si="10"/>
        <v>26400</v>
      </c>
      <c r="P28" s="381">
        <f>SUM(D28:O28)</f>
        <v>52800</v>
      </c>
      <c r="Q28" s="360">
        <f>P28-B28</f>
        <v>0</v>
      </c>
    </row>
    <row r="29" spans="1:17" ht="16" customHeight="1" outlineLevel="1" x14ac:dyDescent="0.2">
      <c r="A29" s="333" t="s">
        <v>361</v>
      </c>
      <c r="B29" s="362"/>
      <c r="C29" s="363"/>
      <c r="D29" s="337">
        <v>0</v>
      </c>
      <c r="E29" s="337">
        <v>0</v>
      </c>
      <c r="F29" s="337">
        <v>0</v>
      </c>
      <c r="G29" s="337">
        <v>0</v>
      </c>
      <c r="H29" s="337">
        <v>0</v>
      </c>
      <c r="I29" s="337">
        <v>0</v>
      </c>
      <c r="J29" s="337">
        <v>0</v>
      </c>
      <c r="K29" s="337">
        <v>0</v>
      </c>
      <c r="L29" s="337">
        <v>0</v>
      </c>
      <c r="M29" s="337">
        <v>0</v>
      </c>
      <c r="N29" s="337">
        <v>1</v>
      </c>
      <c r="O29" s="337">
        <v>1</v>
      </c>
      <c r="P29" s="383"/>
      <c r="Q29" s="364"/>
    </row>
    <row r="30" spans="1:17" ht="18" customHeight="1" outlineLevel="1" x14ac:dyDescent="0.2">
      <c r="A30" s="91" t="s">
        <v>225</v>
      </c>
      <c r="B30" s="132">
        <f>PSG_RENTAL</f>
        <v>51230</v>
      </c>
      <c r="C30" s="211" t="s">
        <v>42</v>
      </c>
      <c r="D30" s="157">
        <f>IF($C30="Academic /10",IF(OR(D$4="Jul",D$4="Aug"),0,$B30/10),IF($C30="Year-round /12",$B30/12,IF($C30="May-Jun",IF(OR(D$4="May",D$4="Jun"),$B30/2,0),IF($C30="Jul-Aug",IF(OR(D$4="Jul",D$4="Aug"),$B30/2,0),IF($C30="Jun only",IF(D$4="Jun",$B30,0),IF($C30="Custom months",0,0))))))</f>
        <v>4269.166666666667</v>
      </c>
      <c r="E30" s="157">
        <f t="shared" ref="E30:O30" si="11">IF($C30="Academic /10",IF(OR(E$4="Jul",E$4="Aug"),0,$B30/10),IF($C30="Year-round /12",$B30/12,IF($C30="May-Jun",IF(OR(E$4="May",E$4="Jun"),$B30/2,0),IF($C30="Jul-Aug",IF(OR(E$4="Jul",E$4="Aug"),$B30/2,0),IF($C30="Jun only",IF(E$4="Jun",$B30,0),IF($C30="Custom months",0,0))))))</f>
        <v>4269.166666666667</v>
      </c>
      <c r="F30" s="157">
        <f t="shared" si="11"/>
        <v>4269.166666666667</v>
      </c>
      <c r="G30" s="157">
        <f t="shared" si="11"/>
        <v>4269.166666666667</v>
      </c>
      <c r="H30" s="157">
        <f t="shared" si="11"/>
        <v>4269.166666666667</v>
      </c>
      <c r="I30" s="157">
        <f t="shared" si="11"/>
        <v>4269.166666666667</v>
      </c>
      <c r="J30" s="157">
        <f t="shared" si="11"/>
        <v>4269.166666666667</v>
      </c>
      <c r="K30" s="157">
        <f t="shared" si="11"/>
        <v>4269.166666666667</v>
      </c>
      <c r="L30" s="157">
        <f t="shared" si="11"/>
        <v>4269.166666666667</v>
      </c>
      <c r="M30" s="157">
        <f t="shared" si="11"/>
        <v>4269.166666666667</v>
      </c>
      <c r="N30" s="157">
        <f t="shared" si="11"/>
        <v>4269.166666666667</v>
      </c>
      <c r="O30" s="157">
        <f t="shared" si="11"/>
        <v>4269.166666666667</v>
      </c>
      <c r="P30" s="382">
        <f>SUM(D30:O30)</f>
        <v>51229.999999999993</v>
      </c>
      <c r="Q30" s="361">
        <f>P30-B30</f>
        <v>0</v>
      </c>
    </row>
    <row r="31" spans="1:17" ht="22" customHeight="1" x14ac:dyDescent="0.2">
      <c r="A31" s="330" t="s">
        <v>214</v>
      </c>
      <c r="B31" s="351">
        <f>B26+B27+B28+B30</f>
        <v>1364030</v>
      </c>
      <c r="C31" s="352"/>
      <c r="D31" s="351">
        <f>D26+D27+D28+D30</f>
        <v>130269.16666666667</v>
      </c>
      <c r="E31" s="351">
        <f t="shared" ref="E31:O31" si="12">E26+E27+E28+E30</f>
        <v>130269.16666666667</v>
      </c>
      <c r="F31" s="351">
        <f t="shared" si="12"/>
        <v>130269.16666666667</v>
      </c>
      <c r="G31" s="351">
        <f t="shared" si="12"/>
        <v>130269.16666666667</v>
      </c>
      <c r="H31" s="351">
        <f t="shared" si="12"/>
        <v>130269.16666666667</v>
      </c>
      <c r="I31" s="351">
        <f t="shared" si="12"/>
        <v>130269.16666666667</v>
      </c>
      <c r="J31" s="351">
        <f t="shared" si="12"/>
        <v>4269.166666666667</v>
      </c>
      <c r="K31" s="351">
        <f t="shared" si="12"/>
        <v>4269.166666666667</v>
      </c>
      <c r="L31" s="351">
        <f t="shared" si="12"/>
        <v>130269.16666666667</v>
      </c>
      <c r="M31" s="351">
        <f t="shared" si="12"/>
        <v>130269.16666666667</v>
      </c>
      <c r="N31" s="351">
        <f t="shared" si="12"/>
        <v>156669.16666666666</v>
      </c>
      <c r="O31" s="351">
        <f t="shared" si="12"/>
        <v>156669.16666666666</v>
      </c>
      <c r="P31" s="378">
        <f>SUM(D31:O31)</f>
        <v>1364030</v>
      </c>
      <c r="Q31" s="353">
        <f>P31-B31</f>
        <v>0</v>
      </c>
    </row>
    <row r="32" spans="1:17" ht="6" customHeight="1" x14ac:dyDescent="0.2">
      <c r="A32" s="331"/>
      <c r="B32" s="168"/>
      <c r="C32" s="355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379"/>
      <c r="Q32" s="356"/>
    </row>
    <row r="33" spans="1:17" ht="22" customHeight="1" x14ac:dyDescent="0.2">
      <c r="A33" s="332" t="s">
        <v>215</v>
      </c>
      <c r="B33" s="357"/>
      <c r="C33" s="358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80"/>
      <c r="Q33" s="359"/>
    </row>
    <row r="34" spans="1:17" ht="18" customHeight="1" x14ac:dyDescent="0.2">
      <c r="A34" s="92" t="s">
        <v>216</v>
      </c>
      <c r="B34" s="121">
        <f>BAC_FEES</f>
        <v>222000</v>
      </c>
      <c r="C34" s="213" t="s">
        <v>357</v>
      </c>
      <c r="D34" s="121">
        <f t="shared" ref="D34:O34" si="13">IF($C34="Academic /10",IF(OR(D$4="Jul",D$4="Aug"),0,$B34/10),IF($C34="Year-round /12",$B34/12,IF($C34="May-Jun",IF(OR(D$4="May",D$4="Jun"),$B34/2,0),IF($C34="Jul-Aug",IF(OR(D$4="Jul",D$4="Aug"),$B34/2,0),IF($C34="Jun only",IF(D$4="Jun",$B34,0),IF($C34="Custom months",IF(SUM($D35:$O35)=0,0,$B34*D35/SUM($D35:$O35)),0))))))</f>
        <v>0</v>
      </c>
      <c r="E34" s="121">
        <f t="shared" si="13"/>
        <v>0</v>
      </c>
      <c r="F34" s="121">
        <f t="shared" si="13"/>
        <v>0</v>
      </c>
      <c r="G34" s="121">
        <f t="shared" si="13"/>
        <v>111000</v>
      </c>
      <c r="H34" s="121">
        <f t="shared" si="13"/>
        <v>111000</v>
      </c>
      <c r="I34" s="121">
        <f t="shared" si="13"/>
        <v>0</v>
      </c>
      <c r="J34" s="121">
        <f t="shared" si="13"/>
        <v>0</v>
      </c>
      <c r="K34" s="121">
        <f t="shared" si="13"/>
        <v>0</v>
      </c>
      <c r="L34" s="121">
        <f t="shared" si="13"/>
        <v>0</v>
      </c>
      <c r="M34" s="121">
        <f t="shared" si="13"/>
        <v>0</v>
      </c>
      <c r="N34" s="121">
        <f t="shared" si="13"/>
        <v>0</v>
      </c>
      <c r="O34" s="121">
        <f t="shared" si="13"/>
        <v>0</v>
      </c>
      <c r="P34" s="381">
        <f>SUM(D34:O34)</f>
        <v>222000</v>
      </c>
      <c r="Q34" s="360">
        <f>P34-B34</f>
        <v>0</v>
      </c>
    </row>
    <row r="35" spans="1:17" ht="16" customHeight="1" outlineLevel="1" x14ac:dyDescent="0.2">
      <c r="A35" s="333" t="s">
        <v>362</v>
      </c>
      <c r="B35" s="362"/>
      <c r="C35" s="363"/>
      <c r="D35" s="337">
        <v>0</v>
      </c>
      <c r="E35" s="337">
        <v>0</v>
      </c>
      <c r="F35" s="337">
        <v>0</v>
      </c>
      <c r="G35" s="337">
        <v>1</v>
      </c>
      <c r="H35" s="337">
        <v>1</v>
      </c>
      <c r="I35" s="337">
        <v>0</v>
      </c>
      <c r="J35" s="337">
        <v>0</v>
      </c>
      <c r="K35" s="337">
        <v>0</v>
      </c>
      <c r="L35" s="337">
        <v>0</v>
      </c>
      <c r="M35" s="337">
        <v>0</v>
      </c>
      <c r="N35" s="337">
        <v>0</v>
      </c>
      <c r="O35" s="337">
        <v>0</v>
      </c>
      <c r="P35" s="383"/>
      <c r="Q35" s="364"/>
    </row>
    <row r="36" spans="1:17" ht="18" customHeight="1" x14ac:dyDescent="0.2">
      <c r="A36" s="91" t="s">
        <v>217</v>
      </c>
      <c r="B36" s="132">
        <f>DNB_FEES</f>
        <v>61800</v>
      </c>
      <c r="C36" s="211" t="s">
        <v>357</v>
      </c>
      <c r="D36" s="157">
        <f t="shared" ref="D36:O36" si="14">IF($C36="Academic /10",IF(OR(D$4="Jul",D$4="Aug"),0,$B36/10),IF($C36="Year-round /12",$B36/12,IF($C36="May-Jun",IF(OR(D$4="May",D$4="Jun"),$B36/2,0),IF($C36="Jul-Aug",IF(OR(D$4="Jul",D$4="Aug"),$B36/2,0),IF($C36="Jun only",IF(D$4="Jun",$B36,0),IF($C36="Custom months",IF(SUM($D37:$O37)=0,0,$B36*D37/SUM($D37:$O37)),0))))))</f>
        <v>0</v>
      </c>
      <c r="E36" s="157">
        <f t="shared" si="14"/>
        <v>0</v>
      </c>
      <c r="F36" s="157">
        <f t="shared" si="14"/>
        <v>0</v>
      </c>
      <c r="G36" s="157">
        <f t="shared" si="14"/>
        <v>30900</v>
      </c>
      <c r="H36" s="157">
        <f t="shared" si="14"/>
        <v>30900</v>
      </c>
      <c r="I36" s="157">
        <f t="shared" si="14"/>
        <v>0</v>
      </c>
      <c r="J36" s="157">
        <f t="shared" si="14"/>
        <v>0</v>
      </c>
      <c r="K36" s="157">
        <f t="shared" si="14"/>
        <v>0</v>
      </c>
      <c r="L36" s="157">
        <f t="shared" si="14"/>
        <v>0</v>
      </c>
      <c r="M36" s="157">
        <f t="shared" si="14"/>
        <v>0</v>
      </c>
      <c r="N36" s="157">
        <f t="shared" si="14"/>
        <v>0</v>
      </c>
      <c r="O36" s="157">
        <f t="shared" si="14"/>
        <v>0</v>
      </c>
      <c r="P36" s="382">
        <f>SUM(D36:O36)</f>
        <v>61800</v>
      </c>
      <c r="Q36" s="361">
        <f>P36-B36</f>
        <v>0</v>
      </c>
    </row>
    <row r="37" spans="1:17" ht="16" customHeight="1" outlineLevel="1" x14ac:dyDescent="0.2">
      <c r="A37" s="333" t="s">
        <v>362</v>
      </c>
      <c r="B37" s="362"/>
      <c r="C37" s="363"/>
      <c r="D37" s="337">
        <v>0</v>
      </c>
      <c r="E37" s="337">
        <v>0</v>
      </c>
      <c r="F37" s="337">
        <v>0</v>
      </c>
      <c r="G37" s="337">
        <v>1</v>
      </c>
      <c r="H37" s="337">
        <v>1</v>
      </c>
      <c r="I37" s="337">
        <v>0</v>
      </c>
      <c r="J37" s="337">
        <v>0</v>
      </c>
      <c r="K37" s="337">
        <v>0</v>
      </c>
      <c r="L37" s="337">
        <v>0</v>
      </c>
      <c r="M37" s="337">
        <v>0</v>
      </c>
      <c r="N37" s="337">
        <v>0</v>
      </c>
      <c r="O37" s="337">
        <v>0</v>
      </c>
      <c r="P37" s="383"/>
      <c r="Q37" s="364"/>
    </row>
    <row r="38" spans="1:17" ht="18" customHeight="1" x14ac:dyDescent="0.2">
      <c r="A38" s="92" t="s">
        <v>218</v>
      </c>
      <c r="B38" s="121">
        <f>EAF_FEES</f>
        <v>96000</v>
      </c>
      <c r="C38" s="213" t="s">
        <v>357</v>
      </c>
      <c r="D38" s="119">
        <f t="shared" ref="D38:O38" si="15">IF($C38="Academic /10",IF(OR(D$4="Jul",D$4="Aug"),0,$B38/10),IF($C38="Year-round /12",$B38/12,IF($C38="May-Jun",IF(OR(D$4="May",D$4="Jun"),$B38/2,0),IF($C38="Jul-Aug",IF(OR(D$4="Jul",D$4="Aug"),$B38/2,0),IF($C38="Jun only",IF(D$4="Jun",$B38,0),IF($C38="Custom months",IF(SUM($D39:$O39)=0,0,$B38*D39/SUM($D39:$O39)),0))))))</f>
        <v>0</v>
      </c>
      <c r="E38" s="119">
        <f t="shared" si="15"/>
        <v>0</v>
      </c>
      <c r="F38" s="119">
        <f t="shared" si="15"/>
        <v>0</v>
      </c>
      <c r="G38" s="119">
        <f t="shared" si="15"/>
        <v>48000</v>
      </c>
      <c r="H38" s="119">
        <f t="shared" si="15"/>
        <v>48000</v>
      </c>
      <c r="I38" s="119">
        <f t="shared" si="15"/>
        <v>0</v>
      </c>
      <c r="J38" s="119">
        <f t="shared" si="15"/>
        <v>0</v>
      </c>
      <c r="K38" s="119">
        <f t="shared" si="15"/>
        <v>0</v>
      </c>
      <c r="L38" s="119">
        <f t="shared" si="15"/>
        <v>0</v>
      </c>
      <c r="M38" s="119">
        <f t="shared" si="15"/>
        <v>0</v>
      </c>
      <c r="N38" s="119">
        <f t="shared" si="15"/>
        <v>0</v>
      </c>
      <c r="O38" s="119">
        <f t="shared" si="15"/>
        <v>0</v>
      </c>
      <c r="P38" s="381">
        <f>SUM(D38:O38)</f>
        <v>96000</v>
      </c>
      <c r="Q38" s="360">
        <f>P38-B38</f>
        <v>0</v>
      </c>
    </row>
    <row r="39" spans="1:17" ht="16" customHeight="1" outlineLevel="1" x14ac:dyDescent="0.2">
      <c r="A39" s="333" t="s">
        <v>362</v>
      </c>
      <c r="B39" s="362"/>
      <c r="C39" s="363"/>
      <c r="D39" s="337">
        <v>0</v>
      </c>
      <c r="E39" s="337">
        <v>0</v>
      </c>
      <c r="F39" s="337">
        <v>0</v>
      </c>
      <c r="G39" s="337">
        <v>1</v>
      </c>
      <c r="H39" s="337">
        <v>1</v>
      </c>
      <c r="I39" s="337">
        <v>0</v>
      </c>
      <c r="J39" s="337">
        <v>0</v>
      </c>
      <c r="K39" s="337">
        <v>0</v>
      </c>
      <c r="L39" s="337">
        <v>0</v>
      </c>
      <c r="M39" s="337">
        <v>0</v>
      </c>
      <c r="N39" s="337">
        <v>0</v>
      </c>
      <c r="O39" s="337">
        <v>0</v>
      </c>
      <c r="P39" s="383"/>
      <c r="Q39" s="364"/>
    </row>
    <row r="40" spans="1:17" ht="18" customHeight="1" x14ac:dyDescent="0.2">
      <c r="A40" s="91" t="s">
        <v>219</v>
      </c>
      <c r="B40" s="132">
        <f>SIELE_FEES</f>
        <v>15000</v>
      </c>
      <c r="C40" s="211" t="s">
        <v>357</v>
      </c>
      <c r="D40" s="157">
        <f t="shared" ref="D40:O40" si="16">IF($C40="Academic /10",IF(OR(D$4="Jul",D$4="Aug"),0,$B40/10),IF($C40="Year-round /12",$B40/12,IF($C40="May-Jun",IF(OR(D$4="May",D$4="Jun"),$B40/2,0),IF($C40="Jul-Aug",IF(OR(D$4="Jul",D$4="Aug"),$B40/2,0),IF($C40="Jun only",IF(D$4="Jun",$B40,0),IF($C40="Custom months",IF(SUM($D41:$O41)=0,0,$B40*D41/SUM($D41:$O41)),0))))))</f>
        <v>0</v>
      </c>
      <c r="E40" s="157">
        <f t="shared" si="16"/>
        <v>0</v>
      </c>
      <c r="F40" s="157">
        <f t="shared" si="16"/>
        <v>0</v>
      </c>
      <c r="G40" s="157">
        <f t="shared" si="16"/>
        <v>0</v>
      </c>
      <c r="H40" s="157">
        <f t="shared" si="16"/>
        <v>0</v>
      </c>
      <c r="I40" s="157">
        <f t="shared" si="16"/>
        <v>0</v>
      </c>
      <c r="J40" s="157">
        <f t="shared" si="16"/>
        <v>0</v>
      </c>
      <c r="K40" s="157">
        <f t="shared" si="16"/>
        <v>0</v>
      </c>
      <c r="L40" s="157">
        <f t="shared" si="16"/>
        <v>0</v>
      </c>
      <c r="M40" s="157">
        <f t="shared" si="16"/>
        <v>7500</v>
      </c>
      <c r="N40" s="157">
        <f t="shared" si="16"/>
        <v>7500</v>
      </c>
      <c r="O40" s="157">
        <f t="shared" si="16"/>
        <v>0</v>
      </c>
      <c r="P40" s="382">
        <f>SUM(D40:O40)</f>
        <v>15000</v>
      </c>
      <c r="Q40" s="361">
        <f>P40-B40</f>
        <v>0</v>
      </c>
    </row>
    <row r="41" spans="1:17" ht="16" customHeight="1" outlineLevel="1" x14ac:dyDescent="0.2">
      <c r="A41" s="333" t="s">
        <v>358</v>
      </c>
      <c r="B41" s="362"/>
      <c r="C41" s="363"/>
      <c r="D41" s="365">
        <v>0</v>
      </c>
      <c r="E41" s="365">
        <v>0</v>
      </c>
      <c r="F41" s="365">
        <v>0</v>
      </c>
      <c r="G41" s="365">
        <v>0</v>
      </c>
      <c r="H41" s="365">
        <v>0</v>
      </c>
      <c r="I41" s="365">
        <v>0</v>
      </c>
      <c r="J41" s="365">
        <v>0</v>
      </c>
      <c r="K41" s="365">
        <v>0</v>
      </c>
      <c r="L41" s="365">
        <v>0</v>
      </c>
      <c r="M41" s="365">
        <v>1</v>
      </c>
      <c r="N41" s="365">
        <v>1</v>
      </c>
      <c r="O41" s="365">
        <v>0</v>
      </c>
      <c r="P41" s="383"/>
      <c r="Q41" s="364"/>
    </row>
    <row r="42" spans="1:17" ht="22" customHeight="1" x14ac:dyDescent="0.2">
      <c r="A42" s="330" t="s">
        <v>220</v>
      </c>
      <c r="B42" s="351">
        <f>B34+B36+B38+B40</f>
        <v>394800</v>
      </c>
      <c r="C42" s="352"/>
      <c r="D42" s="351">
        <f t="shared" ref="D42:O42" si="17">D34+D36+D38+D40</f>
        <v>0</v>
      </c>
      <c r="E42" s="351">
        <f t="shared" si="17"/>
        <v>0</v>
      </c>
      <c r="F42" s="351">
        <f t="shared" si="17"/>
        <v>0</v>
      </c>
      <c r="G42" s="351">
        <f t="shared" si="17"/>
        <v>189900</v>
      </c>
      <c r="H42" s="351">
        <f t="shared" si="17"/>
        <v>189900</v>
      </c>
      <c r="I42" s="351">
        <f t="shared" si="17"/>
        <v>0</v>
      </c>
      <c r="J42" s="351">
        <f t="shared" si="17"/>
        <v>0</v>
      </c>
      <c r="K42" s="351">
        <f t="shared" si="17"/>
        <v>0</v>
      </c>
      <c r="L42" s="351">
        <f t="shared" si="17"/>
        <v>0</v>
      </c>
      <c r="M42" s="351">
        <f t="shared" si="17"/>
        <v>7500</v>
      </c>
      <c r="N42" s="351">
        <f t="shared" si="17"/>
        <v>7500</v>
      </c>
      <c r="O42" s="351">
        <f t="shared" si="17"/>
        <v>0</v>
      </c>
      <c r="P42" s="378">
        <f>SUM(D42:O42)</f>
        <v>394800</v>
      </c>
      <c r="Q42" s="353">
        <f>P42-B42</f>
        <v>0</v>
      </c>
    </row>
    <row r="43" spans="1:17" ht="22" customHeight="1" x14ac:dyDescent="0.2">
      <c r="A43" s="334" t="s">
        <v>370</v>
      </c>
      <c r="B43" s="128"/>
      <c r="C43" s="20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384"/>
      <c r="Q43" s="366"/>
    </row>
    <row r="44" spans="1:17" ht="18" customHeight="1" x14ac:dyDescent="0.2">
      <c r="A44" s="90" t="s">
        <v>222</v>
      </c>
      <c r="B44" s="119">
        <f>-BOURSES_AEFE</f>
        <v>-151906</v>
      </c>
      <c r="C44" s="16" t="s">
        <v>221</v>
      </c>
      <c r="D44" s="119">
        <f t="shared" ref="D44:O45" si="18">IF($C44="Academic /10",IF(OR(D$4="Jul",D$4="Aug"),0,$B44/10),IF($C44="Year-round /12",$B44/12,IF($C44="May-Jun",IF(OR(D$4="May",D$4="Jun"),$B44/2,0),IF($C44="Jul-Aug",IF(OR(D$4="Jul",D$4="Aug"),$B44/2,0),IF($C44="Jun only",IF(D$4="Jun",$B44,0),IF($C44="Custom months",0,0))))))</f>
        <v>-15190.6</v>
      </c>
      <c r="E44" s="119">
        <f t="shared" si="18"/>
        <v>-15190.6</v>
      </c>
      <c r="F44" s="119">
        <f t="shared" si="18"/>
        <v>-15190.6</v>
      </c>
      <c r="G44" s="119">
        <f t="shared" si="18"/>
        <v>-15190.6</v>
      </c>
      <c r="H44" s="119">
        <f t="shared" si="18"/>
        <v>-15190.6</v>
      </c>
      <c r="I44" s="119">
        <f t="shared" si="18"/>
        <v>-15190.6</v>
      </c>
      <c r="J44" s="119">
        <f t="shared" si="18"/>
        <v>0</v>
      </c>
      <c r="K44" s="119">
        <f t="shared" si="18"/>
        <v>0</v>
      </c>
      <c r="L44" s="119">
        <f t="shared" si="18"/>
        <v>-15190.6</v>
      </c>
      <c r="M44" s="119">
        <f t="shared" si="18"/>
        <v>-15190.6</v>
      </c>
      <c r="N44" s="119">
        <f t="shared" si="18"/>
        <v>-15190.6</v>
      </c>
      <c r="O44" s="119">
        <f t="shared" si="18"/>
        <v>-15190.6</v>
      </c>
      <c r="P44" s="379">
        <f>SUM(D44:O44)</f>
        <v>-151906.00000000003</v>
      </c>
      <c r="Q44" s="354">
        <f>P44-B44</f>
        <v>0</v>
      </c>
    </row>
    <row r="45" spans="1:17" ht="18" customHeight="1" x14ac:dyDescent="0.2">
      <c r="A45" s="91" t="s">
        <v>223</v>
      </c>
      <c r="B45" s="132">
        <f>-BOURSES_AESH</f>
        <v>-177600</v>
      </c>
      <c r="C45" s="211" t="s">
        <v>221</v>
      </c>
      <c r="D45" s="132">
        <f t="shared" si="18"/>
        <v>-17760</v>
      </c>
      <c r="E45" s="132">
        <f t="shared" si="18"/>
        <v>-17760</v>
      </c>
      <c r="F45" s="132">
        <f t="shared" si="18"/>
        <v>-17760</v>
      </c>
      <c r="G45" s="132">
        <f t="shared" si="18"/>
        <v>-17760</v>
      </c>
      <c r="H45" s="132">
        <f t="shared" si="18"/>
        <v>-17760</v>
      </c>
      <c r="I45" s="132">
        <f t="shared" si="18"/>
        <v>-17760</v>
      </c>
      <c r="J45" s="132">
        <f t="shared" si="18"/>
        <v>0</v>
      </c>
      <c r="K45" s="132">
        <f t="shared" si="18"/>
        <v>0</v>
      </c>
      <c r="L45" s="132">
        <f t="shared" si="18"/>
        <v>-17760</v>
      </c>
      <c r="M45" s="132">
        <f t="shared" si="18"/>
        <v>-17760</v>
      </c>
      <c r="N45" s="132">
        <f t="shared" si="18"/>
        <v>-17760</v>
      </c>
      <c r="O45" s="132">
        <f t="shared" si="18"/>
        <v>-17760</v>
      </c>
      <c r="P45" s="382">
        <f>SUM(D45:O45)</f>
        <v>-177600</v>
      </c>
      <c r="Q45" s="361">
        <f>P45-B45</f>
        <v>0</v>
      </c>
    </row>
    <row r="46" spans="1:17" ht="22" customHeight="1" thickBot="1" x14ac:dyDescent="0.25">
      <c r="A46" s="335" t="s">
        <v>224</v>
      </c>
      <c r="B46" s="249">
        <f>SUM(B44:B45)</f>
        <v>-329506</v>
      </c>
      <c r="C46" s="203"/>
      <c r="D46" s="249">
        <f t="shared" ref="D46:O46" si="19">SUM(D44:D45)</f>
        <v>-32950.6</v>
      </c>
      <c r="E46" s="249">
        <f t="shared" si="19"/>
        <v>-32950.6</v>
      </c>
      <c r="F46" s="249">
        <f t="shared" si="19"/>
        <v>-32950.6</v>
      </c>
      <c r="G46" s="249">
        <f t="shared" si="19"/>
        <v>-32950.6</v>
      </c>
      <c r="H46" s="249">
        <f t="shared" si="19"/>
        <v>-32950.6</v>
      </c>
      <c r="I46" s="249">
        <f t="shared" si="19"/>
        <v>-32950.6</v>
      </c>
      <c r="J46" s="249">
        <f t="shared" si="19"/>
        <v>0</v>
      </c>
      <c r="K46" s="249">
        <f t="shared" si="19"/>
        <v>0</v>
      </c>
      <c r="L46" s="249">
        <f t="shared" si="19"/>
        <v>-32950.6</v>
      </c>
      <c r="M46" s="249">
        <f t="shared" si="19"/>
        <v>-32950.6</v>
      </c>
      <c r="N46" s="249">
        <f t="shared" si="19"/>
        <v>-32950.6</v>
      </c>
      <c r="O46" s="249">
        <f t="shared" si="19"/>
        <v>-32950.6</v>
      </c>
      <c r="P46" s="385">
        <f>SUM(D46:O46)</f>
        <v>-329505.99999999994</v>
      </c>
      <c r="Q46" s="367">
        <f>P46-B46</f>
        <v>0</v>
      </c>
    </row>
    <row r="47" spans="1:17" ht="24" customHeight="1" thickTop="1" thickBot="1" x14ac:dyDescent="0.25">
      <c r="A47" s="336" t="s">
        <v>231</v>
      </c>
      <c r="B47" s="170">
        <f>B23+B31+B42+B46</f>
        <v>10884174</v>
      </c>
      <c r="C47" s="204"/>
      <c r="D47" s="170">
        <f t="shared" ref="D47:O47" si="20">D23+D31+D42+D46</f>
        <v>97318.56666666668</v>
      </c>
      <c r="E47" s="170">
        <f t="shared" si="20"/>
        <v>97318.56666666668</v>
      </c>
      <c r="F47" s="170">
        <f t="shared" si="20"/>
        <v>97318.56666666668</v>
      </c>
      <c r="G47" s="170">
        <f t="shared" si="20"/>
        <v>287218.56666666671</v>
      </c>
      <c r="H47" s="170">
        <f t="shared" si="20"/>
        <v>4990243.5666666673</v>
      </c>
      <c r="I47" s="170">
        <f t="shared" si="20"/>
        <v>4800343.5666666673</v>
      </c>
      <c r="J47" s="170">
        <f t="shared" si="20"/>
        <v>4269.166666666667</v>
      </c>
      <c r="K47" s="170">
        <f t="shared" si="20"/>
        <v>4269.166666666667</v>
      </c>
      <c r="L47" s="170">
        <f t="shared" si="20"/>
        <v>97318.56666666668</v>
      </c>
      <c r="M47" s="170">
        <f t="shared" si="20"/>
        <v>129218.56666666668</v>
      </c>
      <c r="N47" s="170">
        <f t="shared" si="20"/>
        <v>155618.56666666665</v>
      </c>
      <c r="O47" s="170">
        <f t="shared" si="20"/>
        <v>123718.56666666665</v>
      </c>
      <c r="P47" s="386">
        <f>SUM(D47:O47)</f>
        <v>10884174</v>
      </c>
      <c r="Q47" s="368">
        <f>P47-B47</f>
        <v>0</v>
      </c>
    </row>
    <row r="48" spans="1:17" ht="16" thickTop="1" x14ac:dyDescent="0.2"/>
  </sheetData>
  <mergeCells count="2">
    <mergeCell ref="A1:Q1"/>
    <mergeCell ref="A2:Q2"/>
  </mergeCells>
  <dataValidations count="1">
    <dataValidation type="list" allowBlank="1" showInputMessage="1" showErrorMessage="1" errorTitle="Invalid Entry" error="Please select from the dropdown list." promptTitle="Distribution Method" prompt="Select how the annual amount is spread across months." sqref="C6:C12 C44:C45 C40 C38 C36 C34 C26:C28 C18:C20 C14" xr:uid="{0E61C9AD-1A94-0D4C-96F9-8259F33F3DE2}">
      <formula1>"Academic /10,Year-round /12,May-Jun,Jul-Aug,Jun only,Custom months"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S37"/>
  <sheetViews>
    <sheetView showGridLines="0" workbookViewId="0">
      <selection activeCell="L20" sqref="L20"/>
    </sheetView>
  </sheetViews>
  <sheetFormatPr baseColWidth="10" defaultColWidth="8.83203125" defaultRowHeight="15" x14ac:dyDescent="0.2"/>
  <cols>
    <col min="1" max="1" width="20" customWidth="1"/>
    <col min="2" max="2" width="33.33203125" customWidth="1"/>
    <col min="3" max="14" width="14.1640625" customWidth="1"/>
    <col min="15" max="15" width="16.6640625" customWidth="1"/>
    <col min="16" max="16" width="11.6640625" customWidth="1"/>
    <col min="19" max="19" width="9.1640625" bestFit="1" customWidth="1"/>
  </cols>
  <sheetData>
    <row r="1" spans="1:19" s="1" customFormat="1" ht="30" customHeight="1" x14ac:dyDescent="0.25">
      <c r="A1" s="28" t="s">
        <v>232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0" customHeight="1" x14ac:dyDescent="0.2">
      <c r="A2" s="230" t="s">
        <v>233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</row>
    <row r="3" spans="1:19" ht="6" customHeight="1" thickBot="1" x14ac:dyDescent="0.25">
      <c r="A3" s="387"/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25"/>
      <c r="P3" s="387"/>
      <c r="Q3" s="3"/>
      <c r="R3" s="3"/>
      <c r="S3" s="3"/>
    </row>
    <row r="4" spans="1:19" ht="28" customHeight="1" x14ac:dyDescent="0.2">
      <c r="A4" s="388" t="s">
        <v>234</v>
      </c>
      <c r="B4" s="388" t="s">
        <v>235</v>
      </c>
      <c r="C4" s="143" t="s">
        <v>236</v>
      </c>
      <c r="D4" s="143" t="s">
        <v>237</v>
      </c>
      <c r="E4" s="143" t="s">
        <v>56</v>
      </c>
      <c r="F4" s="143" t="s">
        <v>238</v>
      </c>
      <c r="G4" s="143" t="s">
        <v>57</v>
      </c>
      <c r="H4" s="143" t="s">
        <v>239</v>
      </c>
      <c r="I4" s="143" t="s">
        <v>240</v>
      </c>
      <c r="J4" s="143" t="s">
        <v>241</v>
      </c>
      <c r="K4" s="143" t="s">
        <v>242</v>
      </c>
      <c r="L4" s="143" t="s">
        <v>243</v>
      </c>
      <c r="M4" s="143" t="s">
        <v>244</v>
      </c>
      <c r="N4" s="407" t="s">
        <v>245</v>
      </c>
      <c r="O4" s="408" t="s">
        <v>246</v>
      </c>
      <c r="P4" s="143" t="s">
        <v>247</v>
      </c>
      <c r="Q4" s="14"/>
      <c r="R4" s="14"/>
      <c r="S4" s="14"/>
    </row>
    <row r="5" spans="1:19" ht="22" customHeight="1" x14ac:dyDescent="0.2">
      <c r="A5" s="389" t="s">
        <v>248</v>
      </c>
      <c r="B5" s="40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70"/>
      <c r="P5" s="396">
        <f t="shared" ref="P5:P11" si="0">IF($O$36=0,0,O5/$O$36)</f>
        <v>0</v>
      </c>
      <c r="Q5" s="208"/>
      <c r="R5" s="208"/>
      <c r="S5" s="208"/>
    </row>
    <row r="6" spans="1:19" ht="18" customHeight="1" x14ac:dyDescent="0.2">
      <c r="A6" s="325"/>
      <c r="B6" s="390" t="s">
        <v>249</v>
      </c>
      <c r="C6" s="127">
        <f>ENROLLMENT_DETAIL!$P$24/ACADEMIC_MONTHS</f>
        <v>195434.85108695654</v>
      </c>
      <c r="D6" s="127">
        <f>ENROLLMENT_DETAIL!$P$24/ACADEMIC_MONTHS</f>
        <v>195434.85108695654</v>
      </c>
      <c r="E6" s="127">
        <f>ENROLLMENT_DETAIL!$P$24/ACADEMIC_MONTHS</f>
        <v>195434.85108695654</v>
      </c>
      <c r="F6" s="127">
        <f>ENROLLMENT_DETAIL!$P$24/ACADEMIC_MONTHS</f>
        <v>195434.85108695654</v>
      </c>
      <c r="G6" s="127">
        <f>ENROLLMENT_DETAIL!$P$24/ACADEMIC_MONTHS</f>
        <v>195434.85108695654</v>
      </c>
      <c r="H6" s="127">
        <f>ENROLLMENT_DETAIL!$P$24/ACADEMIC_MONTHS</f>
        <v>195434.85108695654</v>
      </c>
      <c r="I6" s="127">
        <f>0</f>
        <v>0</v>
      </c>
      <c r="J6" s="127">
        <f>0</f>
        <v>0</v>
      </c>
      <c r="K6" s="127">
        <f>ENROLLMENT_DETAIL!$P$51/ACADEMIC_MONTHS</f>
        <v>195434.85108695654</v>
      </c>
      <c r="L6" s="127">
        <f>ENROLLMENT_DETAIL!$P$51/ACADEMIC_MONTHS</f>
        <v>195434.85108695654</v>
      </c>
      <c r="M6" s="127">
        <f>ENROLLMENT_DETAIL!$P$51/ACADEMIC_MONTHS</f>
        <v>195434.85108695654</v>
      </c>
      <c r="N6" s="297">
        <f>ENROLLMENT_DETAIL!$P$51/ACADEMIC_MONTHS</f>
        <v>195434.85108695654</v>
      </c>
      <c r="O6" s="409">
        <f t="shared" ref="O6:O11" si="1">SUM(C6:N6)</f>
        <v>1954348.510869565</v>
      </c>
      <c r="P6" s="219">
        <f t="shared" si="0"/>
        <v>2.8804046135431575E-2</v>
      </c>
      <c r="Q6" s="16"/>
      <c r="R6" s="16"/>
      <c r="S6" s="16"/>
    </row>
    <row r="7" spans="1:19" ht="18" customHeight="1" x14ac:dyDescent="0.2">
      <c r="A7" s="324"/>
      <c r="B7" s="391" t="s">
        <v>250</v>
      </c>
      <c r="C7" s="126">
        <f>ENROLLMENT_DETAIL!$P$25/ACADEMIC_MONTHS</f>
        <v>632161.90217391308</v>
      </c>
      <c r="D7" s="126">
        <f>ENROLLMENT_DETAIL!$P$25/ACADEMIC_MONTHS</f>
        <v>632161.90217391308</v>
      </c>
      <c r="E7" s="126">
        <f>ENROLLMENT_DETAIL!$P$25/ACADEMIC_MONTHS</f>
        <v>632161.90217391308</v>
      </c>
      <c r="F7" s="126">
        <f>ENROLLMENT_DETAIL!$P$25/ACADEMIC_MONTHS</f>
        <v>632161.90217391308</v>
      </c>
      <c r="G7" s="126">
        <f>ENROLLMENT_DETAIL!$P$25/ACADEMIC_MONTHS</f>
        <v>632161.90217391308</v>
      </c>
      <c r="H7" s="126">
        <f>ENROLLMENT_DETAIL!$P$25/ACADEMIC_MONTHS</f>
        <v>632161.90217391308</v>
      </c>
      <c r="I7" s="126">
        <f>0</f>
        <v>0</v>
      </c>
      <c r="J7" s="126">
        <f>0</f>
        <v>0</v>
      </c>
      <c r="K7" s="126">
        <f>ENROLLMENT_DETAIL!$P$52/ACADEMIC_MONTHS</f>
        <v>651056.46739130444</v>
      </c>
      <c r="L7" s="126">
        <f>ENROLLMENT_DETAIL!$P$52/ACADEMIC_MONTHS</f>
        <v>651056.46739130444</v>
      </c>
      <c r="M7" s="126">
        <f>ENROLLMENT_DETAIL!$P$52/ACADEMIC_MONTHS</f>
        <v>651056.46739130444</v>
      </c>
      <c r="N7" s="292">
        <f>ENROLLMENT_DETAIL!$P$52/ACADEMIC_MONTHS</f>
        <v>651056.46739130444</v>
      </c>
      <c r="O7" s="410">
        <f t="shared" si="1"/>
        <v>6397197.2826086972</v>
      </c>
      <c r="P7" s="218">
        <f t="shared" si="0"/>
        <v>9.4284701342101859E-2</v>
      </c>
      <c r="Q7" s="19"/>
      <c r="R7" s="19"/>
      <c r="S7" s="19"/>
    </row>
    <row r="8" spans="1:19" ht="18" customHeight="1" x14ac:dyDescent="0.2">
      <c r="A8" s="325"/>
      <c r="B8" s="390" t="s">
        <v>251</v>
      </c>
      <c r="C8" s="127">
        <f>ENROLLMENT_DETAIL!$P$26/ACADEMIC_MONTHS</f>
        <v>1979312.2282608696</v>
      </c>
      <c r="D8" s="127">
        <f>ENROLLMENT_DETAIL!$P$26/ACADEMIC_MONTHS</f>
        <v>1979312.2282608696</v>
      </c>
      <c r="E8" s="127">
        <f>ENROLLMENT_DETAIL!$P$26/ACADEMIC_MONTHS</f>
        <v>1979312.2282608696</v>
      </c>
      <c r="F8" s="127">
        <f>ENROLLMENT_DETAIL!$P$26/ACADEMIC_MONTHS</f>
        <v>1979312.2282608696</v>
      </c>
      <c r="G8" s="127">
        <f>ENROLLMENT_DETAIL!$P$26/ACADEMIC_MONTHS</f>
        <v>1979312.2282608696</v>
      </c>
      <c r="H8" s="127">
        <f>ENROLLMENT_DETAIL!$P$26/ACADEMIC_MONTHS</f>
        <v>1979312.2282608696</v>
      </c>
      <c r="I8" s="127">
        <f>0</f>
        <v>0</v>
      </c>
      <c r="J8" s="127">
        <f>0</f>
        <v>0</v>
      </c>
      <c r="K8" s="127">
        <f>ENROLLMENT_DETAIL!$P$53/ACADEMIC_MONTHS</f>
        <v>2033664.2391304348</v>
      </c>
      <c r="L8" s="127">
        <f>ENROLLMENT_DETAIL!$P$53/ACADEMIC_MONTHS</f>
        <v>2033664.2391304348</v>
      </c>
      <c r="M8" s="127">
        <f>ENROLLMENT_DETAIL!$P$53/ACADEMIC_MONTHS</f>
        <v>2033664.2391304348</v>
      </c>
      <c r="N8" s="297">
        <f>ENROLLMENT_DETAIL!$P$53/ACADEMIC_MONTHS</f>
        <v>2033664.2391304348</v>
      </c>
      <c r="O8" s="409">
        <f t="shared" si="1"/>
        <v>20010530.326086957</v>
      </c>
      <c r="P8" s="219">
        <f t="shared" si="0"/>
        <v>0.29492397875883758</v>
      </c>
      <c r="Q8" s="16"/>
      <c r="R8" s="16"/>
      <c r="S8" s="16"/>
    </row>
    <row r="9" spans="1:19" ht="18" customHeight="1" x14ac:dyDescent="0.2">
      <c r="A9" s="324"/>
      <c r="B9" s="391" t="s">
        <v>252</v>
      </c>
      <c r="C9" s="126">
        <f>ENROLLMENT_DETAIL!$P$27/ACADEMIC_MONTHS</f>
        <v>1688552.1739130435</v>
      </c>
      <c r="D9" s="126">
        <f>ENROLLMENT_DETAIL!$P$27/ACADEMIC_MONTHS</f>
        <v>1688552.1739130435</v>
      </c>
      <c r="E9" s="126">
        <f>ENROLLMENT_DETAIL!$P$27/ACADEMIC_MONTHS</f>
        <v>1688552.1739130435</v>
      </c>
      <c r="F9" s="126">
        <f>ENROLLMENT_DETAIL!$P$27/ACADEMIC_MONTHS</f>
        <v>1688552.1739130435</v>
      </c>
      <c r="G9" s="126">
        <f>ENROLLMENT_DETAIL!$P$27/ACADEMIC_MONTHS</f>
        <v>1688552.1739130435</v>
      </c>
      <c r="H9" s="126">
        <f>ENROLLMENT_DETAIL!$P$27/ACADEMIC_MONTHS</f>
        <v>1688552.1739130435</v>
      </c>
      <c r="I9" s="126">
        <f>0</f>
        <v>0</v>
      </c>
      <c r="J9" s="126">
        <f>0</f>
        <v>0</v>
      </c>
      <c r="K9" s="126">
        <f>ENROLLMENT_DETAIL!$P$54/ACADEMIC_MONTHS</f>
        <v>1749529.1847826089</v>
      </c>
      <c r="L9" s="126">
        <f>ENROLLMENT_DETAIL!$P$54/ACADEMIC_MONTHS</f>
        <v>1749529.1847826089</v>
      </c>
      <c r="M9" s="126">
        <f>ENROLLMENT_DETAIL!$P$54/ACADEMIC_MONTHS</f>
        <v>1749529.1847826089</v>
      </c>
      <c r="N9" s="292">
        <f>ENROLLMENT_DETAIL!$P$54/ACADEMIC_MONTHS</f>
        <v>1749529.1847826089</v>
      </c>
      <c r="O9" s="410">
        <f t="shared" si="1"/>
        <v>17129429.782608695</v>
      </c>
      <c r="P9" s="218">
        <f t="shared" si="0"/>
        <v>0.25246105440649647</v>
      </c>
      <c r="Q9" s="19"/>
      <c r="R9" s="19"/>
      <c r="S9" s="19"/>
    </row>
    <row r="10" spans="1:19" ht="18" customHeight="1" x14ac:dyDescent="0.2">
      <c r="A10" s="325"/>
      <c r="B10" s="390" t="s">
        <v>253</v>
      </c>
      <c r="C10" s="127">
        <f>ENROLLMENT_DETAIL!$P$28/ACADEMIC_MONTHS</f>
        <v>1329934.7826086958</v>
      </c>
      <c r="D10" s="127">
        <f>ENROLLMENT_DETAIL!$P$28/ACADEMIC_MONTHS</f>
        <v>1329934.7826086958</v>
      </c>
      <c r="E10" s="127">
        <f>ENROLLMENT_DETAIL!$P$28/ACADEMIC_MONTHS</f>
        <v>1329934.7826086958</v>
      </c>
      <c r="F10" s="127">
        <f>ENROLLMENT_DETAIL!$P$28/ACADEMIC_MONTHS</f>
        <v>1329934.7826086958</v>
      </c>
      <c r="G10" s="127">
        <f>ENROLLMENT_DETAIL!$P$28/ACADEMIC_MONTHS</f>
        <v>1329934.7826086958</v>
      </c>
      <c r="H10" s="127">
        <f>ENROLLMENT_DETAIL!$P$28/ACADEMIC_MONTHS</f>
        <v>1329934.7826086958</v>
      </c>
      <c r="I10" s="127">
        <f>0</f>
        <v>0</v>
      </c>
      <c r="J10" s="127">
        <f>0</f>
        <v>0</v>
      </c>
      <c r="K10" s="127">
        <f>ENROLLMENT_DETAIL!$P$55/ACADEMIC_MONTHS</f>
        <v>1375284.7826086958</v>
      </c>
      <c r="L10" s="127">
        <f>ENROLLMENT_DETAIL!$P$55/ACADEMIC_MONTHS</f>
        <v>1375284.7826086958</v>
      </c>
      <c r="M10" s="127">
        <f>ENROLLMENT_DETAIL!$P$55/ACADEMIC_MONTHS</f>
        <v>1375284.7826086958</v>
      </c>
      <c r="N10" s="297">
        <f>ENROLLMENT_DETAIL!$P$55/ACADEMIC_MONTHS</f>
        <v>1375284.7826086958</v>
      </c>
      <c r="O10" s="409">
        <f t="shared" si="1"/>
        <v>13480747.826086955</v>
      </c>
      <c r="P10" s="219">
        <f t="shared" si="0"/>
        <v>0.19868517828990384</v>
      </c>
      <c r="Q10" s="16"/>
      <c r="R10" s="16"/>
      <c r="S10" s="16"/>
    </row>
    <row r="11" spans="1:19" ht="22" customHeight="1" x14ac:dyDescent="0.2">
      <c r="A11" s="327"/>
      <c r="B11" s="392" t="s">
        <v>254</v>
      </c>
      <c r="C11" s="344">
        <f t="shared" ref="C11:N11" si="2">C6+C7+C8+C9+C10</f>
        <v>5825395.9380434789</v>
      </c>
      <c r="D11" s="344">
        <f t="shared" si="2"/>
        <v>5825395.9380434789</v>
      </c>
      <c r="E11" s="344">
        <f t="shared" si="2"/>
        <v>5825395.9380434789</v>
      </c>
      <c r="F11" s="344">
        <f t="shared" si="2"/>
        <v>5825395.9380434789</v>
      </c>
      <c r="G11" s="344">
        <f t="shared" si="2"/>
        <v>5825395.9380434789</v>
      </c>
      <c r="H11" s="344">
        <f t="shared" si="2"/>
        <v>5825395.9380434789</v>
      </c>
      <c r="I11" s="344">
        <f t="shared" si="2"/>
        <v>0</v>
      </c>
      <c r="J11" s="344">
        <f t="shared" si="2"/>
        <v>0</v>
      </c>
      <c r="K11" s="344">
        <f t="shared" si="2"/>
        <v>6004969.5250000004</v>
      </c>
      <c r="L11" s="344">
        <f t="shared" si="2"/>
        <v>6004969.5250000004</v>
      </c>
      <c r="M11" s="344">
        <f t="shared" si="2"/>
        <v>6004969.5250000004</v>
      </c>
      <c r="N11" s="344">
        <f t="shared" si="2"/>
        <v>6004969.5250000004</v>
      </c>
      <c r="O11" s="375">
        <f t="shared" si="1"/>
        <v>58972253.728260867</v>
      </c>
      <c r="P11" s="397">
        <f t="shared" si="0"/>
        <v>0.86915895893277129</v>
      </c>
      <c r="Q11" s="352"/>
      <c r="R11" s="352">
        <v>58209065.358695656</v>
      </c>
      <c r="S11" s="353">
        <f>O11-R11</f>
        <v>763188.36956521124</v>
      </c>
    </row>
    <row r="12" spans="1:19" ht="6" customHeight="1" x14ac:dyDescent="0.2">
      <c r="A12" s="323"/>
      <c r="B12" s="323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371"/>
      <c r="P12" s="398"/>
      <c r="Q12" s="16"/>
      <c r="R12" s="16"/>
      <c r="S12" s="16"/>
    </row>
    <row r="13" spans="1:19" ht="22" customHeight="1" x14ac:dyDescent="0.2">
      <c r="A13" s="393" t="s">
        <v>255</v>
      </c>
      <c r="B13" s="406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411"/>
      <c r="P13" s="400"/>
      <c r="Q13" s="208"/>
      <c r="R13" s="208"/>
      <c r="S13" s="208"/>
    </row>
    <row r="14" spans="1:19" ht="18" customHeight="1" x14ac:dyDescent="0.2">
      <c r="A14" s="325"/>
      <c r="B14" s="390" t="s">
        <v>256</v>
      </c>
      <c r="C14" s="127">
        <f>-DISCOUNTS!$F$67/10</f>
        <v>-223032.1836956522</v>
      </c>
      <c r="D14" s="127">
        <f>-DISCOUNTS!$F$67/10</f>
        <v>-223032.1836956522</v>
      </c>
      <c r="E14" s="127">
        <f>-DISCOUNTS!$F$67/10</f>
        <v>-223032.1836956522</v>
      </c>
      <c r="F14" s="127">
        <f>-DISCOUNTS!$F$67/10</f>
        <v>-223032.1836956522</v>
      </c>
      <c r="G14" s="127">
        <f>-DISCOUNTS!$F$67/10</f>
        <v>-223032.1836956522</v>
      </c>
      <c r="H14" s="127">
        <f>-DISCOUNTS!$F$67/10</f>
        <v>-223032.1836956522</v>
      </c>
      <c r="I14" s="127">
        <f>0</f>
        <v>0</v>
      </c>
      <c r="J14" s="127">
        <f>0</f>
        <v>0</v>
      </c>
      <c r="K14" s="127">
        <f>0</f>
        <v>0</v>
      </c>
      <c r="L14" s="127">
        <f>0</f>
        <v>0</v>
      </c>
      <c r="M14" s="127">
        <f>0</f>
        <v>0</v>
      </c>
      <c r="N14" s="297">
        <f>0</f>
        <v>0</v>
      </c>
      <c r="O14" s="409">
        <f>SUM(C14:N14)</f>
        <v>-1338193.1021739133</v>
      </c>
      <c r="P14" s="219">
        <f>IF($O$36=0,0,O14/$O$36)</f>
        <v>-1.9722877285578599E-2</v>
      </c>
      <c r="Q14" s="16"/>
      <c r="R14" s="16"/>
      <c r="S14" s="16"/>
    </row>
    <row r="15" spans="1:19" ht="18" customHeight="1" x14ac:dyDescent="0.2">
      <c r="A15" s="324"/>
      <c r="B15" s="391" t="s">
        <v>257</v>
      </c>
      <c r="C15" s="126">
        <f>0</f>
        <v>0</v>
      </c>
      <c r="D15" s="126">
        <f>0</f>
        <v>0</v>
      </c>
      <c r="E15" s="126">
        <f>0</f>
        <v>0</v>
      </c>
      <c r="F15" s="126">
        <f>0</f>
        <v>0</v>
      </c>
      <c r="G15" s="126">
        <f>0</f>
        <v>0</v>
      </c>
      <c r="H15" s="126">
        <f>0</f>
        <v>0</v>
      </c>
      <c r="I15" s="126">
        <f>0</f>
        <v>0</v>
      </c>
      <c r="J15" s="126">
        <f>0</f>
        <v>0</v>
      </c>
      <c r="K15" s="126">
        <f>-DISCOUNTS!$F$77/10</f>
        <v>-248879.90108695655</v>
      </c>
      <c r="L15" s="126">
        <f>-DISCOUNTS!$F$77/10</f>
        <v>-248879.90108695655</v>
      </c>
      <c r="M15" s="126">
        <f>-DISCOUNTS!$F$77/10</f>
        <v>-248879.90108695655</v>
      </c>
      <c r="N15" s="292">
        <f>-DISCOUNTS!$F$77/10</f>
        <v>-248879.90108695655</v>
      </c>
      <c r="O15" s="410">
        <f>SUM(C15:N15)</f>
        <v>-995519.60434782621</v>
      </c>
      <c r="P15" s="218">
        <f>IF($O$36=0,0,O15/$O$36)</f>
        <v>-1.4672404871945162E-2</v>
      </c>
      <c r="Q15" s="19"/>
      <c r="R15" s="19"/>
      <c r="S15" s="19"/>
    </row>
    <row r="16" spans="1:19" ht="22" customHeight="1" x14ac:dyDescent="0.2">
      <c r="A16" s="327"/>
      <c r="B16" s="392" t="s">
        <v>258</v>
      </c>
      <c r="C16" s="344">
        <f t="shared" ref="C16:N16" si="3">C14+C15</f>
        <v>-223032.1836956522</v>
      </c>
      <c r="D16" s="344">
        <f t="shared" si="3"/>
        <v>-223032.1836956522</v>
      </c>
      <c r="E16" s="344">
        <f t="shared" si="3"/>
        <v>-223032.1836956522</v>
      </c>
      <c r="F16" s="344">
        <f t="shared" si="3"/>
        <v>-223032.1836956522</v>
      </c>
      <c r="G16" s="344">
        <f t="shared" si="3"/>
        <v>-223032.1836956522</v>
      </c>
      <c r="H16" s="344">
        <f t="shared" si="3"/>
        <v>-223032.1836956522</v>
      </c>
      <c r="I16" s="344">
        <f t="shared" si="3"/>
        <v>0</v>
      </c>
      <c r="J16" s="344">
        <f t="shared" si="3"/>
        <v>0</v>
      </c>
      <c r="K16" s="344">
        <f t="shared" si="3"/>
        <v>-248879.90108695655</v>
      </c>
      <c r="L16" s="344">
        <f t="shared" si="3"/>
        <v>-248879.90108695655</v>
      </c>
      <c r="M16" s="344">
        <f t="shared" si="3"/>
        <v>-248879.90108695655</v>
      </c>
      <c r="N16" s="344">
        <f t="shared" si="3"/>
        <v>-248879.90108695655</v>
      </c>
      <c r="O16" s="375">
        <f>SUM(C16:N16)</f>
        <v>-2333712.7065217393</v>
      </c>
      <c r="P16" s="397">
        <f>IF($O$36=0,0,O16/$O$36)</f>
        <v>-3.4395282157523757E-2</v>
      </c>
      <c r="Q16" s="352"/>
      <c r="R16" s="352"/>
      <c r="S16" s="352"/>
    </row>
    <row r="17" spans="1:19" ht="6" customHeight="1" x14ac:dyDescent="0.2">
      <c r="A17" s="323"/>
      <c r="B17" s="323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371"/>
      <c r="P17" s="398"/>
      <c r="Q17" s="16"/>
      <c r="R17" s="16"/>
      <c r="S17" s="16"/>
    </row>
    <row r="18" spans="1:19" ht="22" customHeight="1" x14ac:dyDescent="0.2">
      <c r="A18" s="393" t="s">
        <v>227</v>
      </c>
      <c r="B18" s="406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411"/>
      <c r="P18" s="400"/>
      <c r="Q18" s="208"/>
      <c r="R18" s="208"/>
      <c r="S18" s="208"/>
    </row>
    <row r="19" spans="1:19" ht="18" customHeight="1" x14ac:dyDescent="0.2">
      <c r="A19" s="325"/>
      <c r="B19" s="390" t="s">
        <v>352</v>
      </c>
      <c r="C19" s="127">
        <f>OTHER_REVENUES!D16</f>
        <v>0</v>
      </c>
      <c r="D19" s="127">
        <f>OTHER_REVENUES!E16</f>
        <v>0</v>
      </c>
      <c r="E19" s="127">
        <f>OTHER_REVENUES!F16</f>
        <v>0</v>
      </c>
      <c r="F19" s="127">
        <f>OTHER_REVENUES!G16</f>
        <v>0</v>
      </c>
      <c r="G19" s="127">
        <f>OTHER_REVENUES!H16</f>
        <v>334500.00000000012</v>
      </c>
      <c r="H19" s="127">
        <f>OTHER_REVENUES!I16</f>
        <v>334500.00000000012</v>
      </c>
      <c r="I19" s="127">
        <f>OTHER_REVENUES!J16</f>
        <v>0</v>
      </c>
      <c r="J19" s="127">
        <f>OTHER_REVENUES!K16</f>
        <v>0</v>
      </c>
      <c r="K19" s="127">
        <f>OTHER_REVENUES!L16</f>
        <v>0</v>
      </c>
      <c r="L19" s="127">
        <f>OTHER_REVENUES!M16</f>
        <v>24400</v>
      </c>
      <c r="M19" s="127">
        <f>OTHER_REVENUES!N16</f>
        <v>24400</v>
      </c>
      <c r="N19" s="297">
        <f>OTHER_REVENUES!O16</f>
        <v>0</v>
      </c>
      <c r="O19" s="409">
        <f>SUM(C19:N19)</f>
        <v>717800.00000000023</v>
      </c>
      <c r="P19" s="219">
        <f>IF($O$36=0,0,O19/$O$36)</f>
        <v>1.0579251449278843E-2</v>
      </c>
      <c r="Q19" s="16"/>
      <c r="R19" s="16"/>
      <c r="S19" s="16"/>
    </row>
    <row r="20" spans="1:19" ht="18" customHeight="1" x14ac:dyDescent="0.2">
      <c r="A20" s="324"/>
      <c r="B20" s="391" t="s">
        <v>259</v>
      </c>
      <c r="C20" s="126">
        <f>OTHER_REVENUES!D21</f>
        <v>0</v>
      </c>
      <c r="D20" s="126">
        <f>OTHER_REVENUES!E21</f>
        <v>0</v>
      </c>
      <c r="E20" s="126">
        <f>OTHER_REVENUES!F21</f>
        <v>0</v>
      </c>
      <c r="F20" s="126">
        <f>OTHER_REVENUES!G21</f>
        <v>0</v>
      </c>
      <c r="G20" s="126">
        <f>OTHER_REVENUES!H21</f>
        <v>4368525</v>
      </c>
      <c r="H20" s="126">
        <f>OTHER_REVENUES!I21</f>
        <v>4368525</v>
      </c>
      <c r="I20" s="126">
        <f>OTHER_REVENUES!J21</f>
        <v>0</v>
      </c>
      <c r="J20" s="126">
        <f>OTHER_REVENUES!K21</f>
        <v>0</v>
      </c>
      <c r="K20" s="126">
        <f>OTHER_REVENUES!L21</f>
        <v>0</v>
      </c>
      <c r="L20" s="126">
        <f>OTHER_REVENUES!M21</f>
        <v>0</v>
      </c>
      <c r="M20" s="126">
        <f>OTHER_REVENUES!N21</f>
        <v>0</v>
      </c>
      <c r="N20" s="292">
        <f>OTHER_REVENUES!O21</f>
        <v>0</v>
      </c>
      <c r="O20" s="410">
        <f>SUM(C20:N20)</f>
        <v>8737050</v>
      </c>
      <c r="P20" s="218">
        <f>IF($O$36=0,0,O20/$O$36)</f>
        <v>0.12877047767473068</v>
      </c>
      <c r="Q20" s="19"/>
      <c r="R20" s="19"/>
      <c r="S20" s="19"/>
    </row>
    <row r="21" spans="1:19" ht="18" customHeight="1" x14ac:dyDescent="0.2">
      <c r="A21" s="92"/>
      <c r="B21" s="390" t="s">
        <v>210</v>
      </c>
      <c r="C21" s="127">
        <f>OTHER_REVENUES!D12+OTHER_REVENUES!D14</f>
        <v>0</v>
      </c>
      <c r="D21" s="127">
        <f>OTHER_REVENUES!E12+OTHER_REVENUES!E14</f>
        <v>0</v>
      </c>
      <c r="E21" s="127">
        <f>OTHER_REVENUES!F12+OTHER_REVENUES!F14</f>
        <v>0</v>
      </c>
      <c r="F21" s="127">
        <f>OTHER_REVENUES!G12+OTHER_REVENUES!G14</f>
        <v>0</v>
      </c>
      <c r="G21" s="127">
        <f>OTHER_REVENUES!H12+OTHER_REVENUES!H14</f>
        <v>0</v>
      </c>
      <c r="H21" s="127">
        <f>OTHER_REVENUES!I12+OTHER_REVENUES!I14</f>
        <v>0</v>
      </c>
      <c r="I21" s="127">
        <f>OTHER_REVENUES!J12+OTHER_REVENUES!J14</f>
        <v>0</v>
      </c>
      <c r="J21" s="127">
        <f>OTHER_REVENUES!K12+OTHER_REVENUES!K14</f>
        <v>0</v>
      </c>
      <c r="K21" s="127">
        <f>OTHER_REVENUES!L12+OTHER_REVENUES!L14</f>
        <v>0</v>
      </c>
      <c r="L21" s="127">
        <f>OTHER_REVENUES!M12+OTHER_REVENUES!M14</f>
        <v>24400</v>
      </c>
      <c r="M21" s="127">
        <f>OTHER_REVENUES!N12+OTHER_REVENUES!N14</f>
        <v>24400</v>
      </c>
      <c r="N21" s="297">
        <f>OTHER_REVENUES!O12+OTHER_REVENUES!O14</f>
        <v>0</v>
      </c>
      <c r="O21" s="409">
        <f>SUM(C21:N21)</f>
        <v>48800</v>
      </c>
      <c r="P21" s="219">
        <f>IF($O$36=0,0,O21/$O$36)</f>
        <v>7.1923581878630171E-4</v>
      </c>
      <c r="Q21" s="16"/>
      <c r="R21" s="16"/>
      <c r="S21" s="16"/>
    </row>
    <row r="22" spans="1:19" ht="22" customHeight="1" x14ac:dyDescent="0.2">
      <c r="A22" s="330"/>
      <c r="B22" s="392" t="s">
        <v>211</v>
      </c>
      <c r="C22" s="344">
        <f t="shared" ref="C22:N22" si="4">C19+C20+C21</f>
        <v>0</v>
      </c>
      <c r="D22" s="344">
        <f t="shared" si="4"/>
        <v>0</v>
      </c>
      <c r="E22" s="344">
        <f t="shared" si="4"/>
        <v>0</v>
      </c>
      <c r="F22" s="344">
        <f t="shared" si="4"/>
        <v>0</v>
      </c>
      <c r="G22" s="344">
        <f t="shared" si="4"/>
        <v>4703025</v>
      </c>
      <c r="H22" s="344">
        <f t="shared" si="4"/>
        <v>4703025</v>
      </c>
      <c r="I22" s="344">
        <f t="shared" si="4"/>
        <v>0</v>
      </c>
      <c r="J22" s="344">
        <f t="shared" si="4"/>
        <v>0</v>
      </c>
      <c r="K22" s="344">
        <f t="shared" si="4"/>
        <v>0</v>
      </c>
      <c r="L22" s="344">
        <f t="shared" si="4"/>
        <v>48800</v>
      </c>
      <c r="M22" s="344">
        <f t="shared" si="4"/>
        <v>48800</v>
      </c>
      <c r="N22" s="344">
        <f t="shared" si="4"/>
        <v>0</v>
      </c>
      <c r="O22" s="375">
        <f>SUM(C22:N22)</f>
        <v>9503650</v>
      </c>
      <c r="P22" s="397">
        <f>IF($O$36=0,0,O22/$O$36)</f>
        <v>0.14006896494279583</v>
      </c>
      <c r="Q22" s="352"/>
      <c r="R22" s="352"/>
      <c r="S22" s="352"/>
    </row>
    <row r="23" spans="1:19" ht="6" customHeight="1" x14ac:dyDescent="0.2">
      <c r="A23" s="90"/>
      <c r="B23" s="90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379"/>
      <c r="P23" s="398"/>
      <c r="Q23" s="16"/>
      <c r="R23" s="16"/>
      <c r="S23" s="16"/>
    </row>
    <row r="24" spans="1:19" ht="22" customHeight="1" x14ac:dyDescent="0.2">
      <c r="A24" s="393" t="s">
        <v>229</v>
      </c>
      <c r="B24" s="332"/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80"/>
      <c r="P24" s="401"/>
      <c r="Q24" s="208"/>
      <c r="R24" s="208"/>
      <c r="S24" s="208"/>
    </row>
    <row r="25" spans="1:19" ht="18" customHeight="1" x14ac:dyDescent="0.2">
      <c r="A25" s="92"/>
      <c r="B25" s="390" t="s">
        <v>260</v>
      </c>
      <c r="C25" s="127">
        <f>OTHER_REVENUES!D26</f>
        <v>123000</v>
      </c>
      <c r="D25" s="127">
        <f>OTHER_REVENUES!E26</f>
        <v>123000</v>
      </c>
      <c r="E25" s="127">
        <f>OTHER_REVENUES!F26</f>
        <v>123000</v>
      </c>
      <c r="F25" s="127">
        <f>OTHER_REVENUES!G26</f>
        <v>123000</v>
      </c>
      <c r="G25" s="127">
        <f>OTHER_REVENUES!H26</f>
        <v>123000</v>
      </c>
      <c r="H25" s="127">
        <f>OTHER_REVENUES!I26</f>
        <v>123000</v>
      </c>
      <c r="I25" s="127">
        <f>OTHER_REVENUES!J26</f>
        <v>0</v>
      </c>
      <c r="J25" s="127">
        <f>OTHER_REVENUES!K26</f>
        <v>0</v>
      </c>
      <c r="K25" s="127">
        <f>OTHER_REVENUES!L26</f>
        <v>123000</v>
      </c>
      <c r="L25" s="127">
        <f>OTHER_REVENUES!M26</f>
        <v>123000</v>
      </c>
      <c r="M25" s="127">
        <f>OTHER_REVENUES!N26</f>
        <v>123000</v>
      </c>
      <c r="N25" s="297">
        <f>OTHER_REVENUES!O26</f>
        <v>123000</v>
      </c>
      <c r="O25" s="409">
        <f>SUM(C25:N25)</f>
        <v>1230000</v>
      </c>
      <c r="P25" s="219">
        <f>IF($O$36=0,0,O25/$O$36)</f>
        <v>1.8128279858753097E-2</v>
      </c>
      <c r="Q25" s="16"/>
      <c r="R25" s="16"/>
      <c r="S25" s="16"/>
    </row>
    <row r="26" spans="1:19" ht="18" customHeight="1" x14ac:dyDescent="0.2">
      <c r="A26" s="91"/>
      <c r="B26" s="391" t="s">
        <v>261</v>
      </c>
      <c r="C26" s="126">
        <f>OTHER_REVENUES!D27</f>
        <v>3000</v>
      </c>
      <c r="D26" s="126">
        <f>OTHER_REVENUES!E27</f>
        <v>3000</v>
      </c>
      <c r="E26" s="126">
        <f>OTHER_REVENUES!F27</f>
        <v>3000</v>
      </c>
      <c r="F26" s="126">
        <f>OTHER_REVENUES!G27</f>
        <v>3000</v>
      </c>
      <c r="G26" s="126">
        <f>OTHER_REVENUES!H27</f>
        <v>3000</v>
      </c>
      <c r="H26" s="126">
        <f>OTHER_REVENUES!I27</f>
        <v>3000</v>
      </c>
      <c r="I26" s="126">
        <f>OTHER_REVENUES!J27</f>
        <v>0</v>
      </c>
      <c r="J26" s="126">
        <f>OTHER_REVENUES!K27</f>
        <v>0</v>
      </c>
      <c r="K26" s="126">
        <f>OTHER_REVENUES!L27</f>
        <v>3000</v>
      </c>
      <c r="L26" s="126">
        <f>OTHER_REVENUES!M27</f>
        <v>3000</v>
      </c>
      <c r="M26" s="126">
        <f>OTHER_REVENUES!N27</f>
        <v>3000</v>
      </c>
      <c r="N26" s="292">
        <f>OTHER_REVENUES!O27</f>
        <v>3000</v>
      </c>
      <c r="O26" s="410">
        <f>SUM(C26:N26)</f>
        <v>30000</v>
      </c>
      <c r="P26" s="218">
        <f>IF($O$36=0,0,O26/$O$36)</f>
        <v>4.4215316728666085E-4</v>
      </c>
      <c r="Q26" s="19"/>
      <c r="R26" s="19"/>
      <c r="S26" s="19"/>
    </row>
    <row r="27" spans="1:19" ht="18" customHeight="1" x14ac:dyDescent="0.2">
      <c r="A27" s="92"/>
      <c r="B27" s="390" t="s">
        <v>213</v>
      </c>
      <c r="C27" s="127">
        <f>OTHER_REVENUES!D28</f>
        <v>0</v>
      </c>
      <c r="D27" s="127">
        <f>OTHER_REVENUES!E28</f>
        <v>0</v>
      </c>
      <c r="E27" s="127">
        <f>OTHER_REVENUES!F28</f>
        <v>0</v>
      </c>
      <c r="F27" s="127">
        <f>OTHER_REVENUES!G28</f>
        <v>0</v>
      </c>
      <c r="G27" s="127">
        <f>OTHER_REVENUES!H28</f>
        <v>0</v>
      </c>
      <c r="H27" s="127">
        <f>OTHER_REVENUES!I28</f>
        <v>0</v>
      </c>
      <c r="I27" s="127">
        <f>OTHER_REVENUES!J28</f>
        <v>0</v>
      </c>
      <c r="J27" s="127">
        <f>OTHER_REVENUES!K28</f>
        <v>0</v>
      </c>
      <c r="K27" s="127">
        <f>OTHER_REVENUES!L28</f>
        <v>0</v>
      </c>
      <c r="L27" s="127">
        <f>OTHER_REVENUES!M28</f>
        <v>0</v>
      </c>
      <c r="M27" s="127">
        <f>OTHER_REVENUES!N28</f>
        <v>26400</v>
      </c>
      <c r="N27" s="297">
        <f>OTHER_REVENUES!O28</f>
        <v>26400</v>
      </c>
      <c r="O27" s="409">
        <f>SUM(C27:N27)</f>
        <v>52800</v>
      </c>
      <c r="P27" s="219">
        <f>IF($O$36=0,0,O27/$O$36)</f>
        <v>7.7818957442452312E-4</v>
      </c>
      <c r="Q27" s="16"/>
      <c r="R27" s="16"/>
      <c r="S27" s="16"/>
    </row>
    <row r="28" spans="1:19" ht="22" customHeight="1" x14ac:dyDescent="0.2">
      <c r="A28" s="330"/>
      <c r="B28" s="392" t="s">
        <v>214</v>
      </c>
      <c r="C28" s="344">
        <f t="shared" ref="C28:N28" si="5">C25+C26+C27</f>
        <v>126000</v>
      </c>
      <c r="D28" s="344">
        <f t="shared" si="5"/>
        <v>126000</v>
      </c>
      <c r="E28" s="344">
        <f t="shared" si="5"/>
        <v>126000</v>
      </c>
      <c r="F28" s="344">
        <f t="shared" si="5"/>
        <v>126000</v>
      </c>
      <c r="G28" s="344">
        <f t="shared" si="5"/>
        <v>126000</v>
      </c>
      <c r="H28" s="344">
        <f t="shared" si="5"/>
        <v>126000</v>
      </c>
      <c r="I28" s="344">
        <f t="shared" si="5"/>
        <v>0</v>
      </c>
      <c r="J28" s="344">
        <f t="shared" si="5"/>
        <v>0</v>
      </c>
      <c r="K28" s="344">
        <f t="shared" si="5"/>
        <v>126000</v>
      </c>
      <c r="L28" s="344">
        <f t="shared" si="5"/>
        <v>126000</v>
      </c>
      <c r="M28" s="344">
        <f t="shared" si="5"/>
        <v>152400</v>
      </c>
      <c r="N28" s="344">
        <f t="shared" si="5"/>
        <v>152400</v>
      </c>
      <c r="O28" s="375">
        <f>SUM(C28:N28)</f>
        <v>1312800</v>
      </c>
      <c r="P28" s="397">
        <f>IF($O$36=0,0,O28/$O$36)</f>
        <v>1.9348622600464278E-2</v>
      </c>
      <c r="Q28" s="352"/>
      <c r="R28" s="352"/>
      <c r="S28" s="352"/>
    </row>
    <row r="29" spans="1:19" ht="6" customHeight="1" x14ac:dyDescent="0.2">
      <c r="A29" s="90"/>
      <c r="B29" s="90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379"/>
      <c r="P29" s="398"/>
      <c r="Q29" s="16"/>
      <c r="R29" s="16"/>
      <c r="S29" s="16"/>
    </row>
    <row r="30" spans="1:19" ht="22" customHeight="1" x14ac:dyDescent="0.2">
      <c r="A30" s="393" t="s">
        <v>230</v>
      </c>
      <c r="B30" s="332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80"/>
      <c r="P30" s="401"/>
      <c r="Q30" s="208"/>
      <c r="R30" s="208"/>
      <c r="S30" s="208"/>
    </row>
    <row r="31" spans="1:19" ht="18" customHeight="1" x14ac:dyDescent="0.2">
      <c r="A31" s="92"/>
      <c r="B31" s="390" t="s">
        <v>262</v>
      </c>
      <c r="C31" s="127">
        <f>OTHER_REVENUES!D34</f>
        <v>0</v>
      </c>
      <c r="D31" s="127">
        <f>OTHER_REVENUES!E34</f>
        <v>0</v>
      </c>
      <c r="E31" s="127">
        <f>OTHER_REVENUES!F34</f>
        <v>0</v>
      </c>
      <c r="F31" s="127">
        <f>OTHER_REVENUES!G34</f>
        <v>111000</v>
      </c>
      <c r="G31" s="127">
        <f>OTHER_REVENUES!H34</f>
        <v>111000</v>
      </c>
      <c r="H31" s="127">
        <f>OTHER_REVENUES!I34</f>
        <v>0</v>
      </c>
      <c r="I31" s="127">
        <f>OTHER_REVENUES!J34</f>
        <v>0</v>
      </c>
      <c r="J31" s="127">
        <f>OTHER_REVENUES!K34</f>
        <v>0</v>
      </c>
      <c r="K31" s="127">
        <f>OTHER_REVENUES!L34</f>
        <v>0</v>
      </c>
      <c r="L31" s="127">
        <f>OTHER_REVENUES!M34</f>
        <v>0</v>
      </c>
      <c r="M31" s="127">
        <f>OTHER_REVENUES!N34</f>
        <v>0</v>
      </c>
      <c r="N31" s="297">
        <f>OTHER_REVENUES!O34</f>
        <v>0</v>
      </c>
      <c r="O31" s="409">
        <f t="shared" ref="O31:O36" si="6">SUM(C31:N31)</f>
        <v>222000</v>
      </c>
      <c r="P31" s="219">
        <f t="shared" ref="P31:P36" si="7">IF($O$36=0,0,O31/$O$36)</f>
        <v>3.2719334379212902E-3</v>
      </c>
      <c r="Q31" s="16"/>
      <c r="R31" s="16"/>
      <c r="S31" s="16"/>
    </row>
    <row r="32" spans="1:19" ht="18" customHeight="1" x14ac:dyDescent="0.2">
      <c r="A32" s="91"/>
      <c r="B32" s="391" t="s">
        <v>263</v>
      </c>
      <c r="C32" s="126">
        <f>OTHER_REVENUES!D36</f>
        <v>0</v>
      </c>
      <c r="D32" s="126">
        <f>OTHER_REVENUES!E36</f>
        <v>0</v>
      </c>
      <c r="E32" s="126">
        <f>OTHER_REVENUES!F36</f>
        <v>0</v>
      </c>
      <c r="F32" s="126">
        <f>OTHER_REVENUES!G36</f>
        <v>30900</v>
      </c>
      <c r="G32" s="126">
        <f>OTHER_REVENUES!H36</f>
        <v>30900</v>
      </c>
      <c r="H32" s="126">
        <f>OTHER_REVENUES!I36</f>
        <v>0</v>
      </c>
      <c r="I32" s="126">
        <f>OTHER_REVENUES!J36</f>
        <v>0</v>
      </c>
      <c r="J32" s="126">
        <f>OTHER_REVENUES!K36</f>
        <v>0</v>
      </c>
      <c r="K32" s="126">
        <f>OTHER_REVENUES!L36</f>
        <v>0</v>
      </c>
      <c r="L32" s="126">
        <f>OTHER_REVENUES!M36</f>
        <v>0</v>
      </c>
      <c r="M32" s="126">
        <f>OTHER_REVENUES!N36</f>
        <v>0</v>
      </c>
      <c r="N32" s="292">
        <f>OTHER_REVENUES!O36</f>
        <v>0</v>
      </c>
      <c r="O32" s="410">
        <f t="shared" si="6"/>
        <v>61800</v>
      </c>
      <c r="P32" s="218">
        <f t="shared" si="7"/>
        <v>9.108355246105214E-4</v>
      </c>
      <c r="Q32" s="19"/>
      <c r="R32" s="19"/>
      <c r="S32" s="19"/>
    </row>
    <row r="33" spans="1:19" ht="18" customHeight="1" x14ac:dyDescent="0.2">
      <c r="A33" s="92"/>
      <c r="B33" s="390" t="s">
        <v>264</v>
      </c>
      <c r="C33" s="127">
        <f>OTHER_REVENUES!D38</f>
        <v>0</v>
      </c>
      <c r="D33" s="127">
        <f>OTHER_REVENUES!E38</f>
        <v>0</v>
      </c>
      <c r="E33" s="127">
        <f>OTHER_REVENUES!F38</f>
        <v>0</v>
      </c>
      <c r="F33" s="127">
        <f>OTHER_REVENUES!G38</f>
        <v>48000</v>
      </c>
      <c r="G33" s="127">
        <f>OTHER_REVENUES!H38</f>
        <v>48000</v>
      </c>
      <c r="H33" s="127">
        <f>OTHER_REVENUES!I38</f>
        <v>0</v>
      </c>
      <c r="I33" s="127">
        <f>OTHER_REVENUES!J38</f>
        <v>0</v>
      </c>
      <c r="J33" s="127">
        <f>OTHER_REVENUES!K38</f>
        <v>0</v>
      </c>
      <c r="K33" s="127">
        <f>OTHER_REVENUES!L38</f>
        <v>0</v>
      </c>
      <c r="L33" s="127">
        <f>OTHER_REVENUES!M38</f>
        <v>0</v>
      </c>
      <c r="M33" s="127">
        <f>OTHER_REVENUES!N38</f>
        <v>0</v>
      </c>
      <c r="N33" s="297">
        <f>OTHER_REVENUES!O38</f>
        <v>0</v>
      </c>
      <c r="O33" s="409">
        <f t="shared" si="6"/>
        <v>96000</v>
      </c>
      <c r="P33" s="219">
        <f t="shared" si="7"/>
        <v>1.4148901353173147E-3</v>
      </c>
      <c r="Q33" s="16"/>
      <c r="R33" s="16"/>
      <c r="S33" s="16"/>
    </row>
    <row r="34" spans="1:19" ht="18" customHeight="1" x14ac:dyDescent="0.2">
      <c r="A34" s="91"/>
      <c r="B34" s="391" t="s">
        <v>265</v>
      </c>
      <c r="C34" s="126">
        <f>OTHER_REVENUES!D40</f>
        <v>0</v>
      </c>
      <c r="D34" s="126">
        <f>OTHER_REVENUES!E40</f>
        <v>0</v>
      </c>
      <c r="E34" s="126">
        <f>OTHER_REVENUES!F40</f>
        <v>0</v>
      </c>
      <c r="F34" s="126">
        <f>OTHER_REVENUES!G40</f>
        <v>0</v>
      </c>
      <c r="G34" s="126">
        <f>OTHER_REVENUES!H40</f>
        <v>0</v>
      </c>
      <c r="H34" s="126">
        <f>OTHER_REVENUES!I40</f>
        <v>0</v>
      </c>
      <c r="I34" s="126">
        <f>OTHER_REVENUES!J40</f>
        <v>0</v>
      </c>
      <c r="J34" s="126">
        <f>OTHER_REVENUES!K40</f>
        <v>0</v>
      </c>
      <c r="K34" s="126">
        <f>OTHER_REVENUES!L40</f>
        <v>0</v>
      </c>
      <c r="L34" s="126">
        <f>OTHER_REVENUES!M40</f>
        <v>7500</v>
      </c>
      <c r="M34" s="126">
        <f>OTHER_REVENUES!N40</f>
        <v>7500</v>
      </c>
      <c r="N34" s="292">
        <f>OTHER_REVENUES!O40</f>
        <v>0</v>
      </c>
      <c r="O34" s="410">
        <f t="shared" si="6"/>
        <v>15000</v>
      </c>
      <c r="P34" s="218">
        <f t="shared" si="7"/>
        <v>2.2107658364333042E-4</v>
      </c>
      <c r="Q34" s="19"/>
      <c r="R34" s="19"/>
      <c r="S34" s="19"/>
    </row>
    <row r="35" spans="1:19" ht="22" customHeight="1" thickBot="1" x14ac:dyDescent="0.25">
      <c r="A35" s="335"/>
      <c r="B35" s="394" t="s">
        <v>220</v>
      </c>
      <c r="C35" s="402">
        <f t="shared" ref="C35:N35" si="8">C31+C32+C33+C34</f>
        <v>0</v>
      </c>
      <c r="D35" s="402">
        <f t="shared" si="8"/>
        <v>0</v>
      </c>
      <c r="E35" s="402">
        <f t="shared" si="8"/>
        <v>0</v>
      </c>
      <c r="F35" s="402">
        <f t="shared" si="8"/>
        <v>189900</v>
      </c>
      <c r="G35" s="402">
        <f t="shared" si="8"/>
        <v>189900</v>
      </c>
      <c r="H35" s="402">
        <f t="shared" si="8"/>
        <v>0</v>
      </c>
      <c r="I35" s="402">
        <f t="shared" si="8"/>
        <v>0</v>
      </c>
      <c r="J35" s="402">
        <f t="shared" si="8"/>
        <v>0</v>
      </c>
      <c r="K35" s="402">
        <f t="shared" si="8"/>
        <v>0</v>
      </c>
      <c r="L35" s="402">
        <f t="shared" si="8"/>
        <v>7500</v>
      </c>
      <c r="M35" s="402">
        <f t="shared" si="8"/>
        <v>7500</v>
      </c>
      <c r="N35" s="402">
        <f t="shared" si="8"/>
        <v>0</v>
      </c>
      <c r="O35" s="412">
        <f t="shared" si="6"/>
        <v>394800</v>
      </c>
      <c r="P35" s="403">
        <f t="shared" si="7"/>
        <v>5.8187356814924573E-3</v>
      </c>
      <c r="Q35" s="203"/>
      <c r="R35" s="203"/>
      <c r="S35" s="203"/>
    </row>
    <row r="36" spans="1:19" ht="24" customHeight="1" thickTop="1" thickBot="1" x14ac:dyDescent="0.25">
      <c r="A36" s="336"/>
      <c r="B36" s="146" t="s">
        <v>266</v>
      </c>
      <c r="C36" s="169">
        <f t="shared" ref="C36:N36" si="9">C11+C16+C22+C28+C35</f>
        <v>5728363.7543478264</v>
      </c>
      <c r="D36" s="169">
        <f t="shared" si="9"/>
        <v>5728363.7543478264</v>
      </c>
      <c r="E36" s="169">
        <f t="shared" si="9"/>
        <v>5728363.7543478264</v>
      </c>
      <c r="F36" s="169">
        <f t="shared" si="9"/>
        <v>5918263.7543478264</v>
      </c>
      <c r="G36" s="169">
        <f t="shared" si="9"/>
        <v>10621288.754347827</v>
      </c>
      <c r="H36" s="169">
        <f t="shared" si="9"/>
        <v>10431388.754347827</v>
      </c>
      <c r="I36" s="169">
        <f t="shared" si="9"/>
        <v>0</v>
      </c>
      <c r="J36" s="169">
        <f t="shared" si="9"/>
        <v>0</v>
      </c>
      <c r="K36" s="169">
        <f t="shared" si="9"/>
        <v>5882089.6239130441</v>
      </c>
      <c r="L36" s="169">
        <f t="shared" si="9"/>
        <v>5938389.6239130441</v>
      </c>
      <c r="M36" s="169">
        <f t="shared" si="9"/>
        <v>5964789.6239130441</v>
      </c>
      <c r="N36" s="169">
        <f t="shared" si="9"/>
        <v>5908489.6239130441</v>
      </c>
      <c r="O36" s="413">
        <f t="shared" si="6"/>
        <v>67849791.021739125</v>
      </c>
      <c r="P36" s="404">
        <f t="shared" si="7"/>
        <v>1</v>
      </c>
      <c r="Q36" s="204"/>
      <c r="R36" s="204"/>
      <c r="S36" s="204"/>
    </row>
    <row r="37" spans="1:19" ht="16" thickTop="1" x14ac:dyDescent="0.2"/>
  </sheetData>
  <mergeCells count="2">
    <mergeCell ref="A1:S1"/>
    <mergeCell ref="A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44AD"/>
  </sheetPr>
  <dimension ref="A1:D25"/>
  <sheetViews>
    <sheetView showGridLines="0" tabSelected="1" workbookViewId="0">
      <selection activeCell="P39" sqref="P39"/>
    </sheetView>
  </sheetViews>
  <sheetFormatPr baseColWidth="10" defaultColWidth="8.83203125" defaultRowHeight="15" x14ac:dyDescent="0.2"/>
  <cols>
    <col min="1" max="1" width="36.6640625" customWidth="1"/>
    <col min="2" max="4" width="20" customWidth="1"/>
  </cols>
  <sheetData>
    <row r="1" spans="1:4" s="1" customFormat="1" ht="30" customHeight="1" thickBot="1" x14ac:dyDescent="0.3">
      <c r="A1" s="26" t="s">
        <v>268</v>
      </c>
      <c r="B1" s="26"/>
      <c r="C1" s="26"/>
      <c r="D1" s="26"/>
    </row>
    <row r="2" spans="1:4" ht="6" customHeight="1" thickTop="1" x14ac:dyDescent="0.2">
      <c r="A2" s="25"/>
      <c r="B2" s="25"/>
      <c r="C2" s="25"/>
      <c r="D2" s="25"/>
    </row>
    <row r="3" spans="1:4" ht="22" customHeight="1" x14ac:dyDescent="0.2">
      <c r="A3" s="30" t="s">
        <v>269</v>
      </c>
      <c r="B3" s="31"/>
      <c r="C3" s="32"/>
      <c r="D3" s="32"/>
    </row>
    <row r="4" spans="1:4" ht="24" customHeight="1" x14ac:dyDescent="0.2">
      <c r="A4" s="69" t="s">
        <v>270</v>
      </c>
      <c r="B4" s="69" t="s">
        <v>271</v>
      </c>
      <c r="C4" s="69" t="s">
        <v>272</v>
      </c>
      <c r="D4" s="69" t="s">
        <v>273</v>
      </c>
    </row>
    <row r="5" spans="1:4" ht="18" customHeight="1" x14ac:dyDescent="0.2">
      <c r="A5" s="34" t="s">
        <v>274</v>
      </c>
      <c r="B5" s="425">
        <v>1</v>
      </c>
      <c r="C5" s="425">
        <v>1.1000000000000001</v>
      </c>
      <c r="D5" s="426">
        <v>0.9</v>
      </c>
    </row>
    <row r="6" spans="1:4" ht="18" customHeight="1" x14ac:dyDescent="0.2">
      <c r="A6" s="35" t="s">
        <v>60</v>
      </c>
      <c r="B6" s="427">
        <v>0</v>
      </c>
      <c r="C6" s="427">
        <v>0.03</v>
      </c>
      <c r="D6" s="259">
        <v>-0.05</v>
      </c>
    </row>
    <row r="7" spans="1:4" ht="18" customHeight="1" x14ac:dyDescent="0.2">
      <c r="A7" s="38" t="s">
        <v>275</v>
      </c>
      <c r="B7" s="260">
        <v>0.02</v>
      </c>
      <c r="C7" s="260">
        <v>0.01</v>
      </c>
      <c r="D7" s="428">
        <v>0.05</v>
      </c>
    </row>
    <row r="8" spans="1:4" ht="18" customHeight="1" x14ac:dyDescent="0.2">
      <c r="A8" s="35" t="s">
        <v>276</v>
      </c>
      <c r="B8" s="427">
        <v>0.95</v>
      </c>
      <c r="C8" s="427">
        <v>0.98</v>
      </c>
      <c r="D8" s="259">
        <v>0.9</v>
      </c>
    </row>
    <row r="9" spans="1:4" ht="18" customHeight="1" x14ac:dyDescent="0.2">
      <c r="A9" s="38" t="s">
        <v>277</v>
      </c>
      <c r="B9" s="261">
        <v>0.02</v>
      </c>
      <c r="C9" s="261">
        <v>0.01</v>
      </c>
      <c r="D9" s="429">
        <v>0.03</v>
      </c>
    </row>
    <row r="10" spans="1:4" ht="6" customHeight="1" x14ac:dyDescent="0.2">
      <c r="A10" s="39"/>
      <c r="B10" s="205"/>
      <c r="C10" s="205"/>
      <c r="D10" s="205"/>
    </row>
    <row r="11" spans="1:4" ht="6" customHeight="1" x14ac:dyDescent="0.2">
      <c r="A11" s="41"/>
      <c r="B11" s="305"/>
      <c r="C11" s="305"/>
      <c r="D11" s="305"/>
    </row>
    <row r="12" spans="1:4" ht="22" customHeight="1" x14ac:dyDescent="0.2">
      <c r="A12" s="30" t="s">
        <v>278</v>
      </c>
      <c r="B12" s="306"/>
      <c r="C12" s="307"/>
      <c r="D12" s="307"/>
    </row>
    <row r="13" spans="1:4" ht="24" customHeight="1" x14ac:dyDescent="0.2">
      <c r="A13" s="69" t="s">
        <v>267</v>
      </c>
      <c r="B13" s="69" t="s">
        <v>271</v>
      </c>
      <c r="C13" s="69" t="s">
        <v>272</v>
      </c>
      <c r="D13" s="69" t="s">
        <v>273</v>
      </c>
    </row>
    <row r="14" spans="1:4" ht="18" customHeight="1" x14ac:dyDescent="0.2">
      <c r="A14" s="78" t="s">
        <v>279</v>
      </c>
      <c r="B14" s="125">
        <f>INT(ENROLLMENT_DETAIL!$O$29*B5*(1+B6)*(1-B7))</f>
        <v>1717</v>
      </c>
      <c r="C14" s="125">
        <f>INT(ENROLLMENT_DETAIL!$O$29*C5*(1+C6)*(1-C7))</f>
        <v>1966</v>
      </c>
      <c r="D14" s="125">
        <f>INT(ENROLLMENT_DETAIL!$O$29*D5*(1+D6)*(1-D7))</f>
        <v>1423</v>
      </c>
    </row>
    <row r="15" spans="1:4" ht="18" customHeight="1" x14ac:dyDescent="0.2">
      <c r="A15" s="80" t="s">
        <v>496</v>
      </c>
      <c r="B15" s="126">
        <f>REVENUE_ENGINE!$O$11*(B14/ENROLLMENT_DETAIL!$O$29)*B8</f>
        <v>54873127.021593101</v>
      </c>
      <c r="C15" s="126">
        <f>REVENUE_ENGINE!$O$11*(C14/ENROLLMENT_DETAIL!$O$29)*C8</f>
        <v>64814981.068548568</v>
      </c>
      <c r="D15" s="126">
        <f>REVENUE_ENGINE!$O$11*(D14/ENROLLMENT_DETAIL!$O$29)*D8</f>
        <v>43083722.390064865</v>
      </c>
    </row>
    <row r="16" spans="1:4" ht="18" customHeight="1" x14ac:dyDescent="0.2">
      <c r="A16" s="83" t="s">
        <v>497</v>
      </c>
      <c r="B16" s="127">
        <f>B15+(REVENUE_ENGINE!$O$36-REVENUE_ENGINE!$O$11)*(B14/ENROLLMENT_DETAIL!$O$29)</f>
        <v>63568353.224047273</v>
      </c>
      <c r="C16" s="127">
        <f>C15+(REVENUE_ENGINE!$O$36-REVENUE_ENGINE!$O$11)*(C14/ENROLLMENT_DETAIL!$O$29)</f>
        <v>74771192.317252651</v>
      </c>
      <c r="D16" s="127">
        <f>D15+(REVENUE_ENGINE!$O$36-REVENUE_ENGINE!$O$11)*(D14/ENROLLMENT_DETAIL!$O$29)</f>
        <v>50290074.68248903</v>
      </c>
    </row>
    <row r="17" spans="1:4" ht="18" customHeight="1" x14ac:dyDescent="0.2">
      <c r="A17" s="80" t="s">
        <v>498</v>
      </c>
      <c r="B17" s="126">
        <f>B15*B9</f>
        <v>1097462.540431862</v>
      </c>
      <c r="C17" s="126">
        <f>C15*C9</f>
        <v>648149.81068548572</v>
      </c>
      <c r="D17" s="126">
        <f>D15*D9</f>
        <v>1292511.6717019458</v>
      </c>
    </row>
    <row r="18" spans="1:4" ht="18" customHeight="1" x14ac:dyDescent="0.2">
      <c r="A18" s="83" t="s">
        <v>499</v>
      </c>
      <c r="B18" s="127">
        <f>B16-B17</f>
        <v>62470890.683615409</v>
      </c>
      <c r="C18" s="127">
        <f>C16-C17</f>
        <v>74123042.506567165</v>
      </c>
      <c r="D18" s="127">
        <f>D16-D17</f>
        <v>48997563.010787085</v>
      </c>
    </row>
    <row r="19" spans="1:4" ht="18" customHeight="1" x14ac:dyDescent="0.2">
      <c r="A19" s="80" t="s">
        <v>500</v>
      </c>
      <c r="B19" s="126">
        <f>IF(B14=0,0,B18/B14)</f>
        <v>36383.745302047413</v>
      </c>
      <c r="C19" s="126">
        <f>IF(C14=0,0,C18/C14)</f>
        <v>37702.463126432944</v>
      </c>
      <c r="D19" s="126">
        <f>IF(D14=0,0,D18/D14)</f>
        <v>34432.581174130064</v>
      </c>
    </row>
    <row r="20" spans="1:4" ht="6" customHeight="1" x14ac:dyDescent="0.2">
      <c r="A20" s="41"/>
      <c r="B20" s="305"/>
      <c r="C20" s="305"/>
      <c r="D20" s="305"/>
    </row>
    <row r="21" spans="1:4" ht="22" customHeight="1" x14ac:dyDescent="0.2">
      <c r="A21" s="30" t="s">
        <v>280</v>
      </c>
      <c r="B21" s="306"/>
      <c r="C21" s="307"/>
      <c r="D21" s="307"/>
    </row>
    <row r="22" spans="1:4" ht="24" customHeight="1" x14ac:dyDescent="0.2">
      <c r="A22" s="69" t="s">
        <v>267</v>
      </c>
      <c r="B22" s="97" t="s">
        <v>271</v>
      </c>
      <c r="C22" s="97" t="s">
        <v>272</v>
      </c>
      <c r="D22" s="97" t="s">
        <v>273</v>
      </c>
    </row>
    <row r="23" spans="1:4" ht="18" customHeight="1" x14ac:dyDescent="0.2">
      <c r="A23" s="78" t="s">
        <v>281</v>
      </c>
      <c r="B23" s="125">
        <v>0</v>
      </c>
      <c r="C23" s="125">
        <f>C14-$B$14</f>
        <v>249</v>
      </c>
      <c r="D23" s="125">
        <f>D14-$B$14</f>
        <v>-294</v>
      </c>
    </row>
    <row r="24" spans="1:4" ht="18" customHeight="1" x14ac:dyDescent="0.2">
      <c r="A24" s="80" t="s">
        <v>282</v>
      </c>
      <c r="B24" s="126">
        <v>0</v>
      </c>
      <c r="C24" s="126">
        <f>C15-$B$15</f>
        <v>9941854.0469554663</v>
      </c>
      <c r="D24" s="126">
        <f>D15-$B$15</f>
        <v>-11789404.631528236</v>
      </c>
    </row>
    <row r="25" spans="1:4" ht="18" customHeight="1" x14ac:dyDescent="0.2">
      <c r="A25" s="44" t="s">
        <v>283</v>
      </c>
      <c r="B25" s="62">
        <v>0</v>
      </c>
      <c r="C25" s="62">
        <f>C18-$B$18</f>
        <v>11652151.822951756</v>
      </c>
      <c r="D25" s="62">
        <f>D18-$B$18</f>
        <v>-13473327.672828324</v>
      </c>
    </row>
  </sheetData>
  <mergeCells count="1">
    <mergeCell ref="A1:D1"/>
  </mergeCells>
  <conditionalFormatting sqref="C23:D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33</vt:i4>
      </vt:variant>
    </vt:vector>
  </HeadingPairs>
  <TitlesOfParts>
    <vt:vector size="44" baseType="lpstr">
      <vt:lpstr>INPUT_MAP</vt:lpstr>
      <vt:lpstr>ASSUMPTIONS</vt:lpstr>
      <vt:lpstr>FEE_GRID</vt:lpstr>
      <vt:lpstr>DISCOUNTS</vt:lpstr>
      <vt:lpstr>HISTORICAL</vt:lpstr>
      <vt:lpstr>ENROLLMENT_HEADCOUNT</vt:lpstr>
      <vt:lpstr>ENROLLMENT_DETAIL</vt:lpstr>
      <vt:lpstr>CLASS_CAPACITY</vt:lpstr>
      <vt:lpstr>OTHER_REVENUES</vt:lpstr>
      <vt:lpstr>REVENUE_ENGINE</vt:lpstr>
      <vt:lpstr>SCENARIOS</vt:lpstr>
      <vt:lpstr>ACADEMIC_MONTHS</vt:lpstr>
      <vt:lpstr>APS_MONTHLY</vt:lpstr>
      <vt:lpstr>AY1_LABEL</vt:lpstr>
      <vt:lpstr>AY1_MONTHS</vt:lpstr>
      <vt:lpstr>AY2_LABEL</vt:lpstr>
      <vt:lpstr>AY2_MONTHS</vt:lpstr>
      <vt:lpstr>BAC_FEES</vt:lpstr>
      <vt:lpstr>BOURSES_AEFE</vt:lpstr>
      <vt:lpstr>BOURSES_AESH</vt:lpstr>
      <vt:lpstr>CLASS_PHOTOS</vt:lpstr>
      <vt:lpstr>CURRENCY</vt:lpstr>
      <vt:lpstr>DAI_FEE_AUT</vt:lpstr>
      <vt:lpstr>DAI_FEE_FR</vt:lpstr>
      <vt:lpstr>DAI_FEE_NAT</vt:lpstr>
      <vt:lpstr>DISCOUNT_REDUIT</vt:lpstr>
      <vt:lpstr>DISCOUNT_REDUIT_3PLUS</vt:lpstr>
      <vt:lpstr>DNB_FEES</vt:lpstr>
      <vt:lpstr>EAF_FEES</vt:lpstr>
      <vt:lpstr>EVAL_TESTS</vt:lpstr>
      <vt:lpstr>FISCAL_YEAR</vt:lpstr>
      <vt:lpstr>GARDERIE_MONTHLY</vt:lpstr>
      <vt:lpstr>LATERAL_WEIGHT_RECENT</vt:lpstr>
      <vt:lpstr>NEW_PS_INTAKE</vt:lpstr>
      <vt:lpstr>NEW_STUDENTS</vt:lpstr>
      <vt:lpstr>NEW_STUDENTS_AUT</vt:lpstr>
      <vt:lpstr>NEW_STUDENTS_FR</vt:lpstr>
      <vt:lpstr>NEW_STUDENTS_MATERNELLE</vt:lpstr>
      <vt:lpstr>NEW_STUDENTS_NAT</vt:lpstr>
      <vt:lpstr>NEW_STUDENTS_PRIMAIRE</vt:lpstr>
      <vt:lpstr>NEW_STUDENTS_SECONDAIRE</vt:lpstr>
      <vt:lpstr>PSG_RENTAL</vt:lpstr>
      <vt:lpstr>SIELE_FEES</vt:lpstr>
      <vt:lpstr>VAT_RATE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Faker Helali</cp:lastModifiedBy>
  <dcterms:created xsi:type="dcterms:W3CDTF">2026-02-14T21:17:44Z</dcterms:created>
  <dcterms:modified xsi:type="dcterms:W3CDTF">2026-03-23T11:07:00Z</dcterms:modified>
</cp:coreProperties>
</file>