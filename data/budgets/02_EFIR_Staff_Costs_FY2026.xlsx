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kerhelali/Desktop/Budget 2026 EFIR/Budget 2026/"/>
    </mc:Choice>
  </mc:AlternateContent>
  <xr:revisionPtr revIDLastSave="0" documentId="13_ncr:1_{4B4BEB87-C56C-714E-BE5D-F7371749C3E7}" xr6:coauthVersionLast="47" xr6:coauthVersionMax="47" xr10:uidLastSave="{00000000-0000-0000-0000-000000000000}"/>
  <bookViews>
    <workbookView xWindow="0" yWindow="600" windowWidth="51200" windowHeight="26420" activeTab="5" xr2:uid="{B68A4753-2EE3-B241-A360-A02ACE6F0A7B}"/>
  </bookViews>
  <sheets>
    <sheet name="Assumptions" sheetId="11" r:id="rId1"/>
    <sheet name="Number of class 2025-26" sheetId="1" r:id="rId2"/>
    <sheet name="Teacher Requirements" sheetId="5" r:id="rId3"/>
    <sheet name="Curriculum_Detail" sheetId="7" r:id="rId4"/>
    <sheet name="Master Data" sheetId="9" r:id="rId5"/>
    <sheet name="Budget Summary" sheetId="13" r:id="rId6"/>
  </sheets>
  <definedNames>
    <definedName name="_xlnm._FilterDatabase" localSheetId="3" hidden="1">Curriculum_Detail!$A$1:$Q$96</definedName>
    <definedName name="_xlnm._FilterDatabase" localSheetId="4" hidden="1">'Master Data'!$A$4:$Y$194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3" l="1"/>
  <c r="D21" i="13" s="1"/>
  <c r="E21" i="13" s="1"/>
  <c r="F21" i="13" s="1"/>
  <c r="G21" i="13" s="1"/>
  <c r="J21" i="13" s="1"/>
  <c r="K21" i="13" s="1"/>
  <c r="L21" i="13" s="1"/>
  <c r="M21" i="13" s="1"/>
  <c r="B21" i="13"/>
  <c r="O36" i="13"/>
  <c r="I33" i="13"/>
  <c r="H33" i="13"/>
  <c r="G33" i="13"/>
  <c r="E33" i="13"/>
  <c r="D33" i="13"/>
  <c r="C33" i="13"/>
  <c r="B33" i="13"/>
  <c r="M32" i="13"/>
  <c r="N32" i="13" s="1"/>
  <c r="L32" i="13"/>
  <c r="K32" i="13"/>
  <c r="J32" i="13"/>
  <c r="I32" i="13"/>
  <c r="H32" i="13"/>
  <c r="G32" i="13"/>
  <c r="F32" i="13"/>
  <c r="F33" i="13" s="1"/>
  <c r="E32" i="13"/>
  <c r="D32" i="13"/>
  <c r="C32" i="13"/>
  <c r="B32" i="13"/>
  <c r="M31" i="13"/>
  <c r="L31" i="13"/>
  <c r="N31" i="13" s="1"/>
  <c r="K31" i="13"/>
  <c r="J31" i="13"/>
  <c r="I31" i="13"/>
  <c r="H31" i="13"/>
  <c r="G31" i="13"/>
  <c r="F31" i="13"/>
  <c r="E31" i="13"/>
  <c r="D31" i="13"/>
  <c r="C31" i="13"/>
  <c r="B31" i="13"/>
  <c r="M30" i="13"/>
  <c r="M33" i="13" s="1"/>
  <c r="L30" i="13"/>
  <c r="L33" i="13" s="1"/>
  <c r="K30" i="13"/>
  <c r="K33" i="13" s="1"/>
  <c r="J30" i="13"/>
  <c r="J33" i="13" s="1"/>
  <c r="I30" i="13"/>
  <c r="H30" i="13"/>
  <c r="G30" i="13"/>
  <c r="F30" i="13"/>
  <c r="E30" i="13"/>
  <c r="D30" i="13"/>
  <c r="C30" i="13"/>
  <c r="B30" i="13"/>
  <c r="M55" i="13"/>
  <c r="L55" i="13"/>
  <c r="K55" i="13"/>
  <c r="J55" i="13"/>
  <c r="N55" i="13" s="1"/>
  <c r="I55" i="13"/>
  <c r="H55" i="13"/>
  <c r="G55" i="13"/>
  <c r="F55" i="13"/>
  <c r="E55" i="13"/>
  <c r="D55" i="13"/>
  <c r="C55" i="13"/>
  <c r="B55" i="13"/>
  <c r="Q11" i="13"/>
  <c r="P11" i="13"/>
  <c r="O11" i="13"/>
  <c r="B50" i="11"/>
  <c r="B49" i="11"/>
  <c r="B48" i="11"/>
  <c r="B47" i="11"/>
  <c r="B46" i="11"/>
  <c r="F43" i="11"/>
  <c r="E43" i="11"/>
  <c r="D43" i="11"/>
  <c r="C43" i="11"/>
  <c r="B43" i="11"/>
  <c r="F42" i="11"/>
  <c r="F41" i="11"/>
  <c r="F40" i="11"/>
  <c r="F39" i="11"/>
  <c r="F38" i="11"/>
  <c r="F37" i="11"/>
  <c r="B34" i="11"/>
  <c r="N30" i="13" l="1"/>
  <c r="N33" i="13" s="1"/>
  <c r="B13" i="13" l="1"/>
  <c r="B22" i="13"/>
  <c r="N15" i="13"/>
  <c r="O28" i="13"/>
  <c r="O23" i="13"/>
  <c r="C13" i="13" l="1"/>
  <c r="D13" i="13" s="1"/>
  <c r="E13" i="13" s="1"/>
  <c r="F13" i="13" s="1"/>
  <c r="G13" i="13" s="1"/>
  <c r="J13" i="13" s="1"/>
  <c r="K13" i="13" s="1"/>
  <c r="L13" i="13" s="1"/>
  <c r="M13" i="13" s="1"/>
  <c r="C22" i="13"/>
  <c r="D22" i="13" s="1"/>
  <c r="E22" i="13" s="1"/>
  <c r="F22" i="13" s="1"/>
  <c r="G22" i="13" s="1"/>
  <c r="J22" i="13" s="1"/>
  <c r="K22" i="13" s="1"/>
  <c r="L22" i="13" s="1"/>
  <c r="M22" i="13" s="1"/>
  <c r="N13" i="13" l="1"/>
  <c r="N22" i="13"/>
  <c r="M51" i="13" l="1"/>
  <c r="L51" i="13"/>
  <c r="K51" i="13"/>
  <c r="J51" i="13"/>
  <c r="I51" i="13"/>
  <c r="H51" i="13"/>
  <c r="G51" i="13"/>
  <c r="F51" i="13"/>
  <c r="E51" i="13"/>
  <c r="D51" i="13"/>
  <c r="C51" i="13"/>
  <c r="M50" i="13"/>
  <c r="L50" i="13"/>
  <c r="K50" i="13"/>
  <c r="J50" i="13"/>
  <c r="I50" i="13"/>
  <c r="H50" i="13"/>
  <c r="G50" i="13"/>
  <c r="F50" i="13"/>
  <c r="E50" i="13"/>
  <c r="D50" i="13"/>
  <c r="C50" i="13"/>
  <c r="M49" i="13"/>
  <c r="L49" i="13"/>
  <c r="K49" i="13"/>
  <c r="J49" i="13"/>
  <c r="I49" i="13"/>
  <c r="H49" i="13"/>
  <c r="G49" i="13"/>
  <c r="F49" i="13"/>
  <c r="E49" i="13"/>
  <c r="D49" i="13"/>
  <c r="C49" i="13"/>
  <c r="M48" i="13"/>
  <c r="L48" i="13"/>
  <c r="K48" i="13"/>
  <c r="J48" i="13"/>
  <c r="I48" i="13"/>
  <c r="H48" i="13"/>
  <c r="H52" i="13" s="1"/>
  <c r="G48" i="13"/>
  <c r="F48" i="13"/>
  <c r="E48" i="13"/>
  <c r="D48" i="13"/>
  <c r="C48" i="13"/>
  <c r="M44" i="13"/>
  <c r="L44" i="13"/>
  <c r="K44" i="13"/>
  <c r="J44" i="13"/>
  <c r="I44" i="13"/>
  <c r="H44" i="13"/>
  <c r="G44" i="13"/>
  <c r="F44" i="13"/>
  <c r="E44" i="13"/>
  <c r="D44" i="13"/>
  <c r="C44" i="13"/>
  <c r="M43" i="13"/>
  <c r="L43" i="13"/>
  <c r="K43" i="13"/>
  <c r="J43" i="13"/>
  <c r="I43" i="13"/>
  <c r="H43" i="13"/>
  <c r="G43" i="13"/>
  <c r="F43" i="13"/>
  <c r="E43" i="13"/>
  <c r="D43" i="13"/>
  <c r="C43" i="13"/>
  <c r="M42" i="13"/>
  <c r="L42" i="13"/>
  <c r="K42" i="13"/>
  <c r="J42" i="13"/>
  <c r="I42" i="13"/>
  <c r="H42" i="13"/>
  <c r="G42" i="13"/>
  <c r="F42" i="13"/>
  <c r="E42" i="13"/>
  <c r="D42" i="13"/>
  <c r="C42" i="13"/>
  <c r="M41" i="13"/>
  <c r="L41" i="13"/>
  <c r="K41" i="13"/>
  <c r="J41" i="13"/>
  <c r="I41" i="13"/>
  <c r="H41" i="13"/>
  <c r="G41" i="13"/>
  <c r="F41" i="13"/>
  <c r="E41" i="13"/>
  <c r="D41" i="13"/>
  <c r="C41" i="13"/>
  <c r="B44" i="13"/>
  <c r="B45" i="13" s="1"/>
  <c r="B51" i="13"/>
  <c r="N51" i="13" s="1"/>
  <c r="B50" i="13"/>
  <c r="N50" i="13" s="1"/>
  <c r="B49" i="13"/>
  <c r="N49" i="13" s="1"/>
  <c r="B48" i="13"/>
  <c r="N48" i="13" s="1"/>
  <c r="B43" i="13"/>
  <c r="B42" i="13"/>
  <c r="B41" i="13"/>
  <c r="B20" i="13"/>
  <c r="C20" i="13" s="1"/>
  <c r="D20" i="13" s="1"/>
  <c r="E20" i="13" s="1"/>
  <c r="F20" i="13" s="1"/>
  <c r="G20" i="13" s="1"/>
  <c r="J20" i="13" s="1"/>
  <c r="K20" i="13" s="1"/>
  <c r="L20" i="13" s="1"/>
  <c r="M20" i="13" s="1"/>
  <c r="B18" i="13"/>
  <c r="C18" i="13" s="1"/>
  <c r="D18" i="13" s="1"/>
  <c r="B17" i="13"/>
  <c r="C17" i="13" s="1"/>
  <c r="D17" i="13" s="1"/>
  <c r="B16" i="13"/>
  <c r="C16" i="13"/>
  <c r="D16" i="13" s="1"/>
  <c r="E16" i="13" s="1"/>
  <c r="Q28" i="13"/>
  <c r="P28" i="13"/>
  <c r="Q23" i="13"/>
  <c r="P23" i="13"/>
  <c r="N19" i="13"/>
  <c r="C45" i="13" l="1"/>
  <c r="J45" i="13"/>
  <c r="N42" i="13"/>
  <c r="M52" i="13"/>
  <c r="D52" i="13"/>
  <c r="N41" i="13"/>
  <c r="K45" i="13"/>
  <c r="N43" i="13"/>
  <c r="I52" i="13"/>
  <c r="C52" i="13"/>
  <c r="B52" i="13"/>
  <c r="B56" i="13" s="1"/>
  <c r="D45" i="13"/>
  <c r="D56" i="13" s="1"/>
  <c r="F45" i="13"/>
  <c r="F56" i="13" s="1"/>
  <c r="G45" i="13"/>
  <c r="E52" i="13"/>
  <c r="N44" i="13"/>
  <c r="E45" i="13"/>
  <c r="E56" i="13" s="1"/>
  <c r="H45" i="13"/>
  <c r="H56" i="13" s="1"/>
  <c r="F52" i="13"/>
  <c r="I45" i="13"/>
  <c r="G52" i="13"/>
  <c r="L45" i="13"/>
  <c r="J52" i="13"/>
  <c r="M45" i="13"/>
  <c r="M56" i="13" s="1"/>
  <c r="K52" i="13"/>
  <c r="L52" i="13"/>
  <c r="E18" i="13"/>
  <c r="F18" i="13" s="1"/>
  <c r="G18" i="13" s="1"/>
  <c r="J18" i="13" s="1"/>
  <c r="K18" i="13" s="1"/>
  <c r="L18" i="13" s="1"/>
  <c r="M18" i="13" s="1"/>
  <c r="E17" i="13"/>
  <c r="F17" i="13" s="1"/>
  <c r="G17" i="13" s="1"/>
  <c r="J17" i="13" s="1"/>
  <c r="K17" i="13" s="1"/>
  <c r="L17" i="13" s="1"/>
  <c r="M17" i="13" s="1"/>
  <c r="F16" i="13"/>
  <c r="G16" i="13" s="1"/>
  <c r="J16" i="13" s="1"/>
  <c r="K16" i="13" s="1"/>
  <c r="L16" i="13" s="1"/>
  <c r="M16" i="13" s="1"/>
  <c r="P36" i="13"/>
  <c r="Q36" i="13"/>
  <c r="L56" i="13" l="1"/>
  <c r="K56" i="13"/>
  <c r="J56" i="13"/>
  <c r="C56" i="13"/>
  <c r="I56" i="13"/>
  <c r="G56" i="13"/>
  <c r="N16" i="13"/>
  <c r="N52" i="13"/>
  <c r="N45" i="13"/>
  <c r="N18" i="13"/>
  <c r="N17" i="13"/>
  <c r="N56" i="13" l="1"/>
  <c r="N21" i="13"/>
  <c r="N20" i="13"/>
  <c r="M9" i="13" a="1"/>
  <c r="M9" i="13" s="1"/>
  <c r="M8" i="13" a="1"/>
  <c r="M8" i="13" s="1"/>
  <c r="M7" i="13" a="1"/>
  <c r="M7" i="13" s="1"/>
  <c r="M6" i="13" a="1"/>
  <c r="M6" i="13" s="1"/>
  <c r="L9" i="13" a="1"/>
  <c r="L9" i="13" s="1"/>
  <c r="L8" i="13" a="1"/>
  <c r="L8" i="13" s="1"/>
  <c r="L7" i="13" a="1"/>
  <c r="L7" i="13" s="1"/>
  <c r="L6" i="13" a="1"/>
  <c r="L6" i="13" s="1"/>
  <c r="K9" i="13" a="1"/>
  <c r="K9" i="13" s="1"/>
  <c r="K8" i="13" a="1"/>
  <c r="K8" i="13" s="1"/>
  <c r="K7" i="13" a="1"/>
  <c r="K7" i="13" s="1"/>
  <c r="K6" i="13" a="1"/>
  <c r="K6" i="13" s="1"/>
  <c r="J9" i="13" a="1"/>
  <c r="J9" i="13" s="1"/>
  <c r="J8" i="13" a="1"/>
  <c r="J8" i="13" s="1"/>
  <c r="J7" i="13" a="1"/>
  <c r="J7" i="13" s="1"/>
  <c r="J6" i="13" a="1"/>
  <c r="J6" i="13" s="1"/>
  <c r="I9" i="13" a="1"/>
  <c r="I9" i="13" s="1"/>
  <c r="I8" i="13" a="1"/>
  <c r="I8" i="13" s="1"/>
  <c r="I7" i="13" a="1"/>
  <c r="I7" i="13" s="1"/>
  <c r="I6" i="13" a="1"/>
  <c r="I6" i="13" s="1"/>
  <c r="H9" i="13" a="1"/>
  <c r="H9" i="13" s="1"/>
  <c r="H8" i="13" a="1"/>
  <c r="H8" i="13" s="1"/>
  <c r="H7" i="13" a="1"/>
  <c r="H7" i="13" s="1"/>
  <c r="H6" i="13" a="1"/>
  <c r="H6" i="13" s="1"/>
  <c r="G9" i="13" a="1"/>
  <c r="G9" i="13" s="1"/>
  <c r="G8" i="13" a="1"/>
  <c r="G8" i="13" s="1"/>
  <c r="G7" i="13" a="1"/>
  <c r="G7" i="13" s="1"/>
  <c r="G6" i="13" a="1"/>
  <c r="G6" i="13" s="1"/>
  <c r="F9" i="13" a="1"/>
  <c r="F9" i="13" s="1"/>
  <c r="F8" i="13" a="1"/>
  <c r="F8" i="13" s="1"/>
  <c r="F7" i="13" a="1"/>
  <c r="F7" i="13" s="1"/>
  <c r="F6" i="13" a="1"/>
  <c r="F6" i="13" s="1"/>
  <c r="E9" i="13" a="1"/>
  <c r="E9" i="13" s="1"/>
  <c r="E8" i="13" a="1"/>
  <c r="E8" i="13" s="1"/>
  <c r="E7" i="13" a="1"/>
  <c r="E7" i="13" s="1"/>
  <c r="E6" i="13" a="1"/>
  <c r="E6" i="13" s="1"/>
  <c r="D9" i="13" a="1"/>
  <c r="D9" i="13" s="1"/>
  <c r="D8" i="13" a="1"/>
  <c r="D8" i="13" s="1"/>
  <c r="D7" i="13" a="1"/>
  <c r="D7" i="13" s="1"/>
  <c r="D6" i="13" a="1"/>
  <c r="D6" i="13" s="1"/>
  <c r="C9" i="13" a="1"/>
  <c r="C9" i="13" s="1"/>
  <c r="C8" i="13" a="1"/>
  <c r="C8" i="13" s="1"/>
  <c r="C7" i="13" a="1"/>
  <c r="C7" i="13" s="1"/>
  <c r="C6" i="13" a="1"/>
  <c r="C6" i="13" s="1"/>
  <c r="B9" i="13" a="1"/>
  <c r="B9" i="13" s="1"/>
  <c r="B8" i="13" a="1"/>
  <c r="B8" i="13" s="1"/>
  <c r="B7" i="13" a="1"/>
  <c r="B7" i="13" s="1"/>
  <c r="B6" i="13" a="1"/>
  <c r="B6" i="13" s="1"/>
  <c r="CB190" i="9"/>
  <c r="CE190" i="9" s="1"/>
  <c r="BZ190" i="9"/>
  <c r="BX190" i="9"/>
  <c r="BY190" i="9" s="1"/>
  <c r="BW190" i="9"/>
  <c r="BS190" i="9"/>
  <c r="BT190" i="9" s="1"/>
  <c r="BR190" i="9"/>
  <c r="BM190" i="9"/>
  <c r="BH190" i="9"/>
  <c r="BI190" i="9" s="1"/>
  <c r="BJ190" i="9" s="1"/>
  <c r="BF190" i="9"/>
  <c r="BD190" i="9"/>
  <c r="BE190" i="9" s="1"/>
  <c r="CE189" i="9"/>
  <c r="CB189" i="9"/>
  <c r="CC189" i="9" s="1"/>
  <c r="CD189" i="9" s="1"/>
  <c r="CI189" i="9" s="1"/>
  <c r="BW189" i="9"/>
  <c r="BR189" i="9"/>
  <c r="BU189" i="9" s="1"/>
  <c r="BM189" i="9"/>
  <c r="BN189" i="9" s="1"/>
  <c r="BO189" i="9" s="1"/>
  <c r="BH189" i="9"/>
  <c r="BF189" i="9"/>
  <c r="BD189" i="9"/>
  <c r="BE189" i="9" s="1"/>
  <c r="CB188" i="9"/>
  <c r="BW188" i="9"/>
  <c r="BR188" i="9"/>
  <c r="BP188" i="9"/>
  <c r="BN188" i="9"/>
  <c r="BO188" i="9" s="1"/>
  <c r="BM188" i="9"/>
  <c r="BH188" i="9"/>
  <c r="BF188" i="9"/>
  <c r="BE188" i="9"/>
  <c r="BD188" i="9"/>
  <c r="CB187" i="9"/>
  <c r="BW187" i="9"/>
  <c r="BR187" i="9"/>
  <c r="BU187" i="9" s="1"/>
  <c r="BP187" i="9"/>
  <c r="BN187" i="9"/>
  <c r="BO187" i="9" s="1"/>
  <c r="BM187" i="9"/>
  <c r="BI187" i="9"/>
  <c r="BJ187" i="9" s="1"/>
  <c r="BH187" i="9"/>
  <c r="BF187" i="9"/>
  <c r="BD187" i="9"/>
  <c r="BE187" i="9" s="1"/>
  <c r="CB186" i="9"/>
  <c r="CC186" i="9" s="1"/>
  <c r="CD186" i="9" s="1"/>
  <c r="CI186" i="9" s="1"/>
  <c r="BW186" i="9"/>
  <c r="BR186" i="9"/>
  <c r="BS186" i="9" s="1"/>
  <c r="BO186" i="9"/>
  <c r="BN186" i="9"/>
  <c r="BM186" i="9"/>
  <c r="BH186" i="9"/>
  <c r="BF186" i="9"/>
  <c r="BD186" i="9"/>
  <c r="BE186" i="9" s="1"/>
  <c r="CB185" i="9"/>
  <c r="CE185" i="9" s="1"/>
  <c r="BW185" i="9"/>
  <c r="BZ185" i="9" s="1"/>
  <c r="BR185" i="9"/>
  <c r="BU185" i="9" s="1"/>
  <c r="BM185" i="9"/>
  <c r="BH185" i="9"/>
  <c r="BF185" i="9"/>
  <c r="BD185" i="9"/>
  <c r="BE185" i="9" s="1"/>
  <c r="CB184" i="9"/>
  <c r="CC184" i="9" s="1"/>
  <c r="CD184" i="9" s="1"/>
  <c r="CI184" i="9" s="1"/>
  <c r="BW184" i="9"/>
  <c r="BR184" i="9"/>
  <c r="BM184" i="9"/>
  <c r="BH184" i="9"/>
  <c r="BK184" i="9" s="1"/>
  <c r="BF184" i="9"/>
  <c r="BD184" i="9"/>
  <c r="CB183" i="9"/>
  <c r="CE183" i="9" s="1"/>
  <c r="BW183" i="9"/>
  <c r="BR183" i="9"/>
  <c r="BP183" i="9"/>
  <c r="BM183" i="9"/>
  <c r="BH183" i="9"/>
  <c r="BF183" i="9"/>
  <c r="BD183" i="9"/>
  <c r="BE183" i="9" s="1"/>
  <c r="CE182" i="9"/>
  <c r="CC182" i="9"/>
  <c r="CD182" i="9" s="1"/>
  <c r="CI182" i="9" s="1"/>
  <c r="CB182" i="9"/>
  <c r="BW182" i="9"/>
  <c r="BR182" i="9"/>
  <c r="BU182" i="9" s="1"/>
  <c r="BM182" i="9"/>
  <c r="BN182" i="9" s="1"/>
  <c r="BO182" i="9" s="1"/>
  <c r="BK182" i="9"/>
  <c r="BH182" i="9"/>
  <c r="BF182" i="9"/>
  <c r="BD182" i="9"/>
  <c r="BE182" i="9" s="1"/>
  <c r="CB181" i="9"/>
  <c r="BW181" i="9"/>
  <c r="BR181" i="9"/>
  <c r="BS181" i="9" s="1"/>
  <c r="BT181" i="9" s="1"/>
  <c r="BP181" i="9"/>
  <c r="BN181" i="9"/>
  <c r="BO181" i="9" s="1"/>
  <c r="BM181" i="9"/>
  <c r="BH181" i="9"/>
  <c r="BF181" i="9"/>
  <c r="BD181" i="9"/>
  <c r="BE181" i="9" s="1"/>
  <c r="CB180" i="9"/>
  <c r="BW180" i="9"/>
  <c r="BR180" i="9"/>
  <c r="BU180" i="9" s="1"/>
  <c r="BP180" i="9"/>
  <c r="BN180" i="9"/>
  <c r="BO180" i="9" s="1"/>
  <c r="BM180" i="9"/>
  <c r="BH180" i="9"/>
  <c r="BF180" i="9"/>
  <c r="BD180" i="9"/>
  <c r="BE180" i="9" s="1"/>
  <c r="CC179" i="9"/>
  <c r="CD179" i="9" s="1"/>
  <c r="CI179" i="9" s="1"/>
  <c r="CB179" i="9"/>
  <c r="BW179" i="9"/>
  <c r="BZ179" i="9" s="1"/>
  <c r="BR179" i="9"/>
  <c r="BO179" i="9"/>
  <c r="BN179" i="9"/>
  <c r="BM179" i="9"/>
  <c r="BH179" i="9"/>
  <c r="BF179" i="9"/>
  <c r="BD179" i="9"/>
  <c r="BE179" i="9" s="1"/>
  <c r="CB178" i="9"/>
  <c r="BW178" i="9"/>
  <c r="BR178" i="9"/>
  <c r="BU178" i="9" s="1"/>
  <c r="BM178" i="9"/>
  <c r="BH178" i="9"/>
  <c r="BI178" i="9" s="1"/>
  <c r="BJ178" i="9" s="1"/>
  <c r="BF178" i="9"/>
  <c r="BD178" i="9"/>
  <c r="BE178" i="9" s="1"/>
  <c r="CB177" i="9"/>
  <c r="CC177" i="9" s="1"/>
  <c r="CD177" i="9" s="1"/>
  <c r="CI177" i="9" s="1"/>
  <c r="BW177" i="9"/>
  <c r="BR177" i="9"/>
  <c r="BM177" i="9"/>
  <c r="BH177" i="9"/>
  <c r="BK177" i="9" s="1"/>
  <c r="BF177" i="9"/>
  <c r="BD177" i="9"/>
  <c r="CB176" i="9"/>
  <c r="CE176" i="9" s="1"/>
  <c r="BW176" i="9"/>
  <c r="BR176" i="9"/>
  <c r="CG176" i="9" s="1"/>
  <c r="BP176" i="9"/>
  <c r="BM176" i="9"/>
  <c r="BH176" i="9"/>
  <c r="BI176" i="9" s="1"/>
  <c r="BJ176" i="9" s="1"/>
  <c r="BF176" i="9"/>
  <c r="BD176" i="9"/>
  <c r="BE176" i="9" s="1"/>
  <c r="CB175" i="9"/>
  <c r="CC175" i="9" s="1"/>
  <c r="CD175" i="9" s="1"/>
  <c r="CI175" i="9" s="1"/>
  <c r="BW175" i="9"/>
  <c r="BR175" i="9"/>
  <c r="BM175" i="9"/>
  <c r="BP175" i="9" s="1"/>
  <c r="BH175" i="9"/>
  <c r="BF175" i="9"/>
  <c r="BD175" i="9"/>
  <c r="BE175" i="9" s="1"/>
  <c r="CE174" i="9"/>
  <c r="CB174" i="9"/>
  <c r="BW174" i="9"/>
  <c r="BR174" i="9"/>
  <c r="BM174" i="9"/>
  <c r="BN174" i="9" s="1"/>
  <c r="BO174" i="9" s="1"/>
  <c r="BH174" i="9"/>
  <c r="CG174" i="9" s="1"/>
  <c r="BF174" i="9"/>
  <c r="BE174" i="9"/>
  <c r="BD174" i="9"/>
  <c r="CB173" i="9"/>
  <c r="BW173" i="9"/>
  <c r="BR173" i="9"/>
  <c r="BU173" i="9" s="1"/>
  <c r="BM173" i="9"/>
  <c r="BH173" i="9"/>
  <c r="BF173" i="9"/>
  <c r="BD173" i="9"/>
  <c r="BE173" i="9" s="1"/>
  <c r="CB172" i="9"/>
  <c r="BW172" i="9"/>
  <c r="BZ172" i="9" s="1"/>
  <c r="BU172" i="9"/>
  <c r="BR172" i="9"/>
  <c r="BS172" i="9" s="1"/>
  <c r="BM172" i="9"/>
  <c r="BK172" i="9"/>
  <c r="BI172" i="9"/>
  <c r="BJ172" i="9" s="1"/>
  <c r="BH172" i="9"/>
  <c r="BF172" i="9"/>
  <c r="BD172" i="9"/>
  <c r="BE172" i="9" s="1"/>
  <c r="CE171" i="9"/>
  <c r="CC171" i="9"/>
  <c r="CD171" i="9" s="1"/>
  <c r="CI171" i="9" s="1"/>
  <c r="CB171" i="9"/>
  <c r="BW171" i="9"/>
  <c r="BZ171" i="9" s="1"/>
  <c r="BU171" i="9"/>
  <c r="BR171" i="9"/>
  <c r="BM171" i="9"/>
  <c r="BH171" i="9"/>
  <c r="BI171" i="9" s="1"/>
  <c r="BJ171" i="9" s="1"/>
  <c r="BF171" i="9"/>
  <c r="BD171" i="9"/>
  <c r="CE170" i="9"/>
  <c r="CD170" i="9"/>
  <c r="CI170" i="9" s="1"/>
  <c r="CC170" i="9"/>
  <c r="CB170" i="9"/>
  <c r="BW170" i="9"/>
  <c r="BR170" i="9"/>
  <c r="BM170" i="9"/>
  <c r="BH170" i="9"/>
  <c r="BK170" i="9" s="1"/>
  <c r="BF170" i="9"/>
  <c r="BD170" i="9"/>
  <c r="CG169" i="9"/>
  <c r="CB169" i="9"/>
  <c r="CE169" i="9" s="1"/>
  <c r="BW169" i="9"/>
  <c r="BR169" i="9"/>
  <c r="BS169" i="9" s="1"/>
  <c r="BT169" i="9" s="1"/>
  <c r="BM169" i="9"/>
  <c r="BH169" i="9"/>
  <c r="BI169" i="9" s="1"/>
  <c r="BJ169" i="9" s="1"/>
  <c r="BF169" i="9"/>
  <c r="BE169" i="9"/>
  <c r="BD169" i="9"/>
  <c r="CB168" i="9"/>
  <c r="CC168" i="9" s="1"/>
  <c r="CD168" i="9" s="1"/>
  <c r="CI168" i="9" s="1"/>
  <c r="BX168" i="9"/>
  <c r="BY168" i="9" s="1"/>
  <c r="BW168" i="9"/>
  <c r="BR168" i="9"/>
  <c r="BU168" i="9" s="1"/>
  <c r="BP168" i="9"/>
  <c r="BN168" i="9"/>
  <c r="BO168" i="9" s="1"/>
  <c r="BM168" i="9"/>
  <c r="BH168" i="9"/>
  <c r="BK168" i="9" s="1"/>
  <c r="BF168" i="9"/>
  <c r="BE168" i="9"/>
  <c r="BD168" i="9"/>
  <c r="CB167" i="9"/>
  <c r="CE167" i="9" s="1"/>
  <c r="BW167" i="9"/>
  <c r="BU167" i="9"/>
  <c r="BT167" i="9"/>
  <c r="BS167" i="9"/>
  <c r="BR167" i="9"/>
  <c r="BM167" i="9"/>
  <c r="BN167" i="9" s="1"/>
  <c r="BO167" i="9" s="1"/>
  <c r="BH167" i="9"/>
  <c r="BF167" i="9"/>
  <c r="BD167" i="9"/>
  <c r="BE167" i="9" s="1"/>
  <c r="CB166" i="9"/>
  <c r="BW166" i="9"/>
  <c r="BR166" i="9"/>
  <c r="BU166" i="9" s="1"/>
  <c r="BM166" i="9"/>
  <c r="BH166" i="9"/>
  <c r="BI166" i="9" s="1"/>
  <c r="BJ166" i="9" s="1"/>
  <c r="BF166" i="9"/>
  <c r="BD166" i="9"/>
  <c r="BE166" i="9" s="1"/>
  <c r="CB165" i="9"/>
  <c r="BZ165" i="9"/>
  <c r="BW165" i="9"/>
  <c r="BR165" i="9"/>
  <c r="BS165" i="9" s="1"/>
  <c r="BM165" i="9"/>
  <c r="BH165" i="9"/>
  <c r="BK165" i="9" s="1"/>
  <c r="BF165" i="9"/>
  <c r="BD165" i="9"/>
  <c r="BE165" i="9" s="1"/>
  <c r="CB164" i="9"/>
  <c r="BW164" i="9"/>
  <c r="CA164" i="9" s="1"/>
  <c r="BR164" i="9"/>
  <c r="BV164" i="9" s="1"/>
  <c r="BM164" i="9"/>
  <c r="BH164" i="9"/>
  <c r="BC164" i="9"/>
  <c r="BG164" i="9" s="1"/>
  <c r="AX164" i="9"/>
  <c r="AS164" i="9"/>
  <c r="AT164" i="9" s="1"/>
  <c r="AU164" i="9" s="1"/>
  <c r="AN164" i="9"/>
  <c r="AO164" i="9" s="1"/>
  <c r="AP164" i="9" s="1"/>
  <c r="AI164" i="9"/>
  <c r="AD164" i="9"/>
  <c r="AG164" i="9" s="1"/>
  <c r="Y164" i="9"/>
  <c r="Z164" i="9" s="1"/>
  <c r="CB163" i="9"/>
  <c r="BW163" i="9"/>
  <c r="BR163" i="9"/>
  <c r="BV163" i="9" s="1"/>
  <c r="BM163" i="9"/>
  <c r="BP163" i="9" s="1"/>
  <c r="BH163" i="9"/>
  <c r="BL163" i="9" s="1"/>
  <c r="BC163" i="9"/>
  <c r="BD163" i="9" s="1"/>
  <c r="BE163" i="9" s="1"/>
  <c r="AX163" i="9"/>
  <c r="BA163" i="9" s="1"/>
  <c r="AS163" i="9"/>
  <c r="AN163" i="9"/>
  <c r="AR163" i="9" s="1"/>
  <c r="AI163" i="9"/>
  <c r="AJ163" i="9" s="1"/>
  <c r="AK163" i="9" s="1"/>
  <c r="AD163" i="9"/>
  <c r="AH163" i="9" s="1"/>
  <c r="Y163" i="9"/>
  <c r="CB162" i="9"/>
  <c r="CF162" i="9" s="1"/>
  <c r="BW162" i="9"/>
  <c r="CA162" i="9" s="1"/>
  <c r="BR162" i="9"/>
  <c r="BS162" i="9" s="1"/>
  <c r="BT162" i="9" s="1"/>
  <c r="BM162" i="9"/>
  <c r="BQ162" i="9" s="1"/>
  <c r="BH162" i="9"/>
  <c r="BI162" i="9" s="1"/>
  <c r="BJ162" i="9" s="1"/>
  <c r="BC162" i="9"/>
  <c r="BG162" i="9" s="1"/>
  <c r="AX162" i="9"/>
  <c r="AY162" i="9" s="1"/>
  <c r="AZ162" i="9" s="1"/>
  <c r="AS162" i="9"/>
  <c r="AW162" i="9" s="1"/>
  <c r="AN162" i="9"/>
  <c r="AO162" i="9" s="1"/>
  <c r="AP162" i="9" s="1"/>
  <c r="AI162" i="9"/>
  <c r="AL162" i="9" s="1"/>
  <c r="AD162" i="9"/>
  <c r="AE162" i="9" s="1"/>
  <c r="AF162" i="9" s="1"/>
  <c r="Y162" i="9"/>
  <c r="Z162" i="9" s="1"/>
  <c r="AA162" i="9" s="1"/>
  <c r="CB161" i="9"/>
  <c r="CE161" i="9" s="1"/>
  <c r="BW161" i="9"/>
  <c r="CA161" i="9" s="1"/>
  <c r="BR161" i="9"/>
  <c r="BM161" i="9"/>
  <c r="BH161" i="9"/>
  <c r="BK161" i="9" s="1"/>
  <c r="BC161" i="9"/>
  <c r="BG161" i="9" s="1"/>
  <c r="AX161" i="9"/>
  <c r="BB161" i="9" s="1"/>
  <c r="AS161" i="9"/>
  <c r="AN161" i="9"/>
  <c r="AR161" i="9" s="1"/>
  <c r="AI161" i="9"/>
  <c r="AJ161" i="9" s="1"/>
  <c r="AK161" i="9" s="1"/>
  <c r="AD161" i="9"/>
  <c r="Y161" i="9"/>
  <c r="AC161" i="9" s="1"/>
  <c r="CB160" i="9"/>
  <c r="BW160" i="9"/>
  <c r="BZ160" i="9" s="1"/>
  <c r="BR160" i="9"/>
  <c r="BM160" i="9"/>
  <c r="BQ160" i="9" s="1"/>
  <c r="BH160" i="9"/>
  <c r="BC160" i="9"/>
  <c r="BG160" i="9" s="1"/>
  <c r="BA160" i="9"/>
  <c r="AX160" i="9"/>
  <c r="BB160" i="9" s="1"/>
  <c r="AS160" i="9"/>
  <c r="AN160" i="9"/>
  <c r="AO160" i="9" s="1"/>
  <c r="AP160" i="9" s="1"/>
  <c r="AI160" i="9"/>
  <c r="AL160" i="9" s="1"/>
  <c r="AD160" i="9"/>
  <c r="AB160" i="9"/>
  <c r="Y160" i="9"/>
  <c r="AC160" i="9" s="1"/>
  <c r="CB159" i="9"/>
  <c r="CC159" i="9" s="1"/>
  <c r="CD159" i="9" s="1"/>
  <c r="BW159" i="9"/>
  <c r="BR159" i="9"/>
  <c r="BU159" i="9" s="1"/>
  <c r="BM159" i="9"/>
  <c r="BQ159" i="9" s="1"/>
  <c r="BH159" i="9"/>
  <c r="BD159" i="9"/>
  <c r="BE159" i="9" s="1"/>
  <c r="BC159" i="9"/>
  <c r="AX159" i="9"/>
  <c r="BB159" i="9" s="1"/>
  <c r="AS159" i="9"/>
  <c r="AW159" i="9" s="1"/>
  <c r="AN159" i="9"/>
  <c r="AI159" i="9"/>
  <c r="AJ159" i="9" s="1"/>
  <c r="AK159" i="9" s="1"/>
  <c r="AD159" i="9"/>
  <c r="AG159" i="9" s="1"/>
  <c r="Y159" i="9"/>
  <c r="CB158" i="9"/>
  <c r="CC158" i="9" s="1"/>
  <c r="CD158" i="9" s="1"/>
  <c r="BW158" i="9"/>
  <c r="BX158" i="9" s="1"/>
  <c r="BY158" i="9" s="1"/>
  <c r="BR158" i="9"/>
  <c r="BM158" i="9"/>
  <c r="BP158" i="9" s="1"/>
  <c r="BH158" i="9"/>
  <c r="BC158" i="9"/>
  <c r="BG158" i="9" s="1"/>
  <c r="AX158" i="9"/>
  <c r="AS158" i="9"/>
  <c r="AW158" i="9" s="1"/>
  <c r="AN158" i="9"/>
  <c r="AR158" i="9" s="1"/>
  <c r="AI158" i="9"/>
  <c r="AD158" i="9"/>
  <c r="AE158" i="9" s="1"/>
  <c r="AF158" i="9" s="1"/>
  <c r="Y158" i="9"/>
  <c r="AC158" i="9" s="1"/>
  <c r="BH157" i="9"/>
  <c r="BC157" i="9"/>
  <c r="BD157" i="9" s="1"/>
  <c r="BE157" i="9" s="1"/>
  <c r="AX157" i="9"/>
  <c r="AS157" i="9"/>
  <c r="AT157" i="9" s="1"/>
  <c r="AU157" i="9" s="1"/>
  <c r="AN157" i="9"/>
  <c r="AO157" i="9" s="1"/>
  <c r="AP157" i="9" s="1"/>
  <c r="AI157" i="9"/>
  <c r="AJ157" i="9" s="1"/>
  <c r="AK157" i="9" s="1"/>
  <c r="AD157" i="9"/>
  <c r="Y157" i="9"/>
  <c r="BH156" i="9"/>
  <c r="BI156" i="9" s="1"/>
  <c r="BJ156" i="9" s="1"/>
  <c r="BC156" i="9"/>
  <c r="BD156" i="9" s="1"/>
  <c r="BE156" i="9" s="1"/>
  <c r="AX156" i="9"/>
  <c r="AY156" i="9" s="1"/>
  <c r="AZ156" i="9" s="1"/>
  <c r="AS156" i="9"/>
  <c r="AN156" i="9"/>
  <c r="AO156" i="9" s="1"/>
  <c r="AP156" i="9" s="1"/>
  <c r="AI156" i="9"/>
  <c r="AJ156" i="9" s="1"/>
  <c r="AK156" i="9" s="1"/>
  <c r="AD156" i="9"/>
  <c r="AE156" i="9" s="1"/>
  <c r="AF156" i="9" s="1"/>
  <c r="Y156" i="9"/>
  <c r="Z156" i="9" s="1"/>
  <c r="AA156" i="9" s="1"/>
  <c r="BH155" i="9"/>
  <c r="BI155" i="9" s="1"/>
  <c r="BJ155" i="9" s="1"/>
  <c r="BC155" i="9"/>
  <c r="BD155" i="9" s="1"/>
  <c r="BE155" i="9" s="1"/>
  <c r="AX155" i="9"/>
  <c r="AS155" i="9"/>
  <c r="AT155" i="9" s="1"/>
  <c r="AU155" i="9" s="1"/>
  <c r="AN155" i="9"/>
  <c r="AI155" i="9"/>
  <c r="AD155" i="9"/>
  <c r="AE155" i="9" s="1"/>
  <c r="AF155" i="9" s="1"/>
  <c r="Y155" i="9"/>
  <c r="Z155" i="9" s="1"/>
  <c r="BH154" i="9"/>
  <c r="BI154" i="9" s="1"/>
  <c r="BJ154" i="9" s="1"/>
  <c r="BC154" i="9"/>
  <c r="AX154" i="9"/>
  <c r="AS154" i="9"/>
  <c r="AN154" i="9"/>
  <c r="AO154" i="9" s="1"/>
  <c r="AP154" i="9" s="1"/>
  <c r="AI154" i="9"/>
  <c r="AD154" i="9"/>
  <c r="AE154" i="9" s="1"/>
  <c r="AF154" i="9" s="1"/>
  <c r="Y154" i="9"/>
  <c r="Z154" i="9" s="1"/>
  <c r="AA154" i="9" s="1"/>
  <c r="BH153" i="9"/>
  <c r="BC153" i="9"/>
  <c r="BD153" i="9" s="1"/>
  <c r="BE153" i="9" s="1"/>
  <c r="AX153" i="9"/>
  <c r="AS153" i="9"/>
  <c r="AN153" i="9"/>
  <c r="AI153" i="9"/>
  <c r="AJ153" i="9" s="1"/>
  <c r="AK153" i="9" s="1"/>
  <c r="AD153" i="9"/>
  <c r="Y153" i="9"/>
  <c r="Z153" i="9" s="1"/>
  <c r="AA153" i="9" s="1"/>
  <c r="BH152" i="9"/>
  <c r="BC152" i="9"/>
  <c r="BD152" i="9" s="1"/>
  <c r="BE152" i="9" s="1"/>
  <c r="AX152" i="9"/>
  <c r="AY152" i="9" s="1"/>
  <c r="AZ152" i="9" s="1"/>
  <c r="AS152" i="9"/>
  <c r="AT152" i="9" s="1"/>
  <c r="AU152" i="9" s="1"/>
  <c r="AN152" i="9"/>
  <c r="AO152" i="9" s="1"/>
  <c r="AP152" i="9" s="1"/>
  <c r="AI152" i="9"/>
  <c r="AD152" i="9"/>
  <c r="AE152" i="9" s="1"/>
  <c r="AF152" i="9" s="1"/>
  <c r="Y152" i="9"/>
  <c r="BH151" i="9"/>
  <c r="BI151" i="9" s="1"/>
  <c r="BJ151" i="9" s="1"/>
  <c r="BC151" i="9"/>
  <c r="BD151" i="9" s="1"/>
  <c r="BE151" i="9" s="1"/>
  <c r="AX151" i="9"/>
  <c r="AS151" i="9"/>
  <c r="AT151" i="9" s="1"/>
  <c r="AU151" i="9" s="1"/>
  <c r="AN151" i="9"/>
  <c r="AO151" i="9" s="1"/>
  <c r="AP151" i="9" s="1"/>
  <c r="AI151" i="9"/>
  <c r="AD151" i="9"/>
  <c r="Y151" i="9"/>
  <c r="Z151" i="9" s="1"/>
  <c r="BH150" i="9"/>
  <c r="BC150" i="9"/>
  <c r="BD150" i="9" s="1"/>
  <c r="BE150" i="9" s="1"/>
  <c r="AX150" i="9"/>
  <c r="AY150" i="9" s="1"/>
  <c r="AZ150" i="9" s="1"/>
  <c r="AS150" i="9"/>
  <c r="AN150" i="9"/>
  <c r="AO150" i="9" s="1"/>
  <c r="AP150" i="9" s="1"/>
  <c r="AI150" i="9"/>
  <c r="AJ150" i="9" s="1"/>
  <c r="AK150" i="9" s="1"/>
  <c r="AD150" i="9"/>
  <c r="Y150" i="9"/>
  <c r="BH149" i="9"/>
  <c r="BC149" i="9"/>
  <c r="AX149" i="9"/>
  <c r="AY149" i="9" s="1"/>
  <c r="AZ149" i="9" s="1"/>
  <c r="AS149" i="9"/>
  <c r="AT149" i="9" s="1"/>
  <c r="AU149" i="9" s="1"/>
  <c r="AN149" i="9"/>
  <c r="AI149" i="9"/>
  <c r="AJ149" i="9" s="1"/>
  <c r="AK149" i="9" s="1"/>
  <c r="AD149" i="9"/>
  <c r="AE149" i="9" s="1"/>
  <c r="AF149" i="9" s="1"/>
  <c r="Y149" i="9"/>
  <c r="Z149" i="9" s="1"/>
  <c r="BH148" i="9"/>
  <c r="BI148" i="9" s="1"/>
  <c r="BJ148" i="9" s="1"/>
  <c r="BC148" i="9"/>
  <c r="BD148" i="9" s="1"/>
  <c r="BE148" i="9" s="1"/>
  <c r="AX148" i="9"/>
  <c r="AY148" i="9" s="1"/>
  <c r="AZ148" i="9" s="1"/>
  <c r="AS148" i="9"/>
  <c r="AT148" i="9" s="1"/>
  <c r="AU148" i="9" s="1"/>
  <c r="AN148" i="9"/>
  <c r="AI148" i="9"/>
  <c r="AD148" i="9"/>
  <c r="Y148" i="9"/>
  <c r="Z148" i="9" s="1"/>
  <c r="AA148" i="9" s="1"/>
  <c r="BH147" i="9"/>
  <c r="BI147" i="9" s="1"/>
  <c r="BJ147" i="9" s="1"/>
  <c r="BC147" i="9"/>
  <c r="BD147" i="9" s="1"/>
  <c r="BE147" i="9" s="1"/>
  <c r="AX147" i="9"/>
  <c r="AS147" i="9"/>
  <c r="AN147" i="9"/>
  <c r="AO147" i="9" s="1"/>
  <c r="AP147" i="9" s="1"/>
  <c r="AI147" i="9"/>
  <c r="AJ147" i="9" s="1"/>
  <c r="AK147" i="9" s="1"/>
  <c r="AD147" i="9"/>
  <c r="Y147" i="9"/>
  <c r="Z147" i="9" s="1"/>
  <c r="AA147" i="9" s="1"/>
  <c r="BH146" i="9"/>
  <c r="BI146" i="9" s="1"/>
  <c r="BJ146" i="9" s="1"/>
  <c r="BC146" i="9"/>
  <c r="BD146" i="9" s="1"/>
  <c r="BE146" i="9" s="1"/>
  <c r="AX146" i="9"/>
  <c r="AY146" i="9" s="1"/>
  <c r="AZ146" i="9" s="1"/>
  <c r="AS146" i="9"/>
  <c r="AN146" i="9"/>
  <c r="AI146" i="9"/>
  <c r="AJ146" i="9" s="1"/>
  <c r="AK146" i="9" s="1"/>
  <c r="AD146" i="9"/>
  <c r="AE146" i="9" s="1"/>
  <c r="AF146" i="9" s="1"/>
  <c r="Y146" i="9"/>
  <c r="BH145" i="9"/>
  <c r="BI145" i="9" s="1"/>
  <c r="BJ145" i="9" s="1"/>
  <c r="BC145" i="9"/>
  <c r="BD145" i="9" s="1"/>
  <c r="BE145" i="9" s="1"/>
  <c r="AX145" i="9"/>
  <c r="AY145" i="9" s="1"/>
  <c r="AZ145" i="9" s="1"/>
  <c r="AS145" i="9"/>
  <c r="AN145" i="9"/>
  <c r="AO145" i="9" s="1"/>
  <c r="AP145" i="9" s="1"/>
  <c r="AI145" i="9"/>
  <c r="AJ145" i="9" s="1"/>
  <c r="AK145" i="9" s="1"/>
  <c r="AD145" i="9"/>
  <c r="AE145" i="9" s="1"/>
  <c r="AF145" i="9" s="1"/>
  <c r="Y145" i="9"/>
  <c r="BH144" i="9"/>
  <c r="BD144" i="9"/>
  <c r="BE144" i="9" s="1"/>
  <c r="BC144" i="9"/>
  <c r="AX144" i="9"/>
  <c r="AY144" i="9" s="1"/>
  <c r="AZ144" i="9" s="1"/>
  <c r="AS144" i="9"/>
  <c r="AT144" i="9" s="1"/>
  <c r="AU144" i="9" s="1"/>
  <c r="AN144" i="9"/>
  <c r="AO144" i="9" s="1"/>
  <c r="AP144" i="9" s="1"/>
  <c r="AI144" i="9"/>
  <c r="AJ144" i="9" s="1"/>
  <c r="AK144" i="9" s="1"/>
  <c r="AD144" i="9"/>
  <c r="AE144" i="9" s="1"/>
  <c r="AF144" i="9" s="1"/>
  <c r="Y144" i="9"/>
  <c r="Z144" i="9" s="1"/>
  <c r="BH143" i="9"/>
  <c r="BI143" i="9" s="1"/>
  <c r="BJ143" i="9" s="1"/>
  <c r="BC143" i="9"/>
  <c r="BD143" i="9" s="1"/>
  <c r="BE143" i="9" s="1"/>
  <c r="AX143" i="9"/>
  <c r="AY143" i="9" s="1"/>
  <c r="AZ143" i="9" s="1"/>
  <c r="AS143" i="9"/>
  <c r="AT143" i="9" s="1"/>
  <c r="AU143" i="9" s="1"/>
  <c r="AN143" i="9"/>
  <c r="AI143" i="9"/>
  <c r="AD143" i="9"/>
  <c r="AE143" i="9" s="1"/>
  <c r="AF143" i="9" s="1"/>
  <c r="Y143" i="9"/>
  <c r="BH142" i="9"/>
  <c r="BC142" i="9"/>
  <c r="AX142" i="9"/>
  <c r="AY142" i="9" s="1"/>
  <c r="AZ142" i="9" s="1"/>
  <c r="AS142" i="9"/>
  <c r="AT142" i="9" s="1"/>
  <c r="AU142" i="9" s="1"/>
  <c r="AN142" i="9"/>
  <c r="AO142" i="9" s="1"/>
  <c r="AP142" i="9" s="1"/>
  <c r="AI142" i="9"/>
  <c r="AJ142" i="9" s="1"/>
  <c r="AK142" i="9" s="1"/>
  <c r="AD142" i="9"/>
  <c r="Y142" i="9"/>
  <c r="BH141" i="9"/>
  <c r="BI141" i="9" s="1"/>
  <c r="BJ141" i="9" s="1"/>
  <c r="BC141" i="9"/>
  <c r="AX141" i="9"/>
  <c r="AS141" i="9"/>
  <c r="AT141" i="9" s="1"/>
  <c r="AU141" i="9" s="1"/>
  <c r="AN141" i="9"/>
  <c r="AO141" i="9" s="1"/>
  <c r="AP141" i="9" s="1"/>
  <c r="AI141" i="9"/>
  <c r="AD141" i="9"/>
  <c r="AE141" i="9" s="1"/>
  <c r="AF141" i="9" s="1"/>
  <c r="Y141" i="9"/>
  <c r="BH140" i="9"/>
  <c r="BI140" i="9" s="1"/>
  <c r="BJ140" i="9" s="1"/>
  <c r="BC140" i="9"/>
  <c r="BD140" i="9" s="1"/>
  <c r="BE140" i="9" s="1"/>
  <c r="AX140" i="9"/>
  <c r="AY140" i="9" s="1"/>
  <c r="AZ140" i="9" s="1"/>
  <c r="AS140" i="9"/>
  <c r="AT140" i="9" s="1"/>
  <c r="AU140" i="9" s="1"/>
  <c r="AN140" i="9"/>
  <c r="AI140" i="9"/>
  <c r="AJ140" i="9" s="1"/>
  <c r="AK140" i="9" s="1"/>
  <c r="AD140" i="9"/>
  <c r="AE140" i="9" s="1"/>
  <c r="AF140" i="9" s="1"/>
  <c r="Y140" i="9"/>
  <c r="Z140" i="9" s="1"/>
  <c r="BH139" i="9"/>
  <c r="BI139" i="9" s="1"/>
  <c r="BJ139" i="9" s="1"/>
  <c r="BC139" i="9"/>
  <c r="BD139" i="9" s="1"/>
  <c r="BE139" i="9" s="1"/>
  <c r="AX139" i="9"/>
  <c r="AS139" i="9"/>
  <c r="AT139" i="9" s="1"/>
  <c r="AU139" i="9" s="1"/>
  <c r="AN139" i="9"/>
  <c r="AO139" i="9" s="1"/>
  <c r="AP139" i="9" s="1"/>
  <c r="AI139" i="9"/>
  <c r="AD139" i="9"/>
  <c r="AE139" i="9" s="1"/>
  <c r="AF139" i="9" s="1"/>
  <c r="Y139" i="9"/>
  <c r="BH138" i="9"/>
  <c r="BC138" i="9"/>
  <c r="BD138" i="9" s="1"/>
  <c r="BE138" i="9" s="1"/>
  <c r="AY138" i="9"/>
  <c r="AZ138" i="9" s="1"/>
  <c r="AX138" i="9"/>
  <c r="AS138" i="9"/>
  <c r="AT138" i="9" s="1"/>
  <c r="AU138" i="9" s="1"/>
  <c r="AN138" i="9"/>
  <c r="AO138" i="9" s="1"/>
  <c r="AP138" i="9" s="1"/>
  <c r="AI138" i="9"/>
  <c r="AD138" i="9"/>
  <c r="AE138" i="9" s="1"/>
  <c r="AF138" i="9" s="1"/>
  <c r="Y138" i="9"/>
  <c r="BH137" i="9"/>
  <c r="BI137" i="9" s="1"/>
  <c r="BJ137" i="9" s="1"/>
  <c r="BC137" i="9"/>
  <c r="AX137" i="9"/>
  <c r="AY137" i="9" s="1"/>
  <c r="AZ137" i="9" s="1"/>
  <c r="AS137" i="9"/>
  <c r="AT137" i="9" s="1"/>
  <c r="AU137" i="9" s="1"/>
  <c r="AN137" i="9"/>
  <c r="AO137" i="9" s="1"/>
  <c r="AP137" i="9" s="1"/>
  <c r="AI137" i="9"/>
  <c r="AD137" i="9"/>
  <c r="AE137" i="9" s="1"/>
  <c r="AF137" i="9" s="1"/>
  <c r="Z137" i="9"/>
  <c r="Y137" i="9"/>
  <c r="BH136" i="9"/>
  <c r="BI136" i="9" s="1"/>
  <c r="BJ136" i="9" s="1"/>
  <c r="BC136" i="9"/>
  <c r="BD136" i="9" s="1"/>
  <c r="BE136" i="9" s="1"/>
  <c r="AX136" i="9"/>
  <c r="AS136" i="9"/>
  <c r="AT136" i="9" s="1"/>
  <c r="AU136" i="9" s="1"/>
  <c r="AN136" i="9"/>
  <c r="AO136" i="9" s="1"/>
  <c r="AP136" i="9" s="1"/>
  <c r="AI136" i="9"/>
  <c r="AJ136" i="9" s="1"/>
  <c r="AK136" i="9" s="1"/>
  <c r="AD136" i="9"/>
  <c r="AE136" i="9" s="1"/>
  <c r="AF136" i="9" s="1"/>
  <c r="Y136" i="9"/>
  <c r="BH135" i="9"/>
  <c r="BI135" i="9" s="1"/>
  <c r="BJ135" i="9" s="1"/>
  <c r="BC135" i="9"/>
  <c r="BD135" i="9" s="1"/>
  <c r="BE135" i="9" s="1"/>
  <c r="AX135" i="9"/>
  <c r="AY135" i="9" s="1"/>
  <c r="AZ135" i="9" s="1"/>
  <c r="AS135" i="9"/>
  <c r="AN135" i="9"/>
  <c r="AO135" i="9" s="1"/>
  <c r="AP135" i="9" s="1"/>
  <c r="AI135" i="9"/>
  <c r="AJ135" i="9" s="1"/>
  <c r="AK135" i="9" s="1"/>
  <c r="AD135" i="9"/>
  <c r="Y135" i="9"/>
  <c r="BH134" i="9"/>
  <c r="BI134" i="9" s="1"/>
  <c r="BJ134" i="9" s="1"/>
  <c r="BC134" i="9"/>
  <c r="BD134" i="9" s="1"/>
  <c r="BE134" i="9" s="1"/>
  <c r="AX134" i="9"/>
  <c r="AY134" i="9" s="1"/>
  <c r="AZ134" i="9" s="1"/>
  <c r="AS134" i="9"/>
  <c r="AT134" i="9" s="1"/>
  <c r="AU134" i="9" s="1"/>
  <c r="AN134" i="9"/>
  <c r="AO134" i="9" s="1"/>
  <c r="AP134" i="9" s="1"/>
  <c r="AI134" i="9"/>
  <c r="AJ134" i="9" s="1"/>
  <c r="AK134" i="9" s="1"/>
  <c r="AD134" i="9"/>
  <c r="AE134" i="9" s="1"/>
  <c r="AF134" i="9" s="1"/>
  <c r="Y134" i="9"/>
  <c r="BH133" i="9"/>
  <c r="BC133" i="9"/>
  <c r="BD133" i="9" s="1"/>
  <c r="BE133" i="9" s="1"/>
  <c r="AX133" i="9"/>
  <c r="AS133" i="9"/>
  <c r="AN133" i="9"/>
  <c r="AO133" i="9" s="1"/>
  <c r="AP133" i="9" s="1"/>
  <c r="AI133" i="9"/>
  <c r="AD133" i="9"/>
  <c r="Y133" i="9"/>
  <c r="Z133" i="9" s="1"/>
  <c r="BH132" i="9"/>
  <c r="BI132" i="9" s="1"/>
  <c r="BJ132" i="9" s="1"/>
  <c r="BC132" i="9"/>
  <c r="BD132" i="9" s="1"/>
  <c r="BE132" i="9" s="1"/>
  <c r="AX132" i="9"/>
  <c r="AY132" i="9" s="1"/>
  <c r="AZ132" i="9" s="1"/>
  <c r="AS132" i="9"/>
  <c r="AT132" i="9" s="1"/>
  <c r="AU132" i="9" s="1"/>
  <c r="AN132" i="9"/>
  <c r="AO132" i="9" s="1"/>
  <c r="AP132" i="9" s="1"/>
  <c r="AI132" i="9"/>
  <c r="AD132" i="9"/>
  <c r="Y132" i="9"/>
  <c r="Z132" i="9" s="1"/>
  <c r="BH131" i="9"/>
  <c r="BI131" i="9" s="1"/>
  <c r="BJ131" i="9" s="1"/>
  <c r="BC131" i="9"/>
  <c r="BD131" i="9" s="1"/>
  <c r="BE131" i="9" s="1"/>
  <c r="AX131" i="9"/>
  <c r="AY131" i="9" s="1"/>
  <c r="AZ131" i="9" s="1"/>
  <c r="AS131" i="9"/>
  <c r="AT131" i="9" s="1"/>
  <c r="AU131" i="9" s="1"/>
  <c r="AN131" i="9"/>
  <c r="AI131" i="9"/>
  <c r="AD131" i="9"/>
  <c r="AE131" i="9" s="1"/>
  <c r="AF131" i="9" s="1"/>
  <c r="Y131" i="9"/>
  <c r="BH130" i="9"/>
  <c r="BI130" i="9" s="1"/>
  <c r="BJ130" i="9" s="1"/>
  <c r="BC130" i="9"/>
  <c r="AX130" i="9"/>
  <c r="AY130" i="9" s="1"/>
  <c r="AZ130" i="9" s="1"/>
  <c r="AS130" i="9"/>
  <c r="AT130" i="9" s="1"/>
  <c r="AU130" i="9" s="1"/>
  <c r="AN130" i="9"/>
  <c r="AI130" i="9"/>
  <c r="AD130" i="9"/>
  <c r="Y130" i="9"/>
  <c r="Z130" i="9" s="1"/>
  <c r="AA130" i="9" s="1"/>
  <c r="BH129" i="9"/>
  <c r="BI129" i="9" s="1"/>
  <c r="BJ129" i="9" s="1"/>
  <c r="BC129" i="9"/>
  <c r="BD129" i="9" s="1"/>
  <c r="BE129" i="9" s="1"/>
  <c r="AX129" i="9"/>
  <c r="AS129" i="9"/>
  <c r="AN129" i="9"/>
  <c r="AO129" i="9" s="1"/>
  <c r="AP129" i="9" s="1"/>
  <c r="AI129" i="9"/>
  <c r="AJ129" i="9" s="1"/>
  <c r="AK129" i="9" s="1"/>
  <c r="AD129" i="9"/>
  <c r="Y129" i="9"/>
  <c r="Z129" i="9" s="1"/>
  <c r="AA129" i="9" s="1"/>
  <c r="BH128" i="9"/>
  <c r="BI128" i="9" s="1"/>
  <c r="BJ128" i="9" s="1"/>
  <c r="BC128" i="9"/>
  <c r="AX128" i="9"/>
  <c r="AY128" i="9" s="1"/>
  <c r="AZ128" i="9" s="1"/>
  <c r="AS128" i="9"/>
  <c r="AT128" i="9" s="1"/>
  <c r="AU128" i="9" s="1"/>
  <c r="AN128" i="9"/>
  <c r="AI128" i="9"/>
  <c r="AJ128" i="9" s="1"/>
  <c r="AK128" i="9" s="1"/>
  <c r="AD128" i="9"/>
  <c r="AE128" i="9" s="1"/>
  <c r="AF128" i="9" s="1"/>
  <c r="Y128" i="9"/>
  <c r="BH127" i="9"/>
  <c r="BC127" i="9"/>
  <c r="BD127" i="9" s="1"/>
  <c r="BE127" i="9" s="1"/>
  <c r="AX127" i="9"/>
  <c r="AY127" i="9" s="1"/>
  <c r="AZ127" i="9" s="1"/>
  <c r="AS127" i="9"/>
  <c r="AN127" i="9"/>
  <c r="AI127" i="9"/>
  <c r="AJ127" i="9" s="1"/>
  <c r="AK127" i="9" s="1"/>
  <c r="AD127" i="9"/>
  <c r="Y127" i="9"/>
  <c r="Z127" i="9" s="1"/>
  <c r="AA127" i="9" s="1"/>
  <c r="BH126" i="9"/>
  <c r="BI126" i="9" s="1"/>
  <c r="BJ126" i="9" s="1"/>
  <c r="BC126" i="9"/>
  <c r="BD126" i="9" s="1"/>
  <c r="BE126" i="9" s="1"/>
  <c r="AX126" i="9"/>
  <c r="AS126" i="9"/>
  <c r="AN126" i="9"/>
  <c r="AO126" i="9" s="1"/>
  <c r="AP126" i="9" s="1"/>
  <c r="AI126" i="9"/>
  <c r="AJ126" i="9" s="1"/>
  <c r="AK126" i="9" s="1"/>
  <c r="AD126" i="9"/>
  <c r="Y126" i="9"/>
  <c r="BH125" i="9"/>
  <c r="BI125" i="9" s="1"/>
  <c r="BJ125" i="9" s="1"/>
  <c r="BC125" i="9"/>
  <c r="BD125" i="9" s="1"/>
  <c r="BE125" i="9" s="1"/>
  <c r="AX125" i="9"/>
  <c r="AS125" i="9"/>
  <c r="AT125" i="9" s="1"/>
  <c r="AU125" i="9" s="1"/>
  <c r="AN125" i="9"/>
  <c r="AO125" i="9" s="1"/>
  <c r="AP125" i="9" s="1"/>
  <c r="AI125" i="9"/>
  <c r="AJ125" i="9" s="1"/>
  <c r="AK125" i="9" s="1"/>
  <c r="AD125" i="9"/>
  <c r="AE125" i="9" s="1"/>
  <c r="AF125" i="9" s="1"/>
  <c r="Y125" i="9"/>
  <c r="BH124" i="9"/>
  <c r="BI124" i="9" s="1"/>
  <c r="BJ124" i="9" s="1"/>
  <c r="BC124" i="9"/>
  <c r="AX124" i="9"/>
  <c r="AY124" i="9" s="1"/>
  <c r="AZ124" i="9" s="1"/>
  <c r="AS124" i="9"/>
  <c r="AT124" i="9" s="1"/>
  <c r="AU124" i="9" s="1"/>
  <c r="AN124" i="9"/>
  <c r="AI124" i="9"/>
  <c r="AD124" i="9"/>
  <c r="AE124" i="9" s="1"/>
  <c r="AF124" i="9" s="1"/>
  <c r="Y124" i="9"/>
  <c r="BH123" i="9"/>
  <c r="BC123" i="9"/>
  <c r="AX123" i="9"/>
  <c r="AY123" i="9" s="1"/>
  <c r="AZ123" i="9" s="1"/>
  <c r="AS123" i="9"/>
  <c r="AT123" i="9" s="1"/>
  <c r="AU123" i="9" s="1"/>
  <c r="AN123" i="9"/>
  <c r="AO123" i="9" s="1"/>
  <c r="AP123" i="9" s="1"/>
  <c r="AI123" i="9"/>
  <c r="AJ123" i="9" s="1"/>
  <c r="AK123" i="9" s="1"/>
  <c r="AD123" i="9"/>
  <c r="AE123" i="9" s="1"/>
  <c r="AF123" i="9" s="1"/>
  <c r="Y123" i="9"/>
  <c r="Z123" i="9" s="1"/>
  <c r="AA123" i="9" s="1"/>
  <c r="BH122" i="9"/>
  <c r="BC122" i="9"/>
  <c r="AX122" i="9"/>
  <c r="AS122" i="9"/>
  <c r="AT122" i="9" s="1"/>
  <c r="AU122" i="9" s="1"/>
  <c r="AN122" i="9"/>
  <c r="AO122" i="9" s="1"/>
  <c r="AP122" i="9" s="1"/>
  <c r="AI122" i="9"/>
  <c r="AD122" i="9"/>
  <c r="AE122" i="9" s="1"/>
  <c r="AF122" i="9" s="1"/>
  <c r="Y122" i="9"/>
  <c r="Z122" i="9" s="1"/>
  <c r="AA122" i="9" s="1"/>
  <c r="BH121" i="9"/>
  <c r="BI121" i="9" s="1"/>
  <c r="BJ121" i="9" s="1"/>
  <c r="BC121" i="9"/>
  <c r="AX121" i="9"/>
  <c r="AY121" i="9" s="1"/>
  <c r="AZ121" i="9" s="1"/>
  <c r="AS121" i="9"/>
  <c r="AT121" i="9" s="1"/>
  <c r="AU121" i="9" s="1"/>
  <c r="AN121" i="9"/>
  <c r="AO121" i="9" s="1"/>
  <c r="AP121" i="9" s="1"/>
  <c r="AI121" i="9"/>
  <c r="AJ121" i="9" s="1"/>
  <c r="AK121" i="9" s="1"/>
  <c r="AD121" i="9"/>
  <c r="AE121" i="9" s="1"/>
  <c r="AF121" i="9" s="1"/>
  <c r="Y121" i="9"/>
  <c r="BH120" i="9"/>
  <c r="BI120" i="9" s="1"/>
  <c r="BJ120" i="9" s="1"/>
  <c r="BC120" i="9"/>
  <c r="BD120" i="9" s="1"/>
  <c r="BE120" i="9" s="1"/>
  <c r="AX120" i="9"/>
  <c r="AY120" i="9" s="1"/>
  <c r="AZ120" i="9" s="1"/>
  <c r="AS120" i="9"/>
  <c r="AN120" i="9"/>
  <c r="AI120" i="9"/>
  <c r="AJ120" i="9" s="1"/>
  <c r="AK120" i="9" s="1"/>
  <c r="AD120" i="9"/>
  <c r="AE120" i="9" s="1"/>
  <c r="AF120" i="9" s="1"/>
  <c r="Y120" i="9"/>
  <c r="BH119" i="9"/>
  <c r="BI119" i="9" s="1"/>
  <c r="BJ119" i="9" s="1"/>
  <c r="BC119" i="9"/>
  <c r="BD119" i="9" s="1"/>
  <c r="BE119" i="9" s="1"/>
  <c r="AX119" i="9"/>
  <c r="AS119" i="9"/>
  <c r="AT119" i="9" s="1"/>
  <c r="AU119" i="9" s="1"/>
  <c r="AO119" i="9"/>
  <c r="AP119" i="9" s="1"/>
  <c r="AN119" i="9"/>
  <c r="AI119" i="9"/>
  <c r="AD119" i="9"/>
  <c r="Y119" i="9"/>
  <c r="Z119" i="9" s="1"/>
  <c r="AA119" i="9" s="1"/>
  <c r="BH118" i="9"/>
  <c r="BC118" i="9"/>
  <c r="AX118" i="9"/>
  <c r="AY118" i="9" s="1"/>
  <c r="AZ118" i="9" s="1"/>
  <c r="AS118" i="9"/>
  <c r="AN118" i="9"/>
  <c r="AO118" i="9" s="1"/>
  <c r="AP118" i="9" s="1"/>
  <c r="AI118" i="9"/>
  <c r="AD118" i="9"/>
  <c r="AE118" i="9" s="1"/>
  <c r="AF118" i="9" s="1"/>
  <c r="Y118" i="9"/>
  <c r="BH117" i="9"/>
  <c r="BC117" i="9"/>
  <c r="BD117" i="9" s="1"/>
  <c r="BE117" i="9" s="1"/>
  <c r="AX117" i="9"/>
  <c r="AS117" i="9"/>
  <c r="AN117" i="9"/>
  <c r="AO117" i="9" s="1"/>
  <c r="AP117" i="9" s="1"/>
  <c r="AI117" i="9"/>
  <c r="AD117" i="9"/>
  <c r="AE117" i="9" s="1"/>
  <c r="AF117" i="9" s="1"/>
  <c r="Y117" i="9"/>
  <c r="Z117" i="9" s="1"/>
  <c r="BH116" i="9"/>
  <c r="BI116" i="9" s="1"/>
  <c r="BJ116" i="9" s="1"/>
  <c r="BC116" i="9"/>
  <c r="AX116" i="9"/>
  <c r="AS116" i="9"/>
  <c r="AT116" i="9" s="1"/>
  <c r="AU116" i="9" s="1"/>
  <c r="AN116" i="9"/>
  <c r="AI116" i="9"/>
  <c r="AJ116" i="9" s="1"/>
  <c r="AK116" i="9" s="1"/>
  <c r="AD116" i="9"/>
  <c r="AE116" i="9" s="1"/>
  <c r="AF116" i="9" s="1"/>
  <c r="Y116" i="9"/>
  <c r="Z116" i="9" s="1"/>
  <c r="AA116" i="9" s="1"/>
  <c r="BH115" i="9"/>
  <c r="BI115" i="9" s="1"/>
  <c r="BJ115" i="9" s="1"/>
  <c r="BC115" i="9"/>
  <c r="BD115" i="9" s="1"/>
  <c r="BE115" i="9" s="1"/>
  <c r="AX115" i="9"/>
  <c r="AY115" i="9" s="1"/>
  <c r="AZ115" i="9" s="1"/>
  <c r="AS115" i="9"/>
  <c r="AN115" i="9"/>
  <c r="AI115" i="9"/>
  <c r="AJ115" i="9" s="1"/>
  <c r="AK115" i="9" s="1"/>
  <c r="AD115" i="9"/>
  <c r="Y115" i="9"/>
  <c r="Z115" i="9" s="1"/>
  <c r="BH114" i="9"/>
  <c r="BC114" i="9"/>
  <c r="BD114" i="9" s="1"/>
  <c r="BE114" i="9" s="1"/>
  <c r="AX114" i="9"/>
  <c r="AY114" i="9" s="1"/>
  <c r="AZ114" i="9" s="1"/>
  <c r="AS114" i="9"/>
  <c r="AN114" i="9"/>
  <c r="AO114" i="9" s="1"/>
  <c r="AP114" i="9" s="1"/>
  <c r="AI114" i="9"/>
  <c r="AJ114" i="9" s="1"/>
  <c r="AK114" i="9" s="1"/>
  <c r="AD114" i="9"/>
  <c r="AE114" i="9" s="1"/>
  <c r="AF114" i="9" s="1"/>
  <c r="Y114" i="9"/>
  <c r="BH113" i="9"/>
  <c r="BC113" i="9"/>
  <c r="BD113" i="9" s="1"/>
  <c r="BE113" i="9" s="1"/>
  <c r="AX113" i="9"/>
  <c r="AY113" i="9" s="1"/>
  <c r="AZ113" i="9" s="1"/>
  <c r="AS113" i="9"/>
  <c r="AN113" i="9"/>
  <c r="AI113" i="9"/>
  <c r="AJ113" i="9" s="1"/>
  <c r="AK113" i="9" s="1"/>
  <c r="AD113" i="9"/>
  <c r="Y113" i="9"/>
  <c r="Z113" i="9" s="1"/>
  <c r="AA113" i="9" s="1"/>
  <c r="BH112" i="9"/>
  <c r="BI112" i="9" s="1"/>
  <c r="BJ112" i="9" s="1"/>
  <c r="BC112" i="9"/>
  <c r="AX112" i="9"/>
  <c r="AS112" i="9"/>
  <c r="AN112" i="9"/>
  <c r="AO112" i="9" s="1"/>
  <c r="AP112" i="9" s="1"/>
  <c r="AI112" i="9"/>
  <c r="AJ112" i="9" s="1"/>
  <c r="AK112" i="9" s="1"/>
  <c r="AD112" i="9"/>
  <c r="Y112" i="9"/>
  <c r="Z112" i="9" s="1"/>
  <c r="AA112" i="9" s="1"/>
  <c r="BH111" i="9"/>
  <c r="BI111" i="9" s="1"/>
  <c r="BJ111" i="9" s="1"/>
  <c r="BC111" i="9"/>
  <c r="BD111" i="9" s="1"/>
  <c r="BE111" i="9" s="1"/>
  <c r="AX111" i="9"/>
  <c r="AY111" i="9" s="1"/>
  <c r="AZ111" i="9" s="1"/>
  <c r="AS111" i="9"/>
  <c r="AN111" i="9"/>
  <c r="AI111" i="9"/>
  <c r="AJ111" i="9" s="1"/>
  <c r="AK111" i="9" s="1"/>
  <c r="AD111" i="9"/>
  <c r="AE111" i="9" s="1"/>
  <c r="AF111" i="9" s="1"/>
  <c r="Y111" i="9"/>
  <c r="BH110" i="9"/>
  <c r="BC110" i="9"/>
  <c r="BD110" i="9" s="1"/>
  <c r="BE110" i="9" s="1"/>
  <c r="AX110" i="9"/>
  <c r="AY110" i="9" s="1"/>
  <c r="AZ110" i="9" s="1"/>
  <c r="AS110" i="9"/>
  <c r="AN110" i="9"/>
  <c r="AI110" i="9"/>
  <c r="AJ110" i="9" s="1"/>
  <c r="AK110" i="9" s="1"/>
  <c r="AD110" i="9"/>
  <c r="AE110" i="9" s="1"/>
  <c r="AF110" i="9" s="1"/>
  <c r="Y110" i="9"/>
  <c r="BH109" i="9"/>
  <c r="BC109" i="9"/>
  <c r="AX109" i="9"/>
  <c r="AS109" i="9"/>
  <c r="AN109" i="9"/>
  <c r="AI109" i="9"/>
  <c r="AD109" i="9"/>
  <c r="AE109" i="9" s="1"/>
  <c r="AF109" i="9" s="1"/>
  <c r="Y109" i="9"/>
  <c r="Z109" i="9" s="1"/>
  <c r="AA109" i="9" s="1"/>
  <c r="BH108" i="9"/>
  <c r="BC108" i="9"/>
  <c r="AX108" i="9"/>
  <c r="AY108" i="9" s="1"/>
  <c r="AZ108" i="9" s="1"/>
  <c r="AS108" i="9"/>
  <c r="AN108" i="9"/>
  <c r="AI108" i="9"/>
  <c r="AJ108" i="9" s="1"/>
  <c r="AK108" i="9" s="1"/>
  <c r="AD108" i="9"/>
  <c r="Y108" i="9"/>
  <c r="BH107" i="9"/>
  <c r="BC107" i="9"/>
  <c r="AX107" i="9"/>
  <c r="AS107" i="9"/>
  <c r="AN107" i="9"/>
  <c r="AO107" i="9" s="1"/>
  <c r="AP107" i="9" s="1"/>
  <c r="AI107" i="9"/>
  <c r="AD107" i="9"/>
  <c r="Y107" i="9"/>
  <c r="Z107" i="9" s="1"/>
  <c r="AA107" i="9" s="1"/>
  <c r="BH106" i="9"/>
  <c r="BC106" i="9"/>
  <c r="AX106" i="9"/>
  <c r="AS106" i="9"/>
  <c r="AN106" i="9"/>
  <c r="AI106" i="9"/>
  <c r="AD106" i="9"/>
  <c r="Y106" i="9"/>
  <c r="BH105" i="9"/>
  <c r="BI105" i="9" s="1"/>
  <c r="BJ105" i="9" s="1"/>
  <c r="BC105" i="9"/>
  <c r="AY105" i="9"/>
  <c r="AZ105" i="9" s="1"/>
  <c r="AX105" i="9"/>
  <c r="AS105" i="9"/>
  <c r="AN105" i="9"/>
  <c r="AI105" i="9"/>
  <c r="AD105" i="9"/>
  <c r="Y105" i="9"/>
  <c r="BH104" i="9"/>
  <c r="BC104" i="9"/>
  <c r="BD104" i="9" s="1"/>
  <c r="BE104" i="9" s="1"/>
  <c r="AX104" i="9"/>
  <c r="AS104" i="9"/>
  <c r="AN104" i="9"/>
  <c r="AI104" i="9"/>
  <c r="AD104" i="9"/>
  <c r="Y104" i="9"/>
  <c r="Z104" i="9" s="1"/>
  <c r="AA104" i="9" s="1"/>
  <c r="BH103" i="9"/>
  <c r="BI103" i="9" s="1"/>
  <c r="BJ103" i="9" s="1"/>
  <c r="BC103" i="9"/>
  <c r="AX103" i="9"/>
  <c r="AY103" i="9" s="1"/>
  <c r="AZ103" i="9" s="1"/>
  <c r="AS103" i="9"/>
  <c r="AT103" i="9" s="1"/>
  <c r="AU103" i="9" s="1"/>
  <c r="AN103" i="9"/>
  <c r="AI103" i="9"/>
  <c r="AJ103" i="9" s="1"/>
  <c r="AK103" i="9" s="1"/>
  <c r="AD103" i="9"/>
  <c r="AE103" i="9" s="1"/>
  <c r="AF103" i="9" s="1"/>
  <c r="Y103" i="9"/>
  <c r="Z103" i="9" s="1"/>
  <c r="BH102" i="9"/>
  <c r="BI102" i="9" s="1"/>
  <c r="BJ102" i="9" s="1"/>
  <c r="BC102" i="9"/>
  <c r="BD102" i="9" s="1"/>
  <c r="BE102" i="9" s="1"/>
  <c r="AX102" i="9"/>
  <c r="AY102" i="9" s="1"/>
  <c r="AZ102" i="9" s="1"/>
  <c r="AS102" i="9"/>
  <c r="AN102" i="9"/>
  <c r="AI102" i="9"/>
  <c r="AD102" i="9"/>
  <c r="AE102" i="9" s="1"/>
  <c r="AF102" i="9" s="1"/>
  <c r="Y102" i="9"/>
  <c r="Z102" i="9" s="1"/>
  <c r="BH101" i="9"/>
  <c r="BI101" i="9" s="1"/>
  <c r="BJ101" i="9" s="1"/>
  <c r="BC101" i="9"/>
  <c r="BD101" i="9" s="1"/>
  <c r="BE101" i="9" s="1"/>
  <c r="AX101" i="9"/>
  <c r="AY101" i="9" s="1"/>
  <c r="AZ101" i="9" s="1"/>
  <c r="AS101" i="9"/>
  <c r="AT101" i="9" s="1"/>
  <c r="AU101" i="9" s="1"/>
  <c r="AN101" i="9"/>
  <c r="AI101" i="9"/>
  <c r="AD101" i="9"/>
  <c r="Y101" i="9"/>
  <c r="BH100" i="9"/>
  <c r="BC100" i="9"/>
  <c r="BD100" i="9" s="1"/>
  <c r="BE100" i="9" s="1"/>
  <c r="AX100" i="9"/>
  <c r="AY100" i="9" s="1"/>
  <c r="AZ100" i="9" s="1"/>
  <c r="AS100" i="9"/>
  <c r="AT100" i="9" s="1"/>
  <c r="AU100" i="9" s="1"/>
  <c r="AN100" i="9"/>
  <c r="AO100" i="9" s="1"/>
  <c r="AP100" i="9" s="1"/>
  <c r="AI100" i="9"/>
  <c r="AJ100" i="9" s="1"/>
  <c r="AK100" i="9" s="1"/>
  <c r="AD100" i="9"/>
  <c r="AE100" i="9" s="1"/>
  <c r="AF100" i="9" s="1"/>
  <c r="Y100" i="9"/>
  <c r="Z100" i="9" s="1"/>
  <c r="AA100" i="9" s="1"/>
  <c r="BH99" i="9"/>
  <c r="BC99" i="9"/>
  <c r="BD99" i="9" s="1"/>
  <c r="BE99" i="9" s="1"/>
  <c r="AY99" i="9"/>
  <c r="AZ99" i="9" s="1"/>
  <c r="AX99" i="9"/>
  <c r="AS99" i="9"/>
  <c r="AT99" i="9" s="1"/>
  <c r="AU99" i="9" s="1"/>
  <c r="AN99" i="9"/>
  <c r="AO99" i="9" s="1"/>
  <c r="AP99" i="9" s="1"/>
  <c r="AI99" i="9"/>
  <c r="AJ99" i="9" s="1"/>
  <c r="AK99" i="9" s="1"/>
  <c r="AD99" i="9"/>
  <c r="Y99" i="9"/>
  <c r="BH98" i="9"/>
  <c r="BI98" i="9" s="1"/>
  <c r="BJ98" i="9" s="1"/>
  <c r="BC98" i="9"/>
  <c r="BD98" i="9" s="1"/>
  <c r="BE98" i="9" s="1"/>
  <c r="AX98" i="9"/>
  <c r="AS98" i="9"/>
  <c r="AN98" i="9"/>
  <c r="AO98" i="9" s="1"/>
  <c r="AP98" i="9" s="1"/>
  <c r="AI98" i="9"/>
  <c r="AD98" i="9"/>
  <c r="AE98" i="9" s="1"/>
  <c r="AF98" i="9" s="1"/>
  <c r="Y98" i="9"/>
  <c r="Z98" i="9" s="1"/>
  <c r="BH97" i="9"/>
  <c r="BC97" i="9"/>
  <c r="BD97" i="9" s="1"/>
  <c r="BE97" i="9" s="1"/>
  <c r="AX97" i="9"/>
  <c r="AY97" i="9" s="1"/>
  <c r="AZ97" i="9" s="1"/>
  <c r="AS97" i="9"/>
  <c r="AN97" i="9"/>
  <c r="AJ97" i="9"/>
  <c r="AK97" i="9" s="1"/>
  <c r="AI97" i="9"/>
  <c r="AD97" i="9"/>
  <c r="Y97" i="9"/>
  <c r="BH96" i="9"/>
  <c r="BC96" i="9"/>
  <c r="AX96" i="9"/>
  <c r="AY96" i="9" s="1"/>
  <c r="AZ96" i="9" s="1"/>
  <c r="AS96" i="9"/>
  <c r="AT96" i="9" s="1"/>
  <c r="AU96" i="9" s="1"/>
  <c r="AN96" i="9"/>
  <c r="AI96" i="9"/>
  <c r="AD96" i="9"/>
  <c r="AE96" i="9" s="1"/>
  <c r="AF96" i="9" s="1"/>
  <c r="Y96" i="9"/>
  <c r="Z96" i="9" s="1"/>
  <c r="BH95" i="9"/>
  <c r="BI95" i="9" s="1"/>
  <c r="BJ95" i="9" s="1"/>
  <c r="BC95" i="9"/>
  <c r="BD95" i="9" s="1"/>
  <c r="BE95" i="9" s="1"/>
  <c r="AX95" i="9"/>
  <c r="AS95" i="9"/>
  <c r="AN95" i="9"/>
  <c r="AI95" i="9"/>
  <c r="AD95" i="9"/>
  <c r="AE95" i="9" s="1"/>
  <c r="AF95" i="9" s="1"/>
  <c r="Y95" i="9"/>
  <c r="Z95" i="9" s="1"/>
  <c r="AA95" i="9" s="1"/>
  <c r="BH94" i="9"/>
  <c r="BI94" i="9" s="1"/>
  <c r="BJ94" i="9" s="1"/>
  <c r="BC94" i="9"/>
  <c r="BD94" i="9" s="1"/>
  <c r="BE94" i="9" s="1"/>
  <c r="AX94" i="9"/>
  <c r="AY94" i="9" s="1"/>
  <c r="AZ94" i="9" s="1"/>
  <c r="AS94" i="9"/>
  <c r="AN94" i="9"/>
  <c r="AI94" i="9"/>
  <c r="AJ94" i="9" s="1"/>
  <c r="AK94" i="9" s="1"/>
  <c r="AD94" i="9"/>
  <c r="Y94" i="9"/>
  <c r="Z94" i="9" s="1"/>
  <c r="AA94" i="9" s="1"/>
  <c r="BH93" i="9"/>
  <c r="BI93" i="9" s="1"/>
  <c r="BJ93" i="9" s="1"/>
  <c r="BC93" i="9"/>
  <c r="BD93" i="9" s="1"/>
  <c r="BE93" i="9" s="1"/>
  <c r="AX93" i="9"/>
  <c r="AS93" i="9"/>
  <c r="AT93" i="9" s="1"/>
  <c r="AU93" i="9" s="1"/>
  <c r="AN93" i="9"/>
  <c r="AI93" i="9"/>
  <c r="AD93" i="9"/>
  <c r="Y93" i="9"/>
  <c r="BH92" i="9"/>
  <c r="BI92" i="9" s="1"/>
  <c r="BJ92" i="9" s="1"/>
  <c r="BC92" i="9"/>
  <c r="BD92" i="9" s="1"/>
  <c r="BE92" i="9" s="1"/>
  <c r="AX92" i="9"/>
  <c r="AS92" i="9"/>
  <c r="AT92" i="9" s="1"/>
  <c r="AU92" i="9" s="1"/>
  <c r="AN92" i="9"/>
  <c r="AI92" i="9"/>
  <c r="AD92" i="9"/>
  <c r="AE92" i="9" s="1"/>
  <c r="AF92" i="9" s="1"/>
  <c r="Y92" i="9"/>
  <c r="BH91" i="9"/>
  <c r="BI91" i="9" s="1"/>
  <c r="BJ91" i="9" s="1"/>
  <c r="BC91" i="9"/>
  <c r="BD91" i="9" s="1"/>
  <c r="BE91" i="9" s="1"/>
  <c r="AX91" i="9"/>
  <c r="AS91" i="9"/>
  <c r="AT91" i="9" s="1"/>
  <c r="AU91" i="9" s="1"/>
  <c r="AN91" i="9"/>
  <c r="AI91" i="9"/>
  <c r="AD91" i="9"/>
  <c r="AE91" i="9" s="1"/>
  <c r="AF91" i="9" s="1"/>
  <c r="Y91" i="9"/>
  <c r="BH90" i="9"/>
  <c r="BC90" i="9"/>
  <c r="BD90" i="9" s="1"/>
  <c r="BE90" i="9" s="1"/>
  <c r="AX90" i="9"/>
  <c r="AY90" i="9" s="1"/>
  <c r="AZ90" i="9" s="1"/>
  <c r="AU90" i="9"/>
  <c r="AS90" i="9"/>
  <c r="AT90" i="9" s="1"/>
  <c r="AN90" i="9"/>
  <c r="AO90" i="9" s="1"/>
  <c r="AP90" i="9" s="1"/>
  <c r="AI90" i="9"/>
  <c r="AJ90" i="9" s="1"/>
  <c r="AK90" i="9" s="1"/>
  <c r="AD90" i="9"/>
  <c r="AE90" i="9" s="1"/>
  <c r="AF90" i="9" s="1"/>
  <c r="Y90" i="9"/>
  <c r="BH89" i="9"/>
  <c r="BI89" i="9" s="1"/>
  <c r="BJ89" i="9" s="1"/>
  <c r="BC89" i="9"/>
  <c r="AX89" i="9"/>
  <c r="AS89" i="9"/>
  <c r="AT89" i="9" s="1"/>
  <c r="AU89" i="9" s="1"/>
  <c r="AN89" i="9"/>
  <c r="AO89" i="9" s="1"/>
  <c r="AP89" i="9" s="1"/>
  <c r="AI89" i="9"/>
  <c r="AD89" i="9"/>
  <c r="AE89" i="9" s="1"/>
  <c r="AF89" i="9" s="1"/>
  <c r="Y89" i="9"/>
  <c r="Z89" i="9" s="1"/>
  <c r="AA89" i="9" s="1"/>
  <c r="BH88" i="9"/>
  <c r="BC88" i="9"/>
  <c r="BD88" i="9" s="1"/>
  <c r="BE88" i="9" s="1"/>
  <c r="AX88" i="9"/>
  <c r="AS88" i="9"/>
  <c r="AN88" i="9"/>
  <c r="AO88" i="9" s="1"/>
  <c r="AP88" i="9" s="1"/>
  <c r="AI88" i="9"/>
  <c r="AD88" i="9"/>
  <c r="Y88" i="9"/>
  <c r="BH87" i="9"/>
  <c r="BC87" i="9"/>
  <c r="BD87" i="9" s="1"/>
  <c r="BE87" i="9" s="1"/>
  <c r="AX87" i="9"/>
  <c r="AY87" i="9" s="1"/>
  <c r="AZ87" i="9" s="1"/>
  <c r="AS87" i="9"/>
  <c r="AT87" i="9" s="1"/>
  <c r="AU87" i="9" s="1"/>
  <c r="AN87" i="9"/>
  <c r="AO87" i="9" s="1"/>
  <c r="AP87" i="9" s="1"/>
  <c r="AI87" i="9"/>
  <c r="AD87" i="9"/>
  <c r="Y87" i="9"/>
  <c r="BH86" i="9"/>
  <c r="BI86" i="9" s="1"/>
  <c r="BJ86" i="9" s="1"/>
  <c r="BC86" i="9"/>
  <c r="AX86" i="9"/>
  <c r="AS86" i="9"/>
  <c r="AT86" i="9" s="1"/>
  <c r="AU86" i="9" s="1"/>
  <c r="AN86" i="9"/>
  <c r="AI86" i="9"/>
  <c r="AJ86" i="9" s="1"/>
  <c r="AK86" i="9" s="1"/>
  <c r="AD86" i="9"/>
  <c r="AE86" i="9" s="1"/>
  <c r="AF86" i="9" s="1"/>
  <c r="Y86" i="9"/>
  <c r="BH85" i="9"/>
  <c r="BI85" i="9" s="1"/>
  <c r="BJ85" i="9" s="1"/>
  <c r="BC85" i="9"/>
  <c r="BD85" i="9" s="1"/>
  <c r="BE85" i="9" s="1"/>
  <c r="AX85" i="9"/>
  <c r="AS85" i="9"/>
  <c r="AN85" i="9"/>
  <c r="AO85" i="9" s="1"/>
  <c r="AP85" i="9" s="1"/>
  <c r="AI85" i="9"/>
  <c r="AJ85" i="9" s="1"/>
  <c r="AK85" i="9" s="1"/>
  <c r="AD85" i="9"/>
  <c r="AE85" i="9" s="1"/>
  <c r="AF85" i="9" s="1"/>
  <c r="Y85" i="9"/>
  <c r="Z85" i="9" s="1"/>
  <c r="AA85" i="9" s="1"/>
  <c r="BH84" i="9"/>
  <c r="BI84" i="9" s="1"/>
  <c r="BJ84" i="9" s="1"/>
  <c r="BC84" i="9"/>
  <c r="BD84" i="9" s="1"/>
  <c r="BE84" i="9" s="1"/>
  <c r="AX84" i="9"/>
  <c r="AS84" i="9"/>
  <c r="AN84" i="9"/>
  <c r="AO84" i="9" s="1"/>
  <c r="AP84" i="9" s="1"/>
  <c r="AI84" i="9"/>
  <c r="AJ84" i="9" s="1"/>
  <c r="AK84" i="9" s="1"/>
  <c r="AD84" i="9"/>
  <c r="AE84" i="9" s="1"/>
  <c r="AF84" i="9" s="1"/>
  <c r="Y84" i="9"/>
  <c r="BH83" i="9"/>
  <c r="BC83" i="9"/>
  <c r="AX83" i="9"/>
  <c r="AY83" i="9" s="1"/>
  <c r="AZ83" i="9" s="1"/>
  <c r="AS83" i="9"/>
  <c r="AT83" i="9" s="1"/>
  <c r="AU83" i="9" s="1"/>
  <c r="AN83" i="9"/>
  <c r="AO83" i="9" s="1"/>
  <c r="AP83" i="9" s="1"/>
  <c r="AI83" i="9"/>
  <c r="AD83" i="9"/>
  <c r="AE83" i="9" s="1"/>
  <c r="AF83" i="9" s="1"/>
  <c r="Y83" i="9"/>
  <c r="Z83" i="9" s="1"/>
  <c r="BH82" i="9"/>
  <c r="BC82" i="9"/>
  <c r="AX82" i="9"/>
  <c r="AS82" i="9"/>
  <c r="AN82" i="9"/>
  <c r="AO82" i="9" s="1"/>
  <c r="AP82" i="9" s="1"/>
  <c r="AI82" i="9"/>
  <c r="AD82" i="9"/>
  <c r="AE82" i="9" s="1"/>
  <c r="AF82" i="9" s="1"/>
  <c r="Y82" i="9"/>
  <c r="Z82" i="9" s="1"/>
  <c r="AA82" i="9" s="1"/>
  <c r="BH81" i="9"/>
  <c r="BI81" i="9" s="1"/>
  <c r="BJ81" i="9" s="1"/>
  <c r="BC81" i="9"/>
  <c r="BD81" i="9" s="1"/>
  <c r="BE81" i="9" s="1"/>
  <c r="AX81" i="9"/>
  <c r="AS81" i="9"/>
  <c r="AT81" i="9" s="1"/>
  <c r="AU81" i="9" s="1"/>
  <c r="AN81" i="9"/>
  <c r="AO81" i="9" s="1"/>
  <c r="AP81" i="9" s="1"/>
  <c r="AI81" i="9"/>
  <c r="AD81" i="9"/>
  <c r="Y81" i="9"/>
  <c r="Z81" i="9" s="1"/>
  <c r="BH80" i="9"/>
  <c r="BI80" i="9" s="1"/>
  <c r="BJ80" i="9" s="1"/>
  <c r="BC80" i="9"/>
  <c r="AX80" i="9"/>
  <c r="AS80" i="9"/>
  <c r="AT80" i="9" s="1"/>
  <c r="AU80" i="9" s="1"/>
  <c r="AO80" i="9"/>
  <c r="AP80" i="9" s="1"/>
  <c r="AN80" i="9"/>
  <c r="AI80" i="9"/>
  <c r="AJ80" i="9" s="1"/>
  <c r="AK80" i="9" s="1"/>
  <c r="AD80" i="9"/>
  <c r="AE80" i="9" s="1"/>
  <c r="AF80" i="9" s="1"/>
  <c r="Y80" i="9"/>
  <c r="BH79" i="9"/>
  <c r="BI79" i="9" s="1"/>
  <c r="BJ79" i="9" s="1"/>
  <c r="BC79" i="9"/>
  <c r="AX79" i="9"/>
  <c r="AY79" i="9" s="1"/>
  <c r="AZ79" i="9" s="1"/>
  <c r="AS79" i="9"/>
  <c r="AN79" i="9"/>
  <c r="AO79" i="9" s="1"/>
  <c r="AP79" i="9" s="1"/>
  <c r="AI79" i="9"/>
  <c r="AD79" i="9"/>
  <c r="AE79" i="9" s="1"/>
  <c r="AF79" i="9" s="1"/>
  <c r="Y79" i="9"/>
  <c r="BH78" i="9"/>
  <c r="BI78" i="9" s="1"/>
  <c r="BJ78" i="9" s="1"/>
  <c r="BC78" i="9"/>
  <c r="BD78" i="9" s="1"/>
  <c r="BE78" i="9" s="1"/>
  <c r="AX78" i="9"/>
  <c r="AY78" i="9" s="1"/>
  <c r="AZ78" i="9" s="1"/>
  <c r="AS78" i="9"/>
  <c r="AT78" i="9" s="1"/>
  <c r="AU78" i="9" s="1"/>
  <c r="AN78" i="9"/>
  <c r="AO78" i="9" s="1"/>
  <c r="AP78" i="9" s="1"/>
  <c r="AI78" i="9"/>
  <c r="AJ78" i="9" s="1"/>
  <c r="AK78" i="9" s="1"/>
  <c r="AD78" i="9"/>
  <c r="AA78" i="9"/>
  <c r="Y78" i="9"/>
  <c r="Z78" i="9" s="1"/>
  <c r="BH77" i="9"/>
  <c r="BI77" i="9" s="1"/>
  <c r="BJ77" i="9" s="1"/>
  <c r="BC77" i="9"/>
  <c r="AX77" i="9"/>
  <c r="AY77" i="9" s="1"/>
  <c r="AZ77" i="9" s="1"/>
  <c r="AS77" i="9"/>
  <c r="AT77" i="9" s="1"/>
  <c r="AU77" i="9" s="1"/>
  <c r="AN77" i="9"/>
  <c r="AI77" i="9"/>
  <c r="AD77" i="9"/>
  <c r="AE77" i="9" s="1"/>
  <c r="AF77" i="9" s="1"/>
  <c r="Y77" i="9"/>
  <c r="BH76" i="9"/>
  <c r="BC76" i="9"/>
  <c r="AX76" i="9"/>
  <c r="AY76" i="9" s="1"/>
  <c r="AZ76" i="9" s="1"/>
  <c r="AS76" i="9"/>
  <c r="AT76" i="9" s="1"/>
  <c r="AU76" i="9" s="1"/>
  <c r="AN76" i="9"/>
  <c r="AO76" i="9" s="1"/>
  <c r="AP76" i="9" s="1"/>
  <c r="AI76" i="9"/>
  <c r="AJ76" i="9" s="1"/>
  <c r="AK76" i="9" s="1"/>
  <c r="AD76" i="9"/>
  <c r="Y76" i="9"/>
  <c r="BH75" i="9"/>
  <c r="BI75" i="9" s="1"/>
  <c r="BJ75" i="9" s="1"/>
  <c r="BC75" i="9"/>
  <c r="AX75" i="9"/>
  <c r="AY75" i="9" s="1"/>
  <c r="AZ75" i="9" s="1"/>
  <c r="AS75" i="9"/>
  <c r="AT75" i="9" s="1"/>
  <c r="AU75" i="9" s="1"/>
  <c r="AN75" i="9"/>
  <c r="AO75" i="9" s="1"/>
  <c r="AP75" i="9" s="1"/>
  <c r="AI75" i="9"/>
  <c r="AD75" i="9"/>
  <c r="AE75" i="9" s="1"/>
  <c r="AF75" i="9" s="1"/>
  <c r="Y75" i="9"/>
  <c r="BH74" i="9"/>
  <c r="BI74" i="9" s="1"/>
  <c r="BJ74" i="9" s="1"/>
  <c r="BC74" i="9"/>
  <c r="BD74" i="9" s="1"/>
  <c r="BE74" i="9" s="1"/>
  <c r="AX74" i="9"/>
  <c r="AY74" i="9" s="1"/>
  <c r="AZ74" i="9" s="1"/>
  <c r="AS74" i="9"/>
  <c r="AT74" i="9" s="1"/>
  <c r="AU74" i="9" s="1"/>
  <c r="AN74" i="9"/>
  <c r="AI74" i="9"/>
  <c r="AD74" i="9"/>
  <c r="AE74" i="9" s="1"/>
  <c r="AF74" i="9" s="1"/>
  <c r="Y74" i="9"/>
  <c r="BH73" i="9"/>
  <c r="BI73" i="9" s="1"/>
  <c r="BJ73" i="9" s="1"/>
  <c r="BC73" i="9"/>
  <c r="BD73" i="9" s="1"/>
  <c r="BE73" i="9" s="1"/>
  <c r="AX73" i="9"/>
  <c r="AY73" i="9" s="1"/>
  <c r="AZ73" i="9" s="1"/>
  <c r="AS73" i="9"/>
  <c r="AT73" i="9" s="1"/>
  <c r="AU73" i="9" s="1"/>
  <c r="AN73" i="9"/>
  <c r="AI73" i="9"/>
  <c r="AJ73" i="9" s="1"/>
  <c r="AK73" i="9" s="1"/>
  <c r="AD73" i="9"/>
  <c r="AE73" i="9" s="1"/>
  <c r="AF73" i="9" s="1"/>
  <c r="Y73" i="9"/>
  <c r="BH72" i="9"/>
  <c r="BI72" i="9" s="1"/>
  <c r="BJ72" i="9" s="1"/>
  <c r="BC72" i="9"/>
  <c r="BD72" i="9" s="1"/>
  <c r="BE72" i="9" s="1"/>
  <c r="AX72" i="9"/>
  <c r="AY72" i="9" s="1"/>
  <c r="AZ72" i="9" s="1"/>
  <c r="AS72" i="9"/>
  <c r="AT72" i="9" s="1"/>
  <c r="AU72" i="9" s="1"/>
  <c r="AN72" i="9"/>
  <c r="AI72" i="9"/>
  <c r="AJ72" i="9" s="1"/>
  <c r="AK72" i="9" s="1"/>
  <c r="AD72" i="9"/>
  <c r="AE72" i="9" s="1"/>
  <c r="AF72" i="9" s="1"/>
  <c r="Y72" i="9"/>
  <c r="BH71" i="9"/>
  <c r="BC71" i="9"/>
  <c r="BD71" i="9" s="1"/>
  <c r="BE71" i="9" s="1"/>
  <c r="AX71" i="9"/>
  <c r="AS71" i="9"/>
  <c r="AN71" i="9"/>
  <c r="AO71" i="9" s="1"/>
  <c r="AP71" i="9" s="1"/>
  <c r="AI71" i="9"/>
  <c r="AD71" i="9"/>
  <c r="AE71" i="9" s="1"/>
  <c r="AF71" i="9" s="1"/>
  <c r="Y71" i="9"/>
  <c r="BH70" i="9"/>
  <c r="BI70" i="9" s="1"/>
  <c r="BJ70" i="9" s="1"/>
  <c r="BC70" i="9"/>
  <c r="BD70" i="9" s="1"/>
  <c r="BE70" i="9" s="1"/>
  <c r="AX70" i="9"/>
  <c r="AY70" i="9" s="1"/>
  <c r="AZ70" i="9" s="1"/>
  <c r="AS70" i="9"/>
  <c r="AT70" i="9" s="1"/>
  <c r="AU70" i="9" s="1"/>
  <c r="AN70" i="9"/>
  <c r="AO70" i="9" s="1"/>
  <c r="AP70" i="9" s="1"/>
  <c r="AI70" i="9"/>
  <c r="AJ70" i="9" s="1"/>
  <c r="AK70" i="9" s="1"/>
  <c r="AD70" i="9"/>
  <c r="AE70" i="9" s="1"/>
  <c r="AF70" i="9" s="1"/>
  <c r="Y70" i="9"/>
  <c r="BH69" i="9"/>
  <c r="BC69" i="9"/>
  <c r="BD69" i="9" s="1"/>
  <c r="BE69" i="9" s="1"/>
  <c r="AX69" i="9"/>
  <c r="AY69" i="9" s="1"/>
  <c r="AZ69" i="9" s="1"/>
  <c r="AS69" i="9"/>
  <c r="AT69" i="9" s="1"/>
  <c r="AU69" i="9" s="1"/>
  <c r="AN69" i="9"/>
  <c r="AI69" i="9"/>
  <c r="AJ69" i="9" s="1"/>
  <c r="AK69" i="9" s="1"/>
  <c r="AD69" i="9"/>
  <c r="AE69" i="9" s="1"/>
  <c r="AF69" i="9" s="1"/>
  <c r="Y69" i="9"/>
  <c r="BH68" i="9"/>
  <c r="BC68" i="9"/>
  <c r="BD68" i="9" s="1"/>
  <c r="BE68" i="9" s="1"/>
  <c r="AX68" i="9"/>
  <c r="AY68" i="9" s="1"/>
  <c r="AZ68" i="9" s="1"/>
  <c r="AS68" i="9"/>
  <c r="AT68" i="9" s="1"/>
  <c r="AU68" i="9" s="1"/>
  <c r="AN68" i="9"/>
  <c r="AI68" i="9"/>
  <c r="AJ68" i="9" s="1"/>
  <c r="AK68" i="9" s="1"/>
  <c r="AD68" i="9"/>
  <c r="AE68" i="9" s="1"/>
  <c r="AF68" i="9" s="1"/>
  <c r="Y68" i="9"/>
  <c r="Z68" i="9" s="1"/>
  <c r="AA68" i="9" s="1"/>
  <c r="BH67" i="9"/>
  <c r="BI67" i="9" s="1"/>
  <c r="BJ67" i="9" s="1"/>
  <c r="BC67" i="9"/>
  <c r="AX67" i="9"/>
  <c r="AS67" i="9"/>
  <c r="AT67" i="9" s="1"/>
  <c r="AU67" i="9" s="1"/>
  <c r="AN67" i="9"/>
  <c r="AO67" i="9" s="1"/>
  <c r="AP67" i="9" s="1"/>
  <c r="AI67" i="9"/>
  <c r="AD67" i="9"/>
  <c r="Y67" i="9"/>
  <c r="Z67" i="9" s="1"/>
  <c r="BH66" i="9"/>
  <c r="BC66" i="9"/>
  <c r="AX66" i="9"/>
  <c r="AS66" i="9"/>
  <c r="AN66" i="9"/>
  <c r="AO66" i="9" s="1"/>
  <c r="AP66" i="9" s="1"/>
  <c r="AI66" i="9"/>
  <c r="AJ66" i="9" s="1"/>
  <c r="AK66" i="9" s="1"/>
  <c r="AD66" i="9"/>
  <c r="Y66" i="9"/>
  <c r="BH65" i="9"/>
  <c r="BC65" i="9"/>
  <c r="BD65" i="9" s="1"/>
  <c r="BE65" i="9" s="1"/>
  <c r="AX65" i="9"/>
  <c r="AS65" i="9"/>
  <c r="AT65" i="9" s="1"/>
  <c r="AU65" i="9" s="1"/>
  <c r="AN65" i="9"/>
  <c r="AI65" i="9"/>
  <c r="AD65" i="9"/>
  <c r="AE65" i="9" s="1"/>
  <c r="AF65" i="9" s="1"/>
  <c r="Y65" i="9"/>
  <c r="Z65" i="9" s="1"/>
  <c r="BH64" i="9"/>
  <c r="BI64" i="9" s="1"/>
  <c r="BJ64" i="9" s="1"/>
  <c r="BC64" i="9"/>
  <c r="BD64" i="9" s="1"/>
  <c r="BE64" i="9" s="1"/>
  <c r="AX64" i="9"/>
  <c r="AS64" i="9"/>
  <c r="AT64" i="9" s="1"/>
  <c r="AU64" i="9" s="1"/>
  <c r="AN64" i="9"/>
  <c r="AO64" i="9" s="1"/>
  <c r="AP64" i="9" s="1"/>
  <c r="AI64" i="9"/>
  <c r="AJ64" i="9" s="1"/>
  <c r="AK64" i="9" s="1"/>
  <c r="AD64" i="9"/>
  <c r="AE64" i="9" s="1"/>
  <c r="AF64" i="9" s="1"/>
  <c r="Y64" i="9"/>
  <c r="Z64" i="9" s="1"/>
  <c r="BH63" i="9"/>
  <c r="BC63" i="9"/>
  <c r="BD63" i="9" s="1"/>
  <c r="BE63" i="9" s="1"/>
  <c r="AX63" i="9"/>
  <c r="AY63" i="9" s="1"/>
  <c r="AZ63" i="9" s="1"/>
  <c r="AS63" i="9"/>
  <c r="AN63" i="9"/>
  <c r="AI63" i="9"/>
  <c r="AD63" i="9"/>
  <c r="Y63" i="9"/>
  <c r="BH62" i="9"/>
  <c r="BC62" i="9"/>
  <c r="BD62" i="9" s="1"/>
  <c r="BE62" i="9" s="1"/>
  <c r="AX62" i="9"/>
  <c r="AS62" i="9"/>
  <c r="AT62" i="9" s="1"/>
  <c r="AU62" i="9" s="1"/>
  <c r="AN62" i="9"/>
  <c r="AO62" i="9" s="1"/>
  <c r="AP62" i="9" s="1"/>
  <c r="AI62" i="9"/>
  <c r="AD62" i="9"/>
  <c r="AE62" i="9" s="1"/>
  <c r="AF62" i="9" s="1"/>
  <c r="Y62" i="9"/>
  <c r="BH61" i="9"/>
  <c r="BI61" i="9" s="1"/>
  <c r="BJ61" i="9" s="1"/>
  <c r="BC61" i="9"/>
  <c r="AX61" i="9"/>
  <c r="AS61" i="9"/>
  <c r="AN61" i="9"/>
  <c r="AO61" i="9" s="1"/>
  <c r="AP61" i="9" s="1"/>
  <c r="AI61" i="9"/>
  <c r="AJ61" i="9" s="1"/>
  <c r="AK61" i="9" s="1"/>
  <c r="AD61" i="9"/>
  <c r="Y61" i="9"/>
  <c r="BH60" i="9"/>
  <c r="BI60" i="9" s="1"/>
  <c r="BJ60" i="9" s="1"/>
  <c r="BC60" i="9"/>
  <c r="AX60" i="9"/>
  <c r="AS60" i="9"/>
  <c r="AN60" i="9"/>
  <c r="AO60" i="9" s="1"/>
  <c r="AP60" i="9" s="1"/>
  <c r="AI60" i="9"/>
  <c r="AJ60" i="9" s="1"/>
  <c r="AK60" i="9" s="1"/>
  <c r="AD60" i="9"/>
  <c r="AE60" i="9" s="1"/>
  <c r="AF60" i="9" s="1"/>
  <c r="Y60" i="9"/>
  <c r="BH59" i="9"/>
  <c r="BI59" i="9" s="1"/>
  <c r="BJ59" i="9" s="1"/>
  <c r="BC59" i="9"/>
  <c r="BD59" i="9" s="1"/>
  <c r="BE59" i="9" s="1"/>
  <c r="AX59" i="9"/>
  <c r="AS59" i="9"/>
  <c r="AT59" i="9" s="1"/>
  <c r="AU59" i="9" s="1"/>
  <c r="AN59" i="9"/>
  <c r="AI59" i="9"/>
  <c r="AJ59" i="9" s="1"/>
  <c r="AK59" i="9" s="1"/>
  <c r="AD59" i="9"/>
  <c r="AE59" i="9" s="1"/>
  <c r="AF59" i="9" s="1"/>
  <c r="Y59" i="9"/>
  <c r="Z59" i="9" s="1"/>
  <c r="BH58" i="9"/>
  <c r="BI58" i="9" s="1"/>
  <c r="BJ58" i="9" s="1"/>
  <c r="BC58" i="9"/>
  <c r="BD58" i="9" s="1"/>
  <c r="BE58" i="9" s="1"/>
  <c r="AX58" i="9"/>
  <c r="AS58" i="9"/>
  <c r="AN58" i="9"/>
  <c r="AJ58" i="9"/>
  <c r="AK58" i="9" s="1"/>
  <c r="AI58" i="9"/>
  <c r="AD58" i="9"/>
  <c r="AE58" i="9" s="1"/>
  <c r="AF58" i="9" s="1"/>
  <c r="Y58" i="9"/>
  <c r="Z58" i="9" s="1"/>
  <c r="BH57" i="9"/>
  <c r="BI57" i="9" s="1"/>
  <c r="BJ57" i="9" s="1"/>
  <c r="BC57" i="9"/>
  <c r="AX57" i="9"/>
  <c r="AS57" i="9"/>
  <c r="AT57" i="9" s="1"/>
  <c r="AU57" i="9" s="1"/>
  <c r="AN57" i="9"/>
  <c r="AI57" i="9"/>
  <c r="AD57" i="9"/>
  <c r="AE57" i="9" s="1"/>
  <c r="AF57" i="9" s="1"/>
  <c r="Y57" i="9"/>
  <c r="BH56" i="9"/>
  <c r="BC56" i="9"/>
  <c r="BD56" i="9" s="1"/>
  <c r="BE56" i="9" s="1"/>
  <c r="AX56" i="9"/>
  <c r="AS56" i="9"/>
  <c r="AN56" i="9"/>
  <c r="AO56" i="9" s="1"/>
  <c r="AP56" i="9" s="1"/>
  <c r="AI56" i="9"/>
  <c r="AD56" i="9"/>
  <c r="Y56" i="9"/>
  <c r="Z56" i="9" s="1"/>
  <c r="BI55" i="9"/>
  <c r="BJ55" i="9" s="1"/>
  <c r="BH55" i="9"/>
  <c r="BC55" i="9"/>
  <c r="BD55" i="9" s="1"/>
  <c r="BE55" i="9" s="1"/>
  <c r="AX55" i="9"/>
  <c r="AS55" i="9"/>
  <c r="AN55" i="9"/>
  <c r="AO55" i="9" s="1"/>
  <c r="AP55" i="9" s="1"/>
  <c r="AI55" i="9"/>
  <c r="AJ55" i="9" s="1"/>
  <c r="AK55" i="9" s="1"/>
  <c r="AD55" i="9"/>
  <c r="Y55" i="9"/>
  <c r="BH54" i="9"/>
  <c r="BI54" i="9" s="1"/>
  <c r="BJ54" i="9" s="1"/>
  <c r="BC54" i="9"/>
  <c r="BD54" i="9" s="1"/>
  <c r="BE54" i="9" s="1"/>
  <c r="AX54" i="9"/>
  <c r="AY54" i="9" s="1"/>
  <c r="AZ54" i="9" s="1"/>
  <c r="AS54" i="9"/>
  <c r="AT54" i="9" s="1"/>
  <c r="AU54" i="9" s="1"/>
  <c r="AN54" i="9"/>
  <c r="AI54" i="9"/>
  <c r="AD54" i="9"/>
  <c r="AE54" i="9" s="1"/>
  <c r="AF54" i="9" s="1"/>
  <c r="Y54" i="9"/>
  <c r="Z54" i="9" s="1"/>
  <c r="BH53" i="9"/>
  <c r="BC53" i="9"/>
  <c r="AX53" i="9"/>
  <c r="AY53" i="9" s="1"/>
  <c r="AZ53" i="9" s="1"/>
  <c r="AS53" i="9"/>
  <c r="AT53" i="9" s="1"/>
  <c r="AU53" i="9" s="1"/>
  <c r="AN53" i="9"/>
  <c r="AI53" i="9"/>
  <c r="AD53" i="9"/>
  <c r="AE53" i="9" s="1"/>
  <c r="AF53" i="9" s="1"/>
  <c r="Y53" i="9"/>
  <c r="BH52" i="9"/>
  <c r="BI52" i="9" s="1"/>
  <c r="BJ52" i="9" s="1"/>
  <c r="BC52" i="9"/>
  <c r="BD52" i="9" s="1"/>
  <c r="BE52" i="9" s="1"/>
  <c r="AX52" i="9"/>
  <c r="AY52" i="9" s="1"/>
  <c r="AZ52" i="9" s="1"/>
  <c r="AS52" i="9"/>
  <c r="AT52" i="9" s="1"/>
  <c r="AU52" i="9" s="1"/>
  <c r="AN52" i="9"/>
  <c r="AO52" i="9" s="1"/>
  <c r="AP52" i="9" s="1"/>
  <c r="AI52" i="9"/>
  <c r="AJ52" i="9" s="1"/>
  <c r="AK52" i="9" s="1"/>
  <c r="AD52" i="9"/>
  <c r="Y52" i="9"/>
  <c r="Z52" i="9" s="1"/>
  <c r="BH51" i="9"/>
  <c r="BI51" i="9" s="1"/>
  <c r="BJ51" i="9" s="1"/>
  <c r="BC51" i="9"/>
  <c r="BD51" i="9" s="1"/>
  <c r="BE51" i="9" s="1"/>
  <c r="AX51" i="9"/>
  <c r="AY51" i="9" s="1"/>
  <c r="AZ51" i="9" s="1"/>
  <c r="AS51" i="9"/>
  <c r="AN51" i="9"/>
  <c r="AO51" i="9" s="1"/>
  <c r="AP51" i="9" s="1"/>
  <c r="AI51" i="9"/>
  <c r="AJ51" i="9" s="1"/>
  <c r="AK51" i="9" s="1"/>
  <c r="AD51" i="9"/>
  <c r="AE51" i="9" s="1"/>
  <c r="AF51" i="9" s="1"/>
  <c r="Y51" i="9"/>
  <c r="BH50" i="9"/>
  <c r="BI50" i="9" s="1"/>
  <c r="BJ50" i="9" s="1"/>
  <c r="BC50" i="9"/>
  <c r="BD50" i="9" s="1"/>
  <c r="BE50" i="9" s="1"/>
  <c r="AX50" i="9"/>
  <c r="AY50" i="9" s="1"/>
  <c r="AZ50" i="9" s="1"/>
  <c r="AS50" i="9"/>
  <c r="AN50" i="9"/>
  <c r="AO50" i="9" s="1"/>
  <c r="AP50" i="9" s="1"/>
  <c r="AI50" i="9"/>
  <c r="AJ50" i="9" s="1"/>
  <c r="AK50" i="9" s="1"/>
  <c r="AD50" i="9"/>
  <c r="AE50" i="9" s="1"/>
  <c r="AF50" i="9" s="1"/>
  <c r="Y50" i="9"/>
  <c r="Z50" i="9" s="1"/>
  <c r="AA50" i="9" s="1"/>
  <c r="BH49" i="9"/>
  <c r="BI49" i="9" s="1"/>
  <c r="BJ49" i="9" s="1"/>
  <c r="BC49" i="9"/>
  <c r="BD49" i="9" s="1"/>
  <c r="BE49" i="9" s="1"/>
  <c r="AX49" i="9"/>
  <c r="AS49" i="9"/>
  <c r="AN49" i="9"/>
  <c r="AI49" i="9"/>
  <c r="AJ49" i="9" s="1"/>
  <c r="AK49" i="9" s="1"/>
  <c r="AD49" i="9"/>
  <c r="AE49" i="9" s="1"/>
  <c r="AF49" i="9" s="1"/>
  <c r="Y49" i="9"/>
  <c r="Z49" i="9" s="1"/>
  <c r="BH48" i="9"/>
  <c r="BI48" i="9" s="1"/>
  <c r="BJ48" i="9" s="1"/>
  <c r="BC48" i="9"/>
  <c r="BD48" i="9" s="1"/>
  <c r="BE48" i="9" s="1"/>
  <c r="AX48" i="9"/>
  <c r="AY48" i="9" s="1"/>
  <c r="AZ48" i="9" s="1"/>
  <c r="AS48" i="9"/>
  <c r="AT48" i="9" s="1"/>
  <c r="AU48" i="9" s="1"/>
  <c r="AN48" i="9"/>
  <c r="AI48" i="9"/>
  <c r="AJ48" i="9" s="1"/>
  <c r="AK48" i="9" s="1"/>
  <c r="AD48" i="9"/>
  <c r="Y48" i="9"/>
  <c r="Z48" i="9" s="1"/>
  <c r="AA48" i="9" s="1"/>
  <c r="BH47" i="9"/>
  <c r="BC47" i="9"/>
  <c r="AX47" i="9"/>
  <c r="AY47" i="9" s="1"/>
  <c r="AZ47" i="9" s="1"/>
  <c r="AS47" i="9"/>
  <c r="AN47" i="9"/>
  <c r="AO47" i="9" s="1"/>
  <c r="AP47" i="9" s="1"/>
  <c r="AI47" i="9"/>
  <c r="AJ47" i="9" s="1"/>
  <c r="AK47" i="9" s="1"/>
  <c r="AD47" i="9"/>
  <c r="AE47" i="9" s="1"/>
  <c r="AF47" i="9" s="1"/>
  <c r="Y47" i="9"/>
  <c r="BH46" i="9"/>
  <c r="BI46" i="9" s="1"/>
  <c r="BJ46" i="9" s="1"/>
  <c r="BC46" i="9"/>
  <c r="AX46" i="9"/>
  <c r="AY46" i="9" s="1"/>
  <c r="AZ46" i="9" s="1"/>
  <c r="AS46" i="9"/>
  <c r="AT46" i="9" s="1"/>
  <c r="AU46" i="9" s="1"/>
  <c r="AN46" i="9"/>
  <c r="AI46" i="9"/>
  <c r="AJ46" i="9" s="1"/>
  <c r="AK46" i="9" s="1"/>
  <c r="AD46" i="9"/>
  <c r="AE46" i="9" s="1"/>
  <c r="AF46" i="9" s="1"/>
  <c r="Y46" i="9"/>
  <c r="Z46" i="9" s="1"/>
  <c r="BI45" i="9"/>
  <c r="BJ45" i="9" s="1"/>
  <c r="BH45" i="9"/>
  <c r="BC45" i="9"/>
  <c r="AX45" i="9"/>
  <c r="AY45" i="9" s="1"/>
  <c r="AZ45" i="9" s="1"/>
  <c r="AS45" i="9"/>
  <c r="AT45" i="9" s="1"/>
  <c r="AU45" i="9" s="1"/>
  <c r="AN45" i="9"/>
  <c r="AO45" i="9" s="1"/>
  <c r="AP45" i="9" s="1"/>
  <c r="AJ45" i="9"/>
  <c r="AK45" i="9" s="1"/>
  <c r="AI45" i="9"/>
  <c r="AD45" i="9"/>
  <c r="AE45" i="9" s="1"/>
  <c r="AF45" i="9" s="1"/>
  <c r="Y45" i="9"/>
  <c r="BH44" i="9"/>
  <c r="BC44" i="9"/>
  <c r="BD44" i="9" s="1"/>
  <c r="BE44" i="9" s="1"/>
  <c r="AX44" i="9"/>
  <c r="AY44" i="9" s="1"/>
  <c r="AZ44" i="9" s="1"/>
  <c r="AS44" i="9"/>
  <c r="AN44" i="9"/>
  <c r="AI44" i="9"/>
  <c r="AJ44" i="9" s="1"/>
  <c r="AK44" i="9" s="1"/>
  <c r="AD44" i="9"/>
  <c r="Y44" i="9"/>
  <c r="Z44" i="9" s="1"/>
  <c r="AA44" i="9" s="1"/>
  <c r="BH43" i="9"/>
  <c r="BI43" i="9" s="1"/>
  <c r="BJ43" i="9" s="1"/>
  <c r="BC43" i="9"/>
  <c r="AX43" i="9"/>
  <c r="AY43" i="9" s="1"/>
  <c r="AZ43" i="9" s="1"/>
  <c r="AS43" i="9"/>
  <c r="AN43" i="9"/>
  <c r="AI43" i="9"/>
  <c r="AD43" i="9"/>
  <c r="AE43" i="9" s="1"/>
  <c r="AF43" i="9" s="1"/>
  <c r="Y43" i="9"/>
  <c r="Z43" i="9" s="1"/>
  <c r="BH42" i="9"/>
  <c r="BI42" i="9" s="1"/>
  <c r="BJ42" i="9" s="1"/>
  <c r="BD42" i="9"/>
  <c r="BE42" i="9" s="1"/>
  <c r="BC42" i="9"/>
  <c r="AX42" i="9"/>
  <c r="AS42" i="9"/>
  <c r="AN42" i="9"/>
  <c r="AO42" i="9" s="1"/>
  <c r="AP42" i="9" s="1"/>
  <c r="AI42" i="9"/>
  <c r="AJ42" i="9" s="1"/>
  <c r="AD42" i="9"/>
  <c r="AE42" i="9" s="1"/>
  <c r="AF42" i="9" s="1"/>
  <c r="Y42" i="9"/>
  <c r="Z42" i="9" s="1"/>
  <c r="AA42" i="9" s="1"/>
  <c r="BH41" i="9"/>
  <c r="BI41" i="9" s="1"/>
  <c r="BJ41" i="9" s="1"/>
  <c r="BC41" i="9"/>
  <c r="BD41" i="9" s="1"/>
  <c r="BE41" i="9" s="1"/>
  <c r="AX41" i="9"/>
  <c r="AY41" i="9" s="1"/>
  <c r="AZ41" i="9" s="1"/>
  <c r="AS41" i="9"/>
  <c r="AN41" i="9"/>
  <c r="AI41" i="9"/>
  <c r="AJ41" i="9" s="1"/>
  <c r="AK41" i="9" s="1"/>
  <c r="AD41" i="9"/>
  <c r="Y41" i="9"/>
  <c r="Z41" i="9" s="1"/>
  <c r="BH40" i="9"/>
  <c r="BI40" i="9" s="1"/>
  <c r="BJ40" i="9" s="1"/>
  <c r="BC40" i="9"/>
  <c r="BD40" i="9" s="1"/>
  <c r="BE40" i="9" s="1"/>
  <c r="AX40" i="9"/>
  <c r="AS40" i="9"/>
  <c r="AN40" i="9"/>
  <c r="AI40" i="9"/>
  <c r="AD40" i="9"/>
  <c r="AE40" i="9" s="1"/>
  <c r="AF40" i="9" s="1"/>
  <c r="Y40" i="9"/>
  <c r="BH39" i="9"/>
  <c r="BI39" i="9" s="1"/>
  <c r="BJ39" i="9" s="1"/>
  <c r="BC39" i="9"/>
  <c r="AX39" i="9"/>
  <c r="AS39" i="9"/>
  <c r="AT39" i="9" s="1"/>
  <c r="AU39" i="9" s="1"/>
  <c r="AN39" i="9"/>
  <c r="AO39" i="9" s="1"/>
  <c r="AP39" i="9" s="1"/>
  <c r="AI39" i="9"/>
  <c r="AJ39" i="9" s="1"/>
  <c r="AK39" i="9" s="1"/>
  <c r="AD39" i="9"/>
  <c r="AE39" i="9" s="1"/>
  <c r="AF39" i="9" s="1"/>
  <c r="Y39" i="9"/>
  <c r="BH38" i="9"/>
  <c r="BC38" i="9"/>
  <c r="AX38" i="9"/>
  <c r="AY38" i="9" s="1"/>
  <c r="AZ38" i="9" s="1"/>
  <c r="AS38" i="9"/>
  <c r="AN38" i="9"/>
  <c r="AO38" i="9" s="1"/>
  <c r="AP38" i="9" s="1"/>
  <c r="AI38" i="9"/>
  <c r="AJ38" i="9" s="1"/>
  <c r="AK38" i="9" s="1"/>
  <c r="AD38" i="9"/>
  <c r="AE38" i="9" s="1"/>
  <c r="AF38" i="9" s="1"/>
  <c r="Y38" i="9"/>
  <c r="Z38" i="9" s="1"/>
  <c r="AA38" i="9" s="1"/>
  <c r="BH37" i="9"/>
  <c r="BC37" i="9"/>
  <c r="BD37" i="9" s="1"/>
  <c r="BE37" i="9" s="1"/>
  <c r="AX37" i="9"/>
  <c r="AS37" i="9"/>
  <c r="AT37" i="9" s="1"/>
  <c r="AU37" i="9" s="1"/>
  <c r="AN37" i="9"/>
  <c r="AO37" i="9" s="1"/>
  <c r="AP37" i="9" s="1"/>
  <c r="AI37" i="9"/>
  <c r="AJ37" i="9" s="1"/>
  <c r="AK37" i="9" s="1"/>
  <c r="AD37" i="9"/>
  <c r="AE37" i="9" s="1"/>
  <c r="AF37" i="9" s="1"/>
  <c r="Y37" i="9"/>
  <c r="Z37" i="9" s="1"/>
  <c r="AA37" i="9" s="1"/>
  <c r="BH36" i="9"/>
  <c r="BI36" i="9" s="1"/>
  <c r="BJ36" i="9" s="1"/>
  <c r="BC36" i="9"/>
  <c r="BD36" i="9" s="1"/>
  <c r="BE36" i="9" s="1"/>
  <c r="AX36" i="9"/>
  <c r="AY36" i="9" s="1"/>
  <c r="AZ36" i="9" s="1"/>
  <c r="AS36" i="9"/>
  <c r="AT36" i="9" s="1"/>
  <c r="AU36" i="9" s="1"/>
  <c r="AN36" i="9"/>
  <c r="AI36" i="9"/>
  <c r="AJ36" i="9" s="1"/>
  <c r="AK36" i="9" s="1"/>
  <c r="AD36" i="9"/>
  <c r="AE36" i="9" s="1"/>
  <c r="AF36" i="9" s="1"/>
  <c r="Y36" i="9"/>
  <c r="Z36" i="9" s="1"/>
  <c r="AA36" i="9" s="1"/>
  <c r="BH35" i="9"/>
  <c r="BI35" i="9" s="1"/>
  <c r="BJ35" i="9" s="1"/>
  <c r="BC35" i="9"/>
  <c r="AX35" i="9"/>
  <c r="AY35" i="9" s="1"/>
  <c r="AZ35" i="9" s="1"/>
  <c r="AS35" i="9"/>
  <c r="AN35" i="9"/>
  <c r="AI35" i="9"/>
  <c r="AJ35" i="9" s="1"/>
  <c r="AK35" i="9" s="1"/>
  <c r="AD35" i="9"/>
  <c r="Y35" i="9"/>
  <c r="BH34" i="9"/>
  <c r="BC34" i="9"/>
  <c r="BD34" i="9" s="1"/>
  <c r="BE34" i="9" s="1"/>
  <c r="AX34" i="9"/>
  <c r="AS34" i="9"/>
  <c r="AT34" i="9" s="1"/>
  <c r="AU34" i="9" s="1"/>
  <c r="AN34" i="9"/>
  <c r="AO34" i="9" s="1"/>
  <c r="AP34" i="9" s="1"/>
  <c r="AI34" i="9"/>
  <c r="AJ34" i="9" s="1"/>
  <c r="AK34" i="9" s="1"/>
  <c r="AD34" i="9"/>
  <c r="AE34" i="9" s="1"/>
  <c r="AF34" i="9" s="1"/>
  <c r="Y34" i="9"/>
  <c r="Z34" i="9" s="1"/>
  <c r="BH33" i="9"/>
  <c r="BC33" i="9"/>
  <c r="BD33" i="9" s="1"/>
  <c r="BE33" i="9" s="1"/>
  <c r="AX33" i="9"/>
  <c r="AY33" i="9" s="1"/>
  <c r="AZ33" i="9" s="1"/>
  <c r="AS33" i="9"/>
  <c r="AT33" i="9" s="1"/>
  <c r="AU33" i="9" s="1"/>
  <c r="AN33" i="9"/>
  <c r="AI33" i="9"/>
  <c r="AJ33" i="9" s="1"/>
  <c r="AK33" i="9" s="1"/>
  <c r="AD33" i="9"/>
  <c r="AE33" i="9" s="1"/>
  <c r="AF33" i="9" s="1"/>
  <c r="Y33" i="9"/>
  <c r="Z33" i="9" s="1"/>
  <c r="AA33" i="9" s="1"/>
  <c r="BH32" i="9"/>
  <c r="BI32" i="9" s="1"/>
  <c r="BJ32" i="9" s="1"/>
  <c r="BC32" i="9"/>
  <c r="AX32" i="9"/>
  <c r="AY32" i="9" s="1"/>
  <c r="AZ32" i="9" s="1"/>
  <c r="AS32" i="9"/>
  <c r="AT32" i="9" s="1"/>
  <c r="AU32" i="9" s="1"/>
  <c r="AN32" i="9"/>
  <c r="AI32" i="9"/>
  <c r="AJ32" i="9" s="1"/>
  <c r="AK32" i="9" s="1"/>
  <c r="AD32" i="9"/>
  <c r="AE32" i="9" s="1"/>
  <c r="AF32" i="9" s="1"/>
  <c r="Y32" i="9"/>
  <c r="Z32" i="9" s="1"/>
  <c r="AA32" i="9" s="1"/>
  <c r="BH31" i="9"/>
  <c r="BI31" i="9" s="1"/>
  <c r="BJ31" i="9" s="1"/>
  <c r="BC31" i="9"/>
  <c r="AX31" i="9"/>
  <c r="AY31" i="9" s="1"/>
  <c r="AZ31" i="9" s="1"/>
  <c r="AS31" i="9"/>
  <c r="AT31" i="9" s="1"/>
  <c r="AU31" i="9" s="1"/>
  <c r="AN31" i="9"/>
  <c r="AI31" i="9"/>
  <c r="AJ31" i="9" s="1"/>
  <c r="AK31" i="9" s="1"/>
  <c r="AD31" i="9"/>
  <c r="AE31" i="9" s="1"/>
  <c r="AF31" i="9" s="1"/>
  <c r="Y31" i="9"/>
  <c r="BH30" i="9"/>
  <c r="BC30" i="9"/>
  <c r="BD30" i="9" s="1"/>
  <c r="BE30" i="9" s="1"/>
  <c r="AX30" i="9"/>
  <c r="AS30" i="9"/>
  <c r="AT30" i="9" s="1"/>
  <c r="AU30" i="9" s="1"/>
  <c r="AN30" i="9"/>
  <c r="AO30" i="9" s="1"/>
  <c r="AP30" i="9" s="1"/>
  <c r="AI30" i="9"/>
  <c r="AD30" i="9"/>
  <c r="Y30" i="9"/>
  <c r="Z30" i="9" s="1"/>
  <c r="AA30" i="9" s="1"/>
  <c r="BH29" i="9"/>
  <c r="BI29" i="9" s="1"/>
  <c r="BJ29" i="9" s="1"/>
  <c r="BC29" i="9"/>
  <c r="BD29" i="9" s="1"/>
  <c r="BE29" i="9" s="1"/>
  <c r="AX29" i="9"/>
  <c r="AS29" i="9"/>
  <c r="AN29" i="9"/>
  <c r="AO29" i="9" s="1"/>
  <c r="AP29" i="9" s="1"/>
  <c r="AI29" i="9"/>
  <c r="AJ29" i="9" s="1"/>
  <c r="AK29" i="9" s="1"/>
  <c r="AD29" i="9"/>
  <c r="AE29" i="9" s="1"/>
  <c r="AF29" i="9" s="1"/>
  <c r="Y29" i="9"/>
  <c r="BH28" i="9"/>
  <c r="BI28" i="9" s="1"/>
  <c r="BJ28" i="9" s="1"/>
  <c r="BC28" i="9"/>
  <c r="BD28" i="9" s="1"/>
  <c r="BE28" i="9" s="1"/>
  <c r="AX28" i="9"/>
  <c r="AY28" i="9" s="1"/>
  <c r="AZ28" i="9" s="1"/>
  <c r="AS28" i="9"/>
  <c r="AN28" i="9"/>
  <c r="AI28" i="9"/>
  <c r="AD28" i="9"/>
  <c r="AE28" i="9" s="1"/>
  <c r="AF28" i="9" s="1"/>
  <c r="Y28" i="9"/>
  <c r="BH27" i="9"/>
  <c r="BI27" i="9" s="1"/>
  <c r="BJ27" i="9" s="1"/>
  <c r="BC27" i="9"/>
  <c r="BD27" i="9" s="1"/>
  <c r="BE27" i="9" s="1"/>
  <c r="AX27" i="9"/>
  <c r="AY27" i="9" s="1"/>
  <c r="AZ27" i="9" s="1"/>
  <c r="AS27" i="9"/>
  <c r="AN27" i="9"/>
  <c r="AO27" i="9" s="1"/>
  <c r="AP27" i="9" s="1"/>
  <c r="AI27" i="9"/>
  <c r="AD27" i="9"/>
  <c r="Y27" i="9"/>
  <c r="Z27" i="9" s="1"/>
  <c r="BH26" i="9"/>
  <c r="BI26" i="9" s="1"/>
  <c r="BJ26" i="9" s="1"/>
  <c r="BC26" i="9"/>
  <c r="AY26" i="9"/>
  <c r="AZ26" i="9" s="1"/>
  <c r="AX26" i="9"/>
  <c r="AS26" i="9"/>
  <c r="AT26" i="9" s="1"/>
  <c r="AU26" i="9" s="1"/>
  <c r="AN26" i="9"/>
  <c r="AI26" i="9"/>
  <c r="AJ26" i="9" s="1"/>
  <c r="AK26" i="9" s="1"/>
  <c r="AD26" i="9"/>
  <c r="Y26" i="9"/>
  <c r="BH25" i="9"/>
  <c r="BC25" i="9"/>
  <c r="AX25" i="9"/>
  <c r="AY25" i="9" s="1"/>
  <c r="AZ25" i="9" s="1"/>
  <c r="AS25" i="9"/>
  <c r="AT25" i="9" s="1"/>
  <c r="AU25" i="9" s="1"/>
  <c r="AN25" i="9"/>
  <c r="AO25" i="9" s="1"/>
  <c r="AP25" i="9" s="1"/>
  <c r="AI25" i="9"/>
  <c r="AJ25" i="9" s="1"/>
  <c r="AK25" i="9" s="1"/>
  <c r="AD25" i="9"/>
  <c r="AE25" i="9" s="1"/>
  <c r="AF25" i="9" s="1"/>
  <c r="Y25" i="9"/>
  <c r="BH24" i="9"/>
  <c r="BC24" i="9"/>
  <c r="AX24" i="9"/>
  <c r="AY24" i="9" s="1"/>
  <c r="AZ24" i="9" s="1"/>
  <c r="AS24" i="9"/>
  <c r="AT24" i="9" s="1"/>
  <c r="AU24" i="9" s="1"/>
  <c r="AN24" i="9"/>
  <c r="AI24" i="9"/>
  <c r="AJ24" i="9" s="1"/>
  <c r="AK24" i="9" s="1"/>
  <c r="AD24" i="9"/>
  <c r="AE24" i="9" s="1"/>
  <c r="AF24" i="9" s="1"/>
  <c r="Y24" i="9"/>
  <c r="Z24" i="9" s="1"/>
  <c r="BH23" i="9"/>
  <c r="BC23" i="9"/>
  <c r="AX23" i="9"/>
  <c r="AY23" i="9" s="1"/>
  <c r="AZ23" i="9" s="1"/>
  <c r="AS23" i="9"/>
  <c r="AT23" i="9" s="1"/>
  <c r="AU23" i="9" s="1"/>
  <c r="AN23" i="9"/>
  <c r="AI23" i="9"/>
  <c r="AJ23" i="9" s="1"/>
  <c r="AK23" i="9" s="1"/>
  <c r="AD23" i="9"/>
  <c r="AE23" i="9" s="1"/>
  <c r="AF23" i="9" s="1"/>
  <c r="Y23" i="9"/>
  <c r="BH22" i="9"/>
  <c r="BI22" i="9" s="1"/>
  <c r="BJ22" i="9" s="1"/>
  <c r="BC22" i="9"/>
  <c r="AX22" i="9"/>
  <c r="AS22" i="9"/>
  <c r="AT22" i="9" s="1"/>
  <c r="AU22" i="9" s="1"/>
  <c r="AN22" i="9"/>
  <c r="AI22" i="9"/>
  <c r="AJ22" i="9" s="1"/>
  <c r="AK22" i="9" s="1"/>
  <c r="AD22" i="9"/>
  <c r="AE22" i="9" s="1"/>
  <c r="AF22" i="9" s="1"/>
  <c r="Y22" i="9"/>
  <c r="BH21" i="9"/>
  <c r="BC21" i="9"/>
  <c r="BD21" i="9" s="1"/>
  <c r="BE21" i="9" s="1"/>
  <c r="AX21" i="9"/>
  <c r="AS21" i="9"/>
  <c r="AT21" i="9" s="1"/>
  <c r="AU21" i="9" s="1"/>
  <c r="AN21" i="9"/>
  <c r="AO21" i="9" s="1"/>
  <c r="AP21" i="9" s="1"/>
  <c r="AI21" i="9"/>
  <c r="AJ21" i="9" s="1"/>
  <c r="AK21" i="9" s="1"/>
  <c r="AD21" i="9"/>
  <c r="AE21" i="9" s="1"/>
  <c r="AF21" i="9" s="1"/>
  <c r="Y21" i="9"/>
  <c r="Z21" i="9" s="1"/>
  <c r="BH20" i="9"/>
  <c r="BI20" i="9" s="1"/>
  <c r="BJ20" i="9" s="1"/>
  <c r="BC20" i="9"/>
  <c r="AX20" i="9"/>
  <c r="AY20" i="9" s="1"/>
  <c r="AZ20" i="9" s="1"/>
  <c r="AS20" i="9"/>
  <c r="AT20" i="9" s="1"/>
  <c r="AU20" i="9" s="1"/>
  <c r="AN20" i="9"/>
  <c r="AI20" i="9"/>
  <c r="AD20" i="9"/>
  <c r="Y20" i="9"/>
  <c r="Z20" i="9" s="1"/>
  <c r="BH19" i="9"/>
  <c r="BC19" i="9"/>
  <c r="BD19" i="9" s="1"/>
  <c r="BE19" i="9" s="1"/>
  <c r="AX19" i="9"/>
  <c r="AS19" i="9"/>
  <c r="AN19" i="9"/>
  <c r="AO19" i="9" s="1"/>
  <c r="AP19" i="9" s="1"/>
  <c r="AI19" i="9"/>
  <c r="AD19" i="9"/>
  <c r="Y19" i="9"/>
  <c r="Z19" i="9" s="1"/>
  <c r="BH18" i="9"/>
  <c r="BI18" i="9" s="1"/>
  <c r="BJ18" i="9" s="1"/>
  <c r="BC18" i="9"/>
  <c r="AX18" i="9"/>
  <c r="AY18" i="9" s="1"/>
  <c r="AZ18" i="9" s="1"/>
  <c r="AS18" i="9"/>
  <c r="AT18" i="9" s="1"/>
  <c r="AU18" i="9" s="1"/>
  <c r="AN18" i="9"/>
  <c r="AO18" i="9" s="1"/>
  <c r="AP18" i="9" s="1"/>
  <c r="AI18" i="9"/>
  <c r="AD18" i="9"/>
  <c r="AE18" i="9" s="1"/>
  <c r="AF18" i="9" s="1"/>
  <c r="Y18" i="9"/>
  <c r="BH17" i="9"/>
  <c r="BI17" i="9" s="1"/>
  <c r="BJ17" i="9" s="1"/>
  <c r="BC17" i="9"/>
  <c r="AX17" i="9"/>
  <c r="AY17" i="9" s="1"/>
  <c r="AZ17" i="9" s="1"/>
  <c r="AS17" i="9"/>
  <c r="AT17" i="9" s="1"/>
  <c r="AU17" i="9" s="1"/>
  <c r="AN17" i="9"/>
  <c r="AO17" i="9" s="1"/>
  <c r="AP17" i="9" s="1"/>
  <c r="AI17" i="9"/>
  <c r="AJ17" i="9" s="1"/>
  <c r="AK17" i="9" s="1"/>
  <c r="AD17" i="9"/>
  <c r="Y17" i="9"/>
  <c r="BH16" i="9"/>
  <c r="BC16" i="9"/>
  <c r="BD16" i="9" s="1"/>
  <c r="BE16" i="9" s="1"/>
  <c r="AX16" i="9"/>
  <c r="AS16" i="9"/>
  <c r="AT16" i="9" s="1"/>
  <c r="AU16" i="9" s="1"/>
  <c r="AN16" i="9"/>
  <c r="AO16" i="9" s="1"/>
  <c r="AP16" i="9" s="1"/>
  <c r="AI16" i="9"/>
  <c r="AJ16" i="9" s="1"/>
  <c r="AK16" i="9" s="1"/>
  <c r="AD16" i="9"/>
  <c r="Y16" i="9"/>
  <c r="Z16" i="9" s="1"/>
  <c r="AA16" i="9" s="1"/>
  <c r="CB15" i="9"/>
  <c r="BW15" i="9"/>
  <c r="BX15" i="9" s="1"/>
  <c r="BY15" i="9" s="1"/>
  <c r="BR15" i="9"/>
  <c r="BS15" i="9" s="1"/>
  <c r="BT15" i="9" s="1"/>
  <c r="BM15" i="9"/>
  <c r="BP15" i="9" s="1"/>
  <c r="BH15" i="9"/>
  <c r="BK15" i="9" s="1"/>
  <c r="BC15" i="9"/>
  <c r="BD15" i="9" s="1"/>
  <c r="BE15" i="9" s="1"/>
  <c r="AX15" i="9"/>
  <c r="AY15" i="9" s="1"/>
  <c r="AZ15" i="9" s="1"/>
  <c r="AS15" i="9"/>
  <c r="AT15" i="9" s="1"/>
  <c r="AU15" i="9" s="1"/>
  <c r="AN15" i="9"/>
  <c r="AO15" i="9" s="1"/>
  <c r="AP15" i="9" s="1"/>
  <c r="AI15" i="9"/>
  <c r="AL15" i="9" s="1"/>
  <c r="AD15" i="9"/>
  <c r="AE15" i="9" s="1"/>
  <c r="AF15" i="9" s="1"/>
  <c r="Y15" i="9"/>
  <c r="BH14" i="9"/>
  <c r="BC14" i="9"/>
  <c r="BD14" i="9" s="1"/>
  <c r="BE14" i="9" s="1"/>
  <c r="AX14" i="9"/>
  <c r="AY14" i="9" s="1"/>
  <c r="AZ14" i="9" s="1"/>
  <c r="AS14" i="9"/>
  <c r="AN14" i="9"/>
  <c r="AO14" i="9" s="1"/>
  <c r="AP14" i="9" s="1"/>
  <c r="AI14" i="9"/>
  <c r="AJ14" i="9" s="1"/>
  <c r="AK14" i="9" s="1"/>
  <c r="AD14" i="9"/>
  <c r="AE14" i="9" s="1"/>
  <c r="AF14" i="9" s="1"/>
  <c r="Y14" i="9"/>
  <c r="BH13" i="9"/>
  <c r="BI13" i="9" s="1"/>
  <c r="BJ13" i="9" s="1"/>
  <c r="BC13" i="9"/>
  <c r="BD13" i="9" s="1"/>
  <c r="BE13" i="9" s="1"/>
  <c r="AX13" i="9"/>
  <c r="AS13" i="9"/>
  <c r="AN13" i="9"/>
  <c r="AO13" i="9" s="1"/>
  <c r="AP13" i="9" s="1"/>
  <c r="AI13" i="9"/>
  <c r="AD13" i="9"/>
  <c r="Y13" i="9"/>
  <c r="Z13" i="9" s="1"/>
  <c r="AA13" i="9" s="1"/>
  <c r="BH12" i="9"/>
  <c r="BC12" i="9"/>
  <c r="BD12" i="9" s="1"/>
  <c r="BE12" i="9" s="1"/>
  <c r="AX12" i="9"/>
  <c r="AY12" i="9" s="1"/>
  <c r="AZ12" i="9" s="1"/>
  <c r="AS12" i="9"/>
  <c r="AN12" i="9"/>
  <c r="AO12" i="9" s="1"/>
  <c r="AP12" i="9" s="1"/>
  <c r="AI12" i="9"/>
  <c r="AJ12" i="9" s="1"/>
  <c r="AK12" i="9" s="1"/>
  <c r="AD12" i="9"/>
  <c r="Y12" i="9"/>
  <c r="BH11" i="9"/>
  <c r="BC11" i="9"/>
  <c r="AX11" i="9"/>
  <c r="AY11" i="9" s="1"/>
  <c r="AZ11" i="9" s="1"/>
  <c r="AS11" i="9"/>
  <c r="AT11" i="9" s="1"/>
  <c r="AU11" i="9" s="1"/>
  <c r="AN11" i="9"/>
  <c r="AO11" i="9" s="1"/>
  <c r="AP11" i="9" s="1"/>
  <c r="AI11" i="9"/>
  <c r="AJ11" i="9" s="1"/>
  <c r="AK11" i="9" s="1"/>
  <c r="AD11" i="9"/>
  <c r="Y11" i="9"/>
  <c r="BH10" i="9"/>
  <c r="BC10" i="9"/>
  <c r="AX10" i="9"/>
  <c r="AY10" i="9" s="1"/>
  <c r="AZ10" i="9" s="1"/>
  <c r="AS10" i="9"/>
  <c r="AT10" i="9" s="1"/>
  <c r="AU10" i="9" s="1"/>
  <c r="AN10" i="9"/>
  <c r="AI10" i="9"/>
  <c r="AD10" i="9"/>
  <c r="Y10" i="9"/>
  <c r="BH9" i="9"/>
  <c r="BC9" i="9"/>
  <c r="AX9" i="9"/>
  <c r="AY9" i="9" s="1"/>
  <c r="AZ9" i="9" s="1"/>
  <c r="AS9" i="9"/>
  <c r="AN9" i="9"/>
  <c r="AO9" i="9" s="1"/>
  <c r="AP9" i="9" s="1"/>
  <c r="AI9" i="9"/>
  <c r="AJ9" i="9" s="1"/>
  <c r="AK9" i="9" s="1"/>
  <c r="AD9" i="9"/>
  <c r="Y9" i="9"/>
  <c r="Z9" i="9" s="1"/>
  <c r="AA9" i="9" s="1"/>
  <c r="BH8" i="9"/>
  <c r="BC8" i="9"/>
  <c r="AX8" i="9"/>
  <c r="AY8" i="9" s="1"/>
  <c r="AZ8" i="9" s="1"/>
  <c r="AS8" i="9"/>
  <c r="AT8" i="9" s="1"/>
  <c r="AU8" i="9" s="1"/>
  <c r="AN8" i="9"/>
  <c r="AO8" i="9" s="1"/>
  <c r="AP8" i="9" s="1"/>
  <c r="AI8" i="9"/>
  <c r="AD8" i="9"/>
  <c r="AE8" i="9" s="1"/>
  <c r="AF8" i="9" s="1"/>
  <c r="Y8" i="9"/>
  <c r="Z8" i="9" s="1"/>
  <c r="BH7" i="9"/>
  <c r="BI7" i="9" s="1"/>
  <c r="BJ7" i="9" s="1"/>
  <c r="BC7" i="9"/>
  <c r="AX7" i="9"/>
  <c r="AS7" i="9"/>
  <c r="AT7" i="9" s="1"/>
  <c r="AU7" i="9" s="1"/>
  <c r="AN7" i="9"/>
  <c r="AO7" i="9" s="1"/>
  <c r="AP7" i="9" s="1"/>
  <c r="AI7" i="9"/>
  <c r="AJ7" i="9" s="1"/>
  <c r="AK7" i="9" s="1"/>
  <c r="AD7" i="9"/>
  <c r="Y7" i="9"/>
  <c r="Z7" i="9" s="1"/>
  <c r="AA7" i="9" s="1"/>
  <c r="BH6" i="9"/>
  <c r="BI6" i="9" s="1"/>
  <c r="BJ6" i="9" s="1"/>
  <c r="BC6" i="9"/>
  <c r="AX6" i="9"/>
  <c r="AS6" i="9"/>
  <c r="AN6" i="9"/>
  <c r="AI6" i="9"/>
  <c r="AJ6" i="9" s="1"/>
  <c r="AK6" i="9" s="1"/>
  <c r="AD6" i="9"/>
  <c r="AE6" i="9" s="1"/>
  <c r="AF6" i="9" s="1"/>
  <c r="Y6" i="9"/>
  <c r="Z6" i="9" s="1"/>
  <c r="AA6" i="9" s="1"/>
  <c r="Y5" i="9"/>
  <c r="AD5" i="9"/>
  <c r="AI5" i="9"/>
  <c r="AN5" i="9"/>
  <c r="AS5" i="9"/>
  <c r="AT5" i="9" s="1"/>
  <c r="AX5" i="9"/>
  <c r="AY5" i="9" s="1"/>
  <c r="BC5" i="9"/>
  <c r="BH5" i="9"/>
  <c r="BI5" i="9" s="1"/>
  <c r="Y3" i="9"/>
  <c r="AD3" i="9"/>
  <c r="AI3" i="9"/>
  <c r="AN3" i="9"/>
  <c r="AS3" i="9"/>
  <c r="AX3" i="9"/>
  <c r="BC3" i="9"/>
  <c r="BH3" i="9"/>
  <c r="BM3" i="9"/>
  <c r="BR3" i="9"/>
  <c r="BW3" i="9"/>
  <c r="CB3" i="9"/>
  <c r="P163" i="9"/>
  <c r="P162" i="9"/>
  <c r="P159" i="9"/>
  <c r="BS179" i="9" l="1"/>
  <c r="BU179" i="9"/>
  <c r="CE178" i="9"/>
  <c r="CC178" i="9"/>
  <c r="CD178" i="9" s="1"/>
  <c r="CI178" i="9" s="1"/>
  <c r="BX175" i="9"/>
  <c r="BY175" i="9" s="1"/>
  <c r="BI165" i="9"/>
  <c r="BJ165" i="9" s="1"/>
  <c r="BN173" i="9"/>
  <c r="BO173" i="9" s="1"/>
  <c r="BP174" i="9"/>
  <c r="CE175" i="9"/>
  <c r="BX176" i="9"/>
  <c r="BY176" i="9" s="1"/>
  <c r="BX177" i="9"/>
  <c r="BY177" i="9" s="1"/>
  <c r="BU181" i="9"/>
  <c r="BP182" i="9"/>
  <c r="BX183" i="9"/>
  <c r="BY183" i="9" s="1"/>
  <c r="BX184" i="9"/>
  <c r="BY184" i="9" s="1"/>
  <c r="BP189" i="9"/>
  <c r="AG163" i="9"/>
  <c r="BP169" i="9"/>
  <c r="BP173" i="9"/>
  <c r="BK175" i="9"/>
  <c r="CJ175" i="9" s="1"/>
  <c r="BZ176" i="9"/>
  <c r="BZ177" i="9"/>
  <c r="BK178" i="9"/>
  <c r="BZ183" i="9"/>
  <c r="BZ184" i="9"/>
  <c r="BK185" i="9"/>
  <c r="BZ186" i="9"/>
  <c r="BU188" i="9"/>
  <c r="CG190" i="9"/>
  <c r="AQ162" i="9"/>
  <c r="BS174" i="9"/>
  <c r="BT174" i="9" s="1"/>
  <c r="BN175" i="9"/>
  <c r="BO175" i="9" s="1"/>
  <c r="CG178" i="9"/>
  <c r="CG179" i="9"/>
  <c r="BS182" i="9"/>
  <c r="BT182" i="9" s="1"/>
  <c r="CG185" i="9"/>
  <c r="BS189" i="9"/>
  <c r="BT189" i="9" s="1"/>
  <c r="BK190" i="9"/>
  <c r="CG165" i="9"/>
  <c r="BI185" i="9"/>
  <c r="BJ185" i="9" s="1"/>
  <c r="BN165" i="9"/>
  <c r="BO165" i="9" s="1"/>
  <c r="BN166" i="9"/>
  <c r="BO166" i="9" s="1"/>
  <c r="BP167" i="9"/>
  <c r="CE168" i="9"/>
  <c r="BX169" i="9"/>
  <c r="BY169" i="9" s="1"/>
  <c r="BU174" i="9"/>
  <c r="BP166" i="9"/>
  <c r="BZ169" i="9"/>
  <c r="BZ170" i="9"/>
  <c r="BK171" i="9"/>
  <c r="CE177" i="9"/>
  <c r="CG181" i="9"/>
  <c r="CE184" i="9"/>
  <c r="BK186" i="9"/>
  <c r="BP190" i="9"/>
  <c r="BS188" i="9"/>
  <c r="BT188" i="9" s="1"/>
  <c r="BX170" i="9"/>
  <c r="BY170" i="9" s="1"/>
  <c r="BK179" i="9"/>
  <c r="CJ179" i="9" s="1"/>
  <c r="BI183" i="9"/>
  <c r="BJ183" i="9" s="1"/>
  <c r="CG183" i="9"/>
  <c r="BI186" i="9"/>
  <c r="BJ186" i="9" s="1"/>
  <c r="CE188" i="9"/>
  <c r="BU165" i="9"/>
  <c r="CC172" i="9"/>
  <c r="CD172" i="9" s="1"/>
  <c r="CI172" i="9" s="1"/>
  <c r="BS175" i="9"/>
  <c r="BT175" i="9" s="1"/>
  <c r="BK176" i="9"/>
  <c r="BX178" i="9"/>
  <c r="BY178" i="9" s="1"/>
  <c r="BI180" i="9"/>
  <c r="BJ180" i="9" s="1"/>
  <c r="BX182" i="9"/>
  <c r="BY182" i="9" s="1"/>
  <c r="BK183" i="9"/>
  <c r="BX185" i="9"/>
  <c r="BY185" i="9" s="1"/>
  <c r="CG188" i="9"/>
  <c r="BX189" i="9"/>
  <c r="BY189" i="9" s="1"/>
  <c r="CG167" i="9"/>
  <c r="BI179" i="9"/>
  <c r="BJ179" i="9" s="1"/>
  <c r="CE181" i="9"/>
  <c r="CG186" i="9"/>
  <c r="CG171" i="9"/>
  <c r="CG172" i="9"/>
  <c r="BU175" i="9"/>
  <c r="BZ178" i="9"/>
  <c r="BK189" i="9"/>
  <c r="CC162" i="9"/>
  <c r="CD162" i="9" s="1"/>
  <c r="CC165" i="9"/>
  <c r="CD165" i="9" s="1"/>
  <c r="CI165" i="9" s="1"/>
  <c r="BS168" i="9"/>
  <c r="BT168" i="9" s="1"/>
  <c r="BK169" i="9"/>
  <c r="BX171" i="9"/>
  <c r="BY171" i="9" s="1"/>
  <c r="BI173" i="9"/>
  <c r="BJ173" i="9" s="1"/>
  <c r="BS176" i="9"/>
  <c r="BT176" i="9" s="1"/>
  <c r="BS183" i="9"/>
  <c r="BT183" i="9" s="1"/>
  <c r="CC185" i="9"/>
  <c r="CD185" i="9" s="1"/>
  <c r="CI185" i="9" s="1"/>
  <c r="BU186" i="9"/>
  <c r="BN172" i="9"/>
  <c r="BO172" i="9" s="1"/>
  <c r="N7" i="13"/>
  <c r="N8" i="13"/>
  <c r="N9" i="13"/>
  <c r="N6" i="13"/>
  <c r="CJ176" i="9"/>
  <c r="BT179" i="9"/>
  <c r="BT186" i="9"/>
  <c r="BT165" i="9"/>
  <c r="CJ170" i="9"/>
  <c r="BT172" i="9"/>
  <c r="CC166" i="9"/>
  <c r="CD166" i="9" s="1"/>
  <c r="CI166" i="9" s="1"/>
  <c r="BI167" i="9"/>
  <c r="BE170" i="9"/>
  <c r="BS170" i="9"/>
  <c r="BT170" i="9" s="1"/>
  <c r="CG170" i="9"/>
  <c r="CC173" i="9"/>
  <c r="CD173" i="9" s="1"/>
  <c r="CI173" i="9" s="1"/>
  <c r="BI174" i="9"/>
  <c r="BE177" i="9"/>
  <c r="BS177" i="9"/>
  <c r="BT177" i="9" s="1"/>
  <c r="CG177" i="9"/>
  <c r="CC180" i="9"/>
  <c r="CD180" i="9" s="1"/>
  <c r="CI180" i="9" s="1"/>
  <c r="BI181" i="9"/>
  <c r="BE184" i="9"/>
  <c r="BS184" i="9"/>
  <c r="BT184" i="9" s="1"/>
  <c r="CG184" i="9"/>
  <c r="CC187" i="9"/>
  <c r="CD187" i="9" s="1"/>
  <c r="CI187" i="9" s="1"/>
  <c r="BI188" i="9"/>
  <c r="BX167" i="9"/>
  <c r="BY167" i="9" s="1"/>
  <c r="BN171" i="9"/>
  <c r="BO171" i="9" s="1"/>
  <c r="BX174" i="9"/>
  <c r="BY174" i="9" s="1"/>
  <c r="BN178" i="9"/>
  <c r="BX181" i="9"/>
  <c r="BY181" i="9" s="1"/>
  <c r="BN185" i="9"/>
  <c r="BX188" i="9"/>
  <c r="BY188" i="9" s="1"/>
  <c r="CE166" i="9"/>
  <c r="BK167" i="9"/>
  <c r="CG168" i="9"/>
  <c r="BU170" i="9"/>
  <c r="CE173" i="9"/>
  <c r="BK174" i="9"/>
  <c r="CJ174" i="9" s="1"/>
  <c r="CG175" i="9"/>
  <c r="BU177" i="9"/>
  <c r="CE180" i="9"/>
  <c r="BK181" i="9"/>
  <c r="CG182" i="9"/>
  <c r="BU184" i="9"/>
  <c r="CE187" i="9"/>
  <c r="BK188" i="9"/>
  <c r="CG189" i="9"/>
  <c r="BX165" i="9"/>
  <c r="BY165" i="9" s="1"/>
  <c r="BZ167" i="9"/>
  <c r="BN169" i="9"/>
  <c r="BO169" i="9" s="1"/>
  <c r="BP171" i="9"/>
  <c r="CJ171" i="9" s="1"/>
  <c r="BX172" i="9"/>
  <c r="BY172" i="9" s="1"/>
  <c r="BZ174" i="9"/>
  <c r="BN176" i="9"/>
  <c r="BO176" i="9" s="1"/>
  <c r="BP178" i="9"/>
  <c r="BX179" i="9"/>
  <c r="BY179" i="9" s="1"/>
  <c r="BZ181" i="9"/>
  <c r="BN183" i="9"/>
  <c r="BO183" i="9" s="1"/>
  <c r="BP185" i="9"/>
  <c r="BX186" i="9"/>
  <c r="BY186" i="9" s="1"/>
  <c r="BZ188" i="9"/>
  <c r="BN190" i="9"/>
  <c r="BO190" i="9" s="1"/>
  <c r="BS166" i="9"/>
  <c r="BT166" i="9" s="1"/>
  <c r="CG166" i="9"/>
  <c r="CC169" i="9"/>
  <c r="CD169" i="9" s="1"/>
  <c r="CI169" i="9" s="1"/>
  <c r="BI170" i="9"/>
  <c r="BJ170" i="9" s="1"/>
  <c r="BS173" i="9"/>
  <c r="BT173" i="9" s="1"/>
  <c r="CG173" i="9"/>
  <c r="CC176" i="9"/>
  <c r="CD176" i="9" s="1"/>
  <c r="CI176" i="9" s="1"/>
  <c r="BI177" i="9"/>
  <c r="BJ177" i="9" s="1"/>
  <c r="BS180" i="9"/>
  <c r="BT180" i="9" s="1"/>
  <c r="CG180" i="9"/>
  <c r="CC183" i="9"/>
  <c r="CD183" i="9" s="1"/>
  <c r="CI183" i="9" s="1"/>
  <c r="BI184" i="9"/>
  <c r="BJ184" i="9" s="1"/>
  <c r="BS187" i="9"/>
  <c r="BT187" i="9" s="1"/>
  <c r="CG187" i="9"/>
  <c r="CC190" i="9"/>
  <c r="CD190" i="9" s="1"/>
  <c r="CI190" i="9" s="1"/>
  <c r="CC167" i="9"/>
  <c r="CD167" i="9" s="1"/>
  <c r="CI167" i="9" s="1"/>
  <c r="BI168" i="9"/>
  <c r="BE171" i="9"/>
  <c r="BS171" i="9"/>
  <c r="BT171" i="9" s="1"/>
  <c r="CC174" i="9"/>
  <c r="CD174" i="9" s="1"/>
  <c r="CI174" i="9" s="1"/>
  <c r="BI175" i="9"/>
  <c r="BS178" i="9"/>
  <c r="BT178" i="9" s="1"/>
  <c r="CC181" i="9"/>
  <c r="CD181" i="9" s="1"/>
  <c r="CI181" i="9" s="1"/>
  <c r="BI182" i="9"/>
  <c r="BS185" i="9"/>
  <c r="BT185" i="9" s="1"/>
  <c r="CC188" i="9"/>
  <c r="CD188" i="9" s="1"/>
  <c r="CI188" i="9" s="1"/>
  <c r="BI189" i="9"/>
  <c r="BP165" i="9"/>
  <c r="BX166" i="9"/>
  <c r="BY166" i="9" s="1"/>
  <c r="BZ168" i="9"/>
  <c r="BN170" i="9"/>
  <c r="BO170" i="9" s="1"/>
  <c r="BP172" i="9"/>
  <c r="CJ172" i="9" s="1"/>
  <c r="BX173" i="9"/>
  <c r="BY173" i="9" s="1"/>
  <c r="BZ175" i="9"/>
  <c r="BN177" i="9"/>
  <c r="BO177" i="9" s="1"/>
  <c r="BP179" i="9"/>
  <c r="BX180" i="9"/>
  <c r="BY180" i="9" s="1"/>
  <c r="BZ182" i="9"/>
  <c r="BN184" i="9"/>
  <c r="BO184" i="9" s="1"/>
  <c r="BP186" i="9"/>
  <c r="BX187" i="9"/>
  <c r="BY187" i="9" s="1"/>
  <c r="BZ189" i="9"/>
  <c r="CJ189" i="9" s="1"/>
  <c r="CE165" i="9"/>
  <c r="BK166" i="9"/>
  <c r="CJ166" i="9" s="1"/>
  <c r="BU169" i="9"/>
  <c r="CJ169" i="9" s="1"/>
  <c r="CE172" i="9"/>
  <c r="BK173" i="9"/>
  <c r="BU176" i="9"/>
  <c r="CE179" i="9"/>
  <c r="BK180" i="9"/>
  <c r="BU183" i="9"/>
  <c r="CE186" i="9"/>
  <c r="BK187" i="9"/>
  <c r="BU190" i="9"/>
  <c r="CJ190" i="9" s="1"/>
  <c r="BZ166" i="9"/>
  <c r="BP170" i="9"/>
  <c r="BZ173" i="9"/>
  <c r="BP177" i="9"/>
  <c r="CJ177" i="9" s="1"/>
  <c r="BZ180" i="9"/>
  <c r="BP184" i="9"/>
  <c r="CJ184" i="9" s="1"/>
  <c r="BZ187" i="9"/>
  <c r="BZ15" i="9"/>
  <c r="BL161" i="9"/>
  <c r="BK162" i="9"/>
  <c r="AG15" i="9"/>
  <c r="BL162" i="9"/>
  <c r="BB163" i="9"/>
  <c r="BF162" i="9"/>
  <c r="BN158" i="9"/>
  <c r="BO158" i="9" s="1"/>
  <c r="BD164" i="9"/>
  <c r="BE164" i="9" s="1"/>
  <c r="BZ162" i="9"/>
  <c r="BN163" i="9"/>
  <c r="BO163" i="9" s="1"/>
  <c r="AM160" i="9"/>
  <c r="BQ163" i="9"/>
  <c r="BI161" i="9"/>
  <c r="BJ161" i="9" s="1"/>
  <c r="BA159" i="9"/>
  <c r="AJ160" i="9"/>
  <c r="AK160" i="9" s="1"/>
  <c r="BB162" i="9"/>
  <c r="BF163" i="9"/>
  <c r="CI162" i="9"/>
  <c r="BG163" i="9"/>
  <c r="AV15" i="9"/>
  <c r="AL161" i="9"/>
  <c r="BF164" i="9"/>
  <c r="AM161" i="9"/>
  <c r="AG162" i="9"/>
  <c r="AO163" i="9"/>
  <c r="AP163" i="9" s="1"/>
  <c r="AO158" i="9"/>
  <c r="AP158" i="9" s="1"/>
  <c r="AE159" i="9"/>
  <c r="AF159" i="9" s="1"/>
  <c r="BD160" i="9"/>
  <c r="BE160" i="9" s="1"/>
  <c r="BN162" i="9"/>
  <c r="BO162" i="9" s="1"/>
  <c r="AQ163" i="9"/>
  <c r="AQ158" i="9"/>
  <c r="AH159" i="9"/>
  <c r="CF159" i="9"/>
  <c r="BF160" i="9"/>
  <c r="AM162" i="9"/>
  <c r="BP162" i="9"/>
  <c r="AH158" i="9"/>
  <c r="AJ15" i="9"/>
  <c r="AK15" i="9" s="1"/>
  <c r="BI15" i="9"/>
  <c r="BJ15" i="9" s="1"/>
  <c r="BQ158" i="9"/>
  <c r="AL159" i="9"/>
  <c r="AO161" i="9"/>
  <c r="AP161" i="9" s="1"/>
  <c r="AR162" i="9"/>
  <c r="BS164" i="9"/>
  <c r="BT164" i="9" s="1"/>
  <c r="AM159" i="9"/>
  <c r="BU164" i="9"/>
  <c r="BN159" i="9"/>
  <c r="BO159" i="9" s="1"/>
  <c r="AQ161" i="9"/>
  <c r="AT162" i="9"/>
  <c r="AU162" i="9" s="1"/>
  <c r="AR164" i="9"/>
  <c r="BP159" i="9"/>
  <c r="BP160" i="9"/>
  <c r="AT159" i="9"/>
  <c r="AU159" i="9" s="1"/>
  <c r="AV162" i="9"/>
  <c r="BX164" i="9"/>
  <c r="BY164" i="9" s="1"/>
  <c r="Z158" i="9"/>
  <c r="AA158" i="9" s="1"/>
  <c r="AT158" i="9"/>
  <c r="AU158" i="9" s="1"/>
  <c r="CE158" i="9"/>
  <c r="AV159" i="9"/>
  <c r="BS163" i="9"/>
  <c r="BT163" i="9" s="1"/>
  <c r="BZ164" i="9"/>
  <c r="CF158" i="9"/>
  <c r="BA161" i="9"/>
  <c r="AY163" i="9"/>
  <c r="AZ163" i="9" s="1"/>
  <c r="AB158" i="9"/>
  <c r="AV158" i="9"/>
  <c r="BU163" i="9"/>
  <c r="AY159" i="9"/>
  <c r="AZ159" i="9" s="1"/>
  <c r="CE159" i="9"/>
  <c r="AY160" i="9"/>
  <c r="AZ160" i="9" s="1"/>
  <c r="BD161" i="9"/>
  <c r="BE161" i="9" s="1"/>
  <c r="BF161" i="9"/>
  <c r="AG158" i="9"/>
  <c r="Z160" i="9"/>
  <c r="AA160" i="9" s="1"/>
  <c r="AZ5" i="9"/>
  <c r="AJ10" i="9"/>
  <c r="AK10" i="9" s="1"/>
  <c r="CE15" i="9"/>
  <c r="CC15" i="9"/>
  <c r="CD15" i="9" s="1"/>
  <c r="AA8" i="9"/>
  <c r="AU5" i="9"/>
  <c r="AT14" i="9"/>
  <c r="AU14" i="9" s="1"/>
  <c r="AA21" i="9"/>
  <c r="BD25" i="9"/>
  <c r="BE25" i="9" s="1"/>
  <c r="AY16" i="9"/>
  <c r="AZ16" i="9" s="1"/>
  <c r="AJ20" i="9"/>
  <c r="AK20" i="9" s="1"/>
  <c r="AE30" i="9"/>
  <c r="BD45" i="9"/>
  <c r="BE45" i="9" s="1"/>
  <c r="AO31" i="9"/>
  <c r="AP31" i="9" s="1"/>
  <c r="BD76" i="9"/>
  <c r="BE76" i="9" s="1"/>
  <c r="AE16" i="9"/>
  <c r="BD57" i="9"/>
  <c r="BE57" i="9" s="1"/>
  <c r="BD6" i="9"/>
  <c r="BE6" i="9" s="1"/>
  <c r="AA24" i="9"/>
  <c r="BI11" i="9"/>
  <c r="BJ11" i="9" s="1"/>
  <c r="AJ8" i="9"/>
  <c r="AK8" i="9" s="1"/>
  <c r="Z12" i="9"/>
  <c r="AT13" i="9"/>
  <c r="AU13" i="9" s="1"/>
  <c r="AI191" i="9"/>
  <c r="D5" i="13" s="1"/>
  <c r="D10" i="13" s="1"/>
  <c r="D11" i="13" s="1"/>
  <c r="AJ5" i="9"/>
  <c r="Z23" i="9"/>
  <c r="AE9" i="9"/>
  <c r="AF9" i="9" s="1"/>
  <c r="AE11" i="9"/>
  <c r="AF11" i="9" s="1"/>
  <c r="AD191" i="9"/>
  <c r="C5" i="13" s="1"/>
  <c r="C10" i="13" s="1"/>
  <c r="C11" i="13" s="1"/>
  <c r="BD7" i="9"/>
  <c r="BE7" i="9" s="1"/>
  <c r="BI9" i="9"/>
  <c r="BJ9" i="9" s="1"/>
  <c r="Z14" i="9"/>
  <c r="AA19" i="9"/>
  <c r="AY21" i="9"/>
  <c r="AZ21" i="9" s="1"/>
  <c r="AT29" i="9"/>
  <c r="AU29" i="9" s="1"/>
  <c r="AE35" i="9"/>
  <c r="AF35" i="9" s="1"/>
  <c r="Z18" i="9"/>
  <c r="BJ5" i="9"/>
  <c r="AY30" i="9"/>
  <c r="AZ30" i="9" s="1"/>
  <c r="AO6" i="9"/>
  <c r="AP6" i="9" s="1"/>
  <c r="BD8" i="9"/>
  <c r="BE8" i="9" s="1"/>
  <c r="AA20" i="9"/>
  <c r="BD39" i="9"/>
  <c r="BE39" i="9" s="1"/>
  <c r="AE7" i="9"/>
  <c r="AT9" i="9"/>
  <c r="AU9" i="9" s="1"/>
  <c r="AE19" i="9"/>
  <c r="AF19" i="9" s="1"/>
  <c r="CG15" i="9"/>
  <c r="Z15" i="9"/>
  <c r="AB15" i="9"/>
  <c r="Z17" i="9"/>
  <c r="BD22" i="9"/>
  <c r="BE22" i="9" s="1"/>
  <c r="AY19" i="9"/>
  <c r="AZ19" i="9" s="1"/>
  <c r="BI23" i="9"/>
  <c r="BJ23" i="9" s="1"/>
  <c r="AO32" i="9"/>
  <c r="AP32" i="9" s="1"/>
  <c r="AO44" i="9"/>
  <c r="AP44" i="9" s="1"/>
  <c r="Z55" i="9"/>
  <c r="BI56" i="9"/>
  <c r="BJ56" i="9" s="1"/>
  <c r="AT27" i="9"/>
  <c r="AU27" i="9" s="1"/>
  <c r="AE17" i="9"/>
  <c r="AF17" i="9" s="1"/>
  <c r="Z5" i="9"/>
  <c r="AA5" i="9" s="1"/>
  <c r="Y191" i="9"/>
  <c r="B5" i="13" s="1"/>
  <c r="B10" i="13" s="1"/>
  <c r="B11" i="13" s="1"/>
  <c r="BI10" i="9"/>
  <c r="BJ10" i="9" s="1"/>
  <c r="BD11" i="9"/>
  <c r="BE11" i="9" s="1"/>
  <c r="BD20" i="9"/>
  <c r="BE20" i="9" s="1"/>
  <c r="AO23" i="9"/>
  <c r="AP23" i="9" s="1"/>
  <c r="Z26" i="9"/>
  <c r="Z29" i="9"/>
  <c r="AJ30" i="9"/>
  <c r="AK30" i="9" s="1"/>
  <c r="AT40" i="9"/>
  <c r="AU40" i="9" s="1"/>
  <c r="AA56" i="9"/>
  <c r="AT60" i="9"/>
  <c r="AU60" i="9" s="1"/>
  <c r="BI8" i="9"/>
  <c r="BJ8" i="9" s="1"/>
  <c r="AE13" i="9"/>
  <c r="AF13" i="9" s="1"/>
  <c r="AY13" i="9"/>
  <c r="AZ13" i="9" s="1"/>
  <c r="BN15" i="9"/>
  <c r="BO15" i="9" s="1"/>
  <c r="BD24" i="9"/>
  <c r="BE24" i="9" s="1"/>
  <c r="AE26" i="9"/>
  <c r="AF26" i="9" s="1"/>
  <c r="BD38" i="9"/>
  <c r="BE38" i="9" s="1"/>
  <c r="AJ43" i="9"/>
  <c r="AK43" i="9" s="1"/>
  <c r="BI83" i="9"/>
  <c r="BJ83" i="9" s="1"/>
  <c r="AY7" i="9"/>
  <c r="AZ7" i="9" s="1"/>
  <c r="AJ19" i="9"/>
  <c r="BI34" i="9"/>
  <c r="BJ34" i="9" s="1"/>
  <c r="AT49" i="9"/>
  <c r="AU49" i="9" s="1"/>
  <c r="AJ18" i="9"/>
  <c r="AK18" i="9" s="1"/>
  <c r="BD32" i="9"/>
  <c r="BE32" i="9" s="1"/>
  <c r="AA41" i="9"/>
  <c r="BD60" i="9"/>
  <c r="BE60" i="9" s="1"/>
  <c r="BI62" i="9"/>
  <c r="BJ62" i="9" s="1"/>
  <c r="BD18" i="9"/>
  <c r="BE18" i="9" s="1"/>
  <c r="BH191" i="9"/>
  <c r="I5" i="13" s="1"/>
  <c r="I10" i="13" s="1"/>
  <c r="I11" i="13" s="1"/>
  <c r="AT6" i="9"/>
  <c r="AU6" i="9" s="1"/>
  <c r="BD17" i="9"/>
  <c r="BE17" i="9" s="1"/>
  <c r="BI19" i="9"/>
  <c r="BJ19" i="9" s="1"/>
  <c r="AO20" i="9"/>
  <c r="AP20" i="9" s="1"/>
  <c r="BI21" i="9"/>
  <c r="AO22" i="9"/>
  <c r="AP22" i="9" s="1"/>
  <c r="Z25" i="9"/>
  <c r="BD26" i="9"/>
  <c r="BE26" i="9" s="1"/>
  <c r="AA27" i="9"/>
  <c r="Z47" i="9"/>
  <c r="AJ13" i="9"/>
  <c r="AK13" i="9" s="1"/>
  <c r="BA15" i="9"/>
  <c r="AK42" i="9"/>
  <c r="Z60" i="9"/>
  <c r="AY6" i="9"/>
  <c r="AZ6" i="9" s="1"/>
  <c r="BD9" i="9"/>
  <c r="BE9" i="9" s="1"/>
  <c r="AE10" i="9"/>
  <c r="AF10" i="9" s="1"/>
  <c r="Z11" i="9"/>
  <c r="BI16" i="9"/>
  <c r="BJ16" i="9" s="1"/>
  <c r="AO24" i="9"/>
  <c r="AP24" i="9" s="1"/>
  <c r="BI37" i="9"/>
  <c r="BJ37" i="9" s="1"/>
  <c r="BD5" i="9"/>
  <c r="BC191" i="9"/>
  <c r="H5" i="13" s="1"/>
  <c r="H10" i="13" s="1"/>
  <c r="H11" i="13" s="1"/>
  <c r="AJ28" i="9"/>
  <c r="AK28" i="9" s="1"/>
  <c r="Z31" i="9"/>
  <c r="BD35" i="9"/>
  <c r="BE35" i="9" s="1"/>
  <c r="AA46" i="9"/>
  <c r="AO48" i="9"/>
  <c r="AP48" i="9" s="1"/>
  <c r="AA54" i="9"/>
  <c r="AX191" i="9"/>
  <c r="G5" i="13" s="1"/>
  <c r="G10" i="13" s="1"/>
  <c r="BI14" i="9"/>
  <c r="BJ14" i="9" s="1"/>
  <c r="AT19" i="9"/>
  <c r="AU19" i="9" s="1"/>
  <c r="Z22" i="9"/>
  <c r="BD23" i="9"/>
  <c r="BE23" i="9" s="1"/>
  <c r="AO26" i="9"/>
  <c r="AP26" i="9" s="1"/>
  <c r="AY39" i="9"/>
  <c r="AZ39" i="9" s="1"/>
  <c r="AO41" i="9"/>
  <c r="BD43" i="9"/>
  <c r="BE43" i="9" s="1"/>
  <c r="AA34" i="9"/>
  <c r="AA49" i="9"/>
  <c r="AE55" i="9"/>
  <c r="AF55" i="9" s="1"/>
  <c r="BD66" i="9"/>
  <c r="BE66" i="9" s="1"/>
  <c r="BI38" i="9"/>
  <c r="BJ38" i="9" s="1"/>
  <c r="AJ54" i="9"/>
  <c r="AK54" i="9" s="1"/>
  <c r="AO58" i="9"/>
  <c r="AP58" i="9" s="1"/>
  <c r="AJ75" i="9"/>
  <c r="AK75" i="9" s="1"/>
  <c r="BI24" i="9"/>
  <c r="BJ24" i="9" s="1"/>
  <c r="BI25" i="9"/>
  <c r="BJ25" i="9" s="1"/>
  <c r="AE27" i="9"/>
  <c r="AF27" i="9" s="1"/>
  <c r="AY29" i="9"/>
  <c r="AZ29" i="9" s="1"/>
  <c r="AO35" i="9"/>
  <c r="AP35" i="9" s="1"/>
  <c r="AY40" i="9"/>
  <c r="AZ40" i="9" s="1"/>
  <c r="AT41" i="9"/>
  <c r="AU41" i="9" s="1"/>
  <c r="AO43" i="9"/>
  <c r="AP43" i="9" s="1"/>
  <c r="AT50" i="9"/>
  <c r="AU50" i="9" s="1"/>
  <c r="AT51" i="9"/>
  <c r="AU51" i="9" s="1"/>
  <c r="AY59" i="9"/>
  <c r="AZ59" i="9" s="1"/>
  <c r="AT61" i="9"/>
  <c r="AU61" i="9" s="1"/>
  <c r="Z71" i="9"/>
  <c r="AO28" i="9"/>
  <c r="AP28" i="9" s="1"/>
  <c r="BD46" i="9"/>
  <c r="BE46" i="9" s="1"/>
  <c r="AE48" i="9"/>
  <c r="AT42" i="9"/>
  <c r="AU42" i="9" s="1"/>
  <c r="AT43" i="9"/>
  <c r="AU43" i="9" s="1"/>
  <c r="Z51" i="9"/>
  <c r="AY58" i="9"/>
  <c r="AZ58" i="9" s="1"/>
  <c r="AA59" i="9"/>
  <c r="BD61" i="9"/>
  <c r="BE61" i="9" s="1"/>
  <c r="AO77" i="9"/>
  <c r="AP77" i="9" s="1"/>
  <c r="AS191" i="9"/>
  <c r="F5" i="13" s="1"/>
  <c r="F10" i="13" s="1"/>
  <c r="F11" i="13" s="1"/>
  <c r="AQ15" i="9"/>
  <c r="BF15" i="9"/>
  <c r="BU15" i="9"/>
  <c r="AT28" i="9"/>
  <c r="AU28" i="9" s="1"/>
  <c r="BI30" i="9"/>
  <c r="BJ30" i="9" s="1"/>
  <c r="AY34" i="9"/>
  <c r="AZ34" i="9" s="1"/>
  <c r="Z35" i="9"/>
  <c r="AY37" i="9"/>
  <c r="AZ37" i="9" s="1"/>
  <c r="AT38" i="9"/>
  <c r="AU38" i="9" s="1"/>
  <c r="AJ40" i="9"/>
  <c r="AK40" i="9" s="1"/>
  <c r="AE41" i="9"/>
  <c r="AF41" i="9" s="1"/>
  <c r="AY42" i="9"/>
  <c r="AZ42" i="9" s="1"/>
  <c r="AA43" i="9"/>
  <c r="Z45" i="9"/>
  <c r="AO46" i="9"/>
  <c r="AP46" i="9" s="1"/>
  <c r="BD47" i="9"/>
  <c r="BE47" i="9" s="1"/>
  <c r="AA52" i="9"/>
  <c r="Z66" i="9"/>
  <c r="Z92" i="9"/>
  <c r="AO5" i="9"/>
  <c r="AN191" i="9"/>
  <c r="E5" i="13" s="1"/>
  <c r="E10" i="13" s="1"/>
  <c r="E11" i="13" s="1"/>
  <c r="Z10" i="9"/>
  <c r="AO10" i="9"/>
  <c r="AP10" i="9" s="1"/>
  <c r="BD10" i="9"/>
  <c r="BE10" i="9" s="1"/>
  <c r="AE12" i="9"/>
  <c r="AF12" i="9" s="1"/>
  <c r="AT12" i="9"/>
  <c r="AU12" i="9" s="1"/>
  <c r="BI12" i="9"/>
  <c r="BJ12" i="9" s="1"/>
  <c r="AE20" i="9"/>
  <c r="AF20" i="9" s="1"/>
  <c r="AY22" i="9"/>
  <c r="AZ22" i="9" s="1"/>
  <c r="AJ27" i="9"/>
  <c r="AK27" i="9" s="1"/>
  <c r="Z28" i="9"/>
  <c r="AO33" i="9"/>
  <c r="AT35" i="9"/>
  <c r="AU35" i="9" s="1"/>
  <c r="AJ63" i="9"/>
  <c r="AK63" i="9" s="1"/>
  <c r="AO36" i="9"/>
  <c r="AP36" i="9" s="1"/>
  <c r="Z39" i="9"/>
  <c r="AY55" i="9"/>
  <c r="AZ55" i="9" s="1"/>
  <c r="AT56" i="9"/>
  <c r="AU56" i="9" s="1"/>
  <c r="Z61" i="9"/>
  <c r="BD31" i="9"/>
  <c r="BE31" i="9" s="1"/>
  <c r="AE52" i="9"/>
  <c r="AF52" i="9" s="1"/>
  <c r="Z53" i="9"/>
  <c r="AY56" i="9"/>
  <c r="AZ56" i="9" s="1"/>
  <c r="AY57" i="9"/>
  <c r="AZ57" i="9" s="1"/>
  <c r="AO63" i="9"/>
  <c r="AP63" i="9" s="1"/>
  <c r="AY65" i="9"/>
  <c r="AZ65" i="9" s="1"/>
  <c r="AT82" i="9"/>
  <c r="AU82" i="9" s="1"/>
  <c r="BD79" i="9"/>
  <c r="BE79" i="9" s="1"/>
  <c r="AO91" i="9"/>
  <c r="AP91" i="9" s="1"/>
  <c r="AO95" i="9"/>
  <c r="AP95" i="9" s="1"/>
  <c r="AJ53" i="9"/>
  <c r="AK53" i="9" s="1"/>
  <c r="AY62" i="9"/>
  <c r="AZ62" i="9" s="1"/>
  <c r="AY49" i="9"/>
  <c r="AZ49" i="9" s="1"/>
  <c r="AO54" i="9"/>
  <c r="AP54" i="9" s="1"/>
  <c r="AY85" i="9"/>
  <c r="AZ85" i="9" s="1"/>
  <c r="AT55" i="9"/>
  <c r="AU55" i="9" s="1"/>
  <c r="AE56" i="9"/>
  <c r="AF56" i="9" s="1"/>
  <c r="AJ57" i="9"/>
  <c r="AK57" i="9" s="1"/>
  <c r="AA58" i="9"/>
  <c r="AT58" i="9"/>
  <c r="AU58" i="9" s="1"/>
  <c r="AO59" i="9"/>
  <c r="AP59" i="9" s="1"/>
  <c r="AY60" i="9"/>
  <c r="AZ60" i="9" s="1"/>
  <c r="AE61" i="9"/>
  <c r="AF61" i="9" s="1"/>
  <c r="AY61" i="9"/>
  <c r="AZ61" i="9" s="1"/>
  <c r="Z69" i="9"/>
  <c r="AO86" i="9"/>
  <c r="AP86" i="9" s="1"/>
  <c r="AT109" i="9"/>
  <c r="AU109" i="9" s="1"/>
  <c r="AO53" i="9"/>
  <c r="AP53" i="9" s="1"/>
  <c r="BD53" i="9"/>
  <c r="BE53" i="9" s="1"/>
  <c r="AA64" i="9"/>
  <c r="AT71" i="9"/>
  <c r="AU71" i="9" s="1"/>
  <c r="BI44" i="9"/>
  <c r="BJ44" i="9" s="1"/>
  <c r="AJ62" i="9"/>
  <c r="AK62" i="9" s="1"/>
  <c r="BD80" i="9"/>
  <c r="BE80" i="9" s="1"/>
  <c r="AE88" i="9"/>
  <c r="AF88" i="9" s="1"/>
  <c r="AJ89" i="9"/>
  <c r="BI69" i="9"/>
  <c r="BJ69" i="9" s="1"/>
  <c r="BD75" i="9"/>
  <c r="BE75" i="9" s="1"/>
  <c r="AJ88" i="9"/>
  <c r="AK88" i="9" s="1"/>
  <c r="AE44" i="9"/>
  <c r="AF44" i="9" s="1"/>
  <c r="AT44" i="9"/>
  <c r="AU44" i="9" s="1"/>
  <c r="AO49" i="9"/>
  <c r="AP49" i="9" s="1"/>
  <c r="AJ56" i="9"/>
  <c r="AK56" i="9" s="1"/>
  <c r="AO57" i="9"/>
  <c r="AP57" i="9" s="1"/>
  <c r="AE67" i="9"/>
  <c r="AF67" i="9" s="1"/>
  <c r="AT84" i="9"/>
  <c r="AU84" i="9" s="1"/>
  <c r="BI33" i="9"/>
  <c r="BJ33" i="9" s="1"/>
  <c r="Z40" i="9"/>
  <c r="AO40" i="9"/>
  <c r="AP40" i="9" s="1"/>
  <c r="AT47" i="9"/>
  <c r="AU47" i="9" s="1"/>
  <c r="BI47" i="9"/>
  <c r="BJ47" i="9" s="1"/>
  <c r="BI53" i="9"/>
  <c r="BJ53" i="9" s="1"/>
  <c r="Z57" i="9"/>
  <c r="AE63" i="9"/>
  <c r="AF63" i="9" s="1"/>
  <c r="BI63" i="9"/>
  <c r="BJ63" i="9" s="1"/>
  <c r="AO69" i="9"/>
  <c r="AP69" i="9" s="1"/>
  <c r="AO102" i="9"/>
  <c r="AP102" i="9" s="1"/>
  <c r="AE76" i="9"/>
  <c r="AF76" i="9" s="1"/>
  <c r="Z79" i="9"/>
  <c r="Z87" i="9"/>
  <c r="Z88" i="9"/>
  <c r="AO93" i="9"/>
  <c r="AP93" i="9" s="1"/>
  <c r="AJ83" i="9"/>
  <c r="AK83" i="9" s="1"/>
  <c r="AJ87" i="9"/>
  <c r="AK87" i="9" s="1"/>
  <c r="AO73" i="9"/>
  <c r="AP73" i="9" s="1"/>
  <c r="AJ74" i="9"/>
  <c r="AK74" i="9" s="1"/>
  <c r="AJ79" i="9"/>
  <c r="AK79" i="9" s="1"/>
  <c r="AJ65" i="9"/>
  <c r="AK65" i="9" s="1"/>
  <c r="Z84" i="9"/>
  <c r="AJ67" i="9"/>
  <c r="AK67" i="9" s="1"/>
  <c r="AY67" i="9"/>
  <c r="AZ67" i="9" s="1"/>
  <c r="AO68" i="9"/>
  <c r="AY71" i="9"/>
  <c r="AZ71" i="9" s="1"/>
  <c r="BI76" i="9"/>
  <c r="BJ76" i="9" s="1"/>
  <c r="AE78" i="9"/>
  <c r="AA81" i="9"/>
  <c r="AY84" i="9"/>
  <c r="AZ84" i="9" s="1"/>
  <c r="AO92" i="9"/>
  <c r="AP92" i="9" s="1"/>
  <c r="AE66" i="9"/>
  <c r="AF66" i="9" s="1"/>
  <c r="Z73" i="9"/>
  <c r="AY89" i="9"/>
  <c r="AZ89" i="9" s="1"/>
  <c r="AY64" i="9"/>
  <c r="AZ64" i="9" s="1"/>
  <c r="AO65" i="9"/>
  <c r="AP65" i="9" s="1"/>
  <c r="AY66" i="9"/>
  <c r="AZ66" i="9" s="1"/>
  <c r="AO74" i="9"/>
  <c r="AP74" i="9" s="1"/>
  <c r="Z77" i="9"/>
  <c r="BI82" i="9"/>
  <c r="BJ82" i="9" s="1"/>
  <c r="Z63" i="9"/>
  <c r="BI65" i="9"/>
  <c r="BI68" i="9"/>
  <c r="BJ68" i="9" s="1"/>
  <c r="AJ71" i="9"/>
  <c r="AK71" i="9" s="1"/>
  <c r="Z76" i="9"/>
  <c r="Z80" i="9"/>
  <c r="AE81" i="9"/>
  <c r="AF81" i="9" s="1"/>
  <c r="Z86" i="9"/>
  <c r="AY86" i="9"/>
  <c r="AZ86" i="9" s="1"/>
  <c r="AY88" i="9"/>
  <c r="AZ88" i="9" s="1"/>
  <c r="Z90" i="9"/>
  <c r="AJ101" i="9"/>
  <c r="AK101" i="9" s="1"/>
  <c r="AO106" i="9"/>
  <c r="AP106" i="9" s="1"/>
  <c r="Z70" i="9"/>
  <c r="AA83" i="9"/>
  <c r="AT106" i="9"/>
  <c r="AU106" i="9" s="1"/>
  <c r="AT63" i="9"/>
  <c r="AU63" i="9" s="1"/>
  <c r="AA65" i="9"/>
  <c r="BI71" i="9"/>
  <c r="BJ71" i="9" s="1"/>
  <c r="Z74" i="9"/>
  <c r="Z75" i="9"/>
  <c r="BD77" i="9"/>
  <c r="BE77" i="9" s="1"/>
  <c r="AJ91" i="9"/>
  <c r="AK91" i="9" s="1"/>
  <c r="AY92" i="9"/>
  <c r="AZ92" i="9" s="1"/>
  <c r="AA96" i="9"/>
  <c r="AO111" i="9"/>
  <c r="AP111" i="9" s="1"/>
  <c r="AO104" i="9"/>
  <c r="AP104" i="9" s="1"/>
  <c r="AJ105" i="9"/>
  <c r="AK105" i="9" s="1"/>
  <c r="Z124" i="9"/>
  <c r="BD116" i="9"/>
  <c r="BE116" i="9" s="1"/>
  <c r="AE97" i="9"/>
  <c r="AF97" i="9" s="1"/>
  <c r="AO101" i="9"/>
  <c r="AP101" i="9" s="1"/>
  <c r="AA103" i="9"/>
  <c r="BI106" i="9"/>
  <c r="BJ106" i="9" s="1"/>
  <c r="AO113" i="9"/>
  <c r="AP113" i="9" s="1"/>
  <c r="BI87" i="9"/>
  <c r="BJ87" i="9" s="1"/>
  <c r="BD89" i="9"/>
  <c r="BE89" i="9" s="1"/>
  <c r="Z91" i="9"/>
  <c r="BI96" i="9"/>
  <c r="BJ96" i="9" s="1"/>
  <c r="AJ98" i="9"/>
  <c r="AK98" i="9" s="1"/>
  <c r="AY112" i="9"/>
  <c r="AZ112" i="9" s="1"/>
  <c r="AY82" i="9"/>
  <c r="AZ82" i="9" s="1"/>
  <c r="BI88" i="9"/>
  <c r="BJ88" i="9" s="1"/>
  <c r="BI107" i="9"/>
  <c r="BJ107" i="9" s="1"/>
  <c r="BI109" i="9"/>
  <c r="BJ109" i="9" s="1"/>
  <c r="Z110" i="9"/>
  <c r="AT115" i="9"/>
  <c r="AU115" i="9" s="1"/>
  <c r="AJ82" i="9"/>
  <c r="AK82" i="9" s="1"/>
  <c r="AY91" i="9"/>
  <c r="AZ91" i="9" s="1"/>
  <c r="AY93" i="9"/>
  <c r="AZ93" i="9" s="1"/>
  <c r="AO94" i="9"/>
  <c r="AP94" i="9" s="1"/>
  <c r="AJ96" i="9"/>
  <c r="AJ77" i="9"/>
  <c r="AK77" i="9" s="1"/>
  <c r="AT79" i="9"/>
  <c r="AU79" i="9" s="1"/>
  <c r="AY81" i="9"/>
  <c r="AZ81" i="9" s="1"/>
  <c r="BD83" i="9"/>
  <c r="BE83" i="9" s="1"/>
  <c r="BD86" i="9"/>
  <c r="BE86" i="9" s="1"/>
  <c r="AO97" i="9"/>
  <c r="AP97" i="9" s="1"/>
  <c r="Z62" i="9"/>
  <c r="AT66" i="9"/>
  <c r="AU66" i="9" s="1"/>
  <c r="BI66" i="9"/>
  <c r="BJ66" i="9" s="1"/>
  <c r="AA67" i="9"/>
  <c r="BD67" i="9"/>
  <c r="BE67" i="9" s="1"/>
  <c r="AO72" i="9"/>
  <c r="AP72" i="9" s="1"/>
  <c r="AY80" i="9"/>
  <c r="AZ80" i="9" s="1"/>
  <c r="AJ81" i="9"/>
  <c r="AK81" i="9" s="1"/>
  <c r="BD82" i="9"/>
  <c r="BE82" i="9" s="1"/>
  <c r="AT85" i="9"/>
  <c r="AU85" i="9" s="1"/>
  <c r="AE87" i="9"/>
  <c r="AF87" i="9" s="1"/>
  <c r="AT88" i="9"/>
  <c r="AU88" i="9" s="1"/>
  <c r="AJ92" i="9"/>
  <c r="AK92" i="9" s="1"/>
  <c r="AE93" i="9"/>
  <c r="AF93" i="9" s="1"/>
  <c r="AT98" i="9"/>
  <c r="AU98" i="9" s="1"/>
  <c r="Z99" i="9"/>
  <c r="AJ118" i="9"/>
  <c r="AK118" i="9" s="1"/>
  <c r="Z72" i="9"/>
  <c r="AE99" i="9"/>
  <c r="AF99" i="9" s="1"/>
  <c r="AE106" i="9"/>
  <c r="AF106" i="9" s="1"/>
  <c r="BI114" i="9"/>
  <c r="BJ114" i="9" s="1"/>
  <c r="AT107" i="9"/>
  <c r="AU107" i="9" s="1"/>
  <c r="BD112" i="9"/>
  <c r="BE112" i="9" s="1"/>
  <c r="BD118" i="9"/>
  <c r="BE118" i="9" s="1"/>
  <c r="AA102" i="9"/>
  <c r="AE104" i="9"/>
  <c r="AF104" i="9" s="1"/>
  <c r="AO110" i="9"/>
  <c r="AP110" i="9" s="1"/>
  <c r="AT95" i="9"/>
  <c r="AU95" i="9" s="1"/>
  <c r="AY98" i="9"/>
  <c r="AZ98" i="9" s="1"/>
  <c r="AT102" i="9"/>
  <c r="AU102" i="9" s="1"/>
  <c r="BD107" i="9"/>
  <c r="BE107" i="9" s="1"/>
  <c r="AT114" i="9"/>
  <c r="AU114" i="9" s="1"/>
  <c r="AJ93" i="9"/>
  <c r="AK93" i="9" s="1"/>
  <c r="Z101" i="9"/>
  <c r="AA115" i="9"/>
  <c r="AT117" i="9"/>
  <c r="AU117" i="9" s="1"/>
  <c r="AT135" i="9"/>
  <c r="AU135" i="9" s="1"/>
  <c r="Z106" i="9"/>
  <c r="BD106" i="9"/>
  <c r="BE106" i="9" s="1"/>
  <c r="Z111" i="9"/>
  <c r="Z114" i="9"/>
  <c r="AA133" i="9"/>
  <c r="Z93" i="9"/>
  <c r="AT94" i="9"/>
  <c r="AU94" i="9" s="1"/>
  <c r="AY95" i="9"/>
  <c r="AZ95" i="9" s="1"/>
  <c r="BD96" i="9"/>
  <c r="BE96" i="9" s="1"/>
  <c r="Z97" i="9"/>
  <c r="BI100" i="9"/>
  <c r="BJ100" i="9" s="1"/>
  <c r="AE101" i="9"/>
  <c r="AF101" i="9" s="1"/>
  <c r="AJ102" i="9"/>
  <c r="AK102" i="9" s="1"/>
  <c r="BD103" i="9"/>
  <c r="BE103" i="9" s="1"/>
  <c r="AE107" i="9"/>
  <c r="Z131" i="9"/>
  <c r="AJ107" i="9"/>
  <c r="AK107" i="9" s="1"/>
  <c r="Z121" i="9"/>
  <c r="AO127" i="9"/>
  <c r="AP127" i="9" s="1"/>
  <c r="BI90" i="9"/>
  <c r="BJ90" i="9" s="1"/>
  <c r="AE94" i="9"/>
  <c r="AJ95" i="9"/>
  <c r="AK95" i="9" s="1"/>
  <c r="AO96" i="9"/>
  <c r="AP96" i="9" s="1"/>
  <c r="BI99" i="9"/>
  <c r="BJ99" i="9" s="1"/>
  <c r="AO103" i="9"/>
  <c r="AP103" i="9" s="1"/>
  <c r="AA117" i="9"/>
  <c r="BI117" i="9"/>
  <c r="BJ117" i="9" s="1"/>
  <c r="AE119" i="9"/>
  <c r="AT120" i="9"/>
  <c r="AU120" i="9" s="1"/>
  <c r="AT127" i="9"/>
  <c r="AU127" i="9" s="1"/>
  <c r="BD142" i="9"/>
  <c r="BE142" i="9" s="1"/>
  <c r="BI123" i="9"/>
  <c r="BJ123" i="9" s="1"/>
  <c r="AM158" i="9"/>
  <c r="CG158" i="9"/>
  <c r="AL158" i="9"/>
  <c r="AJ158" i="9"/>
  <c r="Z108" i="9"/>
  <c r="AO108" i="9"/>
  <c r="AP108" i="9" s="1"/>
  <c r="BD108" i="9"/>
  <c r="BE108" i="9" s="1"/>
  <c r="AE115" i="9"/>
  <c r="AO116" i="9"/>
  <c r="AP116" i="9" s="1"/>
  <c r="AY119" i="9"/>
  <c r="AZ119" i="9" s="1"/>
  <c r="AY122" i="9"/>
  <c r="AZ122" i="9" s="1"/>
  <c r="AY125" i="9"/>
  <c r="AZ125" i="9" s="1"/>
  <c r="AT104" i="9"/>
  <c r="AU104" i="9" s="1"/>
  <c r="BI104" i="9"/>
  <c r="BJ104" i="9" s="1"/>
  <c r="Z105" i="9"/>
  <c r="AO105" i="9"/>
  <c r="AP105" i="9" s="1"/>
  <c r="BD105" i="9"/>
  <c r="BE105" i="9" s="1"/>
  <c r="AJ106" i="9"/>
  <c r="AK106" i="9" s="1"/>
  <c r="AY106" i="9"/>
  <c r="AZ106" i="9" s="1"/>
  <c r="AJ109" i="9"/>
  <c r="AK109" i="9" s="1"/>
  <c r="AY109" i="9"/>
  <c r="AZ109" i="9" s="1"/>
  <c r="AT110" i="9"/>
  <c r="AU110" i="9" s="1"/>
  <c r="BI110" i="9"/>
  <c r="BJ110" i="9" s="1"/>
  <c r="BI113" i="9"/>
  <c r="BJ113" i="9" s="1"/>
  <c r="BD124" i="9"/>
  <c r="BE124" i="9" s="1"/>
  <c r="BD128" i="9"/>
  <c r="BE128" i="9" s="1"/>
  <c r="BI118" i="9"/>
  <c r="BJ118" i="9" s="1"/>
  <c r="AT126" i="9"/>
  <c r="AU126" i="9" s="1"/>
  <c r="AT111" i="9"/>
  <c r="AU111" i="9" s="1"/>
  <c r="AT113" i="9"/>
  <c r="AU113" i="9" s="1"/>
  <c r="AY117" i="9"/>
  <c r="AZ117" i="9" s="1"/>
  <c r="AJ119" i="9"/>
  <c r="AK119" i="9" s="1"/>
  <c r="BD122" i="9"/>
  <c r="BE122" i="9" s="1"/>
  <c r="AJ124" i="9"/>
  <c r="AK124" i="9" s="1"/>
  <c r="Z125" i="9"/>
  <c r="AY126" i="9"/>
  <c r="AZ126" i="9" s="1"/>
  <c r="BD130" i="9"/>
  <c r="BE130" i="9" s="1"/>
  <c r="AO131" i="9"/>
  <c r="AP131" i="9" s="1"/>
  <c r="BI122" i="9"/>
  <c r="BJ122" i="9" s="1"/>
  <c r="BI138" i="9"/>
  <c r="BJ138" i="9" s="1"/>
  <c r="AJ143" i="9"/>
  <c r="AK143" i="9" s="1"/>
  <c r="AY107" i="9"/>
  <c r="AZ107" i="9" s="1"/>
  <c r="AE108" i="9"/>
  <c r="AF108" i="9" s="1"/>
  <c r="AT108" i="9"/>
  <c r="AU108" i="9" s="1"/>
  <c r="BI108" i="9"/>
  <c r="BJ108" i="9" s="1"/>
  <c r="AO109" i="9"/>
  <c r="AP109" i="9" s="1"/>
  <c r="BD109" i="9"/>
  <c r="BE109" i="9" s="1"/>
  <c r="AE112" i="9"/>
  <c r="AT112" i="9"/>
  <c r="AU112" i="9" s="1"/>
  <c r="AE113" i="9"/>
  <c r="AF113" i="9" s="1"/>
  <c r="AJ117" i="9"/>
  <c r="AK117" i="9" s="1"/>
  <c r="Z118" i="9"/>
  <c r="BD121" i="9"/>
  <c r="BE121" i="9" s="1"/>
  <c r="AJ122" i="9"/>
  <c r="AT129" i="9"/>
  <c r="AU129" i="9" s="1"/>
  <c r="AJ104" i="9"/>
  <c r="AK104" i="9" s="1"/>
  <c r="AY104" i="9"/>
  <c r="AZ104" i="9" s="1"/>
  <c r="AE105" i="9"/>
  <c r="AF105" i="9" s="1"/>
  <c r="AT105" i="9"/>
  <c r="AU105" i="9" s="1"/>
  <c r="AT118" i="9"/>
  <c r="AU118" i="9" s="1"/>
  <c r="AO124" i="9"/>
  <c r="AP124" i="9" s="1"/>
  <c r="AT133" i="9"/>
  <c r="AU133" i="9" s="1"/>
  <c r="AO115" i="9"/>
  <c r="AP115" i="9" s="1"/>
  <c r="AE132" i="9"/>
  <c r="AF132" i="9" s="1"/>
  <c r="AJ137" i="9"/>
  <c r="AT97" i="9"/>
  <c r="AU97" i="9" s="1"/>
  <c r="BI97" i="9"/>
  <c r="BJ97" i="9" s="1"/>
  <c r="AA98" i="9"/>
  <c r="AY116" i="9"/>
  <c r="AZ116" i="9" s="1"/>
  <c r="AE127" i="9"/>
  <c r="Z134" i="9"/>
  <c r="AJ138" i="9"/>
  <c r="AK138" i="9" s="1"/>
  <c r="AO128" i="9"/>
  <c r="AP128" i="9" s="1"/>
  <c r="AE129" i="9"/>
  <c r="AF129" i="9" s="1"/>
  <c r="AJ132" i="9"/>
  <c r="AE133" i="9"/>
  <c r="AY153" i="9"/>
  <c r="AZ153" i="9" s="1"/>
  <c r="AO130" i="9"/>
  <c r="AP130" i="9" s="1"/>
  <c r="AE135" i="9"/>
  <c r="AF135" i="9" s="1"/>
  <c r="AY141" i="9"/>
  <c r="AZ141" i="9" s="1"/>
  <c r="Z142" i="9"/>
  <c r="BI142" i="9"/>
  <c r="BJ142" i="9" s="1"/>
  <c r="AT145" i="9"/>
  <c r="AU145" i="9" s="1"/>
  <c r="AO149" i="9"/>
  <c r="AP149" i="9" s="1"/>
  <c r="BD123" i="9"/>
  <c r="BE123" i="9" s="1"/>
  <c r="AE126" i="9"/>
  <c r="AF126" i="9" s="1"/>
  <c r="Z128" i="9"/>
  <c r="AY129" i="9"/>
  <c r="AZ129" i="9" s="1"/>
  <c r="AY136" i="9"/>
  <c r="AZ136" i="9" s="1"/>
  <c r="AE147" i="9"/>
  <c r="Z136" i="9"/>
  <c r="AA140" i="9"/>
  <c r="BD141" i="9"/>
  <c r="BE141" i="9" s="1"/>
  <c r="BS160" i="9"/>
  <c r="BT160" i="9" s="1"/>
  <c r="BV160" i="9"/>
  <c r="BU160" i="9"/>
  <c r="AY139" i="9"/>
  <c r="AZ139" i="9" s="1"/>
  <c r="CG159" i="9"/>
  <c r="AC159" i="9"/>
  <c r="AB159" i="9"/>
  <c r="Z159" i="9"/>
  <c r="BZ159" i="9"/>
  <c r="BX159" i="9"/>
  <c r="BY159" i="9" s="1"/>
  <c r="CA159" i="9"/>
  <c r="AJ131" i="9"/>
  <c r="AK131" i="9" s="1"/>
  <c r="AT150" i="9"/>
  <c r="AU150" i="9" s="1"/>
  <c r="AW163" i="9"/>
  <c r="AV163" i="9"/>
  <c r="AT163" i="9"/>
  <c r="AU163" i="9" s="1"/>
  <c r="AA132" i="9"/>
  <c r="AA137" i="9"/>
  <c r="AT156" i="9"/>
  <c r="Z120" i="9"/>
  <c r="AO120" i="9"/>
  <c r="AP120" i="9" s="1"/>
  <c r="BI127" i="9"/>
  <c r="BJ127" i="9" s="1"/>
  <c r="AE130" i="9"/>
  <c r="AF130" i="9" s="1"/>
  <c r="BI133" i="9"/>
  <c r="BJ133" i="9" s="1"/>
  <c r="AJ141" i="9"/>
  <c r="AK141" i="9" s="1"/>
  <c r="AE148" i="9"/>
  <c r="BU158" i="9"/>
  <c r="BV158" i="9"/>
  <c r="Z145" i="9"/>
  <c r="AE153" i="9"/>
  <c r="BS158" i="9"/>
  <c r="BT158" i="9" s="1"/>
  <c r="BB164" i="9"/>
  <c r="BA164" i="9"/>
  <c r="AY164" i="9"/>
  <c r="AZ164" i="9" s="1"/>
  <c r="AJ139" i="9"/>
  <c r="AK139" i="9" s="1"/>
  <c r="AO143" i="9"/>
  <c r="AP143" i="9" s="1"/>
  <c r="BI144" i="9"/>
  <c r="BJ144" i="9" s="1"/>
  <c r="AO146" i="9"/>
  <c r="AP146" i="9" s="1"/>
  <c r="AJ148" i="9"/>
  <c r="AA155" i="9"/>
  <c r="AT161" i="9"/>
  <c r="AU161" i="9" s="1"/>
  <c r="AW161" i="9"/>
  <c r="AV161" i="9"/>
  <c r="BD149" i="9"/>
  <c r="BE149" i="9" s="1"/>
  <c r="Z150" i="9"/>
  <c r="AT154" i="9"/>
  <c r="AU154" i="9" s="1"/>
  <c r="BV161" i="9"/>
  <c r="BU161" i="9"/>
  <c r="CA163" i="9"/>
  <c r="BZ163" i="9"/>
  <c r="BX163" i="9"/>
  <c r="BY163" i="9" s="1"/>
  <c r="BD137" i="9"/>
  <c r="BE137" i="9" s="1"/>
  <c r="Z141" i="9"/>
  <c r="AE142" i="9"/>
  <c r="AF142" i="9" s="1"/>
  <c r="AT146" i="9"/>
  <c r="AU146" i="9" s="1"/>
  <c r="Z161" i="9"/>
  <c r="CG161" i="9"/>
  <c r="AB161" i="9"/>
  <c r="BS161" i="9"/>
  <c r="BT161" i="9" s="1"/>
  <c r="CF163" i="9"/>
  <c r="CE163" i="9"/>
  <c r="CC163" i="9"/>
  <c r="CD163" i="9" s="1"/>
  <c r="AA144" i="9"/>
  <c r="AE150" i="9"/>
  <c r="AF150" i="9" s="1"/>
  <c r="Z138" i="9"/>
  <c r="Z143" i="9"/>
  <c r="AR159" i="9"/>
  <c r="AQ159" i="9"/>
  <c r="BL159" i="9"/>
  <c r="BK159" i="9"/>
  <c r="BI159" i="9"/>
  <c r="BJ159" i="9" s="1"/>
  <c r="AH161" i="9"/>
  <c r="AG161" i="9"/>
  <c r="BI163" i="9"/>
  <c r="BJ163" i="9" s="1"/>
  <c r="Z139" i="9"/>
  <c r="AO140" i="9"/>
  <c r="AP140" i="9" s="1"/>
  <c r="Z146" i="9"/>
  <c r="AT147" i="9"/>
  <c r="AU147" i="9" s="1"/>
  <c r="AA151" i="9"/>
  <c r="AO159" i="9"/>
  <c r="AP159" i="9" s="1"/>
  <c r="AH160" i="9"/>
  <c r="AG160" i="9"/>
  <c r="CG160" i="9"/>
  <c r="AE160" i="9"/>
  <c r="AF160" i="9" s="1"/>
  <c r="AE161" i="9"/>
  <c r="AF161" i="9" s="1"/>
  <c r="BK163" i="9"/>
  <c r="Z126" i="9"/>
  <c r="AJ130" i="9"/>
  <c r="AK130" i="9" s="1"/>
  <c r="AJ133" i="9"/>
  <c r="AK133" i="9" s="1"/>
  <c r="AY133" i="9"/>
  <c r="AZ133" i="9" s="1"/>
  <c r="Z135" i="9"/>
  <c r="BI150" i="9"/>
  <c r="BJ150" i="9" s="1"/>
  <c r="AJ152" i="9"/>
  <c r="AK152" i="9" s="1"/>
  <c r="BB158" i="9"/>
  <c r="BA158" i="9"/>
  <c r="AY158" i="9"/>
  <c r="AZ158" i="9" s="1"/>
  <c r="CG162" i="9"/>
  <c r="AC162" i="9"/>
  <c r="AB162" i="9"/>
  <c r="BG159" i="9"/>
  <c r="BF159" i="9"/>
  <c r="AW164" i="9"/>
  <c r="AV164" i="9"/>
  <c r="AB163" i="9"/>
  <c r="CG163" i="9"/>
  <c r="CA158" i="9"/>
  <c r="BZ158" i="9"/>
  <c r="BX160" i="9"/>
  <c r="BY160" i="9" s="1"/>
  <c r="Z163" i="9"/>
  <c r="AB164" i="9"/>
  <c r="CG164" i="9"/>
  <c r="AY155" i="9"/>
  <c r="AZ155" i="9" s="1"/>
  <c r="CA160" i="9"/>
  <c r="AA164" i="9"/>
  <c r="BI149" i="9"/>
  <c r="BJ149" i="9" s="1"/>
  <c r="BI152" i="9"/>
  <c r="BJ152" i="9" s="1"/>
  <c r="AJ154" i="9"/>
  <c r="BD154" i="9"/>
  <c r="BE154" i="9" s="1"/>
  <c r="Z157" i="9"/>
  <c r="BD158" i="9"/>
  <c r="BE158" i="9" s="1"/>
  <c r="CE160" i="9"/>
  <c r="CF160" i="9"/>
  <c r="CC160" i="9"/>
  <c r="CD160" i="9" s="1"/>
  <c r="CI160" i="9" s="1"/>
  <c r="BX161" i="9"/>
  <c r="BY161" i="9" s="1"/>
  <c r="BV162" i="9"/>
  <c r="BU162" i="9"/>
  <c r="AC163" i="9"/>
  <c r="AC164" i="9"/>
  <c r="AQ160" i="9"/>
  <c r="BL160" i="9"/>
  <c r="BK160" i="9"/>
  <c r="AA149" i="9"/>
  <c r="AY151" i="9"/>
  <c r="AZ151" i="9" s="1"/>
  <c r="Z152" i="9"/>
  <c r="BI153" i="9"/>
  <c r="BJ153" i="9" s="1"/>
  <c r="AE157" i="9"/>
  <c r="AF157" i="9" s="1"/>
  <c r="AY157" i="9"/>
  <c r="AZ157" i="9" s="1"/>
  <c r="BF158" i="9"/>
  <c r="AR160" i="9"/>
  <c r="BI160" i="9"/>
  <c r="BJ160" i="9" s="1"/>
  <c r="BZ161" i="9"/>
  <c r="BD162" i="9"/>
  <c r="BE162" i="9" s="1"/>
  <c r="AE163" i="9"/>
  <c r="AF163" i="9" s="1"/>
  <c r="BI164" i="9"/>
  <c r="BJ164" i="9" s="1"/>
  <c r="BL164" i="9"/>
  <c r="BK164" i="9"/>
  <c r="BK158" i="9"/>
  <c r="BI158" i="9"/>
  <c r="BJ158" i="9" s="1"/>
  <c r="AW160" i="9"/>
  <c r="AV160" i="9"/>
  <c r="AM164" i="9"/>
  <c r="AL164" i="9"/>
  <c r="AJ164" i="9"/>
  <c r="AK164" i="9" s="1"/>
  <c r="AY147" i="9"/>
  <c r="AZ147" i="9" s="1"/>
  <c r="AO148" i="9"/>
  <c r="AE151" i="9"/>
  <c r="AF151" i="9" s="1"/>
  <c r="AO153" i="9"/>
  <c r="AP153" i="9" s="1"/>
  <c r="BL158" i="9"/>
  <c r="BS159" i="9"/>
  <c r="BT159" i="9" s="1"/>
  <c r="AT160" i="9"/>
  <c r="BX162" i="9"/>
  <c r="BY162" i="9" s="1"/>
  <c r="BQ164" i="9"/>
  <c r="BP164" i="9"/>
  <c r="BN164" i="9"/>
  <c r="BO164" i="9" s="1"/>
  <c r="AJ151" i="9"/>
  <c r="AK151" i="9" s="1"/>
  <c r="AO155" i="9"/>
  <c r="AP155" i="9" s="1"/>
  <c r="BV159" i="9"/>
  <c r="AQ164" i="9"/>
  <c r="AE164" i="9"/>
  <c r="AF164" i="9" s="1"/>
  <c r="CF164" i="9"/>
  <c r="CE164" i="9"/>
  <c r="AH164" i="9"/>
  <c r="CC164" i="9"/>
  <c r="CD164" i="9" s="1"/>
  <c r="CI164" i="9" s="1"/>
  <c r="AH162" i="9"/>
  <c r="CC161" i="9"/>
  <c r="CD161" i="9" s="1"/>
  <c r="CE162" i="9"/>
  <c r="BQ161" i="9"/>
  <c r="BP161" i="9"/>
  <c r="CF161" i="9"/>
  <c r="AJ162" i="9"/>
  <c r="AL163" i="9"/>
  <c r="AT153" i="9"/>
  <c r="AU153" i="9" s="1"/>
  <c r="AY154" i="9"/>
  <c r="AZ154" i="9" s="1"/>
  <c r="AJ155" i="9"/>
  <c r="BI157" i="9"/>
  <c r="BJ157" i="9" s="1"/>
  <c r="BN160" i="9"/>
  <c r="BO160" i="9" s="1"/>
  <c r="AY161" i="9"/>
  <c r="AZ161" i="9" s="1"/>
  <c r="BN161" i="9"/>
  <c r="BO161" i="9" s="1"/>
  <c r="BA162" i="9"/>
  <c r="AM163" i="9"/>
  <c r="AE5" i="9"/>
  <c r="G14" i="13" l="1"/>
  <c r="G23" i="13" s="1"/>
  <c r="G11" i="13"/>
  <c r="B14" i="13"/>
  <c r="B23" i="13" s="1"/>
  <c r="H14" i="13"/>
  <c r="H23" i="13" s="1"/>
  <c r="E14" i="13"/>
  <c r="F14" i="13"/>
  <c r="F23" i="13" s="1"/>
  <c r="CJ165" i="9"/>
  <c r="CJ187" i="9"/>
  <c r="CH186" i="9"/>
  <c r="CJ182" i="9"/>
  <c r="AF148" i="9"/>
  <c r="CJ183" i="9"/>
  <c r="CH173" i="9"/>
  <c r="CJ186" i="9"/>
  <c r="AK148" i="9"/>
  <c r="CJ185" i="9"/>
  <c r="C14" i="13"/>
  <c r="CJ168" i="9"/>
  <c r="AP148" i="9"/>
  <c r="CJ178" i="9"/>
  <c r="CH172" i="9"/>
  <c r="I14" i="13"/>
  <c r="I23" i="13" s="1"/>
  <c r="D14" i="13"/>
  <c r="BJ168" i="9"/>
  <c r="CH168" i="9"/>
  <c r="CH188" i="9"/>
  <c r="BJ188" i="9"/>
  <c r="BJ189" i="9"/>
  <c r="CH189" i="9"/>
  <c r="CH187" i="9"/>
  <c r="CJ167" i="9"/>
  <c r="CH180" i="9"/>
  <c r="CH181" i="9"/>
  <c r="BJ181" i="9"/>
  <c r="CH177" i="9"/>
  <c r="CH170" i="9"/>
  <c r="CJ188" i="9"/>
  <c r="CH169" i="9"/>
  <c r="BJ182" i="9"/>
  <c r="CH182" i="9"/>
  <c r="CH166" i="9"/>
  <c r="CH185" i="9"/>
  <c r="BO185" i="9"/>
  <c r="CH165" i="9"/>
  <c r="CH184" i="9"/>
  <c r="CJ180" i="9"/>
  <c r="CH178" i="9"/>
  <c r="BO178" i="9"/>
  <c r="CH190" i="9"/>
  <c r="CH179" i="9"/>
  <c r="CH167" i="9"/>
  <c r="BJ167" i="9"/>
  <c r="BJ175" i="9"/>
  <c r="CH175" i="9"/>
  <c r="CJ181" i="9"/>
  <c r="CH174" i="9"/>
  <c r="BJ174" i="9"/>
  <c r="CH183" i="9"/>
  <c r="CH176" i="9"/>
  <c r="CJ173" i="9"/>
  <c r="CH171" i="9"/>
  <c r="CI161" i="9"/>
  <c r="CJ158" i="9"/>
  <c r="CJ159" i="9"/>
  <c r="CK161" i="9"/>
  <c r="CI158" i="9"/>
  <c r="CI163" i="9"/>
  <c r="CJ161" i="9"/>
  <c r="AF78" i="9"/>
  <c r="AA61" i="9"/>
  <c r="BJ21" i="9"/>
  <c r="BJ191" i="9" s="1"/>
  <c r="AA18" i="9"/>
  <c r="CK159" i="9"/>
  <c r="AF115" i="9"/>
  <c r="AA97" i="9"/>
  <c r="AA70" i="9"/>
  <c r="AK19" i="9"/>
  <c r="AP41" i="9"/>
  <c r="AA111" i="9"/>
  <c r="AA73" i="9"/>
  <c r="AA10" i="9"/>
  <c r="AF7" i="9"/>
  <c r="BJ65" i="9"/>
  <c r="AK154" i="9"/>
  <c r="CJ160" i="9"/>
  <c r="AF127" i="9"/>
  <c r="CH159" i="9"/>
  <c r="AA159" i="9"/>
  <c r="CI159" i="9"/>
  <c r="AA126" i="9"/>
  <c r="AF94" i="9"/>
  <c r="AK155" i="9"/>
  <c r="AA152" i="9"/>
  <c r="CH164" i="9"/>
  <c r="CK160" i="9"/>
  <c r="AA110" i="9"/>
  <c r="AP33" i="9"/>
  <c r="AA17" i="9"/>
  <c r="AF147" i="9"/>
  <c r="AF133" i="9"/>
  <c r="AA105" i="9"/>
  <c r="AA84" i="9"/>
  <c r="AA146" i="9"/>
  <c r="AA75" i="9"/>
  <c r="AU160" i="9"/>
  <c r="CH160" i="9"/>
  <c r="CJ163" i="9"/>
  <c r="AF119" i="9"/>
  <c r="AK137" i="9"/>
  <c r="AA128" i="9"/>
  <c r="AF5" i="9"/>
  <c r="AE191" i="9"/>
  <c r="AA138" i="9"/>
  <c r="AA150" i="9"/>
  <c r="AK132" i="9"/>
  <c r="AA90" i="9"/>
  <c r="AA141" i="9"/>
  <c r="AA157" i="9"/>
  <c r="AK122" i="9"/>
  <c r="AA135" i="9"/>
  <c r="AA114" i="9"/>
  <c r="AK96" i="9"/>
  <c r="AA91" i="9"/>
  <c r="AA23" i="9"/>
  <c r="AU156" i="9"/>
  <c r="AA120" i="9"/>
  <c r="CK158" i="9"/>
  <c r="AF107" i="9"/>
  <c r="AA101" i="9"/>
  <c r="AA62" i="9"/>
  <c r="AA80" i="9"/>
  <c r="AA79" i="9"/>
  <c r="CJ15" i="9"/>
  <c r="AA51" i="9"/>
  <c r="AA55" i="9"/>
  <c r="AA15" i="9"/>
  <c r="CH15" i="9"/>
  <c r="AF48" i="9"/>
  <c r="CI15" i="9"/>
  <c r="AA11" i="9"/>
  <c r="AA47" i="9"/>
  <c r="AJ191" i="9"/>
  <c r="AK5" i="9"/>
  <c r="AA28" i="9"/>
  <c r="AP5" i="9"/>
  <c r="AO191" i="9"/>
  <c r="AF16" i="9"/>
  <c r="AA142" i="9"/>
  <c r="AA118" i="9"/>
  <c r="AA131" i="9"/>
  <c r="AA93" i="9"/>
  <c r="AA63" i="9"/>
  <c r="AA35" i="9"/>
  <c r="AF30" i="9"/>
  <c r="CK163" i="9"/>
  <c r="AA161" i="9"/>
  <c r="CH161" i="9"/>
  <c r="AA136" i="9"/>
  <c r="AA72" i="9"/>
  <c r="AA99" i="9"/>
  <c r="AA74" i="9"/>
  <c r="AA76" i="9"/>
  <c r="AA14" i="9"/>
  <c r="CK164" i="9"/>
  <c r="CJ164" i="9"/>
  <c r="AA108" i="9"/>
  <c r="AA40" i="9"/>
  <c r="AA92" i="9"/>
  <c r="AA29" i="9"/>
  <c r="AK162" i="9"/>
  <c r="CH162" i="9"/>
  <c r="CH163" i="9"/>
  <c r="AA163" i="9"/>
  <c r="AA86" i="9"/>
  <c r="AA77" i="9"/>
  <c r="AP68" i="9"/>
  <c r="AA88" i="9"/>
  <c r="AA45" i="9"/>
  <c r="AA71" i="9"/>
  <c r="Z191" i="9"/>
  <c r="AA143" i="9"/>
  <c r="AF153" i="9"/>
  <c r="AA87" i="9"/>
  <c r="AA39" i="9"/>
  <c r="AA66" i="9"/>
  <c r="AA31" i="9"/>
  <c r="BE5" i="9"/>
  <c r="BE191" i="9" s="1"/>
  <c r="H26" i="13" s="1"/>
  <c r="BD191" i="9"/>
  <c r="AA25" i="9"/>
  <c r="AA26" i="9"/>
  <c r="AY191" i="9"/>
  <c r="AA125" i="9"/>
  <c r="CH158" i="9"/>
  <c r="AK158" i="9"/>
  <c r="AA53" i="9"/>
  <c r="AA22" i="9"/>
  <c r="AA60" i="9"/>
  <c r="BI191" i="9"/>
  <c r="AZ191" i="9"/>
  <c r="AA139" i="9"/>
  <c r="AA145" i="9"/>
  <c r="AF112" i="9"/>
  <c r="AA124" i="9"/>
  <c r="AK89" i="9"/>
  <c r="AA12" i="9"/>
  <c r="CJ162" i="9"/>
  <c r="CK162" i="9"/>
  <c r="AA134" i="9"/>
  <c r="AA121" i="9"/>
  <c r="AA106" i="9"/>
  <c r="AA57" i="9"/>
  <c r="AA69" i="9"/>
  <c r="AT191" i="9"/>
  <c r="C23" i="13" l="1"/>
  <c r="D23" i="13"/>
  <c r="G26" i="13"/>
  <c r="I26" i="13"/>
  <c r="E23" i="13"/>
  <c r="AU191" i="9"/>
  <c r="F26" i="13" s="1"/>
  <c r="AA191" i="9"/>
  <c r="B26" i="13" s="1" a="1"/>
  <c r="B26" i="13" s="1"/>
  <c r="AP191" i="9"/>
  <c r="AK191" i="9"/>
  <c r="AF191" i="9"/>
  <c r="C26" i="13" s="1"/>
  <c r="D26" i="13" l="1"/>
  <c r="E26" i="13"/>
  <c r="B28" i="11" l="1"/>
  <c r="B25" i="11"/>
  <c r="B9" i="11"/>
  <c r="B8" i="11"/>
  <c r="B7" i="11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BG174" i="9" l="1"/>
  <c r="CF174" i="9"/>
  <c r="BQ174" i="9"/>
  <c r="CA174" i="9"/>
  <c r="BL174" i="9"/>
  <c r="BV174" i="9"/>
  <c r="BG188" i="9"/>
  <c r="BQ188" i="9"/>
  <c r="CF188" i="9"/>
  <c r="BV188" i="9"/>
  <c r="BL188" i="9"/>
  <c r="CA188" i="9"/>
  <c r="BG177" i="9"/>
  <c r="CK177" i="9" s="1"/>
  <c r="BL177" i="9"/>
  <c r="BV177" i="9"/>
  <c r="CF177" i="9"/>
  <c r="BQ177" i="9"/>
  <c r="CA177" i="9"/>
  <c r="BG178" i="9"/>
  <c r="CF178" i="9"/>
  <c r="BQ178" i="9"/>
  <c r="BL178" i="9"/>
  <c r="BV178" i="9"/>
  <c r="CA178" i="9"/>
  <c r="BG165" i="9"/>
  <c r="CF165" i="9"/>
  <c r="BL165" i="9"/>
  <c r="CK165" i="9" s="1"/>
  <c r="BQ165" i="9"/>
  <c r="BV165" i="9"/>
  <c r="CA165" i="9"/>
  <c r="BG179" i="9"/>
  <c r="BQ179" i="9"/>
  <c r="BV179" i="9"/>
  <c r="CA179" i="9"/>
  <c r="CF179" i="9"/>
  <c r="BL179" i="9"/>
  <c r="BV166" i="9"/>
  <c r="BG166" i="9"/>
  <c r="BQ166" i="9"/>
  <c r="CF166" i="9"/>
  <c r="CA166" i="9"/>
  <c r="BL166" i="9"/>
  <c r="BQ180" i="9"/>
  <c r="BG180" i="9"/>
  <c r="CA180" i="9"/>
  <c r="CF180" i="9"/>
  <c r="BL180" i="9"/>
  <c r="CK180" i="9" s="1"/>
  <c r="BV180" i="9"/>
  <c r="BG176" i="9"/>
  <c r="BV176" i="9"/>
  <c r="CA176" i="9"/>
  <c r="BQ176" i="9"/>
  <c r="CF176" i="9"/>
  <c r="BL176" i="9"/>
  <c r="BG167" i="9"/>
  <c r="BV167" i="9"/>
  <c r="BL167" i="9"/>
  <c r="BQ167" i="9"/>
  <c r="CA167" i="9"/>
  <c r="CF167" i="9"/>
  <c r="BG181" i="9"/>
  <c r="BQ181" i="9"/>
  <c r="CA181" i="9"/>
  <c r="BV181" i="9"/>
  <c r="CF181" i="9"/>
  <c r="BL181" i="9"/>
  <c r="CK181" i="9" s="1"/>
  <c r="BG183" i="9"/>
  <c r="BV183" i="9"/>
  <c r="BL183" i="9"/>
  <c r="CK183" i="9" s="1"/>
  <c r="CF183" i="9"/>
  <c r="BQ183" i="9"/>
  <c r="CA183" i="9"/>
  <c r="BG182" i="9"/>
  <c r="CF182" i="9"/>
  <c r="CA182" i="9"/>
  <c r="BQ182" i="9"/>
  <c r="BL182" i="9"/>
  <c r="BV182" i="9"/>
  <c r="CF169" i="9"/>
  <c r="BG169" i="9"/>
  <c r="BQ169" i="9"/>
  <c r="BV169" i="9"/>
  <c r="BL169" i="9"/>
  <c r="CA169" i="9"/>
  <c r="BG170" i="9"/>
  <c r="CF170" i="9"/>
  <c r="BV170" i="9"/>
  <c r="BL170" i="9"/>
  <c r="CA170" i="9"/>
  <c r="BQ170" i="9"/>
  <c r="BG184" i="9"/>
  <c r="BL184" i="9"/>
  <c r="BV184" i="9"/>
  <c r="CF184" i="9"/>
  <c r="BQ184" i="9"/>
  <c r="CA184" i="9"/>
  <c r="BG175" i="9"/>
  <c r="CK175" i="9" s="1"/>
  <c r="CF175" i="9"/>
  <c r="CA175" i="9"/>
  <c r="BQ175" i="9"/>
  <c r="BL175" i="9"/>
  <c r="BV175" i="9"/>
  <c r="CA190" i="9"/>
  <c r="BG190" i="9"/>
  <c r="BQ190" i="9"/>
  <c r="BV190" i="9"/>
  <c r="BL190" i="9"/>
  <c r="CF190" i="9"/>
  <c r="BG168" i="9"/>
  <c r="BQ168" i="9"/>
  <c r="BV168" i="9"/>
  <c r="BL168" i="9"/>
  <c r="CF168" i="9"/>
  <c r="CA168" i="9"/>
  <c r="CF171" i="9"/>
  <c r="BG171" i="9"/>
  <c r="BL171" i="9"/>
  <c r="CA171" i="9"/>
  <c r="BV171" i="9"/>
  <c r="BQ171" i="9"/>
  <c r="CK171" i="9" s="1"/>
  <c r="CA185" i="9"/>
  <c r="BG185" i="9"/>
  <c r="BV185" i="9"/>
  <c r="CF185" i="9"/>
  <c r="BL185" i="9"/>
  <c r="BQ185" i="9"/>
  <c r="BG189" i="9"/>
  <c r="CF189" i="9"/>
  <c r="BQ189" i="9"/>
  <c r="BL189" i="9"/>
  <c r="CA189" i="9"/>
  <c r="BV189" i="9"/>
  <c r="BL172" i="9"/>
  <c r="BG172" i="9"/>
  <c r="BV172" i="9"/>
  <c r="CA172" i="9"/>
  <c r="CF172" i="9"/>
  <c r="BQ172" i="9"/>
  <c r="BG186" i="9"/>
  <c r="CK186" i="9" s="1"/>
  <c r="BQ186" i="9"/>
  <c r="BL186" i="9"/>
  <c r="CA186" i="9"/>
  <c r="CF186" i="9"/>
  <c r="BV186" i="9"/>
  <c r="BG173" i="9"/>
  <c r="BQ173" i="9"/>
  <c r="BL173" i="9"/>
  <c r="CA173" i="9"/>
  <c r="CF173" i="9"/>
  <c r="BV173" i="9"/>
  <c r="BQ187" i="9"/>
  <c r="BG187" i="9"/>
  <c r="CF187" i="9"/>
  <c r="BV187" i="9"/>
  <c r="CA187" i="9"/>
  <c r="BL187" i="9"/>
  <c r="BA18" i="9"/>
  <c r="BK18" i="9"/>
  <c r="BB18" i="9"/>
  <c r="AH18" i="9"/>
  <c r="AG18" i="9"/>
  <c r="AV18" i="9"/>
  <c r="AW18" i="9"/>
  <c r="AR18" i="9"/>
  <c r="AM18" i="9"/>
  <c r="AQ18" i="9"/>
  <c r="AL18" i="9"/>
  <c r="BG18" i="9"/>
  <c r="BF18" i="9"/>
  <c r="BL18" i="9"/>
  <c r="AC18" i="9"/>
  <c r="AB18" i="9"/>
  <c r="AW32" i="9"/>
  <c r="AV32" i="9"/>
  <c r="AM32" i="9"/>
  <c r="AH32" i="9"/>
  <c r="AG32" i="9"/>
  <c r="BB32" i="9"/>
  <c r="BA32" i="9"/>
  <c r="AR32" i="9"/>
  <c r="AQ32" i="9"/>
  <c r="AC32" i="9"/>
  <c r="AB32" i="9"/>
  <c r="BL32" i="9"/>
  <c r="BK32" i="9"/>
  <c r="BG32" i="9"/>
  <c r="BF32" i="9"/>
  <c r="AL32" i="9"/>
  <c r="AR45" i="9"/>
  <c r="AW45" i="9"/>
  <c r="AV45" i="9"/>
  <c r="BL45" i="9"/>
  <c r="AQ45" i="9"/>
  <c r="AM45" i="9"/>
  <c r="AH45" i="9"/>
  <c r="AG45" i="9"/>
  <c r="BA45" i="9"/>
  <c r="BB45" i="9"/>
  <c r="BK45" i="9"/>
  <c r="AC45" i="9"/>
  <c r="AB45" i="9"/>
  <c r="BG45" i="9"/>
  <c r="BF45" i="9"/>
  <c r="AL45" i="9"/>
  <c r="AC59" i="9"/>
  <c r="AB59" i="9"/>
  <c r="BG59" i="9"/>
  <c r="BF59" i="9"/>
  <c r="AH59" i="9"/>
  <c r="AG59" i="9"/>
  <c r="AW59" i="9"/>
  <c r="AV59" i="9"/>
  <c r="AQ59" i="9"/>
  <c r="AR59" i="9"/>
  <c r="AM59" i="9"/>
  <c r="AL59" i="9"/>
  <c r="BA59" i="9"/>
  <c r="BL59" i="9"/>
  <c r="BB59" i="9"/>
  <c r="BK59" i="9"/>
  <c r="AW72" i="9"/>
  <c r="BL72" i="9"/>
  <c r="AV72" i="9"/>
  <c r="AC72" i="9"/>
  <c r="BK72" i="9"/>
  <c r="BF72" i="9"/>
  <c r="AL72" i="9"/>
  <c r="AM72" i="9"/>
  <c r="AQ72" i="9"/>
  <c r="BA72" i="9"/>
  <c r="AB72" i="9"/>
  <c r="BB72" i="9"/>
  <c r="BG72" i="9"/>
  <c r="AR72" i="9"/>
  <c r="AG72" i="9"/>
  <c r="AH72" i="9"/>
  <c r="AR85" i="9"/>
  <c r="AM85" i="9"/>
  <c r="AL85" i="9"/>
  <c r="AQ85" i="9"/>
  <c r="BK85" i="9"/>
  <c r="AW85" i="9"/>
  <c r="AV85" i="9"/>
  <c r="AH85" i="9"/>
  <c r="AB85" i="9"/>
  <c r="AG85" i="9"/>
  <c r="BB85" i="9"/>
  <c r="BG85" i="9"/>
  <c r="BA85" i="9"/>
  <c r="AC85" i="9"/>
  <c r="BF85" i="9"/>
  <c r="BL85" i="9"/>
  <c r="AR98" i="9"/>
  <c r="BG98" i="9"/>
  <c r="AQ98" i="9"/>
  <c r="AC98" i="9"/>
  <c r="BF98" i="9"/>
  <c r="AB98" i="9"/>
  <c r="BL98" i="9"/>
  <c r="AH98" i="9"/>
  <c r="BK98" i="9"/>
  <c r="AG98" i="9"/>
  <c r="AL98" i="9"/>
  <c r="AW98" i="9"/>
  <c r="BB98" i="9"/>
  <c r="AV98" i="9"/>
  <c r="BA98" i="9"/>
  <c r="AM98" i="9"/>
  <c r="AR112" i="9"/>
  <c r="AC112" i="9"/>
  <c r="AQ112" i="9"/>
  <c r="AB112" i="9"/>
  <c r="AM112" i="9"/>
  <c r="BB112" i="9"/>
  <c r="BA112" i="9"/>
  <c r="AL112" i="9"/>
  <c r="BF112" i="9"/>
  <c r="AG112" i="9"/>
  <c r="BL112" i="9"/>
  <c r="AH112" i="9"/>
  <c r="AW112" i="9"/>
  <c r="AV112" i="9"/>
  <c r="BG112" i="9"/>
  <c r="BK112" i="9"/>
  <c r="BL126" i="9"/>
  <c r="BK126" i="9"/>
  <c r="AH126" i="9"/>
  <c r="BG126" i="9"/>
  <c r="BF126" i="9"/>
  <c r="AC126" i="9"/>
  <c r="AB126" i="9"/>
  <c r="AR126" i="9"/>
  <c r="AQ126" i="9"/>
  <c r="AM126" i="9"/>
  <c r="AL126" i="9"/>
  <c r="AG126" i="9"/>
  <c r="BB126" i="9"/>
  <c r="BA126" i="9"/>
  <c r="AV126" i="9"/>
  <c r="AW126" i="9"/>
  <c r="BG139" i="9"/>
  <c r="BF139" i="9"/>
  <c r="AC139" i="9"/>
  <c r="BL139" i="9"/>
  <c r="BK139" i="9"/>
  <c r="AH139" i="9"/>
  <c r="AG139" i="9"/>
  <c r="AQ139" i="9"/>
  <c r="AV139" i="9"/>
  <c r="BB139" i="9"/>
  <c r="AB139" i="9"/>
  <c r="BA139" i="9"/>
  <c r="AM139" i="9"/>
  <c r="AR139" i="9"/>
  <c r="AL139" i="9"/>
  <c r="AW139" i="9"/>
  <c r="AR152" i="9"/>
  <c r="BG152" i="9"/>
  <c r="AH152" i="9"/>
  <c r="AG152" i="9"/>
  <c r="BB152" i="9"/>
  <c r="BA152" i="9"/>
  <c r="AW152" i="9"/>
  <c r="AM152" i="9"/>
  <c r="BF152" i="9"/>
  <c r="AB152" i="9"/>
  <c r="AQ152" i="9"/>
  <c r="AV152" i="9"/>
  <c r="BL152" i="9"/>
  <c r="BK152" i="9"/>
  <c r="AL152" i="9"/>
  <c r="AC152" i="9"/>
  <c r="BG19" i="9"/>
  <c r="BF19" i="9"/>
  <c r="AC19" i="9"/>
  <c r="AB19" i="9"/>
  <c r="AW19" i="9"/>
  <c r="AR19" i="9"/>
  <c r="BB19" i="9"/>
  <c r="AQ19" i="9"/>
  <c r="AG19" i="9"/>
  <c r="BA19" i="9"/>
  <c r="BK19" i="9"/>
  <c r="AV19" i="9"/>
  <c r="BL19" i="9"/>
  <c r="AH19" i="9"/>
  <c r="AM19" i="9"/>
  <c r="AL19" i="9"/>
  <c r="BL46" i="9"/>
  <c r="BF46" i="9"/>
  <c r="AW46" i="9"/>
  <c r="AV46" i="9"/>
  <c r="AH46" i="9"/>
  <c r="AG46" i="9"/>
  <c r="BA46" i="9"/>
  <c r="AC46" i="9"/>
  <c r="AL46" i="9"/>
  <c r="AQ46" i="9"/>
  <c r="AB46" i="9"/>
  <c r="AM46" i="9"/>
  <c r="BG46" i="9"/>
  <c r="AR46" i="9"/>
  <c r="BK46" i="9"/>
  <c r="BB46" i="9"/>
  <c r="AM60" i="9"/>
  <c r="AL60" i="9"/>
  <c r="BB60" i="9"/>
  <c r="AH60" i="9"/>
  <c r="AG60" i="9"/>
  <c r="BL60" i="9"/>
  <c r="BK60" i="9"/>
  <c r="BG60" i="9"/>
  <c r="AC60" i="9"/>
  <c r="AB60" i="9"/>
  <c r="AW60" i="9"/>
  <c r="AV60" i="9"/>
  <c r="AR60" i="9"/>
  <c r="AQ60" i="9"/>
  <c r="BA60" i="9"/>
  <c r="BF60" i="9"/>
  <c r="AW73" i="9"/>
  <c r="AV73" i="9"/>
  <c r="BK73" i="9"/>
  <c r="BA73" i="9"/>
  <c r="AH73" i="9"/>
  <c r="AM73" i="9"/>
  <c r="AG73" i="9"/>
  <c r="BB73" i="9"/>
  <c r="AQ73" i="9"/>
  <c r="AR73" i="9"/>
  <c r="BF73" i="9"/>
  <c r="AL73" i="9"/>
  <c r="BG73" i="9"/>
  <c r="AB73" i="9"/>
  <c r="BL73" i="9"/>
  <c r="AC73" i="9"/>
  <c r="AW86" i="9"/>
  <c r="AV86" i="9"/>
  <c r="AH86" i="9"/>
  <c r="AG86" i="9"/>
  <c r="BL86" i="9"/>
  <c r="BK86" i="9"/>
  <c r="BB86" i="9"/>
  <c r="AR86" i="9"/>
  <c r="AQ86" i="9"/>
  <c r="AL86" i="9"/>
  <c r="BG86" i="9"/>
  <c r="BF86" i="9"/>
  <c r="BA86" i="9"/>
  <c r="AC86" i="9"/>
  <c r="AM86" i="9"/>
  <c r="AB86" i="9"/>
  <c r="AW99" i="9"/>
  <c r="BB99" i="9"/>
  <c r="AM99" i="9"/>
  <c r="BA99" i="9"/>
  <c r="AL99" i="9"/>
  <c r="AV99" i="9"/>
  <c r="AG99" i="9"/>
  <c r="BK99" i="9"/>
  <c r="AQ99" i="9"/>
  <c r="BF99" i="9"/>
  <c r="AH99" i="9"/>
  <c r="AC99" i="9"/>
  <c r="AB99" i="9"/>
  <c r="BG99" i="9"/>
  <c r="AR99" i="9"/>
  <c r="BL99" i="9"/>
  <c r="AV113" i="9"/>
  <c r="AB113" i="9"/>
  <c r="BA113" i="9"/>
  <c r="AM113" i="9"/>
  <c r="AL113" i="9"/>
  <c r="BB113" i="9"/>
  <c r="BK113" i="9"/>
  <c r="BL113" i="9"/>
  <c r="AW113" i="9"/>
  <c r="BF113" i="9"/>
  <c r="BG113" i="9"/>
  <c r="AR113" i="9"/>
  <c r="AC113" i="9"/>
  <c r="AQ113" i="9"/>
  <c r="AH113" i="9"/>
  <c r="AG113" i="9"/>
  <c r="BG127" i="9"/>
  <c r="AM127" i="9"/>
  <c r="AL127" i="9"/>
  <c r="BB127" i="9"/>
  <c r="BA127" i="9"/>
  <c r="AC127" i="9"/>
  <c r="AB127" i="9"/>
  <c r="AV127" i="9"/>
  <c r="AR127" i="9"/>
  <c r="AQ127" i="9"/>
  <c r="AH127" i="9"/>
  <c r="AG127" i="9"/>
  <c r="BF127" i="9"/>
  <c r="BL127" i="9"/>
  <c r="BK127" i="9"/>
  <c r="AW127" i="9"/>
  <c r="AM140" i="9"/>
  <c r="AL140" i="9"/>
  <c r="BL140" i="9"/>
  <c r="AC140" i="9"/>
  <c r="AH140" i="9"/>
  <c r="AB140" i="9"/>
  <c r="AV140" i="9"/>
  <c r="AQ140" i="9"/>
  <c r="AW140" i="9"/>
  <c r="BK140" i="9"/>
  <c r="BB140" i="9"/>
  <c r="BA140" i="9"/>
  <c r="BF140" i="9"/>
  <c r="AG140" i="9"/>
  <c r="AR140" i="9"/>
  <c r="BG140" i="9"/>
  <c r="AL153" i="9"/>
  <c r="AW153" i="9"/>
  <c r="AC153" i="9"/>
  <c r="AM153" i="9"/>
  <c r="AB153" i="9"/>
  <c r="AQ153" i="9"/>
  <c r="AR153" i="9"/>
  <c r="BF153" i="9"/>
  <c r="BB153" i="9"/>
  <c r="AH153" i="9"/>
  <c r="AG153" i="9"/>
  <c r="BL153" i="9"/>
  <c r="BK153" i="9"/>
  <c r="BG153" i="9"/>
  <c r="BA153" i="9"/>
  <c r="AV153" i="9"/>
  <c r="BK6" i="9"/>
  <c r="AC6" i="9"/>
  <c r="AB6" i="9"/>
  <c r="BL6" i="9"/>
  <c r="AL6" i="9"/>
  <c r="BB6" i="9"/>
  <c r="AM6" i="9"/>
  <c r="AR6" i="9"/>
  <c r="BG6" i="9"/>
  <c r="BF6" i="9"/>
  <c r="AW6" i="9"/>
  <c r="AV6" i="9"/>
  <c r="AH6" i="9"/>
  <c r="AG6" i="9"/>
  <c r="BA6" i="9"/>
  <c r="AQ6" i="9"/>
  <c r="BK47" i="9"/>
  <c r="BB47" i="9"/>
  <c r="BA47" i="9"/>
  <c r="AG47" i="9"/>
  <c r="AW47" i="9"/>
  <c r="BG47" i="9"/>
  <c r="AL47" i="9"/>
  <c r="AM47" i="9"/>
  <c r="AR47" i="9"/>
  <c r="AH47" i="9"/>
  <c r="BF47" i="9"/>
  <c r="AC47" i="9"/>
  <c r="AB47" i="9"/>
  <c r="AQ47" i="9"/>
  <c r="AV47" i="9"/>
  <c r="BL47" i="9"/>
  <c r="AM61" i="9"/>
  <c r="AL61" i="9"/>
  <c r="BB61" i="9"/>
  <c r="BL61" i="9"/>
  <c r="AG61" i="9"/>
  <c r="AW61" i="9"/>
  <c r="AV61" i="9"/>
  <c r="AH61" i="9"/>
  <c r="AR61" i="9"/>
  <c r="BG61" i="9"/>
  <c r="AQ61" i="9"/>
  <c r="BF61" i="9"/>
  <c r="AC61" i="9"/>
  <c r="BK61" i="9"/>
  <c r="AB61" i="9"/>
  <c r="BA61" i="9"/>
  <c r="BA87" i="9"/>
  <c r="BB87" i="9"/>
  <c r="AH87" i="9"/>
  <c r="AC87" i="9"/>
  <c r="BL87" i="9"/>
  <c r="AB87" i="9"/>
  <c r="AW87" i="9"/>
  <c r="BG87" i="9"/>
  <c r="BF87" i="9"/>
  <c r="AV87" i="9"/>
  <c r="AM87" i="9"/>
  <c r="AL87" i="9"/>
  <c r="AG87" i="9"/>
  <c r="BK87" i="9"/>
  <c r="AQ87" i="9"/>
  <c r="AR87" i="9"/>
  <c r="AQ100" i="9"/>
  <c r="BB100" i="9"/>
  <c r="BA100" i="9"/>
  <c r="AW100" i="9"/>
  <c r="AV100" i="9"/>
  <c r="AH100" i="9"/>
  <c r="AG100" i="9"/>
  <c r="BK100" i="9"/>
  <c r="AL100" i="9"/>
  <c r="AM100" i="9"/>
  <c r="AB100" i="9"/>
  <c r="BL100" i="9"/>
  <c r="AC100" i="9"/>
  <c r="AR100" i="9"/>
  <c r="BG100" i="9"/>
  <c r="BF100" i="9"/>
  <c r="AH114" i="9"/>
  <c r="AG114" i="9"/>
  <c r="BG114" i="9"/>
  <c r="BF114" i="9"/>
  <c r="AQ114" i="9"/>
  <c r="AM114" i="9"/>
  <c r="AB114" i="9"/>
  <c r="AW114" i="9"/>
  <c r="AV114" i="9"/>
  <c r="AL114" i="9"/>
  <c r="BA114" i="9"/>
  <c r="BL114" i="9"/>
  <c r="AC114" i="9"/>
  <c r="BK114" i="9"/>
  <c r="AR114" i="9"/>
  <c r="BB114" i="9"/>
  <c r="AH128" i="9"/>
  <c r="AG128" i="9"/>
  <c r="AW128" i="9"/>
  <c r="AV128" i="9"/>
  <c r="BL128" i="9"/>
  <c r="BK128" i="9"/>
  <c r="AM128" i="9"/>
  <c r="AL128" i="9"/>
  <c r="BB128" i="9"/>
  <c r="BA128" i="9"/>
  <c r="BG128" i="9"/>
  <c r="BF128" i="9"/>
  <c r="AR128" i="9"/>
  <c r="AB128" i="9"/>
  <c r="AC128" i="9"/>
  <c r="AQ128" i="9"/>
  <c r="BB154" i="9"/>
  <c r="AR154" i="9"/>
  <c r="BL154" i="9"/>
  <c r="AQ154" i="9"/>
  <c r="AC154" i="9"/>
  <c r="AB154" i="9"/>
  <c r="AL154" i="9"/>
  <c r="BF154" i="9"/>
  <c r="BK154" i="9"/>
  <c r="AH154" i="9"/>
  <c r="AG154" i="9"/>
  <c r="AM154" i="9"/>
  <c r="BG154" i="9"/>
  <c r="AV154" i="9"/>
  <c r="AW154" i="9"/>
  <c r="BA154" i="9"/>
  <c r="BK7" i="9"/>
  <c r="AB7" i="9"/>
  <c r="AQ7" i="9"/>
  <c r="BL7" i="9"/>
  <c r="AC7" i="9"/>
  <c r="AR7" i="9"/>
  <c r="AH7" i="9"/>
  <c r="AW7" i="9"/>
  <c r="BB7" i="9"/>
  <c r="AM7" i="9"/>
  <c r="BA7" i="9"/>
  <c r="AL7" i="9"/>
  <c r="AV7" i="9"/>
  <c r="BG7" i="9"/>
  <c r="BF7" i="9"/>
  <c r="AG7" i="9"/>
  <c r="BF21" i="9"/>
  <c r="AQ21" i="9"/>
  <c r="AB21" i="9"/>
  <c r="AR21" i="9"/>
  <c r="AL21" i="9"/>
  <c r="BG21" i="9"/>
  <c r="AW21" i="9"/>
  <c r="AV21" i="9"/>
  <c r="AC21" i="9"/>
  <c r="BA21" i="9"/>
  <c r="BK21" i="9"/>
  <c r="BL21" i="9"/>
  <c r="AH21" i="9"/>
  <c r="AM21" i="9"/>
  <c r="AG21" i="9"/>
  <c r="BB21" i="9"/>
  <c r="AC34" i="9"/>
  <c r="AR34" i="9"/>
  <c r="AQ34" i="9"/>
  <c r="BG34" i="9"/>
  <c r="BF34" i="9"/>
  <c r="AB34" i="9"/>
  <c r="BL34" i="9"/>
  <c r="BB34" i="9"/>
  <c r="BK34" i="9"/>
  <c r="AV34" i="9"/>
  <c r="BA34" i="9"/>
  <c r="AG34" i="9"/>
  <c r="AW34" i="9"/>
  <c r="AH34" i="9"/>
  <c r="AL34" i="9"/>
  <c r="AM34" i="9"/>
  <c r="AC48" i="9"/>
  <c r="BG48" i="9"/>
  <c r="AB48" i="9"/>
  <c r="BF48" i="9"/>
  <c r="AW48" i="9"/>
  <c r="AV48" i="9"/>
  <c r="BL48" i="9"/>
  <c r="AL48" i="9"/>
  <c r="BK48" i="9"/>
  <c r="AR48" i="9"/>
  <c r="AQ48" i="9"/>
  <c r="BA48" i="9"/>
  <c r="AG48" i="9"/>
  <c r="AM48" i="9"/>
  <c r="AH48" i="9"/>
  <c r="BB48" i="9"/>
  <c r="BG74" i="9"/>
  <c r="BF74" i="9"/>
  <c r="AV74" i="9"/>
  <c r="BL74" i="9"/>
  <c r="BB74" i="9"/>
  <c r="AG74" i="9"/>
  <c r="AC74" i="9"/>
  <c r="BA74" i="9"/>
  <c r="AW74" i="9"/>
  <c r="AH74" i="9"/>
  <c r="AR74" i="9"/>
  <c r="AQ74" i="9"/>
  <c r="AB74" i="9"/>
  <c r="AL74" i="9"/>
  <c r="AM74" i="9"/>
  <c r="BK74" i="9"/>
  <c r="BF88" i="9"/>
  <c r="AQ88" i="9"/>
  <c r="AR88" i="9"/>
  <c r="BG88" i="9"/>
  <c r="AH88" i="9"/>
  <c r="AG88" i="9"/>
  <c r="BL88" i="9"/>
  <c r="BK88" i="9"/>
  <c r="AB88" i="9"/>
  <c r="AC88" i="9"/>
  <c r="BB88" i="9"/>
  <c r="BA88" i="9"/>
  <c r="AW88" i="9"/>
  <c r="AL88" i="9"/>
  <c r="AM88" i="9"/>
  <c r="AV88" i="9"/>
  <c r="BK101" i="9"/>
  <c r="AB101" i="9"/>
  <c r="BG101" i="9"/>
  <c r="BF101" i="9"/>
  <c r="AH101" i="9"/>
  <c r="AC101" i="9"/>
  <c r="AQ101" i="9"/>
  <c r="AW101" i="9"/>
  <c r="BB101" i="9"/>
  <c r="BA101" i="9"/>
  <c r="AV101" i="9"/>
  <c r="BL101" i="9"/>
  <c r="AL101" i="9"/>
  <c r="AM101" i="9"/>
  <c r="AR101" i="9"/>
  <c r="AG101" i="9"/>
  <c r="AL115" i="9"/>
  <c r="AQ115" i="9"/>
  <c r="BK115" i="9"/>
  <c r="AB115" i="9"/>
  <c r="AC115" i="9"/>
  <c r="BL115" i="9"/>
  <c r="AR115" i="9"/>
  <c r="BF115" i="9"/>
  <c r="AM115" i="9"/>
  <c r="AG115" i="9"/>
  <c r="BG115" i="9"/>
  <c r="BB115" i="9"/>
  <c r="AH115" i="9"/>
  <c r="BA115" i="9"/>
  <c r="AW115" i="9"/>
  <c r="AV115" i="9"/>
  <c r="BG129" i="9"/>
  <c r="BF129" i="9"/>
  <c r="BA129" i="9"/>
  <c r="AR129" i="9"/>
  <c r="AQ129" i="9"/>
  <c r="AC129" i="9"/>
  <c r="AB129" i="9"/>
  <c r="AM129" i="9"/>
  <c r="BK129" i="9"/>
  <c r="AL129" i="9"/>
  <c r="BB129" i="9"/>
  <c r="AH129" i="9"/>
  <c r="AW129" i="9"/>
  <c r="AG129" i="9"/>
  <c r="BL129" i="9"/>
  <c r="AV129" i="9"/>
  <c r="AR141" i="9"/>
  <c r="AQ141" i="9"/>
  <c r="AW141" i="9"/>
  <c r="AG141" i="9"/>
  <c r="AH141" i="9"/>
  <c r="AV141" i="9"/>
  <c r="BB141" i="9"/>
  <c r="BA141" i="9"/>
  <c r="BK141" i="9"/>
  <c r="AM141" i="9"/>
  <c r="BL141" i="9"/>
  <c r="AL141" i="9"/>
  <c r="BG141" i="9"/>
  <c r="BF141" i="9"/>
  <c r="AC141" i="9"/>
  <c r="AB141" i="9"/>
  <c r="AH155" i="9"/>
  <c r="BG155" i="9"/>
  <c r="AG155" i="9"/>
  <c r="BK155" i="9"/>
  <c r="AQ155" i="9"/>
  <c r="BL155" i="9"/>
  <c r="AC155" i="9"/>
  <c r="AB155" i="9"/>
  <c r="AV155" i="9"/>
  <c r="AL155" i="9"/>
  <c r="AW155" i="9"/>
  <c r="AR155" i="9"/>
  <c r="BA155" i="9"/>
  <c r="BF155" i="9"/>
  <c r="BB155" i="9"/>
  <c r="AM155" i="9"/>
  <c r="AG8" i="9"/>
  <c r="AW8" i="9"/>
  <c r="AV8" i="9"/>
  <c r="BA8" i="9"/>
  <c r="BK8" i="9"/>
  <c r="BB8" i="9"/>
  <c r="AH8" i="9"/>
  <c r="BF8" i="9"/>
  <c r="BL8" i="9"/>
  <c r="AR8" i="9"/>
  <c r="AQ8" i="9"/>
  <c r="AL8" i="9"/>
  <c r="AC8" i="9"/>
  <c r="AB8" i="9"/>
  <c r="BG8" i="9"/>
  <c r="AM8" i="9"/>
  <c r="BB22" i="9"/>
  <c r="AL22" i="9"/>
  <c r="BL22" i="9"/>
  <c r="AM22" i="9"/>
  <c r="AG22" i="9"/>
  <c r="AW22" i="9"/>
  <c r="AV22" i="9"/>
  <c r="AC22" i="9"/>
  <c r="AH22" i="9"/>
  <c r="BK22" i="9"/>
  <c r="BG22" i="9"/>
  <c r="BF22" i="9"/>
  <c r="AR22" i="9"/>
  <c r="AB22" i="9"/>
  <c r="BA22" i="9"/>
  <c r="AQ22" i="9"/>
  <c r="BL35" i="9"/>
  <c r="BK35" i="9"/>
  <c r="AQ35" i="9"/>
  <c r="AL35" i="9"/>
  <c r="BB35" i="9"/>
  <c r="BA35" i="9"/>
  <c r="AM35" i="9"/>
  <c r="AV35" i="9"/>
  <c r="AC35" i="9"/>
  <c r="AH35" i="9"/>
  <c r="BG35" i="9"/>
  <c r="AG35" i="9"/>
  <c r="BF35" i="9"/>
  <c r="AR35" i="9"/>
  <c r="AB35" i="9"/>
  <c r="AW35" i="9"/>
  <c r="BK49" i="9"/>
  <c r="AL49" i="9"/>
  <c r="AH49" i="9"/>
  <c r="AG49" i="9"/>
  <c r="BB49" i="9"/>
  <c r="AC49" i="9"/>
  <c r="AB49" i="9"/>
  <c r="AQ49" i="9"/>
  <c r="BL49" i="9"/>
  <c r="AR49" i="9"/>
  <c r="BF49" i="9"/>
  <c r="BA49" i="9"/>
  <c r="AW49" i="9"/>
  <c r="AM49" i="9"/>
  <c r="AV49" i="9"/>
  <c r="BG49" i="9"/>
  <c r="AB62" i="9"/>
  <c r="AQ62" i="9"/>
  <c r="BG62" i="9"/>
  <c r="BF62" i="9"/>
  <c r="AC62" i="9"/>
  <c r="AR62" i="9"/>
  <c r="AH62" i="9"/>
  <c r="AW62" i="9"/>
  <c r="AL62" i="9"/>
  <c r="BL62" i="9"/>
  <c r="BK62" i="9"/>
  <c r="AG62" i="9"/>
  <c r="BB62" i="9"/>
  <c r="BA62" i="9"/>
  <c r="AM62" i="9"/>
  <c r="AV62" i="9"/>
  <c r="BL75" i="9"/>
  <c r="BK75" i="9"/>
  <c r="AW75" i="9"/>
  <c r="BA75" i="9"/>
  <c r="AH75" i="9"/>
  <c r="AQ75" i="9"/>
  <c r="AM75" i="9"/>
  <c r="AR75" i="9"/>
  <c r="AV75" i="9"/>
  <c r="AL75" i="9"/>
  <c r="AG75" i="9"/>
  <c r="BG75" i="9"/>
  <c r="BF75" i="9"/>
  <c r="AC75" i="9"/>
  <c r="BB75" i="9"/>
  <c r="AB75" i="9"/>
  <c r="BK89" i="9"/>
  <c r="AV89" i="9"/>
  <c r="AB89" i="9"/>
  <c r="AW89" i="9"/>
  <c r="AH89" i="9"/>
  <c r="BL89" i="9"/>
  <c r="AL89" i="9"/>
  <c r="BF89" i="9"/>
  <c r="BG89" i="9"/>
  <c r="AG89" i="9"/>
  <c r="BB89" i="9"/>
  <c r="BA89" i="9"/>
  <c r="AM89" i="9"/>
  <c r="AC89" i="9"/>
  <c r="AR89" i="9"/>
  <c r="AQ89" i="9"/>
  <c r="BK102" i="9"/>
  <c r="BL102" i="9"/>
  <c r="BG102" i="9"/>
  <c r="BF102" i="9"/>
  <c r="AM102" i="9"/>
  <c r="AL102" i="9"/>
  <c r="AR102" i="9"/>
  <c r="BB102" i="9"/>
  <c r="AQ102" i="9"/>
  <c r="AB102" i="9"/>
  <c r="AW102" i="9"/>
  <c r="AV102" i="9"/>
  <c r="BA102" i="9"/>
  <c r="AH102" i="9"/>
  <c r="AG102" i="9"/>
  <c r="AC102" i="9"/>
  <c r="AG116" i="9"/>
  <c r="AW116" i="9"/>
  <c r="AV116" i="9"/>
  <c r="BL116" i="9"/>
  <c r="BK116" i="9"/>
  <c r="AC116" i="9"/>
  <c r="AH116" i="9"/>
  <c r="AL116" i="9"/>
  <c r="BA116" i="9"/>
  <c r="AR116" i="9"/>
  <c r="BB116" i="9"/>
  <c r="BG116" i="9"/>
  <c r="AQ116" i="9"/>
  <c r="BF116" i="9"/>
  <c r="AB116" i="9"/>
  <c r="AM116" i="9"/>
  <c r="AC130" i="9"/>
  <c r="AM130" i="9"/>
  <c r="AG130" i="9"/>
  <c r="BB130" i="9"/>
  <c r="BA130" i="9"/>
  <c r="BK130" i="9"/>
  <c r="AQ130" i="9"/>
  <c r="BL130" i="9"/>
  <c r="AV130" i="9"/>
  <c r="AL130" i="9"/>
  <c r="AR130" i="9"/>
  <c r="BG130" i="9"/>
  <c r="BF130" i="9"/>
  <c r="AW130" i="9"/>
  <c r="AH130" i="9"/>
  <c r="AB130" i="9"/>
  <c r="AV142" i="9"/>
  <c r="AW142" i="9"/>
  <c r="AM142" i="9"/>
  <c r="AL142" i="9"/>
  <c r="AG142" i="9"/>
  <c r="BB142" i="9"/>
  <c r="BG142" i="9"/>
  <c r="BF142" i="9"/>
  <c r="AC142" i="9"/>
  <c r="BK142" i="9"/>
  <c r="BL142" i="9"/>
  <c r="AB142" i="9"/>
  <c r="AR142" i="9"/>
  <c r="BA142" i="9"/>
  <c r="AH142" i="9"/>
  <c r="AQ142" i="9"/>
  <c r="AM156" i="9"/>
  <c r="AL156" i="9"/>
  <c r="BB156" i="9"/>
  <c r="BA156" i="9"/>
  <c r="AH156" i="9"/>
  <c r="AG156" i="9"/>
  <c r="AB156" i="9"/>
  <c r="BL156" i="9"/>
  <c r="AR156" i="9"/>
  <c r="AQ156" i="9"/>
  <c r="BF156" i="9"/>
  <c r="BG156" i="9"/>
  <c r="BK156" i="9"/>
  <c r="AC156" i="9"/>
  <c r="AV156" i="9"/>
  <c r="AW156" i="9"/>
  <c r="AL9" i="9"/>
  <c r="AM9" i="9"/>
  <c r="BB9" i="9"/>
  <c r="AR9" i="9"/>
  <c r="AB9" i="9"/>
  <c r="AC9" i="9"/>
  <c r="AQ9" i="9"/>
  <c r="BG9" i="9"/>
  <c r="BA9" i="9"/>
  <c r="BL9" i="9"/>
  <c r="BK9" i="9"/>
  <c r="AW9" i="9"/>
  <c r="BF9" i="9"/>
  <c r="AH9" i="9"/>
  <c r="AV9" i="9"/>
  <c r="AG9" i="9"/>
  <c r="BA23" i="9"/>
  <c r="AH23" i="9"/>
  <c r="AV23" i="9"/>
  <c r="BB23" i="9"/>
  <c r="AW23" i="9"/>
  <c r="AL23" i="9"/>
  <c r="AM23" i="9"/>
  <c r="BG23" i="9"/>
  <c r="AR23" i="9"/>
  <c r="AQ23" i="9"/>
  <c r="BF23" i="9"/>
  <c r="AG23" i="9"/>
  <c r="BL23" i="9"/>
  <c r="BK23" i="9"/>
  <c r="AC23" i="9"/>
  <c r="AB23" i="9"/>
  <c r="BK36" i="9"/>
  <c r="AL36" i="9"/>
  <c r="AH36" i="9"/>
  <c r="BL36" i="9"/>
  <c r="AG36" i="9"/>
  <c r="AW36" i="9"/>
  <c r="AV36" i="9"/>
  <c r="BA36" i="9"/>
  <c r="AR36" i="9"/>
  <c r="BG36" i="9"/>
  <c r="AQ36" i="9"/>
  <c r="BF36" i="9"/>
  <c r="AC36" i="9"/>
  <c r="BB36" i="9"/>
  <c r="AB36" i="9"/>
  <c r="AM36" i="9"/>
  <c r="AM50" i="9"/>
  <c r="AL50" i="9"/>
  <c r="BG50" i="9"/>
  <c r="BF50" i="9"/>
  <c r="AC50" i="9"/>
  <c r="AB50" i="9"/>
  <c r="BA50" i="9"/>
  <c r="AR50" i="9"/>
  <c r="AQ50" i="9"/>
  <c r="BK50" i="9"/>
  <c r="BB50" i="9"/>
  <c r="BL50" i="9"/>
  <c r="AW50" i="9"/>
  <c r="AV50" i="9"/>
  <c r="AG50" i="9"/>
  <c r="AH50" i="9"/>
  <c r="AC63" i="9"/>
  <c r="AL63" i="9"/>
  <c r="BB63" i="9"/>
  <c r="AM63" i="9"/>
  <c r="AB63" i="9"/>
  <c r="BG63" i="9"/>
  <c r="AV63" i="9"/>
  <c r="BA63" i="9"/>
  <c r="AW63" i="9"/>
  <c r="AH63" i="9"/>
  <c r="AG63" i="9"/>
  <c r="BF63" i="9"/>
  <c r="BL63" i="9"/>
  <c r="BK63" i="9"/>
  <c r="AQ63" i="9"/>
  <c r="AR63" i="9"/>
  <c r="BA76" i="9"/>
  <c r="AM76" i="9"/>
  <c r="BB76" i="9"/>
  <c r="AC76" i="9"/>
  <c r="AL76" i="9"/>
  <c r="BG76" i="9"/>
  <c r="BF76" i="9"/>
  <c r="BK76" i="9"/>
  <c r="BL76" i="9"/>
  <c r="AG76" i="9"/>
  <c r="AV76" i="9"/>
  <c r="AR76" i="9"/>
  <c r="AH76" i="9"/>
  <c r="AW76" i="9"/>
  <c r="AQ76" i="9"/>
  <c r="AB76" i="9"/>
  <c r="BA103" i="9"/>
  <c r="BL103" i="9"/>
  <c r="AR103" i="9"/>
  <c r="BK103" i="9"/>
  <c r="BB103" i="9"/>
  <c r="AQ103" i="9"/>
  <c r="AM103" i="9"/>
  <c r="BG103" i="9"/>
  <c r="AC103" i="9"/>
  <c r="AB103" i="9"/>
  <c r="AW103" i="9"/>
  <c r="AV103" i="9"/>
  <c r="AL103" i="9"/>
  <c r="AH103" i="9"/>
  <c r="BF103" i="9"/>
  <c r="AG103" i="9"/>
  <c r="BF117" i="9"/>
  <c r="BA117" i="9"/>
  <c r="AC117" i="9"/>
  <c r="BG117" i="9"/>
  <c r="AR117" i="9"/>
  <c r="AQ117" i="9"/>
  <c r="AL117" i="9"/>
  <c r="BL117" i="9"/>
  <c r="AW117" i="9"/>
  <c r="AV117" i="9"/>
  <c r="AM117" i="9"/>
  <c r="AB117" i="9"/>
  <c r="AH117" i="9"/>
  <c r="BB117" i="9"/>
  <c r="AG117" i="9"/>
  <c r="BK117" i="9"/>
  <c r="BB131" i="9"/>
  <c r="AH131" i="9"/>
  <c r="AG131" i="9"/>
  <c r="AW131" i="9"/>
  <c r="AV131" i="9"/>
  <c r="BL131" i="9"/>
  <c r="BK131" i="9"/>
  <c r="BG131" i="9"/>
  <c r="BF131" i="9"/>
  <c r="AR131" i="9"/>
  <c r="AC131" i="9"/>
  <c r="AM131" i="9"/>
  <c r="AB131" i="9"/>
  <c r="BA131" i="9"/>
  <c r="AQ131" i="9"/>
  <c r="AL131" i="9"/>
  <c r="BG143" i="9"/>
  <c r="BA143" i="9"/>
  <c r="AW143" i="9"/>
  <c r="AV143" i="9"/>
  <c r="BK143" i="9"/>
  <c r="BF143" i="9"/>
  <c r="BB143" i="9"/>
  <c r="AH143" i="9"/>
  <c r="AC143" i="9"/>
  <c r="BL143" i="9"/>
  <c r="AB143" i="9"/>
  <c r="AM143" i="9"/>
  <c r="AL143" i="9"/>
  <c r="AR143" i="9"/>
  <c r="AG143" i="9"/>
  <c r="AQ143" i="9"/>
  <c r="AR157" i="9"/>
  <c r="AQ157" i="9"/>
  <c r="AM157" i="9"/>
  <c r="AL157" i="9"/>
  <c r="BF157" i="9"/>
  <c r="BL157" i="9"/>
  <c r="AV157" i="9"/>
  <c r="BK157" i="9"/>
  <c r="BG157" i="9"/>
  <c r="AG157" i="9"/>
  <c r="AW157" i="9"/>
  <c r="AB157" i="9"/>
  <c r="BA157" i="9"/>
  <c r="AH157" i="9"/>
  <c r="BB157" i="9"/>
  <c r="AC157" i="9"/>
  <c r="AV10" i="9"/>
  <c r="AC10" i="9"/>
  <c r="AR10" i="9"/>
  <c r="AH10" i="9"/>
  <c r="BL10" i="9"/>
  <c r="BG10" i="9"/>
  <c r="BA10" i="9"/>
  <c r="BB10" i="9"/>
  <c r="AG10" i="9"/>
  <c r="BF10" i="9"/>
  <c r="AL10" i="9"/>
  <c r="AM10" i="9"/>
  <c r="AQ10" i="9"/>
  <c r="AB10" i="9"/>
  <c r="AW10" i="9"/>
  <c r="BK10" i="9"/>
  <c r="BA24" i="9"/>
  <c r="BL24" i="9"/>
  <c r="AM24" i="9"/>
  <c r="BF24" i="9"/>
  <c r="BB24" i="9"/>
  <c r="AB24" i="9"/>
  <c r="BK24" i="9"/>
  <c r="AC24" i="9"/>
  <c r="AL24" i="9"/>
  <c r="AH24" i="9"/>
  <c r="AQ24" i="9"/>
  <c r="AG24" i="9"/>
  <c r="AR24" i="9"/>
  <c r="AV24" i="9"/>
  <c r="BG24" i="9"/>
  <c r="AW24" i="9"/>
  <c r="BF37" i="9"/>
  <c r="AC37" i="9"/>
  <c r="BG37" i="9"/>
  <c r="AQ37" i="9"/>
  <c r="AR37" i="9"/>
  <c r="AL37" i="9"/>
  <c r="AH37" i="9"/>
  <c r="AB37" i="9"/>
  <c r="BB37" i="9"/>
  <c r="BA37" i="9"/>
  <c r="AV37" i="9"/>
  <c r="BK37" i="9"/>
  <c r="AG37" i="9"/>
  <c r="BL37" i="9"/>
  <c r="AW37" i="9"/>
  <c r="AM37" i="9"/>
  <c r="BG51" i="9"/>
  <c r="BF51" i="9"/>
  <c r="AR51" i="9"/>
  <c r="AQ51" i="9"/>
  <c r="AV51" i="9"/>
  <c r="AG51" i="9"/>
  <c r="AL51" i="9"/>
  <c r="BA51" i="9"/>
  <c r="BB51" i="9"/>
  <c r="AM51" i="9"/>
  <c r="AB51" i="9"/>
  <c r="AC51" i="9"/>
  <c r="AH51" i="9"/>
  <c r="AW51" i="9"/>
  <c r="BL51" i="9"/>
  <c r="BK51" i="9"/>
  <c r="AB64" i="9"/>
  <c r="AH64" i="9"/>
  <c r="AG64" i="9"/>
  <c r="AW64" i="9"/>
  <c r="AV64" i="9"/>
  <c r="BL64" i="9"/>
  <c r="BG64" i="9"/>
  <c r="BK64" i="9"/>
  <c r="AR64" i="9"/>
  <c r="AL64" i="9"/>
  <c r="AC64" i="9"/>
  <c r="AQ64" i="9"/>
  <c r="BA64" i="9"/>
  <c r="BB64" i="9"/>
  <c r="AM64" i="9"/>
  <c r="BF64" i="9"/>
  <c r="AH77" i="9"/>
  <c r="AG77" i="9"/>
  <c r="BL77" i="9"/>
  <c r="BF77" i="9"/>
  <c r="AL77" i="9"/>
  <c r="BK77" i="9"/>
  <c r="AM77" i="9"/>
  <c r="AB77" i="9"/>
  <c r="AC77" i="9"/>
  <c r="AV77" i="9"/>
  <c r="AW77" i="9"/>
  <c r="AR77" i="9"/>
  <c r="AQ77" i="9"/>
  <c r="BG77" i="9"/>
  <c r="BB77" i="9"/>
  <c r="BA77" i="9"/>
  <c r="BF90" i="9"/>
  <c r="BB90" i="9"/>
  <c r="BA90" i="9"/>
  <c r="AH90" i="9"/>
  <c r="AG90" i="9"/>
  <c r="AV90" i="9"/>
  <c r="AW90" i="9"/>
  <c r="AQ90" i="9"/>
  <c r="BK90" i="9"/>
  <c r="AR90" i="9"/>
  <c r="AC90" i="9"/>
  <c r="AB90" i="9"/>
  <c r="BG90" i="9"/>
  <c r="BL90" i="9"/>
  <c r="AL90" i="9"/>
  <c r="AM90" i="9"/>
  <c r="BL104" i="9"/>
  <c r="AM104" i="9"/>
  <c r="BB104" i="9"/>
  <c r="AW104" i="9"/>
  <c r="AL104" i="9"/>
  <c r="BK104" i="9"/>
  <c r="BA104" i="9"/>
  <c r="AR104" i="9"/>
  <c r="AG104" i="9"/>
  <c r="AQ104" i="9"/>
  <c r="AV104" i="9"/>
  <c r="AB104" i="9"/>
  <c r="BF104" i="9"/>
  <c r="AC104" i="9"/>
  <c r="BG104" i="9"/>
  <c r="AH104" i="9"/>
  <c r="BL118" i="9"/>
  <c r="AQ118" i="9"/>
  <c r="AH118" i="9"/>
  <c r="BB118" i="9"/>
  <c r="BA118" i="9"/>
  <c r="BK118" i="9"/>
  <c r="AB118" i="9"/>
  <c r="AW118" i="9"/>
  <c r="AG118" i="9"/>
  <c r="AC118" i="9"/>
  <c r="AL118" i="9"/>
  <c r="BG118" i="9"/>
  <c r="AR118" i="9"/>
  <c r="AM118" i="9"/>
  <c r="AV118" i="9"/>
  <c r="BF118" i="9"/>
  <c r="AC132" i="9"/>
  <c r="AB132" i="9"/>
  <c r="AR132" i="9"/>
  <c r="AQ132" i="9"/>
  <c r="BG132" i="9"/>
  <c r="BF132" i="9"/>
  <c r="AW132" i="9"/>
  <c r="AG132" i="9"/>
  <c r="AL132" i="9"/>
  <c r="AV132" i="9"/>
  <c r="AM132" i="9"/>
  <c r="BL132" i="9"/>
  <c r="BB132" i="9"/>
  <c r="AH132" i="9"/>
  <c r="BA132" i="9"/>
  <c r="BK132" i="9"/>
  <c r="BB144" i="9"/>
  <c r="AM144" i="9"/>
  <c r="BA144" i="9"/>
  <c r="AL144" i="9"/>
  <c r="AC144" i="9"/>
  <c r="AB144" i="9"/>
  <c r="AR144" i="9"/>
  <c r="AQ144" i="9"/>
  <c r="BG144" i="9"/>
  <c r="AH144" i="9"/>
  <c r="BF144" i="9"/>
  <c r="BL144" i="9"/>
  <c r="AG144" i="9"/>
  <c r="BK144" i="9"/>
  <c r="AW144" i="9"/>
  <c r="AV144" i="9"/>
  <c r="BA11" i="9"/>
  <c r="AL11" i="9"/>
  <c r="AR11" i="9"/>
  <c r="AM11" i="9"/>
  <c r="AW11" i="9"/>
  <c r="AV11" i="9"/>
  <c r="BB11" i="9"/>
  <c r="BG11" i="9"/>
  <c r="AH11" i="9"/>
  <c r="BL11" i="9"/>
  <c r="AG11" i="9"/>
  <c r="BF11" i="9"/>
  <c r="AB11" i="9"/>
  <c r="BK11" i="9"/>
  <c r="AQ11" i="9"/>
  <c r="AC11" i="9"/>
  <c r="AR25" i="9"/>
  <c r="BK25" i="9"/>
  <c r="AM25" i="9"/>
  <c r="AL25" i="9"/>
  <c r="BF25" i="9"/>
  <c r="BA25" i="9"/>
  <c r="AQ25" i="9"/>
  <c r="BL25" i="9"/>
  <c r="AC25" i="9"/>
  <c r="AW25" i="9"/>
  <c r="AB25" i="9"/>
  <c r="BB25" i="9"/>
  <c r="AH25" i="9"/>
  <c r="AG25" i="9"/>
  <c r="BG25" i="9"/>
  <c r="AV25" i="9"/>
  <c r="BA38" i="9"/>
  <c r="AM38" i="9"/>
  <c r="AL38" i="9"/>
  <c r="BG38" i="9"/>
  <c r="BB38" i="9"/>
  <c r="AG38" i="9"/>
  <c r="AH38" i="9"/>
  <c r="BL38" i="9"/>
  <c r="AR38" i="9"/>
  <c r="BK38" i="9"/>
  <c r="AW38" i="9"/>
  <c r="AV38" i="9"/>
  <c r="AQ38" i="9"/>
  <c r="AC38" i="9"/>
  <c r="BF38" i="9"/>
  <c r="AB38" i="9"/>
  <c r="BB52" i="9"/>
  <c r="AC52" i="9"/>
  <c r="AB52" i="9"/>
  <c r="AW52" i="9"/>
  <c r="AV52" i="9"/>
  <c r="AR52" i="9"/>
  <c r="BL52" i="9"/>
  <c r="BK52" i="9"/>
  <c r="AM52" i="9"/>
  <c r="AH52" i="9"/>
  <c r="AQ52" i="9"/>
  <c r="AL52" i="9"/>
  <c r="BG52" i="9"/>
  <c r="BF52" i="9"/>
  <c r="AG52" i="9"/>
  <c r="BA52" i="9"/>
  <c r="BG65" i="9"/>
  <c r="AH65" i="9"/>
  <c r="AC65" i="9"/>
  <c r="AG65" i="9"/>
  <c r="BL65" i="9"/>
  <c r="AB65" i="9"/>
  <c r="BA65" i="9"/>
  <c r="AW65" i="9"/>
  <c r="AV65" i="9"/>
  <c r="BB65" i="9"/>
  <c r="AL65" i="9"/>
  <c r="AR65" i="9"/>
  <c r="BK65" i="9"/>
  <c r="AM65" i="9"/>
  <c r="BF65" i="9"/>
  <c r="AQ65" i="9"/>
  <c r="AC78" i="9"/>
  <c r="AW78" i="9"/>
  <c r="AR78" i="9"/>
  <c r="AV78" i="9"/>
  <c r="BL78" i="9"/>
  <c r="AL78" i="9"/>
  <c r="BB78" i="9"/>
  <c r="BA78" i="9"/>
  <c r="AH78" i="9"/>
  <c r="AG78" i="9"/>
  <c r="AQ78" i="9"/>
  <c r="BK78" i="9"/>
  <c r="BG78" i="9"/>
  <c r="AM78" i="9"/>
  <c r="BF78" i="9"/>
  <c r="AB78" i="9"/>
  <c r="BG91" i="9"/>
  <c r="AH91" i="9"/>
  <c r="AG91" i="9"/>
  <c r="AW91" i="9"/>
  <c r="AV91" i="9"/>
  <c r="BL91" i="9"/>
  <c r="BK91" i="9"/>
  <c r="BF91" i="9"/>
  <c r="AM91" i="9"/>
  <c r="BB91" i="9"/>
  <c r="AB91" i="9"/>
  <c r="AL91" i="9"/>
  <c r="AC91" i="9"/>
  <c r="AR91" i="9"/>
  <c r="BA91" i="9"/>
  <c r="AQ91" i="9"/>
  <c r="AC105" i="9"/>
  <c r="BG105" i="9"/>
  <c r="AR105" i="9"/>
  <c r="AV105" i="9"/>
  <c r="BK105" i="9"/>
  <c r="BB105" i="9"/>
  <c r="AG105" i="9"/>
  <c r="AM105" i="9"/>
  <c r="AQ105" i="9"/>
  <c r="BA105" i="9"/>
  <c r="BF105" i="9"/>
  <c r="AH105" i="9"/>
  <c r="BL105" i="9"/>
  <c r="AL105" i="9"/>
  <c r="AW105" i="9"/>
  <c r="AB105" i="9"/>
  <c r="BG119" i="9"/>
  <c r="AR119" i="9"/>
  <c r="AC119" i="9"/>
  <c r="BK119" i="9"/>
  <c r="BL119" i="9"/>
  <c r="AW119" i="9"/>
  <c r="AV119" i="9"/>
  <c r="BB119" i="9"/>
  <c r="AB119" i="9"/>
  <c r="AL119" i="9"/>
  <c r="AQ119" i="9"/>
  <c r="BA119" i="9"/>
  <c r="BF119" i="9"/>
  <c r="AM119" i="9"/>
  <c r="AH119" i="9"/>
  <c r="AG119" i="9"/>
  <c r="AL133" i="9"/>
  <c r="BB133" i="9"/>
  <c r="AC133" i="9"/>
  <c r="AR133" i="9"/>
  <c r="AQ133" i="9"/>
  <c r="AB133" i="9"/>
  <c r="BK133" i="9"/>
  <c r="BF133" i="9"/>
  <c r="BL133" i="9"/>
  <c r="AW133" i="9"/>
  <c r="AG133" i="9"/>
  <c r="AV133" i="9"/>
  <c r="BG133" i="9"/>
  <c r="AH133" i="9"/>
  <c r="AM133" i="9"/>
  <c r="BA133" i="9"/>
  <c r="AG145" i="9"/>
  <c r="AH145" i="9"/>
  <c r="BL145" i="9"/>
  <c r="AL145" i="9"/>
  <c r="BB145" i="9"/>
  <c r="BA145" i="9"/>
  <c r="AM145" i="9"/>
  <c r="AR145" i="9"/>
  <c r="AQ145" i="9"/>
  <c r="BG145" i="9"/>
  <c r="AB145" i="9"/>
  <c r="AC145" i="9"/>
  <c r="AV145" i="9"/>
  <c r="AW145" i="9"/>
  <c r="BK145" i="9"/>
  <c r="BF145" i="9"/>
  <c r="CB152" i="9"/>
  <c r="BW151" i="9"/>
  <c r="BR150" i="9"/>
  <c r="BM149" i="9"/>
  <c r="CB155" i="9"/>
  <c r="BW154" i="9"/>
  <c r="BR153" i="9"/>
  <c r="BM152" i="9"/>
  <c r="CB151" i="9"/>
  <c r="BW150" i="9"/>
  <c r="BR149" i="9"/>
  <c r="BM148" i="9"/>
  <c r="CB157" i="9"/>
  <c r="BW152" i="9"/>
  <c r="BM150" i="9"/>
  <c r="CB149" i="9"/>
  <c r="BW156" i="9"/>
  <c r="CB153" i="9"/>
  <c r="BR155" i="9"/>
  <c r="CB150" i="9"/>
  <c r="BR147" i="9"/>
  <c r="BR144" i="9"/>
  <c r="BW143" i="9"/>
  <c r="CB130" i="9"/>
  <c r="BW129" i="9"/>
  <c r="BR128" i="9"/>
  <c r="BM127" i="9"/>
  <c r="BM153" i="9"/>
  <c r="BW148" i="9"/>
  <c r="BR156" i="9"/>
  <c r="CB154" i="9"/>
  <c r="BR151" i="9"/>
  <c r="BM147" i="9"/>
  <c r="BM146" i="9"/>
  <c r="BM145" i="9"/>
  <c r="CB139" i="9"/>
  <c r="BW138" i="9"/>
  <c r="BR137" i="9"/>
  <c r="BR157" i="9"/>
  <c r="CB145" i="9"/>
  <c r="CB144" i="9"/>
  <c r="BM144" i="9"/>
  <c r="BM151" i="9"/>
  <c r="BR148" i="9"/>
  <c r="CB146" i="9"/>
  <c r="BR143" i="9"/>
  <c r="BW155" i="9"/>
  <c r="BM157" i="9"/>
  <c r="BM154" i="9"/>
  <c r="BR152" i="9"/>
  <c r="CB148" i="9"/>
  <c r="BW144" i="9"/>
  <c r="BW139" i="9"/>
  <c r="BR135" i="9"/>
  <c r="BR126" i="9"/>
  <c r="CB119" i="9"/>
  <c r="BW118" i="9"/>
  <c r="BR117" i="9"/>
  <c r="BM116" i="9"/>
  <c r="CB141" i="9"/>
  <c r="BW134" i="9"/>
  <c r="CB133" i="9"/>
  <c r="BM133" i="9"/>
  <c r="BM130" i="9"/>
  <c r="BR129" i="9"/>
  <c r="BW128" i="9"/>
  <c r="CB127" i="9"/>
  <c r="BW125" i="9"/>
  <c r="CB122" i="9"/>
  <c r="CB156" i="9"/>
  <c r="BM155" i="9"/>
  <c r="BR142" i="9"/>
  <c r="BW140" i="9"/>
  <c r="BW137" i="9"/>
  <c r="BR132" i="9"/>
  <c r="BW131" i="9"/>
  <c r="BM156" i="9"/>
  <c r="BW153" i="9"/>
  <c r="BW147" i="9"/>
  <c r="BM143" i="9"/>
  <c r="BW146" i="9"/>
  <c r="BW136" i="9"/>
  <c r="BR139" i="9"/>
  <c r="BR138" i="9"/>
  <c r="CB135" i="9"/>
  <c r="BM135" i="9"/>
  <c r="BR134" i="9"/>
  <c r="BM142" i="9"/>
  <c r="BW141" i="9"/>
  <c r="BR140" i="9"/>
  <c r="BR146" i="9"/>
  <c r="BW145" i="9"/>
  <c r="BR145" i="9"/>
  <c r="BR141" i="9"/>
  <c r="BM140" i="9"/>
  <c r="BR125" i="9"/>
  <c r="BW116" i="9"/>
  <c r="CB115" i="9"/>
  <c r="BM115" i="9"/>
  <c r="CB106" i="9"/>
  <c r="BW105" i="9"/>
  <c r="BR104" i="9"/>
  <c r="BM103" i="9"/>
  <c r="BM132" i="9"/>
  <c r="BM124" i="9"/>
  <c r="CB123" i="9"/>
  <c r="BR120" i="9"/>
  <c r="BW119" i="9"/>
  <c r="CB142" i="9"/>
  <c r="BM141" i="9"/>
  <c r="CB134" i="9"/>
  <c r="CB121" i="9"/>
  <c r="BM121" i="9"/>
  <c r="BR131" i="9"/>
  <c r="CB124" i="9"/>
  <c r="BM112" i="9"/>
  <c r="BW133" i="9"/>
  <c r="BM128" i="9"/>
  <c r="BW127" i="9"/>
  <c r="BR154" i="9"/>
  <c r="CB147" i="9"/>
  <c r="BW142" i="9"/>
  <c r="CB137" i="9"/>
  <c r="CB132" i="9"/>
  <c r="BM126" i="9"/>
  <c r="BW122" i="9"/>
  <c r="CB125" i="9"/>
  <c r="BW123" i="9"/>
  <c r="BW121" i="9"/>
  <c r="CB120" i="9"/>
  <c r="BM120" i="9"/>
  <c r="BR119" i="9"/>
  <c r="CB138" i="9"/>
  <c r="CB136" i="9"/>
  <c r="CB128" i="9"/>
  <c r="BW124" i="9"/>
  <c r="BW157" i="9"/>
  <c r="BM131" i="9"/>
  <c r="BW130" i="9"/>
  <c r="CB126" i="9"/>
  <c r="BM134" i="9"/>
  <c r="BR133" i="9"/>
  <c r="BW132" i="9"/>
  <c r="BM129" i="9"/>
  <c r="BR127" i="9"/>
  <c r="BR122" i="9"/>
  <c r="CB108" i="9"/>
  <c r="BM108" i="9"/>
  <c r="CB99" i="9"/>
  <c r="BM99" i="9"/>
  <c r="BW92" i="9"/>
  <c r="BR91" i="9"/>
  <c r="BM90" i="9"/>
  <c r="CB79" i="9"/>
  <c r="BW78" i="9"/>
  <c r="BR77" i="9"/>
  <c r="BM76" i="9"/>
  <c r="BM125" i="9"/>
  <c r="BW117" i="9"/>
  <c r="BR98" i="9"/>
  <c r="BW97" i="9"/>
  <c r="BM138" i="9"/>
  <c r="BW135" i="9"/>
  <c r="BR130" i="9"/>
  <c r="BR124" i="9"/>
  <c r="BR114" i="9"/>
  <c r="CB112" i="9"/>
  <c r="BM111" i="9"/>
  <c r="BR123" i="9"/>
  <c r="BM122" i="9"/>
  <c r="BM118" i="9"/>
  <c r="CB111" i="9"/>
  <c r="BM110" i="9"/>
  <c r="CB104" i="9"/>
  <c r="BM104" i="9"/>
  <c r="BM137" i="9"/>
  <c r="BW115" i="9"/>
  <c r="BM113" i="9"/>
  <c r="CB110" i="9"/>
  <c r="BR109" i="9"/>
  <c r="BW108" i="9"/>
  <c r="CB107" i="9"/>
  <c r="BM107" i="9"/>
  <c r="CB143" i="9"/>
  <c r="CB131" i="9"/>
  <c r="BW120" i="9"/>
  <c r="BM114" i="9"/>
  <c r="CB140" i="9"/>
  <c r="CB116" i="9"/>
  <c r="CB113" i="9"/>
  <c r="BW112" i="9"/>
  <c r="CB118" i="9"/>
  <c r="BR115" i="9"/>
  <c r="CB114" i="9"/>
  <c r="BW111" i="9"/>
  <c r="BR136" i="9"/>
  <c r="CB129" i="9"/>
  <c r="BM123" i="9"/>
  <c r="BM117" i="9"/>
  <c r="CB109" i="9"/>
  <c r="BM109" i="9"/>
  <c r="BM106" i="9"/>
  <c r="BR105" i="9"/>
  <c r="BW104" i="9"/>
  <c r="BR121" i="9"/>
  <c r="BW113" i="9"/>
  <c r="BW110" i="9"/>
  <c r="BR108" i="9"/>
  <c r="BW149" i="9"/>
  <c r="CB88" i="9"/>
  <c r="BR84" i="9"/>
  <c r="BR75" i="9"/>
  <c r="BM119" i="9"/>
  <c r="CB103" i="9"/>
  <c r="BR102" i="9"/>
  <c r="BM101" i="9"/>
  <c r="CB100" i="9"/>
  <c r="BW96" i="9"/>
  <c r="BR95" i="9"/>
  <c r="BM105" i="9"/>
  <c r="BW98" i="9"/>
  <c r="BW91" i="9"/>
  <c r="BW90" i="9"/>
  <c r="BR81" i="9"/>
  <c r="BW80" i="9"/>
  <c r="CB73" i="9"/>
  <c r="BM73" i="9"/>
  <c r="BR72" i="9"/>
  <c r="BR107" i="9"/>
  <c r="CB101" i="9"/>
  <c r="BW99" i="9"/>
  <c r="BM94" i="9"/>
  <c r="BW103" i="9"/>
  <c r="BW100" i="9"/>
  <c r="BR96" i="9"/>
  <c r="BM95" i="9"/>
  <c r="CB94" i="9"/>
  <c r="BR92" i="9"/>
  <c r="BW126" i="9"/>
  <c r="BM102" i="9"/>
  <c r="BR97" i="9"/>
  <c r="BR118" i="9"/>
  <c r="BR116" i="9"/>
  <c r="BR103" i="9"/>
  <c r="BR99" i="9"/>
  <c r="CB95" i="9"/>
  <c r="BW94" i="9"/>
  <c r="BW109" i="9"/>
  <c r="CB102" i="9"/>
  <c r="BW101" i="9"/>
  <c r="BR100" i="9"/>
  <c r="BM96" i="9"/>
  <c r="BR113" i="9"/>
  <c r="CB117" i="9"/>
  <c r="CB105" i="9"/>
  <c r="CB91" i="9"/>
  <c r="BM89" i="9"/>
  <c r="CB86" i="9"/>
  <c r="BR85" i="9"/>
  <c r="CB84" i="9"/>
  <c r="BW82" i="9"/>
  <c r="CB78" i="9"/>
  <c r="BW77" i="9"/>
  <c r="BR76" i="9"/>
  <c r="CB74" i="9"/>
  <c r="BW64" i="9"/>
  <c r="BR62" i="9"/>
  <c r="BM61" i="9"/>
  <c r="BR112" i="9"/>
  <c r="BW95" i="9"/>
  <c r="BM92" i="9"/>
  <c r="CB90" i="9"/>
  <c r="BR88" i="9"/>
  <c r="BR87" i="9"/>
  <c r="BM79" i="9"/>
  <c r="BW73" i="9"/>
  <c r="BW72" i="9"/>
  <c r="CB68" i="9"/>
  <c r="BM68" i="9"/>
  <c r="BR111" i="9"/>
  <c r="CB98" i="9"/>
  <c r="CB97" i="9"/>
  <c r="BW83" i="9"/>
  <c r="CB75" i="9"/>
  <c r="BR71" i="9"/>
  <c r="BR67" i="9"/>
  <c r="BW66" i="9"/>
  <c r="CB59" i="9"/>
  <c r="BW58" i="9"/>
  <c r="BM136" i="9"/>
  <c r="BM87" i="9"/>
  <c r="BM85" i="9"/>
  <c r="BW84" i="9"/>
  <c r="BM80" i="9"/>
  <c r="BW74" i="9"/>
  <c r="BW107" i="9"/>
  <c r="BR94" i="9"/>
  <c r="CB93" i="9"/>
  <c r="CB89" i="9"/>
  <c r="BM88" i="9"/>
  <c r="BW106" i="9"/>
  <c r="BM97" i="9"/>
  <c r="BW93" i="9"/>
  <c r="BR90" i="9"/>
  <c r="BR86" i="9"/>
  <c r="BR83" i="9"/>
  <c r="CB80" i="9"/>
  <c r="BR110" i="9"/>
  <c r="BR106" i="9"/>
  <c r="BM98" i="9"/>
  <c r="BR93" i="9"/>
  <c r="BW89" i="9"/>
  <c r="BM139" i="9"/>
  <c r="BM100" i="9"/>
  <c r="BR89" i="9"/>
  <c r="BW102" i="9"/>
  <c r="BM93" i="9"/>
  <c r="BM82" i="9"/>
  <c r="CB77" i="9"/>
  <c r="BR73" i="9"/>
  <c r="BW62" i="9"/>
  <c r="BR61" i="9"/>
  <c r="CB53" i="9"/>
  <c r="BW52" i="9"/>
  <c r="BR51" i="9"/>
  <c r="BM50" i="9"/>
  <c r="CB39" i="9"/>
  <c r="BW38" i="9"/>
  <c r="BR37" i="9"/>
  <c r="BM36" i="9"/>
  <c r="BM91" i="9"/>
  <c r="CB81" i="9"/>
  <c r="BR79" i="9"/>
  <c r="CB70" i="9"/>
  <c r="BR69" i="9"/>
  <c r="BR66" i="9"/>
  <c r="CB65" i="9"/>
  <c r="BR59" i="9"/>
  <c r="BR58" i="9"/>
  <c r="CB56" i="9"/>
  <c r="BW55" i="9"/>
  <c r="BR54" i="9"/>
  <c r="BM53" i="9"/>
  <c r="CB96" i="9"/>
  <c r="BW87" i="9"/>
  <c r="BM74" i="9"/>
  <c r="CB71" i="9"/>
  <c r="BW67" i="9"/>
  <c r="BR64" i="9"/>
  <c r="BM63" i="9"/>
  <c r="BR57" i="9"/>
  <c r="BM56" i="9"/>
  <c r="CB45" i="9"/>
  <c r="BW44" i="9"/>
  <c r="BR43" i="9"/>
  <c r="BM42" i="9"/>
  <c r="BR80" i="9"/>
  <c r="BM75" i="9"/>
  <c r="BR101" i="9"/>
  <c r="CB92" i="9"/>
  <c r="BW86" i="9"/>
  <c r="BW81" i="9"/>
  <c r="BW71" i="9"/>
  <c r="BW70" i="9"/>
  <c r="CB63" i="9"/>
  <c r="BW88" i="9"/>
  <c r="BM83" i="9"/>
  <c r="BM72" i="9"/>
  <c r="BM69" i="9"/>
  <c r="BW68" i="9"/>
  <c r="BM66" i="9"/>
  <c r="BW65" i="9"/>
  <c r="BM64" i="9"/>
  <c r="CB85" i="9"/>
  <c r="CB82" i="9"/>
  <c r="BW63" i="9"/>
  <c r="CB61" i="9"/>
  <c r="BR78" i="9"/>
  <c r="BM77" i="9"/>
  <c r="BR82" i="9"/>
  <c r="BM78" i="9"/>
  <c r="BW76" i="9"/>
  <c r="BR74" i="9"/>
  <c r="BW69" i="9"/>
  <c r="BM65" i="9"/>
  <c r="BR63" i="9"/>
  <c r="BM71" i="9"/>
  <c r="BM62" i="9"/>
  <c r="BM59" i="9"/>
  <c r="BM54" i="9"/>
  <c r="BW49" i="9"/>
  <c r="BM44" i="9"/>
  <c r="BM43" i="9"/>
  <c r="BW36" i="9"/>
  <c r="CB35" i="9"/>
  <c r="BM35" i="9"/>
  <c r="CB24" i="9"/>
  <c r="BW23" i="9"/>
  <c r="BR22" i="9"/>
  <c r="BM21" i="9"/>
  <c r="CB10" i="9"/>
  <c r="BW48" i="9"/>
  <c r="CB44" i="9"/>
  <c r="CB43" i="9"/>
  <c r="BR40" i="9"/>
  <c r="BW39" i="9"/>
  <c r="CB38" i="9"/>
  <c r="BM38" i="9"/>
  <c r="BR34" i="9"/>
  <c r="BW33" i="9"/>
  <c r="CB27" i="9"/>
  <c r="BW26" i="9"/>
  <c r="CB60" i="9"/>
  <c r="CB54" i="9"/>
  <c r="BW47" i="9"/>
  <c r="CB42" i="9"/>
  <c r="BM41" i="9"/>
  <c r="CB32" i="9"/>
  <c r="BM32" i="9"/>
  <c r="CB30" i="9"/>
  <c r="BW29" i="9"/>
  <c r="BR28" i="9"/>
  <c r="BM27" i="9"/>
  <c r="BR70" i="9"/>
  <c r="BR65" i="9"/>
  <c r="BW53" i="9"/>
  <c r="BR50" i="9"/>
  <c r="BR49" i="9"/>
  <c r="CB41" i="9"/>
  <c r="BR31" i="9"/>
  <c r="BM30" i="9"/>
  <c r="BW79" i="9"/>
  <c r="CB72" i="9"/>
  <c r="BM70" i="9"/>
  <c r="CB66" i="9"/>
  <c r="CB87" i="9"/>
  <c r="BM81" i="9"/>
  <c r="BW60" i="9"/>
  <c r="CB55" i="9"/>
  <c r="BM51" i="9"/>
  <c r="BM84" i="9"/>
  <c r="CB62" i="9"/>
  <c r="BM58" i="9"/>
  <c r="BW54" i="9"/>
  <c r="BW114" i="9"/>
  <c r="BR53" i="9"/>
  <c r="CB51" i="9"/>
  <c r="BM49" i="9"/>
  <c r="BM86" i="9"/>
  <c r="CB67" i="9"/>
  <c r="BR68" i="9"/>
  <c r="BM46" i="9"/>
  <c r="BR45" i="9"/>
  <c r="BW43" i="9"/>
  <c r="BW42" i="9"/>
  <c r="CB40" i="9"/>
  <c r="BW34" i="9"/>
  <c r="BR32" i="9"/>
  <c r="BM28" i="9"/>
  <c r="BW27" i="9"/>
  <c r="CB17" i="9"/>
  <c r="BM17" i="9"/>
  <c r="BW41" i="9"/>
  <c r="BM39" i="9"/>
  <c r="BR16" i="9"/>
  <c r="BR44" i="9"/>
  <c r="BR38" i="9"/>
  <c r="BW37" i="9"/>
  <c r="BW31" i="9"/>
  <c r="BM26" i="9"/>
  <c r="BM25" i="9"/>
  <c r="CB14" i="9"/>
  <c r="BM14" i="9"/>
  <c r="CB7" i="9"/>
  <c r="BW6" i="9"/>
  <c r="CB52" i="9"/>
  <c r="BM45" i="9"/>
  <c r="CB36" i="9"/>
  <c r="CB33" i="9"/>
  <c r="BR29" i="9"/>
  <c r="CB28" i="9"/>
  <c r="CB25" i="9"/>
  <c r="BM24" i="9"/>
  <c r="BR21" i="9"/>
  <c r="BW20" i="9"/>
  <c r="CB19" i="9"/>
  <c r="BM19" i="9"/>
  <c r="BR13" i="9"/>
  <c r="BW12" i="9"/>
  <c r="CB11" i="9"/>
  <c r="BM11" i="9"/>
  <c r="BR10" i="9"/>
  <c r="BW9" i="9"/>
  <c r="BR8" i="9"/>
  <c r="BM7" i="9"/>
  <c r="CB47" i="9"/>
  <c r="BM67" i="9"/>
  <c r="BR60" i="9"/>
  <c r="CB57" i="9"/>
  <c r="BR48" i="9"/>
  <c r="CB46" i="9"/>
  <c r="BR42" i="9"/>
  <c r="BR41" i="9"/>
  <c r="BW40" i="9"/>
  <c r="BM34" i="9"/>
  <c r="BR27" i="9"/>
  <c r="CB26" i="9"/>
  <c r="CB23" i="9"/>
  <c r="BM60" i="9"/>
  <c r="BW57" i="9"/>
  <c r="BW56" i="9"/>
  <c r="BR55" i="9"/>
  <c r="BR52" i="9"/>
  <c r="CB50" i="9"/>
  <c r="BW46" i="9"/>
  <c r="CB58" i="9"/>
  <c r="BR56" i="9"/>
  <c r="BM55" i="9"/>
  <c r="BM52" i="9"/>
  <c r="CB49" i="9"/>
  <c r="BM37" i="9"/>
  <c r="BW30" i="9"/>
  <c r="BW85" i="9"/>
  <c r="CB69" i="9"/>
  <c r="BM48" i="9"/>
  <c r="CB76" i="9"/>
  <c r="CB64" i="9"/>
  <c r="BM57" i="9"/>
  <c r="BW50" i="9"/>
  <c r="BR46" i="9"/>
  <c r="BW45" i="9"/>
  <c r="BW35" i="9"/>
  <c r="CB34" i="9"/>
  <c r="BM18" i="9"/>
  <c r="CB9" i="9"/>
  <c r="BR6" i="9"/>
  <c r="BM12" i="9"/>
  <c r="BW25" i="9"/>
  <c r="BR24" i="9"/>
  <c r="BR19" i="9"/>
  <c r="BR33" i="9"/>
  <c r="CB29" i="9"/>
  <c r="BM22" i="9"/>
  <c r="BM20" i="9"/>
  <c r="CB13" i="9"/>
  <c r="CB18" i="9"/>
  <c r="CB48" i="9"/>
  <c r="BM47" i="9"/>
  <c r="BM8" i="9"/>
  <c r="BW7" i="9"/>
  <c r="CB16" i="9"/>
  <c r="BM10" i="9"/>
  <c r="BR25" i="9"/>
  <c r="BW61" i="9"/>
  <c r="BW59" i="9"/>
  <c r="BM29" i="9"/>
  <c r="CB83" i="9"/>
  <c r="BW51" i="9"/>
  <c r="BM33" i="9"/>
  <c r="CB21" i="9"/>
  <c r="CB12" i="9"/>
  <c r="BR9" i="9"/>
  <c r="CB8" i="9"/>
  <c r="BR39" i="9"/>
  <c r="CB20" i="9"/>
  <c r="BW17" i="9"/>
  <c r="BW13" i="9"/>
  <c r="BR7" i="9"/>
  <c r="BW18" i="9"/>
  <c r="BR30" i="9"/>
  <c r="BW16" i="9"/>
  <c r="CB6" i="9"/>
  <c r="BR14" i="9"/>
  <c r="BW11" i="9"/>
  <c r="BW75" i="9"/>
  <c r="CB31" i="9"/>
  <c r="BR23" i="9"/>
  <c r="CB22" i="9"/>
  <c r="CB37" i="9"/>
  <c r="BR36" i="9"/>
  <c r="BR35" i="9"/>
  <c r="BW32" i="9"/>
  <c r="BR26" i="9"/>
  <c r="BR20" i="9"/>
  <c r="BM13" i="9"/>
  <c r="BM9" i="9"/>
  <c r="BW8" i="9"/>
  <c r="BW28" i="9"/>
  <c r="BW10" i="9"/>
  <c r="BM6" i="9"/>
  <c r="BR12" i="9"/>
  <c r="BW19" i="9"/>
  <c r="BW14" i="9"/>
  <c r="BW24" i="9"/>
  <c r="BR17" i="9"/>
  <c r="BR47" i="9"/>
  <c r="BR18" i="9"/>
  <c r="BM16" i="9"/>
  <c r="BR11" i="9"/>
  <c r="BM23" i="9"/>
  <c r="BW22" i="9"/>
  <c r="BW21" i="9"/>
  <c r="BM40" i="9"/>
  <c r="BM31" i="9"/>
  <c r="BL12" i="9"/>
  <c r="AW12" i="9"/>
  <c r="AG12" i="9"/>
  <c r="BG12" i="9"/>
  <c r="AM12" i="9"/>
  <c r="AL12" i="9"/>
  <c r="AR12" i="9"/>
  <c r="AV12" i="9"/>
  <c r="AB12" i="9"/>
  <c r="AC12" i="9"/>
  <c r="AQ12" i="9"/>
  <c r="BA12" i="9"/>
  <c r="BK12" i="9"/>
  <c r="BB12" i="9"/>
  <c r="BF12" i="9"/>
  <c r="AH12" i="9"/>
  <c r="AW26" i="9"/>
  <c r="BL26" i="9"/>
  <c r="BK26" i="9"/>
  <c r="AM26" i="9"/>
  <c r="AL26" i="9"/>
  <c r="BB26" i="9"/>
  <c r="BA26" i="9"/>
  <c r="AH26" i="9"/>
  <c r="AC26" i="9"/>
  <c r="AB26" i="9"/>
  <c r="AG26" i="9"/>
  <c r="AV26" i="9"/>
  <c r="AR26" i="9"/>
  <c r="BG26" i="9"/>
  <c r="AQ26" i="9"/>
  <c r="BF26" i="9"/>
  <c r="AV39" i="9"/>
  <c r="BL39" i="9"/>
  <c r="BK39" i="9"/>
  <c r="AW39" i="9"/>
  <c r="AH39" i="9"/>
  <c r="AG39" i="9"/>
  <c r="BA39" i="9"/>
  <c r="AR39" i="9"/>
  <c r="AC39" i="9"/>
  <c r="AQ39" i="9"/>
  <c r="AB39" i="9"/>
  <c r="AL39" i="9"/>
  <c r="BB39" i="9"/>
  <c r="BG39" i="9"/>
  <c r="BF39" i="9"/>
  <c r="AM39" i="9"/>
  <c r="BB53" i="9"/>
  <c r="AM53" i="9"/>
  <c r="BA53" i="9"/>
  <c r="AW53" i="9"/>
  <c r="AV53" i="9"/>
  <c r="BK53" i="9"/>
  <c r="AG53" i="9"/>
  <c r="BG53" i="9"/>
  <c r="AC53" i="9"/>
  <c r="AR53" i="9"/>
  <c r="AB53" i="9"/>
  <c r="AL53" i="9"/>
  <c r="AH53" i="9"/>
  <c r="AQ53" i="9"/>
  <c r="BF53" i="9"/>
  <c r="BL53" i="9"/>
  <c r="AM66" i="9"/>
  <c r="AL66" i="9"/>
  <c r="AQ66" i="9"/>
  <c r="AC66" i="9"/>
  <c r="AV66" i="9"/>
  <c r="AB66" i="9"/>
  <c r="BL66" i="9"/>
  <c r="AG66" i="9"/>
  <c r="BF66" i="9"/>
  <c r="AW66" i="9"/>
  <c r="BK66" i="9"/>
  <c r="AR66" i="9"/>
  <c r="AH66" i="9"/>
  <c r="BG66" i="9"/>
  <c r="BB66" i="9"/>
  <c r="BA66" i="9"/>
  <c r="AM79" i="9"/>
  <c r="AG79" i="9"/>
  <c r="BB79" i="9"/>
  <c r="AV79" i="9"/>
  <c r="BA79" i="9"/>
  <c r="AR79" i="9"/>
  <c r="AL79" i="9"/>
  <c r="AQ79" i="9"/>
  <c r="BG79" i="9"/>
  <c r="BF79" i="9"/>
  <c r="AW79" i="9"/>
  <c r="AH79" i="9"/>
  <c r="BK79" i="9"/>
  <c r="AC79" i="9"/>
  <c r="AB79" i="9"/>
  <c r="BL79" i="9"/>
  <c r="BL92" i="9"/>
  <c r="BK92" i="9"/>
  <c r="AW92" i="9"/>
  <c r="AV92" i="9"/>
  <c r="AR92" i="9"/>
  <c r="AQ92" i="9"/>
  <c r="AG92" i="9"/>
  <c r="AB92" i="9"/>
  <c r="BG92" i="9"/>
  <c r="BF92" i="9"/>
  <c r="AC92" i="9"/>
  <c r="BB92" i="9"/>
  <c r="AH92" i="9"/>
  <c r="AM92" i="9"/>
  <c r="AL92" i="9"/>
  <c r="BA92" i="9"/>
  <c r="AR106" i="9"/>
  <c r="AQ106" i="9"/>
  <c r="BG106" i="9"/>
  <c r="BB106" i="9"/>
  <c r="BF106" i="9"/>
  <c r="BL106" i="9"/>
  <c r="AL106" i="9"/>
  <c r="BK106" i="9"/>
  <c r="AH106" i="9"/>
  <c r="BA106" i="9"/>
  <c r="AC106" i="9"/>
  <c r="AW106" i="9"/>
  <c r="AG106" i="9"/>
  <c r="AV106" i="9"/>
  <c r="AM106" i="9"/>
  <c r="AB106" i="9"/>
  <c r="BB120" i="9"/>
  <c r="AM120" i="9"/>
  <c r="BG120" i="9"/>
  <c r="BF120" i="9"/>
  <c r="AH120" i="9"/>
  <c r="AB120" i="9"/>
  <c r="AR120" i="9"/>
  <c r="BL120" i="9"/>
  <c r="BK120" i="9"/>
  <c r="BA120" i="9"/>
  <c r="AG120" i="9"/>
  <c r="AW120" i="9"/>
  <c r="AL120" i="9"/>
  <c r="AV120" i="9"/>
  <c r="AC120" i="9"/>
  <c r="AQ120" i="9"/>
  <c r="AH134" i="9"/>
  <c r="AG134" i="9"/>
  <c r="AW134" i="9"/>
  <c r="AV134" i="9"/>
  <c r="AL134" i="9"/>
  <c r="BL134" i="9"/>
  <c r="BK134" i="9"/>
  <c r="AR134" i="9"/>
  <c r="BB134" i="9"/>
  <c r="BF134" i="9"/>
  <c r="BA134" i="9"/>
  <c r="AM134" i="9"/>
  <c r="AQ134" i="9"/>
  <c r="BG134" i="9"/>
  <c r="AB134" i="9"/>
  <c r="AC134" i="9"/>
  <c r="BF146" i="9"/>
  <c r="AG146" i="9"/>
  <c r="BL146" i="9"/>
  <c r="BB146" i="9"/>
  <c r="BA146" i="9"/>
  <c r="AM146" i="9"/>
  <c r="AL146" i="9"/>
  <c r="BG146" i="9"/>
  <c r="AW146" i="9"/>
  <c r="AV146" i="9"/>
  <c r="AQ146" i="9"/>
  <c r="AR146" i="9"/>
  <c r="AH146" i="9"/>
  <c r="AB146" i="9"/>
  <c r="AC146" i="9"/>
  <c r="BK146" i="9"/>
  <c r="BF13" i="9"/>
  <c r="AQ13" i="9"/>
  <c r="AB13" i="9"/>
  <c r="BG13" i="9"/>
  <c r="AC13" i="9"/>
  <c r="BB13" i="9"/>
  <c r="AG13" i="9"/>
  <c r="AR13" i="9"/>
  <c r="BL13" i="9"/>
  <c r="BK13" i="9"/>
  <c r="AV13" i="9"/>
  <c r="AW13" i="9"/>
  <c r="AH13" i="9"/>
  <c r="AL13" i="9"/>
  <c r="BA13" i="9"/>
  <c r="AM13" i="9"/>
  <c r="BB27" i="9"/>
  <c r="AG27" i="9"/>
  <c r="AB27" i="9"/>
  <c r="BG27" i="9"/>
  <c r="AC27" i="9"/>
  <c r="BF27" i="9"/>
  <c r="AQ27" i="9"/>
  <c r="AR27" i="9"/>
  <c r="AW27" i="9"/>
  <c r="AM27" i="9"/>
  <c r="AV27" i="9"/>
  <c r="AL27" i="9"/>
  <c r="AH27" i="9"/>
  <c r="BK27" i="9"/>
  <c r="BL27" i="9"/>
  <c r="BA27" i="9"/>
  <c r="BG40" i="9"/>
  <c r="BF40" i="9"/>
  <c r="BK40" i="9"/>
  <c r="AB40" i="9"/>
  <c r="BL40" i="9"/>
  <c r="AR40" i="9"/>
  <c r="BB40" i="9"/>
  <c r="AC40" i="9"/>
  <c r="BA40" i="9"/>
  <c r="AQ40" i="9"/>
  <c r="AW40" i="9"/>
  <c r="AM40" i="9"/>
  <c r="AL40" i="9"/>
  <c r="AH40" i="9"/>
  <c r="AG40" i="9"/>
  <c r="AV40" i="9"/>
  <c r="BG54" i="9"/>
  <c r="BF54" i="9"/>
  <c r="AH54" i="9"/>
  <c r="BB54" i="9"/>
  <c r="BA54" i="9"/>
  <c r="AL54" i="9"/>
  <c r="AQ54" i="9"/>
  <c r="AG54" i="9"/>
  <c r="AV54" i="9"/>
  <c r="BK54" i="9"/>
  <c r="AM54" i="9"/>
  <c r="BL54" i="9"/>
  <c r="AW54" i="9"/>
  <c r="AR54" i="9"/>
  <c r="AC54" i="9"/>
  <c r="AB54" i="9"/>
  <c r="AQ67" i="9"/>
  <c r="BG67" i="9"/>
  <c r="AR67" i="9"/>
  <c r="AB67" i="9"/>
  <c r="AG67" i="9"/>
  <c r="BL67" i="9"/>
  <c r="AH67" i="9"/>
  <c r="BB67" i="9"/>
  <c r="AC67" i="9"/>
  <c r="AL67" i="9"/>
  <c r="BA67" i="9"/>
  <c r="AW67" i="9"/>
  <c r="AV67" i="9"/>
  <c r="AM67" i="9"/>
  <c r="BK67" i="9"/>
  <c r="BF67" i="9"/>
  <c r="AH80" i="9"/>
  <c r="AW80" i="9"/>
  <c r="AG80" i="9"/>
  <c r="BK80" i="9"/>
  <c r="AV80" i="9"/>
  <c r="BL80" i="9"/>
  <c r="AM80" i="9"/>
  <c r="BB80" i="9"/>
  <c r="AL80" i="9"/>
  <c r="BG80" i="9"/>
  <c r="AB80" i="9"/>
  <c r="BA80" i="9"/>
  <c r="AQ80" i="9"/>
  <c r="AR80" i="9"/>
  <c r="AC80" i="9"/>
  <c r="BF80" i="9"/>
  <c r="BG93" i="9"/>
  <c r="AM93" i="9"/>
  <c r="AC93" i="9"/>
  <c r="AW93" i="9"/>
  <c r="AV93" i="9"/>
  <c r="AH93" i="9"/>
  <c r="BL93" i="9"/>
  <c r="BK93" i="9"/>
  <c r="BF93" i="9"/>
  <c r="BA93" i="9"/>
  <c r="BB93" i="9"/>
  <c r="AQ93" i="9"/>
  <c r="AR93" i="9"/>
  <c r="AG93" i="9"/>
  <c r="AL93" i="9"/>
  <c r="AB93" i="9"/>
  <c r="AR107" i="9"/>
  <c r="AW107" i="9"/>
  <c r="AV107" i="9"/>
  <c r="AM107" i="9"/>
  <c r="AL107" i="9"/>
  <c r="BG107" i="9"/>
  <c r="AC107" i="9"/>
  <c r="BA107" i="9"/>
  <c r="BB107" i="9"/>
  <c r="BF107" i="9"/>
  <c r="AQ107" i="9"/>
  <c r="BL107" i="9"/>
  <c r="BK107" i="9"/>
  <c r="AH107" i="9"/>
  <c r="AG107" i="9"/>
  <c r="AB107" i="9"/>
  <c r="AM121" i="9"/>
  <c r="AL121" i="9"/>
  <c r="BB121" i="9"/>
  <c r="BA121" i="9"/>
  <c r="BK121" i="9"/>
  <c r="AQ121" i="9"/>
  <c r="BF121" i="9"/>
  <c r="AH121" i="9"/>
  <c r="AV121" i="9"/>
  <c r="AG121" i="9"/>
  <c r="AR121" i="9"/>
  <c r="AW121" i="9"/>
  <c r="BG121" i="9"/>
  <c r="BL121" i="9"/>
  <c r="AC121" i="9"/>
  <c r="AB121" i="9"/>
  <c r="AM135" i="9"/>
  <c r="AL135" i="9"/>
  <c r="AQ135" i="9"/>
  <c r="BG135" i="9"/>
  <c r="BF135" i="9"/>
  <c r="AC135" i="9"/>
  <c r="AR135" i="9"/>
  <c r="AB135" i="9"/>
  <c r="AG135" i="9"/>
  <c r="BA135" i="9"/>
  <c r="AW135" i="9"/>
  <c r="AV135" i="9"/>
  <c r="BB135" i="9"/>
  <c r="BL135" i="9"/>
  <c r="BK135" i="9"/>
  <c r="AH135" i="9"/>
  <c r="BL147" i="9"/>
  <c r="BK147" i="9"/>
  <c r="AR147" i="9"/>
  <c r="AC147" i="9"/>
  <c r="AQ147" i="9"/>
  <c r="AM147" i="9"/>
  <c r="AL147" i="9"/>
  <c r="AB147" i="9"/>
  <c r="BG147" i="9"/>
  <c r="BF147" i="9"/>
  <c r="BA147" i="9"/>
  <c r="BB147" i="9"/>
  <c r="AH147" i="9"/>
  <c r="AV147" i="9"/>
  <c r="AG147" i="9"/>
  <c r="AW147" i="9"/>
  <c r="BK20" i="9"/>
  <c r="AW20" i="9"/>
  <c r="AH20" i="9"/>
  <c r="BL20" i="9"/>
  <c r="BA20" i="9"/>
  <c r="AB20" i="9"/>
  <c r="BB20" i="9"/>
  <c r="AC20" i="9"/>
  <c r="BF20" i="9"/>
  <c r="AM20" i="9"/>
  <c r="AL20" i="9"/>
  <c r="BG20" i="9"/>
  <c r="AV20" i="9"/>
  <c r="AR20" i="9"/>
  <c r="AQ20" i="9"/>
  <c r="AG20" i="9"/>
  <c r="AH14" i="9"/>
  <c r="BG14" i="9"/>
  <c r="AM14" i="9"/>
  <c r="AL14" i="9"/>
  <c r="AG14" i="9"/>
  <c r="BA14" i="9"/>
  <c r="AQ14" i="9"/>
  <c r="BK14" i="9"/>
  <c r="BB14" i="9"/>
  <c r="AB14" i="9"/>
  <c r="AW14" i="9"/>
  <c r="AC14" i="9"/>
  <c r="AV14" i="9"/>
  <c r="BF14" i="9"/>
  <c r="AR14" i="9"/>
  <c r="BL14" i="9"/>
  <c r="BG28" i="9"/>
  <c r="AH28" i="9"/>
  <c r="AG28" i="9"/>
  <c r="AW28" i="9"/>
  <c r="BA28" i="9"/>
  <c r="BF28" i="9"/>
  <c r="AV28" i="9"/>
  <c r="AR28" i="9"/>
  <c r="BB28" i="9"/>
  <c r="AM28" i="9"/>
  <c r="AQ28" i="9"/>
  <c r="AL28" i="9"/>
  <c r="AC28" i="9"/>
  <c r="BK28" i="9"/>
  <c r="BL28" i="9"/>
  <c r="AB28" i="9"/>
  <c r="BL41" i="9"/>
  <c r="AL41" i="9"/>
  <c r="BB41" i="9"/>
  <c r="BA41" i="9"/>
  <c r="BK41" i="9"/>
  <c r="AM41" i="9"/>
  <c r="BG41" i="9"/>
  <c r="BF41" i="9"/>
  <c r="AR41" i="9"/>
  <c r="AB41" i="9"/>
  <c r="AV41" i="9"/>
  <c r="AW41" i="9"/>
  <c r="AC41" i="9"/>
  <c r="AQ41" i="9"/>
  <c r="AH41" i="9"/>
  <c r="AG41" i="9"/>
  <c r="BL55" i="9"/>
  <c r="BK55" i="9"/>
  <c r="AM55" i="9"/>
  <c r="AL55" i="9"/>
  <c r="BF55" i="9"/>
  <c r="BG55" i="9"/>
  <c r="AW55" i="9"/>
  <c r="AH55" i="9"/>
  <c r="AR55" i="9"/>
  <c r="BB55" i="9"/>
  <c r="AG55" i="9"/>
  <c r="AQ55" i="9"/>
  <c r="BA55" i="9"/>
  <c r="AC55" i="9"/>
  <c r="AB55" i="9"/>
  <c r="AV55" i="9"/>
  <c r="AW68" i="9"/>
  <c r="BF68" i="9"/>
  <c r="AM68" i="9"/>
  <c r="AV68" i="9"/>
  <c r="AG68" i="9"/>
  <c r="AH68" i="9"/>
  <c r="BB68" i="9"/>
  <c r="BA68" i="9"/>
  <c r="BK68" i="9"/>
  <c r="AQ68" i="9"/>
  <c r="BL68" i="9"/>
  <c r="AR68" i="9"/>
  <c r="AC68" i="9"/>
  <c r="AB68" i="9"/>
  <c r="AL68" i="9"/>
  <c r="BG68" i="9"/>
  <c r="BF81" i="9"/>
  <c r="BA81" i="9"/>
  <c r="AC81" i="9"/>
  <c r="AB81" i="9"/>
  <c r="AW81" i="9"/>
  <c r="AR81" i="9"/>
  <c r="AM81" i="9"/>
  <c r="AQ81" i="9"/>
  <c r="BK81" i="9"/>
  <c r="BG81" i="9"/>
  <c r="AG81" i="9"/>
  <c r="AL81" i="9"/>
  <c r="AV81" i="9"/>
  <c r="BB81" i="9"/>
  <c r="AH81" i="9"/>
  <c r="BL81" i="9"/>
  <c r="AB94" i="9"/>
  <c r="BB94" i="9"/>
  <c r="BA94" i="9"/>
  <c r="AR94" i="9"/>
  <c r="AV94" i="9"/>
  <c r="AW94" i="9"/>
  <c r="AL94" i="9"/>
  <c r="BL94" i="9"/>
  <c r="BK94" i="9"/>
  <c r="BG94" i="9"/>
  <c r="BF94" i="9"/>
  <c r="AH94" i="9"/>
  <c r="AC94" i="9"/>
  <c r="AM94" i="9"/>
  <c r="AQ94" i="9"/>
  <c r="AG94" i="9"/>
  <c r="AM108" i="9"/>
  <c r="AL108" i="9"/>
  <c r="BB108" i="9"/>
  <c r="BA108" i="9"/>
  <c r="BL108" i="9"/>
  <c r="AH108" i="9"/>
  <c r="AV108" i="9"/>
  <c r="AR108" i="9"/>
  <c r="AG108" i="9"/>
  <c r="AW108" i="9"/>
  <c r="AC108" i="9"/>
  <c r="BG108" i="9"/>
  <c r="AQ108" i="9"/>
  <c r="AB108" i="9"/>
  <c r="BK108" i="9"/>
  <c r="BF108" i="9"/>
  <c r="AC122" i="9"/>
  <c r="AH122" i="9"/>
  <c r="AG122" i="9"/>
  <c r="AB122" i="9"/>
  <c r="AW122" i="9"/>
  <c r="AR122" i="9"/>
  <c r="AV122" i="9"/>
  <c r="BG122" i="9"/>
  <c r="BF122" i="9"/>
  <c r="AM122" i="9"/>
  <c r="AQ122" i="9"/>
  <c r="AL122" i="9"/>
  <c r="BB122" i="9"/>
  <c r="BL122" i="9"/>
  <c r="BK122" i="9"/>
  <c r="BA122" i="9"/>
  <c r="AR136" i="9"/>
  <c r="AQ136" i="9"/>
  <c r="BA136" i="9"/>
  <c r="AM136" i="9"/>
  <c r="AL136" i="9"/>
  <c r="BB136" i="9"/>
  <c r="BG136" i="9"/>
  <c r="BL136" i="9"/>
  <c r="AW136" i="9"/>
  <c r="BF136" i="9"/>
  <c r="AC136" i="9"/>
  <c r="BK136" i="9"/>
  <c r="AH136" i="9"/>
  <c r="AG136" i="9"/>
  <c r="AV136" i="9"/>
  <c r="AB136" i="9"/>
  <c r="BB148" i="9"/>
  <c r="AV148" i="9"/>
  <c r="BL148" i="9"/>
  <c r="AR148" i="9"/>
  <c r="BK148" i="9"/>
  <c r="AC148" i="9"/>
  <c r="AB148" i="9"/>
  <c r="AW148" i="9"/>
  <c r="BA148" i="9"/>
  <c r="AQ148" i="9"/>
  <c r="AG148" i="9"/>
  <c r="BG148" i="9"/>
  <c r="BF148" i="9"/>
  <c r="AM148" i="9"/>
  <c r="AL148" i="9"/>
  <c r="AH148" i="9"/>
  <c r="AM15" i="9"/>
  <c r="BL15" i="9"/>
  <c r="CA15" i="9"/>
  <c r="AH15" i="9"/>
  <c r="AR15" i="9"/>
  <c r="BV15" i="9"/>
  <c r="AW15" i="9"/>
  <c r="BB15" i="9"/>
  <c r="BQ15" i="9"/>
  <c r="CF15" i="9"/>
  <c r="BG15" i="9"/>
  <c r="AC15" i="9"/>
  <c r="AM29" i="9"/>
  <c r="AL29" i="9"/>
  <c r="BA29" i="9"/>
  <c r="BL29" i="9"/>
  <c r="BG29" i="9"/>
  <c r="BF29" i="9"/>
  <c r="AQ29" i="9"/>
  <c r="AG29" i="9"/>
  <c r="AW29" i="9"/>
  <c r="AV29" i="9"/>
  <c r="AB29" i="9"/>
  <c r="BK29" i="9"/>
  <c r="AC29" i="9"/>
  <c r="AR29" i="9"/>
  <c r="BB29" i="9"/>
  <c r="AH29" i="9"/>
  <c r="AC42" i="9"/>
  <c r="AB42" i="9"/>
  <c r="AH42" i="9"/>
  <c r="BG42" i="9"/>
  <c r="BF42" i="9"/>
  <c r="AV42" i="9"/>
  <c r="BA42" i="9"/>
  <c r="AQ42" i="9"/>
  <c r="AG42" i="9"/>
  <c r="BB42" i="9"/>
  <c r="AM42" i="9"/>
  <c r="BL42" i="9"/>
  <c r="BK42" i="9"/>
  <c r="AR42" i="9"/>
  <c r="AL42" i="9"/>
  <c r="AW42" i="9"/>
  <c r="AC56" i="9"/>
  <c r="AR56" i="9"/>
  <c r="AQ56" i="9"/>
  <c r="AG56" i="9"/>
  <c r="AB56" i="9"/>
  <c r="BG56" i="9"/>
  <c r="BF56" i="9"/>
  <c r="BA56" i="9"/>
  <c r="AH56" i="9"/>
  <c r="AW56" i="9"/>
  <c r="AV56" i="9"/>
  <c r="BB56" i="9"/>
  <c r="BL56" i="9"/>
  <c r="BK56" i="9"/>
  <c r="AM56" i="9"/>
  <c r="AL56" i="9"/>
  <c r="BA69" i="9"/>
  <c r="AH69" i="9"/>
  <c r="AG69" i="9"/>
  <c r="AW69" i="9"/>
  <c r="AV69" i="9"/>
  <c r="AM69" i="9"/>
  <c r="AL69" i="9"/>
  <c r="BB69" i="9"/>
  <c r="AQ69" i="9"/>
  <c r="BL69" i="9"/>
  <c r="BK69" i="9"/>
  <c r="BG69" i="9"/>
  <c r="AC69" i="9"/>
  <c r="BF69" i="9"/>
  <c r="AB69" i="9"/>
  <c r="AR69" i="9"/>
  <c r="BG82" i="9"/>
  <c r="AG82" i="9"/>
  <c r="AC82" i="9"/>
  <c r="AB82" i="9"/>
  <c r="AQ82" i="9"/>
  <c r="BB82" i="9"/>
  <c r="AW82" i="9"/>
  <c r="BK82" i="9"/>
  <c r="AR82" i="9"/>
  <c r="AH82" i="9"/>
  <c r="BF82" i="9"/>
  <c r="BL82" i="9"/>
  <c r="AL82" i="9"/>
  <c r="AV82" i="9"/>
  <c r="AM82" i="9"/>
  <c r="BA82" i="9"/>
  <c r="AB95" i="9"/>
  <c r="AG95" i="9"/>
  <c r="AC95" i="9"/>
  <c r="AL95" i="9"/>
  <c r="AW95" i="9"/>
  <c r="AR95" i="9"/>
  <c r="BA95" i="9"/>
  <c r="BF95" i="9"/>
  <c r="BL95" i="9"/>
  <c r="BK95" i="9"/>
  <c r="AV95" i="9"/>
  <c r="AH95" i="9"/>
  <c r="BG95" i="9"/>
  <c r="AQ95" i="9"/>
  <c r="AM95" i="9"/>
  <c r="BB95" i="9"/>
  <c r="AC109" i="9"/>
  <c r="AB109" i="9"/>
  <c r="AL109" i="9"/>
  <c r="AG109" i="9"/>
  <c r="BB109" i="9"/>
  <c r="AH109" i="9"/>
  <c r="AR109" i="9"/>
  <c r="AW109" i="9"/>
  <c r="BL109" i="9"/>
  <c r="AV109" i="9"/>
  <c r="BK109" i="9"/>
  <c r="BG109" i="9"/>
  <c r="AQ109" i="9"/>
  <c r="BF109" i="9"/>
  <c r="BA109" i="9"/>
  <c r="AM109" i="9"/>
  <c r="AW123" i="9"/>
  <c r="AH123" i="9"/>
  <c r="AG123" i="9"/>
  <c r="BB123" i="9"/>
  <c r="BA123" i="9"/>
  <c r="AC123" i="9"/>
  <c r="AR123" i="9"/>
  <c r="AB123" i="9"/>
  <c r="AQ123" i="9"/>
  <c r="AL123" i="9"/>
  <c r="BF123" i="9"/>
  <c r="AV123" i="9"/>
  <c r="BG123" i="9"/>
  <c r="BK123" i="9"/>
  <c r="AM123" i="9"/>
  <c r="BL123" i="9"/>
  <c r="BK137" i="9"/>
  <c r="AW137" i="9"/>
  <c r="AV137" i="9"/>
  <c r="AH137" i="9"/>
  <c r="AG137" i="9"/>
  <c r="BL137" i="9"/>
  <c r="AR137" i="9"/>
  <c r="BB137" i="9"/>
  <c r="BA137" i="9"/>
  <c r="BG137" i="9"/>
  <c r="AC137" i="9"/>
  <c r="AQ137" i="9"/>
  <c r="BF137" i="9"/>
  <c r="AM137" i="9"/>
  <c r="AL137" i="9"/>
  <c r="AB137" i="9"/>
  <c r="AV149" i="9"/>
  <c r="BG149" i="9"/>
  <c r="AH149" i="9"/>
  <c r="AG149" i="9"/>
  <c r="BB149" i="9"/>
  <c r="BA149" i="9"/>
  <c r="AQ149" i="9"/>
  <c r="AB149" i="9"/>
  <c r="AC149" i="9"/>
  <c r="AW149" i="9"/>
  <c r="BL149" i="9"/>
  <c r="AM149" i="9"/>
  <c r="BK149" i="9"/>
  <c r="BF149" i="9"/>
  <c r="AL149" i="9"/>
  <c r="AR149" i="9"/>
  <c r="AC16" i="9"/>
  <c r="AR16" i="9"/>
  <c r="AB16" i="9"/>
  <c r="AQ16" i="9"/>
  <c r="BG16" i="9"/>
  <c r="AV16" i="9"/>
  <c r="BF16" i="9"/>
  <c r="AG16" i="9"/>
  <c r="BK16" i="9"/>
  <c r="BL16" i="9"/>
  <c r="AL16" i="9"/>
  <c r="AH16" i="9"/>
  <c r="AM16" i="9"/>
  <c r="BB16" i="9"/>
  <c r="AW16" i="9"/>
  <c r="BA16" i="9"/>
  <c r="AC30" i="9"/>
  <c r="AB30" i="9"/>
  <c r="AR30" i="9"/>
  <c r="AQ30" i="9"/>
  <c r="AW30" i="9"/>
  <c r="AV30" i="9"/>
  <c r="BF30" i="9"/>
  <c r="AH30" i="9"/>
  <c r="AG30" i="9"/>
  <c r="AM30" i="9"/>
  <c r="BB30" i="9"/>
  <c r="AL30" i="9"/>
  <c r="BA30" i="9"/>
  <c r="BG30" i="9"/>
  <c r="BK30" i="9"/>
  <c r="BL30" i="9"/>
  <c r="AG43" i="9"/>
  <c r="BA43" i="9"/>
  <c r="BB43" i="9"/>
  <c r="AM43" i="9"/>
  <c r="AH43" i="9"/>
  <c r="BG43" i="9"/>
  <c r="AL43" i="9"/>
  <c r="BF43" i="9"/>
  <c r="AW43" i="9"/>
  <c r="AV43" i="9"/>
  <c r="AB43" i="9"/>
  <c r="AC43" i="9"/>
  <c r="AQ43" i="9"/>
  <c r="AR43" i="9"/>
  <c r="BL43" i="9"/>
  <c r="BK43" i="9"/>
  <c r="AH57" i="9"/>
  <c r="AW57" i="9"/>
  <c r="AV57" i="9"/>
  <c r="AL57" i="9"/>
  <c r="AG57" i="9"/>
  <c r="BL57" i="9"/>
  <c r="BK57" i="9"/>
  <c r="AC57" i="9"/>
  <c r="AB57" i="9"/>
  <c r="BB57" i="9"/>
  <c r="BA57" i="9"/>
  <c r="BF57" i="9"/>
  <c r="BG57" i="9"/>
  <c r="AM57" i="9"/>
  <c r="AQ57" i="9"/>
  <c r="AR57" i="9"/>
  <c r="BG70" i="9"/>
  <c r="BF70" i="9"/>
  <c r="AH70" i="9"/>
  <c r="BL70" i="9"/>
  <c r="AV70" i="9"/>
  <c r="AW70" i="9"/>
  <c r="BK70" i="9"/>
  <c r="AG70" i="9"/>
  <c r="AC70" i="9"/>
  <c r="AB70" i="9"/>
  <c r="AL70" i="9"/>
  <c r="AQ70" i="9"/>
  <c r="AR70" i="9"/>
  <c r="AM70" i="9"/>
  <c r="BB70" i="9"/>
  <c r="BA70" i="9"/>
  <c r="AB83" i="9"/>
  <c r="BB83" i="9"/>
  <c r="AH83" i="9"/>
  <c r="AG83" i="9"/>
  <c r="AR83" i="9"/>
  <c r="AM83" i="9"/>
  <c r="AQ83" i="9"/>
  <c r="BL83" i="9"/>
  <c r="AL83" i="9"/>
  <c r="AV83" i="9"/>
  <c r="BF83" i="9"/>
  <c r="BK83" i="9"/>
  <c r="BG83" i="9"/>
  <c r="AW83" i="9"/>
  <c r="BA83" i="9"/>
  <c r="AC83" i="9"/>
  <c r="BA96" i="9"/>
  <c r="AH96" i="9"/>
  <c r="AG96" i="9"/>
  <c r="AQ96" i="9"/>
  <c r="AC96" i="9"/>
  <c r="AB96" i="9"/>
  <c r="BB96" i="9"/>
  <c r="AV96" i="9"/>
  <c r="BF96" i="9"/>
  <c r="BL96" i="9"/>
  <c r="BK96" i="9"/>
  <c r="AM96" i="9"/>
  <c r="AR96" i="9"/>
  <c r="AL96" i="9"/>
  <c r="AW96" i="9"/>
  <c r="BG96" i="9"/>
  <c r="BL110" i="9"/>
  <c r="AW110" i="9"/>
  <c r="AH110" i="9"/>
  <c r="AG110" i="9"/>
  <c r="BG110" i="9"/>
  <c r="BB110" i="9"/>
  <c r="AM110" i="9"/>
  <c r="AL110" i="9"/>
  <c r="BA110" i="9"/>
  <c r="AC110" i="9"/>
  <c r="AR110" i="9"/>
  <c r="AV110" i="9"/>
  <c r="AB110" i="9"/>
  <c r="AQ110" i="9"/>
  <c r="BF110" i="9"/>
  <c r="BK110" i="9"/>
  <c r="AM124" i="9"/>
  <c r="AH124" i="9"/>
  <c r="BB124" i="9"/>
  <c r="BA124" i="9"/>
  <c r="AB124" i="9"/>
  <c r="AR124" i="9"/>
  <c r="AL124" i="9"/>
  <c r="AQ124" i="9"/>
  <c r="AC124" i="9"/>
  <c r="AG124" i="9"/>
  <c r="BG124" i="9"/>
  <c r="BF124" i="9"/>
  <c r="AW124" i="9"/>
  <c r="AV124" i="9"/>
  <c r="BL124" i="9"/>
  <c r="BK124" i="9"/>
  <c r="BF150" i="9"/>
  <c r="AM150" i="9"/>
  <c r="AL150" i="9"/>
  <c r="BB150" i="9"/>
  <c r="BA150" i="9"/>
  <c r="BG150" i="9"/>
  <c r="AC150" i="9"/>
  <c r="BL150" i="9"/>
  <c r="AQ150" i="9"/>
  <c r="AR150" i="9"/>
  <c r="AG150" i="9"/>
  <c r="AH150" i="9"/>
  <c r="AV150" i="9"/>
  <c r="BK150" i="9"/>
  <c r="AB150" i="9"/>
  <c r="AW150" i="9"/>
  <c r="BK33" i="9"/>
  <c r="AQ33" i="9"/>
  <c r="AM33" i="9"/>
  <c r="BB33" i="9"/>
  <c r="BA33" i="9"/>
  <c r="AG33" i="9"/>
  <c r="AV33" i="9"/>
  <c r="AH33" i="9"/>
  <c r="AB33" i="9"/>
  <c r="AW33" i="9"/>
  <c r="BG33" i="9"/>
  <c r="BF33" i="9"/>
  <c r="AC33" i="9"/>
  <c r="BL33" i="9"/>
  <c r="AR33" i="9"/>
  <c r="AL33" i="9"/>
  <c r="AW17" i="9"/>
  <c r="AV17" i="9"/>
  <c r="AM17" i="9"/>
  <c r="AL17" i="9"/>
  <c r="BB17" i="9"/>
  <c r="BA17" i="9"/>
  <c r="AQ17" i="9"/>
  <c r="AB17" i="9"/>
  <c r="BK17" i="9"/>
  <c r="AH17" i="9"/>
  <c r="AC17" i="9"/>
  <c r="AG17" i="9"/>
  <c r="BG17" i="9"/>
  <c r="BF17" i="9"/>
  <c r="AR17" i="9"/>
  <c r="BL17" i="9"/>
  <c r="AL31" i="9"/>
  <c r="AH31" i="9"/>
  <c r="AG31" i="9"/>
  <c r="AW31" i="9"/>
  <c r="AV31" i="9"/>
  <c r="AM31" i="9"/>
  <c r="BK31" i="9"/>
  <c r="AC31" i="9"/>
  <c r="BF31" i="9"/>
  <c r="AB31" i="9"/>
  <c r="BB31" i="9"/>
  <c r="BL31" i="9"/>
  <c r="AR31" i="9"/>
  <c r="AQ31" i="9"/>
  <c r="BG31" i="9"/>
  <c r="BA31" i="9"/>
  <c r="BA44" i="9"/>
  <c r="AH44" i="9"/>
  <c r="AM44" i="9"/>
  <c r="BG44" i="9"/>
  <c r="BB44" i="9"/>
  <c r="AL44" i="9"/>
  <c r="AG44" i="9"/>
  <c r="AR44" i="9"/>
  <c r="AW44" i="9"/>
  <c r="AQ44" i="9"/>
  <c r="BK44" i="9"/>
  <c r="AB44" i="9"/>
  <c r="AV44" i="9"/>
  <c r="AC44" i="9"/>
  <c r="BF44" i="9"/>
  <c r="BL44" i="9"/>
  <c r="BF58" i="9"/>
  <c r="AC58" i="9"/>
  <c r="BK58" i="9"/>
  <c r="BG58" i="9"/>
  <c r="BB58" i="9"/>
  <c r="BA58" i="9"/>
  <c r="AB58" i="9"/>
  <c r="AM58" i="9"/>
  <c r="AW58" i="9"/>
  <c r="AL58" i="9"/>
  <c r="AV58" i="9"/>
  <c r="BL58" i="9"/>
  <c r="AQ58" i="9"/>
  <c r="AG58" i="9"/>
  <c r="AR58" i="9"/>
  <c r="AH58" i="9"/>
  <c r="AL71" i="9"/>
  <c r="BL71" i="9"/>
  <c r="AR71" i="9"/>
  <c r="AQ71" i="9"/>
  <c r="AM71" i="9"/>
  <c r="BB71" i="9"/>
  <c r="BF71" i="9"/>
  <c r="BA71" i="9"/>
  <c r="BK71" i="9"/>
  <c r="AC71" i="9"/>
  <c r="AH71" i="9"/>
  <c r="AB71" i="9"/>
  <c r="BG71" i="9"/>
  <c r="AG71" i="9"/>
  <c r="AV71" i="9"/>
  <c r="AW71" i="9"/>
  <c r="AL84" i="9"/>
  <c r="AR84" i="9"/>
  <c r="BG84" i="9"/>
  <c r="AQ84" i="9"/>
  <c r="BF84" i="9"/>
  <c r="AM84" i="9"/>
  <c r="BL84" i="9"/>
  <c r="BK84" i="9"/>
  <c r="AH84" i="9"/>
  <c r="AB84" i="9"/>
  <c r="AW84" i="9"/>
  <c r="AC84" i="9"/>
  <c r="AV84" i="9"/>
  <c r="BA84" i="9"/>
  <c r="AG84" i="9"/>
  <c r="BB84" i="9"/>
  <c r="AM97" i="9"/>
  <c r="AL97" i="9"/>
  <c r="AV97" i="9"/>
  <c r="BL97" i="9"/>
  <c r="AC97" i="9"/>
  <c r="BF97" i="9"/>
  <c r="BK97" i="9"/>
  <c r="AR97" i="9"/>
  <c r="BA97" i="9"/>
  <c r="AQ97" i="9"/>
  <c r="AB97" i="9"/>
  <c r="BG97" i="9"/>
  <c r="AH97" i="9"/>
  <c r="AG97" i="9"/>
  <c r="BB97" i="9"/>
  <c r="AW97" i="9"/>
  <c r="AH111" i="9"/>
  <c r="BL111" i="9"/>
  <c r="BB111" i="9"/>
  <c r="BA111" i="9"/>
  <c r="AL111" i="9"/>
  <c r="AM111" i="9"/>
  <c r="AR111" i="9"/>
  <c r="AV111" i="9"/>
  <c r="AQ111" i="9"/>
  <c r="AG111" i="9"/>
  <c r="AW111" i="9"/>
  <c r="AC111" i="9"/>
  <c r="BG111" i="9"/>
  <c r="AB111" i="9"/>
  <c r="BF111" i="9"/>
  <c r="BK111" i="9"/>
  <c r="BL125" i="9"/>
  <c r="BK125" i="9"/>
  <c r="AM125" i="9"/>
  <c r="AL125" i="9"/>
  <c r="BG125" i="9"/>
  <c r="AG125" i="9"/>
  <c r="BF125" i="9"/>
  <c r="AW125" i="9"/>
  <c r="AQ125" i="9"/>
  <c r="AR125" i="9"/>
  <c r="BB125" i="9"/>
  <c r="AC125" i="9"/>
  <c r="AH125" i="9"/>
  <c r="BA125" i="9"/>
  <c r="AB125" i="9"/>
  <c r="AV125" i="9"/>
  <c r="BB138" i="9"/>
  <c r="BA138" i="9"/>
  <c r="AC138" i="9"/>
  <c r="AW138" i="9"/>
  <c r="AV138" i="9"/>
  <c r="AH138" i="9"/>
  <c r="BF138" i="9"/>
  <c r="BL138" i="9"/>
  <c r="AR138" i="9"/>
  <c r="AM138" i="9"/>
  <c r="AB138" i="9"/>
  <c r="AL138" i="9"/>
  <c r="BG138" i="9"/>
  <c r="BK138" i="9"/>
  <c r="AG138" i="9"/>
  <c r="AQ138" i="9"/>
  <c r="BA151" i="9"/>
  <c r="AB151" i="9"/>
  <c r="BL151" i="9"/>
  <c r="BK151" i="9"/>
  <c r="BG151" i="9"/>
  <c r="BF151" i="9"/>
  <c r="AM151" i="9"/>
  <c r="AL151" i="9"/>
  <c r="AG151" i="9"/>
  <c r="AH151" i="9"/>
  <c r="AV151" i="9"/>
  <c r="BB151" i="9"/>
  <c r="AW151" i="9"/>
  <c r="AC151" i="9"/>
  <c r="AR151" i="9"/>
  <c r="AQ151" i="9"/>
  <c r="BW5" i="9"/>
  <c r="BR5" i="9"/>
  <c r="BM5" i="9"/>
  <c r="CB5" i="9"/>
  <c r="AR5" i="9"/>
  <c r="BF5" i="9"/>
  <c r="AQ5" i="9"/>
  <c r="BG5" i="9"/>
  <c r="AV5" i="9"/>
  <c r="AW5" i="9"/>
  <c r="BK5" i="9"/>
  <c r="BL5" i="9"/>
  <c r="AC5" i="9"/>
  <c r="AH5" i="9"/>
  <c r="BA5" i="9"/>
  <c r="AL5" i="9"/>
  <c r="AG5" i="9"/>
  <c r="AB5" i="9"/>
  <c r="AM5" i="9"/>
  <c r="BB5" i="9"/>
  <c r="B29" i="11"/>
  <c r="B30" i="11"/>
  <c r="CK166" i="9" l="1"/>
  <c r="CK187" i="9"/>
  <c r="CK168" i="9"/>
  <c r="CK188" i="9"/>
  <c r="CK185" i="9"/>
  <c r="CK169" i="9"/>
  <c r="CK172" i="9"/>
  <c r="CK184" i="9"/>
  <c r="CK176" i="9"/>
  <c r="CK178" i="9"/>
  <c r="CK190" i="9"/>
  <c r="CK173" i="9"/>
  <c r="CK174" i="9"/>
  <c r="CK182" i="9"/>
  <c r="CK179" i="9"/>
  <c r="CK189" i="9"/>
  <c r="CK170" i="9"/>
  <c r="CK167" i="9"/>
  <c r="AR191" i="9"/>
  <c r="E27" i="13" s="1"/>
  <c r="AM191" i="9"/>
  <c r="D27" i="13" s="1"/>
  <c r="CB191" i="9"/>
  <c r="M5" i="13" s="1"/>
  <c r="M10" i="13" s="1"/>
  <c r="M11" i="13" s="1"/>
  <c r="BL191" i="9"/>
  <c r="I27" i="13" s="1"/>
  <c r="BB191" i="9"/>
  <c r="G27" i="13" s="1"/>
  <c r="BF191" i="9"/>
  <c r="H25" i="13" s="1"/>
  <c r="BP16" i="9"/>
  <c r="BQ16" i="9"/>
  <c r="BN16" i="9"/>
  <c r="CG16" i="9"/>
  <c r="BV20" i="9"/>
  <c r="BS20" i="9"/>
  <c r="BT20" i="9" s="1"/>
  <c r="BU20" i="9"/>
  <c r="BU30" i="9"/>
  <c r="BV30" i="9"/>
  <c r="BS30" i="9"/>
  <c r="BT30" i="9" s="1"/>
  <c r="BQ29" i="9"/>
  <c r="BP29" i="9"/>
  <c r="BN29" i="9"/>
  <c r="CG29" i="9"/>
  <c r="CF29" i="9"/>
  <c r="CE29" i="9"/>
  <c r="CC29" i="9"/>
  <c r="CD29" i="9" s="1"/>
  <c r="CI29" i="9" s="1"/>
  <c r="BQ57" i="9"/>
  <c r="BP57" i="9"/>
  <c r="BN57" i="9"/>
  <c r="CG57" i="9"/>
  <c r="CF50" i="9"/>
  <c r="CE50" i="9"/>
  <c r="CC50" i="9"/>
  <c r="CD50" i="9" s="1"/>
  <c r="CI50" i="9" s="1"/>
  <c r="BV48" i="9"/>
  <c r="BU48" i="9"/>
  <c r="BS48" i="9"/>
  <c r="BT48" i="9" s="1"/>
  <c r="CE19" i="9"/>
  <c r="CF19" i="9"/>
  <c r="CC19" i="9"/>
  <c r="CD19" i="9" s="1"/>
  <c r="CI19" i="9" s="1"/>
  <c r="CC14" i="9"/>
  <c r="CD14" i="9" s="1"/>
  <c r="CI14" i="9" s="1"/>
  <c r="CF14" i="9"/>
  <c r="CE14" i="9"/>
  <c r="BU32" i="9"/>
  <c r="BS32" i="9"/>
  <c r="BT32" i="9" s="1"/>
  <c r="BV32" i="9"/>
  <c r="CA54" i="9"/>
  <c r="BX54" i="9"/>
  <c r="BY54" i="9" s="1"/>
  <c r="BZ54" i="9"/>
  <c r="BU31" i="9"/>
  <c r="BS31" i="9"/>
  <c r="BT31" i="9" s="1"/>
  <c r="BV31" i="9"/>
  <c r="CC42" i="9"/>
  <c r="CD42" i="9" s="1"/>
  <c r="CI42" i="9" s="1"/>
  <c r="CE42" i="9"/>
  <c r="CF42" i="9"/>
  <c r="BX48" i="9"/>
  <c r="BY48" i="9" s="1"/>
  <c r="CA48" i="9"/>
  <c r="BZ48" i="9"/>
  <c r="BP62" i="9"/>
  <c r="BQ62" i="9"/>
  <c r="BN62" i="9"/>
  <c r="CG62" i="9"/>
  <c r="CF85" i="9"/>
  <c r="CC85" i="9"/>
  <c r="CD85" i="9" s="1"/>
  <c r="CI85" i="9" s="1"/>
  <c r="CE85" i="9"/>
  <c r="CF92" i="9"/>
  <c r="CE92" i="9"/>
  <c r="CC92" i="9"/>
  <c r="CD92" i="9" s="1"/>
  <c r="CI92" i="9" s="1"/>
  <c r="BQ74" i="9"/>
  <c r="BN74" i="9"/>
  <c r="BP74" i="9"/>
  <c r="CG74" i="9"/>
  <c r="CF81" i="9"/>
  <c r="CE81" i="9"/>
  <c r="CC81" i="9"/>
  <c r="CD81" i="9" s="1"/>
  <c r="CI81" i="9" s="1"/>
  <c r="BN82" i="9"/>
  <c r="BQ82" i="9"/>
  <c r="BP82" i="9"/>
  <c r="CG82" i="9"/>
  <c r="BS90" i="9"/>
  <c r="BT90" i="9" s="1"/>
  <c r="BV90" i="9"/>
  <c r="BU90" i="9"/>
  <c r="BP136" i="9"/>
  <c r="BN136" i="9"/>
  <c r="CG136" i="9"/>
  <c r="BQ136" i="9"/>
  <c r="BZ73" i="9"/>
  <c r="CA73" i="9"/>
  <c r="BX73" i="9"/>
  <c r="BY73" i="9" s="1"/>
  <c r="CF78" i="9"/>
  <c r="CE78" i="9"/>
  <c r="CC78" i="9"/>
  <c r="CD78" i="9" s="1"/>
  <c r="CI78" i="9" s="1"/>
  <c r="CA109" i="9"/>
  <c r="BZ109" i="9"/>
  <c r="BX109" i="9"/>
  <c r="BY109" i="9" s="1"/>
  <c r="BZ100" i="9"/>
  <c r="CA100" i="9"/>
  <c r="BX100" i="9"/>
  <c r="BY100" i="9" s="1"/>
  <c r="BN105" i="9"/>
  <c r="BQ105" i="9"/>
  <c r="BP105" i="9"/>
  <c r="CG105" i="9"/>
  <c r="BZ113" i="9"/>
  <c r="BX113" i="9"/>
  <c r="BY113" i="9" s="1"/>
  <c r="CA113" i="9"/>
  <c r="CC118" i="9"/>
  <c r="CD118" i="9" s="1"/>
  <c r="CI118" i="9" s="1"/>
  <c r="CF118" i="9"/>
  <c r="CE118" i="9"/>
  <c r="BQ113" i="9"/>
  <c r="BP113" i="9"/>
  <c r="BN113" i="9"/>
  <c r="CG113" i="9"/>
  <c r="BV130" i="9"/>
  <c r="BS130" i="9"/>
  <c r="BT130" i="9" s="1"/>
  <c r="BU130" i="9"/>
  <c r="BQ99" i="9"/>
  <c r="CG99" i="9"/>
  <c r="BP99" i="9"/>
  <c r="BN99" i="9"/>
  <c r="BZ124" i="9"/>
  <c r="BX124" i="9"/>
  <c r="BY124" i="9" s="1"/>
  <c r="CA124" i="9"/>
  <c r="BZ142" i="9"/>
  <c r="BX142" i="9"/>
  <c r="BY142" i="9" s="1"/>
  <c r="CA142" i="9"/>
  <c r="BX119" i="9"/>
  <c r="BY119" i="9" s="1"/>
  <c r="CA119" i="9"/>
  <c r="BZ119" i="9"/>
  <c r="BV141" i="9"/>
  <c r="BU141" i="9"/>
  <c r="BS141" i="9"/>
  <c r="BT141" i="9" s="1"/>
  <c r="BP143" i="9"/>
  <c r="BQ143" i="9"/>
  <c r="BN143" i="9"/>
  <c r="CG143" i="9"/>
  <c r="BX128" i="9"/>
  <c r="BY128" i="9" s="1"/>
  <c r="CA128" i="9"/>
  <c r="BZ128" i="9"/>
  <c r="CA144" i="9"/>
  <c r="BZ144" i="9"/>
  <c r="BX144" i="9"/>
  <c r="BY144" i="9" s="1"/>
  <c r="BU137" i="9"/>
  <c r="BS137" i="9"/>
  <c r="BT137" i="9" s="1"/>
  <c r="BV137" i="9"/>
  <c r="CC130" i="9"/>
  <c r="CD130" i="9" s="1"/>
  <c r="CI130" i="9" s="1"/>
  <c r="CF130" i="9"/>
  <c r="CE130" i="9"/>
  <c r="BZ150" i="9"/>
  <c r="BX150" i="9"/>
  <c r="BY150" i="9" s="1"/>
  <c r="CA150" i="9"/>
  <c r="BV18" i="9"/>
  <c r="BU18" i="9"/>
  <c r="BS18" i="9"/>
  <c r="BT18" i="9" s="1"/>
  <c r="BV26" i="9"/>
  <c r="BU26" i="9"/>
  <c r="BS26" i="9"/>
  <c r="BT26" i="9" s="1"/>
  <c r="BZ18" i="9"/>
  <c r="CA18" i="9"/>
  <c r="BX18" i="9"/>
  <c r="BY18" i="9" s="1"/>
  <c r="CA59" i="9"/>
  <c r="BZ59" i="9"/>
  <c r="BX59" i="9"/>
  <c r="BY59" i="9" s="1"/>
  <c r="BV33" i="9"/>
  <c r="BU33" i="9"/>
  <c r="BS33" i="9"/>
  <c r="BT33" i="9" s="1"/>
  <c r="CC64" i="9"/>
  <c r="CD64" i="9" s="1"/>
  <c r="CI64" i="9" s="1"/>
  <c r="CF64" i="9"/>
  <c r="CE64" i="9"/>
  <c r="BV52" i="9"/>
  <c r="BU52" i="9"/>
  <c r="BS52" i="9"/>
  <c r="BT52" i="9" s="1"/>
  <c r="CF57" i="9"/>
  <c r="CE57" i="9"/>
  <c r="CC57" i="9"/>
  <c r="CD57" i="9" s="1"/>
  <c r="CI57" i="9" s="1"/>
  <c r="BZ20" i="9"/>
  <c r="BX20" i="9"/>
  <c r="BY20" i="9" s="1"/>
  <c r="CA20" i="9"/>
  <c r="BP25" i="9"/>
  <c r="BN25" i="9"/>
  <c r="BQ25" i="9"/>
  <c r="CG25" i="9"/>
  <c r="CA34" i="9"/>
  <c r="BZ34" i="9"/>
  <c r="BX34" i="9"/>
  <c r="BY34" i="9" s="1"/>
  <c r="BQ58" i="9"/>
  <c r="BN58" i="9"/>
  <c r="BP58" i="9"/>
  <c r="CG58" i="9"/>
  <c r="CE41" i="9"/>
  <c r="CC41" i="9"/>
  <c r="CD41" i="9" s="1"/>
  <c r="CI41" i="9" s="1"/>
  <c r="CF41" i="9"/>
  <c r="BZ47" i="9"/>
  <c r="BX47" i="9"/>
  <c r="BY47" i="9" s="1"/>
  <c r="CA47" i="9"/>
  <c r="CE10" i="9"/>
  <c r="CC10" i="9"/>
  <c r="CD10" i="9" s="1"/>
  <c r="CI10" i="9" s="1"/>
  <c r="CF10" i="9"/>
  <c r="BP71" i="9"/>
  <c r="BQ71" i="9"/>
  <c r="BN71" i="9"/>
  <c r="CG71" i="9"/>
  <c r="BQ64" i="9"/>
  <c r="BP64" i="9"/>
  <c r="BN64" i="9"/>
  <c r="CG64" i="9"/>
  <c r="BV101" i="9"/>
  <c r="BU101" i="9"/>
  <c r="BS101" i="9"/>
  <c r="BT101" i="9" s="1"/>
  <c r="BZ87" i="9"/>
  <c r="BX87" i="9"/>
  <c r="BY87" i="9" s="1"/>
  <c r="CA87" i="9"/>
  <c r="BQ91" i="9"/>
  <c r="BP91" i="9"/>
  <c r="BN91" i="9"/>
  <c r="CG91" i="9"/>
  <c r="BP93" i="9"/>
  <c r="BN93" i="9"/>
  <c r="BQ93" i="9"/>
  <c r="CG93" i="9"/>
  <c r="CA93" i="9"/>
  <c r="BZ93" i="9"/>
  <c r="BX93" i="9"/>
  <c r="BY93" i="9" s="1"/>
  <c r="BX58" i="9"/>
  <c r="BY58" i="9" s="1"/>
  <c r="CA58" i="9"/>
  <c r="BZ58" i="9"/>
  <c r="BN79" i="9"/>
  <c r="BQ79" i="9"/>
  <c r="BP79" i="9"/>
  <c r="CG79" i="9"/>
  <c r="CA82" i="9"/>
  <c r="BZ82" i="9"/>
  <c r="BX82" i="9"/>
  <c r="BY82" i="9" s="1"/>
  <c r="BX94" i="9"/>
  <c r="BY94" i="9" s="1"/>
  <c r="CA94" i="9"/>
  <c r="BZ94" i="9"/>
  <c r="CA103" i="9"/>
  <c r="BZ103" i="9"/>
  <c r="BX103" i="9"/>
  <c r="BY103" i="9" s="1"/>
  <c r="BU95" i="9"/>
  <c r="BS95" i="9"/>
  <c r="BT95" i="9" s="1"/>
  <c r="BV95" i="9"/>
  <c r="BV121" i="9"/>
  <c r="BU121" i="9"/>
  <c r="BS121" i="9"/>
  <c r="BT121" i="9" s="1"/>
  <c r="CA112" i="9"/>
  <c r="BZ112" i="9"/>
  <c r="BX112" i="9"/>
  <c r="BY112" i="9" s="1"/>
  <c r="CA115" i="9"/>
  <c r="BZ115" i="9"/>
  <c r="BX115" i="9"/>
  <c r="BY115" i="9" s="1"/>
  <c r="CA135" i="9"/>
  <c r="BZ135" i="9"/>
  <c r="BX135" i="9"/>
  <c r="BY135" i="9" s="1"/>
  <c r="CF99" i="9"/>
  <c r="CE99" i="9"/>
  <c r="CC99" i="9"/>
  <c r="CD99" i="9" s="1"/>
  <c r="CI99" i="9" s="1"/>
  <c r="CF128" i="9"/>
  <c r="CE128" i="9"/>
  <c r="CC128" i="9"/>
  <c r="CD128" i="9" s="1"/>
  <c r="CI128" i="9" s="1"/>
  <c r="CE147" i="9"/>
  <c r="CF147" i="9"/>
  <c r="CC147" i="9"/>
  <c r="CD147" i="9" s="1"/>
  <c r="CI147" i="9" s="1"/>
  <c r="BS120" i="9"/>
  <c r="BT120" i="9" s="1"/>
  <c r="BV120" i="9"/>
  <c r="BU120" i="9"/>
  <c r="BV145" i="9"/>
  <c r="BU145" i="9"/>
  <c r="BS145" i="9"/>
  <c r="BT145" i="9" s="1"/>
  <c r="CA147" i="9"/>
  <c r="BZ147" i="9"/>
  <c r="BX147" i="9"/>
  <c r="BY147" i="9" s="1"/>
  <c r="BS129" i="9"/>
  <c r="BT129" i="9" s="1"/>
  <c r="BV129" i="9"/>
  <c r="BU129" i="9"/>
  <c r="CE148" i="9"/>
  <c r="CC148" i="9"/>
  <c r="CF148" i="9"/>
  <c r="BZ138" i="9"/>
  <c r="BX138" i="9"/>
  <c r="BY138" i="9" s="1"/>
  <c r="CA138" i="9"/>
  <c r="BZ143" i="9"/>
  <c r="BX143" i="9"/>
  <c r="BY143" i="9" s="1"/>
  <c r="CA143" i="9"/>
  <c r="CF151" i="9"/>
  <c r="CE151" i="9"/>
  <c r="CC151" i="9"/>
  <c r="CD151" i="9" s="1"/>
  <c r="CI151" i="9" s="1"/>
  <c r="AB191" i="9"/>
  <c r="B25" i="13" s="1"/>
  <c r="BV47" i="9"/>
  <c r="BU47" i="9"/>
  <c r="BS47" i="9"/>
  <c r="BT47" i="9" s="1"/>
  <c r="CA32" i="9"/>
  <c r="BZ32" i="9"/>
  <c r="BX32" i="9"/>
  <c r="BY32" i="9" s="1"/>
  <c r="BV7" i="9"/>
  <c r="BS7" i="9"/>
  <c r="BT7" i="9" s="1"/>
  <c r="BU7" i="9"/>
  <c r="CA61" i="9"/>
  <c r="BX61" i="9"/>
  <c r="BY61" i="9" s="1"/>
  <c r="BZ61" i="9"/>
  <c r="BS19" i="9"/>
  <c r="BT19" i="9" s="1"/>
  <c r="BV19" i="9"/>
  <c r="BU19" i="9"/>
  <c r="CC76" i="9"/>
  <c r="CD76" i="9" s="1"/>
  <c r="CI76" i="9" s="1"/>
  <c r="CF76" i="9"/>
  <c r="CE76" i="9"/>
  <c r="BV55" i="9"/>
  <c r="BU55" i="9"/>
  <c r="BS55" i="9"/>
  <c r="BT55" i="9" s="1"/>
  <c r="BS60" i="9"/>
  <c r="BT60" i="9" s="1"/>
  <c r="BV60" i="9"/>
  <c r="BU60" i="9"/>
  <c r="BU21" i="9"/>
  <c r="BS21" i="9"/>
  <c r="BT21" i="9" s="1"/>
  <c r="BV21" i="9"/>
  <c r="BN26" i="9"/>
  <c r="BQ26" i="9"/>
  <c r="BP26" i="9"/>
  <c r="CG26" i="9"/>
  <c r="CF40" i="9"/>
  <c r="CE40" i="9"/>
  <c r="CC40" i="9"/>
  <c r="CD40" i="9" s="1"/>
  <c r="CI40" i="9" s="1"/>
  <c r="CE62" i="9"/>
  <c r="CF62" i="9"/>
  <c r="CC62" i="9"/>
  <c r="CD62" i="9" s="1"/>
  <c r="CI62" i="9" s="1"/>
  <c r="BV49" i="9"/>
  <c r="BU49" i="9"/>
  <c r="BS49" i="9"/>
  <c r="BT49" i="9" s="1"/>
  <c r="CF54" i="9"/>
  <c r="CE54" i="9"/>
  <c r="CC54" i="9"/>
  <c r="CD54" i="9" s="1"/>
  <c r="CI54" i="9" s="1"/>
  <c r="BN21" i="9"/>
  <c r="BP21" i="9"/>
  <c r="BQ21" i="9"/>
  <c r="CG21" i="9"/>
  <c r="BU63" i="9"/>
  <c r="BV63" i="9"/>
  <c r="BS63" i="9"/>
  <c r="BT63" i="9" s="1"/>
  <c r="CA65" i="9"/>
  <c r="BZ65" i="9"/>
  <c r="BX65" i="9"/>
  <c r="BY65" i="9" s="1"/>
  <c r="BP75" i="9"/>
  <c r="BN75" i="9"/>
  <c r="BQ75" i="9"/>
  <c r="CG75" i="9"/>
  <c r="CC96" i="9"/>
  <c r="CD96" i="9" s="1"/>
  <c r="CI96" i="9" s="1"/>
  <c r="CF96" i="9"/>
  <c r="CE96" i="9"/>
  <c r="BQ36" i="9"/>
  <c r="BN36" i="9"/>
  <c r="CG36" i="9"/>
  <c r="BP36" i="9"/>
  <c r="BZ102" i="9"/>
  <c r="CA102" i="9"/>
  <c r="BX102" i="9"/>
  <c r="BY102" i="9" s="1"/>
  <c r="BQ97" i="9"/>
  <c r="BP97" i="9"/>
  <c r="BN97" i="9"/>
  <c r="CG97" i="9"/>
  <c r="CC59" i="9"/>
  <c r="CD59" i="9" s="1"/>
  <c r="CI59" i="9" s="1"/>
  <c r="CF59" i="9"/>
  <c r="CE59" i="9"/>
  <c r="BV87" i="9"/>
  <c r="BU87" i="9"/>
  <c r="BS87" i="9"/>
  <c r="BT87" i="9" s="1"/>
  <c r="CE84" i="9"/>
  <c r="CF84" i="9"/>
  <c r="CC84" i="9"/>
  <c r="CD84" i="9" s="1"/>
  <c r="CI84" i="9" s="1"/>
  <c r="CC95" i="9"/>
  <c r="CD95" i="9" s="1"/>
  <c r="CI95" i="9" s="1"/>
  <c r="CE95" i="9"/>
  <c r="CF95" i="9"/>
  <c r="BP94" i="9"/>
  <c r="BN94" i="9"/>
  <c r="BQ94" i="9"/>
  <c r="CG94" i="9"/>
  <c r="BX96" i="9"/>
  <c r="BY96" i="9" s="1"/>
  <c r="CA96" i="9"/>
  <c r="BZ96" i="9"/>
  <c r="BZ104" i="9"/>
  <c r="BX104" i="9"/>
  <c r="BY104" i="9" s="1"/>
  <c r="CA104" i="9"/>
  <c r="CF113" i="9"/>
  <c r="CE113" i="9"/>
  <c r="CC113" i="9"/>
  <c r="CD113" i="9" s="1"/>
  <c r="CI113" i="9" s="1"/>
  <c r="BQ137" i="9"/>
  <c r="BP137" i="9"/>
  <c r="BN137" i="9"/>
  <c r="CG137" i="9"/>
  <c r="BQ138" i="9"/>
  <c r="BP138" i="9"/>
  <c r="BN138" i="9"/>
  <c r="CG138" i="9"/>
  <c r="BQ108" i="9"/>
  <c r="BN108" i="9"/>
  <c r="BP108" i="9"/>
  <c r="CG108" i="9"/>
  <c r="CC136" i="9"/>
  <c r="CD136" i="9" s="1"/>
  <c r="CI136" i="9" s="1"/>
  <c r="CF136" i="9"/>
  <c r="CE136" i="9"/>
  <c r="BV154" i="9"/>
  <c r="BS154" i="9"/>
  <c r="BT154" i="9" s="1"/>
  <c r="BU154" i="9"/>
  <c r="CC123" i="9"/>
  <c r="CD123" i="9" s="1"/>
  <c r="CI123" i="9" s="1"/>
  <c r="CE123" i="9"/>
  <c r="CF123" i="9"/>
  <c r="BZ145" i="9"/>
  <c r="CA145" i="9"/>
  <c r="BX145" i="9"/>
  <c r="BY145" i="9" s="1"/>
  <c r="BX153" i="9"/>
  <c r="BY153" i="9" s="1"/>
  <c r="CA153" i="9"/>
  <c r="BZ153" i="9"/>
  <c r="BN130" i="9"/>
  <c r="BQ130" i="9"/>
  <c r="BP130" i="9"/>
  <c r="CG130" i="9"/>
  <c r="BS152" i="9"/>
  <c r="BT152" i="9" s="1"/>
  <c r="BV152" i="9"/>
  <c r="CK152" i="9" s="1"/>
  <c r="BU152" i="9"/>
  <c r="CE139" i="9"/>
  <c r="CF139" i="9"/>
  <c r="CC139" i="9"/>
  <c r="CD139" i="9" s="1"/>
  <c r="CI139" i="9" s="1"/>
  <c r="BV144" i="9"/>
  <c r="BU144" i="9"/>
  <c r="BS144" i="9"/>
  <c r="BT144" i="9" s="1"/>
  <c r="BN152" i="9"/>
  <c r="BP152" i="9"/>
  <c r="BQ152" i="9"/>
  <c r="CG152" i="9"/>
  <c r="AG191" i="9"/>
  <c r="C25" i="13" s="1"/>
  <c r="BU17" i="9"/>
  <c r="BV17" i="9"/>
  <c r="BS17" i="9"/>
  <c r="BT17" i="9" s="1"/>
  <c r="BV35" i="9"/>
  <c r="BU35" i="9"/>
  <c r="BS35" i="9"/>
  <c r="BT35" i="9" s="1"/>
  <c r="CA13" i="9"/>
  <c r="BZ13" i="9"/>
  <c r="BX13" i="9"/>
  <c r="BY13" i="9" s="1"/>
  <c r="BS25" i="9"/>
  <c r="BT25" i="9" s="1"/>
  <c r="BV25" i="9"/>
  <c r="BU25" i="9"/>
  <c r="BS24" i="9"/>
  <c r="BT24" i="9" s="1"/>
  <c r="BV24" i="9"/>
  <c r="BU24" i="9"/>
  <c r="BQ48" i="9"/>
  <c r="BP48" i="9"/>
  <c r="BN48" i="9"/>
  <c r="CG48" i="9"/>
  <c r="CA56" i="9"/>
  <c r="BZ56" i="9"/>
  <c r="BX56" i="9"/>
  <c r="BY56" i="9" s="1"/>
  <c r="BP67" i="9"/>
  <c r="BQ67" i="9"/>
  <c r="BN67" i="9"/>
  <c r="CG67" i="9"/>
  <c r="BN24" i="9"/>
  <c r="BQ24" i="9"/>
  <c r="BP24" i="9"/>
  <c r="CG24" i="9"/>
  <c r="BX31" i="9"/>
  <c r="BY31" i="9" s="1"/>
  <c r="BZ31" i="9"/>
  <c r="CA31" i="9"/>
  <c r="CA42" i="9"/>
  <c r="BZ42" i="9"/>
  <c r="BX42" i="9"/>
  <c r="BY42" i="9" s="1"/>
  <c r="BP84" i="9"/>
  <c r="BQ84" i="9"/>
  <c r="BN84" i="9"/>
  <c r="CG84" i="9"/>
  <c r="BU50" i="9"/>
  <c r="BS50" i="9"/>
  <c r="BT50" i="9" s="1"/>
  <c r="BV50" i="9"/>
  <c r="CF60" i="9"/>
  <c r="CE60" i="9"/>
  <c r="CC60" i="9"/>
  <c r="CD60" i="9" s="1"/>
  <c r="CI60" i="9" s="1"/>
  <c r="BS22" i="9"/>
  <c r="BT22" i="9" s="1"/>
  <c r="BU22" i="9"/>
  <c r="BV22" i="9"/>
  <c r="BQ65" i="9"/>
  <c r="BN65" i="9"/>
  <c r="BP65" i="9"/>
  <c r="CG65" i="9"/>
  <c r="BQ66" i="9"/>
  <c r="BP66" i="9"/>
  <c r="BN66" i="9"/>
  <c r="CG66" i="9"/>
  <c r="BS80" i="9"/>
  <c r="BT80" i="9" s="1"/>
  <c r="BV80" i="9"/>
  <c r="BU80" i="9"/>
  <c r="BN53" i="9"/>
  <c r="BQ53" i="9"/>
  <c r="BP53" i="9"/>
  <c r="CG53" i="9"/>
  <c r="BS37" i="9"/>
  <c r="BT37" i="9" s="1"/>
  <c r="BV37" i="9"/>
  <c r="BU37" i="9"/>
  <c r="BV89" i="9"/>
  <c r="BU89" i="9"/>
  <c r="BS89" i="9"/>
  <c r="BT89" i="9" s="1"/>
  <c r="CA106" i="9"/>
  <c r="BZ106" i="9"/>
  <c r="BX106" i="9"/>
  <c r="BY106" i="9" s="1"/>
  <c r="CA66" i="9"/>
  <c r="BX66" i="9"/>
  <c r="BY66" i="9" s="1"/>
  <c r="BZ66" i="9"/>
  <c r="BV88" i="9"/>
  <c r="BU88" i="9"/>
  <c r="BS88" i="9"/>
  <c r="BT88" i="9" s="1"/>
  <c r="BU85" i="9"/>
  <c r="BS85" i="9"/>
  <c r="BT85" i="9" s="1"/>
  <c r="BV85" i="9"/>
  <c r="BU99" i="9"/>
  <c r="BS99" i="9"/>
  <c r="BT99" i="9" s="1"/>
  <c r="BV99" i="9"/>
  <c r="CA99" i="9"/>
  <c r="BZ99" i="9"/>
  <c r="BX99" i="9"/>
  <c r="BY99" i="9" s="1"/>
  <c r="CC100" i="9"/>
  <c r="CD100" i="9" s="1"/>
  <c r="CI100" i="9" s="1"/>
  <c r="CF100" i="9"/>
  <c r="CE100" i="9"/>
  <c r="BU105" i="9"/>
  <c r="BS105" i="9"/>
  <c r="BT105" i="9" s="1"/>
  <c r="BV105" i="9"/>
  <c r="CF116" i="9"/>
  <c r="CE116" i="9"/>
  <c r="CC116" i="9"/>
  <c r="CD116" i="9" s="1"/>
  <c r="CI116" i="9" s="1"/>
  <c r="BP104" i="9"/>
  <c r="BN104" i="9"/>
  <c r="BQ104" i="9"/>
  <c r="CK104" i="9" s="1"/>
  <c r="CG104" i="9"/>
  <c r="BX97" i="9"/>
  <c r="BY97" i="9" s="1"/>
  <c r="CA97" i="9"/>
  <c r="BZ97" i="9"/>
  <c r="CE108" i="9"/>
  <c r="CC108" i="9"/>
  <c r="CD108" i="9" s="1"/>
  <c r="CI108" i="9" s="1"/>
  <c r="CF108" i="9"/>
  <c r="CF138" i="9"/>
  <c r="CE138" i="9"/>
  <c r="CC138" i="9"/>
  <c r="CD138" i="9" s="1"/>
  <c r="CI138" i="9" s="1"/>
  <c r="CA127" i="9"/>
  <c r="BZ127" i="9"/>
  <c r="BX127" i="9"/>
  <c r="BY127" i="9" s="1"/>
  <c r="BN124" i="9"/>
  <c r="BP124" i="9"/>
  <c r="BQ124" i="9"/>
  <c r="CG124" i="9"/>
  <c r="BV146" i="9"/>
  <c r="BU146" i="9"/>
  <c r="BS146" i="9"/>
  <c r="BT146" i="9" s="1"/>
  <c r="BQ156" i="9"/>
  <c r="BP156" i="9"/>
  <c r="BN156" i="9"/>
  <c r="CG156" i="9"/>
  <c r="BN133" i="9"/>
  <c r="BQ133" i="9"/>
  <c r="BP133" i="9"/>
  <c r="CG133" i="9"/>
  <c r="BQ154" i="9"/>
  <c r="BP154" i="9"/>
  <c r="BN154" i="9"/>
  <c r="CG154" i="9"/>
  <c r="BP145" i="9"/>
  <c r="BN145" i="9"/>
  <c r="BQ145" i="9"/>
  <c r="CG145" i="9"/>
  <c r="BV147" i="9"/>
  <c r="BU147" i="9"/>
  <c r="BS147" i="9"/>
  <c r="BT147" i="9" s="1"/>
  <c r="BS153" i="9"/>
  <c r="BT153" i="9" s="1"/>
  <c r="BV153" i="9"/>
  <c r="BU153" i="9"/>
  <c r="AL191" i="9"/>
  <c r="D25" i="13" s="1"/>
  <c r="D28" i="13" s="1"/>
  <c r="D36" i="13" s="1"/>
  <c r="BM191" i="9"/>
  <c r="J5" i="13" s="1"/>
  <c r="J10" i="13" s="1"/>
  <c r="J11" i="13" s="1"/>
  <c r="CA24" i="9"/>
  <c r="BZ24" i="9"/>
  <c r="BX24" i="9"/>
  <c r="BY24" i="9" s="1"/>
  <c r="BV36" i="9"/>
  <c r="BU36" i="9"/>
  <c r="BS36" i="9"/>
  <c r="BT36" i="9" s="1"/>
  <c r="CA17" i="9"/>
  <c r="BZ17" i="9"/>
  <c r="BX17" i="9"/>
  <c r="BY17" i="9" s="1"/>
  <c r="BN10" i="9"/>
  <c r="BQ10" i="9"/>
  <c r="BP10" i="9"/>
  <c r="CG10" i="9"/>
  <c r="BZ25" i="9"/>
  <c r="BX25" i="9"/>
  <c r="BY25" i="9" s="1"/>
  <c r="CA25" i="9"/>
  <c r="CF69" i="9"/>
  <c r="CE69" i="9"/>
  <c r="CC69" i="9"/>
  <c r="CD69" i="9" s="1"/>
  <c r="CI69" i="9" s="1"/>
  <c r="CA57" i="9"/>
  <c r="BZ57" i="9"/>
  <c r="BX57" i="9"/>
  <c r="BY57" i="9" s="1"/>
  <c r="CF47" i="9"/>
  <c r="CE47" i="9"/>
  <c r="CC47" i="9"/>
  <c r="CD47" i="9" s="1"/>
  <c r="CI47" i="9" s="1"/>
  <c r="CF25" i="9"/>
  <c r="CE25" i="9"/>
  <c r="CC25" i="9"/>
  <c r="CD25" i="9" s="1"/>
  <c r="CI25" i="9" s="1"/>
  <c r="BX37" i="9"/>
  <c r="BY37" i="9" s="1"/>
  <c r="CA37" i="9"/>
  <c r="BZ37" i="9"/>
  <c r="CA43" i="9"/>
  <c r="BZ43" i="9"/>
  <c r="BX43" i="9"/>
  <c r="BY43" i="9" s="1"/>
  <c r="BQ51" i="9"/>
  <c r="BP51" i="9"/>
  <c r="BN51" i="9"/>
  <c r="CG51" i="9"/>
  <c r="CA53" i="9"/>
  <c r="BZ53" i="9"/>
  <c r="BX53" i="9"/>
  <c r="BY53" i="9" s="1"/>
  <c r="BX26" i="9"/>
  <c r="BY26" i="9" s="1"/>
  <c r="CA26" i="9"/>
  <c r="BZ26" i="9"/>
  <c r="CA23" i="9"/>
  <c r="BZ23" i="9"/>
  <c r="BX23" i="9"/>
  <c r="BY23" i="9" s="1"/>
  <c r="BZ69" i="9"/>
  <c r="BX69" i="9"/>
  <c r="BY69" i="9" s="1"/>
  <c r="CA69" i="9"/>
  <c r="CA68" i="9"/>
  <c r="BZ68" i="9"/>
  <c r="BX68" i="9"/>
  <c r="BY68" i="9" s="1"/>
  <c r="BN42" i="9"/>
  <c r="BQ42" i="9"/>
  <c r="BP42" i="9"/>
  <c r="CG42" i="9"/>
  <c r="BS54" i="9"/>
  <c r="BT54" i="9" s="1"/>
  <c r="BV54" i="9"/>
  <c r="BU54" i="9"/>
  <c r="CA38" i="9"/>
  <c r="BZ38" i="9"/>
  <c r="BX38" i="9"/>
  <c r="BY38" i="9" s="1"/>
  <c r="BP100" i="9"/>
  <c r="BQ100" i="9"/>
  <c r="BN100" i="9"/>
  <c r="CG100" i="9"/>
  <c r="BQ88" i="9"/>
  <c r="BP88" i="9"/>
  <c r="BN88" i="9"/>
  <c r="CG88" i="9"/>
  <c r="BU67" i="9"/>
  <c r="BS67" i="9"/>
  <c r="BT67" i="9" s="1"/>
  <c r="BV67" i="9"/>
  <c r="CF90" i="9"/>
  <c r="CE90" i="9"/>
  <c r="CC90" i="9"/>
  <c r="CD90" i="9" s="1"/>
  <c r="CI90" i="9" s="1"/>
  <c r="CF86" i="9"/>
  <c r="CE86" i="9"/>
  <c r="CC86" i="9"/>
  <c r="CD86" i="9" s="1"/>
  <c r="CI86" i="9" s="1"/>
  <c r="BU103" i="9"/>
  <c r="BS103" i="9"/>
  <c r="BT103" i="9" s="1"/>
  <c r="BV103" i="9"/>
  <c r="CE101" i="9"/>
  <c r="CF101" i="9"/>
  <c r="CC101" i="9"/>
  <c r="CD101" i="9" s="1"/>
  <c r="CI101" i="9" s="1"/>
  <c r="BQ101" i="9"/>
  <c r="BP101" i="9"/>
  <c r="BN101" i="9"/>
  <c r="CG101" i="9"/>
  <c r="BN106" i="9"/>
  <c r="BQ106" i="9"/>
  <c r="BP106" i="9"/>
  <c r="CG106" i="9"/>
  <c r="CC140" i="9"/>
  <c r="CD140" i="9" s="1"/>
  <c r="CI140" i="9" s="1"/>
  <c r="CF140" i="9"/>
  <c r="CE140" i="9"/>
  <c r="CF104" i="9"/>
  <c r="CE104" i="9"/>
  <c r="CC104" i="9"/>
  <c r="CD104" i="9" s="1"/>
  <c r="CI104" i="9" s="1"/>
  <c r="BS98" i="9"/>
  <c r="BT98" i="9" s="1"/>
  <c r="BV98" i="9"/>
  <c r="BU98" i="9"/>
  <c r="BV122" i="9"/>
  <c r="BU122" i="9"/>
  <c r="BS122" i="9"/>
  <c r="BT122" i="9" s="1"/>
  <c r="BV119" i="9"/>
  <c r="BU119" i="9"/>
  <c r="BS119" i="9"/>
  <c r="BT119" i="9" s="1"/>
  <c r="BQ128" i="9"/>
  <c r="BP128" i="9"/>
  <c r="BN128" i="9"/>
  <c r="CG128" i="9"/>
  <c r="BN132" i="9"/>
  <c r="BQ132" i="9"/>
  <c r="BP132" i="9"/>
  <c r="CG132" i="9"/>
  <c r="BV140" i="9"/>
  <c r="BU140" i="9"/>
  <c r="BS140" i="9"/>
  <c r="BT140" i="9" s="1"/>
  <c r="BX131" i="9"/>
  <c r="BY131" i="9" s="1"/>
  <c r="CA131" i="9"/>
  <c r="BZ131" i="9"/>
  <c r="CC133" i="9"/>
  <c r="CD133" i="9" s="1"/>
  <c r="CI133" i="9" s="1"/>
  <c r="CF133" i="9"/>
  <c r="CE133" i="9"/>
  <c r="BP157" i="9"/>
  <c r="BQ157" i="9"/>
  <c r="BN157" i="9"/>
  <c r="CG157" i="9"/>
  <c r="BQ146" i="9"/>
  <c r="BP146" i="9"/>
  <c r="BN146" i="9"/>
  <c r="CG146" i="9"/>
  <c r="CF150" i="9"/>
  <c r="CE150" i="9"/>
  <c r="CC150" i="9"/>
  <c r="CD150" i="9" s="1"/>
  <c r="CI150" i="9" s="1"/>
  <c r="BX154" i="9"/>
  <c r="BY154" i="9" s="1"/>
  <c r="CA154" i="9"/>
  <c r="BZ154" i="9"/>
  <c r="BA191" i="9"/>
  <c r="G25" i="13" s="1"/>
  <c r="G28" i="13" s="1"/>
  <c r="G36" i="13" s="1"/>
  <c r="BR191" i="9"/>
  <c r="K5" i="13" s="1"/>
  <c r="CK15" i="9"/>
  <c r="CA14" i="9"/>
  <c r="BX14" i="9"/>
  <c r="BY14" i="9" s="1"/>
  <c r="BZ14" i="9"/>
  <c r="CF37" i="9"/>
  <c r="CE37" i="9"/>
  <c r="CC37" i="9"/>
  <c r="CD37" i="9" s="1"/>
  <c r="CI37" i="9" s="1"/>
  <c r="CF20" i="9"/>
  <c r="CE20" i="9"/>
  <c r="CC20" i="9"/>
  <c r="CD20" i="9" s="1"/>
  <c r="CI20" i="9" s="1"/>
  <c r="CF16" i="9"/>
  <c r="CE16" i="9"/>
  <c r="CC16" i="9"/>
  <c r="CD16" i="9" s="1"/>
  <c r="CI16" i="9" s="1"/>
  <c r="BN12" i="9"/>
  <c r="BQ12" i="9"/>
  <c r="BP12" i="9"/>
  <c r="CG12" i="9"/>
  <c r="CA85" i="9"/>
  <c r="BZ85" i="9"/>
  <c r="BX85" i="9"/>
  <c r="BY85" i="9" s="1"/>
  <c r="BQ60" i="9"/>
  <c r="BP60" i="9"/>
  <c r="BN60" i="9"/>
  <c r="CG60" i="9"/>
  <c r="BP7" i="9"/>
  <c r="BN7" i="9"/>
  <c r="BQ7" i="9"/>
  <c r="CG7" i="9"/>
  <c r="CF28" i="9"/>
  <c r="CE28" i="9"/>
  <c r="CC28" i="9"/>
  <c r="CD28" i="9" s="1"/>
  <c r="CI28" i="9" s="1"/>
  <c r="BS38" i="9"/>
  <c r="BT38" i="9" s="1"/>
  <c r="BV38" i="9"/>
  <c r="BU38" i="9"/>
  <c r="BV45" i="9"/>
  <c r="BU45" i="9"/>
  <c r="BS45" i="9"/>
  <c r="BT45" i="9" s="1"/>
  <c r="CF55" i="9"/>
  <c r="CE55" i="9"/>
  <c r="CC55" i="9"/>
  <c r="CD55" i="9" s="1"/>
  <c r="CI55" i="9" s="1"/>
  <c r="BV65" i="9"/>
  <c r="BU65" i="9"/>
  <c r="BS65" i="9"/>
  <c r="BT65" i="9" s="1"/>
  <c r="CC27" i="9"/>
  <c r="CD27" i="9" s="1"/>
  <c r="CI27" i="9" s="1"/>
  <c r="CF27" i="9"/>
  <c r="CE27" i="9"/>
  <c r="CF24" i="9"/>
  <c r="CE24" i="9"/>
  <c r="CC24" i="9"/>
  <c r="CD24" i="9" s="1"/>
  <c r="CI24" i="9" s="1"/>
  <c r="BV74" i="9"/>
  <c r="BU74" i="9"/>
  <c r="BS74" i="9"/>
  <c r="BT74" i="9" s="1"/>
  <c r="BQ69" i="9"/>
  <c r="BP69" i="9"/>
  <c r="BN69" i="9"/>
  <c r="CG69" i="9"/>
  <c r="BV43" i="9"/>
  <c r="BU43" i="9"/>
  <c r="BS43" i="9"/>
  <c r="BT43" i="9" s="1"/>
  <c r="BX55" i="9"/>
  <c r="BY55" i="9" s="1"/>
  <c r="CA55" i="9"/>
  <c r="BZ55" i="9"/>
  <c r="CF39" i="9"/>
  <c r="CE39" i="9"/>
  <c r="CC39" i="9"/>
  <c r="CD39" i="9" s="1"/>
  <c r="CI39" i="9" s="1"/>
  <c r="BQ139" i="9"/>
  <c r="BN139" i="9"/>
  <c r="BP139" i="9"/>
  <c r="CG139" i="9"/>
  <c r="CE89" i="9"/>
  <c r="CC89" i="9"/>
  <c r="CD89" i="9" s="1"/>
  <c r="CI89" i="9" s="1"/>
  <c r="CF89" i="9"/>
  <c r="BU71" i="9"/>
  <c r="BS71" i="9"/>
  <c r="BT71" i="9" s="1"/>
  <c r="BV71" i="9"/>
  <c r="BQ92" i="9"/>
  <c r="BP92" i="9"/>
  <c r="BN92" i="9"/>
  <c r="CG92" i="9"/>
  <c r="BQ89" i="9"/>
  <c r="BP89" i="9"/>
  <c r="BN89" i="9"/>
  <c r="CG89" i="9"/>
  <c r="BU116" i="9"/>
  <c r="BS116" i="9"/>
  <c r="BT116" i="9" s="1"/>
  <c r="BV116" i="9"/>
  <c r="BS107" i="9"/>
  <c r="BT107" i="9" s="1"/>
  <c r="BV107" i="9"/>
  <c r="BU107" i="9"/>
  <c r="BV102" i="9"/>
  <c r="BS102" i="9"/>
  <c r="BT102" i="9" s="1"/>
  <c r="BU102" i="9"/>
  <c r="BQ109" i="9"/>
  <c r="BP109" i="9"/>
  <c r="BN109" i="9"/>
  <c r="CG109" i="9"/>
  <c r="BQ114" i="9"/>
  <c r="BP114" i="9"/>
  <c r="BN114" i="9"/>
  <c r="CG114" i="9"/>
  <c r="BQ110" i="9"/>
  <c r="BP110" i="9"/>
  <c r="BN110" i="9"/>
  <c r="CG110" i="9"/>
  <c r="CA117" i="9"/>
  <c r="BX117" i="9"/>
  <c r="BY117" i="9" s="1"/>
  <c r="BZ117" i="9"/>
  <c r="BV127" i="9"/>
  <c r="BU127" i="9"/>
  <c r="BS127" i="9"/>
  <c r="BT127" i="9" s="1"/>
  <c r="BQ120" i="9"/>
  <c r="BP120" i="9"/>
  <c r="BN120" i="9"/>
  <c r="CG120" i="9"/>
  <c r="CA133" i="9"/>
  <c r="BX133" i="9"/>
  <c r="BY133" i="9" s="1"/>
  <c r="BZ133" i="9"/>
  <c r="BN103" i="9"/>
  <c r="BQ103" i="9"/>
  <c r="BP103" i="9"/>
  <c r="CG103" i="9"/>
  <c r="CA141" i="9"/>
  <c r="BZ141" i="9"/>
  <c r="BX141" i="9"/>
  <c r="BY141" i="9" s="1"/>
  <c r="BS132" i="9"/>
  <c r="BT132" i="9" s="1"/>
  <c r="BV132" i="9"/>
  <c r="BU132" i="9"/>
  <c r="BX134" i="9"/>
  <c r="BY134" i="9" s="1"/>
  <c r="CA134" i="9"/>
  <c r="BZ134" i="9"/>
  <c r="CA155" i="9"/>
  <c r="BZ155" i="9"/>
  <c r="BX155" i="9"/>
  <c r="BY155" i="9" s="1"/>
  <c r="BQ147" i="9"/>
  <c r="BP147" i="9"/>
  <c r="BN147" i="9"/>
  <c r="CG147" i="9"/>
  <c r="BU155" i="9"/>
  <c r="BS155" i="9"/>
  <c r="BT155" i="9" s="1"/>
  <c r="BV155" i="9"/>
  <c r="CC155" i="9"/>
  <c r="CD155" i="9" s="1"/>
  <c r="CI155" i="9" s="1"/>
  <c r="CE155" i="9"/>
  <c r="CF155" i="9"/>
  <c r="AH191" i="9"/>
  <c r="C27" i="13" s="1"/>
  <c r="BW191" i="9"/>
  <c r="L5" i="13" s="1"/>
  <c r="L10" i="13" s="1"/>
  <c r="L11" i="13" s="1"/>
  <c r="CA19" i="9"/>
  <c r="BZ19" i="9"/>
  <c r="BX19" i="9"/>
  <c r="BY19" i="9" s="1"/>
  <c r="CF22" i="9"/>
  <c r="CC22" i="9"/>
  <c r="CD22" i="9" s="1"/>
  <c r="CI22" i="9" s="1"/>
  <c r="CE22" i="9"/>
  <c r="BV39" i="9"/>
  <c r="BU39" i="9"/>
  <c r="BS39" i="9"/>
  <c r="BT39" i="9" s="1"/>
  <c r="CA7" i="9"/>
  <c r="BZ7" i="9"/>
  <c r="BX7" i="9"/>
  <c r="BY7" i="9" s="1"/>
  <c r="BV6" i="9"/>
  <c r="BU6" i="9"/>
  <c r="BS6" i="9"/>
  <c r="BT6" i="9" s="1"/>
  <c r="CA30" i="9"/>
  <c r="BZ30" i="9"/>
  <c r="BX30" i="9"/>
  <c r="BY30" i="9" s="1"/>
  <c r="CF23" i="9"/>
  <c r="CE23" i="9"/>
  <c r="CC23" i="9"/>
  <c r="CD23" i="9" s="1"/>
  <c r="CI23" i="9" s="1"/>
  <c r="BU8" i="9"/>
  <c r="BS8" i="9"/>
  <c r="BT8" i="9" s="1"/>
  <c r="BV8" i="9"/>
  <c r="BV29" i="9"/>
  <c r="BU29" i="9"/>
  <c r="BS29" i="9"/>
  <c r="BT29" i="9" s="1"/>
  <c r="BS44" i="9"/>
  <c r="BT44" i="9" s="1"/>
  <c r="BV44" i="9"/>
  <c r="BU44" i="9"/>
  <c r="BQ46" i="9"/>
  <c r="BP46" i="9"/>
  <c r="BN46" i="9"/>
  <c r="CG46" i="9"/>
  <c r="BZ60" i="9"/>
  <c r="CA60" i="9"/>
  <c r="BX60" i="9"/>
  <c r="BY60" i="9" s="1"/>
  <c r="BS70" i="9"/>
  <c r="BT70" i="9" s="1"/>
  <c r="BV70" i="9"/>
  <c r="BU70" i="9"/>
  <c r="BZ33" i="9"/>
  <c r="BX33" i="9"/>
  <c r="BY33" i="9" s="1"/>
  <c r="CA33" i="9"/>
  <c r="BQ35" i="9"/>
  <c r="BP35" i="9"/>
  <c r="BN35" i="9"/>
  <c r="CG35" i="9"/>
  <c r="CA76" i="9"/>
  <c r="BZ76" i="9"/>
  <c r="BX76" i="9"/>
  <c r="BY76" i="9" s="1"/>
  <c r="BQ72" i="9"/>
  <c r="BP72" i="9"/>
  <c r="BN72" i="9"/>
  <c r="CG72" i="9"/>
  <c r="CA44" i="9"/>
  <c r="BZ44" i="9"/>
  <c r="BX44" i="9"/>
  <c r="BY44" i="9" s="1"/>
  <c r="CC56" i="9"/>
  <c r="CD56" i="9" s="1"/>
  <c r="CI56" i="9" s="1"/>
  <c r="CF56" i="9"/>
  <c r="CE56" i="9"/>
  <c r="BP50" i="9"/>
  <c r="BN50" i="9"/>
  <c r="BQ50" i="9"/>
  <c r="CG50" i="9"/>
  <c r="CA89" i="9"/>
  <c r="BZ89" i="9"/>
  <c r="BX89" i="9"/>
  <c r="BY89" i="9" s="1"/>
  <c r="CE93" i="9"/>
  <c r="CF93" i="9"/>
  <c r="CC93" i="9"/>
  <c r="CD93" i="9" s="1"/>
  <c r="CI93" i="9" s="1"/>
  <c r="CE75" i="9"/>
  <c r="CF75" i="9"/>
  <c r="CC75" i="9"/>
  <c r="CD75" i="9" s="1"/>
  <c r="CI75" i="9" s="1"/>
  <c r="CA95" i="9"/>
  <c r="BZ95" i="9"/>
  <c r="BX95" i="9"/>
  <c r="BY95" i="9" s="1"/>
  <c r="CF91" i="9"/>
  <c r="CE91" i="9"/>
  <c r="CC91" i="9"/>
  <c r="CD91" i="9" s="1"/>
  <c r="CI91" i="9" s="1"/>
  <c r="BV118" i="9"/>
  <c r="BS118" i="9"/>
  <c r="BT118" i="9" s="1"/>
  <c r="BU118" i="9"/>
  <c r="BU72" i="9"/>
  <c r="BV72" i="9"/>
  <c r="BS72" i="9"/>
  <c r="BT72" i="9" s="1"/>
  <c r="CE103" i="9"/>
  <c r="CC103" i="9"/>
  <c r="CD103" i="9" s="1"/>
  <c r="CI103" i="9" s="1"/>
  <c r="CF103" i="9"/>
  <c r="CC109" i="9"/>
  <c r="CD109" i="9" s="1"/>
  <c r="CI109" i="9" s="1"/>
  <c r="CF109" i="9"/>
  <c r="CE109" i="9"/>
  <c r="CA120" i="9"/>
  <c r="BZ120" i="9"/>
  <c r="BX120" i="9"/>
  <c r="BY120" i="9" s="1"/>
  <c r="CE111" i="9"/>
  <c r="CC111" i="9"/>
  <c r="CD111" i="9" s="1"/>
  <c r="CI111" i="9" s="1"/>
  <c r="CF111" i="9"/>
  <c r="BQ125" i="9"/>
  <c r="BP125" i="9"/>
  <c r="BN125" i="9"/>
  <c r="CG125" i="9"/>
  <c r="BQ129" i="9"/>
  <c r="BP129" i="9"/>
  <c r="BN129" i="9"/>
  <c r="CG129" i="9"/>
  <c r="CF120" i="9"/>
  <c r="CE120" i="9"/>
  <c r="CC120" i="9"/>
  <c r="CD120" i="9" s="1"/>
  <c r="CI120" i="9" s="1"/>
  <c r="BP112" i="9"/>
  <c r="BN112" i="9"/>
  <c r="BQ112" i="9"/>
  <c r="CG112" i="9"/>
  <c r="BV104" i="9"/>
  <c r="BU104" i="9"/>
  <c r="BS104" i="9"/>
  <c r="BT104" i="9" s="1"/>
  <c r="BN142" i="9"/>
  <c r="BQ142" i="9"/>
  <c r="BP142" i="9"/>
  <c r="CG142" i="9"/>
  <c r="BX137" i="9"/>
  <c r="BY137" i="9" s="1"/>
  <c r="CA137" i="9"/>
  <c r="BZ137" i="9"/>
  <c r="CF141" i="9"/>
  <c r="CC141" i="9"/>
  <c r="CD141" i="9" s="1"/>
  <c r="CI141" i="9" s="1"/>
  <c r="CE141" i="9"/>
  <c r="BV143" i="9"/>
  <c r="BS143" i="9"/>
  <c r="BT143" i="9" s="1"/>
  <c r="BU143" i="9"/>
  <c r="BV151" i="9"/>
  <c r="BU151" i="9"/>
  <c r="BS151" i="9"/>
  <c r="BT151" i="9" s="1"/>
  <c r="CF153" i="9"/>
  <c r="CC153" i="9"/>
  <c r="CD153" i="9" s="1"/>
  <c r="CI153" i="9" s="1"/>
  <c r="CE153" i="9"/>
  <c r="BP149" i="9"/>
  <c r="BN149" i="9"/>
  <c r="BQ149" i="9"/>
  <c r="CG149" i="9"/>
  <c r="AC191" i="9"/>
  <c r="B27" i="13" s="1"/>
  <c r="BV12" i="9"/>
  <c r="BU12" i="9"/>
  <c r="BS12" i="9"/>
  <c r="BT12" i="9" s="1"/>
  <c r="BV23" i="9"/>
  <c r="BU23" i="9"/>
  <c r="BS23" i="9"/>
  <c r="BT23" i="9" s="1"/>
  <c r="CF8" i="9"/>
  <c r="CE8" i="9"/>
  <c r="CC8" i="9"/>
  <c r="CD8" i="9" s="1"/>
  <c r="CI8" i="9" s="1"/>
  <c r="BP8" i="9"/>
  <c r="BN8" i="9"/>
  <c r="BQ8" i="9"/>
  <c r="CG8" i="9"/>
  <c r="CE9" i="9"/>
  <c r="CF9" i="9"/>
  <c r="CC9" i="9"/>
  <c r="CD9" i="9" s="1"/>
  <c r="CI9" i="9" s="1"/>
  <c r="BQ37" i="9"/>
  <c r="BP37" i="9"/>
  <c r="BN37" i="9"/>
  <c r="CG37" i="9"/>
  <c r="CF26" i="9"/>
  <c r="CE26" i="9"/>
  <c r="CC26" i="9"/>
  <c r="CD26" i="9" s="1"/>
  <c r="CI26" i="9" s="1"/>
  <c r="BZ9" i="9"/>
  <c r="BX9" i="9"/>
  <c r="BY9" i="9" s="1"/>
  <c r="CA9" i="9"/>
  <c r="CE33" i="9"/>
  <c r="CC33" i="9"/>
  <c r="CD33" i="9" s="1"/>
  <c r="CI33" i="9" s="1"/>
  <c r="CF33" i="9"/>
  <c r="BS16" i="9"/>
  <c r="BT16" i="9" s="1"/>
  <c r="BV16" i="9"/>
  <c r="BU16" i="9"/>
  <c r="BU68" i="9"/>
  <c r="BV68" i="9"/>
  <c r="BS68" i="9"/>
  <c r="BT68" i="9" s="1"/>
  <c r="BP81" i="9"/>
  <c r="BN81" i="9"/>
  <c r="BQ81" i="9"/>
  <c r="CG81" i="9"/>
  <c r="BN27" i="9"/>
  <c r="BQ27" i="9"/>
  <c r="BP27" i="9"/>
  <c r="CG27" i="9"/>
  <c r="BS34" i="9"/>
  <c r="BT34" i="9" s="1"/>
  <c r="BV34" i="9"/>
  <c r="BU34" i="9"/>
  <c r="CF35" i="9"/>
  <c r="CE35" i="9"/>
  <c r="CC35" i="9"/>
  <c r="CD35" i="9" s="1"/>
  <c r="CI35" i="9" s="1"/>
  <c r="BQ78" i="9"/>
  <c r="BP78" i="9"/>
  <c r="BN78" i="9"/>
  <c r="CG78" i="9"/>
  <c r="BQ83" i="9"/>
  <c r="BP83" i="9"/>
  <c r="BN83" i="9"/>
  <c r="CG83" i="9"/>
  <c r="CF45" i="9"/>
  <c r="CE45" i="9"/>
  <c r="CC45" i="9"/>
  <c r="CD45" i="9" s="1"/>
  <c r="CI45" i="9" s="1"/>
  <c r="BS58" i="9"/>
  <c r="BT58" i="9" s="1"/>
  <c r="BV58" i="9"/>
  <c r="BU58" i="9"/>
  <c r="BV51" i="9"/>
  <c r="BU51" i="9"/>
  <c r="BS51" i="9"/>
  <c r="BT51" i="9" s="1"/>
  <c r="BS93" i="9"/>
  <c r="BT93" i="9" s="1"/>
  <c r="BV93" i="9"/>
  <c r="BU93" i="9"/>
  <c r="BU94" i="9"/>
  <c r="BS94" i="9"/>
  <c r="BT94" i="9" s="1"/>
  <c r="BV94" i="9"/>
  <c r="BX83" i="9"/>
  <c r="BY83" i="9" s="1"/>
  <c r="CA83" i="9"/>
  <c r="BZ83" i="9"/>
  <c r="BV112" i="9"/>
  <c r="BU112" i="9"/>
  <c r="BS112" i="9"/>
  <c r="BT112" i="9" s="1"/>
  <c r="CF105" i="9"/>
  <c r="CE105" i="9"/>
  <c r="CC105" i="9"/>
  <c r="CD105" i="9" s="1"/>
  <c r="CI105" i="9" s="1"/>
  <c r="BV97" i="9"/>
  <c r="BU97" i="9"/>
  <c r="BS97" i="9"/>
  <c r="BT97" i="9" s="1"/>
  <c r="BQ73" i="9"/>
  <c r="BP73" i="9"/>
  <c r="BN73" i="9"/>
  <c r="CG73" i="9"/>
  <c r="BN119" i="9"/>
  <c r="BQ119" i="9"/>
  <c r="BP119" i="9"/>
  <c r="CG119" i="9"/>
  <c r="BQ117" i="9"/>
  <c r="BP117" i="9"/>
  <c r="BN117" i="9"/>
  <c r="CG117" i="9"/>
  <c r="CF131" i="9"/>
  <c r="CE131" i="9"/>
  <c r="CC131" i="9"/>
  <c r="CD131" i="9" s="1"/>
  <c r="CI131" i="9" s="1"/>
  <c r="BN118" i="9"/>
  <c r="BQ118" i="9"/>
  <c r="BP118" i="9"/>
  <c r="CG118" i="9"/>
  <c r="BN76" i="9"/>
  <c r="BP76" i="9"/>
  <c r="BQ76" i="9"/>
  <c r="CG76" i="9"/>
  <c r="BX132" i="9"/>
  <c r="BY132" i="9" s="1"/>
  <c r="CA132" i="9"/>
  <c r="BZ132" i="9"/>
  <c r="BX121" i="9"/>
  <c r="BY121" i="9" s="1"/>
  <c r="CA121" i="9"/>
  <c r="BZ121" i="9"/>
  <c r="CC124" i="9"/>
  <c r="CD124" i="9" s="1"/>
  <c r="CI124" i="9" s="1"/>
  <c r="CF124" i="9"/>
  <c r="CE124" i="9"/>
  <c r="CA105" i="9"/>
  <c r="BZ105" i="9"/>
  <c r="BX105" i="9"/>
  <c r="BY105" i="9" s="1"/>
  <c r="BV134" i="9"/>
  <c r="BS134" i="9"/>
  <c r="BT134" i="9" s="1"/>
  <c r="BU134" i="9"/>
  <c r="BZ140" i="9"/>
  <c r="CA140" i="9"/>
  <c r="BX140" i="9"/>
  <c r="BY140" i="9" s="1"/>
  <c r="BQ116" i="9"/>
  <c r="BP116" i="9"/>
  <c r="BN116" i="9"/>
  <c r="CG116" i="9"/>
  <c r="CE146" i="9"/>
  <c r="CF146" i="9"/>
  <c r="CC146" i="9"/>
  <c r="CD146" i="9" s="1"/>
  <c r="CI146" i="9" s="1"/>
  <c r="CC154" i="9"/>
  <c r="CD154" i="9" s="1"/>
  <c r="CI154" i="9" s="1"/>
  <c r="CF154" i="9"/>
  <c r="CE154" i="9"/>
  <c r="BX156" i="9"/>
  <c r="BY156" i="9" s="1"/>
  <c r="CA156" i="9"/>
  <c r="BZ156" i="9"/>
  <c r="BV150" i="9"/>
  <c r="BU150" i="9"/>
  <c r="BS150" i="9"/>
  <c r="BT150" i="9" s="1"/>
  <c r="BQ31" i="9"/>
  <c r="BP31" i="9"/>
  <c r="BN31" i="9"/>
  <c r="CG31" i="9"/>
  <c r="BQ6" i="9"/>
  <c r="BP6" i="9"/>
  <c r="BN6" i="9"/>
  <c r="CG6" i="9"/>
  <c r="CE31" i="9"/>
  <c r="CF31" i="9"/>
  <c r="CC31" i="9"/>
  <c r="CD31" i="9" s="1"/>
  <c r="CI31" i="9" s="1"/>
  <c r="BV9" i="9"/>
  <c r="BU9" i="9"/>
  <c r="BS9" i="9"/>
  <c r="BT9" i="9" s="1"/>
  <c r="BQ47" i="9"/>
  <c r="BP47" i="9"/>
  <c r="BN47" i="9"/>
  <c r="CG47" i="9"/>
  <c r="BP18" i="9"/>
  <c r="BQ18" i="9"/>
  <c r="BN18" i="9"/>
  <c r="CG18" i="9"/>
  <c r="CF49" i="9"/>
  <c r="CE49" i="9"/>
  <c r="CC49" i="9"/>
  <c r="CD49" i="9" s="1"/>
  <c r="CI49" i="9" s="1"/>
  <c r="BV27" i="9"/>
  <c r="BU27" i="9"/>
  <c r="BS27" i="9"/>
  <c r="BT27" i="9" s="1"/>
  <c r="BU10" i="9"/>
  <c r="BS10" i="9"/>
  <c r="BT10" i="9" s="1"/>
  <c r="BV10" i="9"/>
  <c r="CE36" i="9"/>
  <c r="CC36" i="9"/>
  <c r="CD36" i="9" s="1"/>
  <c r="CI36" i="9" s="1"/>
  <c r="CF36" i="9"/>
  <c r="BN39" i="9"/>
  <c r="BQ39" i="9"/>
  <c r="BP39" i="9"/>
  <c r="CG39" i="9"/>
  <c r="CF67" i="9"/>
  <c r="CE67" i="9"/>
  <c r="CC67" i="9"/>
  <c r="CD67" i="9" s="1"/>
  <c r="CI67" i="9" s="1"/>
  <c r="CE87" i="9"/>
  <c r="CC87" i="9"/>
  <c r="CD87" i="9" s="1"/>
  <c r="CI87" i="9" s="1"/>
  <c r="CF87" i="9"/>
  <c r="BS28" i="9"/>
  <c r="BT28" i="9" s="1"/>
  <c r="BV28" i="9"/>
  <c r="BU28" i="9"/>
  <c r="BN38" i="9"/>
  <c r="BQ38" i="9"/>
  <c r="BP38" i="9"/>
  <c r="CG38" i="9"/>
  <c r="CA36" i="9"/>
  <c r="BZ36" i="9"/>
  <c r="BX36" i="9"/>
  <c r="BY36" i="9" s="1"/>
  <c r="BU82" i="9"/>
  <c r="BS82" i="9"/>
  <c r="BT82" i="9" s="1"/>
  <c r="BV82" i="9"/>
  <c r="CA88" i="9"/>
  <c r="BZ88" i="9"/>
  <c r="BX88" i="9"/>
  <c r="BY88" i="9" s="1"/>
  <c r="BN56" i="9"/>
  <c r="BQ56" i="9"/>
  <c r="BP56" i="9"/>
  <c r="CG56" i="9"/>
  <c r="BS59" i="9"/>
  <c r="BT59" i="9" s="1"/>
  <c r="BV59" i="9"/>
  <c r="BU59" i="9"/>
  <c r="BX52" i="9"/>
  <c r="BY52" i="9" s="1"/>
  <c r="CA52" i="9"/>
  <c r="BZ52" i="9"/>
  <c r="BP98" i="9"/>
  <c r="BQ98" i="9"/>
  <c r="BN98" i="9"/>
  <c r="CG98" i="9"/>
  <c r="CA107" i="9"/>
  <c r="BZ107" i="9"/>
  <c r="BX107" i="9"/>
  <c r="BY107" i="9" s="1"/>
  <c r="CE97" i="9"/>
  <c r="CF97" i="9"/>
  <c r="CC97" i="9"/>
  <c r="CD97" i="9" s="1"/>
  <c r="CI97" i="9" s="1"/>
  <c r="BQ61" i="9"/>
  <c r="BP61" i="9"/>
  <c r="BN61" i="9"/>
  <c r="CG61" i="9"/>
  <c r="CF117" i="9"/>
  <c r="CE117" i="9"/>
  <c r="CC117" i="9"/>
  <c r="CD117" i="9" s="1"/>
  <c r="CI117" i="9" s="1"/>
  <c r="BQ102" i="9"/>
  <c r="BP102" i="9"/>
  <c r="BN102" i="9"/>
  <c r="CG102" i="9"/>
  <c r="CF73" i="9"/>
  <c r="CE73" i="9"/>
  <c r="CC73" i="9"/>
  <c r="CD73" i="9" s="1"/>
  <c r="CI73" i="9" s="1"/>
  <c r="BV75" i="9"/>
  <c r="BS75" i="9"/>
  <c r="BT75" i="9" s="1"/>
  <c r="BU75" i="9"/>
  <c r="BQ123" i="9"/>
  <c r="BP123" i="9"/>
  <c r="BN123" i="9"/>
  <c r="CG123" i="9"/>
  <c r="CE143" i="9"/>
  <c r="CF143" i="9"/>
  <c r="CC143" i="9"/>
  <c r="CD143" i="9" s="1"/>
  <c r="CI143" i="9" s="1"/>
  <c r="BN122" i="9"/>
  <c r="BQ122" i="9"/>
  <c r="BP122" i="9"/>
  <c r="CG122" i="9"/>
  <c r="BV77" i="9"/>
  <c r="BS77" i="9"/>
  <c r="BT77" i="9" s="1"/>
  <c r="BU77" i="9"/>
  <c r="BV133" i="9"/>
  <c r="BU133" i="9"/>
  <c r="BS133" i="9"/>
  <c r="BT133" i="9" s="1"/>
  <c r="CA123" i="9"/>
  <c r="BZ123" i="9"/>
  <c r="BX123" i="9"/>
  <c r="BY123" i="9" s="1"/>
  <c r="BS131" i="9"/>
  <c r="BT131" i="9" s="1"/>
  <c r="BV131" i="9"/>
  <c r="BU131" i="9"/>
  <c r="CF106" i="9"/>
  <c r="CE106" i="9"/>
  <c r="CC106" i="9"/>
  <c r="CD106" i="9" s="1"/>
  <c r="CI106" i="9" s="1"/>
  <c r="BQ135" i="9"/>
  <c r="BP135" i="9"/>
  <c r="BN135" i="9"/>
  <c r="CG135" i="9"/>
  <c r="BU142" i="9"/>
  <c r="BV142" i="9"/>
  <c r="BS142" i="9"/>
  <c r="BT142" i="9" s="1"/>
  <c r="BS117" i="9"/>
  <c r="BT117" i="9" s="1"/>
  <c r="BV117" i="9"/>
  <c r="BU117" i="9"/>
  <c r="BV148" i="9"/>
  <c r="BU148" i="9"/>
  <c r="BS148" i="9"/>
  <c r="BS156" i="9"/>
  <c r="BT156" i="9" s="1"/>
  <c r="BV156" i="9"/>
  <c r="BU156" i="9"/>
  <c r="CF149" i="9"/>
  <c r="CE149" i="9"/>
  <c r="CC149" i="9"/>
  <c r="CD149" i="9" s="1"/>
  <c r="CI149" i="9" s="1"/>
  <c r="CA151" i="9"/>
  <c r="BZ151" i="9"/>
  <c r="BX151" i="9"/>
  <c r="BY151" i="9" s="1"/>
  <c r="BK191" i="9"/>
  <c r="I25" i="13" s="1"/>
  <c r="BQ40" i="9"/>
  <c r="BP40" i="9"/>
  <c r="BN40" i="9"/>
  <c r="CG40" i="9"/>
  <c r="CA10" i="9"/>
  <c r="BX10" i="9"/>
  <c r="BY10" i="9" s="1"/>
  <c r="BZ10" i="9"/>
  <c r="CA75" i="9"/>
  <c r="BZ75" i="9"/>
  <c r="BX75" i="9"/>
  <c r="BY75" i="9" s="1"/>
  <c r="CF12" i="9"/>
  <c r="CE12" i="9"/>
  <c r="CC12" i="9"/>
  <c r="CD12" i="9" s="1"/>
  <c r="CI12" i="9" s="1"/>
  <c r="CE48" i="9"/>
  <c r="CC48" i="9"/>
  <c r="CD48" i="9" s="1"/>
  <c r="CI48" i="9" s="1"/>
  <c r="CF48" i="9"/>
  <c r="CE34" i="9"/>
  <c r="CF34" i="9"/>
  <c r="CC34" i="9"/>
  <c r="CD34" i="9" s="1"/>
  <c r="CI34" i="9" s="1"/>
  <c r="BQ52" i="9"/>
  <c r="BP52" i="9"/>
  <c r="BN52" i="9"/>
  <c r="CG52" i="9"/>
  <c r="BQ34" i="9"/>
  <c r="BP34" i="9"/>
  <c r="BN34" i="9"/>
  <c r="CG34" i="9"/>
  <c r="BP11" i="9"/>
  <c r="BN11" i="9"/>
  <c r="BQ11" i="9"/>
  <c r="CG11" i="9"/>
  <c r="BP45" i="9"/>
  <c r="BN45" i="9"/>
  <c r="BQ45" i="9"/>
  <c r="CG45" i="9"/>
  <c r="BX41" i="9"/>
  <c r="BY41" i="9" s="1"/>
  <c r="CA41" i="9"/>
  <c r="BZ41" i="9"/>
  <c r="BQ86" i="9"/>
  <c r="BP86" i="9"/>
  <c r="BN86" i="9"/>
  <c r="CG86" i="9"/>
  <c r="CF66" i="9"/>
  <c r="CE66" i="9"/>
  <c r="CC66" i="9"/>
  <c r="CD66" i="9" s="1"/>
  <c r="CI66" i="9" s="1"/>
  <c r="BX29" i="9"/>
  <c r="BY29" i="9" s="1"/>
  <c r="CA29" i="9"/>
  <c r="BZ29" i="9"/>
  <c r="CJ29" i="9" s="1"/>
  <c r="CC38" i="9"/>
  <c r="CD38" i="9" s="1"/>
  <c r="CI38" i="9" s="1"/>
  <c r="CF38" i="9"/>
  <c r="CE38" i="9"/>
  <c r="BQ43" i="9"/>
  <c r="BP43" i="9"/>
  <c r="BN43" i="9"/>
  <c r="CG43" i="9"/>
  <c r="BQ77" i="9"/>
  <c r="BP77" i="9"/>
  <c r="BN77" i="9"/>
  <c r="CG77" i="9"/>
  <c r="CC63" i="9"/>
  <c r="CD63" i="9" s="1"/>
  <c r="CI63" i="9" s="1"/>
  <c r="CF63" i="9"/>
  <c r="CE63" i="9"/>
  <c r="BS57" i="9"/>
  <c r="BT57" i="9" s="1"/>
  <c r="BV57" i="9"/>
  <c r="BU57" i="9"/>
  <c r="CF65" i="9"/>
  <c r="CK65" i="9" s="1"/>
  <c r="CC65" i="9"/>
  <c r="CD65" i="9" s="1"/>
  <c r="CI65" i="9" s="1"/>
  <c r="CE65" i="9"/>
  <c r="CC53" i="9"/>
  <c r="CD53" i="9" s="1"/>
  <c r="CI53" i="9" s="1"/>
  <c r="CF53" i="9"/>
  <c r="CE53" i="9"/>
  <c r="BV106" i="9"/>
  <c r="BU106" i="9"/>
  <c r="BS106" i="9"/>
  <c r="BT106" i="9" s="1"/>
  <c r="BX74" i="9"/>
  <c r="BY74" i="9" s="1"/>
  <c r="BZ74" i="9"/>
  <c r="CA74" i="9"/>
  <c r="CF98" i="9"/>
  <c r="CC98" i="9"/>
  <c r="CD98" i="9" s="1"/>
  <c r="CI98" i="9" s="1"/>
  <c r="CE98" i="9"/>
  <c r="BS62" i="9"/>
  <c r="BT62" i="9" s="1"/>
  <c r="BV62" i="9"/>
  <c r="BU62" i="9"/>
  <c r="BU113" i="9"/>
  <c r="BV113" i="9"/>
  <c r="CK113" i="9" s="1"/>
  <c r="BS113" i="9"/>
  <c r="BT113" i="9" s="1"/>
  <c r="CA126" i="9"/>
  <c r="BZ126" i="9"/>
  <c r="BX126" i="9"/>
  <c r="BY126" i="9" s="1"/>
  <c r="BZ80" i="9"/>
  <c r="CA80" i="9"/>
  <c r="BX80" i="9"/>
  <c r="BY80" i="9" s="1"/>
  <c r="BU84" i="9"/>
  <c r="BV84" i="9"/>
  <c r="BS84" i="9"/>
  <c r="BT84" i="9" s="1"/>
  <c r="CF129" i="9"/>
  <c r="CE129" i="9"/>
  <c r="CC129" i="9"/>
  <c r="CD129" i="9" s="1"/>
  <c r="CI129" i="9" s="1"/>
  <c r="BQ107" i="9"/>
  <c r="BP107" i="9"/>
  <c r="BN107" i="9"/>
  <c r="CG107" i="9"/>
  <c r="BU123" i="9"/>
  <c r="BS123" i="9"/>
  <c r="BT123" i="9" s="1"/>
  <c r="BV123" i="9"/>
  <c r="BZ78" i="9"/>
  <c r="BX78" i="9"/>
  <c r="BY78" i="9" s="1"/>
  <c r="CA78" i="9"/>
  <c r="BQ134" i="9"/>
  <c r="BP134" i="9"/>
  <c r="BN134" i="9"/>
  <c r="CG134" i="9"/>
  <c r="CE125" i="9"/>
  <c r="CF125" i="9"/>
  <c r="CC125" i="9"/>
  <c r="CD125" i="9" s="1"/>
  <c r="CI125" i="9" s="1"/>
  <c r="BN121" i="9"/>
  <c r="BQ121" i="9"/>
  <c r="BP121" i="9"/>
  <c r="CG121" i="9"/>
  <c r="BQ115" i="9"/>
  <c r="BP115" i="9"/>
  <c r="BN115" i="9"/>
  <c r="CG115" i="9"/>
  <c r="CF135" i="9"/>
  <c r="CE135" i="9"/>
  <c r="CC135" i="9"/>
  <c r="CD135" i="9" s="1"/>
  <c r="CI135" i="9" s="1"/>
  <c r="BN155" i="9"/>
  <c r="BQ155" i="9"/>
  <c r="BP155" i="9"/>
  <c r="CG155" i="9"/>
  <c r="CA118" i="9"/>
  <c r="BZ118" i="9"/>
  <c r="BX118" i="9"/>
  <c r="BY118" i="9" s="1"/>
  <c r="BN151" i="9"/>
  <c r="BQ151" i="9"/>
  <c r="BP151" i="9"/>
  <c r="CG151" i="9"/>
  <c r="CA148" i="9"/>
  <c r="BX148" i="9"/>
  <c r="BZ148" i="9"/>
  <c r="BQ150" i="9"/>
  <c r="BP150" i="9"/>
  <c r="BN150" i="9"/>
  <c r="CG150" i="9"/>
  <c r="CF152" i="9"/>
  <c r="CE152" i="9"/>
  <c r="CC152" i="9"/>
  <c r="CD152" i="9" s="1"/>
  <c r="CI152" i="9" s="1"/>
  <c r="AW191" i="9"/>
  <c r="F27" i="13" s="1"/>
  <c r="CA21" i="9"/>
  <c r="BZ21" i="9"/>
  <c r="BX21" i="9"/>
  <c r="BY21" i="9" s="1"/>
  <c r="BZ28" i="9"/>
  <c r="BX28" i="9"/>
  <c r="BY28" i="9" s="1"/>
  <c r="CA28" i="9"/>
  <c r="BZ11" i="9"/>
  <c r="BX11" i="9"/>
  <c r="BY11" i="9" s="1"/>
  <c r="CA11" i="9"/>
  <c r="CC21" i="9"/>
  <c r="CD21" i="9" s="1"/>
  <c r="CI21" i="9" s="1"/>
  <c r="CF21" i="9"/>
  <c r="CE21" i="9"/>
  <c r="CE18" i="9"/>
  <c r="CF18" i="9"/>
  <c r="CC18" i="9"/>
  <c r="CD18" i="9" s="1"/>
  <c r="CI18" i="9" s="1"/>
  <c r="CA35" i="9"/>
  <c r="BZ35" i="9"/>
  <c r="BX35" i="9"/>
  <c r="BY35" i="9" s="1"/>
  <c r="BQ55" i="9"/>
  <c r="BP55" i="9"/>
  <c r="BN55" i="9"/>
  <c r="CG55" i="9"/>
  <c r="CA40" i="9"/>
  <c r="BZ40" i="9"/>
  <c r="BX40" i="9"/>
  <c r="BY40" i="9" s="1"/>
  <c r="CE11" i="9"/>
  <c r="CC11" i="9"/>
  <c r="CD11" i="9" s="1"/>
  <c r="CI11" i="9" s="1"/>
  <c r="CF11" i="9"/>
  <c r="CF52" i="9"/>
  <c r="CE52" i="9"/>
  <c r="CC52" i="9"/>
  <c r="CD52" i="9" s="1"/>
  <c r="CI52" i="9" s="1"/>
  <c r="BN17" i="9"/>
  <c r="BQ17" i="9"/>
  <c r="BP17" i="9"/>
  <c r="CG17" i="9"/>
  <c r="BP49" i="9"/>
  <c r="BN49" i="9"/>
  <c r="BQ49" i="9"/>
  <c r="CG49" i="9"/>
  <c r="BQ70" i="9"/>
  <c r="BP70" i="9"/>
  <c r="BN70" i="9"/>
  <c r="CG70" i="9"/>
  <c r="CC30" i="9"/>
  <c r="CD30" i="9" s="1"/>
  <c r="CI30" i="9" s="1"/>
  <c r="CF30" i="9"/>
  <c r="CE30" i="9"/>
  <c r="BX39" i="9"/>
  <c r="BY39" i="9" s="1"/>
  <c r="CA39" i="9"/>
  <c r="BZ39" i="9"/>
  <c r="BQ44" i="9"/>
  <c r="BP44" i="9"/>
  <c r="BN44" i="9"/>
  <c r="CG44" i="9"/>
  <c r="BS78" i="9"/>
  <c r="BT78" i="9" s="1"/>
  <c r="BU78" i="9"/>
  <c r="BV78" i="9"/>
  <c r="CA70" i="9"/>
  <c r="BZ70" i="9"/>
  <c r="BX70" i="9"/>
  <c r="BY70" i="9" s="1"/>
  <c r="BN63" i="9"/>
  <c r="BP63" i="9"/>
  <c r="BQ63" i="9"/>
  <c r="CG63" i="9"/>
  <c r="BS66" i="9"/>
  <c r="BT66" i="9" s="1"/>
  <c r="BU66" i="9"/>
  <c r="BV66" i="9"/>
  <c r="BV61" i="9"/>
  <c r="BU61" i="9"/>
  <c r="BS61" i="9"/>
  <c r="BT61" i="9" s="1"/>
  <c r="BV110" i="9"/>
  <c r="BU110" i="9"/>
  <c r="BS110" i="9"/>
  <c r="BT110" i="9" s="1"/>
  <c r="BQ80" i="9"/>
  <c r="BN80" i="9"/>
  <c r="BP80" i="9"/>
  <c r="CG80" i="9"/>
  <c r="BV111" i="9"/>
  <c r="BU111" i="9"/>
  <c r="BS111" i="9"/>
  <c r="BT111" i="9" s="1"/>
  <c r="BX64" i="9"/>
  <c r="BY64" i="9" s="1"/>
  <c r="CA64" i="9"/>
  <c r="BZ64" i="9"/>
  <c r="BN96" i="9"/>
  <c r="BQ96" i="9"/>
  <c r="BP96" i="9"/>
  <c r="CG96" i="9"/>
  <c r="BV92" i="9"/>
  <c r="BU92" i="9"/>
  <c r="BS92" i="9"/>
  <c r="BT92" i="9" s="1"/>
  <c r="BS81" i="9"/>
  <c r="BT81" i="9" s="1"/>
  <c r="BV81" i="9"/>
  <c r="BU81" i="9"/>
  <c r="CE88" i="9"/>
  <c r="CC88" i="9"/>
  <c r="CD88" i="9" s="1"/>
  <c r="CI88" i="9" s="1"/>
  <c r="CF88" i="9"/>
  <c r="BV136" i="9"/>
  <c r="BU136" i="9"/>
  <c r="BS136" i="9"/>
  <c r="BT136" i="9" s="1"/>
  <c r="CF107" i="9"/>
  <c r="CE107" i="9"/>
  <c r="CC107" i="9"/>
  <c r="CD107" i="9" s="1"/>
  <c r="CI107" i="9" s="1"/>
  <c r="BN111" i="9"/>
  <c r="BQ111" i="9"/>
  <c r="BP111" i="9"/>
  <c r="CG111" i="9"/>
  <c r="CF79" i="9"/>
  <c r="CE79" i="9"/>
  <c r="CC79" i="9"/>
  <c r="CD79" i="9" s="1"/>
  <c r="CI79" i="9" s="1"/>
  <c r="CF126" i="9"/>
  <c r="CE126" i="9"/>
  <c r="CC126" i="9"/>
  <c r="CD126" i="9" s="1"/>
  <c r="CI126" i="9" s="1"/>
  <c r="CA122" i="9"/>
  <c r="BZ122" i="9"/>
  <c r="BX122" i="9"/>
  <c r="BY122" i="9" s="1"/>
  <c r="CC121" i="9"/>
  <c r="CD121" i="9" s="1"/>
  <c r="CI121" i="9" s="1"/>
  <c r="CF121" i="9"/>
  <c r="CE121" i="9"/>
  <c r="CC115" i="9"/>
  <c r="CD115" i="9" s="1"/>
  <c r="CI115" i="9" s="1"/>
  <c r="CE115" i="9"/>
  <c r="CF115" i="9"/>
  <c r="BV138" i="9"/>
  <c r="BU138" i="9"/>
  <c r="BS138" i="9"/>
  <c r="BT138" i="9" s="1"/>
  <c r="CC156" i="9"/>
  <c r="CD156" i="9" s="1"/>
  <c r="CI156" i="9" s="1"/>
  <c r="CE156" i="9"/>
  <c r="CF156" i="9"/>
  <c r="CK156" i="9" s="1"/>
  <c r="CF119" i="9"/>
  <c r="CE119" i="9"/>
  <c r="CC119" i="9"/>
  <c r="CD119" i="9" s="1"/>
  <c r="CI119" i="9" s="1"/>
  <c r="BQ144" i="9"/>
  <c r="BP144" i="9"/>
  <c r="BN144" i="9"/>
  <c r="CG144" i="9"/>
  <c r="BN153" i="9"/>
  <c r="BQ153" i="9"/>
  <c r="BP153" i="9"/>
  <c r="CG153" i="9"/>
  <c r="CA152" i="9"/>
  <c r="BZ152" i="9"/>
  <c r="BX152" i="9"/>
  <c r="BY152" i="9" s="1"/>
  <c r="CJ24" i="9"/>
  <c r="AV191" i="9"/>
  <c r="F25" i="13" s="1"/>
  <c r="CA22" i="9"/>
  <c r="BZ22" i="9"/>
  <c r="BX22" i="9"/>
  <c r="BY22" i="9" s="1"/>
  <c r="CA8" i="9"/>
  <c r="BZ8" i="9"/>
  <c r="BX8" i="9"/>
  <c r="BY8" i="9" s="1"/>
  <c r="BV14" i="9"/>
  <c r="BU14" i="9"/>
  <c r="BS14" i="9"/>
  <c r="BT14" i="9" s="1"/>
  <c r="BQ33" i="9"/>
  <c r="CK33" i="9" s="1"/>
  <c r="CG33" i="9"/>
  <c r="BP33" i="9"/>
  <c r="BN33" i="9"/>
  <c r="CC13" i="9"/>
  <c r="CD13" i="9" s="1"/>
  <c r="CI13" i="9" s="1"/>
  <c r="CF13" i="9"/>
  <c r="CE13" i="9"/>
  <c r="CA45" i="9"/>
  <c r="BZ45" i="9"/>
  <c r="BX45" i="9"/>
  <c r="BY45" i="9" s="1"/>
  <c r="BV56" i="9"/>
  <c r="BU56" i="9"/>
  <c r="BS56" i="9"/>
  <c r="BT56" i="9" s="1"/>
  <c r="BV41" i="9"/>
  <c r="BU41" i="9"/>
  <c r="BS41" i="9"/>
  <c r="BT41" i="9" s="1"/>
  <c r="BX12" i="9"/>
  <c r="BY12" i="9" s="1"/>
  <c r="CA12" i="9"/>
  <c r="BZ12" i="9"/>
  <c r="BX6" i="9"/>
  <c r="BY6" i="9" s="1"/>
  <c r="CA6" i="9"/>
  <c r="BZ6" i="9"/>
  <c r="CF17" i="9"/>
  <c r="CE17" i="9"/>
  <c r="CC17" i="9"/>
  <c r="CD17" i="9" s="1"/>
  <c r="CI17" i="9" s="1"/>
  <c r="CF51" i="9"/>
  <c r="CE51" i="9"/>
  <c r="CC51" i="9"/>
  <c r="CD51" i="9" s="1"/>
  <c r="CI51" i="9" s="1"/>
  <c r="CF72" i="9"/>
  <c r="CE72" i="9"/>
  <c r="CC72" i="9"/>
  <c r="CD72" i="9" s="1"/>
  <c r="CI72" i="9" s="1"/>
  <c r="BN32" i="9"/>
  <c r="BQ32" i="9"/>
  <c r="BP32" i="9"/>
  <c r="CG32" i="9"/>
  <c r="BS40" i="9"/>
  <c r="BT40" i="9" s="1"/>
  <c r="BV40" i="9"/>
  <c r="BU40" i="9"/>
  <c r="CA49" i="9"/>
  <c r="BZ49" i="9"/>
  <c r="BX49" i="9"/>
  <c r="BY49" i="9" s="1"/>
  <c r="CE61" i="9"/>
  <c r="CC61" i="9"/>
  <c r="CD61" i="9" s="1"/>
  <c r="CI61" i="9" s="1"/>
  <c r="CF61" i="9"/>
  <c r="BZ71" i="9"/>
  <c r="BX71" i="9"/>
  <c r="BY71" i="9" s="1"/>
  <c r="CA71" i="9"/>
  <c r="BU64" i="9"/>
  <c r="BV64" i="9"/>
  <c r="BS64" i="9"/>
  <c r="BT64" i="9" s="1"/>
  <c r="BV69" i="9"/>
  <c r="BU69" i="9"/>
  <c r="BS69" i="9"/>
  <c r="BT69" i="9" s="1"/>
  <c r="CA62" i="9"/>
  <c r="BZ62" i="9"/>
  <c r="BX62" i="9"/>
  <c r="BY62" i="9" s="1"/>
  <c r="CF80" i="9"/>
  <c r="CE80" i="9"/>
  <c r="CC80" i="9"/>
  <c r="CD80" i="9" s="1"/>
  <c r="CI80" i="9" s="1"/>
  <c r="BZ84" i="9"/>
  <c r="BX84" i="9"/>
  <c r="BY84" i="9" s="1"/>
  <c r="CA84" i="9"/>
  <c r="BP68" i="9"/>
  <c r="BQ68" i="9"/>
  <c r="BN68" i="9"/>
  <c r="CG68" i="9"/>
  <c r="CE74" i="9"/>
  <c r="CF74" i="9"/>
  <c r="CC74" i="9"/>
  <c r="CD74" i="9" s="1"/>
  <c r="CI74" i="9" s="1"/>
  <c r="BV100" i="9"/>
  <c r="BU100" i="9"/>
  <c r="BS100" i="9"/>
  <c r="BT100" i="9" s="1"/>
  <c r="CF94" i="9"/>
  <c r="CE94" i="9"/>
  <c r="CC94" i="9"/>
  <c r="CD94" i="9" s="1"/>
  <c r="CI94" i="9" s="1"/>
  <c r="CA90" i="9"/>
  <c r="BZ90" i="9"/>
  <c r="BX90" i="9"/>
  <c r="BY90" i="9" s="1"/>
  <c r="CA149" i="9"/>
  <c r="BZ149" i="9"/>
  <c r="BX149" i="9"/>
  <c r="BY149" i="9" s="1"/>
  <c r="CA111" i="9"/>
  <c r="BZ111" i="9"/>
  <c r="BX111" i="9"/>
  <c r="BY111" i="9" s="1"/>
  <c r="BX108" i="9"/>
  <c r="BY108" i="9" s="1"/>
  <c r="CA108" i="9"/>
  <c r="BZ108" i="9"/>
  <c r="CE112" i="9"/>
  <c r="CC112" i="9"/>
  <c r="CD112" i="9" s="1"/>
  <c r="CI112" i="9" s="1"/>
  <c r="CF112" i="9"/>
  <c r="BQ90" i="9"/>
  <c r="CK90" i="9" s="1"/>
  <c r="CG90" i="9"/>
  <c r="BP90" i="9"/>
  <c r="BN90" i="9"/>
  <c r="CA130" i="9"/>
  <c r="BZ130" i="9"/>
  <c r="BX130" i="9"/>
  <c r="BY130" i="9" s="1"/>
  <c r="BQ126" i="9"/>
  <c r="BP126" i="9"/>
  <c r="BN126" i="9"/>
  <c r="CG126" i="9"/>
  <c r="CF134" i="9"/>
  <c r="CE134" i="9"/>
  <c r="CC134" i="9"/>
  <c r="CD134" i="9" s="1"/>
  <c r="CI134" i="9" s="1"/>
  <c r="CA116" i="9"/>
  <c r="BZ116" i="9"/>
  <c r="BX116" i="9"/>
  <c r="BY116" i="9" s="1"/>
  <c r="BV139" i="9"/>
  <c r="BU139" i="9"/>
  <c r="BS139" i="9"/>
  <c r="BT139" i="9" s="1"/>
  <c r="CC122" i="9"/>
  <c r="CD122" i="9" s="1"/>
  <c r="CI122" i="9" s="1"/>
  <c r="CF122" i="9"/>
  <c r="CE122" i="9"/>
  <c r="BV126" i="9"/>
  <c r="BU126" i="9"/>
  <c r="BS126" i="9"/>
  <c r="BT126" i="9" s="1"/>
  <c r="CC144" i="9"/>
  <c r="CD144" i="9" s="1"/>
  <c r="CI144" i="9" s="1"/>
  <c r="CF144" i="9"/>
  <c r="CE144" i="9"/>
  <c r="BN127" i="9"/>
  <c r="BQ127" i="9"/>
  <c r="BP127" i="9"/>
  <c r="CG127" i="9"/>
  <c r="CC157" i="9"/>
  <c r="CD157" i="9" s="1"/>
  <c r="CI157" i="9" s="1"/>
  <c r="CF157" i="9"/>
  <c r="CE157" i="9"/>
  <c r="CK91" i="9"/>
  <c r="CK37" i="9"/>
  <c r="BG191" i="9"/>
  <c r="H27" i="13" s="1"/>
  <c r="BQ23" i="9"/>
  <c r="BP23" i="9"/>
  <c r="BN23" i="9"/>
  <c r="CG23" i="9"/>
  <c r="BQ9" i="9"/>
  <c r="BP9" i="9"/>
  <c r="BN9" i="9"/>
  <c r="CG9" i="9"/>
  <c r="CF6" i="9"/>
  <c r="CC6" i="9"/>
  <c r="CD6" i="9" s="1"/>
  <c r="CI6" i="9" s="1"/>
  <c r="CE6" i="9"/>
  <c r="CA51" i="9"/>
  <c r="BZ51" i="9"/>
  <c r="BX51" i="9"/>
  <c r="BY51" i="9" s="1"/>
  <c r="BN20" i="9"/>
  <c r="BQ20" i="9"/>
  <c r="BP20" i="9"/>
  <c r="CG20" i="9"/>
  <c r="BU46" i="9"/>
  <c r="BS46" i="9"/>
  <c r="BT46" i="9" s="1"/>
  <c r="BV46" i="9"/>
  <c r="CF58" i="9"/>
  <c r="CE58" i="9"/>
  <c r="CC58" i="9"/>
  <c r="CD58" i="9" s="1"/>
  <c r="CI58" i="9" s="1"/>
  <c r="BV42" i="9"/>
  <c r="BU42" i="9"/>
  <c r="CJ42" i="9" s="1"/>
  <c r="BS42" i="9"/>
  <c r="BT42" i="9" s="1"/>
  <c r="BU13" i="9"/>
  <c r="BS13" i="9"/>
  <c r="BT13" i="9" s="1"/>
  <c r="BV13" i="9"/>
  <c r="CC7" i="9"/>
  <c r="CD7" i="9" s="1"/>
  <c r="CI7" i="9" s="1"/>
  <c r="CF7" i="9"/>
  <c r="CE7" i="9"/>
  <c r="CA27" i="9"/>
  <c r="CK27" i="9" s="1"/>
  <c r="BZ27" i="9"/>
  <c r="BX27" i="9"/>
  <c r="BY27" i="9" s="1"/>
  <c r="BU53" i="9"/>
  <c r="BS53" i="9"/>
  <c r="BT53" i="9" s="1"/>
  <c r="BV53" i="9"/>
  <c r="CA79" i="9"/>
  <c r="BZ79" i="9"/>
  <c r="BX79" i="9"/>
  <c r="BY79" i="9" s="1"/>
  <c r="CC32" i="9"/>
  <c r="CD32" i="9" s="1"/>
  <c r="CI32" i="9" s="1"/>
  <c r="CF32" i="9"/>
  <c r="CE32" i="9"/>
  <c r="CF43" i="9"/>
  <c r="CC43" i="9"/>
  <c r="CD43" i="9" s="1"/>
  <c r="CI43" i="9" s="1"/>
  <c r="CE43" i="9"/>
  <c r="BQ54" i="9"/>
  <c r="BP54" i="9"/>
  <c r="BN54" i="9"/>
  <c r="CG54" i="9"/>
  <c r="BX63" i="9"/>
  <c r="BY63" i="9" s="1"/>
  <c r="CA63" i="9"/>
  <c r="BZ63" i="9"/>
  <c r="BX81" i="9"/>
  <c r="BY81" i="9" s="1"/>
  <c r="CA81" i="9"/>
  <c r="BZ81" i="9"/>
  <c r="BX67" i="9"/>
  <c r="BY67" i="9" s="1"/>
  <c r="CA67" i="9"/>
  <c r="BZ67" i="9"/>
  <c r="CF70" i="9"/>
  <c r="CE70" i="9"/>
  <c r="CC70" i="9"/>
  <c r="CD70" i="9" s="1"/>
  <c r="CI70" i="9" s="1"/>
  <c r="BV73" i="9"/>
  <c r="CK73" i="9" s="1"/>
  <c r="BU73" i="9"/>
  <c r="BS73" i="9"/>
  <c r="BT73" i="9" s="1"/>
  <c r="BV83" i="9"/>
  <c r="BU83" i="9"/>
  <c r="BS83" i="9"/>
  <c r="BT83" i="9" s="1"/>
  <c r="BP85" i="9"/>
  <c r="BN85" i="9"/>
  <c r="BQ85" i="9"/>
  <c r="CG85" i="9"/>
  <c r="CF68" i="9"/>
  <c r="CE68" i="9"/>
  <c r="CC68" i="9"/>
  <c r="CD68" i="9" s="1"/>
  <c r="CI68" i="9" s="1"/>
  <c r="BU76" i="9"/>
  <c r="BS76" i="9"/>
  <c r="BT76" i="9" s="1"/>
  <c r="BV76" i="9"/>
  <c r="BZ101" i="9"/>
  <c r="BX101" i="9"/>
  <c r="BY101" i="9" s="1"/>
  <c r="CA101" i="9"/>
  <c r="CK101" i="9" s="1"/>
  <c r="BQ95" i="9"/>
  <c r="BP95" i="9"/>
  <c r="BN95" i="9"/>
  <c r="CG95" i="9"/>
  <c r="BX91" i="9"/>
  <c r="BY91" i="9" s="1"/>
  <c r="BZ91" i="9"/>
  <c r="CA91" i="9"/>
  <c r="BV108" i="9"/>
  <c r="BU108" i="9"/>
  <c r="BS108" i="9"/>
  <c r="BT108" i="9" s="1"/>
  <c r="CE114" i="9"/>
  <c r="CF114" i="9"/>
  <c r="CC114" i="9"/>
  <c r="CD114" i="9" s="1"/>
  <c r="CI114" i="9" s="1"/>
  <c r="BV109" i="9"/>
  <c r="BU109" i="9"/>
  <c r="BS109" i="9"/>
  <c r="BT109" i="9" s="1"/>
  <c r="BS114" i="9"/>
  <c r="BT114" i="9" s="1"/>
  <c r="BU114" i="9"/>
  <c r="BV114" i="9"/>
  <c r="BS91" i="9"/>
  <c r="BT91" i="9" s="1"/>
  <c r="BV91" i="9"/>
  <c r="BU91" i="9"/>
  <c r="BQ131" i="9"/>
  <c r="BP131" i="9"/>
  <c r="BN131" i="9"/>
  <c r="CG131" i="9"/>
  <c r="CF132" i="9"/>
  <c r="CE132" i="9"/>
  <c r="CC132" i="9"/>
  <c r="CD132" i="9" s="1"/>
  <c r="CI132" i="9" s="1"/>
  <c r="BP141" i="9"/>
  <c r="BQ141" i="9"/>
  <c r="BN141" i="9"/>
  <c r="CG141" i="9"/>
  <c r="BS125" i="9"/>
  <c r="BT125" i="9" s="1"/>
  <c r="BV125" i="9"/>
  <c r="BU125" i="9"/>
  <c r="CA136" i="9"/>
  <c r="BZ136" i="9"/>
  <c r="BX136" i="9"/>
  <c r="BY136" i="9" s="1"/>
  <c r="BX125" i="9"/>
  <c r="BY125" i="9" s="1"/>
  <c r="CA125" i="9"/>
  <c r="BZ125" i="9"/>
  <c r="BS135" i="9"/>
  <c r="BT135" i="9" s="1"/>
  <c r="BV135" i="9"/>
  <c r="CK135" i="9" s="1"/>
  <c r="BU135" i="9"/>
  <c r="CF145" i="9"/>
  <c r="CE145" i="9"/>
  <c r="CC145" i="9"/>
  <c r="CD145" i="9" s="1"/>
  <c r="CI145" i="9" s="1"/>
  <c r="BV128" i="9"/>
  <c r="BU128" i="9"/>
  <c r="BS128" i="9"/>
  <c r="BT128" i="9" s="1"/>
  <c r="BP148" i="9"/>
  <c r="BQ148" i="9"/>
  <c r="CK148" i="9" s="1"/>
  <c r="BN148" i="9"/>
  <c r="CG148" i="9"/>
  <c r="CK133" i="9"/>
  <c r="AQ191" i="9"/>
  <c r="E25" i="13" s="1"/>
  <c r="BS11" i="9"/>
  <c r="BT11" i="9" s="1"/>
  <c r="BU11" i="9"/>
  <c r="BV11" i="9"/>
  <c r="BN13" i="9"/>
  <c r="BQ13" i="9"/>
  <c r="CK13" i="9" s="1"/>
  <c r="BP13" i="9"/>
  <c r="CG13" i="9"/>
  <c r="CA16" i="9"/>
  <c r="BX16" i="9"/>
  <c r="BY16" i="9" s="1"/>
  <c r="BZ16" i="9"/>
  <c r="CC83" i="9"/>
  <c r="CD83" i="9" s="1"/>
  <c r="CI83" i="9" s="1"/>
  <c r="CF83" i="9"/>
  <c r="CE83" i="9"/>
  <c r="BQ22" i="9"/>
  <c r="BP22" i="9"/>
  <c r="BN22" i="9"/>
  <c r="CG22" i="9"/>
  <c r="CA50" i="9"/>
  <c r="BZ50" i="9"/>
  <c r="BX50" i="9"/>
  <c r="BY50" i="9" s="1"/>
  <c r="CA46" i="9"/>
  <c r="BZ46" i="9"/>
  <c r="BX46" i="9"/>
  <c r="BY46" i="9" s="1"/>
  <c r="CF46" i="9"/>
  <c r="CE46" i="9"/>
  <c r="CC46" i="9"/>
  <c r="CD46" i="9" s="1"/>
  <c r="CI46" i="9" s="1"/>
  <c r="BQ19" i="9"/>
  <c r="BP19" i="9"/>
  <c r="BN19" i="9"/>
  <c r="CG19" i="9"/>
  <c r="BN14" i="9"/>
  <c r="BP14" i="9"/>
  <c r="BQ14" i="9"/>
  <c r="CG14" i="9"/>
  <c r="BQ28" i="9"/>
  <c r="BP28" i="9"/>
  <c r="BN28" i="9"/>
  <c r="CG28" i="9"/>
  <c r="CA114" i="9"/>
  <c r="BZ114" i="9"/>
  <c r="BX114" i="9"/>
  <c r="BY114" i="9" s="1"/>
  <c r="BP30" i="9"/>
  <c r="BN30" i="9"/>
  <c r="BQ30" i="9"/>
  <c r="CG30" i="9"/>
  <c r="BN41" i="9"/>
  <c r="BQ41" i="9"/>
  <c r="BP41" i="9"/>
  <c r="CG41" i="9"/>
  <c r="CC44" i="9"/>
  <c r="CD44" i="9" s="1"/>
  <c r="CI44" i="9" s="1"/>
  <c r="CE44" i="9"/>
  <c r="CF44" i="9"/>
  <c r="BN59" i="9"/>
  <c r="BQ59" i="9"/>
  <c r="BP59" i="9"/>
  <c r="CG59" i="9"/>
  <c r="CC82" i="9"/>
  <c r="CD82" i="9" s="1"/>
  <c r="CI82" i="9" s="1"/>
  <c r="CF82" i="9"/>
  <c r="CE82" i="9"/>
  <c r="BZ86" i="9"/>
  <c r="BX86" i="9"/>
  <c r="BY86" i="9" s="1"/>
  <c r="CA86" i="9"/>
  <c r="CE71" i="9"/>
  <c r="CC71" i="9"/>
  <c r="CD71" i="9" s="1"/>
  <c r="CI71" i="9" s="1"/>
  <c r="CF71" i="9"/>
  <c r="BS79" i="9"/>
  <c r="BT79" i="9" s="1"/>
  <c r="BU79" i="9"/>
  <c r="BV79" i="9"/>
  <c r="CF77" i="9"/>
  <c r="CE77" i="9"/>
  <c r="CC77" i="9"/>
  <c r="CD77" i="9" s="1"/>
  <c r="CI77" i="9" s="1"/>
  <c r="BU86" i="9"/>
  <c r="BV86" i="9"/>
  <c r="BS86" i="9"/>
  <c r="BT86" i="9" s="1"/>
  <c r="BP87" i="9"/>
  <c r="BN87" i="9"/>
  <c r="BQ87" i="9"/>
  <c r="CG87" i="9"/>
  <c r="BX72" i="9"/>
  <c r="BY72" i="9" s="1"/>
  <c r="CA72" i="9"/>
  <c r="BZ72" i="9"/>
  <c r="BX77" i="9"/>
  <c r="BY77" i="9" s="1"/>
  <c r="CA77" i="9"/>
  <c r="BZ77" i="9"/>
  <c r="CE102" i="9"/>
  <c r="CC102" i="9"/>
  <c r="CD102" i="9" s="1"/>
  <c r="CI102" i="9" s="1"/>
  <c r="CF102" i="9"/>
  <c r="BV96" i="9"/>
  <c r="BU96" i="9"/>
  <c r="BS96" i="9"/>
  <c r="BT96" i="9" s="1"/>
  <c r="BX98" i="9"/>
  <c r="BY98" i="9" s="1"/>
  <c r="CA98" i="9"/>
  <c r="BZ98" i="9"/>
  <c r="CA110" i="9"/>
  <c r="BZ110" i="9"/>
  <c r="BX110" i="9"/>
  <c r="BY110" i="9" s="1"/>
  <c r="BV115" i="9"/>
  <c r="BU115" i="9"/>
  <c r="BS115" i="9"/>
  <c r="BT115" i="9" s="1"/>
  <c r="CE110" i="9"/>
  <c r="CF110" i="9"/>
  <c r="CC110" i="9"/>
  <c r="CD110" i="9" s="1"/>
  <c r="CI110" i="9" s="1"/>
  <c r="BS124" i="9"/>
  <c r="BT124" i="9" s="1"/>
  <c r="BV124" i="9"/>
  <c r="BU124" i="9"/>
  <c r="BX92" i="9"/>
  <c r="BY92" i="9" s="1"/>
  <c r="CA92" i="9"/>
  <c r="BZ92" i="9"/>
  <c r="BX157" i="9"/>
  <c r="BY157" i="9" s="1"/>
  <c r="CA157" i="9"/>
  <c r="BZ157" i="9"/>
  <c r="CF137" i="9"/>
  <c r="CE137" i="9"/>
  <c r="CC137" i="9"/>
  <c r="CD137" i="9" s="1"/>
  <c r="CI137" i="9" s="1"/>
  <c r="CC142" i="9"/>
  <c r="CD142" i="9" s="1"/>
  <c r="CI142" i="9" s="1"/>
  <c r="CF142" i="9"/>
  <c r="CE142" i="9"/>
  <c r="BQ140" i="9"/>
  <c r="BP140" i="9"/>
  <c r="BN140" i="9"/>
  <c r="CG140" i="9"/>
  <c r="BZ146" i="9"/>
  <c r="CA146" i="9"/>
  <c r="BX146" i="9"/>
  <c r="BY146" i="9" s="1"/>
  <c r="CC127" i="9"/>
  <c r="CD127" i="9" s="1"/>
  <c r="CI127" i="9" s="1"/>
  <c r="CE127" i="9"/>
  <c r="CF127" i="9"/>
  <c r="CA139" i="9"/>
  <c r="BZ139" i="9"/>
  <c r="BX139" i="9"/>
  <c r="BY139" i="9" s="1"/>
  <c r="BV157" i="9"/>
  <c r="BU157" i="9"/>
  <c r="BS157" i="9"/>
  <c r="BT157" i="9" s="1"/>
  <c r="BZ129" i="9"/>
  <c r="BX129" i="9"/>
  <c r="BY129" i="9" s="1"/>
  <c r="CA129" i="9"/>
  <c r="BS149" i="9"/>
  <c r="BT149" i="9" s="1"/>
  <c r="BU149" i="9"/>
  <c r="BV149" i="9"/>
  <c r="CC5" i="9"/>
  <c r="CE5" i="9"/>
  <c r="CF5" i="9"/>
  <c r="BP5" i="9"/>
  <c r="BQ5" i="9"/>
  <c r="BN5" i="9"/>
  <c r="CG5" i="9"/>
  <c r="BS5" i="9"/>
  <c r="BV5" i="9"/>
  <c r="BU5" i="9"/>
  <c r="BZ5" i="9"/>
  <c r="BX5" i="9"/>
  <c r="CA5" i="9"/>
  <c r="CJ133" i="9" l="1"/>
  <c r="C28" i="13"/>
  <c r="C36" i="13" s="1"/>
  <c r="I28" i="13"/>
  <c r="I36" i="13" s="1"/>
  <c r="B28" i="13"/>
  <c r="B36" i="13" s="1"/>
  <c r="CJ54" i="9"/>
  <c r="L14" i="13"/>
  <c r="L23" i="13" s="1"/>
  <c r="M14" i="13"/>
  <c r="N5" i="13"/>
  <c r="K10" i="13"/>
  <c r="CD148" i="9"/>
  <c r="CI148" i="9" s="1"/>
  <c r="H28" i="13"/>
  <c r="H36" i="13" s="1"/>
  <c r="BT148" i="9"/>
  <c r="CJ100" i="9"/>
  <c r="CK9" i="9"/>
  <c r="BY148" i="9"/>
  <c r="J14" i="13"/>
  <c r="CK124" i="9"/>
  <c r="CK142" i="9"/>
  <c r="E28" i="13"/>
  <c r="E36" i="13" s="1"/>
  <c r="CK138" i="9"/>
  <c r="CK85" i="9"/>
  <c r="CJ26" i="9"/>
  <c r="CJ97" i="9"/>
  <c r="CJ12" i="9"/>
  <c r="F28" i="13"/>
  <c r="F36" i="13" s="1"/>
  <c r="CK43" i="9"/>
  <c r="CJ147" i="9"/>
  <c r="CJ74" i="9"/>
  <c r="CJ141" i="9"/>
  <c r="CJ85" i="9"/>
  <c r="CK151" i="9"/>
  <c r="CJ87" i="9"/>
  <c r="CK19" i="9"/>
  <c r="CK57" i="9"/>
  <c r="CK75" i="9"/>
  <c r="CK105" i="9"/>
  <c r="CJ23" i="9"/>
  <c r="CK59" i="9"/>
  <c r="CJ115" i="9"/>
  <c r="CJ57" i="9"/>
  <c r="CK147" i="9"/>
  <c r="CJ103" i="9"/>
  <c r="CJ31" i="9"/>
  <c r="CK44" i="9"/>
  <c r="CJ126" i="9"/>
  <c r="CK78" i="9"/>
  <c r="CJ99" i="9"/>
  <c r="CK126" i="9"/>
  <c r="CK100" i="9"/>
  <c r="CJ78" i="9"/>
  <c r="CJ157" i="9"/>
  <c r="CJ128" i="9"/>
  <c r="CK130" i="9"/>
  <c r="CK140" i="9"/>
  <c r="CK54" i="9"/>
  <c r="CK41" i="9"/>
  <c r="CK14" i="9"/>
  <c r="CJ50" i="9"/>
  <c r="CK155" i="9"/>
  <c r="CJ93" i="9"/>
  <c r="CK67" i="9"/>
  <c r="CJ116" i="9"/>
  <c r="CK38" i="9"/>
  <c r="CK64" i="9"/>
  <c r="CK120" i="9"/>
  <c r="CJ35" i="9"/>
  <c r="CJ41" i="9"/>
  <c r="CJ91" i="9"/>
  <c r="CK28" i="9"/>
  <c r="CJ131" i="9"/>
  <c r="CJ58" i="9"/>
  <c r="CJ21" i="9"/>
  <c r="CJ43" i="9"/>
  <c r="CK137" i="9"/>
  <c r="CK56" i="9"/>
  <c r="CK45" i="9"/>
  <c r="CJ47" i="9"/>
  <c r="CK103" i="9"/>
  <c r="CJ56" i="9"/>
  <c r="CJ76" i="9"/>
  <c r="CJ68" i="9"/>
  <c r="CJ22" i="9"/>
  <c r="CJ127" i="9"/>
  <c r="CK139" i="9"/>
  <c r="CJ153" i="9"/>
  <c r="CK66" i="9"/>
  <c r="CJ123" i="9"/>
  <c r="CK82" i="9"/>
  <c r="CK47" i="9"/>
  <c r="CK31" i="9"/>
  <c r="CK141" i="9"/>
  <c r="CK20" i="9"/>
  <c r="CK153" i="9"/>
  <c r="CJ88" i="9"/>
  <c r="CJ95" i="9"/>
  <c r="CK23" i="9"/>
  <c r="CK68" i="9"/>
  <c r="CJ49" i="9"/>
  <c r="CJ155" i="9"/>
  <c r="CJ106" i="9"/>
  <c r="CJ156" i="9"/>
  <c r="CJ135" i="9"/>
  <c r="CK74" i="9"/>
  <c r="CJ90" i="9"/>
  <c r="CJ150" i="9"/>
  <c r="CK48" i="9"/>
  <c r="CJ40" i="9"/>
  <c r="CJ109" i="9"/>
  <c r="CK95" i="9"/>
  <c r="CJ110" i="9"/>
  <c r="CJ79" i="9"/>
  <c r="CK109" i="9"/>
  <c r="CK84" i="9"/>
  <c r="CJ64" i="9"/>
  <c r="CJ32" i="9"/>
  <c r="CK150" i="9"/>
  <c r="CJ65" i="9"/>
  <c r="CJ25" i="9"/>
  <c r="CK5" i="9"/>
  <c r="CJ146" i="9"/>
  <c r="CK83" i="9"/>
  <c r="CK63" i="9"/>
  <c r="CK51" i="9"/>
  <c r="CK32" i="9"/>
  <c r="CJ144" i="9"/>
  <c r="CK111" i="9"/>
  <c r="CJ63" i="9"/>
  <c r="CK17" i="9"/>
  <c r="CK55" i="9"/>
  <c r="CJ113" i="9"/>
  <c r="CJ48" i="9"/>
  <c r="CK119" i="9"/>
  <c r="CK110" i="9"/>
  <c r="CJ16" i="9"/>
  <c r="CK144" i="9"/>
  <c r="CK121" i="9"/>
  <c r="CJ92" i="9"/>
  <c r="CJ129" i="9"/>
  <c r="CJ114" i="9"/>
  <c r="CJ73" i="9"/>
  <c r="CK118" i="9"/>
  <c r="CK69" i="9"/>
  <c r="CK154" i="9"/>
  <c r="CK42" i="9"/>
  <c r="CK86" i="9"/>
  <c r="CK79" i="9"/>
  <c r="CK46" i="9"/>
  <c r="CK61" i="9"/>
  <c r="CJ38" i="9"/>
  <c r="CK39" i="9"/>
  <c r="CK116" i="9"/>
  <c r="CK35" i="9"/>
  <c r="CJ19" i="9"/>
  <c r="CK106" i="9"/>
  <c r="CJ124" i="9"/>
  <c r="CJ60" i="9"/>
  <c r="CJ145" i="9"/>
  <c r="CJ143" i="9"/>
  <c r="CK49" i="9"/>
  <c r="CK115" i="9"/>
  <c r="CK98" i="9"/>
  <c r="CJ83" i="9"/>
  <c r="CJ125" i="9"/>
  <c r="CK134" i="9"/>
  <c r="CK22" i="9"/>
  <c r="CJ44" i="9"/>
  <c r="CJ52" i="9"/>
  <c r="CK36" i="9"/>
  <c r="CK18" i="9"/>
  <c r="CJ6" i="9"/>
  <c r="CK93" i="9"/>
  <c r="CK8" i="9"/>
  <c r="CK143" i="9"/>
  <c r="CK125" i="9"/>
  <c r="CJ152" i="9"/>
  <c r="CJ138" i="9"/>
  <c r="CK58" i="9"/>
  <c r="CK99" i="9"/>
  <c r="CK62" i="9"/>
  <c r="CK52" i="9"/>
  <c r="CJ102" i="9"/>
  <c r="CJ18" i="9"/>
  <c r="CK6" i="9"/>
  <c r="CJ140" i="9"/>
  <c r="CK112" i="9"/>
  <c r="CK146" i="9"/>
  <c r="CJ104" i="9"/>
  <c r="CJ71" i="9"/>
  <c r="CJ28" i="9"/>
  <c r="CJ20" i="9"/>
  <c r="CK12" i="9"/>
  <c r="CK102" i="9"/>
  <c r="CJ117" i="9"/>
  <c r="CK81" i="9"/>
  <c r="CJ8" i="9"/>
  <c r="CJ120" i="9"/>
  <c r="CJ132" i="9"/>
  <c r="CJ101" i="9"/>
  <c r="CJ66" i="9"/>
  <c r="CK94" i="9"/>
  <c r="CK114" i="9"/>
  <c r="CJ121" i="9"/>
  <c r="CK87" i="9"/>
  <c r="CJ33" i="9"/>
  <c r="CJ111" i="9"/>
  <c r="CJ17" i="9"/>
  <c r="CJ55" i="9"/>
  <c r="CJ45" i="9"/>
  <c r="CK117" i="9"/>
  <c r="CJ51" i="9"/>
  <c r="CK149" i="9"/>
  <c r="CJ112" i="9"/>
  <c r="CK29" i="9"/>
  <c r="CK7" i="9"/>
  <c r="CK132" i="9"/>
  <c r="CK26" i="9"/>
  <c r="CJ80" i="9"/>
  <c r="CK76" i="9"/>
  <c r="CJ81" i="9"/>
  <c r="CJ72" i="9"/>
  <c r="CJ139" i="9"/>
  <c r="CJ69" i="9"/>
  <c r="CK25" i="9"/>
  <c r="CJ130" i="9"/>
  <c r="CJ137" i="9"/>
  <c r="CJ94" i="9"/>
  <c r="CJ107" i="9"/>
  <c r="CK11" i="9"/>
  <c r="CJ98" i="9"/>
  <c r="CJ149" i="9"/>
  <c r="CK72" i="9"/>
  <c r="CJ89" i="9"/>
  <c r="CJ7" i="9"/>
  <c r="CK157" i="9"/>
  <c r="CK96" i="9"/>
  <c r="CJ86" i="9"/>
  <c r="CJ14" i="9"/>
  <c r="CK50" i="9"/>
  <c r="CK122" i="9"/>
  <c r="CK92" i="9"/>
  <c r="CK80" i="9"/>
  <c r="CK107" i="9"/>
  <c r="CJ77" i="9"/>
  <c r="CK40" i="9"/>
  <c r="CK123" i="9"/>
  <c r="CJ105" i="9"/>
  <c r="CK127" i="9"/>
  <c r="CK89" i="9"/>
  <c r="CK145" i="9"/>
  <c r="CJ84" i="9"/>
  <c r="CJ67" i="9"/>
  <c r="CK97" i="9"/>
  <c r="CJ75" i="9"/>
  <c r="CK16" i="9"/>
  <c r="CJ27" i="9"/>
  <c r="CJ9" i="9"/>
  <c r="CK30" i="9"/>
  <c r="CJ11" i="9"/>
  <c r="CJ96" i="9"/>
  <c r="CK21" i="9"/>
  <c r="CJ62" i="9"/>
  <c r="CJ118" i="9"/>
  <c r="CJ34" i="9"/>
  <c r="CJ37" i="9"/>
  <c r="CJ142" i="9"/>
  <c r="CK128" i="9"/>
  <c r="CK88" i="9"/>
  <c r="CJ10" i="9"/>
  <c r="CJ53" i="9"/>
  <c r="CJ13" i="9"/>
  <c r="CJ134" i="9"/>
  <c r="CK60" i="9"/>
  <c r="CK10" i="9"/>
  <c r="CK53" i="9"/>
  <c r="BN191" i="9"/>
  <c r="CF191" i="9"/>
  <c r="M27" i="13" s="1"/>
  <c r="CJ148" i="9"/>
  <c r="CK129" i="9"/>
  <c r="CJ46" i="9"/>
  <c r="CJ36" i="9"/>
  <c r="CJ82" i="9"/>
  <c r="CJ30" i="9"/>
  <c r="CJ136" i="9"/>
  <c r="CJ70" i="9"/>
  <c r="CJ119" i="9"/>
  <c r="BQ191" i="9"/>
  <c r="J27" i="13" s="1"/>
  <c r="CE191" i="9"/>
  <c r="M25" i="13" s="1"/>
  <c r="CK77" i="9"/>
  <c r="CJ59" i="9"/>
  <c r="CK131" i="9"/>
  <c r="CJ108" i="9"/>
  <c r="CK136" i="9"/>
  <c r="CJ61" i="9"/>
  <c r="CK70" i="9"/>
  <c r="CJ151" i="9"/>
  <c r="CK34" i="9"/>
  <c r="CJ122" i="9"/>
  <c r="CJ39" i="9"/>
  <c r="CK71" i="9"/>
  <c r="CK24" i="9"/>
  <c r="CJ154" i="9"/>
  <c r="CK108" i="9"/>
  <c r="BY5" i="9"/>
  <c r="BY191" i="9" s="1"/>
  <c r="L26" i="13" s="1"/>
  <c r="BX191" i="9"/>
  <c r="BO9" i="9"/>
  <c r="CH9" i="9"/>
  <c r="BO127" i="9"/>
  <c r="CH127" i="9"/>
  <c r="BO96" i="9"/>
  <c r="CH96" i="9"/>
  <c r="BO115" i="9"/>
  <c r="CH115" i="9"/>
  <c r="BO142" i="9"/>
  <c r="CH142" i="9"/>
  <c r="BO35" i="9"/>
  <c r="CH35" i="9"/>
  <c r="BO110" i="9"/>
  <c r="CH110" i="9"/>
  <c r="BO101" i="9"/>
  <c r="CH101" i="9"/>
  <c r="BO156" i="9"/>
  <c r="CH156" i="9"/>
  <c r="BO84" i="9"/>
  <c r="CH84" i="9"/>
  <c r="BO67" i="9"/>
  <c r="CH67" i="9"/>
  <c r="BO108" i="9"/>
  <c r="CH108" i="9"/>
  <c r="BZ191" i="9"/>
  <c r="L25" i="13" s="1"/>
  <c r="BO122" i="9"/>
  <c r="CH122" i="9"/>
  <c r="BO39" i="9"/>
  <c r="CH39" i="9"/>
  <c r="BO18" i="9"/>
  <c r="CH18" i="9"/>
  <c r="BO6" i="9"/>
  <c r="CH6" i="9"/>
  <c r="BO27" i="9"/>
  <c r="CH27" i="9"/>
  <c r="BO64" i="9"/>
  <c r="CH64" i="9"/>
  <c r="BO59" i="9"/>
  <c r="CH59" i="9"/>
  <c r="BO151" i="9"/>
  <c r="CH151" i="9"/>
  <c r="BO52" i="9"/>
  <c r="CH52" i="9"/>
  <c r="BO102" i="9"/>
  <c r="CH102" i="9"/>
  <c r="BO38" i="9"/>
  <c r="CH38" i="9"/>
  <c r="BO117" i="9"/>
  <c r="CH117" i="9"/>
  <c r="BO8" i="9"/>
  <c r="CH8" i="9"/>
  <c r="BO125" i="9"/>
  <c r="CH125" i="9"/>
  <c r="BO157" i="9"/>
  <c r="CH157" i="9"/>
  <c r="BO65" i="9"/>
  <c r="CH65" i="9"/>
  <c r="BO36" i="9"/>
  <c r="CH36" i="9"/>
  <c r="BO93" i="9"/>
  <c r="CH93" i="9"/>
  <c r="BU191" i="9"/>
  <c r="K25" i="13" s="1"/>
  <c r="BO44" i="9"/>
  <c r="CH44" i="9"/>
  <c r="BO56" i="9"/>
  <c r="CH56" i="9"/>
  <c r="BO78" i="9"/>
  <c r="CH78" i="9"/>
  <c r="BO132" i="9"/>
  <c r="CH132" i="9"/>
  <c r="BO145" i="9"/>
  <c r="CH145" i="9"/>
  <c r="BO138" i="9"/>
  <c r="CH138" i="9"/>
  <c r="BO29" i="9"/>
  <c r="CH29" i="9"/>
  <c r="BV191" i="9"/>
  <c r="K27" i="13" s="1"/>
  <c r="BO28" i="9"/>
  <c r="CH28" i="9"/>
  <c r="BO141" i="9"/>
  <c r="CH141" i="9"/>
  <c r="BO23" i="9"/>
  <c r="CH23" i="9"/>
  <c r="BO32" i="9"/>
  <c r="CH32" i="9"/>
  <c r="BO33" i="9"/>
  <c r="CH33" i="9"/>
  <c r="BO49" i="9"/>
  <c r="CH49" i="9"/>
  <c r="BO81" i="9"/>
  <c r="CH81" i="9"/>
  <c r="BO120" i="9"/>
  <c r="CH120" i="9"/>
  <c r="BO114" i="9"/>
  <c r="CH114" i="9"/>
  <c r="BO143" i="9"/>
  <c r="CH143" i="9"/>
  <c r="BT5" i="9"/>
  <c r="BT191" i="9" s="1"/>
  <c r="BS191" i="9"/>
  <c r="BO140" i="9"/>
  <c r="CH140" i="9"/>
  <c r="BO95" i="9"/>
  <c r="CH95" i="9"/>
  <c r="BO85" i="9"/>
  <c r="CH85" i="9"/>
  <c r="BO153" i="9"/>
  <c r="CH153" i="9"/>
  <c r="BO45" i="9"/>
  <c r="CH45" i="9"/>
  <c r="BO98" i="9"/>
  <c r="CH98" i="9"/>
  <c r="BO47" i="9"/>
  <c r="CH47" i="9"/>
  <c r="BO31" i="9"/>
  <c r="CH31" i="9"/>
  <c r="BO12" i="9"/>
  <c r="CH12" i="9"/>
  <c r="BO128" i="9"/>
  <c r="CH128" i="9"/>
  <c r="BO88" i="9"/>
  <c r="CH88" i="9"/>
  <c r="BO91" i="9"/>
  <c r="CH91" i="9"/>
  <c r="BO71" i="9"/>
  <c r="CH71" i="9"/>
  <c r="BO58" i="9"/>
  <c r="CH58" i="9"/>
  <c r="BO99" i="9"/>
  <c r="CH99" i="9"/>
  <c r="CG191" i="9"/>
  <c r="BO20" i="9"/>
  <c r="CH20" i="9"/>
  <c r="BO126" i="9"/>
  <c r="CH126" i="9"/>
  <c r="BO55" i="9"/>
  <c r="CH55" i="9"/>
  <c r="BO121" i="9"/>
  <c r="CH121" i="9"/>
  <c r="BO123" i="9"/>
  <c r="CH123" i="9"/>
  <c r="BO112" i="9"/>
  <c r="CH112" i="9"/>
  <c r="BO69" i="9"/>
  <c r="CH69" i="9"/>
  <c r="BO154" i="9"/>
  <c r="CH154" i="9"/>
  <c r="BO53" i="9"/>
  <c r="CH53" i="9"/>
  <c r="BO21" i="9"/>
  <c r="CH21" i="9"/>
  <c r="BO82" i="9"/>
  <c r="CH82" i="9"/>
  <c r="BO87" i="9"/>
  <c r="CH87" i="9"/>
  <c r="BO144" i="9"/>
  <c r="CH144" i="9"/>
  <c r="BO150" i="9"/>
  <c r="CH150" i="9"/>
  <c r="BO107" i="9"/>
  <c r="CH107" i="9"/>
  <c r="BO40" i="9"/>
  <c r="CH40" i="9"/>
  <c r="BO76" i="9"/>
  <c r="CH76" i="9"/>
  <c r="BO72" i="9"/>
  <c r="CH72" i="9"/>
  <c r="BO89" i="9"/>
  <c r="CH89" i="9"/>
  <c r="BO7" i="9"/>
  <c r="CH7" i="9"/>
  <c r="BO42" i="9"/>
  <c r="CH42" i="9"/>
  <c r="BO48" i="9"/>
  <c r="CH48" i="9"/>
  <c r="BO137" i="9"/>
  <c r="CH137" i="9"/>
  <c r="BO94" i="9"/>
  <c r="CH94" i="9"/>
  <c r="BO79" i="9"/>
  <c r="CH79" i="9"/>
  <c r="BO62" i="9"/>
  <c r="CH62" i="9"/>
  <c r="BO77" i="9"/>
  <c r="CH77" i="9"/>
  <c r="BO135" i="9"/>
  <c r="CH135" i="9"/>
  <c r="BO119" i="9"/>
  <c r="CH119" i="9"/>
  <c r="BO37" i="9"/>
  <c r="CH37" i="9"/>
  <c r="BO149" i="9"/>
  <c r="CH149" i="9"/>
  <c r="BO109" i="9"/>
  <c r="CH109" i="9"/>
  <c r="BO139" i="9"/>
  <c r="CH139" i="9"/>
  <c r="BO97" i="9"/>
  <c r="CH97" i="9"/>
  <c r="BO26" i="9"/>
  <c r="CH26" i="9"/>
  <c r="BO41" i="9"/>
  <c r="CH41" i="9"/>
  <c r="BO13" i="9"/>
  <c r="CH13" i="9"/>
  <c r="BO111" i="9"/>
  <c r="CH111" i="9"/>
  <c r="BO80" i="9"/>
  <c r="CH80" i="9"/>
  <c r="BO63" i="9"/>
  <c r="CH63" i="9"/>
  <c r="BO17" i="9"/>
  <c r="CH17" i="9"/>
  <c r="BO155" i="9"/>
  <c r="CH155" i="9"/>
  <c r="BO11" i="9"/>
  <c r="CH11" i="9"/>
  <c r="BO61" i="9"/>
  <c r="CH61" i="9"/>
  <c r="BO147" i="9"/>
  <c r="CH147" i="9"/>
  <c r="BO100" i="9"/>
  <c r="CH100" i="9"/>
  <c r="BO10" i="9"/>
  <c r="CH10" i="9"/>
  <c r="BO124" i="9"/>
  <c r="CH124" i="9"/>
  <c r="BO75" i="9"/>
  <c r="CH75" i="9"/>
  <c r="CD5" i="9"/>
  <c r="CC191" i="9"/>
  <c r="BO14" i="9"/>
  <c r="CH14" i="9"/>
  <c r="BO148" i="9"/>
  <c r="CH148" i="9"/>
  <c r="BO73" i="9"/>
  <c r="CH73" i="9"/>
  <c r="BO60" i="9"/>
  <c r="CH60" i="9"/>
  <c r="BO51" i="9"/>
  <c r="CH51" i="9"/>
  <c r="BO104" i="9"/>
  <c r="CH104" i="9"/>
  <c r="BO130" i="9"/>
  <c r="CH130" i="9"/>
  <c r="BO57" i="9"/>
  <c r="CH57" i="9"/>
  <c r="CJ5" i="9"/>
  <c r="BP191" i="9"/>
  <c r="J25" i="13" s="1"/>
  <c r="BO22" i="9"/>
  <c r="CH22" i="9"/>
  <c r="BO131" i="9"/>
  <c r="CH131" i="9"/>
  <c r="BO134" i="9"/>
  <c r="CH134" i="9"/>
  <c r="BO86" i="9"/>
  <c r="CH86" i="9"/>
  <c r="BO116" i="9"/>
  <c r="CH116" i="9"/>
  <c r="BO118" i="9"/>
  <c r="CH118" i="9"/>
  <c r="BO92" i="9"/>
  <c r="CH92" i="9"/>
  <c r="BO66" i="9"/>
  <c r="CH66" i="9"/>
  <c r="BO152" i="9"/>
  <c r="CH152" i="9"/>
  <c r="BO105" i="9"/>
  <c r="CH105" i="9"/>
  <c r="BO30" i="9"/>
  <c r="CH30" i="9"/>
  <c r="BO19" i="9"/>
  <c r="CH19" i="9"/>
  <c r="BO54" i="9"/>
  <c r="CH54" i="9"/>
  <c r="BO90" i="9"/>
  <c r="CH90" i="9"/>
  <c r="BO43" i="9"/>
  <c r="CH43" i="9"/>
  <c r="BO34" i="9"/>
  <c r="CH34" i="9"/>
  <c r="BO129" i="9"/>
  <c r="CH129" i="9"/>
  <c r="BO50" i="9"/>
  <c r="CH50" i="9"/>
  <c r="BO146" i="9"/>
  <c r="CH146" i="9"/>
  <c r="BO106" i="9"/>
  <c r="CH106" i="9"/>
  <c r="BO133" i="9"/>
  <c r="CH133" i="9"/>
  <c r="BO24" i="9"/>
  <c r="CH24" i="9"/>
  <c r="BO25" i="9"/>
  <c r="CH25" i="9"/>
  <c r="BO136" i="9"/>
  <c r="CH136" i="9"/>
  <c r="BO74" i="9"/>
  <c r="CH74" i="9"/>
  <c r="CA191" i="9"/>
  <c r="L27" i="13" s="1"/>
  <c r="BO68" i="9"/>
  <c r="CH68" i="9"/>
  <c r="BO70" i="9"/>
  <c r="CH70" i="9"/>
  <c r="BO83" i="9"/>
  <c r="CH83" i="9"/>
  <c r="BO46" i="9"/>
  <c r="CH46" i="9"/>
  <c r="BO103" i="9"/>
  <c r="CH103" i="9"/>
  <c r="BO113" i="9"/>
  <c r="CH113" i="9"/>
  <c r="BO16" i="9"/>
  <c r="CH16" i="9"/>
  <c r="BO5" i="9"/>
  <c r="CH5" i="9"/>
  <c r="N10" i="13" l="1"/>
  <c r="N11" i="13" s="1"/>
  <c r="K11" i="13"/>
  <c r="M23" i="13"/>
  <c r="L28" i="13"/>
  <c r="L36" i="13" s="1"/>
  <c r="N25" i="13"/>
  <c r="J23" i="13"/>
  <c r="K26" i="13"/>
  <c r="K28" i="13" s="1"/>
  <c r="K14" i="13"/>
  <c r="K23" i="13" s="1"/>
  <c r="N27" i="13"/>
  <c r="CK191" i="9"/>
  <c r="CJ191" i="9"/>
  <c r="CH191" i="9"/>
  <c r="BO191" i="9"/>
  <c r="J26" i="13" s="1"/>
  <c r="J28" i="13" s="1"/>
  <c r="CI5" i="9"/>
  <c r="CI191" i="9" s="1"/>
  <c r="CD191" i="9"/>
  <c r="M26" i="13" s="1"/>
  <c r="M28" i="13" s="1"/>
  <c r="J36" i="13" l="1"/>
  <c r="M36" i="13"/>
  <c r="K36" i="13"/>
  <c r="N26" i="13"/>
  <c r="N28" i="13" s="1"/>
  <c r="N14" i="13"/>
  <c r="N23" i="13" s="1"/>
  <c r="N36" i="13" s="1"/>
  <c r="J99" i="5" l="1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C194" i="9"/>
  <c r="W61" i="5"/>
  <c r="W62" i="5"/>
  <c r="W63" i="5"/>
  <c r="W64" i="5"/>
  <c r="W65" i="5"/>
  <c r="W66" i="5"/>
  <c r="W67" i="5"/>
  <c r="W68" i="5"/>
  <c r="W69" i="5"/>
  <c r="W70" i="5"/>
  <c r="P61" i="5" a="1"/>
  <c r="P61" i="5" s="1"/>
  <c r="Q61" i="5" a="1"/>
  <c r="Q61" i="5" s="1"/>
  <c r="R61" i="5" a="1"/>
  <c r="R61" i="5" s="1"/>
  <c r="S61" i="5" a="1"/>
  <c r="S61" i="5" s="1"/>
  <c r="T62" i="5" a="1"/>
  <c r="T62" i="5" s="1"/>
  <c r="U62" i="5" a="1"/>
  <c r="U62" i="5" s="1"/>
  <c r="P63" i="5" a="1"/>
  <c r="P63" i="5" s="1"/>
  <c r="Q63" i="5" a="1"/>
  <c r="Q63" i="5" s="1"/>
  <c r="R63" i="5" a="1"/>
  <c r="R63" i="5" s="1"/>
  <c r="S63" i="5" a="1"/>
  <c r="S63" i="5" s="1"/>
  <c r="T64" i="5" a="1"/>
  <c r="T64" i="5" s="1"/>
  <c r="U64" i="5" a="1"/>
  <c r="U64" i="5" s="1"/>
  <c r="P65" i="5" a="1"/>
  <c r="P65" i="5" s="1"/>
  <c r="Q65" i="5" a="1"/>
  <c r="Q65" i="5" s="1"/>
  <c r="R65" i="5" a="1"/>
  <c r="R65" i="5" s="1"/>
  <c r="S66" i="5" a="1"/>
  <c r="S66" i="5" s="1"/>
  <c r="V66" i="5" s="1" a="1"/>
  <c r="V66" i="5" s="1"/>
  <c r="T67" i="5" a="1"/>
  <c r="T67" i="5" s="1"/>
  <c r="U67" i="5" a="1"/>
  <c r="U67" i="5" s="1"/>
  <c r="S68" i="5" a="1"/>
  <c r="S68" i="5" s="1"/>
  <c r="V68" i="5" s="1" a="1"/>
  <c r="V68" i="5" s="1"/>
  <c r="T69" i="5" a="1"/>
  <c r="T69" i="5" s="1"/>
  <c r="U69" i="5" a="1"/>
  <c r="U69" i="5" s="1"/>
  <c r="T70" i="5" a="1"/>
  <c r="T70" i="5" s="1"/>
  <c r="V70" i="5" s="1"/>
  <c r="D96" i="5" s="1"/>
  <c r="G96" i="5" s="1"/>
  <c r="H96" i="5" s="1"/>
  <c r="U70" i="5" a="1"/>
  <c r="U70" i="5" s="1"/>
  <c r="W59" i="5"/>
  <c r="W58" i="5"/>
  <c r="R57" i="5" a="1"/>
  <c r="R57" i="5" s="1"/>
  <c r="Q57" i="5" a="1"/>
  <c r="Q57" i="5" s="1"/>
  <c r="P57" i="5" a="1"/>
  <c r="P57" i="5" s="1"/>
  <c r="E57" i="5"/>
  <c r="E58" i="5"/>
  <c r="V58" i="5" s="1" a="1"/>
  <c r="V58" i="5" s="1"/>
  <c r="W57" i="5"/>
  <c r="W55" i="5"/>
  <c r="W54" i="5"/>
  <c r="R53" i="5" a="1"/>
  <c r="R53" i="5" s="1"/>
  <c r="Q53" i="5" a="1"/>
  <c r="Q53" i="5" s="1"/>
  <c r="P53" i="5" a="1"/>
  <c r="P53" i="5" s="1"/>
  <c r="E53" i="5"/>
  <c r="E54" i="5"/>
  <c r="V54" i="5" s="1" a="1"/>
  <c r="V54" i="5" s="1"/>
  <c r="W53" i="5"/>
  <c r="W51" i="5"/>
  <c r="W50" i="5"/>
  <c r="R49" i="5" a="1"/>
  <c r="R49" i="5" s="1"/>
  <c r="Q49" i="5" a="1"/>
  <c r="Q49" i="5" s="1"/>
  <c r="P49" i="5" a="1"/>
  <c r="P49" i="5" s="1"/>
  <c r="E49" i="5"/>
  <c r="E50" i="5"/>
  <c r="V50" i="5" s="1" a="1"/>
  <c r="V50" i="5" s="1"/>
  <c r="W49" i="5"/>
  <c r="W47" i="5"/>
  <c r="W46" i="5"/>
  <c r="U46" i="5" a="1"/>
  <c r="U46" i="5" s="1"/>
  <c r="T46" i="5" a="1"/>
  <c r="T46" i="5" s="1"/>
  <c r="W45" i="5"/>
  <c r="U45" i="5" a="1"/>
  <c r="U45" i="5" s="1"/>
  <c r="T45" i="5" a="1"/>
  <c r="T45" i="5" s="1"/>
  <c r="S45" i="5" a="1"/>
  <c r="S45" i="5" s="1"/>
  <c r="W44" i="5"/>
  <c r="R44" i="5" a="1"/>
  <c r="R44" i="5" s="1"/>
  <c r="Q44" i="5" a="1"/>
  <c r="Q44" i="5" s="1"/>
  <c r="P44" i="5" a="1"/>
  <c r="P44" i="5" s="1"/>
  <c r="O44" i="5" a="1"/>
  <c r="O44" i="5" s="1"/>
  <c r="I7" i="5"/>
  <c r="W32" i="5"/>
  <c r="U32" i="5" a="1"/>
  <c r="U32" i="5" s="1"/>
  <c r="V32" i="5" s="1"/>
  <c r="W31" i="5"/>
  <c r="T31" i="5" a="1"/>
  <c r="T31" i="5" s="1"/>
  <c r="V31" i="5" s="1"/>
  <c r="W75" i="5"/>
  <c r="W42" i="5"/>
  <c r="U42" i="5" a="1"/>
  <c r="U42" i="5" s="1"/>
  <c r="T42" i="5" a="1"/>
  <c r="T42" i="5" s="1"/>
  <c r="W38" i="5"/>
  <c r="V38" i="5"/>
  <c r="W37" i="5"/>
  <c r="V37" i="5"/>
  <c r="W36" i="5"/>
  <c r="U36" i="5" a="1"/>
  <c r="U36" i="5" s="1"/>
  <c r="T36" i="5" a="1"/>
  <c r="T36" i="5" s="1"/>
  <c r="W74" i="5"/>
  <c r="U74" i="5" a="1"/>
  <c r="U74" i="5" s="1"/>
  <c r="T74" i="5" a="1"/>
  <c r="T74" i="5" s="1"/>
  <c r="S74" i="5" a="1"/>
  <c r="S74" i="5" s="1"/>
  <c r="R74" i="5" a="1"/>
  <c r="R74" i="5" s="1"/>
  <c r="Q74" i="5" a="1"/>
  <c r="Q74" i="5" s="1"/>
  <c r="P74" i="5" a="1"/>
  <c r="P74" i="5" s="1"/>
  <c r="O74" i="5" a="1"/>
  <c r="O74" i="5" s="1"/>
  <c r="W72" i="5"/>
  <c r="R72" i="5" a="1"/>
  <c r="R72" i="5" s="1"/>
  <c r="Q72" i="5" a="1"/>
  <c r="Q72" i="5" s="1"/>
  <c r="P72" i="5" a="1"/>
  <c r="P72" i="5" s="1"/>
  <c r="O72" i="5" a="1"/>
  <c r="O72" i="5" s="1"/>
  <c r="W71" i="5"/>
  <c r="R71" i="5" a="1"/>
  <c r="R71" i="5" s="1"/>
  <c r="Q71" i="5" a="1"/>
  <c r="Q71" i="5" s="1"/>
  <c r="P71" i="5" a="1"/>
  <c r="P71" i="5" s="1"/>
  <c r="O71" i="5" a="1"/>
  <c r="O71" i="5" s="1"/>
  <c r="W41" i="5"/>
  <c r="U41" i="5" a="1"/>
  <c r="U41" i="5" s="1"/>
  <c r="T41" i="5" a="1"/>
  <c r="T41" i="5" s="1"/>
  <c r="S41" i="5" a="1"/>
  <c r="S41" i="5" s="1"/>
  <c r="R41" i="5" a="1"/>
  <c r="R41" i="5" s="1"/>
  <c r="Q41" i="5" a="1"/>
  <c r="Q41" i="5" s="1"/>
  <c r="P41" i="5" a="1"/>
  <c r="P41" i="5" s="1"/>
  <c r="O41" i="5" a="1"/>
  <c r="O41" i="5" s="1"/>
  <c r="W40" i="5"/>
  <c r="U40" i="5" a="1"/>
  <c r="U40" i="5" s="1"/>
  <c r="T40" i="5" a="1"/>
  <c r="T40" i="5" s="1"/>
  <c r="S40" i="5" a="1"/>
  <c r="S40" i="5" s="1"/>
  <c r="R40" i="5" a="1"/>
  <c r="R40" i="5" s="1"/>
  <c r="Q40" i="5" a="1"/>
  <c r="Q40" i="5" s="1"/>
  <c r="P40" i="5" a="1"/>
  <c r="P40" i="5" s="1"/>
  <c r="O40" i="5" a="1"/>
  <c r="O40" i="5" s="1"/>
  <c r="W35" i="5"/>
  <c r="O35" i="5" a="1"/>
  <c r="O35" i="5" s="1"/>
  <c r="V35" i="5" s="1" a="1"/>
  <c r="V35" i="5" s="1"/>
  <c r="W34" i="5"/>
  <c r="S34" i="5" a="1"/>
  <c r="S34" i="5" s="1"/>
  <c r="R34" i="5" a="1"/>
  <c r="R34" i="5" s="1"/>
  <c r="Q34" i="5" a="1"/>
  <c r="Q34" i="5" s="1"/>
  <c r="P34" i="5" a="1"/>
  <c r="P34" i="5" s="1"/>
  <c r="O34" i="5" a="1"/>
  <c r="O34" i="5" s="1"/>
  <c r="W30" i="5"/>
  <c r="U30" i="5" a="1"/>
  <c r="U30" i="5" s="1"/>
  <c r="V30" i="5" s="1" a="1"/>
  <c r="V30" i="5" s="1"/>
  <c r="D83" i="5" s="1"/>
  <c r="G83" i="5" s="1"/>
  <c r="H83" i="5" s="1"/>
  <c r="W29" i="5"/>
  <c r="T29" i="5" a="1"/>
  <c r="T29" i="5" s="1"/>
  <c r="S29" i="5" a="1"/>
  <c r="S29" i="5" s="1"/>
  <c r="R29" i="5" a="1"/>
  <c r="R29" i="5" s="1"/>
  <c r="Q29" i="5" a="1"/>
  <c r="Q29" i="5" s="1"/>
  <c r="P29" i="5" a="1"/>
  <c r="P29" i="5" s="1"/>
  <c r="O29" i="5" a="1"/>
  <c r="O29" i="5" s="1"/>
  <c r="V14" i="5" a="1"/>
  <c r="V14" i="5" s="1"/>
  <c r="D79" i="5" s="1"/>
  <c r="G79" i="5" s="1"/>
  <c r="H79" i="5" s="1"/>
  <c r="X14" i="5"/>
  <c r="Y14" i="5" s="1"/>
  <c r="W14" i="5"/>
  <c r="X16" i="5"/>
  <c r="X17" i="5" s="1"/>
  <c r="X13" i="5"/>
  <c r="Y13" i="5" s="1"/>
  <c r="W24" i="5"/>
  <c r="W21" i="5"/>
  <c r="W17" i="5"/>
  <c r="W15" i="5"/>
  <c r="W23" i="5"/>
  <c r="W20" i="5"/>
  <c r="W19" i="5"/>
  <c r="W16" i="5"/>
  <c r="W13" i="5"/>
  <c r="V23" i="5" a="1"/>
  <c r="V23" i="5" s="1"/>
  <c r="D81" i="5" s="1"/>
  <c r="G81" i="5" s="1"/>
  <c r="H81" i="5" s="1"/>
  <c r="V20" i="5" a="1"/>
  <c r="V20" i="5" s="1"/>
  <c r="V19" i="5" a="1"/>
  <c r="V19" i="5" s="1"/>
  <c r="D80" i="5" s="1"/>
  <c r="G80" i="5" s="1"/>
  <c r="H80" i="5" s="1"/>
  <c r="V16" i="5" a="1"/>
  <c r="V16" i="5" s="1"/>
  <c r="V17" i="5" s="1"/>
  <c r="V13" i="5" a="1"/>
  <c r="V13" i="5" s="1"/>
  <c r="D78" i="5" s="1"/>
  <c r="H6" i="5"/>
  <c r="C24" i="1"/>
  <c r="C23" i="1"/>
  <c r="C22" i="1"/>
  <c r="C21" i="1"/>
  <c r="G78" i="5" l="1"/>
  <c r="V65" i="5" a="1"/>
  <c r="V65" i="5" s="1"/>
  <c r="D93" i="5" s="1"/>
  <c r="G93" i="5" s="1"/>
  <c r="H93" i="5" s="1"/>
  <c r="V64" i="5"/>
  <c r="X64" i="5" s="1"/>
  <c r="Y64" i="5" s="1"/>
  <c r="K80" i="5"/>
  <c r="L80" i="5" s="1"/>
  <c r="M80" i="5" s="1"/>
  <c r="K87" i="5"/>
  <c r="K89" i="5"/>
  <c r="K83" i="5"/>
  <c r="L83" i="5" s="1"/>
  <c r="M83" i="5" s="1"/>
  <c r="K79" i="5"/>
  <c r="L79" i="5" s="1"/>
  <c r="M79" i="5" s="1"/>
  <c r="K93" i="5"/>
  <c r="K94" i="5"/>
  <c r="K88" i="5"/>
  <c r="K96" i="5"/>
  <c r="L96" i="5" s="1"/>
  <c r="M96" i="5" s="1"/>
  <c r="K98" i="5"/>
  <c r="K78" i="5"/>
  <c r="K92" i="5"/>
  <c r="K99" i="5"/>
  <c r="J100" i="5"/>
  <c r="K95" i="5"/>
  <c r="K85" i="5"/>
  <c r="K90" i="5"/>
  <c r="K86" i="5"/>
  <c r="K91" i="5"/>
  <c r="K97" i="5"/>
  <c r="K81" i="5"/>
  <c r="L81" i="5" s="1"/>
  <c r="M81" i="5" s="1"/>
  <c r="K82" i="5"/>
  <c r="I100" i="5"/>
  <c r="K84" i="5"/>
  <c r="X70" i="5"/>
  <c r="Y70" i="5" s="1"/>
  <c r="V63" i="5" a="1"/>
  <c r="V63" i="5" s="1"/>
  <c r="X68" i="5"/>
  <c r="Y68" i="5" s="1"/>
  <c r="V62" i="5"/>
  <c r="X62" i="5" s="1"/>
  <c r="Y62" i="5" s="1"/>
  <c r="V67" i="5" a="1"/>
  <c r="V67" i="5" s="1"/>
  <c r="X66" i="5"/>
  <c r="Y66" i="5" s="1"/>
  <c r="V61" i="5" a="1"/>
  <c r="V61" i="5" s="1"/>
  <c r="X65" i="5"/>
  <c r="Y65" i="5" s="1"/>
  <c r="X63" i="5"/>
  <c r="Y63" i="5" s="1"/>
  <c r="V69" i="5"/>
  <c r="X69" i="5" s="1"/>
  <c r="Y69" i="5" s="1"/>
  <c r="X58" i="5"/>
  <c r="Y58" i="5" s="1"/>
  <c r="V53" i="5" a="1"/>
  <c r="V53" i="5" s="1"/>
  <c r="D89" i="5" s="1"/>
  <c r="G89" i="5" s="1"/>
  <c r="H89" i="5" s="1"/>
  <c r="V44" i="5" a="1"/>
  <c r="V44" i="5" s="1"/>
  <c r="V49" i="5" a="1"/>
  <c r="V49" i="5" s="1"/>
  <c r="D88" i="5" s="1"/>
  <c r="G88" i="5" s="1"/>
  <c r="H88" i="5" s="1"/>
  <c r="V45" i="5" a="1"/>
  <c r="V45" i="5" s="1"/>
  <c r="X45" i="5" s="1"/>
  <c r="Y45" i="5" s="1"/>
  <c r="X50" i="5"/>
  <c r="Y50" i="5" s="1"/>
  <c r="V46" i="5"/>
  <c r="X54" i="5"/>
  <c r="Y54" i="5" s="1"/>
  <c r="V57" i="5" a="1"/>
  <c r="V57" i="5" s="1"/>
  <c r="D90" i="5" s="1"/>
  <c r="G90" i="5" s="1"/>
  <c r="H90" i="5" s="1"/>
  <c r="X31" i="5"/>
  <c r="Y31" i="5" s="1"/>
  <c r="X32" i="5"/>
  <c r="Y32" i="5" s="1"/>
  <c r="C26" i="1"/>
  <c r="X37" i="5"/>
  <c r="Y37" i="5" s="1"/>
  <c r="X38" i="5"/>
  <c r="Y38" i="5" s="1"/>
  <c r="V42" i="5"/>
  <c r="V36" i="5"/>
  <c r="X35" i="5"/>
  <c r="Y35" i="5" s="1"/>
  <c r="V40" i="5" a="1"/>
  <c r="V40" i="5" s="1"/>
  <c r="V71" i="5" a="1"/>
  <c r="V71" i="5" s="1"/>
  <c r="D97" i="5" s="1"/>
  <c r="G97" i="5" s="1"/>
  <c r="H97" i="5" s="1"/>
  <c r="V29" i="5" a="1"/>
  <c r="V29" i="5" s="1"/>
  <c r="V74" i="5" a="1"/>
  <c r="V74" i="5" s="1"/>
  <c r="D99" i="5" s="1"/>
  <c r="G99" i="5" s="1"/>
  <c r="H99" i="5" s="1"/>
  <c r="V34" i="5" a="1"/>
  <c r="V34" i="5" s="1"/>
  <c r="D84" i="5" s="1"/>
  <c r="G84" i="5" s="1"/>
  <c r="H84" i="5" s="1"/>
  <c r="V41" i="5" a="1"/>
  <c r="V41" i="5" s="1"/>
  <c r="D86" i="5" s="1"/>
  <c r="G86" i="5" s="1"/>
  <c r="H86" i="5" s="1"/>
  <c r="V72" i="5" a="1"/>
  <c r="V72" i="5" s="1"/>
  <c r="V21" i="5"/>
  <c r="X21" i="5" s="1"/>
  <c r="Y21" i="5" s="1"/>
  <c r="X30" i="5"/>
  <c r="Y30" i="5" s="1"/>
  <c r="X15" i="5"/>
  <c r="Y15" i="5" s="1"/>
  <c r="X19" i="5"/>
  <c r="Y19" i="5" s="1"/>
  <c r="X20" i="5"/>
  <c r="Y20" i="5" s="1"/>
  <c r="V15" i="5"/>
  <c r="X23" i="5"/>
  <c r="Y23" i="5" s="1"/>
  <c r="V24" i="5"/>
  <c r="X24" i="5" s="1"/>
  <c r="Y24" i="5" s="1"/>
  <c r="Y16" i="5"/>
  <c r="Y17" i="5"/>
  <c r="L93" i="5" l="1"/>
  <c r="M93" i="5" s="1"/>
  <c r="L88" i="5"/>
  <c r="M88" i="5" s="1"/>
  <c r="X72" i="5"/>
  <c r="Y72" i="5" s="1"/>
  <c r="D98" i="5"/>
  <c r="G98" i="5" s="1"/>
  <c r="H98" i="5" s="1"/>
  <c r="L98" i="5" s="1"/>
  <c r="M98" i="5" s="1"/>
  <c r="X40" i="5"/>
  <c r="Y40" i="5" s="1"/>
  <c r="D85" i="5"/>
  <c r="G85" i="5" s="1"/>
  <c r="H85" i="5" s="1"/>
  <c r="L85" i="5" s="1"/>
  <c r="M85" i="5" s="1"/>
  <c r="L90" i="5"/>
  <c r="M90" i="5" s="1"/>
  <c r="L89" i="5"/>
  <c r="M89" i="5" s="1"/>
  <c r="X67" i="5"/>
  <c r="Y67" i="5" s="1"/>
  <c r="D94" i="5"/>
  <c r="G94" i="5" s="1"/>
  <c r="H94" i="5" s="1"/>
  <c r="L94" i="5" s="1"/>
  <c r="M94" i="5" s="1"/>
  <c r="L97" i="5"/>
  <c r="M97" i="5" s="1"/>
  <c r="D92" i="5"/>
  <c r="G92" i="5" s="1"/>
  <c r="H92" i="5" s="1"/>
  <c r="L92" i="5" s="1"/>
  <c r="M92" i="5" s="1"/>
  <c r="L99" i="5"/>
  <c r="M99" i="5" s="1"/>
  <c r="D95" i="5"/>
  <c r="G95" i="5" s="1"/>
  <c r="H95" i="5" s="1"/>
  <c r="L95" i="5" s="1"/>
  <c r="M95" i="5" s="1"/>
  <c r="D82" i="5"/>
  <c r="X61" i="5"/>
  <c r="Y61" i="5" s="1"/>
  <c r="D91" i="5"/>
  <c r="G91" i="5" s="1"/>
  <c r="H91" i="5" s="1"/>
  <c r="L91" i="5" s="1"/>
  <c r="M91" i="5" s="1"/>
  <c r="L86" i="5"/>
  <c r="M86" i="5" s="1"/>
  <c r="X44" i="5"/>
  <c r="Y44" i="5" s="1"/>
  <c r="D87" i="5"/>
  <c r="G87" i="5" s="1"/>
  <c r="H87" i="5" s="1"/>
  <c r="L87" i="5" s="1"/>
  <c r="M87" i="5" s="1"/>
  <c r="L84" i="5"/>
  <c r="M84" i="5" s="1"/>
  <c r="K100" i="5"/>
  <c r="H78" i="5"/>
  <c r="X41" i="5"/>
  <c r="Y41" i="5" s="1"/>
  <c r="V51" i="5"/>
  <c r="X51" i="5" s="1"/>
  <c r="Y51" i="5" s="1"/>
  <c r="X53" i="5"/>
  <c r="Y53" i="5" s="1"/>
  <c r="V47" i="5"/>
  <c r="X49" i="5"/>
  <c r="Y49" i="5" s="1"/>
  <c r="V55" i="5"/>
  <c r="X55" i="5" s="1"/>
  <c r="Y55" i="5" s="1"/>
  <c r="X47" i="5"/>
  <c r="Y47" i="5" s="1"/>
  <c r="X46" i="5"/>
  <c r="Y46" i="5" s="1"/>
  <c r="V59" i="5"/>
  <c r="V75" i="5" s="1"/>
  <c r="X75" i="5" s="1"/>
  <c r="X57" i="5"/>
  <c r="Y57" i="5" s="1"/>
  <c r="X34" i="5"/>
  <c r="Y34" i="5" s="1"/>
  <c r="X36" i="5"/>
  <c r="Y36" i="5" s="1"/>
  <c r="X42" i="5"/>
  <c r="Y42" i="5" s="1"/>
  <c r="X71" i="5"/>
  <c r="Y71" i="5" s="1"/>
  <c r="X29" i="5"/>
  <c r="Y29" i="5" s="1"/>
  <c r="X74" i="5"/>
  <c r="Y74" i="5" s="1"/>
  <c r="G82" i="5" l="1"/>
  <c r="D100" i="5"/>
  <c r="L78" i="5"/>
  <c r="X59" i="5"/>
  <c r="Y59" i="5" s="1"/>
  <c r="Y75" i="5"/>
  <c r="H82" i="5" l="1"/>
  <c r="G100" i="5"/>
  <c r="M78" i="5"/>
  <c r="L82" i="5" l="1"/>
  <c r="H100" i="5"/>
  <c r="M82" i="5" l="1"/>
  <c r="M100" i="5"/>
  <c r="L100" i="5"/>
  <c r="D24" i="1" l="1"/>
  <c r="D23" i="1"/>
  <c r="D22" i="1"/>
  <c r="D21" i="1"/>
  <c r="D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B4" authorId="0" shapeId="0" xr:uid="{99C10DFB-8A71-FD4F-B041-38F2440A8CE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EFIR, https://www.efiriyad.com/en/primaire/les-classes/</t>
        </r>
      </text>
    </comment>
    <comment ref="D4" authorId="0" shapeId="0" xr:uid="{4FB155EA-D790-0A4C-B7CD-A08DE3380D9D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EFIR, https://www.efiriyad.com/en/primaire/les-classes/</t>
        </r>
      </text>
    </comment>
    <comment ref="E4" authorId="0" shapeId="0" xr:uid="{0EC6AA08-3F21-DB4A-B500-1AEBC5E3C35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EFIR, https://www.efiriyad.com/en/primaire/les-classes/</t>
        </r>
      </text>
    </comment>
    <comment ref="B5" authorId="0" shapeId="0" xr:uid="{4A9EC761-1951-7A4E-A207-8596D763DAD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D5" authorId="0" shapeId="0" xr:uid="{F00D15D8-E3A0-AC47-914B-CCE14840E6D7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5" authorId="0" shapeId="0" xr:uid="{E8529603-17F6-7149-930A-879DEC89746B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6" authorId="0" shapeId="0" xr:uid="{5DD5220E-2BDF-5741-8890-30A2F044C5A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D6" authorId="0" shapeId="0" xr:uid="{386DAE25-6E08-1C42-B235-63C6A222FBD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E6" authorId="0" shapeId="0" xr:uid="{1328A2B8-EDE1-944F-9B32-802410E4893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https://www.efiriyad.com/en/primaire/les-classes/</t>
        </r>
      </text>
    </comment>
    <comment ref="B7" authorId="0" shapeId="0" xr:uid="{1A852921-B4A0-4F46-8685-6404B409316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7" authorId="0" shapeId="0" xr:uid="{C7EC75AE-6955-AD42-8985-0632C2D51649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7" authorId="0" shapeId="0" xr:uid="{8AD654E0-7ADE-654F-9F13-61B6EE6BEA68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8" authorId="0" shapeId="0" xr:uid="{172F3C52-75E7-7C42-889B-99A3A8E9B0B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8" authorId="0" shapeId="0" xr:uid="{0E693529-7ADD-FC48-9E7D-EE2E147270B8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8" authorId="0" shapeId="0" xr:uid="{74C91FCD-5B57-B340-B282-B6B76B5EE4A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9" authorId="0" shapeId="0" xr:uid="{9ADBBC2A-76C4-3844-88C9-704AB82E326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9" authorId="0" shapeId="0" xr:uid="{C7C7C4D7-5F1F-F745-BA5E-CDD3BC533FF4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9" authorId="0" shapeId="0" xr:uid="{1B9A6E69-5173-6842-AA35-62364C5815BC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0" authorId="0" shapeId="0" xr:uid="{FE899EA6-C4A4-694E-A8D9-80690CF5CA6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10" authorId="0" shapeId="0" xr:uid="{949A3C63-E4C5-6D49-A84E-C5C6D929044C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0" authorId="0" shapeId="0" xr:uid="{9E5136C3-01C9-D042-B5E0-B50D7ADBD03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1" authorId="0" shapeId="0" xr:uid="{F928D4B1-8B02-3B43-BABF-0D511D92DF4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https://www.efiriyad.com/en/les-classes-primaire/</t>
        </r>
      </text>
    </comment>
    <comment ref="D11" authorId="0" shapeId="0" xr:uid="{7CAE0C3C-A325-FA4D-9D03-BE6AA3876DA3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1" authorId="0" shapeId="0" xr:uid="{D09F38C7-8821-C142-B724-A34F47BC6128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2" authorId="0" shapeId="0" xr:uid="{05B57A63-FC6D-964F-9F7E-B2E6EF8C1D6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Only partial data visible in search</t>
        </r>
      </text>
    </comment>
    <comment ref="D12" authorId="0" shapeId="0" xr:uid="{E444B352-FEDE-5746-84E7-7E8A5B0F6FC1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2" authorId="0" shapeId="0" xr:uid="{0D9C587F-EEC0-3A49-9D6D-32F559E37310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3" authorId="0" shapeId="0" xr:uid="{56FFB018-536B-B049-AA29-62AFE4C677F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Data not fully visible in search</t>
        </r>
      </text>
    </comment>
    <comment ref="D13" authorId="0" shapeId="0" xr:uid="{3C75826D-3438-8941-AB69-77D8D964ABF6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3" authorId="0" shapeId="0" xr:uid="{E02CE5CB-4F49-DE4C-A113-D5F9EF25C81A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4" authorId="0" shapeId="0" xr:uid="{E8200CD9-C7BD-5248-AF20-D7B0647F97A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Data not fully visible in search</t>
        </r>
      </text>
    </comment>
    <comment ref="D14" authorId="0" shapeId="0" xr:uid="{4E282C71-AA0D-2F43-B3CC-F343BB3D30D3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4" authorId="0" shapeId="0" xr:uid="{4BF7E9A2-A82B-6B44-BFA1-624EAA44E38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5" authorId="0" shapeId="0" xr:uid="{AD393F5A-12D5-C647-99C9-3F9D31174F4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https://www.efiriyad.com/en/secondaire/les-classes/ - 3ème C confirmed from news article</t>
        </r>
      </text>
    </comment>
    <comment ref="D15" authorId="0" shapeId="0" xr:uid="{4A6B7609-5328-9E40-B790-E39EB2CF7D14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5" authorId="0" shapeId="0" xr:uid="{4A93FFF1-878A-0548-BB4F-51D4502ED084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6" authorId="0" shapeId="0" xr:uid="{3CCB8658-F222-ED49-B650-3F31558B439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https://www.efiriyad.com/en/les-classes-du-lycee/</t>
        </r>
      </text>
    </comment>
    <comment ref="D16" authorId="0" shapeId="0" xr:uid="{4B315ABD-D843-EC4E-87EF-E6DFAA5CF571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6" authorId="0" shapeId="0" xr:uid="{31A40277-BEEF-5B4F-B8A9-EF846517FC1C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7" authorId="0" shapeId="0" xr:uid="{CA654E1C-5402-0E4C-ACB0-1E5E98668C6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https://www.efiriyad.com/en/les-classes-du-lycee/ - Not visible in search results</t>
        </r>
      </text>
    </comment>
    <comment ref="D17" authorId="0" shapeId="0" xr:uid="{8BA1B0D6-723C-7B47-8CDB-F85E1EE8F916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7" authorId="0" shapeId="0" xr:uid="{496A0BD3-6B55-EE44-A5FE-E6418DF1E1F0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B18" authorId="0" shapeId="0" xr:uid="{0B7702AA-04AD-A444-ACE5-D2A9BA1A9C7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EFIR, https://www.efiriyad.com/en/les-classes-du-lycee/</t>
        </r>
      </text>
    </comment>
    <comment ref="D18" authorId="0" shapeId="0" xr:uid="{079B1F30-2F53-E443-9617-C138C4BAE7C3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  <comment ref="E18" authorId="0" shapeId="0" xr:uid="{5A486550-F374-DD4A-AB94-B63306812BBF}">
      <text>
        <r>
          <rPr>
            <b/>
            <sz val="10"/>
            <color rgb="FF000000"/>
            <rFont val="Tahoma"/>
            <family val="2"/>
          </rPr>
          <t>Source: EFIR Structure Pédagogique, https://www.efiriyad.com/structure-pedagogique/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  <author>tc={75B24367-228F-8545-BF0F-85DE90257867}</author>
  </authors>
  <commentList>
    <comment ref="D7" authorId="0" shapeId="0" xr:uid="{377E2533-6C6D-7B48-B971-93EDBA1AEEE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Editable assumption: % of LV2/LVB students choosing Arabic</t>
        </r>
      </text>
    </comment>
    <comment ref="F7" authorId="0" shapeId="0" xr:uid="{1C17D3BC-4A43-FF4F-A286-6D4E76E81BB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Editable assumption: % of LV2/LVB students choosing German</t>
        </r>
      </text>
    </comment>
    <comment ref="H7" authorId="0" shapeId="0" xr:uid="{E6A263B8-0410-4B44-8351-CF9E524E0D7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Editable assumption: % of LV2/LVB students choosing Spanish</t>
        </r>
      </text>
    </comment>
    <comment ref="Y25" authorId="1" shapeId="0" xr:uid="{75B24367-228F-8545-BF0F-85DE90257867}">
      <text>
        <t>[Threaded comment]
Your version of Excel allows you to read this threaded comment; however, any edits to it will get removed if the file is opened in a newer version of Excel. Learn more: https://go.microsoft.com/fwlink/?linkid=870924
Comment:
    Pooled headcount: 129 hrs ÷ 18 = 7.17 FTE → 8 teachers.
Previously counted per-row: 6+2+1+1 = 10 teachers.
Saving: 2 headcount by sharing across Collège + Lycée Maths.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62" authorId="0" shapeId="0" xr:uid="{E766F6F6-E84A-D044-8189-2E4C7FB1FD24}">
      <text>
        <r>
          <rPr>
            <sz val="11"/>
            <color theme="1"/>
            <rFont val="Aptos Narrow"/>
            <family val="2"/>
            <scheme val="minor"/>
          </rPr>
          <t>Default is 0. Enter the number of groups/students sections requiring this conditional course.</t>
        </r>
      </text>
    </comment>
    <comment ref="J71" authorId="0" shapeId="0" xr:uid="{AB6D086B-7255-BF4E-8CCA-BFA6EFE5535F}">
      <text>
        <r>
          <rPr>
            <sz val="11"/>
            <color rgb="FF000000"/>
            <rFont val="Calibri"/>
            <family val="2"/>
          </rPr>
          <t>Default is 0. Enter the number of specialty teaching groups actually opened.</t>
        </r>
      </text>
    </comment>
    <comment ref="J72" authorId="0" shapeId="0" xr:uid="{E7C432A8-D77E-6945-80C4-A43EA5A89EE6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3" authorId="0" shapeId="0" xr:uid="{9C56347D-31CD-6248-9B70-D8D0D7FEFC0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4" authorId="0" shapeId="0" xr:uid="{717F3547-0FC2-3F4D-B8E6-8B8BB625D732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5" authorId="0" shapeId="0" xr:uid="{FD60D203-E364-8E4C-8E91-56966FC50A26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6" authorId="0" shapeId="0" xr:uid="{B9424393-CD33-9F42-900F-BAD5F3F4C9C7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7" authorId="0" shapeId="0" xr:uid="{48FD4C6F-A4DA-F842-8D37-577E5AB77C9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8" authorId="0" shapeId="0" xr:uid="{34B7E9D2-F750-2E47-8987-8F2278CD9CE9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79" authorId="0" shapeId="0" xr:uid="{664A0CAB-C3D3-1F4D-8EBA-E125CC48EA08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0" authorId="0" shapeId="0" xr:uid="{517F261F-525C-904F-AF18-6600528C5590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1" authorId="0" shapeId="0" xr:uid="{A6555E2E-1406-0E47-92AD-4B7F99EAE144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2" authorId="0" shapeId="0" xr:uid="{1803F1FE-2D49-B64A-AFBE-3D30906A30A9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3" authorId="0" shapeId="0" xr:uid="{3D7B6C34-2DAC-3B48-96D2-39BB8E7F16A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4" authorId="0" shapeId="0" xr:uid="{F3DEE377-C8FD-4E4D-8794-8E3677322081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5" authorId="0" shapeId="0" xr:uid="{7062A4EB-08FF-4140-8F7B-ECA1D7B97826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6" authorId="0" shapeId="0" xr:uid="{85280EF0-5977-FE4D-BF5E-F294F676932E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7" authorId="0" shapeId="0" xr:uid="{247363D9-0834-604E-9C67-4A44A23F18F1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8" authorId="0" shapeId="0" xr:uid="{CC36D115-F6A7-C04E-B817-58BD089C0225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89" authorId="0" shapeId="0" xr:uid="{59BD6C21-4722-714F-B28D-5C9A3DDD00DA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0" authorId="0" shapeId="0" xr:uid="{9A358D98-0A60-A244-955D-B09C2EE4CC62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1" authorId="0" shapeId="0" xr:uid="{7808F842-484F-8049-A1DB-EF598D9C6D0F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2" authorId="0" shapeId="0" xr:uid="{A9B4633D-9A89-4849-87ED-A9B579E282ED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3" authorId="0" shapeId="0" xr:uid="{F5B9B9B3-CC92-EA45-B834-55116A472BE4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4" authorId="0" shapeId="0" xr:uid="{814A1133-F60D-D84F-BAF8-BE25CABEBDBE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5" authorId="0" shapeId="0" xr:uid="{66B5D34D-573C-EC46-AC1B-2E6E0F6871BA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  <comment ref="J96" authorId="0" shapeId="0" xr:uid="{4A77B0CD-9BF6-A34E-8F90-3FEB58F8611B}">
      <text>
        <r>
          <rPr>
            <sz val="11"/>
            <color theme="1"/>
            <rFont val="Aptos Narrow"/>
            <family val="2"/>
            <scheme val="minor"/>
          </rPr>
          <t>Default is 0. Enter the number of specialty teaching groups actually opened.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J21" authorId="0" shapeId="0" xr:uid="{3A7E2065-742C-FE45-8A54-D5E2194A25F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ZoomInfo/LinkedIn — Professeur d'EPS at EFIR, previously Professeur Coordonnateur d'EPS at Lycée Français d'Amman. STAPS Lille 2.</t>
        </r>
      </text>
    </comment>
    <comment ref="J87" authorId="0" shapeId="0" xr:uid="{1F6FAB16-716D-274F-BECC-F44A13BB57A9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Viadeo (Emna Harbi, Strasbourg) — Background in French language teaching (FOS/FLE), student support with personalized French courses. Confidence: Medium — profile matches but not explicitly confirmed at EFIR.</t>
        </r>
      </text>
    </comment>
    <comment ref="J113" authorId="0" shapeId="0" xr:uid="{4BA8BD8D-E7C7-4C49-911B-8AFCECCB66F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LinkedIn (Chloe Desbarres, Riyadh) — French/English native speaker, UCL French &amp; Spanish degree, CELTA qualified. 5+ years French &amp; English teaching (EFL, tutoring, primary/secondary). Previously at Lycée Français de Singapour.</t>
        </r>
      </text>
    </comment>
    <comment ref="J120" authorId="0" shapeId="0" xr:uid="{C8B0AD18-92EC-EA44-B9D0-8F5C41E6903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ZoomInfo/LinkedIn — Professeur d'EPS at EFIR, previously Professeur Coordonnateur d'EPS at Lycée Français d'Amman. STAPS Lille 2.</t>
        </r>
      </text>
    </comment>
    <comment ref="J128" authorId="0" shapeId="0" xr:uid="{7B6CB70B-25C8-4A4B-8511-1E08AA0B1DF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LinkedIn — FLE/FLM specialist. Background in Simulation Globale, formation de formateurs, FLE pedagogy.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tc={6500F943-DF78-3149-AB49-3DB34F6D34B4}</author>
    <author>Faker Helali</author>
    <author>tc={C0588062-CD0B-BE42-81A2-FE3664DB963D}</author>
    <author>tc={2D27A74B-0FF1-2D42-9E45-C699631394E5}</author>
    <author>tc={3D97EBFF-48C9-FE47-B439-B2B47AEF7B0F}</author>
    <author>tc={1796A84F-2B33-954D-97E8-8DE64901B270}</author>
    <author>tc={2B910625-FEBC-4148-9669-C9F8ADC572EC}</author>
    <author>tc={BEAB32A5-E909-E646-8A32-9AF8FB709CFB}</author>
    <author>tc={7900923E-47DA-664A-A7B7-E1810782CD26}</author>
  </authors>
  <commentList>
    <comment ref="P10" authorId="0" shapeId="0" xr:uid="{6500F943-DF78-3149-AB49-3DB34F6D34B4}">
      <text>
        <t>[Threaded comment]
Your version of Excel allows you to read this threaded comment; however, any edits to it will get removed if the file is opened in a newer version of Excel. Learn more: https://go.microsoft.com/fwlink/?linkid=870924
Comment:
    GL 641100 + 641400 + 641120 + 641420 combined. Component split (Base/Housing/Transport/Premium/HSA) not available in GL.</t>
      </text>
    </comment>
    <comment ref="O13" authorId="1" shapeId="0" xr:uid="{5ACB6F23-62CE-9541-A7C1-F8944BD3BD4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DEP sheet Budget V6 — Contrats LOCAUX REMPLACEMENTS</t>
        </r>
      </text>
    </comment>
    <comment ref="P13" authorId="2" shapeId="0" xr:uid="{C0588062-CD0B-BE42-81A2-FE3664DB963D}">
      <text>
        <t>[Threaded comment]
Your version of Excel allows you to read this threaded comment; however, any edits to it will get removed if the file is opened in a newer version of Excel. Learn more: https://go.microsoft.com/fwlink/?linkid=870924
Comment:
    GL 641200 — French Replacement Salary</t>
      </text>
    </comment>
    <comment ref="O14" authorId="1" shapeId="0" xr:uid="{58957B31-D9B2-E04F-8DA4-B845BED36F3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DEP sheet Budget V6 — Contrats LOCAUX 1% MASSE SALARIALE (FORM CONT)</t>
        </r>
      </text>
    </comment>
    <comment ref="O15" authorId="1" shapeId="0" xr:uid="{14246804-12DF-704D-8DFF-4166B87655E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DEP sheet Budget V6 — FORMATION PERSONNEL ADMINISTRATIF</t>
        </r>
      </text>
    </comment>
    <comment ref="O16" authorId="1" shapeId="0" xr:uid="{05FB11A7-2513-C84E-A381-2FFB752CCFE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Garderie not separately identified in DEP V6</t>
        </r>
      </text>
    </comment>
    <comment ref="P16" authorId="3" shapeId="0" xr:uid="{2D27A74B-0FF1-2D42-9E45-C6996313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GL 641300 — Garderie Salaries</t>
      </text>
    </comment>
    <comment ref="O17" authorId="1" shapeId="0" xr:uid="{D2AE7F10-C62E-824E-B2AD-7A4F8EB5E56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APS not separately identified in DEP V6</t>
        </r>
      </text>
    </comment>
    <comment ref="P17" authorId="4" shapeId="0" xr:uid="{3D97EBFF-48C9-FE47-B439-B2B47AEF7B0F}">
      <text>
        <t>[Threaded comment]
Your version of Excel allows you to read this threaded comment; however, any edits to it will get removed if the file is opened in a newer version of Excel. Learn more: https://go.microsoft.com/fwlink/?linkid=870924
Comment:
    GL 641401 — APS Salaries</t>
      </text>
    </comment>
    <comment ref="O18" authorId="1" shapeId="0" xr:uid="{573A79D2-C4E6-EF4E-A67E-862105C165C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Études dirigées not separately identified in DEP V6</t>
        </r>
      </text>
    </comment>
    <comment ref="P18" authorId="5" shapeId="0" xr:uid="{1796A84F-2B33-954D-97E8-8DE64901B270}">
      <text>
        <t>[Threaded comment]
Your version of Excel allows you to read this threaded comment; however, any edits to it will get removed if the file is opened in a newer version of Excel. Learn more: https://go.microsoft.com/fwlink/?linkid=870924
Comment:
    GL 641410 — Dépense Études Dirigées</t>
      </text>
    </comment>
    <comment ref="O19" authorId="1" shapeId="0" xr:uid="{6EC3BFF6-96FC-AC41-B464-D43C77863D3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DEP sheet Budget V6 — Dépenses supplémentaires 50% frais scolarités enfants personnel hors AEFE (mapped to Prime line as staff-related extraordinary cost)</t>
        </r>
      </text>
    </comment>
    <comment ref="P19" authorId="6" shapeId="0" xr:uid="{2B910625-FEBC-4148-9669-C9F8ADC572EC}">
      <text>
        <t>[Threaded comment]
Your version of Excel allows you to read this threaded comment; however, any edits to it will get removed if the file is opened in a newer version of Excel. Learn more: https://go.microsoft.com/fwlink/?linkid=870924
Comment:
    GL 648030 — Prime</t>
      </text>
    </comment>
    <comment ref="O20" authorId="1" shapeId="0" xr:uid="{0AAB46BC-2BCC-CB41-AE01-310D25988EC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DEP sheet Budget V6 — RESIDENTS SALAIRES</t>
        </r>
      </text>
    </comment>
    <comment ref="P20" authorId="7" shapeId="0" xr:uid="{BEAB32A5-E909-E646-8A32-9AF8FB709CFB}">
      <text>
        <t>[Threaded comment]
Your version of Excel allows you to read this threaded comment; however, any edits to it will get removed if the file is opened in a newer version of Excel. Learn more: https://go.microsoft.com/fwlink/?linkid=870924
Comment:
    GL 648000 — Agence Enseignement Français (AEFE)</t>
      </text>
    </comment>
    <comment ref="O21" authorId="1" shapeId="0" xr:uid="{F63A27F8-A495-5A44-A129-3F2115320EF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DEP sheet Budget V6 — PFC 6% (4,120,473) + Prise en charge 35% pensions civiles (837,000)</t>
        </r>
      </text>
    </comment>
    <comment ref="O22" authorId="1" shapeId="0" xr:uid="{161D17D9-BBEA-9045-A20F-25289B92A08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DEP sheet Budget V6 — RESIDENTS LOGEMENT, BILLETS AVION</t>
        </r>
      </text>
    </comment>
    <comment ref="O25" authorId="1" shapeId="0" xr:uid="{3E9F51EA-2FC4-6F46-B9FF-13462AA2DA8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DEP sheet Budget V6 — Contrats LOCAUX GOSI (sécurité sociale)</t>
        </r>
      </text>
    </comment>
    <comment ref="P25" authorId="8" shapeId="0" xr:uid="{7900923E-47DA-664A-A7B7-E1810782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GL 645100 — GOSI Payment</t>
      </text>
    </comment>
    <comment ref="O26" authorId="1" shapeId="0" xr:uid="{7C592C3B-F312-0547-BD93-A666E9ABFF4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DEP sheet Budget V6 — PROV INDEMNITES FIN DE SERVICE: ADMIN (708,135.453) + ENSEIGNANTS (1,648,469.6856)</t>
        </r>
      </text>
    </comment>
    <comment ref="O27" authorId="1" shapeId="0" xr:uid="{D9F3BFC7-FED0-644E-AA7B-B3426F33F77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DEP sheet Budget V6 — PROVISION AJEER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<sst xmlns="http://schemas.openxmlformats.org/spreadsheetml/2006/main" count="3580" uniqueCount="864">
  <si>
    <t>École Française Internationale de Riyad (EFIR) - Classes by Level</t>
  </si>
  <si>
    <t>Cycle</t>
  </si>
  <si>
    <t>Level</t>
  </si>
  <si>
    <t>Number of Classes</t>
  </si>
  <si>
    <t>Maternelle</t>
  </si>
  <si>
    <t>Petite Section (PS)</t>
  </si>
  <si>
    <t>Moyenne Section (MS)</t>
  </si>
  <si>
    <t>Grande Section (GS)</t>
  </si>
  <si>
    <t>Élémentaire</t>
  </si>
  <si>
    <t>CP (Cours Préparatoire)</t>
  </si>
  <si>
    <t>CE1</t>
  </si>
  <si>
    <t>CE2</t>
  </si>
  <si>
    <t>CM1</t>
  </si>
  <si>
    <t>CM2</t>
  </si>
  <si>
    <t>Collège</t>
  </si>
  <si>
    <t>6ème</t>
  </si>
  <si>
    <t>5ème</t>
  </si>
  <si>
    <t>4ème</t>
  </si>
  <si>
    <t>3ème</t>
  </si>
  <si>
    <t>Lycée</t>
  </si>
  <si>
    <t>Seconde (2nde)</t>
  </si>
  <si>
    <t>Première (1ère)</t>
  </si>
  <si>
    <t>Terminale</t>
  </si>
  <si>
    <t>SUMMARY BY CYCLE</t>
  </si>
  <si>
    <t>Maternelle (Kindergarten)</t>
  </si>
  <si>
    <t>Élémentaire (Elementary)</t>
  </si>
  <si>
    <t>Collège (Middle School)</t>
  </si>
  <si>
    <t>Lycée (High School)</t>
  </si>
  <si>
    <t>TOTAL CLASSES</t>
  </si>
  <si>
    <t>Source: EFIR Structure Pédagogique — https://www.efiriyad.com/structure-pedagogique/</t>
  </si>
  <si>
    <t>Annual Hours</t>
  </si>
  <si>
    <t>Français</t>
  </si>
  <si>
    <t>Mathématiques</t>
  </si>
  <si>
    <t>Type</t>
  </si>
  <si>
    <t>Physique-Chimie</t>
  </si>
  <si>
    <t>Technologie</t>
  </si>
  <si>
    <t>Arts Plastiques</t>
  </si>
  <si>
    <t>Éducation Musicale</t>
  </si>
  <si>
    <t>Notes</t>
  </si>
  <si>
    <t>Histoire-Géographie</t>
  </si>
  <si>
    <t>SVT</t>
  </si>
  <si>
    <t>Enseignement Scientifique</t>
  </si>
  <si>
    <t>EPS</t>
  </si>
  <si>
    <t>Arabe</t>
  </si>
  <si>
    <t>Anglais</t>
  </si>
  <si>
    <t>MATERNELLE</t>
  </si>
  <si>
    <t>ÉLÉMENTAIRE</t>
  </si>
  <si>
    <t>COLLÈGE</t>
  </si>
  <si>
    <t>LYCÉE</t>
  </si>
  <si>
    <t>Subject / Matière</t>
  </si>
  <si>
    <t>Teacher Profile</t>
  </si>
  <si>
    <t>PS</t>
  </si>
  <si>
    <t>MS</t>
  </si>
  <si>
    <t>GS</t>
  </si>
  <si>
    <t>CP</t>
  </si>
  <si>
    <t>2nde</t>
  </si>
  <si>
    <t>1ère</t>
  </si>
  <si>
    <t>Tle</t>
  </si>
  <si>
    <t>Professeur des écoles (PE)</t>
  </si>
  <si>
    <t>Philosophie</t>
  </si>
  <si>
    <t>MATHEMATICS</t>
  </si>
  <si>
    <t>Spé. Mathématiques</t>
  </si>
  <si>
    <t>ARABIC LANGUAGE</t>
  </si>
  <si>
    <t>Arabe (Arabophone group)</t>
  </si>
  <si>
    <t>Arabe (Non-Arabophone group)</t>
  </si>
  <si>
    <t>Certifié Arabe</t>
  </si>
  <si>
    <t>ENGLISH LANGUAGE</t>
  </si>
  <si>
    <t>Enseignant Anglais Primaire</t>
  </si>
  <si>
    <t>Certifié Anglais</t>
  </si>
  <si>
    <t>Spé. LLCE Anglais</t>
  </si>
  <si>
    <t>SCIENCES</t>
  </si>
  <si>
    <t>Certifié SVT</t>
  </si>
  <si>
    <t>Spé. SVT</t>
  </si>
  <si>
    <t>Certifié Physique-Chimie</t>
  </si>
  <si>
    <t>Spé. Physique-Chimie</t>
  </si>
  <si>
    <t>Certifié Technologie</t>
  </si>
  <si>
    <t>Certifié Sciences (mutualisé)</t>
  </si>
  <si>
    <t>Certifié NSI/Maths</t>
  </si>
  <si>
    <t>HISTORY, GEOGRAPHY &amp; CIVICS</t>
  </si>
  <si>
    <t>Certifié Hist-Géo</t>
  </si>
  <si>
    <t>Spé. HGGSP</t>
  </si>
  <si>
    <t>Certifié SES</t>
  </si>
  <si>
    <t>Spé. SES</t>
  </si>
  <si>
    <t>Certifié Arts Plastiques</t>
  </si>
  <si>
    <t>Certifié Éducation Musicale</t>
  </si>
  <si>
    <t>Certifié EPS</t>
  </si>
  <si>
    <t>EFIR — Teacher Staffing Requirements Matrix 2025-26</t>
  </si>
  <si>
    <t>Purpose: Calculate FTE requirements per teacher profile. Blue cells = editable assumptions.</t>
  </si>
  <si>
    <t>PARAMETERS</t>
  </si>
  <si>
    <t>Statutory Hours / Week</t>
  </si>
  <si>
    <t>Certifié</t>
  </si>
  <si>
    <t>h/week</t>
  </si>
  <si>
    <t>Prof. des Écoles (PE)</t>
  </si>
  <si>
    <t>COMPUTATION</t>
  </si>
  <si>
    <t>Category</t>
  </si>
  <si>
    <t>Groups / Class</t>
  </si>
  <si>
    <t>Total Hrs/Wk</t>
  </si>
  <si>
    <t>Statutory</t>
  </si>
  <si>
    <t>FTE Req.</t>
  </si>
  <si>
    <t>Headcount</t>
  </si>
  <si>
    <t>FRENCH LANGUAGE</t>
  </si>
  <si>
    <t>Certifié Lettres</t>
  </si>
  <si>
    <t>Certifié Philosophie</t>
  </si>
  <si>
    <t>Maths</t>
  </si>
  <si>
    <t>Certifié Maths</t>
  </si>
  <si>
    <t>Maths Complémentaires (opt.)</t>
  </si>
  <si>
    <t>Maths Expertes (opt.)</t>
  </si>
  <si>
    <t>Anglais (Primaire)</t>
  </si>
  <si>
    <t>Sciences</t>
  </si>
  <si>
    <t>Technologie (Cycle 4)</t>
  </si>
  <si>
    <t>SNT (2nde)</t>
  </si>
  <si>
    <t>Spé. NSI</t>
  </si>
  <si>
    <t>HG-EMC</t>
  </si>
  <si>
    <t>SES (2nde)</t>
  </si>
  <si>
    <t>Arts</t>
  </si>
  <si>
    <t>HOMEROOM</t>
  </si>
  <si>
    <t>Homeroom</t>
  </si>
  <si>
    <t>Homeroom Maternelle</t>
  </si>
  <si>
    <t>Homeroom Élémentaire</t>
  </si>
  <si>
    <t>ASEM Maternelle</t>
  </si>
  <si>
    <t>ASEM</t>
  </si>
  <si>
    <t>Total Certifié Arabe</t>
  </si>
  <si>
    <t>Total Certifié Anglais</t>
  </si>
  <si>
    <t>Number of students</t>
  </si>
  <si>
    <t xml:space="preserve">  ▸ Primaire</t>
  </si>
  <si>
    <t>⬛ Subtotal Primaire (shared pool)</t>
  </si>
  <si>
    <t>⬛ Subtotal Maternelle</t>
  </si>
  <si>
    <t>⬛ Subtotal Élémentaire</t>
  </si>
  <si>
    <t>BLOCK 1 — MATERNELLE / PRIMAIRE</t>
  </si>
  <si>
    <t>BLOCK 2 — COLLÈGE / LYCÉE</t>
  </si>
  <si>
    <t>HSA (Supp. Hrs)</t>
  </si>
  <si>
    <t>Effective Certifié</t>
  </si>
  <si>
    <t>Sort Order</t>
  </si>
  <si>
    <t>Stage</t>
  </si>
  <si>
    <t>Track</t>
  </si>
  <si>
    <t>Subject</t>
  </si>
  <si>
    <t>Hour Status</t>
  </si>
  <si>
    <t>Weekly Hours</t>
  </si>
  <si>
    <t>Planning Groups</t>
  </si>
  <si>
    <t>Delivered Hours/Wk</t>
  </si>
  <si>
    <t>Teacher Load Hrs/Wk</t>
  </si>
  <si>
    <t>Required FTE</t>
  </si>
  <si>
    <t>Avg Cost per FTE</t>
  </si>
  <si>
    <t>Est Annual Cost</t>
  </si>
  <si>
    <t>Source URL</t>
  </si>
  <si>
    <t>Core</t>
  </si>
  <si>
    <t>Official</t>
  </si>
  <si>
    <t/>
  </si>
  <si>
    <t>Éducation physique et sportive</t>
  </si>
  <si>
    <t>Derived from official grouped block</t>
  </si>
  <si>
    <t>Enseignement moral et civique</t>
  </si>
  <si>
    <t>Cycle 3</t>
  </si>
  <si>
    <t>6e</t>
  </si>
  <si>
    <t>https://www.education.gouv.fr/les-horaires-par-cycle-au-college-9884</t>
  </si>
  <si>
    <t>Histoire-géographie</t>
  </si>
  <si>
    <t>Derived from official 3 h grouped block 'Histoire-géographie + EMC', of which EMC is 30 minutes.</t>
  </si>
  <si>
    <t>Langue vivante 1</t>
  </si>
  <si>
    <t>Sciences de la vie et de la Terre + Physique-chimie</t>
  </si>
  <si>
    <t>Official grouped sciences block</t>
  </si>
  <si>
    <t>Current official 6e timetable groups the sciences block at 3 h/week.</t>
  </si>
  <si>
    <t>Arts plastiques</t>
  </si>
  <si>
    <t>Éducation musicale</t>
  </si>
  <si>
    <t>Soutien / approfondissement en français ou mathématiques</t>
  </si>
  <si>
    <t>Cycle 4</t>
  </si>
  <si>
    <t>5e</t>
  </si>
  <si>
    <t>Derived from official grouped block 'Histoire-géographie + EMC' with EMC = 30 minutes.</t>
  </si>
  <si>
    <t>Langue vivante 2</t>
  </si>
  <si>
    <t>Sciences de la vie et de la Terre</t>
  </si>
  <si>
    <t>Physique-chimie</t>
  </si>
  <si>
    <t>4e</t>
  </si>
  <si>
    <t>3e</t>
  </si>
  <si>
    <t>Seconde</t>
  </si>
  <si>
    <t>https://eduscol.education.gouv.fr/5466/seconde-generale-et-technologique</t>
  </si>
  <si>
    <t>LVA + LVB</t>
  </si>
  <si>
    <t>Sciences économiques et sociales</t>
  </si>
  <si>
    <t>Sciences numériques et technologie</t>
  </si>
  <si>
    <t>Première</t>
  </si>
  <si>
    <t>https://eduscol.education.gouv.fr/5418/cycle-terminal-de-la-voie-generale</t>
  </si>
  <si>
    <t>Enseignement scientifique</t>
  </si>
  <si>
    <t>Base common hours for all Première générale students.</t>
  </si>
  <si>
    <t>Conditional</t>
  </si>
  <si>
    <t>Mathématiques spécifiques intégrées à l'enseignement scientifique</t>
  </si>
  <si>
    <t>https://eduscol.education.gouv.fr/5790/programmes-et-ressources-en-enseignement-scientifique-voie-g</t>
  </si>
  <si>
    <t>Only for students not choosing the math specialty.</t>
  </si>
  <si>
    <t>Official annual 18h converted to weekly equivalent</t>
  </si>
  <si>
    <t>18 annual hours expressed here as a 0.5 h weekly equivalent.</t>
  </si>
  <si>
    <t>Specialty</t>
  </si>
  <si>
    <t>Official specialty</t>
  </si>
  <si>
    <t>National list; local school availability may differ. Students choose 3 specialties in Première.</t>
  </si>
  <si>
    <t>Biologie-écologie</t>
  </si>
  <si>
    <t>Agricultural lycée specialty; usually not applicable in mainstream AEFE schools. Students choose 3 specialties in Première.</t>
  </si>
  <si>
    <t>Éducation physique, pratiques et culture sportives</t>
  </si>
  <si>
    <t>School availability dependent. Students choose 3 specialties in Première.</t>
  </si>
  <si>
    <t>Histoire-géographie, géopolitique et sciences politiques</t>
  </si>
  <si>
    <t xml:space="preserve"> Students choose 3 specialties in Première.</t>
  </si>
  <si>
    <t>Humanités, littérature et philosophie</t>
  </si>
  <si>
    <t>Langues, littératures et cultures étrangères et régionales</t>
  </si>
  <si>
    <t>Littératures et langues et cultures de l'Antiquité</t>
  </si>
  <si>
    <t>Numérique et sciences informatiques</t>
  </si>
  <si>
    <t>Sciences de l'ingénieur</t>
  </si>
  <si>
    <t>National list; local school availability may differ. Students continue 2 specialties in Terminale.</t>
  </si>
  <si>
    <t>Agricultural lycée specialty; usually not applicable in mainstream AEFE schools. Students continue 2 specialties in Terminale.</t>
  </si>
  <si>
    <t>School availability dependent. Students continue 2 specialties in Terminale.</t>
  </si>
  <si>
    <t xml:space="preserve"> Students continue 2 specialties in Terminale.</t>
  </si>
  <si>
    <t>CORE SUBJECTS — TRONC COMMUN</t>
  </si>
  <si>
    <t>Soutien / approfondissement</t>
  </si>
  <si>
    <t>Option</t>
  </si>
  <si>
    <t>⬛ SUBTOTAL BLOCK 2 — COLLÈGE / LYCÉE</t>
  </si>
  <si>
    <t>Spé. HLP (1ère)</t>
  </si>
  <si>
    <t>Spé. HLP (Tle)</t>
  </si>
  <si>
    <t>LV2/LVB Student Split</t>
  </si>
  <si>
    <t>% Arabic</t>
  </si>
  <si>
    <t>% German</t>
  </si>
  <si>
    <t>% Spanish</t>
  </si>
  <si>
    <t xml:space="preserve">  ▸ Col</t>
  </si>
  <si>
    <t>Anglais — LV1 (Collège)</t>
  </si>
  <si>
    <t xml:space="preserve">  ▸ Lyc</t>
  </si>
  <si>
    <t>Anglais — LVA (Lycée)</t>
  </si>
  <si>
    <t>Arabe — LV2 (Collège 5e–3e)</t>
  </si>
  <si>
    <t>Arabe — LVB (Lycée)</t>
  </si>
  <si>
    <t>GERMAN LANGUAGE</t>
  </si>
  <si>
    <t>Allemand — LV2 (Collège 5e–3e)</t>
  </si>
  <si>
    <t>Certifié Allemand</t>
  </si>
  <si>
    <t>Allemand — LVB (Lycée)</t>
  </si>
  <si>
    <t>Total Certifié Allemand</t>
  </si>
  <si>
    <t>SPANISH LANGUAGE</t>
  </si>
  <si>
    <t>Espagnol — LV2 (Collège 5e–3e)</t>
  </si>
  <si>
    <t>Certifié Espagnol</t>
  </si>
  <si>
    <t>Espagnol — LVB (Lycée)</t>
  </si>
  <si>
    <t>Total Certifié Espagnol</t>
  </si>
  <si>
    <t>#</t>
  </si>
  <si>
    <t>Last Name</t>
  </si>
  <si>
    <t>First Name</t>
  </si>
  <si>
    <t>Contract Type</t>
  </si>
  <si>
    <t>Function / Role</t>
  </si>
  <si>
    <t>Department</t>
  </si>
  <si>
    <t>Subject / Discipline</t>
  </si>
  <si>
    <t>Status</t>
  </si>
  <si>
    <t>Joining Date</t>
  </si>
  <si>
    <t>YoS</t>
  </si>
  <si>
    <t>Base Salary (SAR)</t>
  </si>
  <si>
    <t>Housing (IL)</t>
  </si>
  <si>
    <t>Transport (IT)</t>
  </si>
  <si>
    <t>Resp. Premium</t>
  </si>
  <si>
    <t>HSA (10m)</t>
  </si>
  <si>
    <t>Monthly Gross (SAR)</t>
  </si>
  <si>
    <t>Hourly %</t>
  </si>
  <si>
    <t>Payment Method</t>
  </si>
  <si>
    <t>ABED</t>
  </si>
  <si>
    <t>Ghina</t>
  </si>
  <si>
    <t>Contrat Local</t>
  </si>
  <si>
    <t>Assistant(e) d'éducation</t>
  </si>
  <si>
    <t>Vie Scolaire &amp; Support</t>
  </si>
  <si>
    <t>Vie scolaire</t>
  </si>
  <si>
    <t>Secondaire</t>
  </si>
  <si>
    <t>Existing</t>
  </si>
  <si>
    <t>Liquide</t>
  </si>
  <si>
    <t>ABID</t>
  </si>
  <si>
    <t>Hamdi</t>
  </si>
  <si>
    <t>Virement</t>
  </si>
  <si>
    <t>ABOU RJEILI</t>
  </si>
  <si>
    <t>Christina</t>
  </si>
  <si>
    <t>ABOUTALEB</t>
  </si>
  <si>
    <t>Hasnae</t>
  </si>
  <si>
    <t>Professeur(e) des écoles</t>
  </si>
  <si>
    <t>Generaliste</t>
  </si>
  <si>
    <t>ABSIL</t>
  </si>
  <si>
    <t>Marie-Savine</t>
  </si>
  <si>
    <t>Nouveau Contrat</t>
  </si>
  <si>
    <t>ACHATOU</t>
  </si>
  <si>
    <t>Nadia</t>
  </si>
  <si>
    <t>Responsable RH</t>
  </si>
  <si>
    <t>Administration</t>
  </si>
  <si>
    <t>Ressources humaines</t>
  </si>
  <si>
    <t>Mudad</t>
  </si>
  <si>
    <t>ADJTOUTAH</t>
  </si>
  <si>
    <t>Anissa</t>
  </si>
  <si>
    <t>AHYOUD</t>
  </si>
  <si>
    <t>Hanan</t>
  </si>
  <si>
    <t>AL JUNDI</t>
  </si>
  <si>
    <t>Tamara</t>
  </si>
  <si>
    <t>Enseignant de langue étrangère</t>
  </si>
  <si>
    <t>Primaire</t>
  </si>
  <si>
    <t>AL NAHED</t>
  </si>
  <si>
    <t>Saliha</t>
  </si>
  <si>
    <t>AL OSSAIMI AL OTAIBI</t>
  </si>
  <si>
    <t>BADR</t>
  </si>
  <si>
    <t>Démarcheur</t>
  </si>
  <si>
    <t>Relations publiques</t>
  </si>
  <si>
    <t>AL SHAKHAA</t>
  </si>
  <si>
    <t>Nada</t>
  </si>
  <si>
    <t>Chargé(e) du programme noor</t>
  </si>
  <si>
    <t>Programme Noor</t>
  </si>
  <si>
    <t>ALAMRI</t>
  </si>
  <si>
    <t>Shalan</t>
  </si>
  <si>
    <t>Chargé(e) des relations publiques</t>
  </si>
  <si>
    <t>ALNACHAR</t>
  </si>
  <si>
    <t>Farah</t>
  </si>
  <si>
    <t>AMANAT</t>
  </si>
  <si>
    <t>Aisha</t>
  </si>
  <si>
    <t>AMRI</t>
  </si>
  <si>
    <t>Kehena</t>
  </si>
  <si>
    <t>Enseignant second degré</t>
  </si>
  <si>
    <t>Collège / Lycée</t>
  </si>
  <si>
    <t>Francais</t>
  </si>
  <si>
    <t>ASSEKOUR</t>
  </si>
  <si>
    <t>Soufiane</t>
  </si>
  <si>
    <t>TBD</t>
  </si>
  <si>
    <t>AYACHI</t>
  </si>
  <si>
    <t>Amen</t>
  </si>
  <si>
    <t>BACHOUR</t>
  </si>
  <si>
    <t>Reem</t>
  </si>
  <si>
    <t>Chantal</t>
  </si>
  <si>
    <t>BALLAN</t>
  </si>
  <si>
    <t>Christiane</t>
  </si>
  <si>
    <t>Enseignant de langue étrangère second degré</t>
  </si>
  <si>
    <t>BASBOUS</t>
  </si>
  <si>
    <t>Carla</t>
  </si>
  <si>
    <t>Arabe (coordinatrice)</t>
  </si>
  <si>
    <t>-3250 (nouveau contrat retraite)</t>
  </si>
  <si>
    <t>BAYDOUN</t>
  </si>
  <si>
    <t>Fayza</t>
  </si>
  <si>
    <t>Assistante de direction</t>
  </si>
  <si>
    <t>Secretariat</t>
  </si>
  <si>
    <t>BELLILA LAOUATI</t>
  </si>
  <si>
    <t>Ilham</t>
  </si>
  <si>
    <t>BEN ABDESSALEM</t>
  </si>
  <si>
    <t>Yousra</t>
  </si>
  <si>
    <t>BEN AMAR</t>
  </si>
  <si>
    <t>Amira</t>
  </si>
  <si>
    <t>BEN FGUIRA</t>
  </si>
  <si>
    <t>Fares</t>
  </si>
  <si>
    <t>Professeur(e) d'EPS</t>
  </si>
  <si>
    <t>BEN HIBA</t>
  </si>
  <si>
    <t>Nesrine</t>
  </si>
  <si>
    <t>Activites periscolaires</t>
  </si>
  <si>
    <t>BEN OTHMAN</t>
  </si>
  <si>
    <t>Noelle</t>
  </si>
  <si>
    <t>Sciences economiques (SES)</t>
  </si>
  <si>
    <t>BEN SMIDA ÉP BEN IDRIS</t>
  </si>
  <si>
    <t>Khadija</t>
  </si>
  <si>
    <t>Mathematiques</t>
  </si>
  <si>
    <t>BENBERNOU</t>
  </si>
  <si>
    <t>Rabia</t>
  </si>
  <si>
    <t>Assistante maternelle</t>
  </si>
  <si>
    <t>BOUGATFA</t>
  </si>
  <si>
    <t>Rim</t>
  </si>
  <si>
    <t>BOUHJAR</t>
  </si>
  <si>
    <t>Fahmi</t>
  </si>
  <si>
    <t>Sciences physiques</t>
  </si>
  <si>
    <t>BOULMANE</t>
  </si>
  <si>
    <t>Lala-Malika</t>
  </si>
  <si>
    <t>Coordinatrice inclusion</t>
  </si>
  <si>
    <t>Inclusion</t>
  </si>
  <si>
    <t>BOURAOUI</t>
  </si>
  <si>
    <t>Nasri</t>
  </si>
  <si>
    <t>BOURSAULT</t>
  </si>
  <si>
    <t>Géraldine</t>
  </si>
  <si>
    <t>BOUSSAID</t>
  </si>
  <si>
    <t>BOUZID</t>
  </si>
  <si>
    <t>Rafahiya</t>
  </si>
  <si>
    <t>BRAX</t>
  </si>
  <si>
    <t>Nathalie</t>
  </si>
  <si>
    <t>BRUNET</t>
  </si>
  <si>
    <t>Clemence</t>
  </si>
  <si>
    <t>BUZIT</t>
  </si>
  <si>
    <t>Cécile</t>
  </si>
  <si>
    <t>Chargée des moyens généraux</t>
  </si>
  <si>
    <t>Moyens generaux</t>
  </si>
  <si>
    <t>CABRERA</t>
  </si>
  <si>
    <t>Victor</t>
  </si>
  <si>
    <t>Espagnol</t>
  </si>
  <si>
    <t>CATRY</t>
  </si>
  <si>
    <t>Vanessa</t>
  </si>
  <si>
    <t>CHAABAN</t>
  </si>
  <si>
    <t>Amani</t>
  </si>
  <si>
    <t>CHABIRAND</t>
  </si>
  <si>
    <t>Estelle</t>
  </si>
  <si>
    <t>CHAIEB</t>
  </si>
  <si>
    <t>Iheb</t>
  </si>
  <si>
    <t>CHARIF</t>
  </si>
  <si>
    <t>Hiba</t>
  </si>
  <si>
    <t>CHAUVET</t>
  </si>
  <si>
    <t>Aurelie</t>
  </si>
  <si>
    <t>CHBEIR</t>
  </si>
  <si>
    <t>Grece</t>
  </si>
  <si>
    <t>CHEBLI</t>
  </si>
  <si>
    <t>Amal</t>
  </si>
  <si>
    <t>CHERFAN</t>
  </si>
  <si>
    <t>Randa</t>
  </si>
  <si>
    <t>CHIKHANI</t>
  </si>
  <si>
    <t>Roula</t>
  </si>
  <si>
    <t>Responsable des moyens généraux</t>
  </si>
  <si>
    <t>CHOUT</t>
  </si>
  <si>
    <t>Valérie</t>
  </si>
  <si>
    <t>FLE</t>
  </si>
  <si>
    <t>CORNETTE</t>
  </si>
  <si>
    <t>Myriem</t>
  </si>
  <si>
    <t>COSSIN ÉP FAYE</t>
  </si>
  <si>
    <t>Maryelle</t>
  </si>
  <si>
    <t>DAOUK</t>
  </si>
  <si>
    <t>Zeina</t>
  </si>
  <si>
    <t>DELLAH</t>
  </si>
  <si>
    <t>Sawssen</t>
  </si>
  <si>
    <t>DIAZ</t>
  </si>
  <si>
    <t>Maud</t>
  </si>
  <si>
    <t>DIOURI</t>
  </si>
  <si>
    <t>DJEBARI</t>
  </si>
  <si>
    <t>Yasmina</t>
  </si>
  <si>
    <t>CPE</t>
  </si>
  <si>
    <t>3000 (changement de poste)</t>
  </si>
  <si>
    <t>DJERAD</t>
  </si>
  <si>
    <t>Islem</t>
  </si>
  <si>
    <t>Responsable informatique</t>
  </si>
  <si>
    <t>Informatique</t>
  </si>
  <si>
    <t>500 (alignement des Resp Admin)</t>
  </si>
  <si>
    <t>DOMLOGE</t>
  </si>
  <si>
    <t>Racha</t>
  </si>
  <si>
    <t>DUMAS</t>
  </si>
  <si>
    <t>Tiphaine</t>
  </si>
  <si>
    <t>EDOUJ</t>
  </si>
  <si>
    <t>Fatima</t>
  </si>
  <si>
    <t>EL BOUFRAHI</t>
  </si>
  <si>
    <t>NAJLAA</t>
  </si>
  <si>
    <t>Infirmière</t>
  </si>
  <si>
    <t>Sante scolaire</t>
  </si>
  <si>
    <t>EL GHAZAL</t>
  </si>
  <si>
    <t>Lina</t>
  </si>
  <si>
    <t>EL KHATIB</t>
  </si>
  <si>
    <t>Ghislaine</t>
  </si>
  <si>
    <t>EL OUAFI</t>
  </si>
  <si>
    <t>Hassan</t>
  </si>
  <si>
    <t>EL OUAHABI/LAHLOU</t>
  </si>
  <si>
    <t>EL SMAILI</t>
  </si>
  <si>
    <t>Laila</t>
  </si>
  <si>
    <t>EZZOUHOURI</t>
  </si>
  <si>
    <t>Sana</t>
  </si>
  <si>
    <t>FERJANI</t>
  </si>
  <si>
    <t>Chokri</t>
  </si>
  <si>
    <t>Chauffeur</t>
  </si>
  <si>
    <t>Transport</t>
  </si>
  <si>
    <t>FESSI</t>
  </si>
  <si>
    <t>Salwa</t>
  </si>
  <si>
    <t>FOUAL</t>
  </si>
  <si>
    <t>Kenza</t>
  </si>
  <si>
    <t>AED Collège / Assistante APS</t>
  </si>
  <si>
    <t>Remplacement</t>
  </si>
  <si>
    <t>FRIGUI</t>
  </si>
  <si>
    <t>Amir</t>
  </si>
  <si>
    <t>GHAZOUANI</t>
  </si>
  <si>
    <t>Slim</t>
  </si>
  <si>
    <t>GRATEAU</t>
  </si>
  <si>
    <t>Michele</t>
  </si>
  <si>
    <t>Bibliothécaire</t>
  </si>
  <si>
    <t>Bibliotheque</t>
  </si>
  <si>
    <t>GRENIER-MERAUD</t>
  </si>
  <si>
    <t>Laetitia</t>
  </si>
  <si>
    <t>HADJ TAIEB</t>
  </si>
  <si>
    <t>Amine</t>
  </si>
  <si>
    <t>Enseignant second degré (55.6%) + Animateur Fab/Lab (42.9%)</t>
  </si>
  <si>
    <t>Collège / Lycée + Vie Scolaire</t>
  </si>
  <si>
    <t>Technologie / SNT</t>
  </si>
  <si>
    <t>250 + 200</t>
  </si>
  <si>
    <t>HAJJEJ</t>
  </si>
  <si>
    <t>Mohamed</t>
  </si>
  <si>
    <t>Référent sécurité</t>
  </si>
  <si>
    <t>Securite</t>
  </si>
  <si>
    <t>2200 (changement de poste)</t>
  </si>
  <si>
    <t>HAMMOUD</t>
  </si>
  <si>
    <t>Noura</t>
  </si>
  <si>
    <t>HARB</t>
  </si>
  <si>
    <t>HIBA</t>
  </si>
  <si>
    <t>HARBI</t>
  </si>
  <si>
    <t>Emna</t>
  </si>
  <si>
    <t>HELOU - SEMAAN</t>
  </si>
  <si>
    <t>Sylvana</t>
  </si>
  <si>
    <t>HEMAYA</t>
  </si>
  <si>
    <t>Loubna</t>
  </si>
  <si>
    <t>Musique</t>
  </si>
  <si>
    <t>HUSSEIN</t>
  </si>
  <si>
    <t>Waad</t>
  </si>
  <si>
    <t>IMRANE</t>
  </si>
  <si>
    <t>Lounes</t>
  </si>
  <si>
    <t>JAMGOSSIAN</t>
  </si>
  <si>
    <t>Anahid-Lydia</t>
  </si>
  <si>
    <t>JEANSON</t>
  </si>
  <si>
    <t>Marianne</t>
  </si>
  <si>
    <t>JEMAA ÉP KHALDI</t>
  </si>
  <si>
    <t>Fatma Chiraz</t>
  </si>
  <si>
    <t>KABBANI</t>
  </si>
  <si>
    <t>KARAM</t>
  </si>
  <si>
    <t>Nadine</t>
  </si>
  <si>
    <t>Chef comptable</t>
  </si>
  <si>
    <t>Comptabilite</t>
  </si>
  <si>
    <t>KARE CHEVALIER</t>
  </si>
  <si>
    <t>Yacine</t>
  </si>
  <si>
    <t>Chargée des frais de scolarité</t>
  </si>
  <si>
    <t>Frais de scolarite</t>
  </si>
  <si>
    <t>KARKAR</t>
  </si>
  <si>
    <t>Assia</t>
  </si>
  <si>
    <t>KERARMA</t>
  </si>
  <si>
    <t>Faiza</t>
  </si>
  <si>
    <t>KHAIRALLAH</t>
  </si>
  <si>
    <t>Joelle</t>
  </si>
  <si>
    <t>KHELIF</t>
  </si>
  <si>
    <t>Jihed</t>
  </si>
  <si>
    <t>KHEMIRI</t>
  </si>
  <si>
    <t>KHODR VANDAMME</t>
  </si>
  <si>
    <t>Claire</t>
  </si>
  <si>
    <t>KIRECHE</t>
  </si>
  <si>
    <t>Asma</t>
  </si>
  <si>
    <t>LABBAN</t>
  </si>
  <si>
    <t>MAGRA</t>
  </si>
  <si>
    <t>Mathematiques (coordinatrice)</t>
  </si>
  <si>
    <t>MAKSOUD</t>
  </si>
  <si>
    <t>MALLY</t>
  </si>
  <si>
    <t>Karima</t>
  </si>
  <si>
    <t>Responsable des frais de scolarité</t>
  </si>
  <si>
    <t>MAMLOUK ÉP DAOUD</t>
  </si>
  <si>
    <t>Arwa</t>
  </si>
  <si>
    <t>Arts plastiques (coordinatrice)</t>
  </si>
  <si>
    <t>MATHLOUTI</t>
  </si>
  <si>
    <t>Sabeur</t>
  </si>
  <si>
    <t>MAURRIC</t>
  </si>
  <si>
    <t>Isabelle</t>
  </si>
  <si>
    <t>MEKNI</t>
  </si>
  <si>
    <t>Mehdi</t>
  </si>
  <si>
    <t>MERHABI</t>
  </si>
  <si>
    <t>Jinane</t>
  </si>
  <si>
    <t>MESSAOUDI</t>
  </si>
  <si>
    <t>Amel</t>
  </si>
  <si>
    <t>MESTO</t>
  </si>
  <si>
    <t>Comptable</t>
  </si>
  <si>
    <t>MIKHAEL</t>
  </si>
  <si>
    <t>Aide laboratoire</t>
  </si>
  <si>
    <t>Laboratoire</t>
  </si>
  <si>
    <t>MONCHIET</t>
  </si>
  <si>
    <t>Daniel</t>
  </si>
  <si>
    <t>Responsable sécurité</t>
  </si>
  <si>
    <t>MOUAATARIF</t>
  </si>
  <si>
    <t>Psychologue scolaire</t>
  </si>
  <si>
    <t>Psychologie scolaire</t>
  </si>
  <si>
    <t>MOURI</t>
  </si>
  <si>
    <t>Farès</t>
  </si>
  <si>
    <t>MOURTAFIA</t>
  </si>
  <si>
    <t>Siham</t>
  </si>
  <si>
    <t>NACCOUR</t>
  </si>
  <si>
    <t>Responsable des inscriptions</t>
  </si>
  <si>
    <t>Inscriptions</t>
  </si>
  <si>
    <t>2250 (alignement des Resp Admin)</t>
  </si>
  <si>
    <t>NAGHAM</t>
  </si>
  <si>
    <t>Mariama</t>
  </si>
  <si>
    <t>NASSAR</t>
  </si>
  <si>
    <t>Maya</t>
  </si>
  <si>
    <t>NICOLAS</t>
  </si>
  <si>
    <t>Armelle</t>
  </si>
  <si>
    <t>Bibliothécaire (50%) + Enseignant second degré (50%)</t>
  </si>
  <si>
    <t>Vie Scolaire + Collège / Lycée</t>
  </si>
  <si>
    <t>Histoire-Géographie / Bibliothèque</t>
  </si>
  <si>
    <t>OBAA ESSOLA</t>
  </si>
  <si>
    <t>Cynthia</t>
  </si>
  <si>
    <t>5800 (changement de poste)</t>
  </si>
  <si>
    <t>PIERRU</t>
  </si>
  <si>
    <t>Documentaliste</t>
  </si>
  <si>
    <t>Documentation / CDI</t>
  </si>
  <si>
    <t>POPULUS</t>
  </si>
  <si>
    <t>QUESNEL</t>
  </si>
  <si>
    <t>Guillaume</t>
  </si>
  <si>
    <t>RAJEH</t>
  </si>
  <si>
    <t>Raya</t>
  </si>
  <si>
    <t>REZGUI</t>
  </si>
  <si>
    <t>Imen</t>
  </si>
  <si>
    <t>Chargée RH</t>
  </si>
  <si>
    <t>RIFFI</t>
  </si>
  <si>
    <t>RIGOLLET</t>
  </si>
  <si>
    <t>Claudelle</t>
  </si>
  <si>
    <t>ROJKOFF</t>
  </si>
  <si>
    <t>Sonia</t>
  </si>
  <si>
    <t>SAAB</t>
  </si>
  <si>
    <t>SAAD</t>
  </si>
  <si>
    <t>May</t>
  </si>
  <si>
    <t>SABRA</t>
  </si>
  <si>
    <t>Dollat</t>
  </si>
  <si>
    <t>SAIDI</t>
  </si>
  <si>
    <t>Naaima</t>
  </si>
  <si>
    <t>Histoire-Geographie</t>
  </si>
  <si>
    <t>SAKR</t>
  </si>
  <si>
    <t>Sally</t>
  </si>
  <si>
    <t>Allemand</t>
  </si>
  <si>
    <t>SALEH</t>
  </si>
  <si>
    <t>Ghinwa</t>
  </si>
  <si>
    <t>SALHI</t>
  </si>
  <si>
    <t>Faten</t>
  </si>
  <si>
    <t>SALIBA</t>
  </si>
  <si>
    <t>Fadia</t>
  </si>
  <si>
    <t>SEMAAN</t>
  </si>
  <si>
    <t>Fabienne</t>
  </si>
  <si>
    <t>SHAWBAH</t>
  </si>
  <si>
    <t>Myriam</t>
  </si>
  <si>
    <t>Anglais (coordinatrice)</t>
  </si>
  <si>
    <t>SOUKIASSIAN</t>
  </si>
  <si>
    <t>Lisa</t>
  </si>
  <si>
    <t>Professeur Documentaliste</t>
  </si>
  <si>
    <t>TEDJANI</t>
  </si>
  <si>
    <t>Hajar</t>
  </si>
  <si>
    <t>TEMAGOULT</t>
  </si>
  <si>
    <t>VAN OORDT</t>
  </si>
  <si>
    <t>Alexandra</t>
  </si>
  <si>
    <t>PDMQDC</t>
  </si>
  <si>
    <t>WALET</t>
  </si>
  <si>
    <t>Ahmedou</t>
  </si>
  <si>
    <t>WALHA</t>
  </si>
  <si>
    <t>Leila</t>
  </si>
  <si>
    <t>YAKHLEF</t>
  </si>
  <si>
    <t>Sabrina</t>
  </si>
  <si>
    <t>YOUNES</t>
  </si>
  <si>
    <t>Youmna</t>
  </si>
  <si>
    <t>ZAFARULLAH</t>
  </si>
  <si>
    <t>Khan</t>
  </si>
  <si>
    <t>Surveillant(e) de baignade</t>
  </si>
  <si>
    <t>Surveillance piscine</t>
  </si>
  <si>
    <t>ZARROUR</t>
  </si>
  <si>
    <t>ZOUBIANE</t>
  </si>
  <si>
    <t>Sarah</t>
  </si>
  <si>
    <t>ZRIBI</t>
  </si>
  <si>
    <t>Boutheina</t>
  </si>
  <si>
    <t>REGNIER</t>
  </si>
  <si>
    <t>Arnaud</t>
  </si>
  <si>
    <t>Titulaire EN</t>
  </si>
  <si>
    <t>Proviseur</t>
  </si>
  <si>
    <t>Direction</t>
  </si>
  <si>
    <t>Direction generale</t>
  </si>
  <si>
    <t>N/A</t>
  </si>
  <si>
    <t>OUFAQUI</t>
  </si>
  <si>
    <t>Fouad</t>
  </si>
  <si>
    <t>Directeur administratif et financier (DAF)</t>
  </si>
  <si>
    <t>Direction financiere</t>
  </si>
  <si>
    <t>Said</t>
  </si>
  <si>
    <t>Proviseur-Adjoint</t>
  </si>
  <si>
    <t>AIT LHADJ</t>
  </si>
  <si>
    <t>Mohand</t>
  </si>
  <si>
    <t>Directeur ecole elementaire</t>
  </si>
  <si>
    <t>Direction pedagogique</t>
  </si>
  <si>
    <t>MARCHIVE</t>
  </si>
  <si>
    <t>Berengere</t>
  </si>
  <si>
    <t>Directrice ecole maternelle</t>
  </si>
  <si>
    <t>ANIN</t>
  </si>
  <si>
    <t>Karine</t>
  </si>
  <si>
    <t>Professeur(e) des ecoles</t>
  </si>
  <si>
    <t>LIEGE-ORVILLE</t>
  </si>
  <si>
    <t>BEN ABDELLAH</t>
  </si>
  <si>
    <t>Youcef</t>
  </si>
  <si>
    <t>COURSAULT</t>
  </si>
  <si>
    <t>Celine</t>
  </si>
  <si>
    <t>FIGUA</t>
  </si>
  <si>
    <t>HENNI</t>
  </si>
  <si>
    <t>Virginie</t>
  </si>
  <si>
    <t>Yann</t>
  </si>
  <si>
    <t>Enseignant second degre</t>
  </si>
  <si>
    <t>CARATCHIAN</t>
  </si>
  <si>
    <t>Serge</t>
  </si>
  <si>
    <t>DAUPHIN</t>
  </si>
  <si>
    <t>Marie</t>
  </si>
  <si>
    <t>Kahena</t>
  </si>
  <si>
    <t>Francais (coordinatrice)</t>
  </si>
  <si>
    <t>Sciences physiques (coordinateur)</t>
  </si>
  <si>
    <t>Ahmed</t>
  </si>
  <si>
    <t>Technologie / SNT (coordinateur)</t>
  </si>
  <si>
    <t>GOUDEZEUNE</t>
  </si>
  <si>
    <t>Stephane</t>
  </si>
  <si>
    <t>HAFIDI</t>
  </si>
  <si>
    <t>Malika</t>
  </si>
  <si>
    <t>HASSAN</t>
  </si>
  <si>
    <t>Enseignant de langue etrangere second degre</t>
  </si>
  <si>
    <t>Espagnol (coordinateur)</t>
  </si>
  <si>
    <t>HU</t>
  </si>
  <si>
    <t>Gregory</t>
  </si>
  <si>
    <t>Sciences eco. (SES) (coordinateur)</t>
  </si>
  <si>
    <t>LEFEVERE</t>
  </si>
  <si>
    <t>Marc</t>
  </si>
  <si>
    <t>Mathematiques (coordinateur)</t>
  </si>
  <si>
    <t>MASSIN</t>
  </si>
  <si>
    <t>Anais</t>
  </si>
  <si>
    <t>SVT (coordinatrice)</t>
  </si>
  <si>
    <t>THIONEL</t>
  </si>
  <si>
    <t>Riad</t>
  </si>
  <si>
    <t>Histoire-Geo (coordinateur)</t>
  </si>
  <si>
    <t>HEADCOUNT SUMMARY</t>
  </si>
  <si>
    <t>EFIR — Staff Master Data FY2025-2026</t>
  </si>
  <si>
    <t>Teacher / Non-Teacher</t>
  </si>
  <si>
    <t>Non-Teacher</t>
  </si>
  <si>
    <t>Teacher</t>
  </si>
  <si>
    <t>Count</t>
  </si>
  <si>
    <t>Total Active Staff</t>
  </si>
  <si>
    <t>Enseignant Arabe</t>
  </si>
  <si>
    <t>Certifié EMC</t>
  </si>
  <si>
    <t>EMC</t>
  </si>
  <si>
    <t>TOTAL</t>
  </si>
  <si>
    <t>Block</t>
  </si>
  <si>
    <t>Collège/Lycée</t>
  </si>
  <si>
    <t>Total Supply</t>
  </si>
  <si>
    <t>Gap / Surplus</t>
  </si>
  <si>
    <t>Action</t>
  </si>
  <si>
    <t>HSA</t>
  </si>
  <si>
    <t>Nationality</t>
  </si>
  <si>
    <t>EFIR — Staff Costs Budget Assumptions</t>
  </si>
  <si>
    <t>GENERAL PARAMETERS</t>
  </si>
  <si>
    <t>Budget Year</t>
  </si>
  <si>
    <t>Calendar year for budget</t>
  </si>
  <si>
    <t>Salary Increase Effective Month</t>
  </si>
  <si>
    <t>9 = September</t>
  </si>
  <si>
    <t>Seniority Threshold (years)</t>
  </si>
  <si>
    <t>&gt;1 year as of Sep 1 to qualify for increase</t>
  </si>
  <si>
    <t>Budget Start Date</t>
  </si>
  <si>
    <t>Auto-calculated</t>
  </si>
  <si>
    <t>Budget End Date</t>
  </si>
  <si>
    <t>Increase Effective Date</t>
  </si>
  <si>
    <t>GOSI RATES</t>
  </si>
  <si>
    <t>Employer Rate — Saudi</t>
  </si>
  <si>
    <t>9% pension + 2% OccHaz + 0.75% SANED</t>
  </si>
  <si>
    <t>Employer Rate — Non-Saudi</t>
  </si>
  <si>
    <t>0% — Ajeer/dependent workers exempt</t>
  </si>
  <si>
    <t>GOSI Salary Cap (monthly)</t>
  </si>
  <si>
    <t>Max base for GOSI calculation</t>
  </si>
  <si>
    <t>GOSI Basis</t>
  </si>
  <si>
    <t>Base + Housing</t>
  </si>
  <si>
    <t>Components subject to GOSI</t>
  </si>
  <si>
    <t>END OF SERVICE (EoS)</t>
  </si>
  <si>
    <t>Rate — First 5 years (months/year)</t>
  </si>
  <si>
    <t>0.5 month salary per year of service</t>
  </si>
  <si>
    <t>Rate — After 5 years (months/year)</t>
  </si>
  <si>
    <t>1 month salary per year of service</t>
  </si>
  <si>
    <t>YoS Threshold (years)</t>
  </si>
  <si>
    <t>Tier breakpoint</t>
  </si>
  <si>
    <t>EoS Basis</t>
  </si>
  <si>
    <t>Full Monthly Gross</t>
  </si>
  <si>
    <t>Base+Housing+Transport+Premium+HSA</t>
  </si>
  <si>
    <t>AJEER COSTS</t>
  </si>
  <si>
    <t>Annual Ajeer Fee per Worker (incl. VAT)</t>
  </si>
  <si>
    <t>SAR 10,925/year — dependent education permit</t>
  </si>
  <si>
    <t>Monthly Ajeer Fee per Worker</t>
  </si>
  <si>
    <t>HEADCOUNT (auto-calculated)</t>
  </si>
  <si>
    <t>Total Contrat Local</t>
  </si>
  <si>
    <t>Auto from Master Data</t>
  </si>
  <si>
    <t>Saudi Employees</t>
  </si>
  <si>
    <t>Non-Saudi Employees (Ajeer)</t>
  </si>
  <si>
    <t>FY2026 Total</t>
  </si>
  <si>
    <t>Eff. Base</t>
  </si>
  <si>
    <t>Mth Gross</t>
  </si>
  <si>
    <t>Cumul EoS</t>
  </si>
  <si>
    <t>GOSI</t>
  </si>
  <si>
    <t>Ajeer</t>
  </si>
  <si>
    <t>FY Base</t>
  </si>
  <si>
    <t>FY Gross</t>
  </si>
  <si>
    <t>FY EoS Prov</t>
  </si>
  <si>
    <t>FY GOSI</t>
  </si>
  <si>
    <t>FY Ajeer</t>
  </si>
  <si>
    <t>EFIR — Monthly Staff Costs Budget FY2026</t>
  </si>
  <si>
    <t>Cost Component</t>
  </si>
  <si>
    <t>A. LOCAL STAFF SALARIES</t>
  </si>
  <si>
    <t>TOTAL LOCAL STAFF SALARIES (A)</t>
  </si>
  <si>
    <t>TOTAL ADDITIONAL STAFF COSTS (B)</t>
  </si>
  <si>
    <t>C. EMPLOYER CHARGES &amp; REGULATORY COSTS</t>
  </si>
  <si>
    <t xml:space="preserve">  GOSI — Saudi Employees Only</t>
  </si>
  <si>
    <t xml:space="preserve">  End of Service Provision</t>
  </si>
  <si>
    <t>TOTAL EMPLOYER CHARGES (C)</t>
  </si>
  <si>
    <t>Contract Status</t>
  </si>
  <si>
    <t>Permanent</t>
  </si>
  <si>
    <t>RIBGOU</t>
  </si>
  <si>
    <t>AZZEDINE LETTELIER</t>
  </si>
  <si>
    <t>Wacila</t>
  </si>
  <si>
    <t>Coordinatrice APS</t>
  </si>
  <si>
    <t>Non-Saudi</t>
  </si>
  <si>
    <t>HAJAIEJ</t>
  </si>
  <si>
    <t>Mohamed Amine</t>
  </si>
  <si>
    <t>Assistant pédagogique EPS/APS</t>
  </si>
  <si>
    <t>EPS / APS</t>
  </si>
  <si>
    <t>JUNCKER FORT</t>
  </si>
  <si>
    <t>Capucine</t>
  </si>
  <si>
    <t>MANSOUR</t>
  </si>
  <si>
    <t>Dana</t>
  </si>
  <si>
    <t>Replacement</t>
  </si>
  <si>
    <t>RAAD</t>
  </si>
  <si>
    <t>Abir</t>
  </si>
  <si>
    <t>SELLALI</t>
  </si>
  <si>
    <t>Ilhame</t>
  </si>
  <si>
    <t>ZERDAZI</t>
  </si>
  <si>
    <t>Chargée de communication</t>
  </si>
  <si>
    <t>Communication</t>
  </si>
  <si>
    <t>Active: 186 (160 Local + 26 AEFE) | Departed: 7 | Total rows: 193 | Currency: SAR | Updated: Feb 2026 payroll reconciliation</t>
  </si>
  <si>
    <t>AED primaire</t>
  </si>
  <si>
    <t>Increase</t>
  </si>
  <si>
    <t>AEFE</t>
  </si>
  <si>
    <t>Calc Engine — Per-Employee Monthly Calculations (auto-generated)</t>
  </si>
  <si>
    <t>Do not edit — all formulas driven from Master Data columns &amp; Assumptions</t>
  </si>
  <si>
    <t xml:space="preserve">  Base Salaries (Existing Staff)</t>
  </si>
  <si>
    <t xml:space="preserve">  Housing Allowance IL (Existing)</t>
  </si>
  <si>
    <t xml:space="preserve">  Transport Allowance IT (Existing)</t>
  </si>
  <si>
    <t xml:space="preserve">  Responsibility Premium (Existing)</t>
  </si>
  <si>
    <t xml:space="preserve">  HSA Overtime (Existing)</t>
  </si>
  <si>
    <t xml:space="preserve">  Subtotal Existing Staff</t>
  </si>
  <si>
    <t>B. ADDITIONAL STAFF COSTS</t>
  </si>
  <si>
    <t xml:space="preserve">  Contrats Locaux Remplacements</t>
  </si>
  <si>
    <t xml:space="preserve">  Contrats Locaux 1% Masse Salariale (Form. Continue)</t>
  </si>
  <si>
    <t xml:space="preserve">  Résidents Salaires</t>
  </si>
  <si>
    <t xml:space="preserve">  Pension Contribution (35% share)</t>
  </si>
  <si>
    <t xml:space="preserve">  Résidents Logement &amp; Billets Avion</t>
  </si>
  <si>
    <t xml:space="preserve">  Ajeer Costs — Existing Workers (160)</t>
  </si>
  <si>
    <t xml:space="preserve">  Garderie Salaries</t>
  </si>
  <si>
    <t xml:space="preserve">  APS Salaries</t>
  </si>
  <si>
    <t xml:space="preserve">  Dépense Études Dirigées</t>
  </si>
  <si>
    <t xml:space="preserve">  Prime</t>
  </si>
  <si>
    <t>FY2025 Actual</t>
  </si>
  <si>
    <t>FY2024 Actual</t>
  </si>
  <si>
    <t>D. MONTHLY HEADCOUNT BY CATEGORY</t>
  </si>
  <si>
    <t>Teachers</t>
  </si>
  <si>
    <t xml:space="preserve">  Maternelle</t>
  </si>
  <si>
    <t xml:space="preserve">  Élémentaire</t>
  </si>
  <si>
    <t xml:space="preserve">  Collège / Lycée</t>
  </si>
  <si>
    <t xml:space="preserve">  TBD / Unassigned</t>
  </si>
  <si>
    <t>Subtotal Teachers</t>
  </si>
  <si>
    <t>Non-Teachers</t>
  </si>
  <si>
    <t xml:space="preserve">  Administration &amp; Support</t>
  </si>
  <si>
    <t>Subtotal Non-Teachers</t>
  </si>
  <si>
    <t>TOTAL HEADCOUNT</t>
  </si>
  <si>
    <t>FY2026 Avg</t>
  </si>
  <si>
    <t>Budget V6</t>
  </si>
  <si>
    <t xml:space="preserve">  Formation Personnel Administratif</t>
  </si>
  <si>
    <t>NEW POSITIONS</t>
  </si>
  <si>
    <t>New Positions Start Month</t>
  </si>
  <si>
    <t>9 = September — change to shift all new position costs</t>
  </si>
  <si>
    <t>New Positions Start Date</t>
  </si>
  <si>
    <t>Position</t>
  </si>
  <si>
    <t>Monthly Gross</t>
  </si>
  <si>
    <t>Base Salary</t>
  </si>
  <si>
    <t>IL (Housing)</t>
  </si>
  <si>
    <t>IT (Transport)</t>
  </si>
  <si>
    <t>FY Cost</t>
  </si>
  <si>
    <t>Infirmière (1/2 temps)</t>
  </si>
  <si>
    <t>Administratif RH</t>
  </si>
  <si>
    <t>Administratif Odoo</t>
  </si>
  <si>
    <t>Administratif MG</t>
  </si>
  <si>
    <t>Administratif Technicien IT</t>
  </si>
  <si>
    <t>Administratif Inscription</t>
  </si>
  <si>
    <t>TOTAL NEW POSITIONS</t>
  </si>
  <si>
    <t>CALCULATED OUTPUTS</t>
  </si>
  <si>
    <t>Number of New Positions</t>
  </si>
  <si>
    <t>Auto-counted from table above</t>
  </si>
  <si>
    <t>FY Months Active</t>
  </si>
  <si>
    <t>Months from start month to Dec</t>
  </si>
  <si>
    <t>Total Monthly Gross (all new)</t>
  </si>
  <si>
    <t>Sum of all new positions monthly gross</t>
  </si>
  <si>
    <t>Monthly EoS Accrual (new positions)</t>
  </si>
  <si>
    <t>Gross × 0.5 mo/yr ÷ 12 (all &lt;5 yrs)</t>
  </si>
  <si>
    <t>Monthly Ajeer Cost (new positions)</t>
  </si>
  <si>
    <t>Count × monthly Ajeer fee per worker</t>
  </si>
  <si>
    <t>E. NEW POSITIONS COSTS (Dynamic Start)</t>
  </si>
  <si>
    <t xml:space="preserve">  Gross Salaries — New Positions</t>
  </si>
  <si>
    <t xml:space="preserve">  EoS Provision — New Positions</t>
  </si>
  <si>
    <t xml:space="preserve">  Ajeer Costs — New Positions</t>
  </si>
  <si>
    <t>TOTAL NEW POSITIONS COST (E)</t>
  </si>
  <si>
    <t>GRAND TOTAL STAFF COSTS (A + B + C + E)</t>
  </si>
  <si>
    <t>New Positions (from Assumptions)</t>
  </si>
  <si>
    <t xml:space="preserve">  New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</si>
</sst>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.0"/>
    <numFmt numFmtId="166" formatCode="yyyy\-mm\-dd"/>
    <numFmt numFmtId="167" formatCode="0.0%"/>
    <numFmt numFmtId="168" formatCode="0;\-0;\-"/>
    <numFmt numFmtId="169" formatCode="0;\-0;&quot;-&quot;"/>
  </numFmts>
  <fonts count="7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rgb="FFFFFFFF"/>
      <name val="Aptos Narrow"/>
      <family val="2"/>
      <scheme val="minor"/>
    </font>
    <font>
      <b/>
      <i/>
      <sz val="9"/>
      <color rgb="FF80808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12"/>
      <color rgb="FF1F4E79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0000FF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FFFFFF"/>
      <name val="Aptos Narrow"/>
      <scheme val="minor"/>
    </font>
    <font>
      <b/>
      <sz val="12"/>
      <color rgb="FF0000FF"/>
      <name val="Aptos Narrow"/>
      <scheme val="minor"/>
    </font>
    <font>
      <sz val="12"/>
      <color rgb="FF333333"/>
      <name val="Aptos Narrow"/>
      <scheme val="minor"/>
    </font>
    <font>
      <i/>
      <sz val="12"/>
      <color rgb="FF595959"/>
      <name val="Aptos Narrow"/>
      <scheme val="minor"/>
    </font>
    <font>
      <i/>
      <sz val="10"/>
      <color rgb="FF4472C4"/>
      <name val="Aptos Narrow"/>
      <scheme val="minor"/>
    </font>
    <font>
      <b/>
      <i/>
      <sz val="11"/>
      <color rgb="FFFFFFFF"/>
      <name val="Aptos Narrow"/>
      <scheme val="minor"/>
    </font>
    <font>
      <b/>
      <sz val="11"/>
      <color rgb="FFFFFFFF"/>
      <name val="Aptos Narrow"/>
      <scheme val="minor"/>
    </font>
    <font>
      <i/>
      <sz val="12"/>
      <color rgb="FF808080"/>
      <name val="Aptos Narrow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color rgb="FF1F4E79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i/>
      <sz val="10"/>
      <color rgb="FF595959"/>
      <name val="Aptos Narrow"/>
      <scheme val="minor"/>
    </font>
    <font>
      <b/>
      <i/>
      <sz val="10"/>
      <color rgb="FF595959"/>
      <name val="Aptos Narrow"/>
      <scheme val="minor"/>
    </font>
    <font>
      <b/>
      <sz val="10"/>
      <color rgb="FFFFFFFF"/>
      <name val="Aptos Narrow"/>
      <scheme val="minor"/>
    </font>
    <font>
      <b/>
      <sz val="10"/>
      <color rgb="FF1F4E79"/>
      <name val="Aptos Narrow"/>
      <scheme val="minor"/>
    </font>
    <font>
      <sz val="10"/>
      <color theme="1"/>
      <name val="Aptos Narrow"/>
      <scheme val="minor"/>
    </font>
    <font>
      <b/>
      <i/>
      <sz val="10"/>
      <color rgb="FFFFFFFF"/>
      <name val="Aptos Narrow"/>
      <scheme val="minor"/>
    </font>
    <font>
      <i/>
      <sz val="10"/>
      <color theme="1"/>
      <name val="Aptos Narrow"/>
      <scheme val="minor"/>
    </font>
    <font>
      <sz val="10"/>
      <color rgb="FF333333"/>
      <name val="Aptos Narrow"/>
      <scheme val="minor"/>
    </font>
    <font>
      <b/>
      <sz val="12"/>
      <color rgb="FF333333"/>
      <name val="Aptos Narrow"/>
      <scheme val="minor"/>
    </font>
    <font>
      <i/>
      <sz val="10"/>
      <color rgb="FF555555"/>
      <name val="Aptos Narrow"/>
      <scheme val="minor"/>
    </font>
    <font>
      <b/>
      <sz val="10"/>
      <color rgb="FF333333"/>
      <name val="Aptos Narrow"/>
      <scheme val="minor"/>
    </font>
    <font>
      <b/>
      <sz val="12"/>
      <color rgb="FF1B5E20"/>
      <name val="Aptos Narrow"/>
      <scheme val="minor"/>
    </font>
    <font>
      <b/>
      <i/>
      <sz val="10"/>
      <color rgb="FF555555"/>
      <name val="Aptos Narrow"/>
      <scheme val="minor"/>
    </font>
    <font>
      <b/>
      <sz val="10"/>
      <color rgb="FF1B5E20"/>
      <name val="Aptos Narrow"/>
      <scheme val="minor"/>
    </font>
    <font>
      <sz val="10"/>
      <color rgb="FF000000"/>
      <name val="Aptos Narrow"/>
      <scheme val="minor"/>
    </font>
    <font>
      <b/>
      <sz val="10"/>
      <color theme="1"/>
      <name val="Aptos Narrow"/>
      <scheme val="minor"/>
    </font>
    <font>
      <i/>
      <sz val="9"/>
      <color rgb="FF2D5F8A"/>
      <name val="Aptos Narrow"/>
      <scheme val="minor"/>
    </font>
    <font>
      <i/>
      <sz val="9"/>
      <color rgb="FF8B4513"/>
      <name val="Aptos Narrow"/>
      <scheme val="minor"/>
    </font>
    <font>
      <sz val="10"/>
      <color rgb="FF8B4513"/>
      <name val="Aptos Narrow"/>
      <scheme val="minor"/>
    </font>
    <font>
      <b/>
      <i/>
      <sz val="9"/>
      <color rgb="FF1F4E79"/>
      <name val="Aptos Narrow"/>
      <scheme val="minor"/>
    </font>
    <font>
      <b/>
      <i/>
      <sz val="9"/>
      <color rgb="FF8B4513"/>
      <name val="Aptos Narrow"/>
      <scheme val="minor"/>
    </font>
    <font>
      <b/>
      <sz val="10"/>
      <color rgb="FF8B4513"/>
      <name val="Aptos Narrow"/>
      <scheme val="minor"/>
    </font>
    <font>
      <b/>
      <sz val="14"/>
      <color rgb="FF1F4E79"/>
      <name val="Aptos Narrow"/>
      <scheme val="minor"/>
    </font>
    <font>
      <i/>
      <sz val="10"/>
      <color rgb="FF808080"/>
      <name val="Aptos Narrow"/>
      <scheme val="minor"/>
    </font>
    <font>
      <b/>
      <sz val="11"/>
      <color rgb="FF1B2A4A"/>
      <name val="Aptos Narrow"/>
      <scheme val="minor"/>
    </font>
    <font>
      <b/>
      <sz val="11"/>
      <color rgb="FF3D6B21"/>
      <name val="Aptos Narrow"/>
      <scheme val="minor"/>
    </font>
    <font>
      <b/>
      <sz val="12"/>
      <color rgb="FF3D6B21"/>
      <name val="Aptos Narrow"/>
      <scheme val="minor"/>
    </font>
    <font>
      <b/>
      <sz val="10"/>
      <color rgb="FF000000"/>
      <name val="Aptos Narrow"/>
      <scheme val="minor"/>
    </font>
    <font>
      <b/>
      <i/>
      <sz val="10"/>
      <color rgb="FF1B5E20"/>
      <name val="Aptos Narrow"/>
      <scheme val="minor"/>
    </font>
    <font>
      <b/>
      <i/>
      <sz val="10"/>
      <color rgb="FF333333"/>
      <name val="Aptos Narrow"/>
      <scheme val="minor"/>
    </font>
    <font>
      <b/>
      <i/>
      <sz val="10"/>
      <color rgb="FF000000"/>
      <name val="Aptos Narrow"/>
      <scheme val="minor"/>
    </font>
    <font>
      <i/>
      <sz val="9"/>
      <color rgb="FF595959"/>
      <name val="Aptos Narrow"/>
      <family val="2"/>
      <scheme val="minor"/>
    </font>
    <font>
      <sz val="10"/>
      <color theme="1"/>
      <name val="Calibri"/>
      <family val="2"/>
    </font>
    <font>
      <sz val="10"/>
      <color rgb="FF757575"/>
      <name val="Calibri"/>
      <family val="2"/>
    </font>
    <font>
      <b/>
      <sz val="10"/>
      <color rgb="FF1565C0"/>
      <name val="Calibri"/>
      <family val="2"/>
    </font>
    <font>
      <sz val="10"/>
      <color rgb="FFE65100"/>
      <name val="Calibri"/>
      <family val="2"/>
    </font>
    <font>
      <b/>
      <sz val="12"/>
      <color rgb="FF1565C0"/>
      <name val="Aptos Narrow"/>
      <family val="2"/>
      <scheme val="minor"/>
    </font>
    <font>
      <b/>
      <sz val="10"/>
      <color theme="1"/>
      <name val="Calibri"/>
      <family val="2"/>
    </font>
    <font>
      <sz val="10"/>
      <color rgb="FF4A148C"/>
      <name val="Calibri"/>
      <family val="2"/>
    </font>
    <font>
      <sz val="10"/>
      <color rgb="FF000000"/>
      <name val="Calibri"/>
      <family val="2"/>
    </font>
    <font>
      <b/>
      <sz val="8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ADCF8"/>
      </patternFill>
    </fill>
    <fill>
      <patternFill patternType="solid">
        <fgColor rgb="FFE0E7EF"/>
        <bgColor indexed="64"/>
      </patternFill>
    </fill>
    <fill>
      <patternFill patternType="solid">
        <fgColor rgb="FF2D5F8A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3A7BBF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EFF5E7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DDE8D6"/>
        <bgColor indexed="64"/>
      </patternFill>
    </fill>
    <fill>
      <patternFill patternType="solid">
        <fgColor rgb="FFFFF5EC"/>
        <bgColor indexed="64"/>
      </patternFill>
    </fill>
    <fill>
      <patternFill patternType="solid">
        <fgColor rgb="FF5B8C3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E0D0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0D3259"/>
        <bgColor indexed="64"/>
      </patternFill>
    </fill>
    <fill>
      <patternFill patternType="solid">
        <fgColor rgb="FF2F5496"/>
        <bgColor indexed="64"/>
      </patternFill>
    </fill>
  </fills>
  <borders count="65">
    <border>
      <left/>
      <right/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1B2A4A"/>
      </top>
      <bottom/>
      <diagonal/>
    </border>
    <border>
      <left/>
      <right/>
      <top style="thin">
        <color rgb="FF1B2A4A"/>
      </top>
      <bottom style="thin">
        <color rgb="FF1B2A4A"/>
      </bottom>
      <diagonal/>
    </border>
    <border>
      <left/>
      <right style="thin">
        <color rgb="FFBFBFBF"/>
      </right>
      <top/>
      <bottom style="thin">
        <color rgb="FF1B2A4A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1B2A4A"/>
      </top>
      <bottom/>
      <diagonal/>
    </border>
    <border>
      <left/>
      <right style="thin">
        <color rgb="FFBFBFBF"/>
      </right>
      <top style="thin">
        <color rgb="FF1B2A4A"/>
      </top>
      <bottom style="thin">
        <color rgb="FF1B2A4A"/>
      </bottom>
      <diagonal/>
    </border>
    <border>
      <left/>
      <right style="thin">
        <color rgb="FFBFBFBF"/>
      </right>
      <top style="thin">
        <color rgb="FFE0E0E0"/>
      </top>
      <bottom/>
      <diagonal/>
    </border>
    <border>
      <left style="medium">
        <color rgb="FF5B8C3E"/>
      </left>
      <right/>
      <top/>
      <bottom style="thin">
        <color rgb="FF1B2A4A"/>
      </bottom>
      <diagonal/>
    </border>
    <border>
      <left style="medium">
        <color rgb="FF5B8C3E"/>
      </left>
      <right/>
      <top/>
      <bottom/>
      <diagonal/>
    </border>
    <border>
      <left style="medium">
        <color rgb="FF5B8C3E"/>
      </left>
      <right/>
      <top style="thin">
        <color rgb="FF1B2A4A"/>
      </top>
      <bottom/>
      <diagonal/>
    </border>
    <border>
      <left style="medium">
        <color rgb="FF5B8C3E"/>
      </left>
      <right/>
      <top style="thin">
        <color rgb="FF1B2A4A"/>
      </top>
      <bottom style="thin">
        <color rgb="FF1B2A4A"/>
      </bottom>
      <diagonal/>
    </border>
    <border>
      <left style="medium">
        <color rgb="FF5B8C3E"/>
      </left>
      <right/>
      <top style="thin">
        <color rgb="FFE0E0E0"/>
      </top>
      <bottom/>
      <diagonal/>
    </border>
    <border>
      <left/>
      <right style="thin">
        <color rgb="FFD0D0D0"/>
      </right>
      <top/>
      <bottom style="thin">
        <color rgb="FF1B2A4A"/>
      </bottom>
      <diagonal/>
    </border>
    <border>
      <left/>
      <right style="thin">
        <color rgb="FFD0D0D0"/>
      </right>
      <top/>
      <bottom/>
      <diagonal/>
    </border>
    <border>
      <left/>
      <right style="thin">
        <color rgb="FFD0D0D0"/>
      </right>
      <top style="thin">
        <color rgb="FF1B2A4A"/>
      </top>
      <bottom/>
      <diagonal/>
    </border>
    <border>
      <left/>
      <right style="thin">
        <color rgb="FFD0D0D0"/>
      </right>
      <top style="thin">
        <color rgb="FF1B2A4A"/>
      </top>
      <bottom style="thin">
        <color rgb="FF1B2A4A"/>
      </bottom>
      <diagonal/>
    </border>
    <border>
      <left/>
      <right style="thin">
        <color rgb="FFD0D0D0"/>
      </right>
      <top style="thin">
        <color rgb="FFE0E0E0"/>
      </top>
      <bottom/>
      <diagonal/>
    </border>
    <border>
      <left/>
      <right/>
      <top/>
      <bottom style="thin">
        <color rgb="FF1B2A4A"/>
      </bottom>
      <diagonal/>
    </border>
    <border>
      <left/>
      <right/>
      <top style="medium">
        <color rgb="FF1B2A4A"/>
      </top>
      <bottom style="medium">
        <color rgb="FF2D5F8A"/>
      </bottom>
      <diagonal/>
    </border>
    <border>
      <left/>
      <right style="thin">
        <color rgb="FFBFBFBF"/>
      </right>
      <top style="medium">
        <color rgb="FF1B2A4A"/>
      </top>
      <bottom style="medium">
        <color rgb="FF2D5F8A"/>
      </bottom>
      <diagonal/>
    </border>
    <border>
      <left/>
      <right style="thin">
        <color rgb="FFD0D0D0"/>
      </right>
      <top style="medium">
        <color rgb="FF1B2A4A"/>
      </top>
      <bottom style="medium">
        <color rgb="FF2D5F8A"/>
      </bottom>
      <diagonal/>
    </border>
    <border>
      <left style="medium">
        <color rgb="FF5B8C3E"/>
      </left>
      <right/>
      <top style="medium">
        <color rgb="FF1B2A4A"/>
      </top>
      <bottom style="medium">
        <color rgb="FF2D5F8A"/>
      </bottom>
      <diagonal/>
    </border>
    <border>
      <left/>
      <right style="thin">
        <color rgb="FFD0D0D0"/>
      </right>
      <top style="medium">
        <color rgb="FF1B2A4A"/>
      </top>
      <bottom style="medium">
        <color rgb="FF1B2A4A"/>
      </bottom>
      <diagonal/>
    </border>
    <border>
      <left/>
      <right/>
      <top style="medium">
        <color rgb="FF1B2A4A"/>
      </top>
      <bottom/>
      <diagonal/>
    </border>
    <border>
      <left/>
      <right style="thin">
        <color rgb="FFBFBFBF"/>
      </right>
      <top style="medium">
        <color rgb="FF1B2A4A"/>
      </top>
      <bottom/>
      <diagonal/>
    </border>
    <border>
      <left/>
      <right style="thin">
        <color rgb="FFD0D0D0"/>
      </right>
      <top style="medium">
        <color rgb="FF1B2A4A"/>
      </top>
      <bottom/>
      <diagonal/>
    </border>
    <border>
      <left style="medium">
        <color rgb="FF5B8C3E"/>
      </left>
      <right/>
      <top style="medium">
        <color rgb="FF1B2A4A"/>
      </top>
      <bottom/>
      <diagonal/>
    </border>
    <border>
      <left/>
      <right/>
      <top style="thin">
        <color rgb="FFE0E0E0"/>
      </top>
      <bottom style="medium">
        <color rgb="FF1B2A4A"/>
      </bottom>
      <diagonal/>
    </border>
    <border>
      <left/>
      <right style="thin">
        <color rgb="FFBFBFBF"/>
      </right>
      <top style="thin">
        <color rgb="FFE0E0E0"/>
      </top>
      <bottom style="medium">
        <color rgb="FF1B2A4A"/>
      </bottom>
      <diagonal/>
    </border>
    <border>
      <left/>
      <right style="thin">
        <color rgb="FFD0D0D0"/>
      </right>
      <top style="thin">
        <color rgb="FFE0E0E0"/>
      </top>
      <bottom style="medium">
        <color rgb="FF1B2A4A"/>
      </bottom>
      <diagonal/>
    </border>
    <border>
      <left style="medium">
        <color rgb="FF5B8C3E"/>
      </left>
      <right/>
      <top style="thin">
        <color rgb="FFE0E0E0"/>
      </top>
      <bottom style="medium">
        <color rgb="FF1B2A4A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double">
        <color auto="1"/>
      </bottom>
      <diagonal/>
    </border>
    <border>
      <left style="medium">
        <color rgb="FF1B2A4A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1B2A4A"/>
      </left>
      <right style="thin">
        <color rgb="FFD0D0D0"/>
      </right>
      <top/>
      <bottom style="thin">
        <color rgb="FFD0D0D0"/>
      </bottom>
      <diagonal/>
    </border>
    <border>
      <left style="medium">
        <color rgb="FF1B2A4A"/>
      </left>
      <right style="thin">
        <color rgb="FFD0D0D0"/>
      </right>
      <top style="medium">
        <color rgb="FF1B2A4A"/>
      </top>
      <bottom style="medium">
        <color rgb="FF1B2A4A"/>
      </bottom>
      <diagonal/>
    </border>
    <border>
      <left style="thin">
        <color rgb="FFD0D0D0"/>
      </left>
      <right style="thin">
        <color rgb="FFD0D0D0"/>
      </right>
      <top style="medium">
        <color rgb="FF1B2A4A"/>
      </top>
      <bottom style="medium">
        <color rgb="FF1B2A4A"/>
      </bottom>
      <diagonal/>
    </border>
    <border>
      <left style="thin">
        <color rgb="FFD0D0D0"/>
      </left>
      <right style="medium">
        <color rgb="FF1B2A4A"/>
      </right>
      <top style="medium">
        <color rgb="FF1B2A4A"/>
      </top>
      <bottom style="medium">
        <color rgb="FF1B2A4A"/>
      </bottom>
      <diagonal/>
    </border>
    <border>
      <left style="medium">
        <color rgb="FF1B2A4A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medium">
        <color rgb="FF1B2A4A"/>
      </right>
      <top style="thin">
        <color rgb="FFD0D0D0"/>
      </top>
      <bottom/>
      <diagonal/>
    </border>
    <border>
      <left style="thin">
        <color rgb="FFD0D0D0"/>
      </left>
      <right/>
      <top style="medium">
        <color rgb="FF1B2A4A"/>
      </top>
      <bottom style="medium">
        <color rgb="FF1B2A4A"/>
      </bottom>
      <diagonal/>
    </border>
    <border>
      <left style="thin">
        <color rgb="FFD0D0D0"/>
      </left>
      <right style="medium">
        <color rgb="FF1B2A4A"/>
      </right>
      <top style="medium">
        <color rgb="FF1B2A4A"/>
      </top>
      <bottom/>
      <diagonal/>
    </border>
    <border>
      <left style="thin">
        <color rgb="FFD0D0D0"/>
      </left>
      <right style="medium">
        <color rgb="FF1B2A4A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9D9D9"/>
      </left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30" fillId="0" borderId="0"/>
  </cellStyleXfs>
  <cellXfs count="433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5" borderId="0" xfId="0" applyFont="1" applyFill="1"/>
    <xf numFmtId="0" fontId="0" fillId="5" borderId="0" xfId="0" applyFill="1"/>
    <xf numFmtId="0" fontId="0" fillId="5" borderId="0" xfId="0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6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7" fillId="6" borderId="0" xfId="0" applyFont="1" applyFill="1"/>
    <xf numFmtId="0" fontId="3" fillId="7" borderId="0" xfId="0" applyFont="1" applyFill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3" fillId="3" borderId="0" xfId="0" applyFont="1" applyFill="1"/>
    <xf numFmtId="0" fontId="17" fillId="11" borderId="0" xfId="0" applyFont="1" applyFill="1"/>
    <xf numFmtId="0" fontId="18" fillId="11" borderId="0" xfId="0" applyFont="1" applyFill="1"/>
    <xf numFmtId="0" fontId="15" fillId="2" borderId="0" xfId="0" applyFont="1" applyFill="1"/>
    <xf numFmtId="0" fontId="0" fillId="11" borderId="0" xfId="0" applyFill="1"/>
    <xf numFmtId="0" fontId="0" fillId="12" borderId="0" xfId="0" applyFill="1"/>
    <xf numFmtId="0" fontId="15" fillId="0" borderId="0" xfId="0" applyFont="1"/>
    <xf numFmtId="0" fontId="20" fillId="0" borderId="0" xfId="0" applyFont="1"/>
    <xf numFmtId="0" fontId="27" fillId="2" borderId="0" xfId="0" applyFont="1" applyFill="1"/>
    <xf numFmtId="0" fontId="27" fillId="2" borderId="0" xfId="0" applyFont="1" applyFill="1" applyAlignment="1">
      <alignment horizontal="center"/>
    </xf>
    <xf numFmtId="0" fontId="15" fillId="11" borderId="0" xfId="0" applyFont="1" applyFill="1"/>
    <xf numFmtId="1" fontId="22" fillId="10" borderId="0" xfId="0" applyNumberFormat="1" applyFont="1" applyFill="1"/>
    <xf numFmtId="0" fontId="28" fillId="0" borderId="0" xfId="0" applyFont="1"/>
    <xf numFmtId="1" fontId="20" fillId="0" borderId="0" xfId="0" applyNumberFormat="1" applyFont="1"/>
    <xf numFmtId="0" fontId="31" fillId="13" borderId="0" xfId="1" applyFont="1" applyFill="1" applyAlignment="1">
      <alignment horizontal="center" vertical="center" wrapText="1"/>
    </xf>
    <xf numFmtId="0" fontId="30" fillId="0" borderId="0" xfId="1"/>
    <xf numFmtId="0" fontId="30" fillId="14" borderId="10" xfId="1" applyFill="1" applyBorder="1" applyAlignment="1">
      <alignment horizontal="center" vertical="center" wrapText="1"/>
    </xf>
    <xf numFmtId="0" fontId="30" fillId="14" borderId="10" xfId="1" applyFill="1" applyBorder="1" applyAlignment="1">
      <alignment horizontal="left" vertical="center" wrapText="1"/>
    </xf>
    <xf numFmtId="164" fontId="30" fillId="0" borderId="10" xfId="1" applyNumberFormat="1" applyBorder="1" applyAlignment="1">
      <alignment horizontal="center" vertical="center" wrapText="1"/>
    </xf>
    <xf numFmtId="164" fontId="29" fillId="0" borderId="10" xfId="1" applyNumberFormat="1" applyFont="1" applyBorder="1" applyAlignment="1">
      <alignment horizontal="center" vertical="center" wrapText="1"/>
    </xf>
    <xf numFmtId="164" fontId="32" fillId="15" borderId="10" xfId="1" applyNumberFormat="1" applyFont="1" applyFill="1" applyBorder="1" applyAlignment="1">
      <alignment horizontal="center" vertical="center" wrapText="1"/>
    </xf>
    <xf numFmtId="2" fontId="29" fillId="0" borderId="10" xfId="1" applyNumberFormat="1" applyFont="1" applyBorder="1" applyAlignment="1">
      <alignment horizontal="center" vertical="center" wrapText="1"/>
    </xf>
    <xf numFmtId="3" fontId="29" fillId="0" borderId="10" xfId="1" applyNumberFormat="1" applyFont="1" applyBorder="1" applyAlignment="1">
      <alignment horizontal="center" vertical="center" wrapText="1"/>
    </xf>
    <xf numFmtId="0" fontId="30" fillId="15" borderId="10" xfId="1" applyFill="1" applyBorder="1" applyAlignment="1">
      <alignment horizontal="center" vertical="center" wrapText="1"/>
    </xf>
    <xf numFmtId="0" fontId="30" fillId="15" borderId="10" xfId="1" applyFill="1" applyBorder="1" applyAlignment="1">
      <alignment horizontal="left" vertical="center" wrapText="1"/>
    </xf>
    <xf numFmtId="0" fontId="30" fillId="16" borderId="10" xfId="1" applyFill="1" applyBorder="1" applyAlignment="1">
      <alignment horizontal="center" vertical="center" wrapText="1"/>
    </xf>
    <xf numFmtId="0" fontId="30" fillId="16" borderId="10" xfId="1" applyFill="1" applyBorder="1" applyAlignment="1">
      <alignment horizontal="left" vertical="center" wrapText="1"/>
    </xf>
    <xf numFmtId="0" fontId="34" fillId="0" borderId="0" xfId="0" applyFont="1"/>
    <xf numFmtId="0" fontId="38" fillId="21" borderId="0" xfId="0" applyFont="1" applyFill="1"/>
    <xf numFmtId="1" fontId="38" fillId="21" borderId="0" xfId="0" applyNumberFormat="1" applyFont="1" applyFill="1" applyAlignment="1">
      <alignment horizontal="center"/>
    </xf>
    <xf numFmtId="0" fontId="41" fillId="21" borderId="0" xfId="0" applyFont="1" applyFill="1" applyAlignment="1">
      <alignment horizontal="center"/>
    </xf>
    <xf numFmtId="0" fontId="52" fillId="11" borderId="0" xfId="0" applyFont="1" applyFill="1" applyAlignment="1">
      <alignment horizontal="center"/>
    </xf>
    <xf numFmtId="1" fontId="43" fillId="23" borderId="0" xfId="0" applyNumberFormat="1" applyFont="1" applyFill="1" applyAlignment="1">
      <alignment horizontal="right"/>
    </xf>
    <xf numFmtId="2" fontId="43" fillId="23" borderId="0" xfId="0" applyNumberFormat="1" applyFont="1" applyFill="1" applyAlignment="1">
      <alignment horizontal="right"/>
    </xf>
    <xf numFmtId="0" fontId="52" fillId="24" borderId="0" xfId="0" applyFont="1" applyFill="1" applyAlignment="1">
      <alignment horizontal="center"/>
    </xf>
    <xf numFmtId="0" fontId="53" fillId="26" borderId="0" xfId="0" applyFont="1" applyFill="1" applyAlignment="1">
      <alignment horizontal="center"/>
    </xf>
    <xf numFmtId="1" fontId="40" fillId="22" borderId="0" xfId="0" applyNumberFormat="1" applyFont="1" applyFill="1" applyAlignment="1">
      <alignment horizontal="center"/>
    </xf>
    <xf numFmtId="1" fontId="46" fillId="23" borderId="0" xfId="0" applyNumberFormat="1" applyFont="1" applyFill="1" applyAlignment="1">
      <alignment horizontal="right"/>
    </xf>
    <xf numFmtId="2" fontId="46" fillId="23" borderId="0" xfId="0" applyNumberFormat="1" applyFont="1" applyFill="1" applyAlignment="1">
      <alignment horizontal="right"/>
    </xf>
    <xf numFmtId="0" fontId="55" fillId="25" borderId="0" xfId="0" applyFont="1" applyFill="1" applyAlignment="1">
      <alignment horizontal="center"/>
    </xf>
    <xf numFmtId="1" fontId="49" fillId="25" borderId="0" xfId="0" applyNumberFormat="1" applyFont="1" applyFill="1" applyAlignment="1">
      <alignment horizontal="right"/>
    </xf>
    <xf numFmtId="2" fontId="49" fillId="25" borderId="0" xfId="0" applyNumberFormat="1" applyFont="1" applyFill="1" applyAlignment="1">
      <alignment horizontal="right"/>
    </xf>
    <xf numFmtId="165" fontId="46" fillId="23" borderId="0" xfId="0" applyNumberFormat="1" applyFont="1" applyFill="1" applyAlignment="1">
      <alignment horizontal="right"/>
    </xf>
    <xf numFmtId="0" fontId="38" fillId="18" borderId="0" xfId="0" applyFont="1" applyFill="1" applyAlignment="1">
      <alignment horizontal="center"/>
    </xf>
    <xf numFmtId="1" fontId="23" fillId="23" borderId="0" xfId="0" applyNumberFormat="1" applyFont="1" applyFill="1" applyAlignment="1">
      <alignment horizontal="right"/>
    </xf>
    <xf numFmtId="2" fontId="23" fillId="23" borderId="0" xfId="0" applyNumberFormat="1" applyFont="1" applyFill="1" applyAlignment="1">
      <alignment horizontal="right"/>
    </xf>
    <xf numFmtId="0" fontId="25" fillId="11" borderId="0" xfId="0" applyFont="1" applyFill="1" applyAlignment="1">
      <alignment horizontal="center"/>
    </xf>
    <xf numFmtId="1" fontId="15" fillId="22" borderId="0" xfId="0" applyNumberFormat="1" applyFont="1" applyFill="1" applyAlignment="1">
      <alignment horizontal="center"/>
    </xf>
    <xf numFmtId="0" fontId="36" fillId="24" borderId="11" xfId="0" applyFont="1" applyFill="1" applyBorder="1" applyAlignment="1">
      <alignment horizontal="center"/>
    </xf>
    <xf numFmtId="1" fontId="15" fillId="22" borderId="11" xfId="0" applyNumberFormat="1" applyFont="1" applyFill="1" applyBorder="1" applyAlignment="1">
      <alignment horizontal="center"/>
    </xf>
    <xf numFmtId="1" fontId="23" fillId="23" borderId="11" xfId="0" applyNumberFormat="1" applyFont="1" applyFill="1" applyBorder="1" applyAlignment="1">
      <alignment horizontal="right"/>
    </xf>
    <xf numFmtId="2" fontId="23" fillId="23" borderId="11" xfId="0" applyNumberFormat="1" applyFont="1" applyFill="1" applyBorder="1" applyAlignment="1">
      <alignment horizontal="right"/>
    </xf>
    <xf numFmtId="0" fontId="37" fillId="25" borderId="11" xfId="0" applyFont="1" applyFill="1" applyBorder="1" applyAlignment="1">
      <alignment horizontal="center"/>
    </xf>
    <xf numFmtId="1" fontId="20" fillId="25" borderId="11" xfId="0" applyNumberFormat="1" applyFont="1" applyFill="1" applyBorder="1" applyAlignment="1">
      <alignment horizontal="center"/>
    </xf>
    <xf numFmtId="1" fontId="47" fillId="25" borderId="11" xfId="0" applyNumberFormat="1" applyFont="1" applyFill="1" applyBorder="1" applyAlignment="1">
      <alignment horizontal="right"/>
    </xf>
    <xf numFmtId="2" fontId="47" fillId="25" borderId="11" xfId="0" applyNumberFormat="1" applyFont="1" applyFill="1" applyBorder="1" applyAlignment="1">
      <alignment horizontal="right"/>
    </xf>
    <xf numFmtId="0" fontId="36" fillId="11" borderId="11" xfId="0" applyFont="1" applyFill="1" applyBorder="1" applyAlignment="1">
      <alignment horizontal="center"/>
    </xf>
    <xf numFmtId="0" fontId="25" fillId="24" borderId="11" xfId="0" applyFont="1" applyFill="1" applyBorder="1" applyAlignment="1">
      <alignment horizontal="center"/>
    </xf>
    <xf numFmtId="0" fontId="52" fillId="24" borderId="11" xfId="0" applyFont="1" applyFill="1" applyBorder="1" applyAlignment="1">
      <alignment horizontal="center"/>
    </xf>
    <xf numFmtId="1" fontId="40" fillId="22" borderId="11" xfId="0" applyNumberFormat="1" applyFont="1" applyFill="1" applyBorder="1" applyAlignment="1">
      <alignment horizontal="center"/>
    </xf>
    <xf numFmtId="1" fontId="43" fillId="23" borderId="11" xfId="0" applyNumberFormat="1" applyFont="1" applyFill="1" applyBorder="1" applyAlignment="1">
      <alignment horizontal="right"/>
    </xf>
    <xf numFmtId="2" fontId="43" fillId="23" borderId="11" xfId="0" applyNumberFormat="1" applyFont="1" applyFill="1" applyBorder="1" applyAlignment="1">
      <alignment horizontal="right"/>
    </xf>
    <xf numFmtId="0" fontId="53" fillId="26" borderId="11" xfId="0" applyFont="1" applyFill="1" applyBorder="1" applyAlignment="1">
      <alignment horizontal="center"/>
    </xf>
    <xf numFmtId="1" fontId="46" fillId="23" borderId="11" xfId="0" applyNumberFormat="1" applyFont="1" applyFill="1" applyBorder="1" applyAlignment="1">
      <alignment horizontal="right"/>
    </xf>
    <xf numFmtId="2" fontId="46" fillId="23" borderId="11" xfId="0" applyNumberFormat="1" applyFont="1" applyFill="1" applyBorder="1" applyAlignment="1">
      <alignment horizontal="right"/>
    </xf>
    <xf numFmtId="0" fontId="52" fillId="11" borderId="11" xfId="0" applyFont="1" applyFill="1" applyBorder="1" applyAlignment="1">
      <alignment horizontal="center"/>
    </xf>
    <xf numFmtId="0" fontId="56" fillId="26" borderId="11" xfId="0" applyFont="1" applyFill="1" applyBorder="1" applyAlignment="1">
      <alignment horizontal="center"/>
    </xf>
    <xf numFmtId="1" fontId="38" fillId="22" borderId="11" xfId="0" applyNumberFormat="1" applyFont="1" applyFill="1" applyBorder="1" applyAlignment="1">
      <alignment horizontal="center"/>
    </xf>
    <xf numFmtId="1" fontId="38" fillId="21" borderId="13" xfId="0" applyNumberFormat="1" applyFont="1" applyFill="1" applyBorder="1" applyAlignment="1">
      <alignment horizontal="center"/>
    </xf>
    <xf numFmtId="0" fontId="41" fillId="21" borderId="13" xfId="0" applyFont="1" applyFill="1" applyBorder="1" applyAlignment="1">
      <alignment horizontal="center"/>
    </xf>
    <xf numFmtId="0" fontId="38" fillId="18" borderId="12" xfId="0" applyFont="1" applyFill="1" applyBorder="1" applyAlignment="1">
      <alignment horizontal="left"/>
    </xf>
    <xf numFmtId="0" fontId="41" fillId="18" borderId="12" xfId="0" applyFont="1" applyFill="1" applyBorder="1" applyAlignment="1">
      <alignment horizontal="center"/>
    </xf>
    <xf numFmtId="1" fontId="38" fillId="18" borderId="12" xfId="0" applyNumberFormat="1" applyFont="1" applyFill="1" applyBorder="1" applyAlignment="1">
      <alignment horizontal="center"/>
    </xf>
    <xf numFmtId="1" fontId="15" fillId="22" borderId="15" xfId="0" applyNumberFormat="1" applyFont="1" applyFill="1" applyBorder="1" applyAlignment="1">
      <alignment horizontal="center"/>
    </xf>
    <xf numFmtId="1" fontId="15" fillId="22" borderId="18" xfId="0" applyNumberFormat="1" applyFont="1" applyFill="1" applyBorder="1" applyAlignment="1">
      <alignment horizontal="center"/>
    </xf>
    <xf numFmtId="1" fontId="20" fillId="25" borderId="18" xfId="0" applyNumberFormat="1" applyFont="1" applyFill="1" applyBorder="1" applyAlignment="1">
      <alignment horizontal="center"/>
    </xf>
    <xf numFmtId="1" fontId="40" fillId="22" borderId="15" xfId="0" applyNumberFormat="1" applyFont="1" applyFill="1" applyBorder="1" applyAlignment="1">
      <alignment horizontal="center"/>
    </xf>
    <xf numFmtId="1" fontId="40" fillId="22" borderId="18" xfId="0" applyNumberFormat="1" applyFont="1" applyFill="1" applyBorder="1" applyAlignment="1">
      <alignment horizontal="center"/>
    </xf>
    <xf numFmtId="1" fontId="38" fillId="22" borderId="18" xfId="0" applyNumberFormat="1" applyFont="1" applyFill="1" applyBorder="1" applyAlignment="1">
      <alignment horizontal="center"/>
    </xf>
    <xf numFmtId="165" fontId="44" fillId="23" borderId="20" xfId="0" applyNumberFormat="1" applyFont="1" applyFill="1" applyBorder="1" applyAlignment="1">
      <alignment horizontal="right"/>
    </xf>
    <xf numFmtId="165" fontId="44" fillId="23" borderId="23" xfId="0" applyNumberFormat="1" applyFont="1" applyFill="1" applyBorder="1" applyAlignment="1">
      <alignment horizontal="right"/>
    </xf>
    <xf numFmtId="165" fontId="47" fillId="25" borderId="23" xfId="0" applyNumberFormat="1" applyFont="1" applyFill="1" applyBorder="1" applyAlignment="1">
      <alignment horizontal="right"/>
    </xf>
    <xf numFmtId="165" fontId="46" fillId="23" borderId="20" xfId="0" applyNumberFormat="1" applyFont="1" applyFill="1" applyBorder="1" applyAlignment="1">
      <alignment horizontal="right"/>
    </xf>
    <xf numFmtId="165" fontId="46" fillId="23" borderId="23" xfId="0" applyNumberFormat="1" applyFont="1" applyFill="1" applyBorder="1" applyAlignment="1">
      <alignment horizontal="right"/>
    </xf>
    <xf numFmtId="0" fontId="38" fillId="18" borderId="16" xfId="0" applyFont="1" applyFill="1" applyBorder="1" applyAlignment="1">
      <alignment horizontal="left"/>
    </xf>
    <xf numFmtId="0" fontId="58" fillId="0" borderId="0" xfId="0" applyFont="1"/>
    <xf numFmtId="0" fontId="59" fillId="0" borderId="0" xfId="0" applyFont="1"/>
    <xf numFmtId="0" fontId="15" fillId="17" borderId="0" xfId="0" applyFont="1" applyFill="1"/>
    <xf numFmtId="0" fontId="15" fillId="17" borderId="15" xfId="0" applyFont="1" applyFill="1" applyBorder="1"/>
    <xf numFmtId="0" fontId="60" fillId="17" borderId="0" xfId="0" applyFont="1" applyFill="1" applyAlignment="1">
      <alignment horizontal="center"/>
    </xf>
    <xf numFmtId="0" fontId="15" fillId="17" borderId="25" xfId="0" applyFont="1" applyFill="1" applyBorder="1"/>
    <xf numFmtId="0" fontId="38" fillId="18" borderId="0" xfId="0" applyFont="1" applyFill="1"/>
    <xf numFmtId="0" fontId="38" fillId="18" borderId="15" xfId="0" applyFont="1" applyFill="1" applyBorder="1"/>
    <xf numFmtId="0" fontId="38" fillId="18" borderId="25" xfId="0" applyFont="1" applyFill="1" applyBorder="1" applyAlignment="1">
      <alignment horizontal="center"/>
    </xf>
    <xf numFmtId="0" fontId="51" fillId="17" borderId="30" xfId="0" applyFont="1" applyFill="1" applyBorder="1"/>
    <xf numFmtId="0" fontId="39" fillId="17" borderId="30" xfId="0" applyFont="1" applyFill="1" applyBorder="1"/>
    <xf numFmtId="0" fontId="51" fillId="17" borderId="31" xfId="0" applyFont="1" applyFill="1" applyBorder="1"/>
    <xf numFmtId="0" fontId="51" fillId="17" borderId="33" xfId="0" applyFont="1" applyFill="1" applyBorder="1"/>
    <xf numFmtId="1" fontId="27" fillId="19" borderId="0" xfId="0" applyNumberFormat="1" applyFont="1" applyFill="1" applyAlignment="1">
      <alignment horizontal="right"/>
    </xf>
    <xf numFmtId="165" fontId="38" fillId="21" borderId="22" xfId="0" applyNumberFormat="1" applyFont="1" applyFill="1" applyBorder="1" applyAlignment="1">
      <alignment horizontal="right"/>
    </xf>
    <xf numFmtId="1" fontId="38" fillId="21" borderId="13" xfId="0" applyNumberFormat="1" applyFont="1" applyFill="1" applyBorder="1" applyAlignment="1">
      <alignment horizontal="right"/>
    </xf>
    <xf numFmtId="2" fontId="38" fillId="21" borderId="13" xfId="0" applyNumberFormat="1" applyFont="1" applyFill="1" applyBorder="1" applyAlignment="1">
      <alignment horizontal="right"/>
    </xf>
    <xf numFmtId="165" fontId="38" fillId="18" borderId="21" xfId="0" applyNumberFormat="1" applyFont="1" applyFill="1" applyBorder="1" applyAlignment="1">
      <alignment horizontal="right"/>
    </xf>
    <xf numFmtId="1" fontId="38" fillId="18" borderId="12" xfId="0" applyNumberFormat="1" applyFont="1" applyFill="1" applyBorder="1" applyAlignment="1">
      <alignment horizontal="right"/>
    </xf>
    <xf numFmtId="2" fontId="38" fillId="18" borderId="12" xfId="0" applyNumberFormat="1" applyFont="1" applyFill="1" applyBorder="1" applyAlignment="1">
      <alignment horizontal="right"/>
    </xf>
    <xf numFmtId="0" fontId="38" fillId="21" borderId="13" xfId="0" applyFont="1" applyFill="1" applyBorder="1" applyAlignment="1">
      <alignment horizontal="center"/>
    </xf>
    <xf numFmtId="0" fontId="24" fillId="11" borderId="0" xfId="0" applyFont="1" applyFill="1" applyAlignment="1">
      <alignment horizontal="center"/>
    </xf>
    <xf numFmtId="1" fontId="38" fillId="21" borderId="17" xfId="0" applyNumberFormat="1" applyFont="1" applyFill="1" applyBorder="1" applyAlignment="1">
      <alignment horizontal="center"/>
    </xf>
    <xf numFmtId="1" fontId="38" fillId="18" borderId="16" xfId="0" applyNumberFormat="1" applyFont="1" applyFill="1" applyBorder="1" applyAlignment="1">
      <alignment horizontal="center"/>
    </xf>
    <xf numFmtId="0" fontId="38" fillId="21" borderId="13" xfId="0" applyFont="1" applyFill="1" applyBorder="1" applyAlignment="1">
      <alignment horizontal="left"/>
    </xf>
    <xf numFmtId="0" fontId="45" fillId="11" borderId="0" xfId="0" applyFont="1" applyFill="1" applyAlignment="1">
      <alignment horizontal="left"/>
    </xf>
    <xf numFmtId="0" fontId="45" fillId="24" borderId="11" xfId="0" applyFont="1" applyFill="1" applyBorder="1" applyAlignment="1">
      <alignment horizontal="left"/>
    </xf>
    <xf numFmtId="0" fontId="48" fillId="25" borderId="11" xfId="0" applyFont="1" applyFill="1" applyBorder="1" applyAlignment="1">
      <alignment horizontal="left"/>
    </xf>
    <xf numFmtId="0" fontId="45" fillId="11" borderId="11" xfId="0" applyFont="1" applyFill="1" applyBorder="1" applyAlignment="1">
      <alignment horizontal="left"/>
    </xf>
    <xf numFmtId="0" fontId="45" fillId="26" borderId="11" xfId="0" applyFont="1" applyFill="1" applyBorder="1" applyAlignment="1">
      <alignment horizontal="left"/>
    </xf>
    <xf numFmtId="0" fontId="48" fillId="26" borderId="11" xfId="0" applyFont="1" applyFill="1" applyBorder="1" applyAlignment="1">
      <alignment horizontal="left"/>
    </xf>
    <xf numFmtId="0" fontId="43" fillId="11" borderId="0" xfId="0" applyFont="1" applyFill="1" applyAlignment="1">
      <alignment horizontal="left"/>
    </xf>
    <xf numFmtId="0" fontId="43" fillId="24" borderId="11" xfId="0" applyFont="1" applyFill="1" applyBorder="1" applyAlignment="1">
      <alignment horizontal="left"/>
    </xf>
    <xf numFmtId="0" fontId="49" fillId="25" borderId="11" xfId="0" applyFont="1" applyFill="1" applyBorder="1" applyAlignment="1">
      <alignment horizontal="left"/>
    </xf>
    <xf numFmtId="0" fontId="43" fillId="11" borderId="11" xfId="0" applyFont="1" applyFill="1" applyBorder="1" applyAlignment="1">
      <alignment horizontal="left"/>
    </xf>
    <xf numFmtId="0" fontId="54" fillId="26" borderId="11" xfId="0" applyFont="1" applyFill="1" applyBorder="1" applyAlignment="1">
      <alignment horizontal="left"/>
    </xf>
    <xf numFmtId="0" fontId="57" fillId="26" borderId="11" xfId="0" applyFont="1" applyFill="1" applyBorder="1" applyAlignment="1">
      <alignment horizontal="left"/>
    </xf>
    <xf numFmtId="0" fontId="38" fillId="21" borderId="17" xfId="0" applyFont="1" applyFill="1" applyBorder="1" applyAlignment="1">
      <alignment horizontal="left"/>
    </xf>
    <xf numFmtId="0" fontId="43" fillId="11" borderId="15" xfId="0" applyFont="1" applyFill="1" applyBorder="1" applyAlignment="1">
      <alignment horizontal="left"/>
    </xf>
    <xf numFmtId="0" fontId="43" fillId="24" borderId="18" xfId="0" applyFont="1" applyFill="1" applyBorder="1" applyAlignment="1">
      <alignment horizontal="left"/>
    </xf>
    <xf numFmtId="0" fontId="46" fillId="25" borderId="18" xfId="0" applyFont="1" applyFill="1" applyBorder="1" applyAlignment="1">
      <alignment horizontal="left"/>
    </xf>
    <xf numFmtId="0" fontId="43" fillId="11" borderId="18" xfId="0" applyFont="1" applyFill="1" applyBorder="1" applyAlignment="1">
      <alignment horizontal="left"/>
    </xf>
    <xf numFmtId="0" fontId="54" fillId="26" borderId="18" xfId="0" applyFont="1" applyFill="1" applyBorder="1" applyAlignment="1">
      <alignment horizontal="left"/>
    </xf>
    <xf numFmtId="0" fontId="57" fillId="26" borderId="18" xfId="0" applyFont="1" applyFill="1" applyBorder="1" applyAlignment="1">
      <alignment horizontal="left"/>
    </xf>
    <xf numFmtId="0" fontId="61" fillId="23" borderId="20" xfId="0" applyFont="1" applyFill="1" applyBorder="1" applyAlignment="1">
      <alignment horizontal="center"/>
    </xf>
    <xf numFmtId="0" fontId="62" fillId="23" borderId="0" xfId="0" applyFont="1" applyFill="1"/>
    <xf numFmtId="0" fontId="38" fillId="27" borderId="20" xfId="0" applyFont="1" applyFill="1" applyBorder="1" applyAlignment="1">
      <alignment horizontal="center"/>
    </xf>
    <xf numFmtId="0" fontId="38" fillId="27" borderId="0" xfId="0" applyFont="1" applyFill="1" applyAlignment="1">
      <alignment horizontal="center"/>
    </xf>
    <xf numFmtId="1" fontId="44" fillId="23" borderId="0" xfId="0" applyNumberFormat="1" applyFont="1" applyFill="1" applyAlignment="1">
      <alignment horizontal="right"/>
    </xf>
    <xf numFmtId="1" fontId="44" fillId="23" borderId="11" xfId="0" applyNumberFormat="1" applyFont="1" applyFill="1" applyBorder="1" applyAlignment="1">
      <alignment horizontal="right"/>
    </xf>
    <xf numFmtId="0" fontId="15" fillId="11" borderId="29" xfId="0" applyFont="1" applyFill="1" applyBorder="1" applyAlignment="1">
      <alignment horizontal="left"/>
    </xf>
    <xf numFmtId="0" fontId="42" fillId="11" borderId="29" xfId="0" applyFont="1" applyFill="1" applyBorder="1" applyAlignment="1">
      <alignment horizontal="center"/>
    </xf>
    <xf numFmtId="0" fontId="15" fillId="11" borderId="14" xfId="0" applyFont="1" applyFill="1" applyBorder="1" applyAlignment="1">
      <alignment horizontal="left"/>
    </xf>
    <xf numFmtId="1" fontId="15" fillId="11" borderId="29" xfId="0" applyNumberFormat="1" applyFont="1" applyFill="1" applyBorder="1" applyAlignment="1">
      <alignment horizontal="center"/>
    </xf>
    <xf numFmtId="1" fontId="15" fillId="11" borderId="14" xfId="0" applyNumberFormat="1" applyFont="1" applyFill="1" applyBorder="1" applyAlignment="1">
      <alignment horizontal="center"/>
    </xf>
    <xf numFmtId="165" fontId="20" fillId="11" borderId="19" xfId="0" applyNumberFormat="1" applyFont="1" applyFill="1" applyBorder="1" applyAlignment="1">
      <alignment horizontal="right"/>
    </xf>
    <xf numFmtId="1" fontId="15" fillId="11" borderId="29" xfId="0" applyNumberFormat="1" applyFont="1" applyFill="1" applyBorder="1" applyAlignment="1">
      <alignment horizontal="right"/>
    </xf>
    <xf numFmtId="2" fontId="15" fillId="11" borderId="29" xfId="0" applyNumberFormat="1" applyFont="1" applyFill="1" applyBorder="1" applyAlignment="1">
      <alignment horizontal="right"/>
    </xf>
    <xf numFmtId="1" fontId="20" fillId="11" borderId="29" xfId="0" applyNumberFormat="1" applyFont="1" applyFill="1" applyBorder="1" applyAlignment="1">
      <alignment horizontal="right"/>
    </xf>
    <xf numFmtId="0" fontId="21" fillId="19" borderId="35" xfId="0" applyFont="1" applyFill="1" applyBorder="1" applyAlignment="1">
      <alignment horizontal="left"/>
    </xf>
    <xf numFmtId="0" fontId="41" fillId="19" borderId="35" xfId="0" applyFont="1" applyFill="1" applyBorder="1" applyAlignment="1">
      <alignment horizontal="center"/>
    </xf>
    <xf numFmtId="0" fontId="21" fillId="19" borderId="36" xfId="0" applyFont="1" applyFill="1" applyBorder="1" applyAlignment="1">
      <alignment horizontal="left"/>
    </xf>
    <xf numFmtId="1" fontId="21" fillId="19" borderId="35" xfId="0" applyNumberFormat="1" applyFont="1" applyFill="1" applyBorder="1" applyAlignment="1">
      <alignment horizontal="center"/>
    </xf>
    <xf numFmtId="1" fontId="21" fillId="19" borderId="36" xfId="0" applyNumberFormat="1" applyFont="1" applyFill="1" applyBorder="1" applyAlignment="1">
      <alignment horizontal="center"/>
    </xf>
    <xf numFmtId="165" fontId="21" fillId="19" borderId="38" xfId="0" applyNumberFormat="1" applyFont="1" applyFill="1" applyBorder="1" applyAlignment="1">
      <alignment horizontal="right"/>
    </xf>
    <xf numFmtId="1" fontId="21" fillId="19" borderId="35" xfId="0" applyNumberFormat="1" applyFont="1" applyFill="1" applyBorder="1" applyAlignment="1">
      <alignment horizontal="right"/>
    </xf>
    <xf numFmtId="2" fontId="21" fillId="19" borderId="35" xfId="0" applyNumberFormat="1" applyFont="1" applyFill="1" applyBorder="1" applyAlignment="1">
      <alignment horizontal="right"/>
    </xf>
    <xf numFmtId="0" fontId="48" fillId="25" borderId="39" xfId="0" applyFont="1" applyFill="1" applyBorder="1" applyAlignment="1">
      <alignment horizontal="left"/>
    </xf>
    <xf numFmtId="0" fontId="37" fillId="25" borderId="39" xfId="0" applyFont="1" applyFill="1" applyBorder="1" applyAlignment="1">
      <alignment horizontal="center"/>
    </xf>
    <xf numFmtId="0" fontId="49" fillId="25" borderId="39" xfId="0" applyFont="1" applyFill="1" applyBorder="1" applyAlignment="1">
      <alignment horizontal="left"/>
    </xf>
    <xf numFmtId="0" fontId="46" fillId="25" borderId="40" xfId="0" applyFont="1" applyFill="1" applyBorder="1" applyAlignment="1">
      <alignment horizontal="left"/>
    </xf>
    <xf numFmtId="1" fontId="20" fillId="25" borderId="39" xfId="0" applyNumberFormat="1" applyFont="1" applyFill="1" applyBorder="1" applyAlignment="1">
      <alignment horizontal="center"/>
    </xf>
    <xf numFmtId="1" fontId="20" fillId="25" borderId="40" xfId="0" applyNumberFormat="1" applyFont="1" applyFill="1" applyBorder="1" applyAlignment="1">
      <alignment horizontal="center"/>
    </xf>
    <xf numFmtId="165" fontId="47" fillId="25" borderId="42" xfId="0" applyNumberFormat="1" applyFont="1" applyFill="1" applyBorder="1" applyAlignment="1">
      <alignment horizontal="right"/>
    </xf>
    <xf numFmtId="1" fontId="47" fillId="25" borderId="39" xfId="0" applyNumberFormat="1" applyFont="1" applyFill="1" applyBorder="1" applyAlignment="1">
      <alignment horizontal="right"/>
    </xf>
    <xf numFmtId="2" fontId="47" fillId="25" borderId="39" xfId="0" applyNumberFormat="1" applyFont="1" applyFill="1" applyBorder="1" applyAlignment="1">
      <alignment horizontal="right"/>
    </xf>
    <xf numFmtId="0" fontId="38" fillId="21" borderId="27" xfId="0" applyFont="1" applyFill="1" applyBorder="1" applyAlignment="1">
      <alignment horizontal="center"/>
    </xf>
    <xf numFmtId="0" fontId="43" fillId="11" borderId="0" xfId="0" applyFont="1" applyFill="1" applyAlignment="1">
      <alignment horizontal="center"/>
    </xf>
    <xf numFmtId="0" fontId="43" fillId="11" borderId="25" xfId="0" applyFont="1" applyFill="1" applyBorder="1" applyAlignment="1">
      <alignment horizontal="center"/>
    </xf>
    <xf numFmtId="0" fontId="43" fillId="24" borderId="11" xfId="0" applyFont="1" applyFill="1" applyBorder="1" applyAlignment="1">
      <alignment horizontal="center"/>
    </xf>
    <xf numFmtId="0" fontId="43" fillId="24" borderId="28" xfId="0" applyFont="1" applyFill="1" applyBorder="1" applyAlignment="1">
      <alignment horizontal="center"/>
    </xf>
    <xf numFmtId="0" fontId="46" fillId="25" borderId="11" xfId="0" applyFont="1" applyFill="1" applyBorder="1" applyAlignment="1">
      <alignment horizontal="center"/>
    </xf>
    <xf numFmtId="0" fontId="46" fillId="25" borderId="28" xfId="0" applyFont="1" applyFill="1" applyBorder="1" applyAlignment="1">
      <alignment horizontal="center"/>
    </xf>
    <xf numFmtId="0" fontId="43" fillId="11" borderId="11" xfId="0" applyFont="1" applyFill="1" applyBorder="1" applyAlignment="1">
      <alignment horizontal="center"/>
    </xf>
    <xf numFmtId="0" fontId="43" fillId="11" borderId="28" xfId="0" applyFont="1" applyFill="1" applyBorder="1" applyAlignment="1">
      <alignment horizontal="center"/>
    </xf>
    <xf numFmtId="0" fontId="46" fillId="25" borderId="39" xfId="0" applyFont="1" applyFill="1" applyBorder="1" applyAlignment="1">
      <alignment horizontal="center"/>
    </xf>
    <xf numFmtId="0" fontId="46" fillId="25" borderId="41" xfId="0" applyFont="1" applyFill="1" applyBorder="1" applyAlignment="1">
      <alignment horizontal="center"/>
    </xf>
    <xf numFmtId="0" fontId="15" fillId="11" borderId="29" xfId="0" applyFont="1" applyFill="1" applyBorder="1" applyAlignment="1">
      <alignment horizontal="center"/>
    </xf>
    <xf numFmtId="0" fontId="15" fillId="11" borderId="24" xfId="0" applyFont="1" applyFill="1" applyBorder="1" applyAlignment="1">
      <alignment horizontal="center"/>
    </xf>
    <xf numFmtId="0" fontId="38" fillId="18" borderId="12" xfId="0" applyFont="1" applyFill="1" applyBorder="1" applyAlignment="1">
      <alignment horizontal="center"/>
    </xf>
    <xf numFmtId="0" fontId="38" fillId="18" borderId="26" xfId="0" applyFont="1" applyFill="1" applyBorder="1" applyAlignment="1">
      <alignment horizontal="center"/>
    </xf>
    <xf numFmtId="0" fontId="43" fillId="26" borderId="11" xfId="0" applyFont="1" applyFill="1" applyBorder="1" applyAlignment="1">
      <alignment horizontal="center"/>
    </xf>
    <xf numFmtId="0" fontId="46" fillId="26" borderId="11" xfId="0" applyFont="1" applyFill="1" applyBorder="1" applyAlignment="1">
      <alignment horizontal="center"/>
    </xf>
    <xf numFmtId="0" fontId="21" fillId="19" borderId="35" xfId="0" applyFont="1" applyFill="1" applyBorder="1" applyAlignment="1">
      <alignment horizontal="center"/>
    </xf>
    <xf numFmtId="0" fontId="21" fillId="19" borderId="37" xfId="0" applyFont="1" applyFill="1" applyBorder="1" applyAlignment="1">
      <alignment horizontal="center"/>
    </xf>
    <xf numFmtId="1" fontId="39" fillId="17" borderId="30" xfId="0" applyNumberFormat="1" applyFont="1" applyFill="1" applyBorder="1" applyAlignment="1">
      <alignment horizontal="center"/>
    </xf>
    <xf numFmtId="1" fontId="39" fillId="17" borderId="32" xfId="0" applyNumberFormat="1" applyFont="1" applyFill="1" applyBorder="1" applyAlignment="1">
      <alignment horizontal="center"/>
    </xf>
    <xf numFmtId="0" fontId="43" fillId="28" borderId="11" xfId="0" applyFont="1" applyFill="1" applyBorder="1" applyAlignment="1">
      <alignment horizontal="center"/>
    </xf>
    <xf numFmtId="0" fontId="43" fillId="28" borderId="28" xfId="0" applyFont="1" applyFill="1" applyBorder="1" applyAlignment="1">
      <alignment horizontal="center"/>
    </xf>
    <xf numFmtId="0" fontId="46" fillId="28" borderId="11" xfId="0" applyFont="1" applyFill="1" applyBorder="1" applyAlignment="1">
      <alignment horizontal="center"/>
    </xf>
    <xf numFmtId="0" fontId="46" fillId="28" borderId="28" xfId="0" applyFont="1" applyFill="1" applyBorder="1" applyAlignment="1">
      <alignment horizontal="center"/>
    </xf>
    <xf numFmtId="0" fontId="27" fillId="19" borderId="0" xfId="0" applyFont="1" applyFill="1"/>
    <xf numFmtId="0" fontId="45" fillId="26" borderId="0" xfId="0" applyFont="1" applyFill="1" applyAlignment="1">
      <alignment horizontal="left"/>
    </xf>
    <xf numFmtId="0" fontId="54" fillId="26" borderId="0" xfId="0" applyFont="1" applyFill="1" applyAlignment="1">
      <alignment horizontal="left"/>
    </xf>
    <xf numFmtId="0" fontId="54" fillId="26" borderId="15" xfId="0" applyFont="1" applyFill="1" applyBorder="1" applyAlignment="1">
      <alignment horizontal="left"/>
    </xf>
    <xf numFmtId="0" fontId="43" fillId="28" borderId="0" xfId="0" applyFont="1" applyFill="1" applyAlignment="1">
      <alignment horizontal="center"/>
    </xf>
    <xf numFmtId="0" fontId="43" fillId="28" borderId="25" xfId="0" applyFont="1" applyFill="1" applyBorder="1" applyAlignment="1">
      <alignment horizontal="center"/>
    </xf>
    <xf numFmtId="0" fontId="43" fillId="26" borderId="0" xfId="0" applyFont="1" applyFill="1" applyAlignment="1">
      <alignment horizontal="center"/>
    </xf>
    <xf numFmtId="0" fontId="63" fillId="0" borderId="0" xfId="0" applyFont="1"/>
    <xf numFmtId="9" fontId="22" fillId="10" borderId="0" xfId="0" applyNumberFormat="1" applyFont="1" applyFill="1" applyAlignment="1">
      <alignment horizontal="center"/>
    </xf>
    <xf numFmtId="0" fontId="15" fillId="19" borderId="0" xfId="0" applyFont="1" applyFill="1"/>
    <xf numFmtId="0" fontId="38" fillId="21" borderId="0" xfId="0" applyFont="1" applyFill="1" applyAlignment="1">
      <alignment horizontal="left"/>
    </xf>
    <xf numFmtId="0" fontId="38" fillId="21" borderId="0" xfId="0" applyFont="1" applyFill="1" applyAlignment="1">
      <alignment horizontal="center"/>
    </xf>
    <xf numFmtId="165" fontId="38" fillId="21" borderId="0" xfId="0" applyNumberFormat="1" applyFont="1" applyFill="1" applyAlignment="1">
      <alignment horizontal="right"/>
    </xf>
    <xf numFmtId="1" fontId="38" fillId="21" borderId="0" xfId="0" applyNumberFormat="1" applyFont="1" applyFill="1" applyAlignment="1">
      <alignment horizontal="right"/>
    </xf>
    <xf numFmtId="2" fontId="38" fillId="21" borderId="0" xfId="0" applyNumberFormat="1" applyFont="1" applyFill="1" applyAlignment="1">
      <alignment horizontal="right"/>
    </xf>
    <xf numFmtId="1" fontId="50" fillId="22" borderId="0" xfId="0" applyNumberFormat="1" applyFont="1" applyFill="1" applyAlignment="1">
      <alignment horizontal="center"/>
    </xf>
    <xf numFmtId="0" fontId="45" fillId="24" borderId="0" xfId="0" applyFont="1" applyFill="1" applyAlignment="1">
      <alignment horizontal="left"/>
    </xf>
    <xf numFmtId="0" fontId="43" fillId="24" borderId="0" xfId="0" applyFont="1" applyFill="1" applyAlignment="1">
      <alignment horizontal="left"/>
    </xf>
    <xf numFmtId="0" fontId="43" fillId="24" borderId="0" xfId="0" applyFont="1" applyFill="1" applyAlignment="1">
      <alignment horizontal="center"/>
    </xf>
    <xf numFmtId="0" fontId="48" fillId="25" borderId="0" xfId="0" applyFont="1" applyFill="1" applyAlignment="1">
      <alignment horizontal="left"/>
    </xf>
    <xf numFmtId="0" fontId="49" fillId="25" borderId="0" xfId="0" applyFont="1" applyFill="1" applyAlignment="1">
      <alignment horizontal="left"/>
    </xf>
    <xf numFmtId="0" fontId="46" fillId="25" borderId="0" xfId="0" applyFont="1" applyFill="1" applyAlignment="1">
      <alignment horizontal="left"/>
    </xf>
    <xf numFmtId="1" fontId="63" fillId="25" borderId="0" xfId="0" applyNumberFormat="1" applyFont="1" applyFill="1" applyAlignment="1">
      <alignment horizontal="center"/>
    </xf>
    <xf numFmtId="0" fontId="46" fillId="25" borderId="0" xfId="0" applyFont="1" applyFill="1" applyAlignment="1">
      <alignment horizontal="center"/>
    </xf>
    <xf numFmtId="165" fontId="49" fillId="25" borderId="0" xfId="0" applyNumberFormat="1" applyFont="1" applyFill="1" applyAlignment="1">
      <alignment horizontal="right"/>
    </xf>
    <xf numFmtId="9" fontId="50" fillId="22" borderId="0" xfId="0" applyNumberFormat="1" applyFont="1" applyFill="1" applyAlignment="1">
      <alignment horizontal="center"/>
    </xf>
    <xf numFmtId="0" fontId="64" fillId="25" borderId="0" xfId="0" applyFont="1" applyFill="1" applyAlignment="1">
      <alignment horizontal="left"/>
    </xf>
    <xf numFmtId="0" fontId="65" fillId="25" borderId="0" xfId="0" applyFont="1" applyFill="1" applyAlignment="1">
      <alignment horizontal="left"/>
    </xf>
    <xf numFmtId="1" fontId="66" fillId="25" borderId="0" xfId="0" applyNumberFormat="1" applyFont="1" applyFill="1" applyAlignment="1">
      <alignment horizontal="center"/>
    </xf>
    <xf numFmtId="0" fontId="65" fillId="25" borderId="0" xfId="0" applyFont="1" applyFill="1" applyAlignment="1">
      <alignment horizontal="center"/>
    </xf>
    <xf numFmtId="165" fontId="64" fillId="25" borderId="0" xfId="0" applyNumberFormat="1" applyFont="1" applyFill="1" applyAlignment="1">
      <alignment horizontal="right"/>
    </xf>
    <xf numFmtId="1" fontId="64" fillId="25" borderId="0" xfId="0" applyNumberFormat="1" applyFont="1" applyFill="1" applyAlignment="1">
      <alignment horizontal="right"/>
    </xf>
    <xf numFmtId="2" fontId="64" fillId="25" borderId="0" xfId="0" applyNumberFormat="1" applyFont="1" applyFill="1" applyAlignment="1">
      <alignment horizontal="right"/>
    </xf>
    <xf numFmtId="1" fontId="50" fillId="22" borderId="11" xfId="0" applyNumberFormat="1" applyFont="1" applyFill="1" applyBorder="1" applyAlignment="1">
      <alignment horizontal="center"/>
    </xf>
    <xf numFmtId="1" fontId="50" fillId="22" borderId="18" xfId="0" applyNumberFormat="1" applyFont="1" applyFill="1" applyBorder="1" applyAlignment="1">
      <alignment horizontal="center"/>
    </xf>
    <xf numFmtId="0" fontId="67" fillId="0" borderId="0" xfId="0" applyFont="1"/>
    <xf numFmtId="166" fontId="0" fillId="0" borderId="0" xfId="0" applyNumberFormat="1"/>
    <xf numFmtId="3" fontId="0" fillId="0" borderId="0" xfId="0" applyNumberFormat="1"/>
    <xf numFmtId="0" fontId="11" fillId="2" borderId="43" xfId="0" applyFont="1" applyFill="1" applyBorder="1" applyAlignment="1">
      <alignment horizontal="center"/>
    </xf>
    <xf numFmtId="0" fontId="11" fillId="2" borderId="44" xfId="0" applyFont="1" applyFill="1" applyBorder="1" applyAlignment="1">
      <alignment horizontal="center"/>
    </xf>
    <xf numFmtId="0" fontId="68" fillId="29" borderId="45" xfId="0" applyFont="1" applyFill="1" applyBorder="1"/>
    <xf numFmtId="0" fontId="68" fillId="29" borderId="46" xfId="0" applyFont="1" applyFill="1" applyBorder="1"/>
    <xf numFmtId="166" fontId="68" fillId="29" borderId="46" xfId="0" applyNumberFormat="1" applyFont="1" applyFill="1" applyBorder="1"/>
    <xf numFmtId="164" fontId="68" fillId="29" borderId="46" xfId="0" applyNumberFormat="1" applyFont="1" applyFill="1" applyBorder="1"/>
    <xf numFmtId="3" fontId="68" fillId="29" borderId="46" xfId="0" applyNumberFormat="1" applyFont="1" applyFill="1" applyBorder="1"/>
    <xf numFmtId="167" fontId="68" fillId="29" borderId="46" xfId="0" applyNumberFormat="1" applyFont="1" applyFill="1" applyBorder="1"/>
    <xf numFmtId="0" fontId="68" fillId="8" borderId="45" xfId="0" applyFont="1" applyFill="1" applyBorder="1"/>
    <xf numFmtId="0" fontId="68" fillId="8" borderId="46" xfId="0" applyFont="1" applyFill="1" applyBorder="1"/>
    <xf numFmtId="166" fontId="68" fillId="8" borderId="46" xfId="0" applyNumberFormat="1" applyFont="1" applyFill="1" applyBorder="1"/>
    <xf numFmtId="164" fontId="68" fillId="8" borderId="46" xfId="0" applyNumberFormat="1" applyFont="1" applyFill="1" applyBorder="1"/>
    <xf numFmtId="3" fontId="68" fillId="8" borderId="46" xfId="0" applyNumberFormat="1" applyFont="1" applyFill="1" applyBorder="1"/>
    <xf numFmtId="167" fontId="68" fillId="8" borderId="46" xfId="0" applyNumberFormat="1" applyFont="1" applyFill="1" applyBorder="1"/>
    <xf numFmtId="0" fontId="68" fillId="9" borderId="45" xfId="0" applyFont="1" applyFill="1" applyBorder="1"/>
    <xf numFmtId="0" fontId="68" fillId="9" borderId="46" xfId="0" applyFont="1" applyFill="1" applyBorder="1"/>
    <xf numFmtId="166" fontId="68" fillId="9" borderId="46" xfId="0" applyNumberFormat="1" applyFont="1" applyFill="1" applyBorder="1"/>
    <xf numFmtId="164" fontId="68" fillId="9" borderId="46" xfId="0" applyNumberFormat="1" applyFont="1" applyFill="1" applyBorder="1"/>
    <xf numFmtId="3" fontId="68" fillId="9" borderId="46" xfId="0" applyNumberFormat="1" applyFont="1" applyFill="1" applyBorder="1"/>
    <xf numFmtId="167" fontId="68" fillId="9" borderId="46" xfId="0" applyNumberFormat="1" applyFont="1" applyFill="1" applyBorder="1"/>
    <xf numFmtId="0" fontId="68" fillId="30" borderId="45" xfId="0" applyFont="1" applyFill="1" applyBorder="1"/>
    <xf numFmtId="0" fontId="68" fillId="30" borderId="46" xfId="0" applyFont="1" applyFill="1" applyBorder="1"/>
    <xf numFmtId="166" fontId="68" fillId="30" borderId="46" xfId="0" applyNumberFormat="1" applyFont="1" applyFill="1" applyBorder="1"/>
    <xf numFmtId="164" fontId="68" fillId="30" borderId="46" xfId="0" applyNumberFormat="1" applyFont="1" applyFill="1" applyBorder="1"/>
    <xf numFmtId="3" fontId="68" fillId="30" borderId="46" xfId="0" applyNumberFormat="1" applyFont="1" applyFill="1" applyBorder="1"/>
    <xf numFmtId="167" fontId="68" fillId="30" borderId="46" xfId="0" applyNumberFormat="1" applyFont="1" applyFill="1" applyBorder="1"/>
    <xf numFmtId="0" fontId="68" fillId="4" borderId="45" xfId="0" applyFont="1" applyFill="1" applyBorder="1"/>
    <xf numFmtId="0" fontId="68" fillId="4" borderId="46" xfId="0" applyFont="1" applyFill="1" applyBorder="1"/>
    <xf numFmtId="166" fontId="68" fillId="4" borderId="46" xfId="0" applyNumberFormat="1" applyFont="1" applyFill="1" applyBorder="1"/>
    <xf numFmtId="164" fontId="68" fillId="4" borderId="46" xfId="0" applyNumberFormat="1" applyFont="1" applyFill="1" applyBorder="1"/>
    <xf numFmtId="3" fontId="68" fillId="4" borderId="46" xfId="0" applyNumberFormat="1" applyFont="1" applyFill="1" applyBorder="1"/>
    <xf numFmtId="167" fontId="68" fillId="4" borderId="46" xfId="0" applyNumberFormat="1" applyFont="1" applyFill="1" applyBorder="1"/>
    <xf numFmtId="0" fontId="69" fillId="29" borderId="46" xfId="0" applyFont="1" applyFill="1" applyBorder="1"/>
    <xf numFmtId="0" fontId="70" fillId="8" borderId="46" xfId="0" applyFont="1" applyFill="1" applyBorder="1"/>
    <xf numFmtId="0" fontId="70" fillId="9" borderId="46" xfId="0" applyFont="1" applyFill="1" applyBorder="1"/>
    <xf numFmtId="0" fontId="69" fillId="30" borderId="46" xfId="0" applyFont="1" applyFill="1" applyBorder="1"/>
    <xf numFmtId="0" fontId="71" fillId="32" borderId="46" xfId="0" applyFont="1" applyFill="1" applyBorder="1"/>
    <xf numFmtId="0" fontId="70" fillId="4" borderId="46" xfId="0" applyFont="1" applyFill="1" applyBorder="1"/>
    <xf numFmtId="0" fontId="69" fillId="8" borderId="46" xfId="0" applyFont="1" applyFill="1" applyBorder="1"/>
    <xf numFmtId="0" fontId="69" fillId="9" borderId="46" xfId="0" applyFont="1" applyFill="1" applyBorder="1"/>
    <xf numFmtId="0" fontId="69" fillId="4" borderId="46" xfId="0" applyFont="1" applyFill="1" applyBorder="1"/>
    <xf numFmtId="0" fontId="33" fillId="0" borderId="9" xfId="0" applyFont="1" applyBorder="1"/>
    <xf numFmtId="0" fontId="68" fillId="0" borderId="0" xfId="0" applyFont="1"/>
    <xf numFmtId="0" fontId="73" fillId="0" borderId="0" xfId="0" applyFont="1"/>
    <xf numFmtId="0" fontId="72" fillId="0" borderId="0" xfId="0" applyFont="1" applyAlignment="1">
      <alignment horizontal="center"/>
    </xf>
    <xf numFmtId="0" fontId="74" fillId="31" borderId="49" xfId="0" applyFont="1" applyFill="1" applyBorder="1"/>
    <xf numFmtId="0" fontId="74" fillId="31" borderId="50" xfId="0" applyFont="1" applyFill="1" applyBorder="1"/>
    <xf numFmtId="0" fontId="70" fillId="31" borderId="50" xfId="0" applyFont="1" applyFill="1" applyBorder="1"/>
    <xf numFmtId="0" fontId="11" fillId="33" borderId="44" xfId="0" applyFont="1" applyFill="1" applyBorder="1" applyAlignment="1">
      <alignment horizontal="center"/>
    </xf>
    <xf numFmtId="0" fontId="75" fillId="4" borderId="46" xfId="0" applyFont="1" applyFill="1" applyBorder="1"/>
    <xf numFmtId="0" fontId="1" fillId="0" borderId="8" xfId="0" applyFont="1" applyBorder="1"/>
    <xf numFmtId="0" fontId="40" fillId="11" borderId="3" xfId="0" applyFont="1" applyFill="1" applyBorder="1"/>
    <xf numFmtId="0" fontId="40" fillId="11" borderId="3" xfId="0" applyFont="1" applyFill="1" applyBorder="1" applyAlignment="1">
      <alignment horizontal="center"/>
    </xf>
    <xf numFmtId="165" fontId="40" fillId="11" borderId="3" xfId="0" applyNumberFormat="1" applyFont="1" applyFill="1" applyBorder="1" applyAlignment="1">
      <alignment horizontal="right"/>
    </xf>
    <xf numFmtId="1" fontId="40" fillId="11" borderId="3" xfId="0" applyNumberFormat="1" applyFont="1" applyFill="1" applyBorder="1" applyAlignment="1">
      <alignment horizontal="right"/>
    </xf>
    <xf numFmtId="0" fontId="40" fillId="24" borderId="3" xfId="0" applyFont="1" applyFill="1" applyBorder="1"/>
    <xf numFmtId="0" fontId="40" fillId="24" borderId="3" xfId="0" applyFont="1" applyFill="1" applyBorder="1" applyAlignment="1">
      <alignment horizontal="center"/>
    </xf>
    <xf numFmtId="165" fontId="40" fillId="24" borderId="3" xfId="0" applyNumberFormat="1" applyFont="1" applyFill="1" applyBorder="1" applyAlignment="1">
      <alignment horizontal="right"/>
    </xf>
    <xf numFmtId="1" fontId="40" fillId="24" borderId="3" xfId="0" applyNumberFormat="1" applyFont="1" applyFill="1" applyBorder="1" applyAlignment="1">
      <alignment horizontal="right"/>
    </xf>
    <xf numFmtId="0" fontId="40" fillId="11" borderId="52" xfId="0" applyFont="1" applyFill="1" applyBorder="1" applyAlignment="1">
      <alignment horizontal="center"/>
    </xf>
    <xf numFmtId="0" fontId="40" fillId="24" borderId="52" xfId="0" applyFont="1" applyFill="1" applyBorder="1" applyAlignment="1">
      <alignment horizontal="center"/>
    </xf>
    <xf numFmtId="0" fontId="40" fillId="11" borderId="53" xfId="0" applyFont="1" applyFill="1" applyBorder="1" applyAlignment="1">
      <alignment horizontal="center"/>
    </xf>
    <xf numFmtId="0" fontId="40" fillId="11" borderId="1" xfId="0" applyFont="1" applyFill="1" applyBorder="1"/>
    <xf numFmtId="0" fontId="40" fillId="11" borderId="1" xfId="0" applyFont="1" applyFill="1" applyBorder="1" applyAlignment="1">
      <alignment horizontal="center"/>
    </xf>
    <xf numFmtId="165" fontId="40" fillId="11" borderId="1" xfId="0" applyNumberFormat="1" applyFont="1" applyFill="1" applyBorder="1" applyAlignment="1">
      <alignment horizontal="right"/>
    </xf>
    <xf numFmtId="1" fontId="40" fillId="11" borderId="1" xfId="0" applyNumberFormat="1" applyFont="1" applyFill="1" applyBorder="1" applyAlignment="1">
      <alignment horizontal="right"/>
    </xf>
    <xf numFmtId="165" fontId="27" fillId="19" borderId="55" xfId="0" applyNumberFormat="1" applyFont="1" applyFill="1" applyBorder="1" applyAlignment="1">
      <alignment horizontal="right"/>
    </xf>
    <xf numFmtId="1" fontId="27" fillId="19" borderId="55" xfId="0" applyNumberFormat="1" applyFont="1" applyFill="1" applyBorder="1" applyAlignment="1">
      <alignment horizontal="right"/>
    </xf>
    <xf numFmtId="1" fontId="27" fillId="19" borderId="56" xfId="0" applyNumberFormat="1" applyFont="1" applyFill="1" applyBorder="1" applyAlignment="1">
      <alignment horizontal="right"/>
    </xf>
    <xf numFmtId="0" fontId="40" fillId="24" borderId="57" xfId="0" applyFont="1" applyFill="1" applyBorder="1" applyAlignment="1">
      <alignment horizontal="center"/>
    </xf>
    <xf numFmtId="0" fontId="40" fillId="24" borderId="6" xfId="0" applyFont="1" applyFill="1" applyBorder="1"/>
    <xf numFmtId="0" fontId="40" fillId="24" borderId="6" xfId="0" applyFont="1" applyFill="1" applyBorder="1" applyAlignment="1">
      <alignment horizontal="center"/>
    </xf>
    <xf numFmtId="165" fontId="40" fillId="24" borderId="6" xfId="0" applyNumberFormat="1" applyFont="1" applyFill="1" applyBorder="1" applyAlignment="1">
      <alignment horizontal="right"/>
    </xf>
    <xf numFmtId="1" fontId="40" fillId="24" borderId="6" xfId="0" applyNumberFormat="1" applyFont="1" applyFill="1" applyBorder="1" applyAlignment="1">
      <alignment horizontal="right"/>
    </xf>
    <xf numFmtId="1" fontId="40" fillId="24" borderId="58" xfId="0" applyNumberFormat="1" applyFont="1" applyFill="1" applyBorder="1" applyAlignment="1">
      <alignment horizontal="right"/>
    </xf>
    <xf numFmtId="0" fontId="27" fillId="19" borderId="55" xfId="0" applyFont="1" applyFill="1" applyBorder="1"/>
    <xf numFmtId="0" fontId="0" fillId="19" borderId="54" xfId="0" applyFill="1" applyBorder="1"/>
    <xf numFmtId="0" fontId="0" fillId="19" borderId="55" xfId="0" applyFill="1" applyBorder="1"/>
    <xf numFmtId="0" fontId="50" fillId="11" borderId="61" xfId="0" applyFont="1" applyFill="1" applyBorder="1" applyAlignment="1">
      <alignment horizontal="center"/>
    </xf>
    <xf numFmtId="168" fontId="27" fillId="19" borderId="55" xfId="0" applyNumberFormat="1" applyFont="1" applyFill="1" applyBorder="1" applyAlignment="1">
      <alignment horizontal="right"/>
    </xf>
    <xf numFmtId="0" fontId="38" fillId="19" borderId="56" xfId="0" applyFont="1" applyFill="1" applyBorder="1" applyAlignment="1">
      <alignment horizontal="center"/>
    </xf>
    <xf numFmtId="1" fontId="50" fillId="24" borderId="6" xfId="0" applyNumberFormat="1" applyFont="1" applyFill="1" applyBorder="1" applyAlignment="1">
      <alignment horizontal="right"/>
    </xf>
    <xf numFmtId="169" fontId="50" fillId="24" borderId="6" xfId="0" applyNumberFormat="1" applyFont="1" applyFill="1" applyBorder="1" applyAlignment="1">
      <alignment horizontal="right"/>
    </xf>
    <xf numFmtId="0" fontId="50" fillId="24" borderId="58" xfId="0" applyFont="1" applyFill="1" applyBorder="1" applyAlignment="1">
      <alignment horizontal="center"/>
    </xf>
    <xf numFmtId="1" fontId="50" fillId="11" borderId="6" xfId="0" applyNumberFormat="1" applyFont="1" applyFill="1" applyBorder="1" applyAlignment="1">
      <alignment horizontal="right"/>
    </xf>
    <xf numFmtId="169" fontId="50" fillId="11" borderId="6" xfId="0" applyNumberFormat="1" applyFont="1" applyFill="1" applyBorder="1" applyAlignment="1">
      <alignment horizontal="right"/>
    </xf>
    <xf numFmtId="0" fontId="50" fillId="11" borderId="58" xfId="0" applyFont="1" applyFill="1" applyBorder="1" applyAlignment="1">
      <alignment horizontal="center"/>
    </xf>
    <xf numFmtId="1" fontId="50" fillId="11" borderId="62" xfId="0" applyNumberFormat="1" applyFont="1" applyFill="1" applyBorder="1" applyAlignment="1">
      <alignment horizontal="right"/>
    </xf>
    <xf numFmtId="169" fontId="50" fillId="11" borderId="62" xfId="0" applyNumberFormat="1" applyFont="1" applyFill="1" applyBorder="1" applyAlignment="1">
      <alignment horizontal="right"/>
    </xf>
    <xf numFmtId="2" fontId="27" fillId="19" borderId="59" xfId="0" applyNumberFormat="1" applyFont="1" applyFill="1" applyBorder="1" applyAlignment="1">
      <alignment horizontal="right"/>
    </xf>
    <xf numFmtId="2" fontId="40" fillId="11" borderId="2" xfId="0" applyNumberFormat="1" applyFont="1" applyFill="1" applyBorder="1" applyAlignment="1">
      <alignment horizontal="right"/>
    </xf>
    <xf numFmtId="1" fontId="50" fillId="11" borderId="25" xfId="0" applyNumberFormat="1" applyFont="1" applyFill="1" applyBorder="1" applyAlignment="1">
      <alignment horizontal="right"/>
    </xf>
    <xf numFmtId="2" fontId="40" fillId="24" borderId="4" xfId="0" applyNumberFormat="1" applyFont="1" applyFill="1" applyBorder="1" applyAlignment="1">
      <alignment horizontal="right"/>
    </xf>
    <xf numFmtId="1" fontId="50" fillId="24" borderId="5" xfId="0" applyNumberFormat="1" applyFont="1" applyFill="1" applyBorder="1" applyAlignment="1">
      <alignment horizontal="right"/>
    </xf>
    <xf numFmtId="1" fontId="40" fillId="11" borderId="60" xfId="0" applyNumberFormat="1" applyFont="1" applyFill="1" applyBorder="1" applyAlignment="1">
      <alignment horizontal="right"/>
    </xf>
    <xf numFmtId="2" fontId="40" fillId="11" borderId="4" xfId="0" applyNumberFormat="1" applyFont="1" applyFill="1" applyBorder="1" applyAlignment="1">
      <alignment horizontal="right"/>
    </xf>
    <xf numFmtId="1" fontId="50" fillId="11" borderId="5" xfId="0" applyNumberFormat="1" applyFont="1" applyFill="1" applyBorder="1" applyAlignment="1">
      <alignment horizontal="right"/>
    </xf>
    <xf numFmtId="1" fontId="40" fillId="11" borderId="58" xfId="0" applyNumberFormat="1" applyFont="1" applyFill="1" applyBorder="1" applyAlignment="1">
      <alignment horizontal="right"/>
    </xf>
    <xf numFmtId="2" fontId="40" fillId="24" borderId="7" xfId="0" applyNumberFormat="1" applyFont="1" applyFill="1" applyBorder="1" applyAlignment="1">
      <alignment horizontal="right"/>
    </xf>
    <xf numFmtId="1" fontId="27" fillId="19" borderId="34" xfId="0" applyNumberFormat="1" applyFont="1" applyFill="1" applyBorder="1" applyAlignment="1">
      <alignment horizontal="right"/>
    </xf>
    <xf numFmtId="0" fontId="74" fillId="31" borderId="45" xfId="0" applyFont="1" applyFill="1" applyBorder="1"/>
    <xf numFmtId="0" fontId="74" fillId="31" borderId="46" xfId="0" applyFont="1" applyFill="1" applyBorder="1"/>
    <xf numFmtId="0" fontId="69" fillId="31" borderId="46" xfId="0" applyFont="1" applyFill="1" applyBorder="1"/>
    <xf numFmtId="166" fontId="74" fillId="31" borderId="46" xfId="0" applyNumberFormat="1" applyFont="1" applyFill="1" applyBorder="1"/>
    <xf numFmtId="164" fontId="74" fillId="31" borderId="46" xfId="0" applyNumberFormat="1" applyFont="1" applyFill="1" applyBorder="1"/>
    <xf numFmtId="3" fontId="74" fillId="31" borderId="46" xfId="0" applyNumberFormat="1" applyFont="1" applyFill="1" applyBorder="1"/>
    <xf numFmtId="167" fontId="74" fillId="31" borderId="46" xfId="0" applyNumberFormat="1" applyFont="1" applyFill="1" applyBorder="1"/>
    <xf numFmtId="0" fontId="70" fillId="31" borderId="46" xfId="0" applyFont="1" applyFill="1" applyBorder="1"/>
    <xf numFmtId="0" fontId="74" fillId="31" borderId="47" xfId="0" applyFont="1" applyFill="1" applyBorder="1"/>
    <xf numFmtId="0" fontId="74" fillId="31" borderId="48" xfId="0" applyFont="1" applyFill="1" applyBorder="1"/>
    <xf numFmtId="0" fontId="70" fillId="31" borderId="48" xfId="0" applyFont="1" applyFill="1" applyBorder="1"/>
    <xf numFmtId="166" fontId="74" fillId="31" borderId="48" xfId="0" applyNumberFormat="1" applyFont="1" applyFill="1" applyBorder="1"/>
    <xf numFmtId="164" fontId="74" fillId="31" borderId="48" xfId="0" applyNumberFormat="1" applyFont="1" applyFill="1" applyBorder="1"/>
    <xf numFmtId="3" fontId="74" fillId="31" borderId="48" xfId="0" applyNumberFormat="1" applyFont="1" applyFill="1" applyBorder="1"/>
    <xf numFmtId="167" fontId="74" fillId="31" borderId="48" xfId="0" applyNumberFormat="1" applyFont="1" applyFill="1" applyBorder="1"/>
    <xf numFmtId="0" fontId="27" fillId="19" borderId="54" xfId="0" applyFont="1" applyFill="1" applyBorder="1" applyAlignment="1">
      <alignment horizontal="center" vertical="center"/>
    </xf>
    <xf numFmtId="0" fontId="27" fillId="19" borderId="55" xfId="0" applyFont="1" applyFill="1" applyBorder="1" applyAlignment="1">
      <alignment horizontal="center" vertical="center"/>
    </xf>
    <xf numFmtId="0" fontId="27" fillId="19" borderId="34" xfId="0" applyFont="1" applyFill="1" applyBorder="1" applyAlignment="1">
      <alignment horizontal="center" vertical="center"/>
    </xf>
    <xf numFmtId="0" fontId="27" fillId="19" borderId="56" xfId="0" applyFont="1" applyFill="1" applyBorder="1" applyAlignment="1">
      <alignment horizontal="center" vertical="center"/>
    </xf>
    <xf numFmtId="165" fontId="27" fillId="19" borderId="55" xfId="0" applyNumberFormat="1" applyFont="1" applyFill="1" applyBorder="1" applyAlignment="1">
      <alignment horizontal="center" vertical="center"/>
    </xf>
    <xf numFmtId="1" fontId="27" fillId="19" borderId="55" xfId="0" applyNumberFormat="1" applyFont="1" applyFill="1" applyBorder="1" applyAlignment="1">
      <alignment horizontal="center" vertical="center"/>
    </xf>
    <xf numFmtId="2" fontId="27" fillId="19" borderId="59" xfId="0" applyNumberFormat="1" applyFont="1" applyFill="1" applyBorder="1" applyAlignment="1">
      <alignment horizontal="center" vertical="center"/>
    </xf>
    <xf numFmtId="1" fontId="27" fillId="19" borderId="6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64" fontId="12" fillId="0" borderId="0" xfId="0" applyNumberFormat="1" applyFont="1"/>
    <xf numFmtId="10" fontId="12" fillId="0" borderId="0" xfId="0" applyNumberFormat="1" applyFont="1"/>
    <xf numFmtId="3" fontId="12" fillId="0" borderId="0" xfId="0" applyNumberFormat="1" applyFont="1"/>
    <xf numFmtId="4" fontId="0" fillId="0" borderId="0" xfId="0" applyNumberFormat="1"/>
    <xf numFmtId="16" fontId="3" fillId="2" borderId="0" xfId="0" applyNumberFormat="1" applyFont="1" applyFill="1" applyAlignment="1">
      <alignment horizontal="center"/>
    </xf>
    <xf numFmtId="3" fontId="1" fillId="4" borderId="0" xfId="0" applyNumberFormat="1" applyFont="1" applyFill="1"/>
    <xf numFmtId="3" fontId="3" fillId="2" borderId="0" xfId="0" applyNumberFormat="1" applyFont="1" applyFill="1"/>
    <xf numFmtId="0" fontId="1" fillId="0" borderId="63" xfId="0" applyFont="1" applyBorder="1"/>
    <xf numFmtId="17" fontId="3" fillId="7" borderId="0" xfId="0" applyNumberFormat="1" applyFont="1" applyFill="1"/>
    <xf numFmtId="0" fontId="3" fillId="34" borderId="0" xfId="0" applyFont="1" applyFill="1"/>
    <xf numFmtId="0" fontId="76" fillId="3" borderId="0" xfId="0" applyFont="1" applyFill="1"/>
    <xf numFmtId="3" fontId="17" fillId="11" borderId="0" xfId="0" applyNumberFormat="1" applyFont="1" applyFill="1"/>
    <xf numFmtId="0" fontId="14" fillId="3" borderId="0" xfId="0" applyFont="1" applyFill="1"/>
    <xf numFmtId="0" fontId="16" fillId="4" borderId="0" xfId="0" applyFont="1" applyFill="1"/>
    <xf numFmtId="3" fontId="18" fillId="11" borderId="0" xfId="0" applyNumberFormat="1" applyFont="1" applyFill="1"/>
    <xf numFmtId="3" fontId="19" fillId="11" borderId="0" xfId="0" applyNumberFormat="1" applyFont="1" applyFill="1"/>
    <xf numFmtId="16" fontId="27" fillId="2" borderId="0" xfId="0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5" fillId="0" borderId="64" xfId="0" applyFont="1" applyBorder="1"/>
    <xf numFmtId="0" fontId="35" fillId="0" borderId="64" xfId="0" applyFont="1" applyBorder="1" applyAlignment="1">
      <alignment horizontal="center"/>
    </xf>
    <xf numFmtId="0" fontId="27" fillId="2" borderId="51" xfId="0" applyFont="1" applyFill="1" applyBorder="1"/>
    <xf numFmtId="0" fontId="27" fillId="2" borderId="51" xfId="0" applyFont="1" applyFill="1" applyBorder="1" applyAlignment="1">
      <alignment horizontal="center"/>
    </xf>
    <xf numFmtId="0" fontId="35" fillId="12" borderId="0" xfId="0" applyFont="1" applyFill="1"/>
    <xf numFmtId="3" fontId="20" fillId="4" borderId="0" xfId="0" applyNumberFormat="1" applyFont="1" applyFill="1"/>
    <xf numFmtId="1" fontId="22" fillId="0" borderId="0" xfId="0" applyNumberFormat="1" applyFont="1"/>
    <xf numFmtId="166" fontId="15" fillId="0" borderId="0" xfId="0" applyNumberFormat="1" applyFont="1"/>
    <xf numFmtId="0" fontId="21" fillId="2" borderId="0" xfId="0" applyFont="1" applyFill="1"/>
    <xf numFmtId="0" fontId="21" fillId="2" borderId="0" xfId="0" applyFont="1" applyFill="1" applyAlignment="1">
      <alignment horizontal="center"/>
    </xf>
    <xf numFmtId="3" fontId="22" fillId="0" borderId="0" xfId="0" applyNumberFormat="1" applyFont="1"/>
    <xf numFmtId="3" fontId="15" fillId="0" borderId="0" xfId="0" applyNumberFormat="1" applyFont="1"/>
    <xf numFmtId="0" fontId="14" fillId="4" borderId="0" xfId="0" applyFont="1" applyFill="1"/>
    <xf numFmtId="3" fontId="20" fillId="0" borderId="0" xfId="0" applyNumberFormat="1" applyFont="1"/>
    <xf numFmtId="1" fontId="15" fillId="0" borderId="0" xfId="0" applyNumberFormat="1" applyFont="1"/>
    <xf numFmtId="4" fontId="20" fillId="0" borderId="0" xfId="0" applyNumberFormat="1" applyFont="1"/>
    <xf numFmtId="0" fontId="17" fillId="4" borderId="0" xfId="0" applyFont="1" applyFill="1"/>
    <xf numFmtId="0" fontId="77" fillId="12" borderId="0" xfId="0" applyFont="1" applyFill="1"/>
    <xf numFmtId="0" fontId="34" fillId="11" borderId="0" xfId="0" applyFont="1" applyFill="1"/>
    <xf numFmtId="0" fontId="34" fillId="11" borderId="0" xfId="0" applyFont="1" applyFill="1" applyAlignment="1">
      <alignment horizontal="center"/>
    </xf>
    <xf numFmtId="0" fontId="35" fillId="11" borderId="0" xfId="0" applyFont="1" applyFill="1" applyAlignment="1">
      <alignment horizontal="center"/>
    </xf>
    <xf numFmtId="0" fontId="27" fillId="19" borderId="0" xfId="0" applyFont="1" applyFill="1" applyAlignment="1">
      <alignment horizontal="left"/>
    </xf>
    <xf numFmtId="0" fontId="27" fillId="19" borderId="0" xfId="0" applyFont="1" applyFill="1" applyAlignment="1">
      <alignment horizontal="center"/>
    </xf>
    <xf numFmtId="0" fontId="27" fillId="19" borderId="15" xfId="0" applyFont="1" applyFill="1" applyBorder="1" applyAlignment="1">
      <alignment horizontal="left"/>
    </xf>
    <xf numFmtId="1" fontId="27" fillId="19" borderId="0" xfId="0" applyNumberFormat="1" applyFont="1" applyFill="1" applyAlignment="1">
      <alignment horizontal="center"/>
    </xf>
    <xf numFmtId="1" fontId="27" fillId="19" borderId="15" xfId="0" applyNumberFormat="1" applyFont="1" applyFill="1" applyBorder="1" applyAlignment="1">
      <alignment horizontal="center"/>
    </xf>
    <xf numFmtId="0" fontId="27" fillId="19" borderId="25" xfId="0" applyFont="1" applyFill="1" applyBorder="1" applyAlignment="1">
      <alignment horizontal="center"/>
    </xf>
    <xf numFmtId="165" fontId="27" fillId="19" borderId="20" xfId="0" applyNumberFormat="1" applyFont="1" applyFill="1" applyBorder="1" applyAlignment="1">
      <alignment horizontal="right"/>
    </xf>
    <xf numFmtId="1" fontId="27" fillId="19" borderId="0" xfId="0" applyNumberFormat="1" applyFont="1" applyFill="1" applyAlignment="1">
      <alignment horizontal="right"/>
    </xf>
    <xf numFmtId="2" fontId="27" fillId="19" borderId="0" xfId="0" applyNumberFormat="1" applyFont="1" applyFill="1" applyAlignment="1">
      <alignment horizontal="right"/>
    </xf>
    <xf numFmtId="0" fontId="27" fillId="20" borderId="0" xfId="0" applyFont="1" applyFill="1" applyAlignment="1">
      <alignment horizontal="left"/>
    </xf>
    <xf numFmtId="0" fontId="26" fillId="20" borderId="0" xfId="0" applyFont="1" applyFill="1" applyAlignment="1">
      <alignment horizontal="center"/>
    </xf>
    <xf numFmtId="0" fontId="27" fillId="20" borderId="15" xfId="0" applyFont="1" applyFill="1" applyBorder="1" applyAlignment="1">
      <alignment horizontal="left"/>
    </xf>
    <xf numFmtId="1" fontId="27" fillId="20" borderId="0" xfId="0" applyNumberFormat="1" applyFont="1" applyFill="1" applyAlignment="1">
      <alignment horizontal="center"/>
    </xf>
    <xf numFmtId="1" fontId="27" fillId="20" borderId="15" xfId="0" applyNumberFormat="1" applyFont="1" applyFill="1" applyBorder="1" applyAlignment="1">
      <alignment horizontal="center"/>
    </xf>
    <xf numFmtId="0" fontId="27" fillId="20" borderId="0" xfId="0" applyFont="1" applyFill="1" applyAlignment="1">
      <alignment horizontal="center"/>
    </xf>
    <xf numFmtId="0" fontId="27" fillId="20" borderId="25" xfId="0" applyFont="1" applyFill="1" applyBorder="1" applyAlignment="1">
      <alignment horizontal="center"/>
    </xf>
    <xf numFmtId="165" fontId="27" fillId="20" borderId="20" xfId="0" applyNumberFormat="1" applyFont="1" applyFill="1" applyBorder="1" applyAlignment="1">
      <alignment horizontal="right"/>
    </xf>
    <xf numFmtId="1" fontId="27" fillId="20" borderId="0" xfId="0" applyNumberFormat="1" applyFont="1" applyFill="1" applyAlignment="1">
      <alignment horizontal="right"/>
    </xf>
    <xf numFmtId="2" fontId="27" fillId="20" borderId="0" xfId="0" applyNumberFormat="1" applyFont="1" applyFill="1" applyAlignment="1">
      <alignment horizontal="right"/>
    </xf>
  </cellXfs>
  <cellStyles count="2">
    <cellStyle name="Normal" xfId="0" builtinId="0"/>
    <cellStyle name="Normal 2" xfId="1" xr:uid="{3516D6F3-74EC-E948-AA16-0846603211F3}"/>
  </cellStyles>
  <dxfs count="5">
    <dxf>
      <font>
        <color rgb="FF4472C4"/>
      </font>
      <fill>
        <patternFill patternType="solid">
          <fgColor indexed="64"/>
          <bgColor rgb="FFD9E2F3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ont>
        <b/>
        <i val="0"/>
        <color rgb="FFC00000"/>
      </font>
      <fill>
        <patternFill patternType="solid">
          <fgColor indexed="64"/>
          <bgColor rgb="FFFDE8E8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ont>
        <b/>
        <i val="0"/>
        <color rgb="FFC00000"/>
      </font>
      <fill>
        <patternFill patternType="solid">
          <fgColor indexed="64"/>
          <b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ker Helali" id="{7BFDF199-F290-E44B-BC88-7AF54B43F1FE}" userId="S::Faker.Helali@cdgefir.com::f3dc44ee-6b52-4582-b599-6a62da4821a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25" dT="2026-03-22T12:29:58.29" personId="{7BFDF199-F290-E44B-BC88-7AF54B43F1FE}" id="{75B24367-228F-8545-BF0F-85DE90257867}">
    <text>Pooled headcount: 129 hrs ÷ 18 = 7.17 FTE → 8 teachers.
Previously counted per-row: 6+2+1+1 = 10 teachers.
Saving: 2 headcount by sharing across Collège + Lycée Maths.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0" dT="2026-03-23T07:11:20.43" personId="{7BFDF199-F290-E44B-BC88-7AF54B43F1FE}" id="{6500F943-DF78-3149-AB49-3DB34F6D34B4}">
    <text>GL 641100 + 641400 + 641120 + 641420 combined. Component split (Base/Housing/Transport/Premium/HSA) not available in GL.</text>
  </threadedComment>
  <threadedComment ref="P13" dT="2026-03-23T07:11:20.44" personId="{7BFDF199-F290-E44B-BC88-7AF54B43F1FE}" id="{C0588062-CD0B-BE42-81A2-FE3664DB963D}">
    <text>GL 641200 — French Replacement Salary</text>
  </threadedComment>
  <threadedComment ref="P16" dT="2026-03-23T07:11:20.46" personId="{7BFDF199-F290-E44B-BC88-7AF54B43F1FE}" id="{2D27A74B-0FF1-2D42-9E45-C699631394E5}">
    <text>GL 641300 — Garderie Salaries</text>
  </threadedComment>
  <threadedComment ref="P17" dT="2026-03-23T07:11:20.46" personId="{7BFDF199-F290-E44B-BC88-7AF54B43F1FE}" id="{3D97EBFF-48C9-FE47-B439-B2B47AEF7B0F}">
    <text>GL 641401 — APS Salaries</text>
  </threadedComment>
  <threadedComment ref="P18" dT="2026-03-23T07:11:20.46" personId="{7BFDF199-F290-E44B-BC88-7AF54B43F1FE}" id="{1796A84F-2B33-954D-97E8-8DE64901B270}">
    <text>GL 641410 — Dépense Études Dirigées</text>
  </threadedComment>
  <threadedComment ref="P19" dT="2026-03-23T07:11:20.46" personId="{7BFDF199-F290-E44B-BC88-7AF54B43F1FE}" id="{2B910625-FEBC-4148-9669-C9F8ADC572EC}">
    <text>GL 648030 — Prime</text>
  </threadedComment>
  <threadedComment ref="P20" dT="2026-03-23T07:11:20.46" personId="{7BFDF199-F290-E44B-BC88-7AF54B43F1FE}" id="{BEAB32A5-E909-E646-8A32-9AF8FB709CFB}">
    <text>GL 648000 — Agence Enseignement Français (AEFE)</text>
  </threadedComment>
  <threadedComment ref="P25" dT="2026-03-23T07:11:20.46" personId="{7BFDF199-F290-E44B-BC88-7AF54B43F1FE}" id="{7900923E-47DA-664A-A7B7-E1810782CD26}">
    <text>GL 645100 — GOSI Payment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F4E733-9140-514F-82F1-F2973C8C327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4EB-8083-C84E-98F3-F4CC27B85FEC}">
  <sheetPr>
    <tabColor rgb="FFFF6600"/>
  </sheetPr>
  <dimension ref="A1:F50"/>
  <sheetViews>
    <sheetView workbookViewId="0">
      <selection activeCell="A42" sqref="A42"/>
    </sheetView>
  </sheetViews>
  <sheetFormatPr baseColWidth="10" defaultRowHeight="16" x14ac:dyDescent="0.2"/>
  <cols>
    <col min="1" max="1" width="38.33203125" customWidth="1"/>
    <col min="2" max="2" width="20" customWidth="1"/>
    <col min="3" max="3" width="46.6640625" customWidth="1"/>
  </cols>
  <sheetData>
    <row r="1" spans="1:3" ht="19" x14ac:dyDescent="0.25">
      <c r="A1" s="1" t="s">
        <v>705</v>
      </c>
    </row>
    <row r="3" spans="1:3" x14ac:dyDescent="0.2">
      <c r="A3" s="26" t="s">
        <v>706</v>
      </c>
      <c r="C3" s="5"/>
    </row>
    <row r="4" spans="1:3" x14ac:dyDescent="0.2">
      <c r="A4" t="s">
        <v>707</v>
      </c>
      <c r="B4" s="373">
        <v>2026</v>
      </c>
      <c r="C4" t="s">
        <v>708</v>
      </c>
    </row>
    <row r="5" spans="1:3" x14ac:dyDescent="0.2">
      <c r="A5" t="s">
        <v>709</v>
      </c>
      <c r="B5" s="373">
        <v>9</v>
      </c>
      <c r="C5" t="s">
        <v>710</v>
      </c>
    </row>
    <row r="6" spans="1:3" x14ac:dyDescent="0.2">
      <c r="A6" t="s">
        <v>711</v>
      </c>
      <c r="B6" s="374">
        <v>1</v>
      </c>
      <c r="C6" t="s">
        <v>712</v>
      </c>
    </row>
    <row r="7" spans="1:3" x14ac:dyDescent="0.2">
      <c r="A7" t="s">
        <v>713</v>
      </c>
      <c r="B7" s="248">
        <f>DATE(B4,1,1)</f>
        <v>46023</v>
      </c>
      <c r="C7" t="s">
        <v>714</v>
      </c>
    </row>
    <row r="8" spans="1:3" x14ac:dyDescent="0.2">
      <c r="A8" t="s">
        <v>715</v>
      </c>
      <c r="B8" s="248">
        <f>DATE(B4,12,31)</f>
        <v>46387</v>
      </c>
      <c r="C8" t="s">
        <v>714</v>
      </c>
    </row>
    <row r="9" spans="1:3" x14ac:dyDescent="0.2">
      <c r="A9" t="s">
        <v>716</v>
      </c>
      <c r="B9" s="248">
        <f>DATE(B4,B5,1)</f>
        <v>46266</v>
      </c>
      <c r="C9" t="s">
        <v>714</v>
      </c>
    </row>
    <row r="11" spans="1:3" x14ac:dyDescent="0.2">
      <c r="A11" s="26" t="s">
        <v>717</v>
      </c>
      <c r="C11" s="5"/>
    </row>
    <row r="12" spans="1:3" x14ac:dyDescent="0.2">
      <c r="A12" t="s">
        <v>718</v>
      </c>
      <c r="B12" s="375">
        <v>0.11749999999999999</v>
      </c>
      <c r="C12" t="s">
        <v>719</v>
      </c>
    </row>
    <row r="13" spans="1:3" x14ac:dyDescent="0.2">
      <c r="A13" t="s">
        <v>720</v>
      </c>
      <c r="B13" s="375">
        <v>0</v>
      </c>
      <c r="C13" t="s">
        <v>721</v>
      </c>
    </row>
    <row r="14" spans="1:3" x14ac:dyDescent="0.2">
      <c r="A14" t="s">
        <v>722</v>
      </c>
      <c r="B14" s="376">
        <v>45000</v>
      </c>
      <c r="C14" t="s">
        <v>723</v>
      </c>
    </row>
    <row r="15" spans="1:3" x14ac:dyDescent="0.2">
      <c r="A15" t="s">
        <v>724</v>
      </c>
      <c r="B15" s="24" t="s">
        <v>725</v>
      </c>
      <c r="C15" t="s">
        <v>726</v>
      </c>
    </row>
    <row r="17" spans="1:3" x14ac:dyDescent="0.2">
      <c r="A17" s="26" t="s">
        <v>727</v>
      </c>
      <c r="C17" s="5"/>
    </row>
    <row r="18" spans="1:3" x14ac:dyDescent="0.2">
      <c r="A18" t="s">
        <v>728</v>
      </c>
      <c r="B18" s="374">
        <v>0.5</v>
      </c>
      <c r="C18" t="s">
        <v>729</v>
      </c>
    </row>
    <row r="19" spans="1:3" x14ac:dyDescent="0.2">
      <c r="A19" t="s">
        <v>730</v>
      </c>
      <c r="B19" s="374">
        <v>1</v>
      </c>
      <c r="C19" t="s">
        <v>731</v>
      </c>
    </row>
    <row r="20" spans="1:3" x14ac:dyDescent="0.2">
      <c r="A20" t="s">
        <v>732</v>
      </c>
      <c r="B20" s="373">
        <v>5</v>
      </c>
      <c r="C20" t="s">
        <v>733</v>
      </c>
    </row>
    <row r="21" spans="1:3" x14ac:dyDescent="0.2">
      <c r="A21" t="s">
        <v>734</v>
      </c>
      <c r="B21" s="24" t="s">
        <v>735</v>
      </c>
      <c r="C21" t="s">
        <v>736</v>
      </c>
    </row>
    <row r="23" spans="1:3" x14ac:dyDescent="0.2">
      <c r="A23" s="26" t="s">
        <v>737</v>
      </c>
      <c r="C23" s="5"/>
    </row>
    <row r="24" spans="1:3" x14ac:dyDescent="0.2">
      <c r="A24" t="s">
        <v>738</v>
      </c>
      <c r="B24" s="376">
        <v>10925</v>
      </c>
      <c r="C24" t="s">
        <v>739</v>
      </c>
    </row>
    <row r="25" spans="1:3" x14ac:dyDescent="0.2">
      <c r="A25" t="s">
        <v>740</v>
      </c>
      <c r="B25" s="377">
        <f>B24/12</f>
        <v>910.41666666666663</v>
      </c>
      <c r="C25" t="s">
        <v>714</v>
      </c>
    </row>
    <row r="27" spans="1:3" x14ac:dyDescent="0.2">
      <c r="A27" s="26" t="s">
        <v>741</v>
      </c>
      <c r="C27" s="5"/>
    </row>
    <row r="28" spans="1:3" x14ac:dyDescent="0.2">
      <c r="A28" t="s">
        <v>742</v>
      </c>
      <c r="B28">
        <f>COUNTIF('Master Data'!D5:D194,"Contrat Local")</f>
        <v>160</v>
      </c>
      <c r="C28" t="s">
        <v>743</v>
      </c>
    </row>
    <row r="29" spans="1:3" x14ac:dyDescent="0.2">
      <c r="A29" t="s">
        <v>744</v>
      </c>
      <c r="B29">
        <f>COUNTIFS('Master Data'!D5:D194,"Contrat Local",'Master Data'!M5:M194,"Saudi")</f>
        <v>2</v>
      </c>
      <c r="C29" t="s">
        <v>743</v>
      </c>
    </row>
    <row r="30" spans="1:3" x14ac:dyDescent="0.2">
      <c r="A30" t="s">
        <v>745</v>
      </c>
      <c r="B30">
        <f>COUNTIFS('Master Data'!D5:D194,"Contrat Local",'Master Data'!M5:M194,"Non-Saudi")</f>
        <v>158</v>
      </c>
      <c r="C30" t="s">
        <v>743</v>
      </c>
    </row>
    <row r="32" spans="1:3" x14ac:dyDescent="0.2">
      <c r="A32" s="386" t="s">
        <v>828</v>
      </c>
      <c r="B32" s="5"/>
      <c r="C32" s="5"/>
    </row>
    <row r="33" spans="1:6" x14ac:dyDescent="0.2">
      <c r="A33" s="32" t="s">
        <v>829</v>
      </c>
      <c r="B33" s="399">
        <v>9</v>
      </c>
      <c r="C33" s="32" t="s">
        <v>830</v>
      </c>
    </row>
    <row r="34" spans="1:6" x14ac:dyDescent="0.2">
      <c r="A34" s="32" t="s">
        <v>831</v>
      </c>
      <c r="B34" s="400">
        <f>DATE(B4,B33,1)</f>
        <v>46266</v>
      </c>
      <c r="C34" s="32" t="s">
        <v>714</v>
      </c>
    </row>
    <row r="36" spans="1:6" x14ac:dyDescent="0.2">
      <c r="A36" s="401" t="s">
        <v>832</v>
      </c>
      <c r="B36" s="402" t="s">
        <v>833</v>
      </c>
      <c r="C36" s="402" t="s">
        <v>834</v>
      </c>
      <c r="D36" s="402" t="s">
        <v>835</v>
      </c>
      <c r="E36" s="402" t="s">
        <v>836</v>
      </c>
      <c r="F36" s="402" t="s">
        <v>837</v>
      </c>
    </row>
    <row r="37" spans="1:6" x14ac:dyDescent="0.2">
      <c r="A37" s="32" t="s">
        <v>838</v>
      </c>
      <c r="B37" s="403">
        <v>5200</v>
      </c>
      <c r="C37" s="403">
        <v>3700</v>
      </c>
      <c r="D37" s="403">
        <v>1250</v>
      </c>
      <c r="E37" s="403">
        <v>250</v>
      </c>
      <c r="F37" s="404">
        <f>B37*MAX(0,13-B33)</f>
        <v>20800</v>
      </c>
    </row>
    <row r="38" spans="1:6" x14ac:dyDescent="0.2">
      <c r="A38" s="32" t="s">
        <v>839</v>
      </c>
      <c r="B38" s="403">
        <v>10400</v>
      </c>
      <c r="C38" s="403">
        <v>7400</v>
      </c>
      <c r="D38" s="403">
        <v>2500</v>
      </c>
      <c r="E38" s="403">
        <v>500</v>
      </c>
      <c r="F38" s="404">
        <f>B38*MAX(0,13-$B$33)</f>
        <v>41600</v>
      </c>
    </row>
    <row r="39" spans="1:6" x14ac:dyDescent="0.2">
      <c r="A39" s="32" t="s">
        <v>840</v>
      </c>
      <c r="B39" s="403">
        <v>10400</v>
      </c>
      <c r="C39" s="403">
        <v>7400</v>
      </c>
      <c r="D39" s="403">
        <v>2500</v>
      </c>
      <c r="E39" s="403">
        <v>500</v>
      </c>
      <c r="F39" s="404">
        <f>B39*MAX(0,13-$B$33)</f>
        <v>41600</v>
      </c>
    </row>
    <row r="40" spans="1:6" x14ac:dyDescent="0.2">
      <c r="A40" s="32" t="s">
        <v>841</v>
      </c>
      <c r="B40" s="403">
        <v>10400</v>
      </c>
      <c r="C40" s="403">
        <v>7400</v>
      </c>
      <c r="D40" s="403">
        <v>2500</v>
      </c>
      <c r="E40" s="403">
        <v>500</v>
      </c>
      <c r="F40" s="404">
        <f>B40*MAX(0,13-$B$33)</f>
        <v>41600</v>
      </c>
    </row>
    <row r="41" spans="1:6" x14ac:dyDescent="0.2">
      <c r="A41" s="32" t="s">
        <v>842</v>
      </c>
      <c r="B41" s="403">
        <v>10600</v>
      </c>
      <c r="C41" s="403">
        <v>7600</v>
      </c>
      <c r="D41" s="403">
        <v>2500</v>
      </c>
      <c r="E41" s="403">
        <v>500</v>
      </c>
      <c r="F41" s="404">
        <f>B41*MAX(0,13-$B$33)</f>
        <v>42400</v>
      </c>
    </row>
    <row r="42" spans="1:6" x14ac:dyDescent="0.2">
      <c r="A42" s="32" t="s">
        <v>843</v>
      </c>
      <c r="B42" s="403">
        <v>10400</v>
      </c>
      <c r="C42" s="403">
        <v>7400</v>
      </c>
      <c r="D42" s="403">
        <v>2500</v>
      </c>
      <c r="E42" s="403">
        <v>500</v>
      </c>
      <c r="F42" s="404">
        <f>B42*MAX(0,13-$B$33)</f>
        <v>41600</v>
      </c>
    </row>
    <row r="43" spans="1:6" x14ac:dyDescent="0.2">
      <c r="A43" s="405" t="s">
        <v>844</v>
      </c>
      <c r="B43" s="398">
        <f>SUM(B37:B42)</f>
        <v>57400</v>
      </c>
      <c r="C43" s="398">
        <f>SUM(C37:C42)</f>
        <v>40900</v>
      </c>
      <c r="D43" s="398">
        <f>SUM(D37:D42)</f>
        <v>13750</v>
      </c>
      <c r="E43" s="398">
        <f>SUM(E37:E42)</f>
        <v>2750</v>
      </c>
      <c r="F43" s="398">
        <f>SUM(F37:F42)</f>
        <v>229600</v>
      </c>
    </row>
    <row r="45" spans="1:6" x14ac:dyDescent="0.2">
      <c r="A45" s="386" t="s">
        <v>845</v>
      </c>
      <c r="B45" s="5"/>
      <c r="C45" s="5"/>
    </row>
    <row r="46" spans="1:6" x14ac:dyDescent="0.2">
      <c r="A46" s="32" t="s">
        <v>846</v>
      </c>
      <c r="B46" s="407">
        <f>COUNTA(A37:A42)</f>
        <v>6</v>
      </c>
      <c r="C46" s="32" t="s">
        <v>847</v>
      </c>
    </row>
    <row r="47" spans="1:6" x14ac:dyDescent="0.2">
      <c r="A47" s="32" t="s">
        <v>848</v>
      </c>
      <c r="B47" s="407">
        <f>MAX(0,13-B33)</f>
        <v>4</v>
      </c>
      <c r="C47" s="32" t="s">
        <v>849</v>
      </c>
    </row>
    <row r="48" spans="1:6" x14ac:dyDescent="0.2">
      <c r="A48" s="32" t="s">
        <v>850</v>
      </c>
      <c r="B48" s="406">
        <f>B43</f>
        <v>57400</v>
      </c>
      <c r="C48" s="32" t="s">
        <v>851</v>
      </c>
    </row>
    <row r="49" spans="1:3" x14ac:dyDescent="0.2">
      <c r="A49" s="32" t="s">
        <v>852</v>
      </c>
      <c r="B49" s="408">
        <f>B48*B18/12</f>
        <v>2391.6666666666665</v>
      </c>
      <c r="C49" s="32" t="s">
        <v>853</v>
      </c>
    </row>
    <row r="50" spans="1:3" x14ac:dyDescent="0.2">
      <c r="A50" s="32" t="s">
        <v>854</v>
      </c>
      <c r="B50" s="408">
        <f>B46*B25</f>
        <v>5462.5</v>
      </c>
      <c r="C50" s="32" t="s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08571-7DD6-3B40-B249-AEDAEEDFC2FA}">
  <dimension ref="A1:E27"/>
  <sheetViews>
    <sheetView showGridLines="0" workbookViewId="0">
      <selection activeCell="C5" sqref="C5"/>
    </sheetView>
  </sheetViews>
  <sheetFormatPr baseColWidth="10" defaultRowHeight="16" x14ac:dyDescent="0.2"/>
  <cols>
    <col min="1" max="1" width="30" customWidth="1"/>
    <col min="2" max="2" width="28.33203125" customWidth="1"/>
    <col min="3" max="3" width="17.6640625" bestFit="1" customWidth="1"/>
    <col min="4" max="4" width="17.1640625" bestFit="1" customWidth="1"/>
    <col min="5" max="5" width="46.6640625" customWidth="1"/>
  </cols>
  <sheetData>
    <row r="1" spans="1:5" ht="19" x14ac:dyDescent="0.25">
      <c r="A1" s="1" t="s">
        <v>0</v>
      </c>
    </row>
    <row r="3" spans="1:5" x14ac:dyDescent="0.2">
      <c r="A3" s="3" t="s">
        <v>1</v>
      </c>
      <c r="B3" s="3" t="s">
        <v>2</v>
      </c>
      <c r="C3" s="3" t="s">
        <v>123</v>
      </c>
      <c r="D3" s="3" t="s">
        <v>3</v>
      </c>
    </row>
    <row r="4" spans="1:5" x14ac:dyDescent="0.2">
      <c r="A4" s="4" t="s">
        <v>4</v>
      </c>
      <c r="B4" s="5" t="s">
        <v>5</v>
      </c>
      <c r="C4" s="5">
        <v>65</v>
      </c>
      <c r="D4" s="6">
        <v>3</v>
      </c>
    </row>
    <row r="5" spans="1:5" x14ac:dyDescent="0.2">
      <c r="A5" s="4" t="s">
        <v>4</v>
      </c>
      <c r="B5" s="5" t="s">
        <v>6</v>
      </c>
      <c r="C5" s="5">
        <v>77</v>
      </c>
      <c r="D5" s="6">
        <v>4</v>
      </c>
    </row>
    <row r="6" spans="1:5" x14ac:dyDescent="0.2">
      <c r="A6" s="4" t="s">
        <v>4</v>
      </c>
      <c r="B6" s="5" t="s">
        <v>7</v>
      </c>
      <c r="C6" s="5">
        <v>124</v>
      </c>
      <c r="D6" s="6">
        <v>6</v>
      </c>
    </row>
    <row r="7" spans="1:5" x14ac:dyDescent="0.2">
      <c r="A7" s="7" t="s">
        <v>8</v>
      </c>
      <c r="B7" s="8" t="s">
        <v>9</v>
      </c>
      <c r="C7" s="8">
        <v>126</v>
      </c>
      <c r="D7" s="9">
        <v>5</v>
      </c>
    </row>
    <row r="8" spans="1:5" x14ac:dyDescent="0.2">
      <c r="A8" s="7" t="s">
        <v>8</v>
      </c>
      <c r="B8" s="8" t="s">
        <v>10</v>
      </c>
      <c r="C8" s="8">
        <v>118</v>
      </c>
      <c r="D8" s="9">
        <v>5</v>
      </c>
    </row>
    <row r="9" spans="1:5" x14ac:dyDescent="0.2">
      <c r="A9" s="7" t="s">
        <v>8</v>
      </c>
      <c r="B9" s="8" t="s">
        <v>11</v>
      </c>
      <c r="C9" s="8">
        <v>132</v>
      </c>
      <c r="D9" s="9">
        <v>6</v>
      </c>
    </row>
    <row r="10" spans="1:5" x14ac:dyDescent="0.2">
      <c r="A10" s="7" t="s">
        <v>8</v>
      </c>
      <c r="B10" s="8" t="s">
        <v>12</v>
      </c>
      <c r="C10" s="8">
        <v>121</v>
      </c>
      <c r="D10" s="9">
        <v>5</v>
      </c>
    </row>
    <row r="11" spans="1:5" x14ac:dyDescent="0.2">
      <c r="A11" s="7" t="s">
        <v>8</v>
      </c>
      <c r="B11" s="8" t="s">
        <v>13</v>
      </c>
      <c r="C11" s="8">
        <v>121</v>
      </c>
      <c r="D11" s="9">
        <v>5</v>
      </c>
    </row>
    <row r="12" spans="1:5" x14ac:dyDescent="0.2">
      <c r="A12" s="10" t="s">
        <v>14</v>
      </c>
      <c r="B12" s="11" t="s">
        <v>15</v>
      </c>
      <c r="C12" s="11">
        <v>151</v>
      </c>
      <c r="D12" s="12">
        <v>6</v>
      </c>
    </row>
    <row r="13" spans="1:5" x14ac:dyDescent="0.2">
      <c r="A13" s="10" t="s">
        <v>14</v>
      </c>
      <c r="B13" s="11" t="s">
        <v>16</v>
      </c>
      <c r="C13" s="11">
        <v>139</v>
      </c>
      <c r="D13" s="12">
        <v>6</v>
      </c>
    </row>
    <row r="14" spans="1:5" x14ac:dyDescent="0.2">
      <c r="A14" s="10" t="s">
        <v>14</v>
      </c>
      <c r="B14" s="11" t="s">
        <v>17</v>
      </c>
      <c r="C14" s="11">
        <v>120</v>
      </c>
      <c r="D14" s="12">
        <v>5</v>
      </c>
    </row>
    <row r="15" spans="1:5" x14ac:dyDescent="0.2">
      <c r="A15" s="10" t="s">
        <v>14</v>
      </c>
      <c r="B15" s="11" t="s">
        <v>18</v>
      </c>
      <c r="C15" s="11">
        <v>103</v>
      </c>
      <c r="D15" s="12">
        <v>4</v>
      </c>
    </row>
    <row r="16" spans="1:5" x14ac:dyDescent="0.2">
      <c r="A16" s="13" t="s">
        <v>19</v>
      </c>
      <c r="B16" s="14" t="s">
        <v>20</v>
      </c>
      <c r="C16" s="14">
        <v>125</v>
      </c>
      <c r="D16" s="15">
        <v>5</v>
      </c>
    </row>
    <row r="17" spans="1:5" x14ac:dyDescent="0.2">
      <c r="A17" s="13" t="s">
        <v>19</v>
      </c>
      <c r="B17" s="14" t="s">
        <v>21</v>
      </c>
      <c r="C17" s="14">
        <v>120</v>
      </c>
      <c r="D17" s="15">
        <v>5</v>
      </c>
    </row>
    <row r="18" spans="1:5" x14ac:dyDescent="0.2">
      <c r="A18" s="13" t="s">
        <v>19</v>
      </c>
      <c r="B18" s="14" t="s">
        <v>22</v>
      </c>
      <c r="C18" s="14">
        <v>111</v>
      </c>
      <c r="D18" s="15">
        <v>4</v>
      </c>
    </row>
    <row r="20" spans="1:5" x14ac:dyDescent="0.2">
      <c r="A20" s="16" t="s">
        <v>23</v>
      </c>
      <c r="B20" s="17"/>
      <c r="C20" s="17"/>
      <c r="D20" s="17"/>
    </row>
    <row r="21" spans="1:5" x14ac:dyDescent="0.2">
      <c r="A21" s="13" t="s">
        <v>24</v>
      </c>
      <c r="B21" s="18"/>
      <c r="C21" s="18">
        <f>SUM(C4:C6)</f>
        <v>266</v>
      </c>
      <c r="D21" s="18">
        <f>SUM(D4:D6)</f>
        <v>13</v>
      </c>
    </row>
    <row r="22" spans="1:5" x14ac:dyDescent="0.2">
      <c r="A22" s="13" t="s">
        <v>25</v>
      </c>
      <c r="B22" s="18"/>
      <c r="C22" s="18">
        <f>SUM(C7:C11)</f>
        <v>618</v>
      </c>
      <c r="D22" s="18">
        <f>SUM(D7:D11)</f>
        <v>26</v>
      </c>
    </row>
    <row r="23" spans="1:5" x14ac:dyDescent="0.2">
      <c r="A23" s="13" t="s">
        <v>26</v>
      </c>
      <c r="B23" s="18"/>
      <c r="C23" s="18">
        <f>SUM(C12:C15)</f>
        <v>513</v>
      </c>
      <c r="D23" s="18">
        <f>SUM(D12:D15)</f>
        <v>21</v>
      </c>
    </row>
    <row r="24" spans="1:5" x14ac:dyDescent="0.2">
      <c r="A24" s="13" t="s">
        <v>27</v>
      </c>
      <c r="B24" s="18"/>
      <c r="C24" s="18">
        <f>SUM(C16:C18)</f>
        <v>356</v>
      </c>
      <c r="D24" s="18">
        <f>SUM(D16:D18)</f>
        <v>14</v>
      </c>
    </row>
    <row r="26" spans="1:5" x14ac:dyDescent="0.2">
      <c r="A26" s="2" t="s">
        <v>28</v>
      </c>
      <c r="B26" s="3"/>
      <c r="C26" s="3">
        <f>SUM(C21:C24)</f>
        <v>1753</v>
      </c>
      <c r="D26" s="3">
        <f>SUM(D21:D24)</f>
        <v>74</v>
      </c>
    </row>
    <row r="27" spans="1:5" x14ac:dyDescent="0.2">
      <c r="A27" s="19" t="s">
        <v>29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94D2-BBF7-044C-B021-381EA100579A}">
  <dimension ref="A1:Y100"/>
  <sheetViews>
    <sheetView zoomScale="110" zoomScaleNormal="110" workbookViewId="0">
      <pane xSplit="4" ySplit="10" topLeftCell="E68" activePane="bottomRight" state="frozen"/>
      <selection pane="topRight" activeCell="D1" sqref="D1"/>
      <selection pane="bottomLeft" activeCell="A11" sqref="A11"/>
      <selection pane="bottomRight" activeCell="L100" sqref="L100"/>
    </sheetView>
  </sheetViews>
  <sheetFormatPr baseColWidth="10" defaultRowHeight="16" x14ac:dyDescent="0.2"/>
  <cols>
    <col min="1" max="1" width="20" customWidth="1"/>
    <col min="2" max="3" width="33.33203125" customWidth="1"/>
    <col min="4" max="4" width="30" customWidth="1"/>
    <col min="5" max="7" width="8.33203125" customWidth="1"/>
    <col min="8" max="12" width="15.83203125" customWidth="1"/>
    <col min="13" max="21" width="8.33203125" customWidth="1"/>
    <col min="22" max="25" width="12.5" customWidth="1"/>
  </cols>
  <sheetData>
    <row r="1" spans="1:25" ht="19" x14ac:dyDescent="0.25">
      <c r="A1" s="111" t="s">
        <v>86</v>
      </c>
      <c r="B1" s="111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5" x14ac:dyDescent="0.2">
      <c r="A2" s="112" t="s">
        <v>87</v>
      </c>
      <c r="B2" s="11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spans="1:25" x14ac:dyDescent="0.2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spans="1:25" x14ac:dyDescent="0.2">
      <c r="A4" s="212" t="s">
        <v>88</v>
      </c>
      <c r="B4" s="212"/>
      <c r="C4" s="29"/>
      <c r="D4" s="29"/>
      <c r="E4" s="29"/>
      <c r="F4" s="29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spans="1:25" x14ac:dyDescent="0.2">
      <c r="A5" s="33" t="s">
        <v>89</v>
      </c>
      <c r="B5" s="33"/>
      <c r="C5" s="33" t="s">
        <v>90</v>
      </c>
      <c r="D5" s="37">
        <v>18</v>
      </c>
      <c r="E5" s="38" t="s">
        <v>91</v>
      </c>
      <c r="F5" s="38"/>
      <c r="G5" s="33" t="s">
        <v>130</v>
      </c>
      <c r="H5" s="37">
        <v>2</v>
      </c>
      <c r="I5" s="38" t="s">
        <v>91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6" spans="1:25" x14ac:dyDescent="0.2">
      <c r="A6" s="33"/>
      <c r="B6" s="33"/>
      <c r="C6" s="33" t="s">
        <v>92</v>
      </c>
      <c r="D6" s="37">
        <v>24</v>
      </c>
      <c r="E6" s="38" t="s">
        <v>91</v>
      </c>
      <c r="F6" s="38"/>
      <c r="G6" s="33" t="s">
        <v>131</v>
      </c>
      <c r="H6" s="39">
        <f>$D$5+$H$5</f>
        <v>20</v>
      </c>
      <c r="I6" s="38" t="s">
        <v>91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</row>
    <row r="7" spans="1:25" x14ac:dyDescent="0.2">
      <c r="A7" s="212" t="s">
        <v>210</v>
      </c>
      <c r="B7" s="221"/>
      <c r="C7" s="219" t="s">
        <v>211</v>
      </c>
      <c r="D7" s="220">
        <v>0.5</v>
      </c>
      <c r="E7" s="219" t="s">
        <v>212</v>
      </c>
      <c r="F7" s="220">
        <v>0.1</v>
      </c>
      <c r="G7" s="219" t="s">
        <v>213</v>
      </c>
      <c r="H7" s="220">
        <v>0.4</v>
      </c>
      <c r="I7" s="219" t="str">
        <f>IF(D7+F7+H7=1,"✓","≠100%!")</f>
        <v>✓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</row>
    <row r="8" spans="1:25" x14ac:dyDescent="0.2">
      <c r="A8" s="113"/>
      <c r="B8" s="113"/>
      <c r="C8" s="113"/>
      <c r="D8" s="114"/>
      <c r="E8" s="113"/>
      <c r="F8" s="114"/>
      <c r="G8" s="115" t="s">
        <v>45</v>
      </c>
      <c r="H8" s="113"/>
      <c r="I8" s="116"/>
      <c r="J8" s="115" t="s">
        <v>46</v>
      </c>
      <c r="K8" s="113"/>
      <c r="L8" s="113"/>
      <c r="M8" s="113"/>
      <c r="N8" s="116"/>
      <c r="O8" s="115" t="s">
        <v>47</v>
      </c>
      <c r="P8" s="113"/>
      <c r="Q8" s="113"/>
      <c r="R8" s="116"/>
      <c r="S8" s="115" t="s">
        <v>48</v>
      </c>
      <c r="T8" s="113"/>
      <c r="U8" s="113"/>
      <c r="V8" s="155" t="s">
        <v>93</v>
      </c>
      <c r="W8" s="156"/>
      <c r="X8" s="156"/>
      <c r="Y8" s="156"/>
    </row>
    <row r="9" spans="1:25" ht="17" thickBot="1" x14ac:dyDescent="0.25">
      <c r="A9" s="117" t="s">
        <v>94</v>
      </c>
      <c r="B9" s="69" t="s">
        <v>33</v>
      </c>
      <c r="C9" s="117" t="s">
        <v>49</v>
      </c>
      <c r="D9" s="118" t="s">
        <v>50</v>
      </c>
      <c r="E9" s="117" t="s">
        <v>95</v>
      </c>
      <c r="F9" s="118"/>
      <c r="G9" s="69" t="s">
        <v>51</v>
      </c>
      <c r="H9" s="69" t="s">
        <v>52</v>
      </c>
      <c r="I9" s="119" t="s">
        <v>53</v>
      </c>
      <c r="J9" s="69" t="s">
        <v>54</v>
      </c>
      <c r="K9" s="69" t="s">
        <v>10</v>
      </c>
      <c r="L9" s="69" t="s">
        <v>11</v>
      </c>
      <c r="M9" s="69" t="s">
        <v>12</v>
      </c>
      <c r="N9" s="119" t="s">
        <v>13</v>
      </c>
      <c r="O9" s="69" t="s">
        <v>15</v>
      </c>
      <c r="P9" s="69" t="s">
        <v>16</v>
      </c>
      <c r="Q9" s="69" t="s">
        <v>17</v>
      </c>
      <c r="R9" s="119" t="s">
        <v>18</v>
      </c>
      <c r="S9" s="69" t="s">
        <v>55</v>
      </c>
      <c r="T9" s="69" t="s">
        <v>56</v>
      </c>
      <c r="U9" s="69" t="s">
        <v>57</v>
      </c>
      <c r="V9" s="157" t="s">
        <v>96</v>
      </c>
      <c r="W9" s="158" t="s">
        <v>97</v>
      </c>
      <c r="X9" s="158" t="s">
        <v>98</v>
      </c>
      <c r="Y9" s="158" t="s">
        <v>99</v>
      </c>
    </row>
    <row r="10" spans="1:25" ht="17" thickBot="1" x14ac:dyDescent="0.25">
      <c r="A10" s="120"/>
      <c r="B10" s="120"/>
      <c r="C10" s="121" t="s">
        <v>3</v>
      </c>
      <c r="D10" s="122"/>
      <c r="E10" s="120"/>
      <c r="F10" s="122"/>
      <c r="G10" s="206">
        <v>3</v>
      </c>
      <c r="H10" s="206">
        <v>3</v>
      </c>
      <c r="I10" s="207">
        <v>5</v>
      </c>
      <c r="J10" s="206">
        <v>6</v>
      </c>
      <c r="K10" s="206">
        <v>5</v>
      </c>
      <c r="L10" s="206">
        <v>6</v>
      </c>
      <c r="M10" s="206">
        <v>5</v>
      </c>
      <c r="N10" s="207">
        <v>5</v>
      </c>
      <c r="O10" s="206">
        <v>6</v>
      </c>
      <c r="P10" s="206">
        <v>6</v>
      </c>
      <c r="Q10" s="206">
        <v>5</v>
      </c>
      <c r="R10" s="207">
        <v>4</v>
      </c>
      <c r="S10" s="206">
        <v>5</v>
      </c>
      <c r="T10" s="206">
        <v>5</v>
      </c>
      <c r="U10" s="206">
        <v>4</v>
      </c>
      <c r="V10" s="123"/>
      <c r="W10" s="120"/>
      <c r="X10" s="120"/>
      <c r="Y10" s="120"/>
    </row>
    <row r="11" spans="1:25" ht="22" customHeight="1" x14ac:dyDescent="0.2">
      <c r="A11" s="414" t="s">
        <v>128</v>
      </c>
      <c r="B11" s="415"/>
      <c r="C11" s="414"/>
      <c r="D11" s="416"/>
      <c r="E11" s="417"/>
      <c r="F11" s="418"/>
      <c r="G11" s="415"/>
      <c r="H11" s="415"/>
      <c r="I11" s="419"/>
      <c r="J11" s="415"/>
      <c r="K11" s="415"/>
      <c r="L11" s="415"/>
      <c r="M11" s="415"/>
      <c r="N11" s="419"/>
      <c r="O11" s="415"/>
      <c r="P11" s="415"/>
      <c r="Q11" s="415"/>
      <c r="R11" s="419"/>
      <c r="S11" s="415"/>
      <c r="T11" s="415"/>
      <c r="U11" s="415"/>
      <c r="V11" s="420"/>
      <c r="W11" s="421"/>
      <c r="X11" s="422"/>
      <c r="Y11" s="124"/>
    </row>
    <row r="12" spans="1:25" ht="19" customHeight="1" x14ac:dyDescent="0.2">
      <c r="A12" s="135" t="s">
        <v>115</v>
      </c>
      <c r="B12" s="131"/>
      <c r="C12" s="135"/>
      <c r="D12" s="148"/>
      <c r="E12" s="94"/>
      <c r="F12" s="133"/>
      <c r="G12" s="131"/>
      <c r="H12" s="131"/>
      <c r="I12" s="187"/>
      <c r="J12" s="131"/>
      <c r="K12" s="131"/>
      <c r="L12" s="131"/>
      <c r="M12" s="131"/>
      <c r="N12" s="187"/>
      <c r="O12" s="131"/>
      <c r="P12" s="131"/>
      <c r="Q12" s="131"/>
      <c r="R12" s="187"/>
      <c r="S12" s="131"/>
      <c r="T12" s="131"/>
      <c r="U12" s="131"/>
      <c r="V12" s="125"/>
      <c r="W12" s="126"/>
      <c r="X12" s="127"/>
      <c r="Y12" s="126"/>
    </row>
    <row r="13" spans="1:25" ht="17" customHeight="1" x14ac:dyDescent="0.2">
      <c r="A13" s="136" t="s">
        <v>116</v>
      </c>
      <c r="B13" s="132"/>
      <c r="C13" s="142" t="s">
        <v>117</v>
      </c>
      <c r="D13" s="149" t="s">
        <v>58</v>
      </c>
      <c r="E13" s="73">
        <v>1</v>
      </c>
      <c r="F13" s="99"/>
      <c r="G13" s="188">
        <v>24</v>
      </c>
      <c r="H13" s="188">
        <v>24</v>
      </c>
      <c r="I13" s="189">
        <v>24</v>
      </c>
      <c r="J13" s="188"/>
      <c r="K13" s="188"/>
      <c r="L13" s="188"/>
      <c r="M13" s="188"/>
      <c r="N13" s="189"/>
      <c r="O13" s="188"/>
      <c r="P13" s="188"/>
      <c r="Q13" s="188"/>
      <c r="R13" s="189"/>
      <c r="S13" s="188"/>
      <c r="T13" s="188"/>
      <c r="U13" s="188"/>
      <c r="V13" s="105" cm="1">
        <f t="array" ref="V13">SUMPRODUCT(IF(ISNUMBER(G13:U13),G13:U13,0),$G$10:$U$10)*E13</f>
        <v>264</v>
      </c>
      <c r="W13" s="70">
        <f>IF(ISNUMBER(SEARCH("PE",D13)),$D$6,$D$5)</f>
        <v>24</v>
      </c>
      <c r="X13" s="71">
        <f>SUM($G$10:$I$10)</f>
        <v>11</v>
      </c>
      <c r="Y13" s="159">
        <f>X13</f>
        <v>11</v>
      </c>
    </row>
    <row r="14" spans="1:25" ht="17" customHeight="1" x14ac:dyDescent="0.2">
      <c r="A14" s="137" t="s">
        <v>116</v>
      </c>
      <c r="B14" s="74" t="s">
        <v>116</v>
      </c>
      <c r="C14" s="143" t="s">
        <v>119</v>
      </c>
      <c r="D14" s="150" t="s">
        <v>120</v>
      </c>
      <c r="E14" s="75">
        <v>1</v>
      </c>
      <c r="F14" s="100"/>
      <c r="G14" s="190">
        <v>24</v>
      </c>
      <c r="H14" s="190">
        <v>24</v>
      </c>
      <c r="I14" s="191">
        <v>24</v>
      </c>
      <c r="J14" s="190"/>
      <c r="K14" s="190"/>
      <c r="L14" s="190"/>
      <c r="M14" s="190"/>
      <c r="N14" s="191"/>
      <c r="O14" s="190"/>
      <c r="P14" s="190"/>
      <c r="Q14" s="190"/>
      <c r="R14" s="191"/>
      <c r="S14" s="190"/>
      <c r="T14" s="190"/>
      <c r="U14" s="190"/>
      <c r="V14" s="106" cm="1">
        <f t="array" ref="V14">SUMPRODUCT(IF(ISNUMBER(G14:U14),G14:U14,0),$G$10:$U$10)*E14</f>
        <v>264</v>
      </c>
      <c r="W14" s="76">
        <f>$D$6</f>
        <v>24</v>
      </c>
      <c r="X14" s="77">
        <f>SUM($G$10:$I$10)</f>
        <v>11</v>
      </c>
      <c r="Y14" s="160">
        <f>X14</f>
        <v>11</v>
      </c>
    </row>
    <row r="15" spans="1:25" ht="17" customHeight="1" x14ac:dyDescent="0.2">
      <c r="A15" s="138"/>
      <c r="B15" s="78" t="s">
        <v>116</v>
      </c>
      <c r="C15" s="144" t="s">
        <v>126</v>
      </c>
      <c r="D15" s="151"/>
      <c r="E15" s="79"/>
      <c r="F15" s="101"/>
      <c r="G15" s="192"/>
      <c r="H15" s="192"/>
      <c r="I15" s="193"/>
      <c r="J15" s="192"/>
      <c r="K15" s="192"/>
      <c r="L15" s="192"/>
      <c r="M15" s="192"/>
      <c r="N15" s="193"/>
      <c r="O15" s="192"/>
      <c r="P15" s="192"/>
      <c r="Q15" s="192"/>
      <c r="R15" s="193"/>
      <c r="S15" s="192"/>
      <c r="T15" s="192"/>
      <c r="U15" s="192"/>
      <c r="V15" s="107">
        <f>V13+V14</f>
        <v>528</v>
      </c>
      <c r="W15" s="80">
        <f>$D$6</f>
        <v>24</v>
      </c>
      <c r="X15" s="81">
        <f>X13</f>
        <v>11</v>
      </c>
      <c r="Y15" s="80">
        <f>X15</f>
        <v>11</v>
      </c>
    </row>
    <row r="16" spans="1:25" ht="17" customHeight="1" x14ac:dyDescent="0.2">
      <c r="A16" s="139" t="s">
        <v>116</v>
      </c>
      <c r="B16" s="82"/>
      <c r="C16" s="145" t="s">
        <v>118</v>
      </c>
      <c r="D16" s="152" t="s">
        <v>58</v>
      </c>
      <c r="E16" s="75">
        <v>1</v>
      </c>
      <c r="F16" s="100"/>
      <c r="G16" s="194"/>
      <c r="H16" s="194"/>
      <c r="I16" s="195"/>
      <c r="J16" s="194">
        <v>24</v>
      </c>
      <c r="K16" s="194">
        <v>24</v>
      </c>
      <c r="L16" s="194">
        <v>24</v>
      </c>
      <c r="M16" s="194">
        <v>24</v>
      </c>
      <c r="N16" s="195">
        <v>24</v>
      </c>
      <c r="O16" s="194"/>
      <c r="P16" s="194"/>
      <c r="Q16" s="194"/>
      <c r="R16" s="195"/>
      <c r="S16" s="194"/>
      <c r="T16" s="194"/>
      <c r="U16" s="194"/>
      <c r="V16" s="106" cm="1">
        <f t="array" ref="V16">SUMPRODUCT(IF(ISNUMBER(G16:U16),G16:U16,0),$G$10:$U$10)*E16</f>
        <v>648</v>
      </c>
      <c r="W16" s="76">
        <f>IF(ISNUMBER(SEARCH("PE",D16)),$D$6,$D$5)</f>
        <v>24</v>
      </c>
      <c r="X16" s="77">
        <f>SUM($J$10:$N$10)</f>
        <v>27</v>
      </c>
      <c r="Y16" s="160">
        <f>X16</f>
        <v>27</v>
      </c>
    </row>
    <row r="17" spans="1:25" ht="17" customHeight="1" x14ac:dyDescent="0.2">
      <c r="A17" s="138"/>
      <c r="B17" s="78" t="s">
        <v>116</v>
      </c>
      <c r="C17" s="144" t="s">
        <v>127</v>
      </c>
      <c r="D17" s="151"/>
      <c r="E17" s="79"/>
      <c r="F17" s="101"/>
      <c r="G17" s="192"/>
      <c r="H17" s="192"/>
      <c r="I17" s="193"/>
      <c r="J17" s="192"/>
      <c r="K17" s="192"/>
      <c r="L17" s="192"/>
      <c r="M17" s="192"/>
      <c r="N17" s="193"/>
      <c r="O17" s="192"/>
      <c r="P17" s="192"/>
      <c r="Q17" s="192"/>
      <c r="R17" s="193"/>
      <c r="S17" s="192"/>
      <c r="T17" s="192"/>
      <c r="U17" s="192"/>
      <c r="V17" s="107">
        <f>V16</f>
        <v>648</v>
      </c>
      <c r="W17" s="80">
        <f>$D$6</f>
        <v>24</v>
      </c>
      <c r="X17" s="81">
        <f>X16</f>
        <v>27</v>
      </c>
      <c r="Y17" s="80">
        <f>X16</f>
        <v>27</v>
      </c>
    </row>
    <row r="18" spans="1:25" ht="19" customHeight="1" x14ac:dyDescent="0.2">
      <c r="A18" s="135" t="s">
        <v>62</v>
      </c>
      <c r="B18" s="95"/>
      <c r="C18" s="135"/>
      <c r="D18" s="148"/>
      <c r="E18" s="94"/>
      <c r="F18" s="133"/>
      <c r="G18" s="131"/>
      <c r="H18" s="131"/>
      <c r="I18" s="187"/>
      <c r="J18" s="131"/>
      <c r="K18" s="131"/>
      <c r="L18" s="131"/>
      <c r="M18" s="131"/>
      <c r="N18" s="187"/>
      <c r="O18" s="131"/>
      <c r="P18" s="131"/>
      <c r="Q18" s="131"/>
      <c r="R18" s="187"/>
      <c r="S18" s="131"/>
      <c r="T18" s="131"/>
      <c r="U18" s="131"/>
      <c r="V18" s="125"/>
      <c r="W18" s="126"/>
      <c r="X18" s="127"/>
      <c r="Y18" s="126"/>
    </row>
    <row r="19" spans="1:25" ht="17" customHeight="1" x14ac:dyDescent="0.2">
      <c r="A19" s="136" t="s">
        <v>124</v>
      </c>
      <c r="B19" s="72"/>
      <c r="C19" s="142" t="s">
        <v>63</v>
      </c>
      <c r="D19" s="149" t="s">
        <v>694</v>
      </c>
      <c r="E19" s="73">
        <v>1</v>
      </c>
      <c r="F19" s="99"/>
      <c r="G19" s="188">
        <v>2</v>
      </c>
      <c r="H19" s="188">
        <v>2</v>
      </c>
      <c r="I19" s="189">
        <v>2.67</v>
      </c>
      <c r="J19" s="188">
        <v>2</v>
      </c>
      <c r="K19" s="188">
        <v>2</v>
      </c>
      <c r="L19" s="188">
        <v>2</v>
      </c>
      <c r="M19" s="188">
        <v>2</v>
      </c>
      <c r="N19" s="189">
        <v>2</v>
      </c>
      <c r="O19" s="188"/>
      <c r="P19" s="188"/>
      <c r="Q19" s="188"/>
      <c r="R19" s="189"/>
      <c r="S19" s="188"/>
      <c r="T19" s="188"/>
      <c r="U19" s="188"/>
      <c r="V19" s="105" cm="1">
        <f t="array" ref="V19">SUMPRODUCT(IF(ISNUMBER(G19:U19),G19:U19,0),$G$10:$U$10)*E19</f>
        <v>79.349999999999994</v>
      </c>
      <c r="W19" s="70">
        <f>IF(ISNUMBER(SEARCH("PE",D19)),$D$6,$D$5)</f>
        <v>18</v>
      </c>
      <c r="X19" s="71">
        <f>IF(V19=0,"",V19/$H$6)</f>
        <v>3.9674999999999998</v>
      </c>
      <c r="Y19" s="159">
        <f>IF(X19="","",ROUNDUP(X19,0))</f>
        <v>4</v>
      </c>
    </row>
    <row r="20" spans="1:25" ht="17" customHeight="1" x14ac:dyDescent="0.2">
      <c r="A20" s="137" t="s">
        <v>124</v>
      </c>
      <c r="B20" s="83" t="s">
        <v>145</v>
      </c>
      <c r="C20" s="143" t="s">
        <v>64</v>
      </c>
      <c r="D20" s="149" t="s">
        <v>694</v>
      </c>
      <c r="E20" s="75">
        <v>1</v>
      </c>
      <c r="F20" s="100"/>
      <c r="G20" s="190"/>
      <c r="H20" s="190"/>
      <c r="I20" s="191">
        <v>2.67</v>
      </c>
      <c r="J20" s="190">
        <v>2</v>
      </c>
      <c r="K20" s="190">
        <v>2</v>
      </c>
      <c r="L20" s="190">
        <v>2</v>
      </c>
      <c r="M20" s="190">
        <v>2</v>
      </c>
      <c r="N20" s="191">
        <v>2</v>
      </c>
      <c r="O20" s="190"/>
      <c r="P20" s="190"/>
      <c r="Q20" s="190"/>
      <c r="R20" s="191"/>
      <c r="S20" s="190"/>
      <c r="T20" s="190"/>
      <c r="U20" s="190"/>
      <c r="V20" s="106" cm="1">
        <f t="array" ref="V20">SUMPRODUCT(IF(ISNUMBER(G20:U20),G20:U20,0),$G$10:$U$10)*E20</f>
        <v>67.349999999999994</v>
      </c>
      <c r="W20" s="76">
        <f>IF(ISNUMBER(SEARCH("PE",D20)),$D$6,$D$5)</f>
        <v>18</v>
      </c>
      <c r="X20" s="77">
        <f>IF(V20=0,"",V20/$H$6)</f>
        <v>3.3674999999999997</v>
      </c>
      <c r="Y20" s="160">
        <f>IF(X20="","",ROUNDUP(X20,0))</f>
        <v>4</v>
      </c>
    </row>
    <row r="21" spans="1:25" ht="17" customHeight="1" x14ac:dyDescent="0.2">
      <c r="A21" s="138"/>
      <c r="B21" s="78" t="s">
        <v>145</v>
      </c>
      <c r="C21" s="144" t="s">
        <v>125</v>
      </c>
      <c r="D21" s="151"/>
      <c r="E21" s="79"/>
      <c r="F21" s="101"/>
      <c r="G21" s="192"/>
      <c r="H21" s="192"/>
      <c r="I21" s="193"/>
      <c r="J21" s="192"/>
      <c r="K21" s="192"/>
      <c r="L21" s="192"/>
      <c r="M21" s="192"/>
      <c r="N21" s="193"/>
      <c r="O21" s="192"/>
      <c r="P21" s="192"/>
      <c r="Q21" s="192"/>
      <c r="R21" s="193"/>
      <c r="S21" s="192"/>
      <c r="T21" s="192"/>
      <c r="U21" s="192"/>
      <c r="V21" s="107">
        <f>V19+V20</f>
        <v>146.69999999999999</v>
      </c>
      <c r="W21" s="80">
        <f>$D$5</f>
        <v>18</v>
      </c>
      <c r="X21" s="81">
        <f>IF(V21=0,"",V21/$H$6)</f>
        <v>7.3349999999999991</v>
      </c>
      <c r="Y21" s="80">
        <f>IF(X21="","",ROUNDUP(X21,0))</f>
        <v>8</v>
      </c>
    </row>
    <row r="22" spans="1:25" ht="19" customHeight="1" x14ac:dyDescent="0.2">
      <c r="A22" s="135" t="s">
        <v>66</v>
      </c>
      <c r="B22" s="95"/>
      <c r="C22" s="135"/>
      <c r="D22" s="148"/>
      <c r="E22" s="94"/>
      <c r="F22" s="133"/>
      <c r="G22" s="131"/>
      <c r="H22" s="131"/>
      <c r="I22" s="187"/>
      <c r="J22" s="131"/>
      <c r="K22" s="131"/>
      <c r="L22" s="131"/>
      <c r="M22" s="131"/>
      <c r="N22" s="187"/>
      <c r="O22" s="131"/>
      <c r="P22" s="131"/>
      <c r="Q22" s="131"/>
      <c r="R22" s="187"/>
      <c r="S22" s="131"/>
      <c r="T22" s="131"/>
      <c r="U22" s="131"/>
      <c r="V22" s="125"/>
      <c r="W22" s="126"/>
      <c r="X22" s="127"/>
      <c r="Y22" s="126"/>
    </row>
    <row r="23" spans="1:25" ht="17" customHeight="1" x14ac:dyDescent="0.2">
      <c r="A23" s="136" t="s">
        <v>124</v>
      </c>
      <c r="B23" s="72"/>
      <c r="C23" s="142" t="s">
        <v>107</v>
      </c>
      <c r="D23" s="149" t="s">
        <v>67</v>
      </c>
      <c r="E23" s="73">
        <v>1</v>
      </c>
      <c r="F23" s="99"/>
      <c r="G23" s="188"/>
      <c r="H23" s="188"/>
      <c r="I23" s="189">
        <v>0.67</v>
      </c>
      <c r="J23" s="188">
        <v>1.5</v>
      </c>
      <c r="K23" s="188">
        <v>1.5</v>
      </c>
      <c r="L23" s="188">
        <v>1.5</v>
      </c>
      <c r="M23" s="188">
        <v>1.5</v>
      </c>
      <c r="N23" s="189">
        <v>1.5</v>
      </c>
      <c r="O23" s="188"/>
      <c r="P23" s="188"/>
      <c r="Q23" s="188"/>
      <c r="R23" s="189"/>
      <c r="S23" s="188"/>
      <c r="T23" s="188"/>
      <c r="U23" s="188"/>
      <c r="V23" s="105" cm="1">
        <f t="array" ref="V23">SUMPRODUCT(IF(ISNUMBER(G23:U23),G23:U23,0),$G$10:$U$10)*E23</f>
        <v>43.85</v>
      </c>
      <c r="W23" s="70">
        <f>IF(ISNUMBER(SEARCH("PE",D23)),$D$6,$D$5)</f>
        <v>18</v>
      </c>
      <c r="X23" s="71">
        <f>IF(V23=0,"",V23/$H$6)</f>
        <v>2.1924999999999999</v>
      </c>
      <c r="Y23" s="159">
        <f>IF(X23="","",ROUNDUP(X23,0))</f>
        <v>3</v>
      </c>
    </row>
    <row r="24" spans="1:25" ht="17" customHeight="1" thickBot="1" x14ac:dyDescent="0.25">
      <c r="A24" s="178"/>
      <c r="B24" s="179" t="s">
        <v>145</v>
      </c>
      <c r="C24" s="180" t="s">
        <v>125</v>
      </c>
      <c r="D24" s="181"/>
      <c r="E24" s="182"/>
      <c r="F24" s="183"/>
      <c r="G24" s="196"/>
      <c r="H24" s="196"/>
      <c r="I24" s="197"/>
      <c r="J24" s="196"/>
      <c r="K24" s="196"/>
      <c r="L24" s="196"/>
      <c r="M24" s="196"/>
      <c r="N24" s="197"/>
      <c r="O24" s="196"/>
      <c r="P24" s="196"/>
      <c r="Q24" s="196"/>
      <c r="R24" s="197"/>
      <c r="S24" s="196"/>
      <c r="T24" s="196"/>
      <c r="U24" s="196"/>
      <c r="V24" s="184">
        <f>V23</f>
        <v>43.85</v>
      </c>
      <c r="W24" s="185">
        <f>$D$5</f>
        <v>18</v>
      </c>
      <c r="X24" s="186">
        <f>IF(V24=0,"",V24/$H$6)</f>
        <v>2.1924999999999999</v>
      </c>
      <c r="Y24" s="185">
        <f>IF(X24="","",ROUNDUP(X24,0))</f>
        <v>3</v>
      </c>
    </row>
    <row r="25" spans="1:25" ht="8" customHeight="1" x14ac:dyDescent="0.2">
      <c r="A25" s="161"/>
      <c r="B25" s="162"/>
      <c r="C25" s="161"/>
      <c r="D25" s="163"/>
      <c r="E25" s="164"/>
      <c r="F25" s="165"/>
      <c r="G25" s="198"/>
      <c r="H25" s="198"/>
      <c r="I25" s="199"/>
      <c r="J25" s="198"/>
      <c r="K25" s="198"/>
      <c r="L25" s="198"/>
      <c r="M25" s="198"/>
      <c r="N25" s="199"/>
      <c r="O25" s="198"/>
      <c r="P25" s="198"/>
      <c r="Q25" s="198"/>
      <c r="R25" s="199"/>
      <c r="S25" s="198"/>
      <c r="T25" s="198"/>
      <c r="U25" s="198"/>
      <c r="V25" s="166"/>
      <c r="W25" s="167"/>
      <c r="X25" s="168"/>
      <c r="Y25" s="169"/>
    </row>
    <row r="26" spans="1:25" ht="22" customHeight="1" x14ac:dyDescent="0.2">
      <c r="A26" s="423" t="s">
        <v>129</v>
      </c>
      <c r="B26" s="424"/>
      <c r="C26" s="423"/>
      <c r="D26" s="425"/>
      <c r="E26" s="426"/>
      <c r="F26" s="427"/>
      <c r="G26" s="428"/>
      <c r="H26" s="428"/>
      <c r="I26" s="429"/>
      <c r="J26" s="428"/>
      <c r="K26" s="428"/>
      <c r="L26" s="428"/>
      <c r="M26" s="428"/>
      <c r="N26" s="429"/>
      <c r="O26" s="428"/>
      <c r="P26" s="428"/>
      <c r="Q26" s="428"/>
      <c r="R26" s="429"/>
      <c r="S26" s="428"/>
      <c r="T26" s="428"/>
      <c r="U26" s="428"/>
      <c r="V26" s="430"/>
      <c r="W26" s="431"/>
      <c r="X26" s="432"/>
      <c r="Y26" s="431"/>
    </row>
    <row r="27" spans="1:25" x14ac:dyDescent="0.2">
      <c r="A27" s="96" t="s">
        <v>204</v>
      </c>
      <c r="B27" s="97"/>
      <c r="C27" s="96"/>
      <c r="D27" s="110"/>
      <c r="E27" s="98"/>
      <c r="F27" s="134"/>
      <c r="G27" s="200"/>
      <c r="H27" s="200"/>
      <c r="I27" s="201"/>
      <c r="J27" s="200"/>
      <c r="K27" s="200"/>
      <c r="L27" s="200"/>
      <c r="M27" s="200"/>
      <c r="N27" s="201"/>
      <c r="O27" s="200"/>
      <c r="P27" s="200"/>
      <c r="Q27" s="200"/>
      <c r="R27" s="201"/>
      <c r="S27" s="200"/>
      <c r="T27" s="200"/>
      <c r="U27" s="200"/>
      <c r="V27" s="128"/>
      <c r="W27" s="129"/>
      <c r="X27" s="130"/>
      <c r="Y27" s="129"/>
    </row>
    <row r="28" spans="1:25" ht="19" customHeight="1" x14ac:dyDescent="0.2">
      <c r="A28" s="135" t="s">
        <v>100</v>
      </c>
      <c r="B28" s="95"/>
      <c r="C28" s="135"/>
      <c r="D28" s="148"/>
      <c r="E28" s="94"/>
      <c r="F28" s="133"/>
      <c r="G28" s="131"/>
      <c r="H28" s="131"/>
      <c r="I28" s="187"/>
      <c r="J28" s="131"/>
      <c r="K28" s="131"/>
      <c r="L28" s="131"/>
      <c r="M28" s="131"/>
      <c r="N28" s="187"/>
      <c r="O28" s="131"/>
      <c r="P28" s="131"/>
      <c r="Q28" s="131"/>
      <c r="R28" s="187"/>
      <c r="S28" s="131"/>
      <c r="T28" s="131"/>
      <c r="U28" s="131"/>
      <c r="V28" s="125"/>
      <c r="W28" s="126"/>
      <c r="X28" s="127"/>
      <c r="Y28" s="126"/>
    </row>
    <row r="29" spans="1:25" ht="17" customHeight="1" x14ac:dyDescent="0.2">
      <c r="A29" s="136" t="s">
        <v>31</v>
      </c>
      <c r="B29" s="57" t="s">
        <v>145</v>
      </c>
      <c r="C29" s="142" t="s">
        <v>31</v>
      </c>
      <c r="D29" s="149" t="s">
        <v>101</v>
      </c>
      <c r="E29" s="62">
        <v>1</v>
      </c>
      <c r="F29" s="102"/>
      <c r="G29" s="188"/>
      <c r="H29" s="188"/>
      <c r="I29" s="189"/>
      <c r="J29" s="188"/>
      <c r="K29" s="188"/>
      <c r="L29" s="188"/>
      <c r="M29" s="188"/>
      <c r="N29" s="189"/>
      <c r="O29" s="188" cm="1">
        <f t="array" ref="O29">IFERROR(INDEX(Curriculum_Detail!H:H,MATCH(1,(Curriculum_Detail!D:D="6e")*(Curriculum_Detail!F:F="Français")*(Curriculum_Detail!E:E="Core"),0)),"")</f>
        <v>4.5</v>
      </c>
      <c r="P29" s="188" cm="1">
        <f t="array" ref="P29">IFERROR(INDEX(Curriculum_Detail!H:H,MATCH(1,(Curriculum_Detail!D:D="5e")*(Curriculum_Detail!F:F="Français")*(Curriculum_Detail!E:E="Core"),0)),"")</f>
        <v>4.5</v>
      </c>
      <c r="Q29" s="188" cm="1">
        <f t="array" ref="Q29">IFERROR(INDEX(Curriculum_Detail!H:H,MATCH(1,(Curriculum_Detail!D:D="4e")*(Curriculum_Detail!F:F="Français")*(Curriculum_Detail!E:E="Core"),0)),"")</f>
        <v>4.5</v>
      </c>
      <c r="R29" s="189" cm="1">
        <f t="array" ref="R29">IFERROR(INDEX(Curriculum_Detail!H:H,MATCH(1,(Curriculum_Detail!D:D="3e")*(Curriculum_Detail!F:F="Français")*(Curriculum_Detail!E:E="Core"),0)),"")</f>
        <v>4</v>
      </c>
      <c r="S29" s="188" cm="1">
        <f t="array" ref="S29">IFERROR(INDEX(Curriculum_Detail!H:H,MATCH(1,(Curriculum_Detail!D:D="Seconde")*(Curriculum_Detail!F:F="Français")*(Curriculum_Detail!E:E="Core"),0)),"")</f>
        <v>4</v>
      </c>
      <c r="T29" s="188" cm="1">
        <f t="array" ref="T29">IFERROR(INDEX(Curriculum_Detail!H:H,MATCH(1,(Curriculum_Detail!D:D="Première")*(Curriculum_Detail!F:F="Français")*(Curriculum_Detail!E:E="Core"),0)),"")</f>
        <v>4</v>
      </c>
      <c r="U29" s="188"/>
      <c r="V29" s="108" cm="1">
        <f t="array" ref="V29">SUMPRODUCT(IF(ISNUMBER(G29:U29),G29:U29,0),$G$10:$U$10)*E29</f>
        <v>132.5</v>
      </c>
      <c r="W29" s="58">
        <f>IF(ISNUMBER(SEARCH("PE",D29)),$D$6,$D$5)</f>
        <v>18</v>
      </c>
      <c r="X29" s="59">
        <f>IF(V29=0,"",V29/$H$6)</f>
        <v>6.625</v>
      </c>
      <c r="Y29" s="63">
        <f>IF(X29="","",ROUNDUP(X29,0))</f>
        <v>7</v>
      </c>
    </row>
    <row r="30" spans="1:25" ht="17" customHeight="1" x14ac:dyDescent="0.2">
      <c r="A30" s="137" t="s">
        <v>31</v>
      </c>
      <c r="B30" s="84" t="s">
        <v>145</v>
      </c>
      <c r="C30" s="143" t="s">
        <v>59</v>
      </c>
      <c r="D30" s="150" t="s">
        <v>102</v>
      </c>
      <c r="E30" s="85">
        <v>1</v>
      </c>
      <c r="F30" s="103"/>
      <c r="G30" s="190"/>
      <c r="H30" s="190"/>
      <c r="I30" s="191"/>
      <c r="J30" s="190"/>
      <c r="K30" s="190"/>
      <c r="L30" s="190"/>
      <c r="M30" s="190"/>
      <c r="N30" s="191"/>
      <c r="O30" s="190"/>
      <c r="P30" s="190"/>
      <c r="Q30" s="190"/>
      <c r="R30" s="191"/>
      <c r="S30" s="190"/>
      <c r="T30" s="190"/>
      <c r="U30" s="190" cm="1">
        <f t="array" ref="U30">IFERROR(INDEX(Curriculum_Detail!H:H,MATCH(1,(Curriculum_Detail!D:D="Terminale")*(Curriculum_Detail!F:F="Philosophie")*(Curriculum_Detail!E:E="Core"),0)),"")</f>
        <v>4</v>
      </c>
      <c r="V30" s="109" cm="1">
        <f t="array" ref="V30">SUMPRODUCT(IF(ISNUMBER(G30:U30),G30:U30,0),$G$10:$U$10)*E30</f>
        <v>16</v>
      </c>
      <c r="W30" s="86">
        <f>IF(ISNUMBER(SEARCH("PE",D30)),$D$6,$D$5)</f>
        <v>18</v>
      </c>
      <c r="X30" s="87">
        <f>IF(V30=0,"",V30/$H$6)</f>
        <v>0.8</v>
      </c>
      <c r="Y30" s="89">
        <f>IF(X30="","",ROUNDUP(X30,0))</f>
        <v>1</v>
      </c>
    </row>
    <row r="31" spans="1:25" ht="17" customHeight="1" x14ac:dyDescent="0.2">
      <c r="A31" s="140" t="s">
        <v>31</v>
      </c>
      <c r="B31" s="88" t="s">
        <v>186</v>
      </c>
      <c r="C31" s="146" t="s">
        <v>208</v>
      </c>
      <c r="D31" s="153" t="s">
        <v>101</v>
      </c>
      <c r="E31" s="85">
        <v>1</v>
      </c>
      <c r="F31" s="103"/>
      <c r="G31" s="208"/>
      <c r="H31" s="208"/>
      <c r="I31" s="209"/>
      <c r="J31" s="208"/>
      <c r="K31" s="208"/>
      <c r="L31" s="208"/>
      <c r="M31" s="208"/>
      <c r="N31" s="209"/>
      <c r="O31" s="208"/>
      <c r="P31" s="208"/>
      <c r="Q31" s="208"/>
      <c r="R31" s="209"/>
      <c r="S31" s="208"/>
      <c r="T31" s="202" cm="1">
        <f t="array" ref="T31">IFERROR(INDEX(Curriculum_Detail!H:H,MATCH(1,(Curriculum_Detail!D:D="Première")*(Curriculum_Detail!F:F="Humanités, littérature et philosophie")*(Curriculum_Detail!E:E="Specialty"),0)),0)</f>
        <v>4</v>
      </c>
      <c r="U31" s="202"/>
      <c r="V31" s="109">
        <f>T31*E31</f>
        <v>4</v>
      </c>
      <c r="W31" s="89">
        <f>$D$5</f>
        <v>18</v>
      </c>
      <c r="X31" s="90">
        <f>IF(V31=0,"",V31/$H$6)</f>
        <v>0.2</v>
      </c>
      <c r="Y31" s="89">
        <f>IF(X31="","",ROUNDUP(X31,0))</f>
        <v>1</v>
      </c>
    </row>
    <row r="32" spans="1:25" ht="17" customHeight="1" x14ac:dyDescent="0.2">
      <c r="A32" s="213" t="s">
        <v>31</v>
      </c>
      <c r="B32" s="61" t="s">
        <v>186</v>
      </c>
      <c r="C32" s="214" t="s">
        <v>209</v>
      </c>
      <c r="D32" s="215" t="s">
        <v>102</v>
      </c>
      <c r="E32" s="62"/>
      <c r="F32" s="102">
        <v>1</v>
      </c>
      <c r="G32" s="216"/>
      <c r="H32" s="216"/>
      <c r="I32" s="217"/>
      <c r="J32" s="216"/>
      <c r="K32" s="216"/>
      <c r="L32" s="216"/>
      <c r="M32" s="216"/>
      <c r="N32" s="217"/>
      <c r="O32" s="216"/>
      <c r="P32" s="216"/>
      <c r="Q32" s="216"/>
      <c r="R32" s="217"/>
      <c r="S32" s="216"/>
      <c r="T32" s="218"/>
      <c r="U32" s="218" cm="1">
        <f t="array" ref="U32">IFERROR(INDEX(Curriculum_Detail!H:H,MATCH(1,(Curriculum_Detail!D:D="Terminale")*(Curriculum_Detail!F:F="Humanités, littérature et philosophie")*(Curriculum_Detail!E:E="Specialty"),0)),0)</f>
        <v>6</v>
      </c>
      <c r="V32" s="108">
        <f>U32*F32</f>
        <v>6</v>
      </c>
      <c r="W32" s="63">
        <f>$D$5</f>
        <v>18</v>
      </c>
      <c r="X32" s="64">
        <f>IF(V32=0,"",V32/$H$6)</f>
        <v>0.3</v>
      </c>
      <c r="Y32" s="63">
        <f>IF(X32="","",ROUNDUP(X32,0))</f>
        <v>1</v>
      </c>
    </row>
    <row r="33" spans="1:25" ht="19" customHeight="1" x14ac:dyDescent="0.2">
      <c r="A33" s="135" t="s">
        <v>60</v>
      </c>
      <c r="B33" s="95"/>
      <c r="C33" s="135"/>
      <c r="D33" s="148"/>
      <c r="E33" s="94"/>
      <c r="F33" s="133"/>
      <c r="G33" s="131"/>
      <c r="H33" s="131"/>
      <c r="I33" s="187"/>
      <c r="J33" s="131"/>
      <c r="K33" s="131"/>
      <c r="L33" s="131"/>
      <c r="M33" s="131"/>
      <c r="N33" s="187"/>
      <c r="O33" s="131"/>
      <c r="P33" s="131"/>
      <c r="Q33" s="131"/>
      <c r="R33" s="187"/>
      <c r="S33" s="131"/>
      <c r="T33" s="131"/>
      <c r="U33" s="131"/>
      <c r="V33" s="125"/>
      <c r="W33" s="126"/>
      <c r="X33" s="127"/>
      <c r="Y33" s="126"/>
    </row>
    <row r="34" spans="1:25" ht="17" customHeight="1" x14ac:dyDescent="0.2">
      <c r="A34" s="136" t="s">
        <v>103</v>
      </c>
      <c r="B34" s="57" t="s">
        <v>145</v>
      </c>
      <c r="C34" s="142" t="s">
        <v>32</v>
      </c>
      <c r="D34" s="149" t="s">
        <v>104</v>
      </c>
      <c r="E34" s="62">
        <v>1</v>
      </c>
      <c r="F34" s="102"/>
      <c r="G34" s="188"/>
      <c r="H34" s="188"/>
      <c r="I34" s="189"/>
      <c r="J34" s="188"/>
      <c r="K34" s="188"/>
      <c r="L34" s="188"/>
      <c r="M34" s="188"/>
      <c r="N34" s="189"/>
      <c r="O34" s="188" cm="1">
        <f t="array" ref="O34">IFERROR(INDEX(Curriculum_Detail!H:H,MATCH(1,(Curriculum_Detail!D:D="6e")*(Curriculum_Detail!F:F="Mathématiques")*(Curriculum_Detail!E:E="Core"),0)),"")</f>
        <v>4.5</v>
      </c>
      <c r="P34" s="188" cm="1">
        <f t="array" ref="P34">IFERROR(INDEX(Curriculum_Detail!H:H,MATCH(1,(Curriculum_Detail!D:D="5e")*(Curriculum_Detail!F:F="Mathématiques")*(Curriculum_Detail!E:E="Core"),0)),"")</f>
        <v>3.5</v>
      </c>
      <c r="Q34" s="188" cm="1">
        <f t="array" ref="Q34">IFERROR(INDEX(Curriculum_Detail!H:H,MATCH(1,(Curriculum_Detail!D:D="4e")*(Curriculum_Detail!F:F="Mathématiques")*(Curriculum_Detail!E:E="Core"),0)),"")</f>
        <v>3.5</v>
      </c>
      <c r="R34" s="189" cm="1">
        <f t="array" ref="R34">IFERROR(INDEX(Curriculum_Detail!H:H,MATCH(1,(Curriculum_Detail!D:D="3e")*(Curriculum_Detail!F:F="Mathématiques")*(Curriculum_Detail!E:E="Core"),0)),"")</f>
        <v>3.5</v>
      </c>
      <c r="S34" s="188" cm="1">
        <f t="array" ref="S34">IFERROR(INDEX(Curriculum_Detail!H:H,MATCH(1,(Curriculum_Detail!D:D="Seconde")*(Curriculum_Detail!F:F="Mathématiques")*(Curriculum_Detail!E:E="Core"),0)),"")</f>
        <v>4</v>
      </c>
      <c r="T34" s="188"/>
      <c r="U34" s="188"/>
      <c r="V34" s="108" cm="1">
        <f t="array" ref="V34">SUMPRODUCT(IF(ISNUMBER(G34:U34),G34:U34,0),$G$10:$U$10)*E34</f>
        <v>99.5</v>
      </c>
      <c r="W34" s="58">
        <f>IF(ISNUMBER(SEARCH("PE",D34)),$D$6,$D$5)</f>
        <v>18</v>
      </c>
      <c r="X34" s="59">
        <f>IF(V34=0,"",V34/$H$6)</f>
        <v>4.9749999999999996</v>
      </c>
      <c r="Y34" s="63">
        <f>IF(X34="","",ROUNDUP(X34,0))</f>
        <v>5</v>
      </c>
    </row>
    <row r="35" spans="1:25" ht="17" customHeight="1" x14ac:dyDescent="0.2">
      <c r="A35" s="137" t="s">
        <v>103</v>
      </c>
      <c r="B35" s="84" t="s">
        <v>145</v>
      </c>
      <c r="C35" s="143" t="s">
        <v>205</v>
      </c>
      <c r="D35" s="150" t="s">
        <v>104</v>
      </c>
      <c r="E35" s="85">
        <v>1</v>
      </c>
      <c r="F35" s="103"/>
      <c r="G35" s="190"/>
      <c r="H35" s="190"/>
      <c r="I35" s="191"/>
      <c r="J35" s="190"/>
      <c r="K35" s="190"/>
      <c r="L35" s="190"/>
      <c r="M35" s="190"/>
      <c r="N35" s="191"/>
      <c r="O35" s="190" cm="1">
        <f t="array" ref="O35">IFERROR(INDEX(Curriculum_Detail!H:H,MATCH(1,(Curriculum_Detail!D:D="6e")*(Curriculum_Detail!F:F="Soutien / approfondissement en français ou mathématiques")*(Curriculum_Detail!E:E="Core"),0)),"")</f>
        <v>1</v>
      </c>
      <c r="P35" s="190"/>
      <c r="Q35" s="190"/>
      <c r="R35" s="191"/>
      <c r="S35" s="190"/>
      <c r="T35" s="190"/>
      <c r="U35" s="190"/>
      <c r="V35" s="109" cm="1">
        <f t="array" ref="V35">SUMPRODUCT(IF(ISNUMBER(G35:U35),G35:U35,0),$G$10:$U$10)*E35</f>
        <v>6</v>
      </c>
      <c r="W35" s="86">
        <f>IF(ISNUMBER(SEARCH("PE",D35)),$D$6,$D$5)</f>
        <v>18</v>
      </c>
      <c r="X35" s="87">
        <f>IF(V35=0,"",V35/$H$6)</f>
        <v>0.3</v>
      </c>
      <c r="Y35" s="89">
        <f>IF(X35="","",ROUNDUP(X35,0))</f>
        <v>1</v>
      </c>
    </row>
    <row r="36" spans="1:25" ht="17" customHeight="1" x14ac:dyDescent="0.2">
      <c r="A36" s="140" t="s">
        <v>103</v>
      </c>
      <c r="B36" s="88" t="s">
        <v>186</v>
      </c>
      <c r="C36" s="146" t="s">
        <v>61</v>
      </c>
      <c r="D36" s="153" t="s">
        <v>104</v>
      </c>
      <c r="E36" s="85">
        <v>2</v>
      </c>
      <c r="F36" s="103">
        <v>2</v>
      </c>
      <c r="G36" s="208"/>
      <c r="H36" s="208"/>
      <c r="I36" s="209"/>
      <c r="J36" s="208"/>
      <c r="K36" s="208"/>
      <c r="L36" s="208"/>
      <c r="M36" s="208"/>
      <c r="N36" s="209"/>
      <c r="O36" s="208"/>
      <c r="P36" s="208"/>
      <c r="Q36" s="208"/>
      <c r="R36" s="209"/>
      <c r="S36" s="208"/>
      <c r="T36" s="202" cm="1">
        <f t="array" ref="T36">IFERROR(INDEX(Curriculum_Detail!H:H,MATCH(1,(Curriculum_Detail!D:D="Première")*(Curriculum_Detail!F:F="Mathématiques")*(Curriculum_Detail!E:E="Specialty"),0)),0)</f>
        <v>4</v>
      </c>
      <c r="U36" s="202" cm="1">
        <f t="array" ref="U36">IFERROR(INDEX(Curriculum_Detail!H:H,MATCH(1,(Curriculum_Detail!D:D="Terminale")*(Curriculum_Detail!F:F="Mathématiques")*(Curriculum_Detail!E:E="Specialty"),0)),0)</f>
        <v>6</v>
      </c>
      <c r="V36" s="109">
        <f>T36*E36+U36*F36</f>
        <v>20</v>
      </c>
      <c r="W36" s="89">
        <f>$D$5</f>
        <v>18</v>
      </c>
      <c r="X36" s="90">
        <f>IF(V36=0,"",V36/$H$6)</f>
        <v>1</v>
      </c>
      <c r="Y36" s="89">
        <f>IF(X36="","",ROUNDUP(X36,0))</f>
        <v>1</v>
      </c>
    </row>
    <row r="37" spans="1:25" ht="17" customHeight="1" x14ac:dyDescent="0.2">
      <c r="A37" s="140" t="s">
        <v>103</v>
      </c>
      <c r="B37" s="88" t="s">
        <v>206</v>
      </c>
      <c r="C37" s="146" t="s">
        <v>105</v>
      </c>
      <c r="D37" s="153" t="s">
        <v>104</v>
      </c>
      <c r="E37" s="85">
        <v>0</v>
      </c>
      <c r="F37" s="103">
        <v>4</v>
      </c>
      <c r="G37" s="208"/>
      <c r="H37" s="208"/>
      <c r="I37" s="209"/>
      <c r="J37" s="208"/>
      <c r="K37" s="208"/>
      <c r="L37" s="208"/>
      <c r="M37" s="208"/>
      <c r="N37" s="209"/>
      <c r="O37" s="208"/>
      <c r="P37" s="208"/>
      <c r="Q37" s="208"/>
      <c r="R37" s="209"/>
      <c r="S37" s="208"/>
      <c r="T37" s="202">
        <v>0</v>
      </c>
      <c r="U37" s="202">
        <v>3</v>
      </c>
      <c r="V37" s="109">
        <f>T37*E37+U37*F37</f>
        <v>12</v>
      </c>
      <c r="W37" s="89">
        <f>$D$5</f>
        <v>18</v>
      </c>
      <c r="X37" s="90">
        <f>IF(V37=0,"",V37/$H$6)</f>
        <v>0.6</v>
      </c>
      <c r="Y37" s="89">
        <f>IF(X37="","",ROUNDUP(X37,0))</f>
        <v>1</v>
      </c>
    </row>
    <row r="38" spans="1:25" ht="17" customHeight="1" x14ac:dyDescent="0.2">
      <c r="A38" s="140" t="s">
        <v>103</v>
      </c>
      <c r="B38" s="88" t="s">
        <v>206</v>
      </c>
      <c r="C38" s="146" t="s">
        <v>106</v>
      </c>
      <c r="D38" s="153" t="s">
        <v>104</v>
      </c>
      <c r="E38" s="85">
        <v>0</v>
      </c>
      <c r="F38" s="103">
        <v>2</v>
      </c>
      <c r="G38" s="208"/>
      <c r="H38" s="208"/>
      <c r="I38" s="209"/>
      <c r="J38" s="208"/>
      <c r="K38" s="208"/>
      <c r="L38" s="208"/>
      <c r="M38" s="208"/>
      <c r="N38" s="209"/>
      <c r="O38" s="208"/>
      <c r="P38" s="208"/>
      <c r="Q38" s="208"/>
      <c r="R38" s="209"/>
      <c r="S38" s="208"/>
      <c r="T38" s="202">
        <v>0</v>
      </c>
      <c r="U38" s="202">
        <v>3</v>
      </c>
      <c r="V38" s="109">
        <f>T38*E38+U38*F38</f>
        <v>6</v>
      </c>
      <c r="W38" s="89">
        <f>$D$5</f>
        <v>18</v>
      </c>
      <c r="X38" s="90">
        <f>IF(V38=0,"",V38/$H$6)</f>
        <v>0.3</v>
      </c>
      <c r="Y38" s="89">
        <f>IF(X38="","",ROUNDUP(X38,0))</f>
        <v>1</v>
      </c>
    </row>
    <row r="39" spans="1:25" ht="19" customHeight="1" x14ac:dyDescent="0.2">
      <c r="A39" s="135" t="s">
        <v>78</v>
      </c>
      <c r="B39" s="95"/>
      <c r="C39" s="135"/>
      <c r="D39" s="148"/>
      <c r="E39" s="94"/>
      <c r="F39" s="133"/>
      <c r="G39" s="131"/>
      <c r="H39" s="131"/>
      <c r="I39" s="187"/>
      <c r="J39" s="131"/>
      <c r="K39" s="131"/>
      <c r="L39" s="131"/>
      <c r="M39" s="131"/>
      <c r="N39" s="187"/>
      <c r="O39" s="131"/>
      <c r="P39" s="131"/>
      <c r="Q39" s="131"/>
      <c r="R39" s="187"/>
      <c r="S39" s="131"/>
      <c r="T39" s="131"/>
      <c r="U39" s="131"/>
      <c r="V39" s="125"/>
      <c r="W39" s="126"/>
      <c r="X39" s="127"/>
      <c r="Y39" s="126"/>
    </row>
    <row r="40" spans="1:25" ht="17" customHeight="1" x14ac:dyDescent="0.2">
      <c r="A40" s="136" t="s">
        <v>112</v>
      </c>
      <c r="B40" s="57" t="s">
        <v>145</v>
      </c>
      <c r="C40" s="142" t="s">
        <v>39</v>
      </c>
      <c r="D40" s="149" t="s">
        <v>79</v>
      </c>
      <c r="E40" s="62">
        <v>1</v>
      </c>
      <c r="F40" s="102"/>
      <c r="G40" s="188"/>
      <c r="H40" s="188"/>
      <c r="I40" s="189"/>
      <c r="J40" s="188"/>
      <c r="K40" s="188"/>
      <c r="L40" s="188"/>
      <c r="M40" s="188"/>
      <c r="N40" s="189"/>
      <c r="O40" s="188" cm="1">
        <f t="array" ref="O40">IFERROR(INDEX(Curriculum_Detail!H:H,MATCH(1,(Curriculum_Detail!D:D="6e")*(Curriculum_Detail!F:F="Histoire-géographie")*(Curriculum_Detail!E:E="Core"),0)),"")</f>
        <v>2.5</v>
      </c>
      <c r="P40" s="188" cm="1">
        <f t="array" ref="P40">IFERROR(INDEX(Curriculum_Detail!H:H,MATCH(1,(Curriculum_Detail!D:D="5e")*(Curriculum_Detail!F:F="Histoire-géographie")*(Curriculum_Detail!E:E="Core"),0)),"")</f>
        <v>2.5</v>
      </c>
      <c r="Q40" s="188" cm="1">
        <f t="array" ref="Q40">IFERROR(INDEX(Curriculum_Detail!H:H,MATCH(1,(Curriculum_Detail!D:D="4e")*(Curriculum_Detail!F:F="Histoire-géographie")*(Curriculum_Detail!E:E="Core"),0)),"")</f>
        <v>2.5</v>
      </c>
      <c r="R40" s="189" cm="1">
        <f t="array" ref="R40">IFERROR(INDEX(Curriculum_Detail!H:H,MATCH(1,(Curriculum_Detail!D:D="3e")*(Curriculum_Detail!F:F="Histoire-géographie")*(Curriculum_Detail!E:E="Core"),0)),"")</f>
        <v>3</v>
      </c>
      <c r="S40" s="188" cm="1">
        <f t="array" ref="S40">IFERROR(INDEX(Curriculum_Detail!H:H,MATCH(1,(Curriculum_Detail!D:D="Seconde")*(Curriculum_Detail!F:F="Histoire-géographie")*(Curriculum_Detail!E:E="Core"),0)),"")</f>
        <v>3</v>
      </c>
      <c r="T40" s="188" cm="1">
        <f t="array" ref="T40">IFERROR(INDEX(Curriculum_Detail!H:H,MATCH(1,(Curriculum_Detail!D:D="Première")*(Curriculum_Detail!F:F="Histoire-géographie")*(Curriculum_Detail!E:E="Core"),0)),"")</f>
        <v>3</v>
      </c>
      <c r="U40" s="188" cm="1">
        <f t="array" ref="U40">IFERROR(INDEX(Curriculum_Detail!H:H,MATCH(1,(Curriculum_Detail!D:D="Terminale")*(Curriculum_Detail!F:F="Histoire-géographie")*(Curriculum_Detail!E:E="Core"),0)),"")</f>
        <v>3</v>
      </c>
      <c r="V40" s="108" cm="1">
        <f t="array" ref="V40">SUMPRODUCT(IF(ISNUMBER(G40:U40),G40:U40,0),$G$10:$U$10)*E40</f>
        <v>96.5</v>
      </c>
      <c r="W40" s="58">
        <f>IF(ISNUMBER(SEARCH("PE",D40)),$D$6,$D$5)</f>
        <v>18</v>
      </c>
      <c r="X40" s="59">
        <f>IF(V40=0,"",V40/$H$6)</f>
        <v>4.8250000000000002</v>
      </c>
      <c r="Y40" s="63">
        <f>IF(X40="","",ROUNDUP(X40,0))</f>
        <v>5</v>
      </c>
    </row>
    <row r="41" spans="1:25" ht="17" customHeight="1" x14ac:dyDescent="0.2">
      <c r="A41" s="137" t="s">
        <v>112</v>
      </c>
      <c r="B41" s="84" t="s">
        <v>145</v>
      </c>
      <c r="C41" s="143" t="s">
        <v>150</v>
      </c>
      <c r="D41" s="150" t="s">
        <v>695</v>
      </c>
      <c r="E41" s="85">
        <v>1</v>
      </c>
      <c r="F41" s="103"/>
      <c r="G41" s="190"/>
      <c r="H41" s="190"/>
      <c r="I41" s="191"/>
      <c r="J41" s="190"/>
      <c r="K41" s="190"/>
      <c r="L41" s="190"/>
      <c r="M41" s="190"/>
      <c r="N41" s="191"/>
      <c r="O41" s="190" cm="1">
        <f t="array" ref="O41">IFERROR(INDEX(Curriculum_Detail!H:H,MATCH(1,(Curriculum_Detail!D:D="6e")*(Curriculum_Detail!F:F="Enseignement moral et civique")*(Curriculum_Detail!E:E="Core"),0)),"")</f>
        <v>0.5</v>
      </c>
      <c r="P41" s="190" cm="1">
        <f t="array" ref="P41">IFERROR(INDEX(Curriculum_Detail!H:H,MATCH(1,(Curriculum_Detail!D:D="5e")*(Curriculum_Detail!F:F="Enseignement moral et civique")*(Curriculum_Detail!E:E="Core"),0)),"")</f>
        <v>0.5</v>
      </c>
      <c r="Q41" s="190" cm="1">
        <f t="array" ref="Q41">IFERROR(INDEX(Curriculum_Detail!H:H,MATCH(1,(Curriculum_Detail!D:D="4e")*(Curriculum_Detail!F:F="Enseignement moral et civique")*(Curriculum_Detail!E:E="Core"),0)),"")</f>
        <v>0.5</v>
      </c>
      <c r="R41" s="191" cm="1">
        <f t="array" ref="R41">IFERROR(INDEX(Curriculum_Detail!H:H,MATCH(1,(Curriculum_Detail!D:D="3e")*(Curriculum_Detail!F:F="Enseignement moral et civique")*(Curriculum_Detail!E:E="Core"),0)),"")</f>
        <v>0.5</v>
      </c>
      <c r="S41" s="190" cm="1">
        <f t="array" ref="S41">IFERROR(INDEX(Curriculum_Detail!H:H,MATCH(1,(Curriculum_Detail!D:D="Seconde")*(Curriculum_Detail!F:F="Enseignement moral et civique")*(Curriculum_Detail!E:E="Core"),0)),"")</f>
        <v>0.5</v>
      </c>
      <c r="T41" s="190" cm="1">
        <f t="array" ref="T41">IFERROR(INDEX(Curriculum_Detail!H:H,MATCH(1,(Curriculum_Detail!D:D="Première")*(Curriculum_Detail!F:F="Enseignement moral et civique")*(Curriculum_Detail!E:E="Core"),0)),"")</f>
        <v>0.5</v>
      </c>
      <c r="U41" s="190" cm="1">
        <f t="array" ref="U41">IFERROR(INDEX(Curriculum_Detail!H:H,MATCH(1,(Curriculum_Detail!D:D="Terminale")*(Curriculum_Detail!F:F="Enseignement moral et civique")*(Curriculum_Detail!E:E="Core"),0)),"")</f>
        <v>0.5</v>
      </c>
      <c r="V41" s="109" cm="1">
        <f t="array" ref="V41">SUMPRODUCT(IF(ISNUMBER(G41:U41),G41:U41,0),$G$10:$U$10)*E41</f>
        <v>17.5</v>
      </c>
      <c r="W41" s="86">
        <f>IF(ISNUMBER(SEARCH("PE",D41)),$D$6,$D$5)</f>
        <v>18</v>
      </c>
      <c r="X41" s="87">
        <f>IF(V41=0,"",V41/$H$6)</f>
        <v>0.875</v>
      </c>
      <c r="Y41" s="89">
        <f>IF(X41="","",ROUNDUP(X41,0))</f>
        <v>1</v>
      </c>
    </row>
    <row r="42" spans="1:25" ht="17" customHeight="1" x14ac:dyDescent="0.2">
      <c r="A42" s="140" t="s">
        <v>112</v>
      </c>
      <c r="B42" s="88" t="s">
        <v>186</v>
      </c>
      <c r="C42" s="146" t="s">
        <v>80</v>
      </c>
      <c r="D42" s="153" t="s">
        <v>79</v>
      </c>
      <c r="E42" s="85">
        <v>2</v>
      </c>
      <c r="F42" s="103">
        <v>1</v>
      </c>
      <c r="G42" s="208"/>
      <c r="H42" s="208"/>
      <c r="I42" s="209"/>
      <c r="J42" s="208"/>
      <c r="K42" s="208"/>
      <c r="L42" s="208"/>
      <c r="M42" s="208"/>
      <c r="N42" s="209"/>
      <c r="O42" s="208"/>
      <c r="P42" s="208"/>
      <c r="Q42" s="208"/>
      <c r="R42" s="209"/>
      <c r="S42" s="208"/>
      <c r="T42" s="202" cm="1">
        <f t="array" ref="T42">IFERROR(INDEX(Curriculum_Detail!H:H,MATCH(1,(Curriculum_Detail!D:D="Première")*(Curriculum_Detail!F:F="Histoire-géographie, géopolitique et sciences politiques")*(Curriculum_Detail!E:E="Specialty"),0)),0)</f>
        <v>4</v>
      </c>
      <c r="U42" s="202" cm="1">
        <f t="array" ref="U42">IFERROR(INDEX(Curriculum_Detail!H:H,MATCH(1,(Curriculum_Detail!D:D="Terminale")*(Curriculum_Detail!F:F="Histoire-géographie, géopolitique et sciences politiques")*(Curriculum_Detail!E:E="Specialty"),0)),0)</f>
        <v>6</v>
      </c>
      <c r="V42" s="109">
        <f>T42*E42+U42*F42</f>
        <v>14</v>
      </c>
      <c r="W42" s="89">
        <f>$D$5</f>
        <v>18</v>
      </c>
      <c r="X42" s="90">
        <f>IF(V42=0,"",V42/$H$6)</f>
        <v>0.7</v>
      </c>
      <c r="Y42" s="89">
        <f>IF(X42="","",ROUNDUP(X42,0))</f>
        <v>1</v>
      </c>
    </row>
    <row r="43" spans="1:25" ht="19" customHeight="1" x14ac:dyDescent="0.2">
      <c r="A43" s="222" t="s">
        <v>66</v>
      </c>
      <c r="B43" s="56"/>
      <c r="C43" s="54"/>
      <c r="D43" s="54"/>
      <c r="E43" s="55"/>
      <c r="F43" s="55"/>
      <c r="G43" s="223"/>
      <c r="H43" s="223"/>
      <c r="I43" s="223"/>
      <c r="J43" s="223"/>
      <c r="K43" s="223"/>
      <c r="L43" s="223"/>
      <c r="M43" s="223"/>
      <c r="N43" s="223"/>
      <c r="O43" s="223"/>
      <c r="P43" s="223"/>
      <c r="Q43" s="223"/>
      <c r="R43" s="223"/>
      <c r="S43" s="223"/>
      <c r="T43" s="223"/>
      <c r="U43" s="223"/>
      <c r="V43" s="224"/>
      <c r="W43" s="225"/>
      <c r="X43" s="226"/>
      <c r="Y43" s="225"/>
    </row>
    <row r="44" spans="1:25" ht="17" customHeight="1" x14ac:dyDescent="0.2">
      <c r="A44" s="136" t="s">
        <v>214</v>
      </c>
      <c r="B44" s="57" t="s">
        <v>145</v>
      </c>
      <c r="C44" s="142" t="s">
        <v>215</v>
      </c>
      <c r="D44" s="142" t="s">
        <v>68</v>
      </c>
      <c r="E44" s="227">
        <v>1</v>
      </c>
      <c r="F44" s="227"/>
      <c r="G44" s="188"/>
      <c r="H44" s="188"/>
      <c r="I44" s="188"/>
      <c r="J44" s="188"/>
      <c r="K44" s="188"/>
      <c r="L44" s="188"/>
      <c r="M44" s="188"/>
      <c r="N44" s="188"/>
      <c r="O44" s="188" cm="1">
        <f t="array" ref="O44">IFERROR(INDEX(Curriculum_Detail!H:H,MATCH(1,(Curriculum_Detail!D:D="6e")*(Curriculum_Detail!F:F="Langue vivante 1")*(Curriculum_Detail!E:E="Core"),0)),"")</f>
        <v>4</v>
      </c>
      <c r="P44" s="188" cm="1">
        <f t="array" ref="P44">IFERROR(INDEX(Curriculum_Detail!H:H,MATCH(1,(Curriculum_Detail!D:D="5e")*(Curriculum_Detail!F:F="Langue vivante 1")*(Curriculum_Detail!E:E="Core"),0)),"")</f>
        <v>3</v>
      </c>
      <c r="Q44" s="188" cm="1">
        <f t="array" ref="Q44">IFERROR(INDEX(Curriculum_Detail!H:H,MATCH(1,(Curriculum_Detail!D:D="4e")*(Curriculum_Detail!F:F="Langue vivante 1")*(Curriculum_Detail!E:E="Core"),0)),"")</f>
        <v>3</v>
      </c>
      <c r="R44" s="188" cm="1">
        <f t="array" ref="R44">IFERROR(INDEX(Curriculum_Detail!H:H,MATCH(1,(Curriculum_Detail!D:D="3e")*(Curriculum_Detail!F:F="Langue vivante 1")*(Curriculum_Detail!E:E="Core"),0)),"")</f>
        <v>3</v>
      </c>
      <c r="S44" s="188"/>
      <c r="T44" s="188"/>
      <c r="U44" s="188"/>
      <c r="V44" s="68" cm="1">
        <f t="array" ref="V44">SUMPRODUCT(IF(ISNUMBER(G44:U44),G44:U44,0),$G$10:$U$10)*E44</f>
        <v>69</v>
      </c>
      <c r="W44" s="58">
        <f>IF(ISNUMBER(SEARCH("PE",D44)),$D$6,$D$5)</f>
        <v>18</v>
      </c>
      <c r="X44" s="59">
        <f>IF(V44=0,"",V44/$H$6)</f>
        <v>3.45</v>
      </c>
      <c r="Y44" s="63">
        <f>IF(X44="","",ROUNDUP(X44,0))</f>
        <v>4</v>
      </c>
    </row>
    <row r="45" spans="1:25" ht="17" customHeight="1" x14ac:dyDescent="0.2">
      <c r="A45" s="228" t="s">
        <v>216</v>
      </c>
      <c r="B45" s="60" t="s">
        <v>145</v>
      </c>
      <c r="C45" s="229" t="s">
        <v>217</v>
      </c>
      <c r="D45" s="229" t="s">
        <v>68</v>
      </c>
      <c r="E45" s="227">
        <v>1</v>
      </c>
      <c r="F45" s="227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 cm="1">
        <f t="array" ref="S45">IFERROR(INDEX(Curriculum_Detail!H:H,MATCH(1,(Curriculum_Detail!D:D="Seconde")*(Curriculum_Detail!F:F="LVA + LVB")*(Curriculum_Detail!E:E="Core"),0)),"") - 2.5</f>
        <v>3</v>
      </c>
      <c r="T45" s="230" cm="1">
        <f t="array" ref="T45">IFERROR(INDEX(Curriculum_Detail!H:H,MATCH(1,(Curriculum_Detail!D:D="Première")*(Curriculum_Detail!F:F="LVA + LVB")*(Curriculum_Detail!E:E="Core"),0)),"") - 2.5</f>
        <v>2</v>
      </c>
      <c r="U45" s="230" cm="1">
        <f t="array" ref="U45">IFERROR(INDEX(Curriculum_Detail!H:H,MATCH(1,(Curriculum_Detail!D:D="Terminale")*(Curriculum_Detail!F:F="LVA + LVB")*(Curriculum_Detail!E:E="Core"),0)),"") - 2.5</f>
        <v>1.5</v>
      </c>
      <c r="V45" s="68" cm="1">
        <f t="array" ref="V45">SUMPRODUCT(IF(ISNUMBER(G45:U45),G45:U45,0),$G$10:$U$10)*E45</f>
        <v>31</v>
      </c>
      <c r="W45" s="58">
        <f>IF(ISNUMBER(SEARCH("PE",D45)),$D$6,$D$5)</f>
        <v>18</v>
      </c>
      <c r="X45" s="59">
        <f>IF(V45=0,"",V45/$H$6)</f>
        <v>1.55</v>
      </c>
      <c r="Y45" s="63">
        <f>IF(X45="","",ROUNDUP(X45,0))</f>
        <v>2</v>
      </c>
    </row>
    <row r="46" spans="1:25" ht="17" customHeight="1" x14ac:dyDescent="0.2">
      <c r="A46" s="213" t="s">
        <v>216</v>
      </c>
      <c r="B46" s="61" t="s">
        <v>186</v>
      </c>
      <c r="C46" s="214" t="s">
        <v>69</v>
      </c>
      <c r="D46" s="214" t="s">
        <v>68</v>
      </c>
      <c r="E46" s="227">
        <v>0</v>
      </c>
      <c r="F46" s="227">
        <v>0</v>
      </c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8" cm="1">
        <f t="array" ref="T46">IFERROR(INDEX(Curriculum_Detail!H:H,MATCH(1,(Curriculum_Detail!D:D="Première")*(Curriculum_Detail!F:F="Langues, littératures et cultures étrangères et régionales")*(Curriculum_Detail!E:E="Specialty"),0)),0)</f>
        <v>4</v>
      </c>
      <c r="U46" s="218" cm="1">
        <f t="array" ref="U46">IFERROR(INDEX(Curriculum_Detail!H:H,MATCH(1,(Curriculum_Detail!D:D="Terminale")*(Curriculum_Detail!F:F="Langues, littératures et cultures étrangères et régionales")*(Curriculum_Detail!E:E="Specialty"),0)),0)</f>
        <v>6</v>
      </c>
      <c r="V46" s="68">
        <f>T46*E46+U46*F46</f>
        <v>0</v>
      </c>
      <c r="W46" s="63">
        <f>$D$5</f>
        <v>18</v>
      </c>
      <c r="X46" s="64" t="str">
        <f>IF(V46=0,"",V46/$H$6)</f>
        <v/>
      </c>
      <c r="Y46" s="63" t="str">
        <f>IF(X46="","",ROUNDUP(X46,0))</f>
        <v/>
      </c>
    </row>
    <row r="47" spans="1:25" ht="19" customHeight="1" x14ac:dyDescent="0.2">
      <c r="A47" s="231"/>
      <c r="B47" s="65"/>
      <c r="C47" s="232" t="s">
        <v>122</v>
      </c>
      <c r="D47" s="233"/>
      <c r="E47" s="234"/>
      <c r="F47" s="234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6">
        <f>V44+V45+V46</f>
        <v>100</v>
      </c>
      <c r="W47" s="66">
        <f>$D$5</f>
        <v>18</v>
      </c>
      <c r="X47" s="67">
        <f>IF(V47=0,"",V47/$H$6)</f>
        <v>5</v>
      </c>
      <c r="Y47" s="66">
        <f>IF(X47="","",ROUNDUP(X47,0))</f>
        <v>5</v>
      </c>
    </row>
    <row r="48" spans="1:25" ht="17" customHeight="1" x14ac:dyDescent="0.2">
      <c r="A48" s="222" t="s">
        <v>62</v>
      </c>
      <c r="B48" s="56"/>
      <c r="C48" s="54"/>
      <c r="D48" s="54"/>
      <c r="E48" s="55"/>
      <c r="F48" s="55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R48" s="223"/>
      <c r="S48" s="223"/>
      <c r="T48" s="223"/>
      <c r="U48" s="223"/>
      <c r="V48" s="224"/>
      <c r="W48" s="225"/>
      <c r="X48" s="226"/>
      <c r="Y48" s="225"/>
    </row>
    <row r="49" spans="1:25" ht="17" customHeight="1" x14ac:dyDescent="0.2">
      <c r="A49" s="136" t="s">
        <v>214</v>
      </c>
      <c r="B49" s="57" t="s">
        <v>145</v>
      </c>
      <c r="C49" s="142" t="s">
        <v>218</v>
      </c>
      <c r="D49" s="142" t="s">
        <v>65</v>
      </c>
      <c r="E49" s="237">
        <f>$D$7</f>
        <v>0.5</v>
      </c>
      <c r="F49" s="227"/>
      <c r="G49" s="188"/>
      <c r="H49" s="188"/>
      <c r="I49" s="188"/>
      <c r="J49" s="188"/>
      <c r="K49" s="188"/>
      <c r="L49" s="188"/>
      <c r="M49" s="188"/>
      <c r="N49" s="188"/>
      <c r="O49" s="188"/>
      <c r="P49" s="188" cm="1">
        <f t="array" ref="P49">IFERROR(INDEX(Curriculum_Detail!H:H,MATCH(1,(Curriculum_Detail!D:D="5e")*(Curriculum_Detail!F:F="Langue vivante 2")*(Curriculum_Detail!E:E="Core"),0)),"")</f>
        <v>2.5</v>
      </c>
      <c r="Q49" s="188" cm="1">
        <f t="array" ref="Q49">IFERROR(INDEX(Curriculum_Detail!H:H,MATCH(1,(Curriculum_Detail!D:D="4e")*(Curriculum_Detail!F:F="Langue vivante 2")*(Curriculum_Detail!E:E="Core"),0)),"")</f>
        <v>2.5</v>
      </c>
      <c r="R49" s="188" cm="1">
        <f t="array" ref="R49">IFERROR(INDEX(Curriculum_Detail!H:H,MATCH(1,(Curriculum_Detail!D:D="3e")*(Curriculum_Detail!F:F="Langue vivante 2")*(Curriculum_Detail!E:E="Core"),0)),"")</f>
        <v>2.5</v>
      </c>
      <c r="S49" s="188"/>
      <c r="T49" s="188"/>
      <c r="U49" s="188"/>
      <c r="V49" s="68" cm="1">
        <f t="array" ref="V49">SUMPRODUCT(IF(ISNUMBER(G49:U49),G49:U49,0),$G$10:$U$10)*E49</f>
        <v>18.75</v>
      </c>
      <c r="W49" s="58">
        <f>IF(ISNUMBER(SEARCH("PE",D49)),$D$6,$D$5)</f>
        <v>18</v>
      </c>
      <c r="X49" s="59">
        <f>IF(V49=0,"",V49/$H$6)</f>
        <v>0.9375</v>
      </c>
      <c r="Y49" s="63">
        <f>IF(X49="","",ROUNDUP(X49,0))</f>
        <v>1</v>
      </c>
    </row>
    <row r="50" spans="1:25" ht="17" customHeight="1" x14ac:dyDescent="0.2">
      <c r="A50" s="228" t="s">
        <v>216</v>
      </c>
      <c r="B50" s="60" t="s">
        <v>145</v>
      </c>
      <c r="C50" s="229" t="s">
        <v>219</v>
      </c>
      <c r="D50" s="229" t="s">
        <v>65</v>
      </c>
      <c r="E50" s="237">
        <f>$D$7</f>
        <v>0.5</v>
      </c>
      <c r="F50" s="227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>
        <v>2.5</v>
      </c>
      <c r="T50" s="230">
        <v>2.5</v>
      </c>
      <c r="U50" s="230">
        <v>2.5</v>
      </c>
      <c r="V50" s="68" cm="1">
        <f t="array" ref="V50">SUMPRODUCT(IF(ISNUMBER(G50:U50),G50:U50,0),$G$10:$U$10)*E50</f>
        <v>17.5</v>
      </c>
      <c r="W50" s="58">
        <f>IF(ISNUMBER(SEARCH("PE",D50)),$D$6,$D$5)</f>
        <v>18</v>
      </c>
      <c r="X50" s="59">
        <f>IF(V50=0,"",V50/$H$6)</f>
        <v>0.875</v>
      </c>
      <c r="Y50" s="63">
        <f>IF(X50="","",ROUNDUP(X50,0))</f>
        <v>1</v>
      </c>
    </row>
    <row r="51" spans="1:25" ht="17" customHeight="1" x14ac:dyDescent="0.2">
      <c r="A51" s="231"/>
      <c r="B51" s="65"/>
      <c r="C51" s="238" t="s">
        <v>121</v>
      </c>
      <c r="D51" s="239"/>
      <c r="E51" s="240"/>
      <c r="F51" s="240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2">
        <f>V49+V50</f>
        <v>36.25</v>
      </c>
      <c r="W51" s="243">
        <f>$D$5</f>
        <v>18</v>
      </c>
      <c r="X51" s="244">
        <f>IF(V51=0,"",V51/$H$6)</f>
        <v>1.8125</v>
      </c>
      <c r="Y51" s="243">
        <f>IF(X51="","",ROUNDUP(X51,0))</f>
        <v>2</v>
      </c>
    </row>
    <row r="52" spans="1:25" ht="19" customHeight="1" x14ac:dyDescent="0.2">
      <c r="A52" s="222" t="s">
        <v>220</v>
      </c>
      <c r="B52" s="56"/>
      <c r="C52" s="54"/>
      <c r="D52" s="54"/>
      <c r="E52" s="55"/>
      <c r="F52" s="55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3"/>
      <c r="S52" s="223"/>
      <c r="T52" s="223"/>
      <c r="U52" s="223"/>
      <c r="V52" s="224"/>
      <c r="W52" s="225"/>
      <c r="X52" s="226"/>
      <c r="Y52" s="225"/>
    </row>
    <row r="53" spans="1:25" ht="19" customHeight="1" x14ac:dyDescent="0.2">
      <c r="A53" s="136" t="s">
        <v>214</v>
      </c>
      <c r="B53" s="57" t="s">
        <v>145</v>
      </c>
      <c r="C53" s="142" t="s">
        <v>221</v>
      </c>
      <c r="D53" s="142" t="s">
        <v>222</v>
      </c>
      <c r="E53" s="237">
        <f>$F$7</f>
        <v>0.1</v>
      </c>
      <c r="F53" s="227"/>
      <c r="G53" s="188"/>
      <c r="H53" s="188"/>
      <c r="I53" s="188"/>
      <c r="J53" s="188"/>
      <c r="K53" s="188"/>
      <c r="L53" s="188"/>
      <c r="M53" s="188"/>
      <c r="N53" s="188"/>
      <c r="O53" s="188"/>
      <c r="P53" s="188" cm="1">
        <f t="array" ref="P53">IFERROR(INDEX(Curriculum_Detail!H:H,MATCH(1,(Curriculum_Detail!D:D="5e")*(Curriculum_Detail!F:F="Langue vivante 2")*(Curriculum_Detail!E:E="Core"),0)),"")</f>
        <v>2.5</v>
      </c>
      <c r="Q53" s="188" cm="1">
        <f t="array" ref="Q53">IFERROR(INDEX(Curriculum_Detail!H:H,MATCH(1,(Curriculum_Detail!D:D="4e")*(Curriculum_Detail!F:F="Langue vivante 2")*(Curriculum_Detail!E:E="Core"),0)),"")</f>
        <v>2.5</v>
      </c>
      <c r="R53" s="188" cm="1">
        <f t="array" ref="R53">IFERROR(INDEX(Curriculum_Detail!H:H,MATCH(1,(Curriculum_Detail!D:D="3e")*(Curriculum_Detail!F:F="Langue vivante 2")*(Curriculum_Detail!E:E="Core"),0)),"")</f>
        <v>2.5</v>
      </c>
      <c r="S53" s="188"/>
      <c r="T53" s="188"/>
      <c r="U53" s="188"/>
      <c r="V53" s="68" cm="1">
        <f t="array" ref="V53">SUMPRODUCT(IF(ISNUMBER(G53:U53),G53:U53,0),$G$10:$U$10)*E53</f>
        <v>3.75</v>
      </c>
      <c r="W53" s="58">
        <f>IF(ISNUMBER(SEARCH("PE",D53)),$D$6,$D$5)</f>
        <v>18</v>
      </c>
      <c r="X53" s="59">
        <f>IF(V53=0,"",V53/$H$6)</f>
        <v>0.1875</v>
      </c>
      <c r="Y53" s="63">
        <f>IF(X53="","",ROUNDUP(X53,0))</f>
        <v>1</v>
      </c>
    </row>
    <row r="54" spans="1:25" ht="19" customHeight="1" x14ac:dyDescent="0.2">
      <c r="A54" s="228" t="s">
        <v>216</v>
      </c>
      <c r="B54" s="60" t="s">
        <v>145</v>
      </c>
      <c r="C54" s="229" t="s">
        <v>223</v>
      </c>
      <c r="D54" s="229" t="s">
        <v>222</v>
      </c>
      <c r="E54" s="237">
        <f>$F$7</f>
        <v>0.1</v>
      </c>
      <c r="F54" s="227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>
        <v>2.5</v>
      </c>
      <c r="T54" s="230">
        <v>2.5</v>
      </c>
      <c r="U54" s="230">
        <v>2.5</v>
      </c>
      <c r="V54" s="68" cm="1">
        <f t="array" ref="V54">SUMPRODUCT(IF(ISNUMBER(G54:U54),G54:U54,0),$G$10:$U$10)*E54</f>
        <v>3.5</v>
      </c>
      <c r="W54" s="58">
        <f>IF(ISNUMBER(SEARCH("PE",D54)),$D$6,$D$5)</f>
        <v>18</v>
      </c>
      <c r="X54" s="59">
        <f>IF(V54=0,"",V54/$H$6)</f>
        <v>0.17499999999999999</v>
      </c>
      <c r="Y54" s="63">
        <f>IF(X54="","",ROUNDUP(X54,0))</f>
        <v>1</v>
      </c>
    </row>
    <row r="55" spans="1:25" ht="19" customHeight="1" x14ac:dyDescent="0.2">
      <c r="A55" s="231"/>
      <c r="B55" s="65"/>
      <c r="C55" s="238" t="s">
        <v>224</v>
      </c>
      <c r="D55" s="239"/>
      <c r="E55" s="240"/>
      <c r="F55" s="240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2">
        <f>V53+V54</f>
        <v>7.25</v>
      </c>
      <c r="W55" s="243">
        <f>$D$5</f>
        <v>18</v>
      </c>
      <c r="X55" s="244">
        <f>IF(V55=0,"",V55/$H$6)</f>
        <v>0.36249999999999999</v>
      </c>
      <c r="Y55" s="243">
        <f>IF(X55="","",ROUNDUP(X55,0))</f>
        <v>1</v>
      </c>
    </row>
    <row r="56" spans="1:25" ht="19" customHeight="1" x14ac:dyDescent="0.2">
      <c r="A56" s="222" t="s">
        <v>225</v>
      </c>
      <c r="B56" s="56"/>
      <c r="C56" s="54"/>
      <c r="D56" s="54"/>
      <c r="E56" s="55"/>
      <c r="F56" s="55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3"/>
      <c r="S56" s="223"/>
      <c r="T56" s="223"/>
      <c r="U56" s="223"/>
      <c r="V56" s="224"/>
      <c r="W56" s="225"/>
      <c r="X56" s="226"/>
      <c r="Y56" s="225"/>
    </row>
    <row r="57" spans="1:25" ht="19" customHeight="1" x14ac:dyDescent="0.2">
      <c r="A57" s="136" t="s">
        <v>214</v>
      </c>
      <c r="B57" s="57" t="s">
        <v>145</v>
      </c>
      <c r="C57" s="142" t="s">
        <v>226</v>
      </c>
      <c r="D57" s="142" t="s">
        <v>227</v>
      </c>
      <c r="E57" s="237">
        <f>$H$7</f>
        <v>0.4</v>
      </c>
      <c r="F57" s="227"/>
      <c r="G57" s="188"/>
      <c r="H57" s="188"/>
      <c r="I57" s="188"/>
      <c r="J57" s="188"/>
      <c r="K57" s="188"/>
      <c r="L57" s="188"/>
      <c r="M57" s="188"/>
      <c r="N57" s="188"/>
      <c r="O57" s="188"/>
      <c r="P57" s="188" cm="1">
        <f t="array" ref="P57">IFERROR(INDEX(Curriculum_Detail!H:H,MATCH(1,(Curriculum_Detail!D:D="5e")*(Curriculum_Detail!F:F="Langue vivante 2")*(Curriculum_Detail!E:E="Core"),0)),"")</f>
        <v>2.5</v>
      </c>
      <c r="Q57" s="188" cm="1">
        <f t="array" ref="Q57">IFERROR(INDEX(Curriculum_Detail!H:H,MATCH(1,(Curriculum_Detail!D:D="4e")*(Curriculum_Detail!F:F="Langue vivante 2")*(Curriculum_Detail!E:E="Core"),0)),"")</f>
        <v>2.5</v>
      </c>
      <c r="R57" s="188" cm="1">
        <f t="array" ref="R57">IFERROR(INDEX(Curriculum_Detail!H:H,MATCH(1,(Curriculum_Detail!D:D="3e")*(Curriculum_Detail!F:F="Langue vivante 2")*(Curriculum_Detail!E:E="Core"),0)),"")</f>
        <v>2.5</v>
      </c>
      <c r="S57" s="188"/>
      <c r="T57" s="188"/>
      <c r="U57" s="188"/>
      <c r="V57" s="68" cm="1">
        <f t="array" ref="V57">SUMPRODUCT(IF(ISNUMBER(G57:U57),G57:U57,0),$G$10:$U$10)*E57</f>
        <v>15</v>
      </c>
      <c r="W57" s="58">
        <f>IF(ISNUMBER(SEARCH("PE",D57)),$D$6,$D$5)</f>
        <v>18</v>
      </c>
      <c r="X57" s="59">
        <f>IF(V57=0,"",V57/$H$6)</f>
        <v>0.75</v>
      </c>
      <c r="Y57" s="63">
        <f>IF(X57="","",ROUNDUP(X57,0))</f>
        <v>1</v>
      </c>
    </row>
    <row r="58" spans="1:25" ht="19" customHeight="1" x14ac:dyDescent="0.2">
      <c r="A58" s="228" t="s">
        <v>216</v>
      </c>
      <c r="B58" s="60" t="s">
        <v>145</v>
      </c>
      <c r="C58" s="229" t="s">
        <v>228</v>
      </c>
      <c r="D58" s="229" t="s">
        <v>227</v>
      </c>
      <c r="E58" s="237">
        <f>$H$7</f>
        <v>0.4</v>
      </c>
      <c r="F58" s="227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>
        <v>2.5</v>
      </c>
      <c r="T58" s="230">
        <v>2.5</v>
      </c>
      <c r="U58" s="230">
        <v>2.5</v>
      </c>
      <c r="V58" s="68" cm="1">
        <f t="array" ref="V58">SUMPRODUCT(IF(ISNUMBER(G58:U58),G58:U58,0),$G$10:$U$10)*E58</f>
        <v>14</v>
      </c>
      <c r="W58" s="58">
        <f>IF(ISNUMBER(SEARCH("PE",D58)),$D$6,$D$5)</f>
        <v>18</v>
      </c>
      <c r="X58" s="59">
        <f>IF(V58=0,"",V58/$H$6)</f>
        <v>0.7</v>
      </c>
      <c r="Y58" s="63">
        <f>IF(X58="","",ROUNDUP(X58,0))</f>
        <v>1</v>
      </c>
    </row>
    <row r="59" spans="1:25" ht="17" customHeight="1" x14ac:dyDescent="0.2">
      <c r="A59" s="231"/>
      <c r="B59" s="65"/>
      <c r="C59" s="238" t="s">
        <v>229</v>
      </c>
      <c r="D59" s="239"/>
      <c r="E59" s="240"/>
      <c r="F59" s="240"/>
      <c r="G59" s="241"/>
      <c r="H59" s="241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2">
        <f>V57+V58</f>
        <v>29</v>
      </c>
      <c r="W59" s="243">
        <f>$D$5</f>
        <v>18</v>
      </c>
      <c r="X59" s="244">
        <f>IF(V59=0,"",V59/$H$6)</f>
        <v>1.45</v>
      </c>
      <c r="Y59" s="243">
        <f>IF(X59="","",ROUNDUP(X59,0))</f>
        <v>2</v>
      </c>
    </row>
    <row r="60" spans="1:25" ht="19" customHeight="1" x14ac:dyDescent="0.2">
      <c r="A60" s="135" t="s">
        <v>70</v>
      </c>
      <c r="B60" s="95"/>
      <c r="C60" s="135"/>
      <c r="D60" s="148"/>
      <c r="E60" s="94"/>
      <c r="F60" s="133"/>
      <c r="G60" s="131"/>
      <c r="H60" s="131"/>
      <c r="I60" s="187"/>
      <c r="J60" s="131"/>
      <c r="K60" s="131"/>
      <c r="L60" s="131"/>
      <c r="M60" s="131"/>
      <c r="N60" s="187"/>
      <c r="O60" s="131"/>
      <c r="P60" s="131"/>
      <c r="Q60" s="131"/>
      <c r="R60" s="187"/>
      <c r="S60" s="131"/>
      <c r="T60" s="131"/>
      <c r="U60" s="131"/>
      <c r="V60" s="125"/>
      <c r="W60" s="126"/>
      <c r="X60" s="127"/>
      <c r="Y60" s="126"/>
    </row>
    <row r="61" spans="1:25" ht="17" customHeight="1" x14ac:dyDescent="0.2">
      <c r="A61" s="137" t="s">
        <v>108</v>
      </c>
      <c r="B61" s="84" t="s">
        <v>145</v>
      </c>
      <c r="C61" s="143" t="s">
        <v>40</v>
      </c>
      <c r="D61" s="150" t="s">
        <v>71</v>
      </c>
      <c r="E61" s="245">
        <v>1</v>
      </c>
      <c r="F61" s="246"/>
      <c r="G61" s="190"/>
      <c r="H61" s="190"/>
      <c r="I61" s="191"/>
      <c r="J61" s="190"/>
      <c r="K61" s="190"/>
      <c r="L61" s="190"/>
      <c r="M61" s="190"/>
      <c r="N61" s="191"/>
      <c r="O61" s="190">
        <v>1.5</v>
      </c>
      <c r="P61" s="190" cm="1">
        <f t="array" ref="P61">IFERROR(INDEX(Curriculum_Detail!H:H,MATCH(1,(Curriculum_Detail!D:D="5e")*(Curriculum_Detail!F:F="Sciences de la vie et de la Terre")*(Curriculum_Detail!E:E="Core"),0)),"")</f>
        <v>1.5</v>
      </c>
      <c r="Q61" s="190" cm="1">
        <f t="array" ref="Q61">IFERROR(INDEX(Curriculum_Detail!H:H,MATCH(1,(Curriculum_Detail!D:D="4e")*(Curriculum_Detail!F:F="Sciences de la vie et de la Terre")*(Curriculum_Detail!E:E="Core"),0)),"")</f>
        <v>1.5</v>
      </c>
      <c r="R61" s="191" cm="1">
        <f t="array" ref="R61">IFERROR(INDEX(Curriculum_Detail!H:H,MATCH(1,(Curriculum_Detail!D:D="3e")*(Curriculum_Detail!F:F="Sciences de la vie et de la Terre")*(Curriculum_Detail!E:E="Core"),0)),"")</f>
        <v>1.5</v>
      </c>
      <c r="S61" s="190" cm="1">
        <f t="array" ref="S61">IFERROR(INDEX(Curriculum_Detail!H:H,MATCH(1,(Curriculum_Detail!D:D="Seconde")*(Curriculum_Detail!F:F="Sciences de la vie et de la Terre")*(Curriculum_Detail!E:E="Core"),0)),"")</f>
        <v>1.5</v>
      </c>
      <c r="T61" s="190"/>
      <c r="U61" s="190"/>
      <c r="V61" s="109" cm="1">
        <f t="array" ref="V61">SUMPRODUCT(IF(ISNUMBER(G61:U61),G61:U61,0),$G$10:$U$10)*E61</f>
        <v>39</v>
      </c>
      <c r="W61" s="89">
        <f>IF(ISNUMBER(SEARCH("PE",D61)),$D$6,$D$5)</f>
        <v>18</v>
      </c>
      <c r="X61" s="90">
        <f t="shared" ref="X61:X72" si="0">IF(V61=0,"",V61/$H$6)</f>
        <v>1.95</v>
      </c>
      <c r="Y61" s="89">
        <f t="shared" ref="Y61:Y72" si="1">IF(X61="","",ROUNDUP(X61,0))</f>
        <v>2</v>
      </c>
    </row>
    <row r="62" spans="1:25" ht="17" customHeight="1" x14ac:dyDescent="0.2">
      <c r="A62" s="140" t="s">
        <v>108</v>
      </c>
      <c r="B62" s="88" t="s">
        <v>186</v>
      </c>
      <c r="C62" s="146" t="s">
        <v>72</v>
      </c>
      <c r="D62" s="153" t="s">
        <v>71</v>
      </c>
      <c r="E62" s="245">
        <v>1</v>
      </c>
      <c r="F62" s="246">
        <v>1</v>
      </c>
      <c r="G62" s="208"/>
      <c r="H62" s="208"/>
      <c r="I62" s="209"/>
      <c r="J62" s="208"/>
      <c r="K62" s="208"/>
      <c r="L62" s="208"/>
      <c r="M62" s="208"/>
      <c r="N62" s="209"/>
      <c r="O62" s="208"/>
      <c r="P62" s="208"/>
      <c r="Q62" s="208"/>
      <c r="R62" s="209"/>
      <c r="S62" s="208"/>
      <c r="T62" s="202" cm="1">
        <f t="array" ref="T62">IFERROR(INDEX(Curriculum_Detail!H:H,MATCH(1,(Curriculum_Detail!D:D="Première")*(Curriculum_Detail!F:F="Sciences de la vie et de la Terre")*(Curriculum_Detail!E:E="Specialty"),0)),0)</f>
        <v>4</v>
      </c>
      <c r="U62" s="202" cm="1">
        <f t="array" ref="U62">IFERROR(INDEX(Curriculum_Detail!H:H,MATCH(1,(Curriculum_Detail!D:D="Terminale")*(Curriculum_Detail!F:F="Sciences de la vie et de la Terre")*(Curriculum_Detail!E:E="Specialty"),0)),0)</f>
        <v>6</v>
      </c>
      <c r="V62" s="109">
        <f>T62*E62+U62*F62</f>
        <v>10</v>
      </c>
      <c r="W62" s="89">
        <f>$D$5</f>
        <v>18</v>
      </c>
      <c r="X62" s="90">
        <f t="shared" si="0"/>
        <v>0.5</v>
      </c>
      <c r="Y62" s="89">
        <f t="shared" si="1"/>
        <v>1</v>
      </c>
    </row>
    <row r="63" spans="1:25" ht="17" customHeight="1" x14ac:dyDescent="0.2">
      <c r="A63" s="139" t="s">
        <v>108</v>
      </c>
      <c r="B63" s="91" t="s">
        <v>145</v>
      </c>
      <c r="C63" s="145" t="s">
        <v>34</v>
      </c>
      <c r="D63" s="152" t="s">
        <v>73</v>
      </c>
      <c r="E63" s="245">
        <v>1</v>
      </c>
      <c r="F63" s="246"/>
      <c r="G63" s="194"/>
      <c r="H63" s="194"/>
      <c r="I63" s="195"/>
      <c r="J63" s="194"/>
      <c r="K63" s="194"/>
      <c r="L63" s="194"/>
      <c r="M63" s="194"/>
      <c r="N63" s="195"/>
      <c r="O63" s="194">
        <v>1.5</v>
      </c>
      <c r="P63" s="194" cm="1">
        <f t="array" ref="P63">IFERROR(INDEX(Curriculum_Detail!H:H,MATCH(1,(Curriculum_Detail!D:D="5e")*(Curriculum_Detail!F:F="Physique-chimie")*(Curriculum_Detail!E:E="Core"),0)),"")</f>
        <v>1.5</v>
      </c>
      <c r="Q63" s="194" cm="1">
        <f t="array" ref="Q63">IFERROR(INDEX(Curriculum_Detail!H:H,MATCH(1,(Curriculum_Detail!D:D="4e")*(Curriculum_Detail!F:F="Physique-chimie")*(Curriculum_Detail!E:E="Core"),0)),"")</f>
        <v>1.5</v>
      </c>
      <c r="R63" s="195" cm="1">
        <f t="array" ref="R63">IFERROR(INDEX(Curriculum_Detail!H:H,MATCH(1,(Curriculum_Detail!D:D="3e")*(Curriculum_Detail!F:F="Physique-chimie")*(Curriculum_Detail!E:E="Core"),0)),"")</f>
        <v>1.5</v>
      </c>
      <c r="S63" s="194" cm="1">
        <f t="array" ref="S63">IFERROR(INDEX(Curriculum_Detail!H:H,MATCH(1,(Curriculum_Detail!D:D="Seconde")*(Curriculum_Detail!F:F="Physique-chimie")*(Curriculum_Detail!E:E="Core"),0)),"")</f>
        <v>3</v>
      </c>
      <c r="T63" s="194"/>
      <c r="U63" s="194"/>
      <c r="V63" s="109" cm="1">
        <f t="array" ref="V63">SUMPRODUCT(IF(ISNUMBER(G63:U63),G63:U63,0),$G$10:$U$10)*E63</f>
        <v>46.5</v>
      </c>
      <c r="W63" s="89">
        <f>IF(ISNUMBER(SEARCH("PE",D63)),$D$6,$D$5)</f>
        <v>18</v>
      </c>
      <c r="X63" s="90">
        <f t="shared" si="0"/>
        <v>2.3250000000000002</v>
      </c>
      <c r="Y63" s="89">
        <f t="shared" si="1"/>
        <v>3</v>
      </c>
    </row>
    <row r="64" spans="1:25" ht="17" customHeight="1" x14ac:dyDescent="0.2">
      <c r="A64" s="140" t="s">
        <v>108</v>
      </c>
      <c r="B64" s="88" t="s">
        <v>186</v>
      </c>
      <c r="C64" s="146" t="s">
        <v>74</v>
      </c>
      <c r="D64" s="153" t="s">
        <v>73</v>
      </c>
      <c r="E64" s="245">
        <v>1</v>
      </c>
      <c r="F64" s="246">
        <v>1</v>
      </c>
      <c r="G64" s="208"/>
      <c r="H64" s="208"/>
      <c r="I64" s="209"/>
      <c r="J64" s="208"/>
      <c r="K64" s="208"/>
      <c r="L64" s="208"/>
      <c r="M64" s="208"/>
      <c r="N64" s="209"/>
      <c r="O64" s="208"/>
      <c r="P64" s="208"/>
      <c r="Q64" s="208"/>
      <c r="R64" s="209"/>
      <c r="S64" s="208"/>
      <c r="T64" s="202" cm="1">
        <f t="array" ref="T64">IFERROR(INDEX(Curriculum_Detail!H:H,MATCH(1,(Curriculum_Detail!D:D="Première")*(Curriculum_Detail!F:F="Physique-chimie")*(Curriculum_Detail!E:E="Specialty"),0)),0)</f>
        <v>4</v>
      </c>
      <c r="U64" s="202" cm="1">
        <f t="array" ref="U64">IFERROR(INDEX(Curriculum_Detail!H:H,MATCH(1,(Curriculum_Detail!D:D="Terminale")*(Curriculum_Detail!F:F="Physique-chimie")*(Curriculum_Detail!E:E="Specialty"),0)),0)</f>
        <v>6</v>
      </c>
      <c r="V64" s="109">
        <f>T64*E64+U64*F64</f>
        <v>10</v>
      </c>
      <c r="W64" s="89">
        <f>$D$5</f>
        <v>18</v>
      </c>
      <c r="X64" s="90">
        <f t="shared" si="0"/>
        <v>0.5</v>
      </c>
      <c r="Y64" s="89">
        <f t="shared" si="1"/>
        <v>1</v>
      </c>
    </row>
    <row r="65" spans="1:25" ht="17" customHeight="1" x14ac:dyDescent="0.2">
      <c r="A65" s="137" t="s">
        <v>108</v>
      </c>
      <c r="B65" s="84" t="s">
        <v>145</v>
      </c>
      <c r="C65" s="143" t="s">
        <v>109</v>
      </c>
      <c r="D65" s="150" t="s">
        <v>75</v>
      </c>
      <c r="E65" s="245">
        <v>1</v>
      </c>
      <c r="F65" s="246"/>
      <c r="G65" s="190"/>
      <c r="H65" s="190"/>
      <c r="I65" s="191"/>
      <c r="J65" s="190"/>
      <c r="K65" s="190"/>
      <c r="L65" s="190"/>
      <c r="M65" s="190"/>
      <c r="N65" s="191"/>
      <c r="O65" s="190"/>
      <c r="P65" s="190" cm="1">
        <f t="array" ref="P65">IFERROR(INDEX(Curriculum_Detail!H:H,MATCH(1,(Curriculum_Detail!D:D="5e")*(Curriculum_Detail!F:F="Technologie")*(Curriculum_Detail!E:E="Core"),0)),"")</f>
        <v>1.5</v>
      </c>
      <c r="Q65" s="190" cm="1">
        <f t="array" ref="Q65">IFERROR(INDEX(Curriculum_Detail!H:H,MATCH(1,(Curriculum_Detail!D:D="4e")*(Curriculum_Detail!F:F="Technologie")*(Curriculum_Detail!E:E="Core"),0)),"")</f>
        <v>1.5</v>
      </c>
      <c r="R65" s="191" cm="1">
        <f t="array" ref="R65">IFERROR(INDEX(Curriculum_Detail!H:H,MATCH(1,(Curriculum_Detail!D:D="3e")*(Curriculum_Detail!F:F="Technologie")*(Curriculum_Detail!E:E="Core"),0)),"")</f>
        <v>1.5</v>
      </c>
      <c r="S65" s="190"/>
      <c r="T65" s="190"/>
      <c r="U65" s="190"/>
      <c r="V65" s="109" cm="1">
        <f t="array" ref="V65">SUMPRODUCT(IF(ISNUMBER(G65:U65),G65:U65,0),$G$10:$U$10)*E65</f>
        <v>22.5</v>
      </c>
      <c r="W65" s="89">
        <f>IF(ISNUMBER(SEARCH("PE",D65)),$D$6,$D$5)</f>
        <v>18</v>
      </c>
      <c r="X65" s="90">
        <f t="shared" si="0"/>
        <v>1.125</v>
      </c>
      <c r="Y65" s="89">
        <f t="shared" si="1"/>
        <v>2</v>
      </c>
    </row>
    <row r="66" spans="1:25" ht="17" customHeight="1" x14ac:dyDescent="0.2">
      <c r="A66" s="139" t="s">
        <v>108</v>
      </c>
      <c r="B66" s="91" t="s">
        <v>145</v>
      </c>
      <c r="C66" s="145" t="s">
        <v>110</v>
      </c>
      <c r="D66" s="152" t="s">
        <v>75</v>
      </c>
      <c r="E66" s="245">
        <v>1</v>
      </c>
      <c r="F66" s="246"/>
      <c r="G66" s="194"/>
      <c r="H66" s="194"/>
      <c r="I66" s="195"/>
      <c r="J66" s="194"/>
      <c r="K66" s="194"/>
      <c r="L66" s="194"/>
      <c r="M66" s="194"/>
      <c r="N66" s="195"/>
      <c r="O66" s="194"/>
      <c r="P66" s="194"/>
      <c r="Q66" s="194"/>
      <c r="R66" s="195"/>
      <c r="S66" s="194" cm="1">
        <f t="array" ref="S66">IFERROR(INDEX(Curriculum_Detail!H:H,MATCH(1,(Curriculum_Detail!D:D="Seconde")*(Curriculum_Detail!F:F="Sciences numériques et technologie")*(Curriculum_Detail!E:E="Core"),0)),"")</f>
        <v>1.5</v>
      </c>
      <c r="T66" s="194"/>
      <c r="U66" s="194"/>
      <c r="V66" s="109" cm="1">
        <f t="array" ref="V66">SUMPRODUCT(IF(ISNUMBER(G66:U66),G66:U66,0),$G$10:$U$10)*E66</f>
        <v>7.5</v>
      </c>
      <c r="W66" s="89">
        <f>IF(ISNUMBER(SEARCH("PE",D66)),$D$6,$D$5)</f>
        <v>18</v>
      </c>
      <c r="X66" s="90">
        <f t="shared" si="0"/>
        <v>0.375</v>
      </c>
      <c r="Y66" s="89">
        <f t="shared" si="1"/>
        <v>1</v>
      </c>
    </row>
    <row r="67" spans="1:25" ht="17" customHeight="1" x14ac:dyDescent="0.2">
      <c r="A67" s="137" t="s">
        <v>108</v>
      </c>
      <c r="B67" s="84" t="s">
        <v>145</v>
      </c>
      <c r="C67" s="143" t="s">
        <v>41</v>
      </c>
      <c r="D67" s="150" t="s">
        <v>76</v>
      </c>
      <c r="E67" s="245">
        <v>1</v>
      </c>
      <c r="F67" s="246"/>
      <c r="G67" s="190"/>
      <c r="H67" s="190"/>
      <c r="I67" s="191"/>
      <c r="J67" s="190"/>
      <c r="K67" s="190"/>
      <c r="L67" s="190"/>
      <c r="M67" s="190"/>
      <c r="N67" s="191"/>
      <c r="O67" s="190"/>
      <c r="P67" s="190"/>
      <c r="Q67" s="190"/>
      <c r="R67" s="191"/>
      <c r="S67" s="190"/>
      <c r="T67" s="190" cm="1">
        <f t="array" ref="T67">IFERROR(INDEX(Curriculum_Detail!H:H,MATCH(1,(Curriculum_Detail!D:D="Première")*(Curriculum_Detail!F:F="Enseignement scientifique")*(Curriculum_Detail!E:E="Core"),0)),"")</f>
        <v>2</v>
      </c>
      <c r="U67" s="190" cm="1">
        <f t="array" ref="U67">IFERROR(INDEX(Curriculum_Detail!H:H,MATCH(1,(Curriculum_Detail!D:D="Terminale")*(Curriculum_Detail!F:F="Enseignement scientifique")*(Curriculum_Detail!E:E="Core"),0)),"")</f>
        <v>2</v>
      </c>
      <c r="V67" s="109" cm="1">
        <f t="array" ref="V67">SUMPRODUCT(IF(ISNUMBER(G67:U67),G67:U67,0),$G$10:$U$10)*E67</f>
        <v>18</v>
      </c>
      <c r="W67" s="89">
        <f>IF(ISNUMBER(SEARCH("PE",D67)),$D$6,$D$5)</f>
        <v>18</v>
      </c>
      <c r="X67" s="90">
        <f t="shared" si="0"/>
        <v>0.9</v>
      </c>
      <c r="Y67" s="89">
        <f t="shared" si="1"/>
        <v>1</v>
      </c>
    </row>
    <row r="68" spans="1:25" ht="17" customHeight="1" x14ac:dyDescent="0.2">
      <c r="A68" s="139" t="s">
        <v>108</v>
      </c>
      <c r="B68" s="91" t="s">
        <v>145</v>
      </c>
      <c r="C68" s="145" t="s">
        <v>113</v>
      </c>
      <c r="D68" s="152" t="s">
        <v>81</v>
      </c>
      <c r="E68" s="245">
        <v>1</v>
      </c>
      <c r="F68" s="246"/>
      <c r="G68" s="194"/>
      <c r="H68" s="194"/>
      <c r="I68" s="195"/>
      <c r="J68" s="194"/>
      <c r="K68" s="194"/>
      <c r="L68" s="194"/>
      <c r="M68" s="194"/>
      <c r="N68" s="195"/>
      <c r="O68" s="194"/>
      <c r="P68" s="194"/>
      <c r="Q68" s="194"/>
      <c r="R68" s="195"/>
      <c r="S68" s="194" cm="1">
        <f t="array" ref="S68">IFERROR(INDEX(Curriculum_Detail!H:H,MATCH(1,(Curriculum_Detail!D:D="Seconde")*(Curriculum_Detail!F:F="Sciences économiques et sociales")*(Curriculum_Detail!E:E="Core"),0)),"")</f>
        <v>1.5</v>
      </c>
      <c r="T68" s="194"/>
      <c r="U68" s="194"/>
      <c r="V68" s="109" cm="1">
        <f t="array" ref="V68">SUMPRODUCT(IF(ISNUMBER(G68:U68),G68:U68,0),$G$10:$U$10)*E68</f>
        <v>7.5</v>
      </c>
      <c r="W68" s="89">
        <f>IF(ISNUMBER(SEARCH("PE",D68)),$D$6,$D$5)</f>
        <v>18</v>
      </c>
      <c r="X68" s="90">
        <f t="shared" si="0"/>
        <v>0.375</v>
      </c>
      <c r="Y68" s="89">
        <f t="shared" si="1"/>
        <v>1</v>
      </c>
    </row>
    <row r="69" spans="1:25" ht="17" customHeight="1" x14ac:dyDescent="0.2">
      <c r="A69" s="140" t="s">
        <v>108</v>
      </c>
      <c r="B69" s="88" t="s">
        <v>186</v>
      </c>
      <c r="C69" s="146" t="s">
        <v>82</v>
      </c>
      <c r="D69" s="153" t="s">
        <v>81</v>
      </c>
      <c r="E69" s="245">
        <v>1</v>
      </c>
      <c r="F69" s="246">
        <v>4</v>
      </c>
      <c r="G69" s="208"/>
      <c r="H69" s="208"/>
      <c r="I69" s="209"/>
      <c r="J69" s="208"/>
      <c r="K69" s="208"/>
      <c r="L69" s="208"/>
      <c r="M69" s="208"/>
      <c r="N69" s="209"/>
      <c r="O69" s="208"/>
      <c r="P69" s="208"/>
      <c r="Q69" s="208"/>
      <c r="R69" s="209"/>
      <c r="S69" s="208"/>
      <c r="T69" s="202" cm="1">
        <f t="array" ref="T69">IFERROR(INDEX(Curriculum_Detail!H:H,MATCH(1,(Curriculum_Detail!D:D="Première")*(Curriculum_Detail!F:F="Sciences économiques et sociales")*(Curriculum_Detail!E:E="Specialty"),0)),0)</f>
        <v>4</v>
      </c>
      <c r="U69" s="202" cm="1">
        <f t="array" ref="U69">IFERROR(INDEX(Curriculum_Detail!H:H,MATCH(1,(Curriculum_Detail!D:D="Terminale")*(Curriculum_Detail!F:F="Sciences économiques et sociales")*(Curriculum_Detail!E:E="Specialty"),0)),0)</f>
        <v>6</v>
      </c>
      <c r="V69" s="109">
        <f>T69*E69+U69*F69</f>
        <v>28</v>
      </c>
      <c r="W69" s="89">
        <f>$D$5</f>
        <v>18</v>
      </c>
      <c r="X69" s="90">
        <f t="shared" si="0"/>
        <v>1.4</v>
      </c>
      <c r="Y69" s="89">
        <f t="shared" si="1"/>
        <v>2</v>
      </c>
    </row>
    <row r="70" spans="1:25" ht="17" customHeight="1" x14ac:dyDescent="0.2">
      <c r="A70" s="141" t="s">
        <v>108</v>
      </c>
      <c r="B70" s="92" t="s">
        <v>186</v>
      </c>
      <c r="C70" s="147" t="s">
        <v>111</v>
      </c>
      <c r="D70" s="154" t="s">
        <v>77</v>
      </c>
      <c r="E70" s="93">
        <v>1</v>
      </c>
      <c r="F70" s="104">
        <v>1</v>
      </c>
      <c r="G70" s="210"/>
      <c r="H70" s="210"/>
      <c r="I70" s="211"/>
      <c r="J70" s="210"/>
      <c r="K70" s="210"/>
      <c r="L70" s="210"/>
      <c r="M70" s="210"/>
      <c r="N70" s="211"/>
      <c r="O70" s="210"/>
      <c r="P70" s="210"/>
      <c r="Q70" s="210"/>
      <c r="R70" s="211"/>
      <c r="S70" s="210"/>
      <c r="T70" s="203" cm="1">
        <f t="array" ref="T70">IFERROR(INDEX(Curriculum_Detail!H:H,MATCH(1,(Curriculum_Detail!D:D="Première")*(Curriculum_Detail!F:F="Numérique et sciences informatiques")*(Curriculum_Detail!E:E="Specialty"),0)),0)</f>
        <v>4</v>
      </c>
      <c r="U70" s="203" cm="1">
        <f t="array" ref="U70">IFERROR(INDEX(Curriculum_Detail!H:H,MATCH(1,(Curriculum_Detail!D:D="Terminale")*(Curriculum_Detail!F:F="Numérique et sciences informatiques")*(Curriculum_Detail!E:E="Specialty"),0)),0)</f>
        <v>6</v>
      </c>
      <c r="V70" s="109">
        <f>T70*E70+U70*F70</f>
        <v>10</v>
      </c>
      <c r="W70" s="89">
        <f>$D$5</f>
        <v>18</v>
      </c>
      <c r="X70" s="90">
        <f t="shared" si="0"/>
        <v>0.5</v>
      </c>
      <c r="Y70" s="89">
        <f t="shared" si="1"/>
        <v>1</v>
      </c>
    </row>
    <row r="71" spans="1:25" ht="17" customHeight="1" x14ac:dyDescent="0.2">
      <c r="A71" s="139" t="s">
        <v>114</v>
      </c>
      <c r="B71" s="91" t="s">
        <v>145</v>
      </c>
      <c r="C71" s="145" t="s">
        <v>36</v>
      </c>
      <c r="D71" s="152" t="s">
        <v>83</v>
      </c>
      <c r="E71" s="85">
        <v>1</v>
      </c>
      <c r="F71" s="103"/>
      <c r="G71" s="194"/>
      <c r="H71" s="194"/>
      <c r="I71" s="195"/>
      <c r="J71" s="194"/>
      <c r="K71" s="194"/>
      <c r="L71" s="194"/>
      <c r="M71" s="194"/>
      <c r="N71" s="195"/>
      <c r="O71" s="194" cm="1">
        <f t="array" ref="O71">IFERROR(INDEX(Curriculum_Detail!H:H,MATCH(1,(Curriculum_Detail!D:D="6e")*(Curriculum_Detail!F:F="Arts plastiques")*(Curriculum_Detail!E:E="Core"),0)),"")</f>
        <v>1</v>
      </c>
      <c r="P71" s="194" cm="1">
        <f t="array" ref="P71">IFERROR(INDEX(Curriculum_Detail!H:H,MATCH(1,(Curriculum_Detail!D:D="5e")*(Curriculum_Detail!F:F="Arts plastiques")*(Curriculum_Detail!E:E="Core"),0)),"")</f>
        <v>1</v>
      </c>
      <c r="Q71" s="194" cm="1">
        <f t="array" ref="Q71">IFERROR(INDEX(Curriculum_Detail!H:H,MATCH(1,(Curriculum_Detail!D:D="4e")*(Curriculum_Detail!F:F="Arts plastiques")*(Curriculum_Detail!E:E="Core"),0)),"")</f>
        <v>1</v>
      </c>
      <c r="R71" s="195" cm="1">
        <f t="array" ref="R71">IFERROR(INDEX(Curriculum_Detail!H:H,MATCH(1,(Curriculum_Detail!D:D="3e")*(Curriculum_Detail!F:F="Arts plastiques")*(Curriculum_Detail!E:E="Core"),0)),"")</f>
        <v>1</v>
      </c>
      <c r="S71" s="194"/>
      <c r="T71" s="194"/>
      <c r="U71" s="194"/>
      <c r="V71" s="109" cm="1">
        <f t="array" ref="V71">SUMPRODUCT(IF(ISNUMBER(G71:U71),G71:U71,0),$G$10:$U$10)*E71</f>
        <v>21</v>
      </c>
      <c r="W71" s="86">
        <f>IF(ISNUMBER(SEARCH("PE",D71)),$D$6,$D$5)</f>
        <v>18</v>
      </c>
      <c r="X71" s="87">
        <f t="shared" si="0"/>
        <v>1.05</v>
      </c>
      <c r="Y71" s="89">
        <f t="shared" si="1"/>
        <v>2</v>
      </c>
    </row>
    <row r="72" spans="1:25" ht="17" customHeight="1" x14ac:dyDescent="0.2">
      <c r="A72" s="137" t="s">
        <v>114</v>
      </c>
      <c r="B72" s="84" t="s">
        <v>145</v>
      </c>
      <c r="C72" s="143" t="s">
        <v>37</v>
      </c>
      <c r="D72" s="150" t="s">
        <v>84</v>
      </c>
      <c r="E72" s="85">
        <v>1</v>
      </c>
      <c r="F72" s="103"/>
      <c r="G72" s="190"/>
      <c r="H72" s="190"/>
      <c r="I72" s="191"/>
      <c r="J72" s="190"/>
      <c r="K72" s="190"/>
      <c r="L72" s="190"/>
      <c r="M72" s="190"/>
      <c r="N72" s="191"/>
      <c r="O72" s="190" cm="1">
        <f t="array" ref="O72">IFERROR(INDEX(Curriculum_Detail!H:H,MATCH(1,(Curriculum_Detail!D:D="6e")*(Curriculum_Detail!F:F="Éducation musicale")*(Curriculum_Detail!E:E="Core"),0)),"")</f>
        <v>1</v>
      </c>
      <c r="P72" s="190" cm="1">
        <f t="array" ref="P72">IFERROR(INDEX(Curriculum_Detail!H:H,MATCH(1,(Curriculum_Detail!D:D="5e")*(Curriculum_Detail!F:F="Éducation musicale")*(Curriculum_Detail!E:E="Core"),0)),"")</f>
        <v>1</v>
      </c>
      <c r="Q72" s="190" cm="1">
        <f t="array" ref="Q72">IFERROR(INDEX(Curriculum_Detail!H:H,MATCH(1,(Curriculum_Detail!D:D="4e")*(Curriculum_Detail!F:F="Éducation musicale")*(Curriculum_Detail!E:E="Core"),0)),"")</f>
        <v>1</v>
      </c>
      <c r="R72" s="191" cm="1">
        <f t="array" ref="R72">IFERROR(INDEX(Curriculum_Detail!H:H,MATCH(1,(Curriculum_Detail!D:D="3e")*(Curriculum_Detail!F:F="Éducation musicale")*(Curriculum_Detail!E:E="Core"),0)),"")</f>
        <v>1</v>
      </c>
      <c r="S72" s="190"/>
      <c r="T72" s="190"/>
      <c r="U72" s="190"/>
      <c r="V72" s="109" cm="1">
        <f t="array" ref="V72">SUMPRODUCT(IF(ISNUMBER(G72:U72),G72:U72,0),$G$10:$U$10)*E72</f>
        <v>21</v>
      </c>
      <c r="W72" s="86">
        <f>IF(ISNUMBER(SEARCH("PE",D72)),$D$6,$D$5)</f>
        <v>18</v>
      </c>
      <c r="X72" s="87">
        <f t="shared" si="0"/>
        <v>1.05</v>
      </c>
      <c r="Y72" s="89">
        <f t="shared" si="1"/>
        <v>2</v>
      </c>
    </row>
    <row r="73" spans="1:25" ht="19" customHeight="1" x14ac:dyDescent="0.2">
      <c r="A73" s="135" t="s">
        <v>42</v>
      </c>
      <c r="B73" s="95"/>
      <c r="C73" s="135"/>
      <c r="D73" s="148"/>
      <c r="E73" s="94"/>
      <c r="F73" s="133"/>
      <c r="G73" s="131"/>
      <c r="H73" s="131"/>
      <c r="I73" s="187"/>
      <c r="J73" s="131"/>
      <c r="K73" s="131"/>
      <c r="L73" s="131"/>
      <c r="M73" s="131"/>
      <c r="N73" s="187"/>
      <c r="O73" s="131"/>
      <c r="P73" s="131"/>
      <c r="Q73" s="131"/>
      <c r="R73" s="187"/>
      <c r="S73" s="131"/>
      <c r="T73" s="131"/>
      <c r="U73" s="131"/>
      <c r="V73" s="125"/>
      <c r="W73" s="126"/>
      <c r="X73" s="127"/>
      <c r="Y73" s="126"/>
    </row>
    <row r="74" spans="1:25" ht="17" customHeight="1" thickBot="1" x14ac:dyDescent="0.25">
      <c r="A74" s="136" t="s">
        <v>42</v>
      </c>
      <c r="B74" s="57" t="s">
        <v>145</v>
      </c>
      <c r="C74" s="142" t="s">
        <v>42</v>
      </c>
      <c r="D74" s="149" t="s">
        <v>85</v>
      </c>
      <c r="E74" s="62">
        <v>1</v>
      </c>
      <c r="F74" s="102"/>
      <c r="G74" s="188"/>
      <c r="H74" s="188"/>
      <c r="I74" s="189"/>
      <c r="J74" s="188"/>
      <c r="K74" s="188"/>
      <c r="L74" s="188"/>
      <c r="M74" s="188"/>
      <c r="N74" s="189"/>
      <c r="O74" s="188" cm="1">
        <f t="array" ref="O74">IFERROR(INDEX(Curriculum_Detail!H:H,MATCH(1,(Curriculum_Detail!D:D="6e")*(Curriculum_Detail!F:F="Éducation physique et sportive")*(Curriculum_Detail!E:E="Core"),0)),"")</f>
        <v>4</v>
      </c>
      <c r="P74" s="188" cm="1">
        <f t="array" ref="P74">IFERROR(INDEX(Curriculum_Detail!H:H,MATCH(1,(Curriculum_Detail!D:D="5e")*(Curriculum_Detail!F:F="Éducation physique et sportive")*(Curriculum_Detail!E:E="Core"),0)),"")</f>
        <v>3</v>
      </c>
      <c r="Q74" s="188" cm="1">
        <f t="array" ref="Q74">IFERROR(INDEX(Curriculum_Detail!H:H,MATCH(1,(Curriculum_Detail!D:D="4e")*(Curriculum_Detail!F:F="Éducation physique et sportive")*(Curriculum_Detail!E:E="Core"),0)),"")</f>
        <v>3</v>
      </c>
      <c r="R74" s="189" cm="1">
        <f t="array" ref="R74">IFERROR(INDEX(Curriculum_Detail!H:H,MATCH(1,(Curriculum_Detail!D:D="3e")*(Curriculum_Detail!F:F="Éducation physique et sportive")*(Curriculum_Detail!E:E="Core"),0)),"")</f>
        <v>3</v>
      </c>
      <c r="S74" s="188" cm="1">
        <f t="array" ref="S74">IFERROR(INDEX(Curriculum_Detail!H:H,MATCH(1,(Curriculum_Detail!D:D="Seconde")*(Curriculum_Detail!F:F="Éducation physique et sportive")*(Curriculum_Detail!E:E="Core"),0)),"")</f>
        <v>2</v>
      </c>
      <c r="T74" s="188" cm="1">
        <f t="array" ref="T74">IFERROR(INDEX(Curriculum_Detail!H:H,MATCH(1,(Curriculum_Detail!D:D="Première")*(Curriculum_Detail!F:F="Éducation physique et sportive")*(Curriculum_Detail!E:E="Core"),0)),"")</f>
        <v>2</v>
      </c>
      <c r="U74" s="188" cm="1">
        <f t="array" ref="U74">IFERROR(INDEX(Curriculum_Detail!H:H,MATCH(1,(Curriculum_Detail!D:D="Terminale")*(Curriculum_Detail!F:F="Éducation physique et sportive")*(Curriculum_Detail!E:E="Core"),0)),"")</f>
        <v>2</v>
      </c>
      <c r="V74" s="108" cm="1">
        <f t="array" ref="V74">SUMPRODUCT(IF(ISNUMBER(G74:U74),G74:U74,0),$G$10:$U$10)*E74</f>
        <v>97</v>
      </c>
      <c r="W74" s="58">
        <f>IF(ISNUMBER(SEARCH("PE",D74)),$D$6,$D$5)</f>
        <v>18</v>
      </c>
      <c r="X74" s="59">
        <f>IF(V74=0,"",V74/$H$6)</f>
        <v>4.8499999999999996</v>
      </c>
      <c r="Y74" s="63">
        <f>IF(X74="","",ROUNDUP(X74,0))</f>
        <v>5</v>
      </c>
    </row>
    <row r="75" spans="1:25" ht="22" customHeight="1" x14ac:dyDescent="0.2">
      <c r="A75" s="170" t="s">
        <v>207</v>
      </c>
      <c r="B75" s="171"/>
      <c r="C75" s="170"/>
      <c r="D75" s="172"/>
      <c r="E75" s="173"/>
      <c r="F75" s="174"/>
      <c r="G75" s="204"/>
      <c r="H75" s="204"/>
      <c r="I75" s="205"/>
      <c r="J75" s="204"/>
      <c r="K75" s="204"/>
      <c r="L75" s="204"/>
      <c r="M75" s="204"/>
      <c r="N75" s="205"/>
      <c r="O75" s="204"/>
      <c r="P75" s="204"/>
      <c r="Q75" s="204"/>
      <c r="R75" s="205"/>
      <c r="S75" s="204"/>
      <c r="T75" s="204"/>
      <c r="U75" s="204"/>
      <c r="V75" s="175">
        <f>V29+V30+V31+V34+V35+V36+V37+V38+V40+V41+V42+V44+V45+V48+V49+V50+V59+V61+V62+V63+V64+V65+V66+V67+V68+V69+V70+V71+V72+V74</f>
        <v>927.25</v>
      </c>
      <c r="W75" s="176">
        <f>$D$5</f>
        <v>18</v>
      </c>
      <c r="X75" s="177">
        <f>IF(V75=0,"",V75/$H$6)</f>
        <v>46.362499999999997</v>
      </c>
      <c r="Y75" s="176">
        <f>IF(X75="","",ROUNDUP(X75,0))</f>
        <v>47</v>
      </c>
    </row>
    <row r="76" spans="1:25" ht="8" customHeight="1" thickBot="1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spans="1:25" ht="17" thickBot="1" x14ac:dyDescent="0.25">
      <c r="A77" s="365" t="s">
        <v>230</v>
      </c>
      <c r="B77" s="366" t="s">
        <v>50</v>
      </c>
      <c r="C77" s="366" t="s">
        <v>698</v>
      </c>
      <c r="D77" s="369" t="s">
        <v>96</v>
      </c>
      <c r="E77" s="370" t="s">
        <v>97</v>
      </c>
      <c r="F77" s="370" t="s">
        <v>703</v>
      </c>
      <c r="G77" s="371" t="s">
        <v>98</v>
      </c>
      <c r="H77" s="372" t="s">
        <v>99</v>
      </c>
      <c r="I77" s="367" t="s">
        <v>255</v>
      </c>
      <c r="J77" s="366" t="s">
        <v>628</v>
      </c>
      <c r="K77" s="366" t="s">
        <v>700</v>
      </c>
      <c r="L77" s="366" t="s">
        <v>701</v>
      </c>
      <c r="M77" s="368" t="s">
        <v>702</v>
      </c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 x14ac:dyDescent="0.2">
      <c r="A78" s="311">
        <v>1</v>
      </c>
      <c r="B78" s="312" t="s">
        <v>58</v>
      </c>
      <c r="C78" s="313" t="s">
        <v>282</v>
      </c>
      <c r="D78" s="314">
        <f t="shared" ref="D78:D99" si="2">SUMIF($D$11:$D$74,B78,$V$11:$V$74)</f>
        <v>912</v>
      </c>
      <c r="E78" s="315">
        <f>$D$6</f>
        <v>24</v>
      </c>
      <c r="F78" s="315"/>
      <c r="G78" s="340">
        <f>IF(D78=0,"",D78/(E78+F78))</f>
        <v>38</v>
      </c>
      <c r="H78" s="344">
        <f t="shared" ref="H78:H99" si="3">IF(G78="","",ROUNDUP(G78,0))</f>
        <v>38</v>
      </c>
      <c r="I78" s="341">
        <f>COUNTIFS('Master Data'!$J:$J,B78,'Master Data'!$L:$L,"Existing")</f>
        <v>33</v>
      </c>
      <c r="J78" s="337">
        <f>COUNTIFS('Master Data'!$J:$J,B78,'Master Data'!$L:$L,"Titulaire EN")</f>
        <v>7</v>
      </c>
      <c r="K78" s="337">
        <f>I78+J78</f>
        <v>40</v>
      </c>
      <c r="L78" s="338">
        <f>K78-H78</f>
        <v>2</v>
      </c>
      <c r="M78" s="328" t="str">
        <f>IF(L78&lt;0,"Recruit "&amp;ABS(L78),IF(L78&gt;0,"Surplus "&amp;L78,"OK"))</f>
        <v>Surplus 2</v>
      </c>
    </row>
    <row r="79" spans="1:25" x14ac:dyDescent="0.2">
      <c r="A79" s="310">
        <v>2</v>
      </c>
      <c r="B79" s="305" t="s">
        <v>120</v>
      </c>
      <c r="C79" s="306" t="s">
        <v>282</v>
      </c>
      <c r="D79" s="307">
        <f t="shared" si="2"/>
        <v>264</v>
      </c>
      <c r="E79" s="308">
        <f>$D$6</f>
        <v>24</v>
      </c>
      <c r="F79" s="308"/>
      <c r="G79" s="342">
        <f t="shared" ref="G79:G99" si="4">IF(D79=0,"",D79/(E79+F79))</f>
        <v>11</v>
      </c>
      <c r="H79" s="324">
        <f t="shared" si="3"/>
        <v>11</v>
      </c>
      <c r="I79" s="343">
        <f>COUNTIFS('Master Data'!$H:$H,B79,'Master Data'!$L:$L,"Existing")</f>
        <v>13</v>
      </c>
      <c r="J79" s="331">
        <f>COUNTIFS('Master Data'!$H:$H,B79,'Master Data'!$L:$L,"Titulaire EN")</f>
        <v>0</v>
      </c>
      <c r="K79" s="331">
        <f>I79+J79</f>
        <v>13</v>
      </c>
      <c r="L79" s="332">
        <f>K79-H79</f>
        <v>2</v>
      </c>
      <c r="M79" s="333" t="str">
        <f>IF(L79&lt;0,"Recruit "&amp;ABS(L79),IF(L79&gt;0,"Surplus "&amp;L79,"OK"))</f>
        <v>Surplus 2</v>
      </c>
    </row>
    <row r="80" spans="1:25" x14ac:dyDescent="0.2">
      <c r="A80" s="309">
        <v>3</v>
      </c>
      <c r="B80" s="301" t="s">
        <v>694</v>
      </c>
      <c r="C80" s="302" t="s">
        <v>282</v>
      </c>
      <c r="D80" s="303">
        <f t="shared" si="2"/>
        <v>146.69999999999999</v>
      </c>
      <c r="E80" s="304">
        <f t="shared" ref="E80:E99" si="5">$D$5</f>
        <v>18</v>
      </c>
      <c r="F80" s="304">
        <v>1</v>
      </c>
      <c r="G80" s="345">
        <f t="shared" si="4"/>
        <v>7.7210526315789467</v>
      </c>
      <c r="H80" s="347">
        <f t="shared" si="3"/>
        <v>8</v>
      </c>
      <c r="I80" s="346">
        <f>COUNTIFS('Master Data'!$J:$J,B80,'Master Data'!$L:$L,"Existing")</f>
        <v>7</v>
      </c>
      <c r="J80" s="334">
        <f>COUNTIFS('Master Data'!$J:$J,B80,'Master Data'!$L:$L,"Titulaire EN")</f>
        <v>0</v>
      </c>
      <c r="K80" s="334">
        <f t="shared" ref="K80:K99" si="6">I80+J80</f>
        <v>7</v>
      </c>
      <c r="L80" s="335">
        <f t="shared" ref="L80:L99" si="7">K80-H80</f>
        <v>-1</v>
      </c>
      <c r="M80" s="336" t="str">
        <f t="shared" ref="M80:M99" si="8">IF(L80&lt;0,"Recruit "&amp;ABS(L80),IF(L80&gt;0,"Surplus "&amp;L80,"OK"))</f>
        <v>Recruit 1</v>
      </c>
    </row>
    <row r="81" spans="1:13" x14ac:dyDescent="0.2">
      <c r="A81" s="310">
        <v>4</v>
      </c>
      <c r="B81" s="305" t="s">
        <v>67</v>
      </c>
      <c r="C81" s="306" t="s">
        <v>282</v>
      </c>
      <c r="D81" s="307">
        <f t="shared" si="2"/>
        <v>43.85</v>
      </c>
      <c r="E81" s="308">
        <f t="shared" si="5"/>
        <v>18</v>
      </c>
      <c r="F81" s="308"/>
      <c r="G81" s="342">
        <f t="shared" si="4"/>
        <v>2.4361111111111113</v>
      </c>
      <c r="H81" s="324">
        <f t="shared" si="3"/>
        <v>3</v>
      </c>
      <c r="I81" s="343">
        <f>COUNTIFS('Master Data'!$J:$J,B81,'Master Data'!$L:$L,"Existing")</f>
        <v>4</v>
      </c>
      <c r="J81" s="331">
        <f>COUNTIFS('Master Data'!$J:$J,B81,'Master Data'!$L:$L,"Titulaire EN")</f>
        <v>0</v>
      </c>
      <c r="K81" s="331">
        <f t="shared" si="6"/>
        <v>4</v>
      </c>
      <c r="L81" s="332">
        <f t="shared" si="7"/>
        <v>1</v>
      </c>
      <c r="M81" s="333" t="str">
        <f t="shared" si="8"/>
        <v>Surplus 1</v>
      </c>
    </row>
    <row r="82" spans="1:13" x14ac:dyDescent="0.2">
      <c r="A82" s="309">
        <v>5</v>
      </c>
      <c r="B82" s="301" t="s">
        <v>101</v>
      </c>
      <c r="C82" s="302" t="s">
        <v>699</v>
      </c>
      <c r="D82" s="303">
        <f t="shared" si="2"/>
        <v>136.5</v>
      </c>
      <c r="E82" s="304">
        <f t="shared" si="5"/>
        <v>18</v>
      </c>
      <c r="F82" s="304">
        <v>2</v>
      </c>
      <c r="G82" s="345">
        <f t="shared" si="4"/>
        <v>6.8250000000000002</v>
      </c>
      <c r="H82" s="347">
        <f t="shared" si="3"/>
        <v>7</v>
      </c>
      <c r="I82" s="346">
        <f>COUNTIFS('Master Data'!$J:$J,B82,'Master Data'!$L:$L,"Existing")</f>
        <v>7</v>
      </c>
      <c r="J82" s="334">
        <f>COUNTIFS('Master Data'!$J:$J,B82,'Master Data'!$L:$L,"Titulaire EN")</f>
        <v>3</v>
      </c>
      <c r="K82" s="334">
        <f t="shared" si="6"/>
        <v>10</v>
      </c>
      <c r="L82" s="335">
        <f t="shared" si="7"/>
        <v>3</v>
      </c>
      <c r="M82" s="336" t="str">
        <f t="shared" si="8"/>
        <v>Surplus 3</v>
      </c>
    </row>
    <row r="83" spans="1:13" x14ac:dyDescent="0.2">
      <c r="A83" s="310">
        <v>6</v>
      </c>
      <c r="B83" s="305" t="s">
        <v>102</v>
      </c>
      <c r="C83" s="306" t="s">
        <v>699</v>
      </c>
      <c r="D83" s="307">
        <f t="shared" si="2"/>
        <v>22</v>
      </c>
      <c r="E83" s="308">
        <f t="shared" si="5"/>
        <v>18</v>
      </c>
      <c r="F83" s="308">
        <v>2</v>
      </c>
      <c r="G83" s="342">
        <f t="shared" si="4"/>
        <v>1.1000000000000001</v>
      </c>
      <c r="H83" s="324">
        <f t="shared" si="3"/>
        <v>2</v>
      </c>
      <c r="I83" s="343">
        <f>COUNTIFS('Master Data'!$J:$J,B83,'Master Data'!$L:$L,"Existing")</f>
        <v>1</v>
      </c>
      <c r="J83" s="331">
        <f>COUNTIFS('Master Data'!$J:$J,B83,'Master Data'!$L:$L,"Titulaire EN")</f>
        <v>0</v>
      </c>
      <c r="K83" s="331">
        <f t="shared" si="6"/>
        <v>1</v>
      </c>
      <c r="L83" s="332">
        <f t="shared" si="7"/>
        <v>-1</v>
      </c>
      <c r="M83" s="333" t="str">
        <f t="shared" si="8"/>
        <v>Recruit 1</v>
      </c>
    </row>
    <row r="84" spans="1:13" x14ac:dyDescent="0.2">
      <c r="A84" s="309">
        <v>7</v>
      </c>
      <c r="B84" s="301" t="s">
        <v>104</v>
      </c>
      <c r="C84" s="302" t="s">
        <v>699</v>
      </c>
      <c r="D84" s="303">
        <f t="shared" si="2"/>
        <v>143.5</v>
      </c>
      <c r="E84" s="304">
        <f t="shared" si="5"/>
        <v>18</v>
      </c>
      <c r="F84" s="304"/>
      <c r="G84" s="345">
        <f t="shared" si="4"/>
        <v>7.9722222222222223</v>
      </c>
      <c r="H84" s="347">
        <f t="shared" si="3"/>
        <v>8</v>
      </c>
      <c r="I84" s="346">
        <f>COUNTIFS('Master Data'!$J:$J,B84,'Master Data'!$L:$L,"Existing")</f>
        <v>6</v>
      </c>
      <c r="J84" s="334">
        <f>COUNTIFS('Master Data'!$J:$J,B84,'Master Data'!$L:$L,"Titulaire EN")</f>
        <v>2</v>
      </c>
      <c r="K84" s="334">
        <f t="shared" si="6"/>
        <v>8</v>
      </c>
      <c r="L84" s="335">
        <f t="shared" si="7"/>
        <v>0</v>
      </c>
      <c r="M84" s="336" t="str">
        <f t="shared" si="8"/>
        <v>OK</v>
      </c>
    </row>
    <row r="85" spans="1:13" x14ac:dyDescent="0.2">
      <c r="A85" s="310">
        <v>8</v>
      </c>
      <c r="B85" s="305" t="s">
        <v>79</v>
      </c>
      <c r="C85" s="306" t="s">
        <v>699</v>
      </c>
      <c r="D85" s="307">
        <f t="shared" si="2"/>
        <v>110.5</v>
      </c>
      <c r="E85" s="308">
        <f t="shared" si="5"/>
        <v>18</v>
      </c>
      <c r="F85" s="308">
        <v>1</v>
      </c>
      <c r="G85" s="342">
        <f t="shared" si="4"/>
        <v>5.8157894736842106</v>
      </c>
      <c r="H85" s="324">
        <f t="shared" si="3"/>
        <v>6</v>
      </c>
      <c r="I85" s="343">
        <f>COUNTIFS('Master Data'!$J:$J,B85,'Master Data'!$L:$L,"Existing")</f>
        <v>3</v>
      </c>
      <c r="J85" s="331">
        <f>COUNTIFS('Master Data'!$J:$J,B85,'Master Data'!$L:$L,"Titulaire EN")</f>
        <v>2</v>
      </c>
      <c r="K85" s="331">
        <f t="shared" si="6"/>
        <v>5</v>
      </c>
      <c r="L85" s="332">
        <f t="shared" si="7"/>
        <v>-1</v>
      </c>
      <c r="M85" s="333" t="str">
        <f t="shared" si="8"/>
        <v>Recruit 1</v>
      </c>
    </row>
    <row r="86" spans="1:13" x14ac:dyDescent="0.2">
      <c r="A86" s="309">
        <v>9</v>
      </c>
      <c r="B86" s="301" t="s">
        <v>695</v>
      </c>
      <c r="C86" s="302" t="s">
        <v>699</v>
      </c>
      <c r="D86" s="303">
        <f t="shared" si="2"/>
        <v>17.5</v>
      </c>
      <c r="E86" s="304">
        <f t="shared" si="5"/>
        <v>18</v>
      </c>
      <c r="F86" s="304"/>
      <c r="G86" s="345">
        <f t="shared" si="4"/>
        <v>0.97222222222222221</v>
      </c>
      <c r="H86" s="347">
        <f t="shared" si="3"/>
        <v>1</v>
      </c>
      <c r="I86" s="346">
        <f>COUNTIFS('Master Data'!$J:$J,B86,'Master Data'!$L:$L,"Existing")</f>
        <v>1</v>
      </c>
      <c r="J86" s="334">
        <f>COUNTIFS('Master Data'!$J:$J,B86,'Master Data'!$L:$L,"Titulaire EN")</f>
        <v>0</v>
      </c>
      <c r="K86" s="334">
        <f t="shared" si="6"/>
        <v>1</v>
      </c>
      <c r="L86" s="335">
        <f t="shared" si="7"/>
        <v>0</v>
      </c>
      <c r="M86" s="336" t="str">
        <f t="shared" si="8"/>
        <v>OK</v>
      </c>
    </row>
    <row r="87" spans="1:13" x14ac:dyDescent="0.2">
      <c r="A87" s="310">
        <v>10</v>
      </c>
      <c r="B87" s="305" t="s">
        <v>68</v>
      </c>
      <c r="C87" s="306" t="s">
        <v>699</v>
      </c>
      <c r="D87" s="307">
        <f t="shared" si="2"/>
        <v>100</v>
      </c>
      <c r="E87" s="308">
        <f t="shared" si="5"/>
        <v>18</v>
      </c>
      <c r="F87" s="308">
        <v>2</v>
      </c>
      <c r="G87" s="342">
        <f t="shared" si="4"/>
        <v>5</v>
      </c>
      <c r="H87" s="324">
        <f t="shared" si="3"/>
        <v>5</v>
      </c>
      <c r="I87" s="343">
        <f>COUNTIFS('Master Data'!$J:$J,B87,'Master Data'!$L:$L,"Existing")</f>
        <v>4</v>
      </c>
      <c r="J87" s="331">
        <f>COUNTIFS('Master Data'!$J:$J,B87,'Master Data'!$L:$L,"Titulaire EN")</f>
        <v>2</v>
      </c>
      <c r="K87" s="331">
        <f t="shared" si="6"/>
        <v>6</v>
      </c>
      <c r="L87" s="332">
        <f t="shared" si="7"/>
        <v>1</v>
      </c>
      <c r="M87" s="333" t="str">
        <f t="shared" si="8"/>
        <v>Surplus 1</v>
      </c>
    </row>
    <row r="88" spans="1:13" x14ac:dyDescent="0.2">
      <c r="A88" s="309">
        <v>11</v>
      </c>
      <c r="B88" s="301" t="s">
        <v>65</v>
      </c>
      <c r="C88" s="302" t="s">
        <v>699</v>
      </c>
      <c r="D88" s="303">
        <f t="shared" si="2"/>
        <v>36.25</v>
      </c>
      <c r="E88" s="304">
        <f t="shared" si="5"/>
        <v>18</v>
      </c>
      <c r="F88" s="304"/>
      <c r="G88" s="345">
        <f t="shared" si="4"/>
        <v>2.0138888888888888</v>
      </c>
      <c r="H88" s="347">
        <f t="shared" si="3"/>
        <v>3</v>
      </c>
      <c r="I88" s="346">
        <f>COUNTIFS('Master Data'!$J:$J,B88,'Master Data'!$L:$L,"Existing")</f>
        <v>5</v>
      </c>
      <c r="J88" s="334">
        <f>COUNTIFS('Master Data'!$J:$J,B88,'Master Data'!$L:$L,"Titulaire EN")</f>
        <v>0</v>
      </c>
      <c r="K88" s="334">
        <f t="shared" si="6"/>
        <v>5</v>
      </c>
      <c r="L88" s="335">
        <f t="shared" si="7"/>
        <v>2</v>
      </c>
      <c r="M88" s="336" t="str">
        <f t="shared" si="8"/>
        <v>Surplus 2</v>
      </c>
    </row>
    <row r="89" spans="1:13" x14ac:dyDescent="0.2">
      <c r="A89" s="310">
        <v>12</v>
      </c>
      <c r="B89" s="305" t="s">
        <v>222</v>
      </c>
      <c r="C89" s="306" t="s">
        <v>699</v>
      </c>
      <c r="D89" s="307">
        <f t="shared" si="2"/>
        <v>7.25</v>
      </c>
      <c r="E89" s="308">
        <f t="shared" si="5"/>
        <v>18</v>
      </c>
      <c r="F89" s="308"/>
      <c r="G89" s="342">
        <f t="shared" si="4"/>
        <v>0.40277777777777779</v>
      </c>
      <c r="H89" s="324">
        <f t="shared" si="3"/>
        <v>1</v>
      </c>
      <c r="I89" s="343">
        <f>COUNTIFS('Master Data'!$J:$J,B89,'Master Data'!$L:$L,"Existing")</f>
        <v>1</v>
      </c>
      <c r="J89" s="331">
        <f>COUNTIFS('Master Data'!$J:$J,B89,'Master Data'!$L:$L,"Titulaire EN")</f>
        <v>0</v>
      </c>
      <c r="K89" s="331">
        <f t="shared" si="6"/>
        <v>1</v>
      </c>
      <c r="L89" s="332">
        <f t="shared" si="7"/>
        <v>0</v>
      </c>
      <c r="M89" s="333" t="str">
        <f t="shared" si="8"/>
        <v>OK</v>
      </c>
    </row>
    <row r="90" spans="1:13" x14ac:dyDescent="0.2">
      <c r="A90" s="309">
        <v>13</v>
      </c>
      <c r="B90" s="301" t="s">
        <v>227</v>
      </c>
      <c r="C90" s="302" t="s">
        <v>699</v>
      </c>
      <c r="D90" s="303">
        <f t="shared" si="2"/>
        <v>29</v>
      </c>
      <c r="E90" s="304">
        <f t="shared" si="5"/>
        <v>18</v>
      </c>
      <c r="F90" s="304"/>
      <c r="G90" s="345">
        <f t="shared" si="4"/>
        <v>1.6111111111111112</v>
      </c>
      <c r="H90" s="347">
        <f t="shared" si="3"/>
        <v>2</v>
      </c>
      <c r="I90" s="346">
        <f>COUNTIFS('Master Data'!$J:$J,B90,'Master Data'!$L:$L,"Existing")</f>
        <v>2</v>
      </c>
      <c r="J90" s="334">
        <f>COUNTIFS('Master Data'!$J:$J,B90,'Master Data'!$L:$L,"Titulaire EN")</f>
        <v>1</v>
      </c>
      <c r="K90" s="334">
        <f t="shared" si="6"/>
        <v>3</v>
      </c>
      <c r="L90" s="335">
        <f t="shared" si="7"/>
        <v>1</v>
      </c>
      <c r="M90" s="336" t="str">
        <f t="shared" si="8"/>
        <v>Surplus 1</v>
      </c>
    </row>
    <row r="91" spans="1:13" x14ac:dyDescent="0.2">
      <c r="A91" s="310">
        <v>14</v>
      </c>
      <c r="B91" s="305" t="s">
        <v>71</v>
      </c>
      <c r="C91" s="306" t="s">
        <v>699</v>
      </c>
      <c r="D91" s="307">
        <f t="shared" si="2"/>
        <v>49</v>
      </c>
      <c r="E91" s="308">
        <f t="shared" si="5"/>
        <v>18</v>
      </c>
      <c r="F91" s="308"/>
      <c r="G91" s="342">
        <f t="shared" si="4"/>
        <v>2.7222222222222223</v>
      </c>
      <c r="H91" s="324">
        <f t="shared" si="3"/>
        <v>3</v>
      </c>
      <c r="I91" s="343">
        <f>COUNTIFS('Master Data'!$J:$J,B91,'Master Data'!$L:$L,"Existing")</f>
        <v>5</v>
      </c>
      <c r="J91" s="331">
        <f>COUNTIFS('Master Data'!$J:$J,B91,'Master Data'!$L:$L,"Titulaire EN")</f>
        <v>1</v>
      </c>
      <c r="K91" s="331">
        <f t="shared" si="6"/>
        <v>6</v>
      </c>
      <c r="L91" s="332">
        <f t="shared" si="7"/>
        <v>3</v>
      </c>
      <c r="M91" s="333" t="str">
        <f t="shared" si="8"/>
        <v>Surplus 3</v>
      </c>
    </row>
    <row r="92" spans="1:13" x14ac:dyDescent="0.2">
      <c r="A92" s="309">
        <v>15</v>
      </c>
      <c r="B92" s="301" t="s">
        <v>73</v>
      </c>
      <c r="C92" s="302" t="s">
        <v>699</v>
      </c>
      <c r="D92" s="303">
        <f t="shared" si="2"/>
        <v>56.5</v>
      </c>
      <c r="E92" s="304">
        <f t="shared" si="5"/>
        <v>18</v>
      </c>
      <c r="F92" s="304">
        <v>1</v>
      </c>
      <c r="G92" s="345">
        <f t="shared" si="4"/>
        <v>2.9736842105263159</v>
      </c>
      <c r="H92" s="347">
        <f t="shared" si="3"/>
        <v>3</v>
      </c>
      <c r="I92" s="346">
        <f>COUNTIFS('Master Data'!$J:$J,B92,'Master Data'!$L:$L,"Existing")</f>
        <v>6</v>
      </c>
      <c r="J92" s="334">
        <f>COUNTIFS('Master Data'!$J:$J,B92,'Master Data'!$L:$L,"Titulaire EN")</f>
        <v>1</v>
      </c>
      <c r="K92" s="334">
        <f t="shared" si="6"/>
        <v>7</v>
      </c>
      <c r="L92" s="335">
        <f t="shared" si="7"/>
        <v>4</v>
      </c>
      <c r="M92" s="336" t="str">
        <f t="shared" si="8"/>
        <v>Surplus 4</v>
      </c>
    </row>
    <row r="93" spans="1:13" x14ac:dyDescent="0.2">
      <c r="A93" s="310">
        <v>16</v>
      </c>
      <c r="B93" s="305" t="s">
        <v>75</v>
      </c>
      <c r="C93" s="306" t="s">
        <v>699</v>
      </c>
      <c r="D93" s="307">
        <f t="shared" si="2"/>
        <v>30</v>
      </c>
      <c r="E93" s="308">
        <f t="shared" si="5"/>
        <v>18</v>
      </c>
      <c r="F93" s="308"/>
      <c r="G93" s="342">
        <f t="shared" si="4"/>
        <v>1.6666666666666667</v>
      </c>
      <c r="H93" s="324">
        <f t="shared" si="3"/>
        <v>2</v>
      </c>
      <c r="I93" s="343">
        <f>COUNTIFS('Master Data'!$J:$J,B93,'Master Data'!$L:$L,"Existing")</f>
        <v>2</v>
      </c>
      <c r="J93" s="331">
        <f>COUNTIFS('Master Data'!$J:$J,B93,'Master Data'!$L:$L,"Titulaire EN")</f>
        <v>1</v>
      </c>
      <c r="K93" s="331">
        <f t="shared" si="6"/>
        <v>3</v>
      </c>
      <c r="L93" s="332">
        <f t="shared" si="7"/>
        <v>1</v>
      </c>
      <c r="M93" s="333" t="str">
        <f t="shared" si="8"/>
        <v>Surplus 1</v>
      </c>
    </row>
    <row r="94" spans="1:13" x14ac:dyDescent="0.2">
      <c r="A94" s="309">
        <v>17</v>
      </c>
      <c r="B94" s="301" t="s">
        <v>76</v>
      </c>
      <c r="C94" s="302" t="s">
        <v>699</v>
      </c>
      <c r="D94" s="303">
        <f t="shared" si="2"/>
        <v>18</v>
      </c>
      <c r="E94" s="304">
        <f t="shared" si="5"/>
        <v>18</v>
      </c>
      <c r="F94" s="304"/>
      <c r="G94" s="345">
        <f t="shared" si="4"/>
        <v>1</v>
      </c>
      <c r="H94" s="347">
        <f t="shared" si="3"/>
        <v>1</v>
      </c>
      <c r="I94" s="346">
        <f>COUNTIFS('Master Data'!$J:$J,B94,'Master Data'!$L:$L,"Existing")</f>
        <v>0</v>
      </c>
      <c r="J94" s="334">
        <f>COUNTIFS('Master Data'!$J:$J,B94,'Master Data'!$L:$L,"Titulaire EN")</f>
        <v>0</v>
      </c>
      <c r="K94" s="334">
        <f t="shared" si="6"/>
        <v>0</v>
      </c>
      <c r="L94" s="335">
        <f t="shared" si="7"/>
        <v>-1</v>
      </c>
      <c r="M94" s="336" t="str">
        <f t="shared" si="8"/>
        <v>Recruit 1</v>
      </c>
    </row>
    <row r="95" spans="1:13" x14ac:dyDescent="0.2">
      <c r="A95" s="310">
        <v>18</v>
      </c>
      <c r="B95" s="305" t="s">
        <v>81</v>
      </c>
      <c r="C95" s="306" t="s">
        <v>699</v>
      </c>
      <c r="D95" s="307">
        <f t="shared" si="2"/>
        <v>35.5</v>
      </c>
      <c r="E95" s="308">
        <f t="shared" si="5"/>
        <v>18</v>
      </c>
      <c r="F95" s="308"/>
      <c r="G95" s="342">
        <f t="shared" si="4"/>
        <v>1.9722222222222223</v>
      </c>
      <c r="H95" s="324">
        <f t="shared" si="3"/>
        <v>2</v>
      </c>
      <c r="I95" s="343">
        <f>COUNTIFS('Master Data'!$J:$J,B95,'Master Data'!$L:$L,"Existing")</f>
        <v>2</v>
      </c>
      <c r="J95" s="331">
        <f>COUNTIFS('Master Data'!$J:$J,B95,'Master Data'!$L:$L,"Titulaire EN")</f>
        <v>1</v>
      </c>
      <c r="K95" s="331">
        <f t="shared" si="6"/>
        <v>3</v>
      </c>
      <c r="L95" s="332">
        <f t="shared" si="7"/>
        <v>1</v>
      </c>
      <c r="M95" s="333" t="str">
        <f t="shared" si="8"/>
        <v>Surplus 1</v>
      </c>
    </row>
    <row r="96" spans="1:13" x14ac:dyDescent="0.2">
      <c r="A96" s="309">
        <v>19</v>
      </c>
      <c r="B96" s="301" t="s">
        <v>77</v>
      </c>
      <c r="C96" s="302" t="s">
        <v>699</v>
      </c>
      <c r="D96" s="303">
        <f t="shared" si="2"/>
        <v>10</v>
      </c>
      <c r="E96" s="304">
        <f t="shared" si="5"/>
        <v>18</v>
      </c>
      <c r="F96" s="304"/>
      <c r="G96" s="345">
        <f t="shared" si="4"/>
        <v>0.55555555555555558</v>
      </c>
      <c r="H96" s="347">
        <f t="shared" si="3"/>
        <v>1</v>
      </c>
      <c r="I96" s="346">
        <f>COUNTIFS('Master Data'!$J:$J,B96,'Master Data'!$L:$L,"Existing")</f>
        <v>0</v>
      </c>
      <c r="J96" s="334">
        <f>COUNTIFS('Master Data'!$J:$J,B96,'Master Data'!$L:$L,"Titulaire EN")</f>
        <v>0</v>
      </c>
      <c r="K96" s="334">
        <f t="shared" si="6"/>
        <v>0</v>
      </c>
      <c r="L96" s="335">
        <f t="shared" si="7"/>
        <v>-1</v>
      </c>
      <c r="M96" s="336" t="str">
        <f t="shared" si="8"/>
        <v>Recruit 1</v>
      </c>
    </row>
    <row r="97" spans="1:13" x14ac:dyDescent="0.2">
      <c r="A97" s="310">
        <v>20</v>
      </c>
      <c r="B97" s="305" t="s">
        <v>83</v>
      </c>
      <c r="C97" s="306" t="s">
        <v>699</v>
      </c>
      <c r="D97" s="307">
        <f t="shared" si="2"/>
        <v>21</v>
      </c>
      <c r="E97" s="308">
        <f t="shared" si="5"/>
        <v>18</v>
      </c>
      <c r="F97" s="308">
        <v>2</v>
      </c>
      <c r="G97" s="342">
        <f t="shared" si="4"/>
        <v>1.05</v>
      </c>
      <c r="H97" s="324">
        <f t="shared" si="3"/>
        <v>2</v>
      </c>
      <c r="I97" s="343">
        <f>COUNTIFS('Master Data'!$J:$J,B97,'Master Data'!$L:$L,"Existing")</f>
        <v>1</v>
      </c>
      <c r="J97" s="331">
        <f>COUNTIFS('Master Data'!$J:$J,B97,'Master Data'!$L:$L,"Titulaire EN")</f>
        <v>0</v>
      </c>
      <c r="K97" s="331">
        <f t="shared" si="6"/>
        <v>1</v>
      </c>
      <c r="L97" s="332">
        <f t="shared" si="7"/>
        <v>-1</v>
      </c>
      <c r="M97" s="333" t="str">
        <f t="shared" si="8"/>
        <v>Recruit 1</v>
      </c>
    </row>
    <row r="98" spans="1:13" x14ac:dyDescent="0.2">
      <c r="A98" s="309">
        <v>21</v>
      </c>
      <c r="B98" s="301" t="s">
        <v>84</v>
      </c>
      <c r="C98" s="302" t="s">
        <v>699</v>
      </c>
      <c r="D98" s="303">
        <f t="shared" si="2"/>
        <v>21</v>
      </c>
      <c r="E98" s="304">
        <f t="shared" si="5"/>
        <v>18</v>
      </c>
      <c r="F98" s="304">
        <v>2</v>
      </c>
      <c r="G98" s="345">
        <f t="shared" si="4"/>
        <v>1.05</v>
      </c>
      <c r="H98" s="347">
        <f t="shared" si="3"/>
        <v>2</v>
      </c>
      <c r="I98" s="346">
        <f>COUNTIFS('Master Data'!$J:$J,B98,'Master Data'!$L:$L,"Existing")</f>
        <v>1</v>
      </c>
      <c r="J98" s="334">
        <f>COUNTIFS('Master Data'!$J:$J,B98,'Master Data'!$L:$L,"Titulaire EN")</f>
        <v>0</v>
      </c>
      <c r="K98" s="334">
        <f t="shared" si="6"/>
        <v>1</v>
      </c>
      <c r="L98" s="335">
        <f t="shared" si="7"/>
        <v>-1</v>
      </c>
      <c r="M98" s="336" t="str">
        <f t="shared" si="8"/>
        <v>Recruit 1</v>
      </c>
    </row>
    <row r="99" spans="1:13" ht="17" thickBot="1" x14ac:dyDescent="0.25">
      <c r="A99" s="319">
        <v>22</v>
      </c>
      <c r="B99" s="320" t="s">
        <v>85</v>
      </c>
      <c r="C99" s="321" t="s">
        <v>699</v>
      </c>
      <c r="D99" s="322">
        <f t="shared" si="2"/>
        <v>97</v>
      </c>
      <c r="E99" s="323">
        <f t="shared" si="5"/>
        <v>18</v>
      </c>
      <c r="F99" s="323">
        <v>2</v>
      </c>
      <c r="G99" s="348">
        <f t="shared" si="4"/>
        <v>4.8499999999999996</v>
      </c>
      <c r="H99" s="324">
        <f t="shared" si="3"/>
        <v>5</v>
      </c>
      <c r="I99" s="343">
        <f>COUNTIFS('Master Data'!$J:$J,B99,'Master Data'!$L:$L,"Existing")</f>
        <v>6</v>
      </c>
      <c r="J99" s="331">
        <f>COUNTIFS('Master Data'!$J:$J,B99,'Master Data'!$L:$L,"Titulaire EN")</f>
        <v>0</v>
      </c>
      <c r="K99" s="331">
        <f t="shared" si="6"/>
        <v>6</v>
      </c>
      <c r="L99" s="332">
        <f t="shared" si="7"/>
        <v>1</v>
      </c>
      <c r="M99" s="333" t="str">
        <f t="shared" si="8"/>
        <v>Surplus 1</v>
      </c>
    </row>
    <row r="100" spans="1:13" ht="17" thickBot="1" x14ac:dyDescent="0.25">
      <c r="A100" s="326"/>
      <c r="B100" s="325" t="s">
        <v>697</v>
      </c>
      <c r="C100" s="327"/>
      <c r="D100" s="316">
        <f>SUM(D78:D99)</f>
        <v>2307.0500000000002</v>
      </c>
      <c r="E100" s="327"/>
      <c r="F100" s="327"/>
      <c r="G100" s="339">
        <f t="shared" ref="G100:L100" si="9">SUM(G78:G99)</f>
        <v>108.71052631578948</v>
      </c>
      <c r="H100" s="318">
        <f t="shared" si="9"/>
        <v>116</v>
      </c>
      <c r="I100" s="349">
        <f t="shared" si="9"/>
        <v>110</v>
      </c>
      <c r="J100" s="317">
        <f t="shared" si="9"/>
        <v>21</v>
      </c>
      <c r="K100" s="317">
        <f t="shared" si="9"/>
        <v>131</v>
      </c>
      <c r="L100" s="329">
        <f t="shared" si="9"/>
        <v>15</v>
      </c>
      <c r="M100" s="330" t="str">
        <f>COUNTIF(L78:L99,"&lt;0")&amp;" to recruit"</f>
        <v>7 to recruit</v>
      </c>
    </row>
  </sheetData>
  <mergeCells count="2">
    <mergeCell ref="A11:X11"/>
    <mergeCell ref="A26:Y26"/>
  </mergeCells>
  <conditionalFormatting sqref="L78:L99">
    <cfRule type="cellIs" dxfId="4" priority="1" operator="lessThan">
      <formula>0</formula>
    </cfRule>
    <cfRule type="cellIs" dxfId="3" priority="2" operator="greaterThan">
      <formula>0</formula>
    </cfRule>
  </conditionalFormatting>
  <conditionalFormatting sqref="M78:M99">
    <cfRule type="containsText" dxfId="2" priority="3" operator="containsText" text="Recruit">
      <formula>NOT(ISERROR(SEARCH("Recruit",M78)))</formula>
    </cfRule>
    <cfRule type="containsText" dxfId="1" priority="4" operator="containsText" text="OK">
      <formula>NOT(ISERROR(SEARCH("OK",M78)))</formula>
    </cfRule>
    <cfRule type="containsText" dxfId="0" priority="5" operator="containsText" text="Surplus">
      <formula>NOT(ISERROR(SEARCH("Surplus",M78)))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0FBB-6B79-DE42-8E19-62AEF1886DA7}">
  <dimension ref="A1:Q96"/>
  <sheetViews>
    <sheetView showGridLines="0" workbookViewId="0">
      <selection activeCell="F70" sqref="F70"/>
    </sheetView>
  </sheetViews>
  <sheetFormatPr baseColWidth="10" defaultColWidth="8.83203125" defaultRowHeight="15" x14ac:dyDescent="0.2"/>
  <cols>
    <col min="1" max="2" width="11" style="41" customWidth="1"/>
    <col min="3" max="3" width="16" style="41" customWidth="1"/>
    <col min="4" max="4" width="10" style="41" customWidth="1"/>
    <col min="5" max="5" width="12" style="41" customWidth="1"/>
    <col min="6" max="6" width="46" style="41" customWidth="1"/>
    <col min="7" max="7" width="16" style="41" customWidth="1"/>
    <col min="8" max="9" width="12" style="41" customWidth="1"/>
    <col min="10" max="10" width="14" style="41" customWidth="1"/>
    <col min="11" max="11" width="16" style="41" customWidth="1"/>
    <col min="12" max="12" width="18" style="41" customWidth="1"/>
    <col min="13" max="13" width="12" style="41" customWidth="1"/>
    <col min="14" max="15" width="16" style="41" customWidth="1"/>
    <col min="16" max="16" width="54" style="41" customWidth="1"/>
    <col min="17" max="17" width="44" style="41" customWidth="1"/>
    <col min="18" max="16384" width="8.83203125" style="41"/>
  </cols>
  <sheetData>
    <row r="1" spans="1:17" ht="34" customHeight="1" x14ac:dyDescent="0.2">
      <c r="A1" s="40" t="s">
        <v>132</v>
      </c>
      <c r="B1" s="40" t="s">
        <v>1</v>
      </c>
      <c r="C1" s="40" t="s">
        <v>133</v>
      </c>
      <c r="D1" s="40" t="s">
        <v>2</v>
      </c>
      <c r="E1" s="40" t="s">
        <v>134</v>
      </c>
      <c r="F1" s="40" t="s">
        <v>135</v>
      </c>
      <c r="G1" s="40" t="s">
        <v>136</v>
      </c>
      <c r="H1" s="40" t="s">
        <v>137</v>
      </c>
      <c r="I1" s="40" t="s">
        <v>30</v>
      </c>
      <c r="J1" s="40" t="s">
        <v>138</v>
      </c>
      <c r="K1" s="40" t="s">
        <v>139</v>
      </c>
      <c r="L1" s="40" t="s">
        <v>140</v>
      </c>
      <c r="M1" s="40" t="s">
        <v>141</v>
      </c>
      <c r="N1" s="40" t="s">
        <v>142</v>
      </c>
      <c r="O1" s="40" t="s">
        <v>143</v>
      </c>
      <c r="P1" s="40" t="s">
        <v>144</v>
      </c>
      <c r="Q1" s="40" t="s">
        <v>38</v>
      </c>
    </row>
    <row r="2" spans="1:17" ht="22" customHeight="1" x14ac:dyDescent="0.2">
      <c r="A2" s="42">
        <v>300</v>
      </c>
      <c r="B2" s="43" t="s">
        <v>151</v>
      </c>
      <c r="C2" s="43" t="s">
        <v>14</v>
      </c>
      <c r="D2" s="43" t="s">
        <v>152</v>
      </c>
      <c r="E2" s="43" t="s">
        <v>145</v>
      </c>
      <c r="F2" s="43" t="s">
        <v>31</v>
      </c>
      <c r="G2" s="43" t="s">
        <v>146</v>
      </c>
      <c r="H2" s="44">
        <v>4.5</v>
      </c>
      <c r="I2" s="45">
        <v>162</v>
      </c>
      <c r="J2" s="46">
        <v>6</v>
      </c>
      <c r="K2" s="45">
        <v>27</v>
      </c>
      <c r="L2" s="45">
        <v>18</v>
      </c>
      <c r="M2" s="47">
        <v>1.5</v>
      </c>
      <c r="N2" s="48">
        <v>0</v>
      </c>
      <c r="O2" s="48">
        <v>0</v>
      </c>
      <c r="P2" s="43" t="s">
        <v>153</v>
      </c>
      <c r="Q2" s="43" t="s">
        <v>147</v>
      </c>
    </row>
    <row r="3" spans="1:17" ht="22" customHeight="1" x14ac:dyDescent="0.2">
      <c r="A3" s="42">
        <v>301</v>
      </c>
      <c r="B3" s="43" t="s">
        <v>151</v>
      </c>
      <c r="C3" s="43" t="s">
        <v>14</v>
      </c>
      <c r="D3" s="43" t="s">
        <v>152</v>
      </c>
      <c r="E3" s="43" t="s">
        <v>145</v>
      </c>
      <c r="F3" s="43" t="s">
        <v>32</v>
      </c>
      <c r="G3" s="43" t="s">
        <v>146</v>
      </c>
      <c r="H3" s="44">
        <v>4.5</v>
      </c>
      <c r="I3" s="45">
        <v>162</v>
      </c>
      <c r="J3" s="46">
        <v>6</v>
      </c>
      <c r="K3" s="45">
        <v>27</v>
      </c>
      <c r="L3" s="45">
        <v>18</v>
      </c>
      <c r="M3" s="47">
        <v>1.5</v>
      </c>
      <c r="N3" s="48">
        <v>0</v>
      </c>
      <c r="O3" s="48">
        <v>0</v>
      </c>
      <c r="P3" s="43" t="s">
        <v>153</v>
      </c>
      <c r="Q3" s="43" t="s">
        <v>147</v>
      </c>
    </row>
    <row r="4" spans="1:17" ht="22" customHeight="1" x14ac:dyDescent="0.2">
      <c r="A4" s="42">
        <v>302</v>
      </c>
      <c r="B4" s="43" t="s">
        <v>151</v>
      </c>
      <c r="C4" s="43" t="s">
        <v>14</v>
      </c>
      <c r="D4" s="43" t="s">
        <v>152</v>
      </c>
      <c r="E4" s="43" t="s">
        <v>145</v>
      </c>
      <c r="F4" s="43" t="s">
        <v>154</v>
      </c>
      <c r="G4" s="43" t="s">
        <v>149</v>
      </c>
      <c r="H4" s="44">
        <v>2.5</v>
      </c>
      <c r="I4" s="45">
        <v>90</v>
      </c>
      <c r="J4" s="46">
        <v>6</v>
      </c>
      <c r="K4" s="45">
        <v>15</v>
      </c>
      <c r="L4" s="45">
        <v>18</v>
      </c>
      <c r="M4" s="47">
        <v>0.83333333333333337</v>
      </c>
      <c r="N4" s="48">
        <v>0</v>
      </c>
      <c r="O4" s="48">
        <v>0</v>
      </c>
      <c r="P4" s="43" t="s">
        <v>153</v>
      </c>
      <c r="Q4" s="43" t="s">
        <v>155</v>
      </c>
    </row>
    <row r="5" spans="1:17" ht="22" customHeight="1" x14ac:dyDescent="0.2">
      <c r="A5" s="42">
        <v>303</v>
      </c>
      <c r="B5" s="43" t="s">
        <v>151</v>
      </c>
      <c r="C5" s="43" t="s">
        <v>14</v>
      </c>
      <c r="D5" s="43" t="s">
        <v>152</v>
      </c>
      <c r="E5" s="43" t="s">
        <v>145</v>
      </c>
      <c r="F5" s="43" t="s">
        <v>150</v>
      </c>
      <c r="G5" s="43" t="s">
        <v>149</v>
      </c>
      <c r="H5" s="44">
        <v>0.5</v>
      </c>
      <c r="I5" s="45">
        <v>18</v>
      </c>
      <c r="J5" s="46">
        <v>6</v>
      </c>
      <c r="K5" s="45">
        <v>3</v>
      </c>
      <c r="L5" s="45">
        <v>18</v>
      </c>
      <c r="M5" s="47">
        <v>0.16666666666666666</v>
      </c>
      <c r="N5" s="48">
        <v>0</v>
      </c>
      <c r="O5" s="48">
        <v>0</v>
      </c>
      <c r="P5" s="43" t="s">
        <v>153</v>
      </c>
      <c r="Q5" s="43" t="s">
        <v>155</v>
      </c>
    </row>
    <row r="6" spans="1:17" ht="22" customHeight="1" x14ac:dyDescent="0.2">
      <c r="A6" s="42">
        <v>304</v>
      </c>
      <c r="B6" s="43" t="s">
        <v>151</v>
      </c>
      <c r="C6" s="43" t="s">
        <v>14</v>
      </c>
      <c r="D6" s="43" t="s">
        <v>152</v>
      </c>
      <c r="E6" s="43" t="s">
        <v>145</v>
      </c>
      <c r="F6" s="43" t="s">
        <v>156</v>
      </c>
      <c r="G6" s="43" t="s">
        <v>146</v>
      </c>
      <c r="H6" s="44">
        <v>4</v>
      </c>
      <c r="I6" s="45">
        <v>144</v>
      </c>
      <c r="J6" s="46">
        <v>6</v>
      </c>
      <c r="K6" s="45">
        <v>24</v>
      </c>
      <c r="L6" s="45">
        <v>18</v>
      </c>
      <c r="M6" s="47">
        <v>1.3333333333333333</v>
      </c>
      <c r="N6" s="48">
        <v>0</v>
      </c>
      <c r="O6" s="48">
        <v>0</v>
      </c>
      <c r="P6" s="43" t="s">
        <v>153</v>
      </c>
      <c r="Q6" s="43" t="s">
        <v>147</v>
      </c>
    </row>
    <row r="7" spans="1:17" ht="22" customHeight="1" x14ac:dyDescent="0.2">
      <c r="A7" s="42">
        <v>305</v>
      </c>
      <c r="B7" s="43" t="s">
        <v>151</v>
      </c>
      <c r="C7" s="43" t="s">
        <v>14</v>
      </c>
      <c r="D7" s="43" t="s">
        <v>152</v>
      </c>
      <c r="E7" s="43" t="s">
        <v>145</v>
      </c>
      <c r="F7" s="43" t="s">
        <v>157</v>
      </c>
      <c r="G7" s="43" t="s">
        <v>158</v>
      </c>
      <c r="H7" s="44">
        <v>3</v>
      </c>
      <c r="I7" s="45">
        <v>108</v>
      </c>
      <c r="J7" s="46">
        <v>6</v>
      </c>
      <c r="K7" s="45">
        <v>18</v>
      </c>
      <c r="L7" s="45">
        <v>18</v>
      </c>
      <c r="M7" s="47">
        <v>1</v>
      </c>
      <c r="N7" s="48">
        <v>0</v>
      </c>
      <c r="O7" s="48">
        <v>0</v>
      </c>
      <c r="P7" s="43" t="s">
        <v>153</v>
      </c>
      <c r="Q7" s="43" t="s">
        <v>159</v>
      </c>
    </row>
    <row r="8" spans="1:17" ht="22" customHeight="1" x14ac:dyDescent="0.2">
      <c r="A8" s="42">
        <v>306</v>
      </c>
      <c r="B8" s="43" t="s">
        <v>151</v>
      </c>
      <c r="C8" s="43" t="s">
        <v>14</v>
      </c>
      <c r="D8" s="43" t="s">
        <v>152</v>
      </c>
      <c r="E8" s="43" t="s">
        <v>145</v>
      </c>
      <c r="F8" s="43" t="s">
        <v>148</v>
      </c>
      <c r="G8" s="43" t="s">
        <v>146</v>
      </c>
      <c r="H8" s="44">
        <v>4</v>
      </c>
      <c r="I8" s="45">
        <v>144</v>
      </c>
      <c r="J8" s="46">
        <v>6</v>
      </c>
      <c r="K8" s="45">
        <v>24</v>
      </c>
      <c r="L8" s="45">
        <v>18</v>
      </c>
      <c r="M8" s="47">
        <v>1.3333333333333333</v>
      </c>
      <c r="N8" s="48">
        <v>0</v>
      </c>
      <c r="O8" s="48">
        <v>0</v>
      </c>
      <c r="P8" s="43" t="s">
        <v>153</v>
      </c>
      <c r="Q8" s="43" t="s">
        <v>147</v>
      </c>
    </row>
    <row r="9" spans="1:17" ht="22" customHeight="1" x14ac:dyDescent="0.2">
      <c r="A9" s="42">
        <v>307</v>
      </c>
      <c r="B9" s="43" t="s">
        <v>151</v>
      </c>
      <c r="C9" s="43" t="s">
        <v>14</v>
      </c>
      <c r="D9" s="43" t="s">
        <v>152</v>
      </c>
      <c r="E9" s="43" t="s">
        <v>145</v>
      </c>
      <c r="F9" s="43" t="s">
        <v>160</v>
      </c>
      <c r="G9" s="43" t="s">
        <v>146</v>
      </c>
      <c r="H9" s="44">
        <v>1</v>
      </c>
      <c r="I9" s="45">
        <v>36</v>
      </c>
      <c r="J9" s="46">
        <v>6</v>
      </c>
      <c r="K9" s="45">
        <v>6</v>
      </c>
      <c r="L9" s="45">
        <v>18</v>
      </c>
      <c r="M9" s="47">
        <v>0.33333333333333331</v>
      </c>
      <c r="N9" s="48">
        <v>0</v>
      </c>
      <c r="O9" s="48">
        <v>0</v>
      </c>
      <c r="P9" s="43" t="s">
        <v>153</v>
      </c>
      <c r="Q9" s="43" t="s">
        <v>147</v>
      </c>
    </row>
    <row r="10" spans="1:17" ht="22" customHeight="1" x14ac:dyDescent="0.2">
      <c r="A10" s="42">
        <v>308</v>
      </c>
      <c r="B10" s="43" t="s">
        <v>151</v>
      </c>
      <c r="C10" s="43" t="s">
        <v>14</v>
      </c>
      <c r="D10" s="43" t="s">
        <v>152</v>
      </c>
      <c r="E10" s="43" t="s">
        <v>145</v>
      </c>
      <c r="F10" s="43" t="s">
        <v>161</v>
      </c>
      <c r="G10" s="43" t="s">
        <v>146</v>
      </c>
      <c r="H10" s="44">
        <v>1</v>
      </c>
      <c r="I10" s="45">
        <v>36</v>
      </c>
      <c r="J10" s="46">
        <v>6</v>
      </c>
      <c r="K10" s="45">
        <v>6</v>
      </c>
      <c r="L10" s="45">
        <v>18</v>
      </c>
      <c r="M10" s="47">
        <v>0.33333333333333331</v>
      </c>
      <c r="N10" s="48">
        <v>0</v>
      </c>
      <c r="O10" s="48">
        <v>0</v>
      </c>
      <c r="P10" s="43" t="s">
        <v>153</v>
      </c>
      <c r="Q10" s="43" t="s">
        <v>147</v>
      </c>
    </row>
    <row r="11" spans="1:17" ht="22" customHeight="1" x14ac:dyDescent="0.2">
      <c r="A11" s="42">
        <v>309</v>
      </c>
      <c r="B11" s="43" t="s">
        <v>151</v>
      </c>
      <c r="C11" s="43" t="s">
        <v>14</v>
      </c>
      <c r="D11" s="43" t="s">
        <v>152</v>
      </c>
      <c r="E11" s="43" t="s">
        <v>145</v>
      </c>
      <c r="F11" s="43" t="s">
        <v>162</v>
      </c>
      <c r="G11" s="43" t="s">
        <v>146</v>
      </c>
      <c r="H11" s="44">
        <v>1</v>
      </c>
      <c r="I11" s="45">
        <v>36</v>
      </c>
      <c r="J11" s="46">
        <v>6</v>
      </c>
      <c r="K11" s="45">
        <v>6</v>
      </c>
      <c r="L11" s="45">
        <v>18</v>
      </c>
      <c r="M11" s="47">
        <v>0.33333333333333331</v>
      </c>
      <c r="N11" s="48">
        <v>0</v>
      </c>
      <c r="O11" s="48">
        <v>0</v>
      </c>
      <c r="P11" s="43" t="s">
        <v>153</v>
      </c>
      <c r="Q11" s="43" t="s">
        <v>147</v>
      </c>
    </row>
    <row r="12" spans="1:17" ht="22" customHeight="1" x14ac:dyDescent="0.2">
      <c r="A12" s="42">
        <v>400</v>
      </c>
      <c r="B12" s="43" t="s">
        <v>163</v>
      </c>
      <c r="C12" s="43" t="s">
        <v>14</v>
      </c>
      <c r="D12" s="43" t="s">
        <v>164</v>
      </c>
      <c r="E12" s="43" t="s">
        <v>145</v>
      </c>
      <c r="F12" s="43" t="s">
        <v>31</v>
      </c>
      <c r="G12" s="43" t="s">
        <v>146</v>
      </c>
      <c r="H12" s="44">
        <v>4.5</v>
      </c>
      <c r="I12" s="45">
        <v>162</v>
      </c>
      <c r="J12" s="46">
        <v>6</v>
      </c>
      <c r="K12" s="45">
        <v>27</v>
      </c>
      <c r="L12" s="45">
        <v>18</v>
      </c>
      <c r="M12" s="47">
        <v>1.5</v>
      </c>
      <c r="N12" s="48">
        <v>0</v>
      </c>
      <c r="O12" s="48">
        <v>0</v>
      </c>
      <c r="P12" s="43" t="s">
        <v>153</v>
      </c>
      <c r="Q12" s="43" t="s">
        <v>147</v>
      </c>
    </row>
    <row r="13" spans="1:17" ht="22" customHeight="1" x14ac:dyDescent="0.2">
      <c r="A13" s="42">
        <v>401</v>
      </c>
      <c r="B13" s="43" t="s">
        <v>163</v>
      </c>
      <c r="C13" s="43" t="s">
        <v>14</v>
      </c>
      <c r="D13" s="43" t="s">
        <v>164</v>
      </c>
      <c r="E13" s="43" t="s">
        <v>145</v>
      </c>
      <c r="F13" s="43" t="s">
        <v>32</v>
      </c>
      <c r="G13" s="43" t="s">
        <v>146</v>
      </c>
      <c r="H13" s="44">
        <v>3.5</v>
      </c>
      <c r="I13" s="45">
        <v>126</v>
      </c>
      <c r="J13" s="46">
        <v>6</v>
      </c>
      <c r="K13" s="45">
        <v>21</v>
      </c>
      <c r="L13" s="45">
        <v>18</v>
      </c>
      <c r="M13" s="47">
        <v>1.1666666666666667</v>
      </c>
      <c r="N13" s="48">
        <v>0</v>
      </c>
      <c r="O13" s="48">
        <v>0</v>
      </c>
      <c r="P13" s="43" t="s">
        <v>153</v>
      </c>
      <c r="Q13" s="43" t="s">
        <v>147</v>
      </c>
    </row>
    <row r="14" spans="1:17" ht="22" customHeight="1" x14ac:dyDescent="0.2">
      <c r="A14" s="42">
        <v>402</v>
      </c>
      <c r="B14" s="43" t="s">
        <v>163</v>
      </c>
      <c r="C14" s="43" t="s">
        <v>14</v>
      </c>
      <c r="D14" s="43" t="s">
        <v>164</v>
      </c>
      <c r="E14" s="43" t="s">
        <v>145</v>
      </c>
      <c r="F14" s="43" t="s">
        <v>154</v>
      </c>
      <c r="G14" s="43" t="s">
        <v>149</v>
      </c>
      <c r="H14" s="44">
        <v>2.5</v>
      </c>
      <c r="I14" s="45">
        <v>90</v>
      </c>
      <c r="J14" s="46">
        <v>6</v>
      </c>
      <c r="K14" s="45">
        <v>15</v>
      </c>
      <c r="L14" s="45">
        <v>18</v>
      </c>
      <c r="M14" s="47">
        <v>0.83333333333333337</v>
      </c>
      <c r="N14" s="48">
        <v>0</v>
      </c>
      <c r="O14" s="48">
        <v>0</v>
      </c>
      <c r="P14" s="43" t="s">
        <v>153</v>
      </c>
      <c r="Q14" s="43" t="s">
        <v>165</v>
      </c>
    </row>
    <row r="15" spans="1:17" ht="22" customHeight="1" x14ac:dyDescent="0.2">
      <c r="A15" s="42">
        <v>403</v>
      </c>
      <c r="B15" s="43" t="s">
        <v>163</v>
      </c>
      <c r="C15" s="43" t="s">
        <v>14</v>
      </c>
      <c r="D15" s="43" t="s">
        <v>164</v>
      </c>
      <c r="E15" s="43" t="s">
        <v>145</v>
      </c>
      <c r="F15" s="43" t="s">
        <v>150</v>
      </c>
      <c r="G15" s="43" t="s">
        <v>149</v>
      </c>
      <c r="H15" s="44">
        <v>0.5</v>
      </c>
      <c r="I15" s="45">
        <v>18</v>
      </c>
      <c r="J15" s="46">
        <v>6</v>
      </c>
      <c r="K15" s="45">
        <v>3</v>
      </c>
      <c r="L15" s="45">
        <v>18</v>
      </c>
      <c r="M15" s="47">
        <v>0.16666666666666666</v>
      </c>
      <c r="N15" s="48">
        <v>0</v>
      </c>
      <c r="O15" s="48">
        <v>0</v>
      </c>
      <c r="P15" s="43" t="s">
        <v>153</v>
      </c>
      <c r="Q15" s="43" t="s">
        <v>165</v>
      </c>
    </row>
    <row r="16" spans="1:17" ht="22" customHeight="1" x14ac:dyDescent="0.2">
      <c r="A16" s="42">
        <v>404</v>
      </c>
      <c r="B16" s="43" t="s">
        <v>163</v>
      </c>
      <c r="C16" s="43" t="s">
        <v>14</v>
      </c>
      <c r="D16" s="43" t="s">
        <v>164</v>
      </c>
      <c r="E16" s="43" t="s">
        <v>145</v>
      </c>
      <c r="F16" s="43" t="s">
        <v>156</v>
      </c>
      <c r="G16" s="43" t="s">
        <v>146</v>
      </c>
      <c r="H16" s="44">
        <v>3</v>
      </c>
      <c r="I16" s="45">
        <v>108</v>
      </c>
      <c r="J16" s="46">
        <v>6</v>
      </c>
      <c r="K16" s="45">
        <v>18</v>
      </c>
      <c r="L16" s="45">
        <v>18</v>
      </c>
      <c r="M16" s="47">
        <v>1</v>
      </c>
      <c r="N16" s="48">
        <v>0</v>
      </c>
      <c r="O16" s="48">
        <v>0</v>
      </c>
      <c r="P16" s="43" t="s">
        <v>153</v>
      </c>
      <c r="Q16" s="43" t="s">
        <v>147</v>
      </c>
    </row>
    <row r="17" spans="1:17" ht="22" customHeight="1" x14ac:dyDescent="0.2">
      <c r="A17" s="42">
        <v>405</v>
      </c>
      <c r="B17" s="43" t="s">
        <v>163</v>
      </c>
      <c r="C17" s="43" t="s">
        <v>14</v>
      </c>
      <c r="D17" s="43" t="s">
        <v>164</v>
      </c>
      <c r="E17" s="43" t="s">
        <v>145</v>
      </c>
      <c r="F17" s="43" t="s">
        <v>166</v>
      </c>
      <c r="G17" s="43" t="s">
        <v>146</v>
      </c>
      <c r="H17" s="44">
        <v>2.5</v>
      </c>
      <c r="I17" s="45">
        <v>90</v>
      </c>
      <c r="J17" s="46">
        <v>6</v>
      </c>
      <c r="K17" s="45">
        <v>15</v>
      </c>
      <c r="L17" s="45">
        <v>18</v>
      </c>
      <c r="M17" s="47">
        <v>0.83333333333333337</v>
      </c>
      <c r="N17" s="48">
        <v>0</v>
      </c>
      <c r="O17" s="48">
        <v>0</v>
      </c>
      <c r="P17" s="43" t="s">
        <v>153</v>
      </c>
      <c r="Q17" s="43" t="s">
        <v>147</v>
      </c>
    </row>
    <row r="18" spans="1:17" ht="22" customHeight="1" x14ac:dyDescent="0.2">
      <c r="A18" s="42">
        <v>406</v>
      </c>
      <c r="B18" s="43" t="s">
        <v>163</v>
      </c>
      <c r="C18" s="43" t="s">
        <v>14</v>
      </c>
      <c r="D18" s="43" t="s">
        <v>164</v>
      </c>
      <c r="E18" s="43" t="s">
        <v>145</v>
      </c>
      <c r="F18" s="43" t="s">
        <v>167</v>
      </c>
      <c r="G18" s="43" t="s">
        <v>146</v>
      </c>
      <c r="H18" s="44">
        <v>1.5</v>
      </c>
      <c r="I18" s="45">
        <v>54</v>
      </c>
      <c r="J18" s="46">
        <v>6</v>
      </c>
      <c r="K18" s="45">
        <v>9</v>
      </c>
      <c r="L18" s="45">
        <v>18</v>
      </c>
      <c r="M18" s="47">
        <v>0.5</v>
      </c>
      <c r="N18" s="48">
        <v>0</v>
      </c>
      <c r="O18" s="48">
        <v>0</v>
      </c>
      <c r="P18" s="43" t="s">
        <v>153</v>
      </c>
      <c r="Q18" s="43" t="s">
        <v>147</v>
      </c>
    </row>
    <row r="19" spans="1:17" ht="22" customHeight="1" x14ac:dyDescent="0.2">
      <c r="A19" s="42">
        <v>407</v>
      </c>
      <c r="B19" s="43" t="s">
        <v>163</v>
      </c>
      <c r="C19" s="43" t="s">
        <v>14</v>
      </c>
      <c r="D19" s="43" t="s">
        <v>164</v>
      </c>
      <c r="E19" s="43" t="s">
        <v>145</v>
      </c>
      <c r="F19" s="43" t="s">
        <v>168</v>
      </c>
      <c r="G19" s="43" t="s">
        <v>146</v>
      </c>
      <c r="H19" s="44">
        <v>1.5</v>
      </c>
      <c r="I19" s="45">
        <v>54</v>
      </c>
      <c r="J19" s="46">
        <v>6</v>
      </c>
      <c r="K19" s="45">
        <v>9</v>
      </c>
      <c r="L19" s="45">
        <v>18</v>
      </c>
      <c r="M19" s="47">
        <v>0.5</v>
      </c>
      <c r="N19" s="48">
        <v>0</v>
      </c>
      <c r="O19" s="48">
        <v>0</v>
      </c>
      <c r="P19" s="43" t="s">
        <v>153</v>
      </c>
      <c r="Q19" s="43" t="s">
        <v>147</v>
      </c>
    </row>
    <row r="20" spans="1:17" ht="22" customHeight="1" x14ac:dyDescent="0.2">
      <c r="A20" s="42">
        <v>408</v>
      </c>
      <c r="B20" s="43" t="s">
        <v>163</v>
      </c>
      <c r="C20" s="43" t="s">
        <v>14</v>
      </c>
      <c r="D20" s="43" t="s">
        <v>164</v>
      </c>
      <c r="E20" s="43" t="s">
        <v>145</v>
      </c>
      <c r="F20" s="43" t="s">
        <v>35</v>
      </c>
      <c r="G20" s="43" t="s">
        <v>146</v>
      </c>
      <c r="H20" s="44">
        <v>1.5</v>
      </c>
      <c r="I20" s="45">
        <v>54</v>
      </c>
      <c r="J20" s="46">
        <v>6</v>
      </c>
      <c r="K20" s="45">
        <v>9</v>
      </c>
      <c r="L20" s="45">
        <v>18</v>
      </c>
      <c r="M20" s="47">
        <v>0.5</v>
      </c>
      <c r="N20" s="48">
        <v>0</v>
      </c>
      <c r="O20" s="48">
        <v>0</v>
      </c>
      <c r="P20" s="43" t="s">
        <v>153</v>
      </c>
      <c r="Q20" s="43" t="s">
        <v>147</v>
      </c>
    </row>
    <row r="21" spans="1:17" ht="22" customHeight="1" x14ac:dyDescent="0.2">
      <c r="A21" s="42">
        <v>409</v>
      </c>
      <c r="B21" s="43" t="s">
        <v>163</v>
      </c>
      <c r="C21" s="43" t="s">
        <v>14</v>
      </c>
      <c r="D21" s="43" t="s">
        <v>164</v>
      </c>
      <c r="E21" s="43" t="s">
        <v>145</v>
      </c>
      <c r="F21" s="43" t="s">
        <v>148</v>
      </c>
      <c r="G21" s="43" t="s">
        <v>146</v>
      </c>
      <c r="H21" s="44">
        <v>3</v>
      </c>
      <c r="I21" s="45">
        <v>108</v>
      </c>
      <c r="J21" s="46">
        <v>6</v>
      </c>
      <c r="K21" s="45">
        <v>18</v>
      </c>
      <c r="L21" s="45">
        <v>18</v>
      </c>
      <c r="M21" s="47">
        <v>1</v>
      </c>
      <c r="N21" s="48">
        <v>0</v>
      </c>
      <c r="O21" s="48">
        <v>0</v>
      </c>
      <c r="P21" s="43" t="s">
        <v>153</v>
      </c>
      <c r="Q21" s="43" t="s">
        <v>147</v>
      </c>
    </row>
    <row r="22" spans="1:17" ht="22" customHeight="1" x14ac:dyDescent="0.2">
      <c r="A22" s="42">
        <v>410</v>
      </c>
      <c r="B22" s="43" t="s">
        <v>163</v>
      </c>
      <c r="C22" s="43" t="s">
        <v>14</v>
      </c>
      <c r="D22" s="43" t="s">
        <v>164</v>
      </c>
      <c r="E22" s="43" t="s">
        <v>145</v>
      </c>
      <c r="F22" s="43" t="s">
        <v>160</v>
      </c>
      <c r="G22" s="43" t="s">
        <v>146</v>
      </c>
      <c r="H22" s="44">
        <v>1</v>
      </c>
      <c r="I22" s="45">
        <v>36</v>
      </c>
      <c r="J22" s="46">
        <v>6</v>
      </c>
      <c r="K22" s="45">
        <v>6</v>
      </c>
      <c r="L22" s="45">
        <v>18</v>
      </c>
      <c r="M22" s="47">
        <v>0.33333333333333331</v>
      </c>
      <c r="N22" s="48">
        <v>0</v>
      </c>
      <c r="O22" s="48">
        <v>0</v>
      </c>
      <c r="P22" s="43" t="s">
        <v>153</v>
      </c>
      <c r="Q22" s="43" t="s">
        <v>147</v>
      </c>
    </row>
    <row r="23" spans="1:17" ht="22" customHeight="1" x14ac:dyDescent="0.2">
      <c r="A23" s="42">
        <v>411</v>
      </c>
      <c r="B23" s="43" t="s">
        <v>163</v>
      </c>
      <c r="C23" s="43" t="s">
        <v>14</v>
      </c>
      <c r="D23" s="43" t="s">
        <v>164</v>
      </c>
      <c r="E23" s="43" t="s">
        <v>145</v>
      </c>
      <c r="F23" s="43" t="s">
        <v>161</v>
      </c>
      <c r="G23" s="43" t="s">
        <v>146</v>
      </c>
      <c r="H23" s="44">
        <v>1</v>
      </c>
      <c r="I23" s="45">
        <v>36</v>
      </c>
      <c r="J23" s="46">
        <v>6</v>
      </c>
      <c r="K23" s="45">
        <v>6</v>
      </c>
      <c r="L23" s="45">
        <v>18</v>
      </c>
      <c r="M23" s="47">
        <v>0.33333333333333331</v>
      </c>
      <c r="N23" s="48">
        <v>0</v>
      </c>
      <c r="O23" s="48">
        <v>0</v>
      </c>
      <c r="P23" s="43" t="s">
        <v>153</v>
      </c>
      <c r="Q23" s="43" t="s">
        <v>147</v>
      </c>
    </row>
    <row r="24" spans="1:17" ht="22" customHeight="1" x14ac:dyDescent="0.2">
      <c r="A24" s="42">
        <v>412</v>
      </c>
      <c r="B24" s="43" t="s">
        <v>163</v>
      </c>
      <c r="C24" s="43" t="s">
        <v>14</v>
      </c>
      <c r="D24" s="43" t="s">
        <v>169</v>
      </c>
      <c r="E24" s="43" t="s">
        <v>145</v>
      </c>
      <c r="F24" s="43" t="s">
        <v>31</v>
      </c>
      <c r="G24" s="43" t="s">
        <v>146</v>
      </c>
      <c r="H24" s="44">
        <v>4.5</v>
      </c>
      <c r="I24" s="45">
        <v>162</v>
      </c>
      <c r="J24" s="46">
        <v>5</v>
      </c>
      <c r="K24" s="45">
        <v>22.5</v>
      </c>
      <c r="L24" s="45">
        <v>18</v>
      </c>
      <c r="M24" s="47">
        <v>1.25</v>
      </c>
      <c r="N24" s="48">
        <v>0</v>
      </c>
      <c r="O24" s="48">
        <v>0</v>
      </c>
      <c r="P24" s="43" t="s">
        <v>153</v>
      </c>
      <c r="Q24" s="43" t="s">
        <v>147</v>
      </c>
    </row>
    <row r="25" spans="1:17" ht="22" customHeight="1" x14ac:dyDescent="0.2">
      <c r="A25" s="42">
        <v>413</v>
      </c>
      <c r="B25" s="43" t="s">
        <v>163</v>
      </c>
      <c r="C25" s="43" t="s">
        <v>14</v>
      </c>
      <c r="D25" s="43" t="s">
        <v>169</v>
      </c>
      <c r="E25" s="43" t="s">
        <v>145</v>
      </c>
      <c r="F25" s="43" t="s">
        <v>32</v>
      </c>
      <c r="G25" s="43" t="s">
        <v>146</v>
      </c>
      <c r="H25" s="44">
        <v>3.5</v>
      </c>
      <c r="I25" s="45">
        <v>126</v>
      </c>
      <c r="J25" s="46">
        <v>5</v>
      </c>
      <c r="K25" s="45">
        <v>17.5</v>
      </c>
      <c r="L25" s="45">
        <v>18</v>
      </c>
      <c r="M25" s="47">
        <v>0.97222222222222221</v>
      </c>
      <c r="N25" s="48">
        <v>0</v>
      </c>
      <c r="O25" s="48">
        <v>0</v>
      </c>
      <c r="P25" s="43" t="s">
        <v>153</v>
      </c>
      <c r="Q25" s="43" t="s">
        <v>147</v>
      </c>
    </row>
    <row r="26" spans="1:17" ht="22" customHeight="1" x14ac:dyDescent="0.2">
      <c r="A26" s="42">
        <v>414</v>
      </c>
      <c r="B26" s="43" t="s">
        <v>163</v>
      </c>
      <c r="C26" s="43" t="s">
        <v>14</v>
      </c>
      <c r="D26" s="43" t="s">
        <v>169</v>
      </c>
      <c r="E26" s="43" t="s">
        <v>145</v>
      </c>
      <c r="F26" s="43" t="s">
        <v>154</v>
      </c>
      <c r="G26" s="43" t="s">
        <v>149</v>
      </c>
      <c r="H26" s="44">
        <v>2.5</v>
      </c>
      <c r="I26" s="45">
        <v>90</v>
      </c>
      <c r="J26" s="46">
        <v>5</v>
      </c>
      <c r="K26" s="45">
        <v>12.5</v>
      </c>
      <c r="L26" s="45">
        <v>18</v>
      </c>
      <c r="M26" s="47">
        <v>0.69444444444444442</v>
      </c>
      <c r="N26" s="48">
        <v>0</v>
      </c>
      <c r="O26" s="48">
        <v>0</v>
      </c>
      <c r="P26" s="43" t="s">
        <v>153</v>
      </c>
      <c r="Q26" s="43" t="s">
        <v>165</v>
      </c>
    </row>
    <row r="27" spans="1:17" ht="22" customHeight="1" x14ac:dyDescent="0.2">
      <c r="A27" s="42">
        <v>415</v>
      </c>
      <c r="B27" s="43" t="s">
        <v>163</v>
      </c>
      <c r="C27" s="43" t="s">
        <v>14</v>
      </c>
      <c r="D27" s="43" t="s">
        <v>169</v>
      </c>
      <c r="E27" s="43" t="s">
        <v>145</v>
      </c>
      <c r="F27" s="43" t="s">
        <v>150</v>
      </c>
      <c r="G27" s="43" t="s">
        <v>149</v>
      </c>
      <c r="H27" s="44">
        <v>0.5</v>
      </c>
      <c r="I27" s="45">
        <v>18</v>
      </c>
      <c r="J27" s="46">
        <v>5</v>
      </c>
      <c r="K27" s="45">
        <v>2.5</v>
      </c>
      <c r="L27" s="45">
        <v>18</v>
      </c>
      <c r="M27" s="47">
        <v>0.1388888888888889</v>
      </c>
      <c r="N27" s="48">
        <v>0</v>
      </c>
      <c r="O27" s="48">
        <v>0</v>
      </c>
      <c r="P27" s="43" t="s">
        <v>153</v>
      </c>
      <c r="Q27" s="43" t="s">
        <v>165</v>
      </c>
    </row>
    <row r="28" spans="1:17" ht="22" customHeight="1" x14ac:dyDescent="0.2">
      <c r="A28" s="42">
        <v>416</v>
      </c>
      <c r="B28" s="43" t="s">
        <v>163</v>
      </c>
      <c r="C28" s="43" t="s">
        <v>14</v>
      </c>
      <c r="D28" s="43" t="s">
        <v>169</v>
      </c>
      <c r="E28" s="43" t="s">
        <v>145</v>
      </c>
      <c r="F28" s="43" t="s">
        <v>156</v>
      </c>
      <c r="G28" s="43" t="s">
        <v>146</v>
      </c>
      <c r="H28" s="44">
        <v>3</v>
      </c>
      <c r="I28" s="45">
        <v>108</v>
      </c>
      <c r="J28" s="46">
        <v>5</v>
      </c>
      <c r="K28" s="45">
        <v>15</v>
      </c>
      <c r="L28" s="45">
        <v>18</v>
      </c>
      <c r="M28" s="47">
        <v>0.83333333333333337</v>
      </c>
      <c r="N28" s="48">
        <v>0</v>
      </c>
      <c r="O28" s="48">
        <v>0</v>
      </c>
      <c r="P28" s="43" t="s">
        <v>153</v>
      </c>
      <c r="Q28" s="43" t="s">
        <v>147</v>
      </c>
    </row>
    <row r="29" spans="1:17" ht="22" customHeight="1" x14ac:dyDescent="0.2">
      <c r="A29" s="42">
        <v>417</v>
      </c>
      <c r="B29" s="43" t="s">
        <v>163</v>
      </c>
      <c r="C29" s="43" t="s">
        <v>14</v>
      </c>
      <c r="D29" s="43" t="s">
        <v>169</v>
      </c>
      <c r="E29" s="43" t="s">
        <v>145</v>
      </c>
      <c r="F29" s="43" t="s">
        <v>166</v>
      </c>
      <c r="G29" s="43" t="s">
        <v>146</v>
      </c>
      <c r="H29" s="44">
        <v>2.5</v>
      </c>
      <c r="I29" s="45">
        <v>90</v>
      </c>
      <c r="J29" s="46">
        <v>5</v>
      </c>
      <c r="K29" s="45">
        <v>12.5</v>
      </c>
      <c r="L29" s="45">
        <v>18</v>
      </c>
      <c r="M29" s="47">
        <v>0.69444444444444442</v>
      </c>
      <c r="N29" s="48">
        <v>0</v>
      </c>
      <c r="O29" s="48">
        <v>0</v>
      </c>
      <c r="P29" s="43" t="s">
        <v>153</v>
      </c>
      <c r="Q29" s="43" t="s">
        <v>147</v>
      </c>
    </row>
    <row r="30" spans="1:17" ht="22" customHeight="1" x14ac:dyDescent="0.2">
      <c r="A30" s="42">
        <v>418</v>
      </c>
      <c r="B30" s="43" t="s">
        <v>163</v>
      </c>
      <c r="C30" s="43" t="s">
        <v>14</v>
      </c>
      <c r="D30" s="43" t="s">
        <v>169</v>
      </c>
      <c r="E30" s="43" t="s">
        <v>145</v>
      </c>
      <c r="F30" s="43" t="s">
        <v>167</v>
      </c>
      <c r="G30" s="43" t="s">
        <v>146</v>
      </c>
      <c r="H30" s="44">
        <v>1.5</v>
      </c>
      <c r="I30" s="45">
        <v>54</v>
      </c>
      <c r="J30" s="46">
        <v>5</v>
      </c>
      <c r="K30" s="45">
        <v>7.5</v>
      </c>
      <c r="L30" s="45">
        <v>18</v>
      </c>
      <c r="M30" s="47">
        <v>0.41666666666666669</v>
      </c>
      <c r="N30" s="48">
        <v>0</v>
      </c>
      <c r="O30" s="48">
        <v>0</v>
      </c>
      <c r="P30" s="43" t="s">
        <v>153</v>
      </c>
      <c r="Q30" s="43" t="s">
        <v>147</v>
      </c>
    </row>
    <row r="31" spans="1:17" ht="22" customHeight="1" x14ac:dyDescent="0.2">
      <c r="A31" s="42">
        <v>419</v>
      </c>
      <c r="B31" s="43" t="s">
        <v>163</v>
      </c>
      <c r="C31" s="43" t="s">
        <v>14</v>
      </c>
      <c r="D31" s="43" t="s">
        <v>169</v>
      </c>
      <c r="E31" s="43" t="s">
        <v>145</v>
      </c>
      <c r="F31" s="43" t="s">
        <v>168</v>
      </c>
      <c r="G31" s="43" t="s">
        <v>146</v>
      </c>
      <c r="H31" s="44">
        <v>1.5</v>
      </c>
      <c r="I31" s="45">
        <v>54</v>
      </c>
      <c r="J31" s="46">
        <v>5</v>
      </c>
      <c r="K31" s="45">
        <v>7.5</v>
      </c>
      <c r="L31" s="45">
        <v>18</v>
      </c>
      <c r="M31" s="47">
        <v>0.41666666666666669</v>
      </c>
      <c r="N31" s="48">
        <v>0</v>
      </c>
      <c r="O31" s="48">
        <v>0</v>
      </c>
      <c r="P31" s="43" t="s">
        <v>153</v>
      </c>
      <c r="Q31" s="43" t="s">
        <v>147</v>
      </c>
    </row>
    <row r="32" spans="1:17" ht="22" customHeight="1" x14ac:dyDescent="0.2">
      <c r="A32" s="42">
        <v>420</v>
      </c>
      <c r="B32" s="43" t="s">
        <v>163</v>
      </c>
      <c r="C32" s="43" t="s">
        <v>14</v>
      </c>
      <c r="D32" s="43" t="s">
        <v>169</v>
      </c>
      <c r="E32" s="43" t="s">
        <v>145</v>
      </c>
      <c r="F32" s="43" t="s">
        <v>35</v>
      </c>
      <c r="G32" s="43" t="s">
        <v>146</v>
      </c>
      <c r="H32" s="44">
        <v>1.5</v>
      </c>
      <c r="I32" s="45">
        <v>54</v>
      </c>
      <c r="J32" s="46">
        <v>5</v>
      </c>
      <c r="K32" s="45">
        <v>7.5</v>
      </c>
      <c r="L32" s="45">
        <v>18</v>
      </c>
      <c r="M32" s="47">
        <v>0.41666666666666669</v>
      </c>
      <c r="N32" s="48">
        <v>0</v>
      </c>
      <c r="O32" s="48">
        <v>0</v>
      </c>
      <c r="P32" s="43" t="s">
        <v>153</v>
      </c>
      <c r="Q32" s="43" t="s">
        <v>147</v>
      </c>
    </row>
    <row r="33" spans="1:17" ht="22" customHeight="1" x14ac:dyDescent="0.2">
      <c r="A33" s="42">
        <v>421</v>
      </c>
      <c r="B33" s="43" t="s">
        <v>163</v>
      </c>
      <c r="C33" s="43" t="s">
        <v>14</v>
      </c>
      <c r="D33" s="43" t="s">
        <v>169</v>
      </c>
      <c r="E33" s="43" t="s">
        <v>145</v>
      </c>
      <c r="F33" s="43" t="s">
        <v>148</v>
      </c>
      <c r="G33" s="43" t="s">
        <v>146</v>
      </c>
      <c r="H33" s="44">
        <v>3</v>
      </c>
      <c r="I33" s="45">
        <v>108</v>
      </c>
      <c r="J33" s="46">
        <v>5</v>
      </c>
      <c r="K33" s="45">
        <v>15</v>
      </c>
      <c r="L33" s="45">
        <v>18</v>
      </c>
      <c r="M33" s="47">
        <v>0.83333333333333337</v>
      </c>
      <c r="N33" s="48">
        <v>0</v>
      </c>
      <c r="O33" s="48">
        <v>0</v>
      </c>
      <c r="P33" s="43" t="s">
        <v>153</v>
      </c>
      <c r="Q33" s="43" t="s">
        <v>147</v>
      </c>
    </row>
    <row r="34" spans="1:17" ht="22" customHeight="1" x14ac:dyDescent="0.2">
      <c r="A34" s="42">
        <v>422</v>
      </c>
      <c r="B34" s="43" t="s">
        <v>163</v>
      </c>
      <c r="C34" s="43" t="s">
        <v>14</v>
      </c>
      <c r="D34" s="43" t="s">
        <v>169</v>
      </c>
      <c r="E34" s="43" t="s">
        <v>145</v>
      </c>
      <c r="F34" s="43" t="s">
        <v>160</v>
      </c>
      <c r="G34" s="43" t="s">
        <v>146</v>
      </c>
      <c r="H34" s="44">
        <v>1</v>
      </c>
      <c r="I34" s="45">
        <v>36</v>
      </c>
      <c r="J34" s="46">
        <v>5</v>
      </c>
      <c r="K34" s="45">
        <v>5</v>
      </c>
      <c r="L34" s="45">
        <v>18</v>
      </c>
      <c r="M34" s="47">
        <v>0.27777777777777779</v>
      </c>
      <c r="N34" s="48">
        <v>0</v>
      </c>
      <c r="O34" s="48">
        <v>0</v>
      </c>
      <c r="P34" s="43" t="s">
        <v>153</v>
      </c>
      <c r="Q34" s="43" t="s">
        <v>147</v>
      </c>
    </row>
    <row r="35" spans="1:17" ht="22" customHeight="1" x14ac:dyDescent="0.2">
      <c r="A35" s="42">
        <v>423</v>
      </c>
      <c r="B35" s="43" t="s">
        <v>163</v>
      </c>
      <c r="C35" s="43" t="s">
        <v>14</v>
      </c>
      <c r="D35" s="43" t="s">
        <v>169</v>
      </c>
      <c r="E35" s="43" t="s">
        <v>145</v>
      </c>
      <c r="F35" s="43" t="s">
        <v>161</v>
      </c>
      <c r="G35" s="43" t="s">
        <v>146</v>
      </c>
      <c r="H35" s="44">
        <v>1</v>
      </c>
      <c r="I35" s="45">
        <v>36</v>
      </c>
      <c r="J35" s="46">
        <v>5</v>
      </c>
      <c r="K35" s="45">
        <v>5</v>
      </c>
      <c r="L35" s="45">
        <v>18</v>
      </c>
      <c r="M35" s="47">
        <v>0.27777777777777779</v>
      </c>
      <c r="N35" s="48">
        <v>0</v>
      </c>
      <c r="O35" s="48">
        <v>0</v>
      </c>
      <c r="P35" s="43" t="s">
        <v>153</v>
      </c>
      <c r="Q35" s="43" t="s">
        <v>147</v>
      </c>
    </row>
    <row r="36" spans="1:17" ht="22" customHeight="1" x14ac:dyDescent="0.2">
      <c r="A36" s="42">
        <v>424</v>
      </c>
      <c r="B36" s="43" t="s">
        <v>163</v>
      </c>
      <c r="C36" s="43" t="s">
        <v>14</v>
      </c>
      <c r="D36" s="43" t="s">
        <v>170</v>
      </c>
      <c r="E36" s="43" t="s">
        <v>145</v>
      </c>
      <c r="F36" s="43" t="s">
        <v>31</v>
      </c>
      <c r="G36" s="43" t="s">
        <v>146</v>
      </c>
      <c r="H36" s="44">
        <v>4</v>
      </c>
      <c r="I36" s="45">
        <v>144</v>
      </c>
      <c r="J36" s="46">
        <v>4</v>
      </c>
      <c r="K36" s="45">
        <v>16</v>
      </c>
      <c r="L36" s="45">
        <v>18</v>
      </c>
      <c r="M36" s="47">
        <v>0.88888888888888884</v>
      </c>
      <c r="N36" s="48">
        <v>0</v>
      </c>
      <c r="O36" s="48">
        <v>0</v>
      </c>
      <c r="P36" s="43" t="s">
        <v>153</v>
      </c>
      <c r="Q36" s="43" t="s">
        <v>147</v>
      </c>
    </row>
    <row r="37" spans="1:17" ht="22" customHeight="1" x14ac:dyDescent="0.2">
      <c r="A37" s="42">
        <v>425</v>
      </c>
      <c r="B37" s="43" t="s">
        <v>163</v>
      </c>
      <c r="C37" s="43" t="s">
        <v>14</v>
      </c>
      <c r="D37" s="43" t="s">
        <v>170</v>
      </c>
      <c r="E37" s="43" t="s">
        <v>145</v>
      </c>
      <c r="F37" s="43" t="s">
        <v>32</v>
      </c>
      <c r="G37" s="43" t="s">
        <v>146</v>
      </c>
      <c r="H37" s="44">
        <v>3.5</v>
      </c>
      <c r="I37" s="45">
        <v>126</v>
      </c>
      <c r="J37" s="46">
        <v>4</v>
      </c>
      <c r="K37" s="45">
        <v>14</v>
      </c>
      <c r="L37" s="45">
        <v>18</v>
      </c>
      <c r="M37" s="47">
        <v>0.77777777777777779</v>
      </c>
      <c r="N37" s="48">
        <v>0</v>
      </c>
      <c r="O37" s="48">
        <v>0</v>
      </c>
      <c r="P37" s="43" t="s">
        <v>153</v>
      </c>
      <c r="Q37" s="43" t="s">
        <v>147</v>
      </c>
    </row>
    <row r="38" spans="1:17" ht="22" customHeight="1" x14ac:dyDescent="0.2">
      <c r="A38" s="42">
        <v>426</v>
      </c>
      <c r="B38" s="43" t="s">
        <v>163</v>
      </c>
      <c r="C38" s="43" t="s">
        <v>14</v>
      </c>
      <c r="D38" s="43" t="s">
        <v>170</v>
      </c>
      <c r="E38" s="43" t="s">
        <v>145</v>
      </c>
      <c r="F38" s="43" t="s">
        <v>154</v>
      </c>
      <c r="G38" s="43" t="s">
        <v>149</v>
      </c>
      <c r="H38" s="44">
        <v>3</v>
      </c>
      <c r="I38" s="45">
        <v>108</v>
      </c>
      <c r="J38" s="46">
        <v>4</v>
      </c>
      <c r="K38" s="45">
        <v>12</v>
      </c>
      <c r="L38" s="45">
        <v>18</v>
      </c>
      <c r="M38" s="47">
        <v>0.66666666666666663</v>
      </c>
      <c r="N38" s="48">
        <v>0</v>
      </c>
      <c r="O38" s="48">
        <v>0</v>
      </c>
      <c r="P38" s="43" t="s">
        <v>153</v>
      </c>
      <c r="Q38" s="43" t="s">
        <v>165</v>
      </c>
    </row>
    <row r="39" spans="1:17" ht="22" customHeight="1" x14ac:dyDescent="0.2">
      <c r="A39" s="42">
        <v>427</v>
      </c>
      <c r="B39" s="43" t="s">
        <v>163</v>
      </c>
      <c r="C39" s="43" t="s">
        <v>14</v>
      </c>
      <c r="D39" s="43" t="s">
        <v>170</v>
      </c>
      <c r="E39" s="43" t="s">
        <v>145</v>
      </c>
      <c r="F39" s="43" t="s">
        <v>150</v>
      </c>
      <c r="G39" s="43" t="s">
        <v>149</v>
      </c>
      <c r="H39" s="44">
        <v>0.5</v>
      </c>
      <c r="I39" s="45">
        <v>18</v>
      </c>
      <c r="J39" s="46">
        <v>4</v>
      </c>
      <c r="K39" s="45">
        <v>2</v>
      </c>
      <c r="L39" s="45">
        <v>18</v>
      </c>
      <c r="M39" s="47">
        <v>0.1111111111111111</v>
      </c>
      <c r="N39" s="48">
        <v>0</v>
      </c>
      <c r="O39" s="48">
        <v>0</v>
      </c>
      <c r="P39" s="43" t="s">
        <v>153</v>
      </c>
      <c r="Q39" s="43" t="s">
        <v>165</v>
      </c>
    </row>
    <row r="40" spans="1:17" ht="22" customHeight="1" x14ac:dyDescent="0.2">
      <c r="A40" s="42">
        <v>428</v>
      </c>
      <c r="B40" s="43" t="s">
        <v>163</v>
      </c>
      <c r="C40" s="43" t="s">
        <v>14</v>
      </c>
      <c r="D40" s="43" t="s">
        <v>170</v>
      </c>
      <c r="E40" s="43" t="s">
        <v>145</v>
      </c>
      <c r="F40" s="43" t="s">
        <v>156</v>
      </c>
      <c r="G40" s="43" t="s">
        <v>146</v>
      </c>
      <c r="H40" s="44">
        <v>3</v>
      </c>
      <c r="I40" s="45">
        <v>108</v>
      </c>
      <c r="J40" s="46">
        <v>4</v>
      </c>
      <c r="K40" s="45">
        <v>12</v>
      </c>
      <c r="L40" s="45">
        <v>18</v>
      </c>
      <c r="M40" s="47">
        <v>0.66666666666666663</v>
      </c>
      <c r="N40" s="48">
        <v>0</v>
      </c>
      <c r="O40" s="48">
        <v>0</v>
      </c>
      <c r="P40" s="43" t="s">
        <v>153</v>
      </c>
      <c r="Q40" s="43" t="s">
        <v>147</v>
      </c>
    </row>
    <row r="41" spans="1:17" ht="22" customHeight="1" x14ac:dyDescent="0.2">
      <c r="A41" s="42">
        <v>429</v>
      </c>
      <c r="B41" s="43" t="s">
        <v>163</v>
      </c>
      <c r="C41" s="43" t="s">
        <v>14</v>
      </c>
      <c r="D41" s="43" t="s">
        <v>170</v>
      </c>
      <c r="E41" s="43" t="s">
        <v>145</v>
      </c>
      <c r="F41" s="43" t="s">
        <v>166</v>
      </c>
      <c r="G41" s="43" t="s">
        <v>146</v>
      </c>
      <c r="H41" s="44">
        <v>2.5</v>
      </c>
      <c r="I41" s="45">
        <v>90</v>
      </c>
      <c r="J41" s="46">
        <v>4</v>
      </c>
      <c r="K41" s="45">
        <v>10</v>
      </c>
      <c r="L41" s="45">
        <v>18</v>
      </c>
      <c r="M41" s="47">
        <v>0.55555555555555558</v>
      </c>
      <c r="N41" s="48">
        <v>0</v>
      </c>
      <c r="O41" s="48">
        <v>0</v>
      </c>
      <c r="P41" s="43" t="s">
        <v>153</v>
      </c>
      <c r="Q41" s="43" t="s">
        <v>147</v>
      </c>
    </row>
    <row r="42" spans="1:17" ht="22" customHeight="1" x14ac:dyDescent="0.2">
      <c r="A42" s="42">
        <v>430</v>
      </c>
      <c r="B42" s="43" t="s">
        <v>163</v>
      </c>
      <c r="C42" s="43" t="s">
        <v>14</v>
      </c>
      <c r="D42" s="43" t="s">
        <v>170</v>
      </c>
      <c r="E42" s="43" t="s">
        <v>145</v>
      </c>
      <c r="F42" s="43" t="s">
        <v>167</v>
      </c>
      <c r="G42" s="43" t="s">
        <v>146</v>
      </c>
      <c r="H42" s="44">
        <v>1.5</v>
      </c>
      <c r="I42" s="45">
        <v>54</v>
      </c>
      <c r="J42" s="46">
        <v>4</v>
      </c>
      <c r="K42" s="45">
        <v>6</v>
      </c>
      <c r="L42" s="45">
        <v>18</v>
      </c>
      <c r="M42" s="47">
        <v>0.33333333333333331</v>
      </c>
      <c r="N42" s="48">
        <v>0</v>
      </c>
      <c r="O42" s="48">
        <v>0</v>
      </c>
      <c r="P42" s="43" t="s">
        <v>153</v>
      </c>
      <c r="Q42" s="43" t="s">
        <v>147</v>
      </c>
    </row>
    <row r="43" spans="1:17" ht="22" customHeight="1" x14ac:dyDescent="0.2">
      <c r="A43" s="42">
        <v>431</v>
      </c>
      <c r="B43" s="43" t="s">
        <v>163</v>
      </c>
      <c r="C43" s="43" t="s">
        <v>14</v>
      </c>
      <c r="D43" s="43" t="s">
        <v>170</v>
      </c>
      <c r="E43" s="43" t="s">
        <v>145</v>
      </c>
      <c r="F43" s="43" t="s">
        <v>168</v>
      </c>
      <c r="G43" s="43" t="s">
        <v>146</v>
      </c>
      <c r="H43" s="44">
        <v>1.5</v>
      </c>
      <c r="I43" s="45">
        <v>54</v>
      </c>
      <c r="J43" s="46">
        <v>4</v>
      </c>
      <c r="K43" s="45">
        <v>6</v>
      </c>
      <c r="L43" s="45">
        <v>18</v>
      </c>
      <c r="M43" s="47">
        <v>0.33333333333333331</v>
      </c>
      <c r="N43" s="48">
        <v>0</v>
      </c>
      <c r="O43" s="48">
        <v>0</v>
      </c>
      <c r="P43" s="43" t="s">
        <v>153</v>
      </c>
      <c r="Q43" s="43" t="s">
        <v>147</v>
      </c>
    </row>
    <row r="44" spans="1:17" ht="22" customHeight="1" x14ac:dyDescent="0.2">
      <c r="A44" s="42">
        <v>432</v>
      </c>
      <c r="B44" s="43" t="s">
        <v>163</v>
      </c>
      <c r="C44" s="43" t="s">
        <v>14</v>
      </c>
      <c r="D44" s="43" t="s">
        <v>170</v>
      </c>
      <c r="E44" s="43" t="s">
        <v>145</v>
      </c>
      <c r="F44" s="43" t="s">
        <v>35</v>
      </c>
      <c r="G44" s="43" t="s">
        <v>146</v>
      </c>
      <c r="H44" s="44">
        <v>1.5</v>
      </c>
      <c r="I44" s="45">
        <v>54</v>
      </c>
      <c r="J44" s="46">
        <v>4</v>
      </c>
      <c r="K44" s="45">
        <v>6</v>
      </c>
      <c r="L44" s="45">
        <v>18</v>
      </c>
      <c r="M44" s="47">
        <v>0.33333333333333331</v>
      </c>
      <c r="N44" s="48">
        <v>0</v>
      </c>
      <c r="O44" s="48">
        <v>0</v>
      </c>
      <c r="P44" s="43" t="s">
        <v>153</v>
      </c>
      <c r="Q44" s="43" t="s">
        <v>147</v>
      </c>
    </row>
    <row r="45" spans="1:17" ht="22" customHeight="1" x14ac:dyDescent="0.2">
      <c r="A45" s="42">
        <v>433</v>
      </c>
      <c r="B45" s="43" t="s">
        <v>163</v>
      </c>
      <c r="C45" s="43" t="s">
        <v>14</v>
      </c>
      <c r="D45" s="43" t="s">
        <v>170</v>
      </c>
      <c r="E45" s="43" t="s">
        <v>145</v>
      </c>
      <c r="F45" s="43" t="s">
        <v>148</v>
      </c>
      <c r="G45" s="43" t="s">
        <v>146</v>
      </c>
      <c r="H45" s="44">
        <v>3</v>
      </c>
      <c r="I45" s="45">
        <v>108</v>
      </c>
      <c r="J45" s="46">
        <v>4</v>
      </c>
      <c r="K45" s="45">
        <v>12</v>
      </c>
      <c r="L45" s="45">
        <v>18</v>
      </c>
      <c r="M45" s="47">
        <v>0.66666666666666663</v>
      </c>
      <c r="N45" s="48">
        <v>0</v>
      </c>
      <c r="O45" s="48">
        <v>0</v>
      </c>
      <c r="P45" s="43" t="s">
        <v>153</v>
      </c>
      <c r="Q45" s="43" t="s">
        <v>147</v>
      </c>
    </row>
    <row r="46" spans="1:17" ht="22" customHeight="1" x14ac:dyDescent="0.2">
      <c r="A46" s="42">
        <v>434</v>
      </c>
      <c r="B46" s="43" t="s">
        <v>163</v>
      </c>
      <c r="C46" s="43" t="s">
        <v>14</v>
      </c>
      <c r="D46" s="43" t="s">
        <v>170</v>
      </c>
      <c r="E46" s="43" t="s">
        <v>145</v>
      </c>
      <c r="F46" s="43" t="s">
        <v>160</v>
      </c>
      <c r="G46" s="43" t="s">
        <v>146</v>
      </c>
      <c r="H46" s="44">
        <v>1</v>
      </c>
      <c r="I46" s="45">
        <v>36</v>
      </c>
      <c r="J46" s="46">
        <v>4</v>
      </c>
      <c r="K46" s="45">
        <v>4</v>
      </c>
      <c r="L46" s="45">
        <v>18</v>
      </c>
      <c r="M46" s="47">
        <v>0.22222222222222221</v>
      </c>
      <c r="N46" s="48">
        <v>0</v>
      </c>
      <c r="O46" s="48">
        <v>0</v>
      </c>
      <c r="P46" s="43" t="s">
        <v>153</v>
      </c>
      <c r="Q46" s="43" t="s">
        <v>147</v>
      </c>
    </row>
    <row r="47" spans="1:17" ht="22" customHeight="1" x14ac:dyDescent="0.2">
      <c r="A47" s="42">
        <v>435</v>
      </c>
      <c r="B47" s="43" t="s">
        <v>163</v>
      </c>
      <c r="C47" s="43" t="s">
        <v>14</v>
      </c>
      <c r="D47" s="43" t="s">
        <v>170</v>
      </c>
      <c r="E47" s="43" t="s">
        <v>145</v>
      </c>
      <c r="F47" s="43" t="s">
        <v>161</v>
      </c>
      <c r="G47" s="43" t="s">
        <v>146</v>
      </c>
      <c r="H47" s="44">
        <v>1</v>
      </c>
      <c r="I47" s="45">
        <v>36</v>
      </c>
      <c r="J47" s="46">
        <v>4</v>
      </c>
      <c r="K47" s="45">
        <v>4</v>
      </c>
      <c r="L47" s="45">
        <v>18</v>
      </c>
      <c r="M47" s="47">
        <v>0.22222222222222221</v>
      </c>
      <c r="N47" s="48">
        <v>0</v>
      </c>
      <c r="O47" s="48">
        <v>0</v>
      </c>
      <c r="P47" s="43" t="s">
        <v>153</v>
      </c>
      <c r="Q47" s="43" t="s">
        <v>147</v>
      </c>
    </row>
    <row r="48" spans="1:17" ht="22" customHeight="1" x14ac:dyDescent="0.2">
      <c r="A48" s="42">
        <v>500</v>
      </c>
      <c r="B48" s="43" t="s">
        <v>19</v>
      </c>
      <c r="C48" s="43" t="s">
        <v>19</v>
      </c>
      <c r="D48" s="43" t="s">
        <v>171</v>
      </c>
      <c r="E48" s="43" t="s">
        <v>145</v>
      </c>
      <c r="F48" s="43" t="s">
        <v>31</v>
      </c>
      <c r="G48" s="43" t="s">
        <v>146</v>
      </c>
      <c r="H48" s="44">
        <v>4</v>
      </c>
      <c r="I48" s="45">
        <v>144</v>
      </c>
      <c r="J48" s="46">
        <v>5</v>
      </c>
      <c r="K48" s="45">
        <v>20</v>
      </c>
      <c r="L48" s="45">
        <v>18</v>
      </c>
      <c r="M48" s="47">
        <v>1.1111111111111112</v>
      </c>
      <c r="N48" s="48">
        <v>0</v>
      </c>
      <c r="O48" s="48">
        <v>0</v>
      </c>
      <c r="P48" s="43" t="s">
        <v>172</v>
      </c>
      <c r="Q48" s="43" t="s">
        <v>147</v>
      </c>
    </row>
    <row r="49" spans="1:17" ht="22" customHeight="1" x14ac:dyDescent="0.2">
      <c r="A49" s="42">
        <v>501</v>
      </c>
      <c r="B49" s="43" t="s">
        <v>19</v>
      </c>
      <c r="C49" s="43" t="s">
        <v>19</v>
      </c>
      <c r="D49" s="43" t="s">
        <v>171</v>
      </c>
      <c r="E49" s="43" t="s">
        <v>145</v>
      </c>
      <c r="F49" s="43" t="s">
        <v>154</v>
      </c>
      <c r="G49" s="43" t="s">
        <v>146</v>
      </c>
      <c r="H49" s="44">
        <v>3</v>
      </c>
      <c r="I49" s="45">
        <v>108</v>
      </c>
      <c r="J49" s="46">
        <v>5</v>
      </c>
      <c r="K49" s="45">
        <v>15</v>
      </c>
      <c r="L49" s="45">
        <v>18</v>
      </c>
      <c r="M49" s="47">
        <v>0.83333333333333337</v>
      </c>
      <c r="N49" s="48">
        <v>0</v>
      </c>
      <c r="O49" s="48">
        <v>0</v>
      </c>
      <c r="P49" s="43" t="s">
        <v>172</v>
      </c>
      <c r="Q49" s="43" t="s">
        <v>147</v>
      </c>
    </row>
    <row r="50" spans="1:17" ht="22" customHeight="1" x14ac:dyDescent="0.2">
      <c r="A50" s="42">
        <v>502</v>
      </c>
      <c r="B50" s="43" t="s">
        <v>19</v>
      </c>
      <c r="C50" s="43" t="s">
        <v>19</v>
      </c>
      <c r="D50" s="43" t="s">
        <v>171</v>
      </c>
      <c r="E50" s="43" t="s">
        <v>145</v>
      </c>
      <c r="F50" s="43" t="s">
        <v>173</v>
      </c>
      <c r="G50" s="43" t="s">
        <v>146</v>
      </c>
      <c r="H50" s="44">
        <v>5.5</v>
      </c>
      <c r="I50" s="45">
        <v>198</v>
      </c>
      <c r="J50" s="46">
        <v>5</v>
      </c>
      <c r="K50" s="45">
        <v>27.5</v>
      </c>
      <c r="L50" s="45">
        <v>18</v>
      </c>
      <c r="M50" s="47">
        <v>1.5277777777777777</v>
      </c>
      <c r="N50" s="48">
        <v>0</v>
      </c>
      <c r="O50" s="48">
        <v>0</v>
      </c>
      <c r="P50" s="43" t="s">
        <v>172</v>
      </c>
      <c r="Q50" s="43" t="s">
        <v>147</v>
      </c>
    </row>
    <row r="51" spans="1:17" ht="22" customHeight="1" x14ac:dyDescent="0.2">
      <c r="A51" s="42">
        <v>503</v>
      </c>
      <c r="B51" s="43" t="s">
        <v>19</v>
      </c>
      <c r="C51" s="43" t="s">
        <v>19</v>
      </c>
      <c r="D51" s="43" t="s">
        <v>171</v>
      </c>
      <c r="E51" s="43" t="s">
        <v>145</v>
      </c>
      <c r="F51" s="43" t="s">
        <v>174</v>
      </c>
      <c r="G51" s="43" t="s">
        <v>146</v>
      </c>
      <c r="H51" s="44">
        <v>1.5</v>
      </c>
      <c r="I51" s="45">
        <v>54</v>
      </c>
      <c r="J51" s="46">
        <v>5</v>
      </c>
      <c r="K51" s="45">
        <v>7.5</v>
      </c>
      <c r="L51" s="45">
        <v>18</v>
      </c>
      <c r="M51" s="47">
        <v>0.41666666666666669</v>
      </c>
      <c r="N51" s="48">
        <v>0</v>
      </c>
      <c r="O51" s="48">
        <v>0</v>
      </c>
      <c r="P51" s="43" t="s">
        <v>172</v>
      </c>
      <c r="Q51" s="43" t="s">
        <v>147</v>
      </c>
    </row>
    <row r="52" spans="1:17" ht="22" customHeight="1" x14ac:dyDescent="0.2">
      <c r="A52" s="42">
        <v>504</v>
      </c>
      <c r="B52" s="43" t="s">
        <v>19</v>
      </c>
      <c r="C52" s="43" t="s">
        <v>19</v>
      </c>
      <c r="D52" s="43" t="s">
        <v>171</v>
      </c>
      <c r="E52" s="43" t="s">
        <v>145</v>
      </c>
      <c r="F52" s="43" t="s">
        <v>32</v>
      </c>
      <c r="G52" s="43" t="s">
        <v>146</v>
      </c>
      <c r="H52" s="44">
        <v>4</v>
      </c>
      <c r="I52" s="45">
        <v>144</v>
      </c>
      <c r="J52" s="46">
        <v>5</v>
      </c>
      <c r="K52" s="45">
        <v>20</v>
      </c>
      <c r="L52" s="45">
        <v>18</v>
      </c>
      <c r="M52" s="47">
        <v>1.1111111111111112</v>
      </c>
      <c r="N52" s="48">
        <v>0</v>
      </c>
      <c r="O52" s="48">
        <v>0</v>
      </c>
      <c r="P52" s="43" t="s">
        <v>172</v>
      </c>
      <c r="Q52" s="43" t="s">
        <v>147</v>
      </c>
    </row>
    <row r="53" spans="1:17" ht="22" customHeight="1" x14ac:dyDescent="0.2">
      <c r="A53" s="42">
        <v>505</v>
      </c>
      <c r="B53" s="43" t="s">
        <v>19</v>
      </c>
      <c r="C53" s="43" t="s">
        <v>19</v>
      </c>
      <c r="D53" s="43" t="s">
        <v>171</v>
      </c>
      <c r="E53" s="43" t="s">
        <v>145</v>
      </c>
      <c r="F53" s="43" t="s">
        <v>168</v>
      </c>
      <c r="G53" s="43" t="s">
        <v>146</v>
      </c>
      <c r="H53" s="44">
        <v>3</v>
      </c>
      <c r="I53" s="45">
        <v>108</v>
      </c>
      <c r="J53" s="46">
        <v>5</v>
      </c>
      <c r="K53" s="45">
        <v>15</v>
      </c>
      <c r="L53" s="45">
        <v>18</v>
      </c>
      <c r="M53" s="47">
        <v>0.83333333333333337</v>
      </c>
      <c r="N53" s="48">
        <v>0</v>
      </c>
      <c r="O53" s="48">
        <v>0</v>
      </c>
      <c r="P53" s="43" t="s">
        <v>172</v>
      </c>
      <c r="Q53" s="43" t="s">
        <v>147</v>
      </c>
    </row>
    <row r="54" spans="1:17" ht="22" customHeight="1" x14ac:dyDescent="0.2">
      <c r="A54" s="42">
        <v>506</v>
      </c>
      <c r="B54" s="43" t="s">
        <v>19</v>
      </c>
      <c r="C54" s="43" t="s">
        <v>19</v>
      </c>
      <c r="D54" s="43" t="s">
        <v>171</v>
      </c>
      <c r="E54" s="43" t="s">
        <v>145</v>
      </c>
      <c r="F54" s="43" t="s">
        <v>167</v>
      </c>
      <c r="G54" s="43" t="s">
        <v>146</v>
      </c>
      <c r="H54" s="44">
        <v>1.5</v>
      </c>
      <c r="I54" s="45">
        <v>54</v>
      </c>
      <c r="J54" s="46">
        <v>5</v>
      </c>
      <c r="K54" s="45">
        <v>7.5</v>
      </c>
      <c r="L54" s="45">
        <v>18</v>
      </c>
      <c r="M54" s="47">
        <v>0.41666666666666669</v>
      </c>
      <c r="N54" s="48">
        <v>0</v>
      </c>
      <c r="O54" s="48">
        <v>0</v>
      </c>
      <c r="P54" s="43" t="s">
        <v>172</v>
      </c>
      <c r="Q54" s="43" t="s">
        <v>147</v>
      </c>
    </row>
    <row r="55" spans="1:17" ht="22" customHeight="1" x14ac:dyDescent="0.2">
      <c r="A55" s="42">
        <v>507</v>
      </c>
      <c r="B55" s="43" t="s">
        <v>19</v>
      </c>
      <c r="C55" s="43" t="s">
        <v>19</v>
      </c>
      <c r="D55" s="43" t="s">
        <v>171</v>
      </c>
      <c r="E55" s="43" t="s">
        <v>145</v>
      </c>
      <c r="F55" s="43" t="s">
        <v>148</v>
      </c>
      <c r="G55" s="43" t="s">
        <v>146</v>
      </c>
      <c r="H55" s="44">
        <v>2</v>
      </c>
      <c r="I55" s="45">
        <v>72</v>
      </c>
      <c r="J55" s="46">
        <v>5</v>
      </c>
      <c r="K55" s="45">
        <v>10</v>
      </c>
      <c r="L55" s="45">
        <v>18</v>
      </c>
      <c r="M55" s="47">
        <v>0.55555555555555558</v>
      </c>
      <c r="N55" s="48">
        <v>0</v>
      </c>
      <c r="O55" s="48">
        <v>0</v>
      </c>
      <c r="P55" s="43" t="s">
        <v>172</v>
      </c>
      <c r="Q55" s="43" t="s">
        <v>147</v>
      </c>
    </row>
    <row r="56" spans="1:17" ht="22" customHeight="1" x14ac:dyDescent="0.2">
      <c r="A56" s="42">
        <v>508</v>
      </c>
      <c r="B56" s="43" t="s">
        <v>19</v>
      </c>
      <c r="C56" s="43" t="s">
        <v>19</v>
      </c>
      <c r="D56" s="43" t="s">
        <v>171</v>
      </c>
      <c r="E56" s="43" t="s">
        <v>145</v>
      </c>
      <c r="F56" s="43" t="s">
        <v>150</v>
      </c>
      <c r="G56" s="43" t="s">
        <v>146</v>
      </c>
      <c r="H56" s="44">
        <v>0.5</v>
      </c>
      <c r="I56" s="45">
        <v>18</v>
      </c>
      <c r="J56" s="46">
        <v>5</v>
      </c>
      <c r="K56" s="45">
        <v>2.5</v>
      </c>
      <c r="L56" s="45">
        <v>18</v>
      </c>
      <c r="M56" s="47">
        <v>0.1388888888888889</v>
      </c>
      <c r="N56" s="48">
        <v>0</v>
      </c>
      <c r="O56" s="48">
        <v>0</v>
      </c>
      <c r="P56" s="43" t="s">
        <v>172</v>
      </c>
      <c r="Q56" s="43" t="s">
        <v>147</v>
      </c>
    </row>
    <row r="57" spans="1:17" ht="22" customHeight="1" x14ac:dyDescent="0.2">
      <c r="A57" s="42">
        <v>509</v>
      </c>
      <c r="B57" s="43" t="s">
        <v>19</v>
      </c>
      <c r="C57" s="43" t="s">
        <v>19</v>
      </c>
      <c r="D57" s="43" t="s">
        <v>171</v>
      </c>
      <c r="E57" s="43" t="s">
        <v>145</v>
      </c>
      <c r="F57" s="43" t="s">
        <v>175</v>
      </c>
      <c r="G57" s="43" t="s">
        <v>146</v>
      </c>
      <c r="H57" s="44">
        <v>1.5</v>
      </c>
      <c r="I57" s="45">
        <v>54</v>
      </c>
      <c r="J57" s="46">
        <v>5</v>
      </c>
      <c r="K57" s="45">
        <v>7.5</v>
      </c>
      <c r="L57" s="45">
        <v>18</v>
      </c>
      <c r="M57" s="47">
        <v>0.41666666666666669</v>
      </c>
      <c r="N57" s="48">
        <v>0</v>
      </c>
      <c r="O57" s="48">
        <v>0</v>
      </c>
      <c r="P57" s="43" t="s">
        <v>172</v>
      </c>
      <c r="Q57" s="43" t="s">
        <v>147</v>
      </c>
    </row>
    <row r="58" spans="1:17" ht="22" customHeight="1" x14ac:dyDescent="0.2">
      <c r="A58" s="42">
        <v>600</v>
      </c>
      <c r="B58" s="43" t="s">
        <v>19</v>
      </c>
      <c r="C58" s="43" t="s">
        <v>19</v>
      </c>
      <c r="D58" s="43" t="s">
        <v>176</v>
      </c>
      <c r="E58" s="43" t="s">
        <v>145</v>
      </c>
      <c r="F58" s="43" t="s">
        <v>31</v>
      </c>
      <c r="G58" s="43" t="s">
        <v>146</v>
      </c>
      <c r="H58" s="44">
        <v>4</v>
      </c>
      <c r="I58" s="45">
        <v>144</v>
      </c>
      <c r="J58" s="46">
        <v>5</v>
      </c>
      <c r="K58" s="45">
        <v>20</v>
      </c>
      <c r="L58" s="45">
        <v>18</v>
      </c>
      <c r="M58" s="47">
        <v>1.1111111111111112</v>
      </c>
      <c r="N58" s="48">
        <v>0</v>
      </c>
      <c r="O58" s="48">
        <v>0</v>
      </c>
      <c r="P58" s="43" t="s">
        <v>177</v>
      </c>
      <c r="Q58" s="43" t="s">
        <v>147</v>
      </c>
    </row>
    <row r="59" spans="1:17" ht="22" customHeight="1" x14ac:dyDescent="0.2">
      <c r="A59" s="42">
        <v>601</v>
      </c>
      <c r="B59" s="43" t="s">
        <v>19</v>
      </c>
      <c r="C59" s="43" t="s">
        <v>19</v>
      </c>
      <c r="D59" s="43" t="s">
        <v>176</v>
      </c>
      <c r="E59" s="43" t="s">
        <v>145</v>
      </c>
      <c r="F59" s="43" t="s">
        <v>154</v>
      </c>
      <c r="G59" s="43" t="s">
        <v>146</v>
      </c>
      <c r="H59" s="44">
        <v>3</v>
      </c>
      <c r="I59" s="45">
        <v>108</v>
      </c>
      <c r="J59" s="46">
        <v>5</v>
      </c>
      <c r="K59" s="45">
        <v>15</v>
      </c>
      <c r="L59" s="45">
        <v>18</v>
      </c>
      <c r="M59" s="47">
        <v>0.83333333333333337</v>
      </c>
      <c r="N59" s="48">
        <v>0</v>
      </c>
      <c r="O59" s="48">
        <v>0</v>
      </c>
      <c r="P59" s="43" t="s">
        <v>177</v>
      </c>
      <c r="Q59" s="43" t="s">
        <v>147</v>
      </c>
    </row>
    <row r="60" spans="1:17" ht="22" customHeight="1" x14ac:dyDescent="0.2">
      <c r="A60" s="42">
        <v>602</v>
      </c>
      <c r="B60" s="43" t="s">
        <v>19</v>
      </c>
      <c r="C60" s="43" t="s">
        <v>19</v>
      </c>
      <c r="D60" s="43" t="s">
        <v>176</v>
      </c>
      <c r="E60" s="43" t="s">
        <v>145</v>
      </c>
      <c r="F60" s="43" t="s">
        <v>173</v>
      </c>
      <c r="G60" s="43" t="s">
        <v>146</v>
      </c>
      <c r="H60" s="44">
        <v>4.5</v>
      </c>
      <c r="I60" s="45">
        <v>162</v>
      </c>
      <c r="J60" s="46">
        <v>5</v>
      </c>
      <c r="K60" s="45">
        <v>22.5</v>
      </c>
      <c r="L60" s="45">
        <v>18</v>
      </c>
      <c r="M60" s="47">
        <v>1.25</v>
      </c>
      <c r="N60" s="48">
        <v>0</v>
      </c>
      <c r="O60" s="48">
        <v>0</v>
      </c>
      <c r="P60" s="43" t="s">
        <v>177</v>
      </c>
      <c r="Q60" s="43" t="s">
        <v>147</v>
      </c>
    </row>
    <row r="61" spans="1:17" ht="22" customHeight="1" x14ac:dyDescent="0.2">
      <c r="A61" s="42">
        <v>603</v>
      </c>
      <c r="B61" s="43" t="s">
        <v>19</v>
      </c>
      <c r="C61" s="43" t="s">
        <v>19</v>
      </c>
      <c r="D61" s="43" t="s">
        <v>176</v>
      </c>
      <c r="E61" s="43" t="s">
        <v>145</v>
      </c>
      <c r="F61" s="43" t="s">
        <v>178</v>
      </c>
      <c r="G61" s="43" t="s">
        <v>146</v>
      </c>
      <c r="H61" s="44">
        <v>2</v>
      </c>
      <c r="I61" s="45">
        <v>72</v>
      </c>
      <c r="J61" s="46">
        <v>5</v>
      </c>
      <c r="K61" s="45">
        <v>10</v>
      </c>
      <c r="L61" s="45">
        <v>18</v>
      </c>
      <c r="M61" s="47">
        <v>0.55555555555555558</v>
      </c>
      <c r="N61" s="48">
        <v>0</v>
      </c>
      <c r="O61" s="48">
        <v>0</v>
      </c>
      <c r="P61" s="43" t="s">
        <v>177</v>
      </c>
      <c r="Q61" s="43" t="s">
        <v>179</v>
      </c>
    </row>
    <row r="62" spans="1:17" ht="22" customHeight="1" x14ac:dyDescent="0.2">
      <c r="A62" s="49">
        <v>604</v>
      </c>
      <c r="B62" s="50" t="s">
        <v>19</v>
      </c>
      <c r="C62" s="50" t="s">
        <v>19</v>
      </c>
      <c r="D62" s="50" t="s">
        <v>176</v>
      </c>
      <c r="E62" s="50" t="s">
        <v>180</v>
      </c>
      <c r="F62" s="50" t="s">
        <v>181</v>
      </c>
      <c r="G62" s="50" t="s">
        <v>180</v>
      </c>
      <c r="H62" s="44">
        <v>1.5</v>
      </c>
      <c r="I62" s="45">
        <v>54</v>
      </c>
      <c r="J62" s="46">
        <v>0</v>
      </c>
      <c r="K62" s="45">
        <v>0</v>
      </c>
      <c r="L62" s="45">
        <v>18</v>
      </c>
      <c r="M62" s="47">
        <v>0</v>
      </c>
      <c r="N62" s="48">
        <v>0</v>
      </c>
      <c r="O62" s="48">
        <v>0</v>
      </c>
      <c r="P62" s="50" t="s">
        <v>182</v>
      </c>
      <c r="Q62" s="50" t="s">
        <v>183</v>
      </c>
    </row>
    <row r="63" spans="1:17" ht="22" customHeight="1" x14ac:dyDescent="0.2">
      <c r="A63" s="42">
        <v>605</v>
      </c>
      <c r="B63" s="43" t="s">
        <v>19</v>
      </c>
      <c r="C63" s="43" t="s">
        <v>19</v>
      </c>
      <c r="D63" s="43" t="s">
        <v>176</v>
      </c>
      <c r="E63" s="43" t="s">
        <v>145</v>
      </c>
      <c r="F63" s="43" t="s">
        <v>148</v>
      </c>
      <c r="G63" s="43" t="s">
        <v>146</v>
      </c>
      <c r="H63" s="44">
        <v>2</v>
      </c>
      <c r="I63" s="45">
        <v>72</v>
      </c>
      <c r="J63" s="46">
        <v>5</v>
      </c>
      <c r="K63" s="45">
        <v>10</v>
      </c>
      <c r="L63" s="45">
        <v>18</v>
      </c>
      <c r="M63" s="47">
        <v>0.55555555555555558</v>
      </c>
      <c r="N63" s="48">
        <v>0</v>
      </c>
      <c r="O63" s="48">
        <v>0</v>
      </c>
      <c r="P63" s="43" t="s">
        <v>177</v>
      </c>
      <c r="Q63" s="43" t="s">
        <v>147</v>
      </c>
    </row>
    <row r="64" spans="1:17" ht="22" customHeight="1" x14ac:dyDescent="0.2">
      <c r="A64" s="42">
        <v>606</v>
      </c>
      <c r="B64" s="43" t="s">
        <v>19</v>
      </c>
      <c r="C64" s="43" t="s">
        <v>19</v>
      </c>
      <c r="D64" s="43" t="s">
        <v>176</v>
      </c>
      <c r="E64" s="43" t="s">
        <v>145</v>
      </c>
      <c r="F64" s="43" t="s">
        <v>150</v>
      </c>
      <c r="G64" s="43" t="s">
        <v>184</v>
      </c>
      <c r="H64" s="44">
        <v>0.5</v>
      </c>
      <c r="I64" s="45">
        <v>18</v>
      </c>
      <c r="J64" s="46">
        <v>5</v>
      </c>
      <c r="K64" s="45">
        <v>2.5</v>
      </c>
      <c r="L64" s="45">
        <v>18</v>
      </c>
      <c r="M64" s="47">
        <v>0.1388888888888889</v>
      </c>
      <c r="N64" s="48">
        <v>0</v>
      </c>
      <c r="O64" s="48">
        <v>0</v>
      </c>
      <c r="P64" s="43" t="s">
        <v>177</v>
      </c>
      <c r="Q64" s="43" t="s">
        <v>185</v>
      </c>
    </row>
    <row r="65" spans="1:17" ht="22" customHeight="1" x14ac:dyDescent="0.2">
      <c r="A65" s="42">
        <v>650</v>
      </c>
      <c r="B65" s="43" t="s">
        <v>19</v>
      </c>
      <c r="C65" s="43" t="s">
        <v>19</v>
      </c>
      <c r="D65" s="43" t="s">
        <v>22</v>
      </c>
      <c r="E65" s="43" t="s">
        <v>145</v>
      </c>
      <c r="F65" s="43" t="s">
        <v>59</v>
      </c>
      <c r="G65" s="43" t="s">
        <v>146</v>
      </c>
      <c r="H65" s="44">
        <v>4</v>
      </c>
      <c r="I65" s="45">
        <v>144</v>
      </c>
      <c r="J65" s="46">
        <v>4</v>
      </c>
      <c r="K65" s="45">
        <v>16</v>
      </c>
      <c r="L65" s="45">
        <v>18</v>
      </c>
      <c r="M65" s="47">
        <v>0.88888888888888884</v>
      </c>
      <c r="N65" s="48">
        <v>0</v>
      </c>
      <c r="O65" s="48">
        <v>0</v>
      </c>
      <c r="P65" s="43" t="s">
        <v>177</v>
      </c>
      <c r="Q65" s="43" t="s">
        <v>147</v>
      </c>
    </row>
    <row r="66" spans="1:17" ht="22" customHeight="1" x14ac:dyDescent="0.2">
      <c r="A66" s="42">
        <v>651</v>
      </c>
      <c r="B66" s="43" t="s">
        <v>19</v>
      </c>
      <c r="C66" s="43" t="s">
        <v>19</v>
      </c>
      <c r="D66" s="43" t="s">
        <v>22</v>
      </c>
      <c r="E66" s="43" t="s">
        <v>145</v>
      </c>
      <c r="F66" s="43" t="s">
        <v>154</v>
      </c>
      <c r="G66" s="43" t="s">
        <v>146</v>
      </c>
      <c r="H66" s="44">
        <v>3</v>
      </c>
      <c r="I66" s="45">
        <v>108</v>
      </c>
      <c r="J66" s="46">
        <v>4</v>
      </c>
      <c r="K66" s="45">
        <v>12</v>
      </c>
      <c r="L66" s="45">
        <v>18</v>
      </c>
      <c r="M66" s="47">
        <v>0.66666666666666663</v>
      </c>
      <c r="N66" s="48">
        <v>0</v>
      </c>
      <c r="O66" s="48">
        <v>0</v>
      </c>
      <c r="P66" s="43" t="s">
        <v>177</v>
      </c>
      <c r="Q66" s="43" t="s">
        <v>147</v>
      </c>
    </row>
    <row r="67" spans="1:17" ht="22" customHeight="1" x14ac:dyDescent="0.2">
      <c r="A67" s="42">
        <v>652</v>
      </c>
      <c r="B67" s="43" t="s">
        <v>19</v>
      </c>
      <c r="C67" s="43" t="s">
        <v>19</v>
      </c>
      <c r="D67" s="43" t="s">
        <v>22</v>
      </c>
      <c r="E67" s="43" t="s">
        <v>145</v>
      </c>
      <c r="F67" s="43" t="s">
        <v>173</v>
      </c>
      <c r="G67" s="43" t="s">
        <v>146</v>
      </c>
      <c r="H67" s="44">
        <v>4</v>
      </c>
      <c r="I67" s="45">
        <v>144</v>
      </c>
      <c r="J67" s="46">
        <v>4</v>
      </c>
      <c r="K67" s="45">
        <v>16</v>
      </c>
      <c r="L67" s="45">
        <v>18</v>
      </c>
      <c r="M67" s="47">
        <v>0.88888888888888884</v>
      </c>
      <c r="N67" s="48">
        <v>0</v>
      </c>
      <c r="O67" s="48">
        <v>0</v>
      </c>
      <c r="P67" s="43" t="s">
        <v>177</v>
      </c>
      <c r="Q67" s="43" t="s">
        <v>147</v>
      </c>
    </row>
    <row r="68" spans="1:17" ht="22" customHeight="1" x14ac:dyDescent="0.2">
      <c r="A68" s="42">
        <v>653</v>
      </c>
      <c r="B68" s="43" t="s">
        <v>19</v>
      </c>
      <c r="C68" s="43" t="s">
        <v>19</v>
      </c>
      <c r="D68" s="43" t="s">
        <v>22</v>
      </c>
      <c r="E68" s="43" t="s">
        <v>145</v>
      </c>
      <c r="F68" s="43" t="s">
        <v>178</v>
      </c>
      <c r="G68" s="43" t="s">
        <v>146</v>
      </c>
      <c r="H68" s="44">
        <v>2</v>
      </c>
      <c r="I68" s="45">
        <v>72</v>
      </c>
      <c r="J68" s="46">
        <v>4</v>
      </c>
      <c r="K68" s="45">
        <v>8</v>
      </c>
      <c r="L68" s="45">
        <v>18</v>
      </c>
      <c r="M68" s="47">
        <v>0.44444444444444442</v>
      </c>
      <c r="N68" s="48">
        <v>0</v>
      </c>
      <c r="O68" s="48">
        <v>0</v>
      </c>
      <c r="P68" s="43" t="s">
        <v>177</v>
      </c>
      <c r="Q68" s="43" t="s">
        <v>147</v>
      </c>
    </row>
    <row r="69" spans="1:17" ht="22" customHeight="1" x14ac:dyDescent="0.2">
      <c r="A69" s="42">
        <v>654</v>
      </c>
      <c r="B69" s="43" t="s">
        <v>19</v>
      </c>
      <c r="C69" s="43" t="s">
        <v>19</v>
      </c>
      <c r="D69" s="43" t="s">
        <v>22</v>
      </c>
      <c r="E69" s="43" t="s">
        <v>145</v>
      </c>
      <c r="F69" s="43" t="s">
        <v>148</v>
      </c>
      <c r="G69" s="43" t="s">
        <v>146</v>
      </c>
      <c r="H69" s="44">
        <v>2</v>
      </c>
      <c r="I69" s="45">
        <v>72</v>
      </c>
      <c r="J69" s="46">
        <v>4</v>
      </c>
      <c r="K69" s="45">
        <v>8</v>
      </c>
      <c r="L69" s="45">
        <v>18</v>
      </c>
      <c r="M69" s="47">
        <v>0.44444444444444442</v>
      </c>
      <c r="N69" s="48">
        <v>0</v>
      </c>
      <c r="O69" s="48">
        <v>0</v>
      </c>
      <c r="P69" s="43" t="s">
        <v>177</v>
      </c>
      <c r="Q69" s="43" t="s">
        <v>147</v>
      </c>
    </row>
    <row r="70" spans="1:17" ht="22" customHeight="1" x14ac:dyDescent="0.2">
      <c r="A70" s="42">
        <v>655</v>
      </c>
      <c r="B70" s="43" t="s">
        <v>19</v>
      </c>
      <c r="C70" s="43" t="s">
        <v>19</v>
      </c>
      <c r="D70" s="43" t="s">
        <v>22</v>
      </c>
      <c r="E70" s="43" t="s">
        <v>145</v>
      </c>
      <c r="F70" s="43" t="s">
        <v>150</v>
      </c>
      <c r="G70" s="43" t="s">
        <v>184</v>
      </c>
      <c r="H70" s="44">
        <v>0.5</v>
      </c>
      <c r="I70" s="45">
        <v>18</v>
      </c>
      <c r="J70" s="46">
        <v>4</v>
      </c>
      <c r="K70" s="45">
        <v>2</v>
      </c>
      <c r="L70" s="45">
        <v>18</v>
      </c>
      <c r="M70" s="47">
        <v>0.1111111111111111</v>
      </c>
      <c r="N70" s="48">
        <v>0</v>
      </c>
      <c r="O70" s="48">
        <v>0</v>
      </c>
      <c r="P70" s="43" t="s">
        <v>177</v>
      </c>
      <c r="Q70" s="43" t="s">
        <v>185</v>
      </c>
    </row>
    <row r="71" spans="1:17" ht="22" customHeight="1" x14ac:dyDescent="0.2">
      <c r="A71" s="51">
        <v>700</v>
      </c>
      <c r="B71" s="52" t="s">
        <v>19</v>
      </c>
      <c r="C71" s="52" t="s">
        <v>19</v>
      </c>
      <c r="D71" s="52" t="s">
        <v>176</v>
      </c>
      <c r="E71" s="52" t="s">
        <v>186</v>
      </c>
      <c r="F71" s="52" t="s">
        <v>114</v>
      </c>
      <c r="G71" s="52" t="s">
        <v>187</v>
      </c>
      <c r="H71" s="44">
        <v>4</v>
      </c>
      <c r="I71" s="45">
        <v>144</v>
      </c>
      <c r="J71" s="46">
        <v>0</v>
      </c>
      <c r="K71" s="45">
        <v>0</v>
      </c>
      <c r="L71" s="45">
        <v>18</v>
      </c>
      <c r="M71" s="47">
        <v>0</v>
      </c>
      <c r="N71" s="48">
        <v>0</v>
      </c>
      <c r="O71" s="48">
        <v>0</v>
      </c>
      <c r="P71" s="52" t="s">
        <v>177</v>
      </c>
      <c r="Q71" s="52" t="s">
        <v>188</v>
      </c>
    </row>
    <row r="72" spans="1:17" ht="22" customHeight="1" x14ac:dyDescent="0.2">
      <c r="A72" s="51">
        <v>701</v>
      </c>
      <c r="B72" s="52" t="s">
        <v>19</v>
      </c>
      <c r="C72" s="52" t="s">
        <v>19</v>
      </c>
      <c r="D72" s="52" t="s">
        <v>176</v>
      </c>
      <c r="E72" s="52" t="s">
        <v>186</v>
      </c>
      <c r="F72" s="52" t="s">
        <v>189</v>
      </c>
      <c r="G72" s="52" t="s">
        <v>187</v>
      </c>
      <c r="H72" s="44">
        <v>4</v>
      </c>
      <c r="I72" s="45">
        <v>144</v>
      </c>
      <c r="J72" s="46">
        <v>0</v>
      </c>
      <c r="K72" s="45">
        <v>0</v>
      </c>
      <c r="L72" s="45">
        <v>18</v>
      </c>
      <c r="M72" s="47">
        <v>0</v>
      </c>
      <c r="N72" s="48">
        <v>0</v>
      </c>
      <c r="O72" s="48">
        <v>0</v>
      </c>
      <c r="P72" s="52" t="s">
        <v>177</v>
      </c>
      <c r="Q72" s="52" t="s">
        <v>190</v>
      </c>
    </row>
    <row r="73" spans="1:17" ht="22" customHeight="1" x14ac:dyDescent="0.2">
      <c r="A73" s="51">
        <v>702</v>
      </c>
      <c r="B73" s="52" t="s">
        <v>19</v>
      </c>
      <c r="C73" s="52" t="s">
        <v>19</v>
      </c>
      <c r="D73" s="52" t="s">
        <v>176</v>
      </c>
      <c r="E73" s="52" t="s">
        <v>186</v>
      </c>
      <c r="F73" s="52" t="s">
        <v>191</v>
      </c>
      <c r="G73" s="52" t="s">
        <v>187</v>
      </c>
      <c r="H73" s="44">
        <v>4</v>
      </c>
      <c r="I73" s="45">
        <v>144</v>
      </c>
      <c r="J73" s="46">
        <v>0</v>
      </c>
      <c r="K73" s="45">
        <v>0</v>
      </c>
      <c r="L73" s="45">
        <v>18</v>
      </c>
      <c r="M73" s="47">
        <v>0</v>
      </c>
      <c r="N73" s="48">
        <v>0</v>
      </c>
      <c r="O73" s="48">
        <v>0</v>
      </c>
      <c r="P73" s="52" t="s">
        <v>177</v>
      </c>
      <c r="Q73" s="52" t="s">
        <v>192</v>
      </c>
    </row>
    <row r="74" spans="1:17" ht="22" customHeight="1" x14ac:dyDescent="0.2">
      <c r="A74" s="51">
        <v>703</v>
      </c>
      <c r="B74" s="52" t="s">
        <v>19</v>
      </c>
      <c r="C74" s="52" t="s">
        <v>19</v>
      </c>
      <c r="D74" s="52" t="s">
        <v>176</v>
      </c>
      <c r="E74" s="52" t="s">
        <v>186</v>
      </c>
      <c r="F74" s="52" t="s">
        <v>193</v>
      </c>
      <c r="G74" s="52" t="s">
        <v>187</v>
      </c>
      <c r="H74" s="44">
        <v>4</v>
      </c>
      <c r="I74" s="45">
        <v>144</v>
      </c>
      <c r="J74" s="46">
        <v>0</v>
      </c>
      <c r="K74" s="45">
        <v>0</v>
      </c>
      <c r="L74" s="45">
        <v>18</v>
      </c>
      <c r="M74" s="47">
        <v>0</v>
      </c>
      <c r="N74" s="48">
        <v>0</v>
      </c>
      <c r="O74" s="48">
        <v>0</v>
      </c>
      <c r="P74" s="52" t="s">
        <v>177</v>
      </c>
      <c r="Q74" s="52" t="s">
        <v>194</v>
      </c>
    </row>
    <row r="75" spans="1:17" ht="22" customHeight="1" x14ac:dyDescent="0.2">
      <c r="A75" s="51">
        <v>704</v>
      </c>
      <c r="B75" s="52" t="s">
        <v>19</v>
      </c>
      <c r="C75" s="52" t="s">
        <v>19</v>
      </c>
      <c r="D75" s="52" t="s">
        <v>176</v>
      </c>
      <c r="E75" s="52" t="s">
        <v>186</v>
      </c>
      <c r="F75" s="52" t="s">
        <v>195</v>
      </c>
      <c r="G75" s="52" t="s">
        <v>187</v>
      </c>
      <c r="H75" s="44">
        <v>4</v>
      </c>
      <c r="I75" s="45">
        <v>144</v>
      </c>
      <c r="J75" s="46">
        <v>0</v>
      </c>
      <c r="K75" s="45">
        <v>0</v>
      </c>
      <c r="L75" s="45">
        <v>18</v>
      </c>
      <c r="M75" s="47">
        <v>0</v>
      </c>
      <c r="N75" s="48">
        <v>0</v>
      </c>
      <c r="O75" s="48">
        <v>0</v>
      </c>
      <c r="P75" s="52" t="s">
        <v>177</v>
      </c>
      <c r="Q75" s="52" t="s">
        <v>194</v>
      </c>
    </row>
    <row r="76" spans="1:17" ht="22" customHeight="1" x14ac:dyDescent="0.2">
      <c r="A76" s="51">
        <v>705</v>
      </c>
      <c r="B76" s="52" t="s">
        <v>19</v>
      </c>
      <c r="C76" s="52" t="s">
        <v>19</v>
      </c>
      <c r="D76" s="52" t="s">
        <v>176</v>
      </c>
      <c r="E76" s="52" t="s">
        <v>186</v>
      </c>
      <c r="F76" s="52" t="s">
        <v>196</v>
      </c>
      <c r="G76" s="52" t="s">
        <v>187</v>
      </c>
      <c r="H76" s="44">
        <v>4</v>
      </c>
      <c r="I76" s="45">
        <v>144</v>
      </c>
      <c r="J76" s="46">
        <v>0</v>
      </c>
      <c r="K76" s="45">
        <v>0</v>
      </c>
      <c r="L76" s="45">
        <v>18</v>
      </c>
      <c r="M76" s="47">
        <v>0</v>
      </c>
      <c r="N76" s="48">
        <v>0</v>
      </c>
      <c r="O76" s="48">
        <v>0</v>
      </c>
      <c r="P76" s="52" t="s">
        <v>177</v>
      </c>
      <c r="Q76" s="52" t="s">
        <v>194</v>
      </c>
    </row>
    <row r="77" spans="1:17" ht="22" customHeight="1" x14ac:dyDescent="0.2">
      <c r="A77" s="51">
        <v>706</v>
      </c>
      <c r="B77" s="52" t="s">
        <v>19</v>
      </c>
      <c r="C77" s="52" t="s">
        <v>19</v>
      </c>
      <c r="D77" s="52" t="s">
        <v>176</v>
      </c>
      <c r="E77" s="52" t="s">
        <v>186</v>
      </c>
      <c r="F77" s="52" t="s">
        <v>197</v>
      </c>
      <c r="G77" s="52" t="s">
        <v>187</v>
      </c>
      <c r="H77" s="44">
        <v>4</v>
      </c>
      <c r="I77" s="45">
        <v>144</v>
      </c>
      <c r="J77" s="46">
        <v>0</v>
      </c>
      <c r="K77" s="45">
        <v>0</v>
      </c>
      <c r="L77" s="45">
        <v>18</v>
      </c>
      <c r="M77" s="47">
        <v>0</v>
      </c>
      <c r="N77" s="48">
        <v>0</v>
      </c>
      <c r="O77" s="48">
        <v>0</v>
      </c>
      <c r="P77" s="52" t="s">
        <v>177</v>
      </c>
      <c r="Q77" s="52" t="s">
        <v>194</v>
      </c>
    </row>
    <row r="78" spans="1:17" ht="22" customHeight="1" x14ac:dyDescent="0.2">
      <c r="A78" s="51">
        <v>707</v>
      </c>
      <c r="B78" s="52" t="s">
        <v>19</v>
      </c>
      <c r="C78" s="52" t="s">
        <v>19</v>
      </c>
      <c r="D78" s="52" t="s">
        <v>176</v>
      </c>
      <c r="E78" s="52" t="s">
        <v>186</v>
      </c>
      <c r="F78" s="52" t="s">
        <v>32</v>
      </c>
      <c r="G78" s="52" t="s">
        <v>187</v>
      </c>
      <c r="H78" s="44">
        <v>4</v>
      </c>
      <c r="I78" s="45">
        <v>144</v>
      </c>
      <c r="J78" s="46">
        <v>0</v>
      </c>
      <c r="K78" s="45">
        <v>0</v>
      </c>
      <c r="L78" s="45">
        <v>18</v>
      </c>
      <c r="M78" s="47">
        <v>0</v>
      </c>
      <c r="N78" s="48">
        <v>0</v>
      </c>
      <c r="O78" s="48">
        <v>0</v>
      </c>
      <c r="P78" s="52" t="s">
        <v>177</v>
      </c>
      <c r="Q78" s="52" t="s">
        <v>194</v>
      </c>
    </row>
    <row r="79" spans="1:17" ht="22" customHeight="1" x14ac:dyDescent="0.2">
      <c r="A79" s="51">
        <v>708</v>
      </c>
      <c r="B79" s="52" t="s">
        <v>19</v>
      </c>
      <c r="C79" s="52" t="s">
        <v>19</v>
      </c>
      <c r="D79" s="52" t="s">
        <v>176</v>
      </c>
      <c r="E79" s="52" t="s">
        <v>186</v>
      </c>
      <c r="F79" s="52" t="s">
        <v>198</v>
      </c>
      <c r="G79" s="52" t="s">
        <v>187</v>
      </c>
      <c r="H79" s="44">
        <v>4</v>
      </c>
      <c r="I79" s="45">
        <v>144</v>
      </c>
      <c r="J79" s="46">
        <v>0</v>
      </c>
      <c r="K79" s="45">
        <v>0</v>
      </c>
      <c r="L79" s="45">
        <v>18</v>
      </c>
      <c r="M79" s="47">
        <v>0</v>
      </c>
      <c r="N79" s="48">
        <v>0</v>
      </c>
      <c r="O79" s="48">
        <v>0</v>
      </c>
      <c r="P79" s="52" t="s">
        <v>177</v>
      </c>
      <c r="Q79" s="52" t="s">
        <v>194</v>
      </c>
    </row>
    <row r="80" spans="1:17" ht="22" customHeight="1" x14ac:dyDescent="0.2">
      <c r="A80" s="51">
        <v>709</v>
      </c>
      <c r="B80" s="52" t="s">
        <v>19</v>
      </c>
      <c r="C80" s="52" t="s">
        <v>19</v>
      </c>
      <c r="D80" s="52" t="s">
        <v>176</v>
      </c>
      <c r="E80" s="52" t="s">
        <v>186</v>
      </c>
      <c r="F80" s="52" t="s">
        <v>168</v>
      </c>
      <c r="G80" s="52" t="s">
        <v>187</v>
      </c>
      <c r="H80" s="44">
        <v>4</v>
      </c>
      <c r="I80" s="45">
        <v>144</v>
      </c>
      <c r="J80" s="46">
        <v>0</v>
      </c>
      <c r="K80" s="45">
        <v>0</v>
      </c>
      <c r="L80" s="45">
        <v>18</v>
      </c>
      <c r="M80" s="47">
        <v>0</v>
      </c>
      <c r="N80" s="48">
        <v>0</v>
      </c>
      <c r="O80" s="48">
        <v>0</v>
      </c>
      <c r="P80" s="52" t="s">
        <v>177</v>
      </c>
      <c r="Q80" s="52" t="s">
        <v>194</v>
      </c>
    </row>
    <row r="81" spans="1:17" ht="22" customHeight="1" x14ac:dyDescent="0.2">
      <c r="A81" s="51">
        <v>710</v>
      </c>
      <c r="B81" s="52" t="s">
        <v>19</v>
      </c>
      <c r="C81" s="52" t="s">
        <v>19</v>
      </c>
      <c r="D81" s="52" t="s">
        <v>176</v>
      </c>
      <c r="E81" s="52" t="s">
        <v>186</v>
      </c>
      <c r="F81" s="52" t="s">
        <v>167</v>
      </c>
      <c r="G81" s="52" t="s">
        <v>187</v>
      </c>
      <c r="H81" s="44">
        <v>4</v>
      </c>
      <c r="I81" s="45">
        <v>144</v>
      </c>
      <c r="J81" s="46">
        <v>0</v>
      </c>
      <c r="K81" s="45">
        <v>0</v>
      </c>
      <c r="L81" s="45">
        <v>18</v>
      </c>
      <c r="M81" s="47">
        <v>0</v>
      </c>
      <c r="N81" s="48">
        <v>0</v>
      </c>
      <c r="O81" s="48">
        <v>0</v>
      </c>
      <c r="P81" s="52" t="s">
        <v>177</v>
      </c>
      <c r="Q81" s="52" t="s">
        <v>194</v>
      </c>
    </row>
    <row r="82" spans="1:17" ht="22" customHeight="1" x14ac:dyDescent="0.2">
      <c r="A82" s="51">
        <v>711</v>
      </c>
      <c r="B82" s="52" t="s">
        <v>19</v>
      </c>
      <c r="C82" s="52" t="s">
        <v>19</v>
      </c>
      <c r="D82" s="52" t="s">
        <v>176</v>
      </c>
      <c r="E82" s="52" t="s">
        <v>186</v>
      </c>
      <c r="F82" s="52" t="s">
        <v>199</v>
      </c>
      <c r="G82" s="52" t="s">
        <v>187</v>
      </c>
      <c r="H82" s="44">
        <v>4</v>
      </c>
      <c r="I82" s="45">
        <v>144</v>
      </c>
      <c r="J82" s="46">
        <v>0</v>
      </c>
      <c r="K82" s="45">
        <v>0</v>
      </c>
      <c r="L82" s="45">
        <v>18</v>
      </c>
      <c r="M82" s="47">
        <v>0</v>
      </c>
      <c r="N82" s="48">
        <v>0</v>
      </c>
      <c r="O82" s="48">
        <v>0</v>
      </c>
      <c r="P82" s="52" t="s">
        <v>177</v>
      </c>
      <c r="Q82" s="52" t="s">
        <v>194</v>
      </c>
    </row>
    <row r="83" spans="1:17" ht="22" customHeight="1" x14ac:dyDescent="0.2">
      <c r="A83" s="51">
        <v>712</v>
      </c>
      <c r="B83" s="52" t="s">
        <v>19</v>
      </c>
      <c r="C83" s="52" t="s">
        <v>19</v>
      </c>
      <c r="D83" s="52" t="s">
        <v>176</v>
      </c>
      <c r="E83" s="52" t="s">
        <v>186</v>
      </c>
      <c r="F83" s="52" t="s">
        <v>174</v>
      </c>
      <c r="G83" s="52" t="s">
        <v>187</v>
      </c>
      <c r="H83" s="44">
        <v>4</v>
      </c>
      <c r="I83" s="45">
        <v>144</v>
      </c>
      <c r="J83" s="46">
        <v>0</v>
      </c>
      <c r="K83" s="45">
        <v>0</v>
      </c>
      <c r="L83" s="45">
        <v>18</v>
      </c>
      <c r="M83" s="47">
        <v>0</v>
      </c>
      <c r="N83" s="48">
        <v>0</v>
      </c>
      <c r="O83" s="48">
        <v>0</v>
      </c>
      <c r="P83" s="52" t="s">
        <v>177</v>
      </c>
      <c r="Q83" s="52" t="s">
        <v>194</v>
      </c>
    </row>
    <row r="84" spans="1:17" ht="22" customHeight="1" x14ac:dyDescent="0.2">
      <c r="A84" s="51">
        <v>713</v>
      </c>
      <c r="B84" s="52" t="s">
        <v>19</v>
      </c>
      <c r="C84" s="52" t="s">
        <v>19</v>
      </c>
      <c r="D84" s="52" t="s">
        <v>22</v>
      </c>
      <c r="E84" s="52" t="s">
        <v>186</v>
      </c>
      <c r="F84" s="52" t="s">
        <v>114</v>
      </c>
      <c r="G84" s="52" t="s">
        <v>187</v>
      </c>
      <c r="H84" s="44">
        <v>6</v>
      </c>
      <c r="I84" s="45">
        <v>216</v>
      </c>
      <c r="J84" s="46">
        <v>0</v>
      </c>
      <c r="K84" s="45">
        <v>0</v>
      </c>
      <c r="L84" s="45">
        <v>18</v>
      </c>
      <c r="M84" s="47">
        <v>0</v>
      </c>
      <c r="N84" s="48">
        <v>0</v>
      </c>
      <c r="O84" s="48">
        <v>0</v>
      </c>
      <c r="P84" s="52" t="s">
        <v>177</v>
      </c>
      <c r="Q84" s="52" t="s">
        <v>200</v>
      </c>
    </row>
    <row r="85" spans="1:17" ht="22" customHeight="1" x14ac:dyDescent="0.2">
      <c r="A85" s="51">
        <v>714</v>
      </c>
      <c r="B85" s="52" t="s">
        <v>19</v>
      </c>
      <c r="C85" s="52" t="s">
        <v>19</v>
      </c>
      <c r="D85" s="52" t="s">
        <v>22</v>
      </c>
      <c r="E85" s="52" t="s">
        <v>186</v>
      </c>
      <c r="F85" s="52" t="s">
        <v>189</v>
      </c>
      <c r="G85" s="52" t="s">
        <v>187</v>
      </c>
      <c r="H85" s="44">
        <v>6</v>
      </c>
      <c r="I85" s="45">
        <v>216</v>
      </c>
      <c r="J85" s="46">
        <v>0</v>
      </c>
      <c r="K85" s="45">
        <v>0</v>
      </c>
      <c r="L85" s="45">
        <v>18</v>
      </c>
      <c r="M85" s="47">
        <v>0</v>
      </c>
      <c r="N85" s="48">
        <v>0</v>
      </c>
      <c r="O85" s="48">
        <v>0</v>
      </c>
      <c r="P85" s="52" t="s">
        <v>177</v>
      </c>
      <c r="Q85" s="52" t="s">
        <v>201</v>
      </c>
    </row>
    <row r="86" spans="1:17" ht="22" customHeight="1" x14ac:dyDescent="0.2">
      <c r="A86" s="51">
        <v>715</v>
      </c>
      <c r="B86" s="52" t="s">
        <v>19</v>
      </c>
      <c r="C86" s="52" t="s">
        <v>19</v>
      </c>
      <c r="D86" s="52" t="s">
        <v>22</v>
      </c>
      <c r="E86" s="52" t="s">
        <v>186</v>
      </c>
      <c r="F86" s="52" t="s">
        <v>191</v>
      </c>
      <c r="G86" s="52" t="s">
        <v>187</v>
      </c>
      <c r="H86" s="44">
        <v>6</v>
      </c>
      <c r="I86" s="45">
        <v>216</v>
      </c>
      <c r="J86" s="46">
        <v>0</v>
      </c>
      <c r="K86" s="45">
        <v>0</v>
      </c>
      <c r="L86" s="45">
        <v>18</v>
      </c>
      <c r="M86" s="47">
        <v>0</v>
      </c>
      <c r="N86" s="48">
        <v>0</v>
      </c>
      <c r="O86" s="48">
        <v>0</v>
      </c>
      <c r="P86" s="52" t="s">
        <v>177</v>
      </c>
      <c r="Q86" s="52" t="s">
        <v>202</v>
      </c>
    </row>
    <row r="87" spans="1:17" ht="22" customHeight="1" x14ac:dyDescent="0.2">
      <c r="A87" s="51">
        <v>716</v>
      </c>
      <c r="B87" s="52" t="s">
        <v>19</v>
      </c>
      <c r="C87" s="52" t="s">
        <v>19</v>
      </c>
      <c r="D87" s="52" t="s">
        <v>22</v>
      </c>
      <c r="E87" s="52" t="s">
        <v>186</v>
      </c>
      <c r="F87" s="52" t="s">
        <v>193</v>
      </c>
      <c r="G87" s="52" t="s">
        <v>187</v>
      </c>
      <c r="H87" s="44">
        <v>6</v>
      </c>
      <c r="I87" s="45">
        <v>216</v>
      </c>
      <c r="J87" s="46">
        <v>0</v>
      </c>
      <c r="K87" s="45">
        <v>0</v>
      </c>
      <c r="L87" s="45">
        <v>18</v>
      </c>
      <c r="M87" s="47">
        <v>0</v>
      </c>
      <c r="N87" s="48">
        <v>0</v>
      </c>
      <c r="O87" s="48">
        <v>0</v>
      </c>
      <c r="P87" s="52" t="s">
        <v>177</v>
      </c>
      <c r="Q87" s="52" t="s">
        <v>203</v>
      </c>
    </row>
    <row r="88" spans="1:17" ht="22" customHeight="1" x14ac:dyDescent="0.2">
      <c r="A88" s="51">
        <v>717</v>
      </c>
      <c r="B88" s="52" t="s">
        <v>19</v>
      </c>
      <c r="C88" s="52" t="s">
        <v>19</v>
      </c>
      <c r="D88" s="52" t="s">
        <v>22</v>
      </c>
      <c r="E88" s="52" t="s">
        <v>186</v>
      </c>
      <c r="F88" s="52" t="s">
        <v>195</v>
      </c>
      <c r="G88" s="52" t="s">
        <v>187</v>
      </c>
      <c r="H88" s="44">
        <v>6</v>
      </c>
      <c r="I88" s="45">
        <v>216</v>
      </c>
      <c r="J88" s="46">
        <v>0</v>
      </c>
      <c r="K88" s="45">
        <v>0</v>
      </c>
      <c r="L88" s="45">
        <v>18</v>
      </c>
      <c r="M88" s="47">
        <v>0</v>
      </c>
      <c r="N88" s="48">
        <v>0</v>
      </c>
      <c r="O88" s="48">
        <v>0</v>
      </c>
      <c r="P88" s="52" t="s">
        <v>177</v>
      </c>
      <c r="Q88" s="52" t="s">
        <v>203</v>
      </c>
    </row>
    <row r="89" spans="1:17" ht="22" customHeight="1" x14ac:dyDescent="0.2">
      <c r="A89" s="51">
        <v>718</v>
      </c>
      <c r="B89" s="52" t="s">
        <v>19</v>
      </c>
      <c r="C89" s="52" t="s">
        <v>19</v>
      </c>
      <c r="D89" s="52" t="s">
        <v>22</v>
      </c>
      <c r="E89" s="52" t="s">
        <v>186</v>
      </c>
      <c r="F89" s="52" t="s">
        <v>196</v>
      </c>
      <c r="G89" s="52" t="s">
        <v>187</v>
      </c>
      <c r="H89" s="44">
        <v>6</v>
      </c>
      <c r="I89" s="45">
        <v>216</v>
      </c>
      <c r="J89" s="46">
        <v>0</v>
      </c>
      <c r="K89" s="45">
        <v>0</v>
      </c>
      <c r="L89" s="45">
        <v>18</v>
      </c>
      <c r="M89" s="47">
        <v>0</v>
      </c>
      <c r="N89" s="48">
        <v>0</v>
      </c>
      <c r="O89" s="48">
        <v>0</v>
      </c>
      <c r="P89" s="52" t="s">
        <v>177</v>
      </c>
      <c r="Q89" s="52" t="s">
        <v>203</v>
      </c>
    </row>
    <row r="90" spans="1:17" ht="22" customHeight="1" x14ac:dyDescent="0.2">
      <c r="A90" s="51">
        <v>719</v>
      </c>
      <c r="B90" s="52" t="s">
        <v>19</v>
      </c>
      <c r="C90" s="52" t="s">
        <v>19</v>
      </c>
      <c r="D90" s="52" t="s">
        <v>22</v>
      </c>
      <c r="E90" s="52" t="s">
        <v>186</v>
      </c>
      <c r="F90" s="52" t="s">
        <v>197</v>
      </c>
      <c r="G90" s="52" t="s">
        <v>187</v>
      </c>
      <c r="H90" s="44">
        <v>6</v>
      </c>
      <c r="I90" s="45">
        <v>216</v>
      </c>
      <c r="J90" s="46">
        <v>0</v>
      </c>
      <c r="K90" s="45">
        <v>0</v>
      </c>
      <c r="L90" s="45">
        <v>18</v>
      </c>
      <c r="M90" s="47">
        <v>0</v>
      </c>
      <c r="N90" s="48">
        <v>0</v>
      </c>
      <c r="O90" s="48">
        <v>0</v>
      </c>
      <c r="P90" s="52" t="s">
        <v>177</v>
      </c>
      <c r="Q90" s="52" t="s">
        <v>203</v>
      </c>
    </row>
    <row r="91" spans="1:17" ht="22" customHeight="1" x14ac:dyDescent="0.2">
      <c r="A91" s="51">
        <v>720</v>
      </c>
      <c r="B91" s="52" t="s">
        <v>19</v>
      </c>
      <c r="C91" s="52" t="s">
        <v>19</v>
      </c>
      <c r="D91" s="52" t="s">
        <v>22</v>
      </c>
      <c r="E91" s="52" t="s">
        <v>186</v>
      </c>
      <c r="F91" s="52" t="s">
        <v>32</v>
      </c>
      <c r="G91" s="52" t="s">
        <v>187</v>
      </c>
      <c r="H91" s="44">
        <v>6</v>
      </c>
      <c r="I91" s="45">
        <v>216</v>
      </c>
      <c r="J91" s="46">
        <v>0</v>
      </c>
      <c r="K91" s="45">
        <v>0</v>
      </c>
      <c r="L91" s="45">
        <v>18</v>
      </c>
      <c r="M91" s="47">
        <v>0</v>
      </c>
      <c r="N91" s="48">
        <v>0</v>
      </c>
      <c r="O91" s="48">
        <v>0</v>
      </c>
      <c r="P91" s="52" t="s">
        <v>177</v>
      </c>
      <c r="Q91" s="52" t="s">
        <v>203</v>
      </c>
    </row>
    <row r="92" spans="1:17" ht="22" customHeight="1" x14ac:dyDescent="0.2">
      <c r="A92" s="51">
        <v>721</v>
      </c>
      <c r="B92" s="52" t="s">
        <v>19</v>
      </c>
      <c r="C92" s="52" t="s">
        <v>19</v>
      </c>
      <c r="D92" s="52" t="s">
        <v>22</v>
      </c>
      <c r="E92" s="52" t="s">
        <v>186</v>
      </c>
      <c r="F92" s="52" t="s">
        <v>198</v>
      </c>
      <c r="G92" s="52" t="s">
        <v>187</v>
      </c>
      <c r="H92" s="44">
        <v>6</v>
      </c>
      <c r="I92" s="45">
        <v>216</v>
      </c>
      <c r="J92" s="46">
        <v>0</v>
      </c>
      <c r="K92" s="45">
        <v>0</v>
      </c>
      <c r="L92" s="45">
        <v>18</v>
      </c>
      <c r="M92" s="47">
        <v>0</v>
      </c>
      <c r="N92" s="48">
        <v>0</v>
      </c>
      <c r="O92" s="48">
        <v>0</v>
      </c>
      <c r="P92" s="52" t="s">
        <v>177</v>
      </c>
      <c r="Q92" s="52" t="s">
        <v>203</v>
      </c>
    </row>
    <row r="93" spans="1:17" ht="22" customHeight="1" x14ac:dyDescent="0.2">
      <c r="A93" s="51">
        <v>722</v>
      </c>
      <c r="B93" s="52" t="s">
        <v>19</v>
      </c>
      <c r="C93" s="52" t="s">
        <v>19</v>
      </c>
      <c r="D93" s="52" t="s">
        <v>22</v>
      </c>
      <c r="E93" s="52" t="s">
        <v>186</v>
      </c>
      <c r="F93" s="52" t="s">
        <v>168</v>
      </c>
      <c r="G93" s="52" t="s">
        <v>187</v>
      </c>
      <c r="H93" s="44">
        <v>6</v>
      </c>
      <c r="I93" s="45">
        <v>216</v>
      </c>
      <c r="J93" s="46">
        <v>0</v>
      </c>
      <c r="K93" s="45">
        <v>0</v>
      </c>
      <c r="L93" s="45">
        <v>18</v>
      </c>
      <c r="M93" s="47">
        <v>0</v>
      </c>
      <c r="N93" s="48">
        <v>0</v>
      </c>
      <c r="O93" s="48">
        <v>0</v>
      </c>
      <c r="P93" s="52" t="s">
        <v>177</v>
      </c>
      <c r="Q93" s="52" t="s">
        <v>203</v>
      </c>
    </row>
    <row r="94" spans="1:17" ht="22" customHeight="1" x14ac:dyDescent="0.2">
      <c r="A94" s="51">
        <v>723</v>
      </c>
      <c r="B94" s="52" t="s">
        <v>19</v>
      </c>
      <c r="C94" s="52" t="s">
        <v>19</v>
      </c>
      <c r="D94" s="52" t="s">
        <v>22</v>
      </c>
      <c r="E94" s="52" t="s">
        <v>186</v>
      </c>
      <c r="F94" s="52" t="s">
        <v>167</v>
      </c>
      <c r="G94" s="52" t="s">
        <v>187</v>
      </c>
      <c r="H94" s="44">
        <v>6</v>
      </c>
      <c r="I94" s="45">
        <v>216</v>
      </c>
      <c r="J94" s="46">
        <v>0</v>
      </c>
      <c r="K94" s="45">
        <v>0</v>
      </c>
      <c r="L94" s="45">
        <v>18</v>
      </c>
      <c r="M94" s="47">
        <v>0</v>
      </c>
      <c r="N94" s="48">
        <v>0</v>
      </c>
      <c r="O94" s="48">
        <v>0</v>
      </c>
      <c r="P94" s="52" t="s">
        <v>177</v>
      </c>
      <c r="Q94" s="52" t="s">
        <v>203</v>
      </c>
    </row>
    <row r="95" spans="1:17" ht="22" customHeight="1" x14ac:dyDescent="0.2">
      <c r="A95" s="51">
        <v>724</v>
      </c>
      <c r="B95" s="52" t="s">
        <v>19</v>
      </c>
      <c r="C95" s="52" t="s">
        <v>19</v>
      </c>
      <c r="D95" s="52" t="s">
        <v>22</v>
      </c>
      <c r="E95" s="52" t="s">
        <v>186</v>
      </c>
      <c r="F95" s="52" t="s">
        <v>199</v>
      </c>
      <c r="G95" s="52" t="s">
        <v>187</v>
      </c>
      <c r="H95" s="44">
        <v>6</v>
      </c>
      <c r="I95" s="45">
        <v>216</v>
      </c>
      <c r="J95" s="46">
        <v>0</v>
      </c>
      <c r="K95" s="45">
        <v>0</v>
      </c>
      <c r="L95" s="45">
        <v>18</v>
      </c>
      <c r="M95" s="47">
        <v>0</v>
      </c>
      <c r="N95" s="48">
        <v>0</v>
      </c>
      <c r="O95" s="48">
        <v>0</v>
      </c>
      <c r="P95" s="52" t="s">
        <v>177</v>
      </c>
      <c r="Q95" s="52" t="s">
        <v>203</v>
      </c>
    </row>
    <row r="96" spans="1:17" ht="22" customHeight="1" x14ac:dyDescent="0.2">
      <c r="A96" s="51">
        <v>725</v>
      </c>
      <c r="B96" s="52" t="s">
        <v>19</v>
      </c>
      <c r="C96" s="52" t="s">
        <v>19</v>
      </c>
      <c r="D96" s="52" t="s">
        <v>22</v>
      </c>
      <c r="E96" s="52" t="s">
        <v>186</v>
      </c>
      <c r="F96" s="52" t="s">
        <v>174</v>
      </c>
      <c r="G96" s="52" t="s">
        <v>187</v>
      </c>
      <c r="H96" s="44">
        <v>6</v>
      </c>
      <c r="I96" s="45">
        <v>216</v>
      </c>
      <c r="J96" s="46">
        <v>0</v>
      </c>
      <c r="K96" s="45">
        <v>0</v>
      </c>
      <c r="L96" s="45">
        <v>18</v>
      </c>
      <c r="M96" s="47">
        <v>0</v>
      </c>
      <c r="N96" s="48">
        <v>0</v>
      </c>
      <c r="O96" s="48">
        <v>0</v>
      </c>
      <c r="P96" s="52" t="s">
        <v>177</v>
      </c>
      <c r="Q96" s="52" t="s">
        <v>203</v>
      </c>
    </row>
  </sheetData>
  <autoFilter ref="A1:Q96" xr:uid="{3E0C0FBB-6B79-DE42-8E19-62AEF1886DA7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A9FE-796C-444A-9862-E78DDAC054C8}">
  <dimension ref="A1:CK194"/>
  <sheetViews>
    <sheetView workbookViewId="0">
      <pane xSplit="3" ySplit="4" topLeftCell="AZ5" activePane="bottomRight" state="frozen"/>
      <selection pane="topRight" activeCell="D1" sqref="D1"/>
      <selection pane="bottomLeft" activeCell="A5" sqref="A5"/>
      <selection pane="bottomRight" activeCell="R13" sqref="R13"/>
    </sheetView>
  </sheetViews>
  <sheetFormatPr baseColWidth="10" defaultRowHeight="16" x14ac:dyDescent="0.2"/>
  <cols>
    <col min="1" max="1" width="5.83203125" customWidth="1"/>
    <col min="2" max="2" width="25.6640625" customWidth="1"/>
    <col min="3" max="3" width="21" customWidth="1"/>
    <col min="4" max="4" width="16.33203125" customWidth="1"/>
    <col min="5" max="5" width="18.6640625" customWidth="1"/>
    <col min="6" max="6" width="40.83203125" customWidth="1"/>
    <col min="7" max="7" width="25.6640625" customWidth="1"/>
    <col min="8" max="8" width="32.6640625" customWidth="1"/>
    <col min="9" max="9" width="21" customWidth="1"/>
    <col min="10" max="10" width="32.6640625" customWidth="1"/>
    <col min="11" max="11" width="23.33203125" customWidth="1"/>
    <col min="12" max="13" width="14" customWidth="1"/>
    <col min="14" max="14" width="16.33203125" customWidth="1"/>
    <col min="15" max="15" width="9.33203125" customWidth="1"/>
    <col min="16" max="16" width="16.33203125" customWidth="1"/>
    <col min="17" max="18" width="14" customWidth="1"/>
    <col min="19" max="19" width="15.1640625" customWidth="1"/>
    <col min="20" max="20" width="11.6640625" customWidth="1"/>
    <col min="21" max="21" width="18.6640625" customWidth="1"/>
    <col min="22" max="22" width="11.6640625" customWidth="1"/>
    <col min="23" max="23" width="16.33203125" customWidth="1"/>
    <col min="24" max="24" width="18.6640625" customWidth="1"/>
  </cols>
  <sheetData>
    <row r="1" spans="1:89" x14ac:dyDescent="0.2">
      <c r="A1" s="25" t="s">
        <v>688</v>
      </c>
      <c r="Y1" s="21" t="s">
        <v>793</v>
      </c>
    </row>
    <row r="2" spans="1:89" x14ac:dyDescent="0.2">
      <c r="A2" s="247" t="s">
        <v>789</v>
      </c>
      <c r="Y2" s="23" t="s">
        <v>794</v>
      </c>
    </row>
    <row r="3" spans="1:89" x14ac:dyDescent="0.2">
      <c r="Y3" s="382">
        <f>DATE(Assumptions!$B$4,1,28)</f>
        <v>46050</v>
      </c>
      <c r="Z3" s="20"/>
      <c r="AA3" s="20"/>
      <c r="AB3" s="20"/>
      <c r="AC3" s="20"/>
      <c r="AD3" s="382">
        <f>DATE(Assumptions!$B$4,2,28)</f>
        <v>46081</v>
      </c>
      <c r="AE3" s="20"/>
      <c r="AF3" s="20"/>
      <c r="AG3" s="20"/>
      <c r="AH3" s="20"/>
      <c r="AI3" s="382">
        <f>DATE(Assumptions!$B$4,3,28)</f>
        <v>46109</v>
      </c>
      <c r="AJ3" s="20"/>
      <c r="AK3" s="20"/>
      <c r="AL3" s="20"/>
      <c r="AM3" s="20"/>
      <c r="AN3" s="382">
        <f>DATE(Assumptions!$B$4,4,28)</f>
        <v>46140</v>
      </c>
      <c r="AO3" s="20"/>
      <c r="AP3" s="20"/>
      <c r="AQ3" s="20"/>
      <c r="AR3" s="20"/>
      <c r="AS3" s="382">
        <f>DATE(Assumptions!$B$4,5,28)</f>
        <v>46170</v>
      </c>
      <c r="AT3" s="20"/>
      <c r="AU3" s="20"/>
      <c r="AV3" s="20"/>
      <c r="AW3" s="20"/>
      <c r="AX3" s="382">
        <f>DATE(Assumptions!$B$4,6,28)</f>
        <v>46201</v>
      </c>
      <c r="AY3" s="20"/>
      <c r="AZ3" s="20"/>
      <c r="BA3" s="20"/>
      <c r="BB3" s="20"/>
      <c r="BC3" s="382">
        <f>DATE(Assumptions!$B$4,7,28)</f>
        <v>46231</v>
      </c>
      <c r="BD3" s="20"/>
      <c r="BE3" s="20"/>
      <c r="BF3" s="20"/>
      <c r="BG3" s="20"/>
      <c r="BH3" s="382">
        <f>DATE(Assumptions!$B$4,8,28)</f>
        <v>46262</v>
      </c>
      <c r="BI3" s="20"/>
      <c r="BJ3" s="20"/>
      <c r="BK3" s="20"/>
      <c r="BL3" s="20"/>
      <c r="BM3" s="382">
        <f>DATE(Assumptions!$B$4,9,28)</f>
        <v>46293</v>
      </c>
      <c r="BN3" s="20"/>
      <c r="BO3" s="20"/>
      <c r="BP3" s="20"/>
      <c r="BQ3" s="20"/>
      <c r="BR3" s="382">
        <f>DATE(Assumptions!$B$4,10,28)</f>
        <v>46323</v>
      </c>
      <c r="BS3" s="20"/>
      <c r="BT3" s="20"/>
      <c r="BU3" s="20"/>
      <c r="BV3" s="20"/>
      <c r="BW3" s="382">
        <f>DATE(Assumptions!$B$4,11,28)</f>
        <v>46354</v>
      </c>
      <c r="BX3" s="20"/>
      <c r="BY3" s="20"/>
      <c r="BZ3" s="20"/>
      <c r="CA3" s="20"/>
      <c r="CB3" s="382">
        <f>DATE(Assumptions!$B$4,12,28)</f>
        <v>46384</v>
      </c>
      <c r="CC3" s="20"/>
      <c r="CD3" s="20"/>
      <c r="CE3" s="20"/>
      <c r="CF3" s="20"/>
      <c r="CG3" s="383" t="s">
        <v>746</v>
      </c>
      <c r="CH3" s="383"/>
      <c r="CI3" s="383"/>
      <c r="CJ3" s="383"/>
      <c r="CK3" s="383"/>
    </row>
    <row r="4" spans="1:89" x14ac:dyDescent="0.2">
      <c r="A4" s="250" t="s">
        <v>230</v>
      </c>
      <c r="B4" s="251" t="s">
        <v>231</v>
      </c>
      <c r="C4" s="251" t="s">
        <v>232</v>
      </c>
      <c r="D4" s="251" t="s">
        <v>233</v>
      </c>
      <c r="E4" s="251" t="s">
        <v>766</v>
      </c>
      <c r="F4" s="251" t="s">
        <v>234</v>
      </c>
      <c r="G4" s="251" t="s">
        <v>235</v>
      </c>
      <c r="H4" s="251" t="s">
        <v>236</v>
      </c>
      <c r="I4" s="298" t="s">
        <v>689</v>
      </c>
      <c r="J4" s="298" t="s">
        <v>50</v>
      </c>
      <c r="K4" s="251" t="s">
        <v>2</v>
      </c>
      <c r="L4" s="251" t="s">
        <v>237</v>
      </c>
      <c r="M4" s="251" t="s">
        <v>704</v>
      </c>
      <c r="N4" s="251" t="s">
        <v>238</v>
      </c>
      <c r="O4" s="251" t="s">
        <v>239</v>
      </c>
      <c r="P4" s="251" t="s">
        <v>240</v>
      </c>
      <c r="Q4" s="251" t="s">
        <v>241</v>
      </c>
      <c r="R4" s="251" t="s">
        <v>242</v>
      </c>
      <c r="S4" s="251" t="s">
        <v>243</v>
      </c>
      <c r="T4" s="251" t="s">
        <v>244</v>
      </c>
      <c r="U4" s="251" t="s">
        <v>245</v>
      </c>
      <c r="V4" s="251" t="s">
        <v>246</v>
      </c>
      <c r="W4" s="251" t="s">
        <v>247</v>
      </c>
      <c r="X4" s="251" t="s">
        <v>791</v>
      </c>
      <c r="Y4" s="384" t="s">
        <v>747</v>
      </c>
      <c r="Z4" s="384" t="s">
        <v>748</v>
      </c>
      <c r="AA4" s="384" t="s">
        <v>749</v>
      </c>
      <c r="AB4" s="384" t="s">
        <v>750</v>
      </c>
      <c r="AC4" s="384" t="s">
        <v>751</v>
      </c>
      <c r="AD4" s="384" t="s">
        <v>747</v>
      </c>
      <c r="AE4" s="384" t="s">
        <v>748</v>
      </c>
      <c r="AF4" s="384" t="s">
        <v>749</v>
      </c>
      <c r="AG4" s="384" t="s">
        <v>750</v>
      </c>
      <c r="AH4" s="384" t="s">
        <v>751</v>
      </c>
      <c r="AI4" s="384" t="s">
        <v>747</v>
      </c>
      <c r="AJ4" s="384" t="s">
        <v>748</v>
      </c>
      <c r="AK4" s="384" t="s">
        <v>749</v>
      </c>
      <c r="AL4" s="384" t="s">
        <v>750</v>
      </c>
      <c r="AM4" s="384" t="s">
        <v>751</v>
      </c>
      <c r="AN4" s="384" t="s">
        <v>747</v>
      </c>
      <c r="AO4" s="384" t="s">
        <v>748</v>
      </c>
      <c r="AP4" s="384" t="s">
        <v>749</v>
      </c>
      <c r="AQ4" s="384" t="s">
        <v>750</v>
      </c>
      <c r="AR4" s="384" t="s">
        <v>751</v>
      </c>
      <c r="AS4" s="384" t="s">
        <v>747</v>
      </c>
      <c r="AT4" s="384" t="s">
        <v>748</v>
      </c>
      <c r="AU4" s="384" t="s">
        <v>749</v>
      </c>
      <c r="AV4" s="384" t="s">
        <v>750</v>
      </c>
      <c r="AW4" s="384" t="s">
        <v>751</v>
      </c>
      <c r="AX4" s="384" t="s">
        <v>747</v>
      </c>
      <c r="AY4" s="384" t="s">
        <v>748</v>
      </c>
      <c r="AZ4" s="384" t="s">
        <v>749</v>
      </c>
      <c r="BA4" s="384" t="s">
        <v>750</v>
      </c>
      <c r="BB4" s="384" t="s">
        <v>751</v>
      </c>
      <c r="BC4" s="384" t="s">
        <v>747</v>
      </c>
      <c r="BD4" s="384" t="s">
        <v>748</v>
      </c>
      <c r="BE4" s="384" t="s">
        <v>749</v>
      </c>
      <c r="BF4" s="384" t="s">
        <v>750</v>
      </c>
      <c r="BG4" s="384" t="s">
        <v>751</v>
      </c>
      <c r="BH4" s="384" t="s">
        <v>747</v>
      </c>
      <c r="BI4" s="384" t="s">
        <v>748</v>
      </c>
      <c r="BJ4" s="384" t="s">
        <v>749</v>
      </c>
      <c r="BK4" s="384" t="s">
        <v>750</v>
      </c>
      <c r="BL4" s="384" t="s">
        <v>751</v>
      </c>
      <c r="BM4" s="384" t="s">
        <v>747</v>
      </c>
      <c r="BN4" s="384" t="s">
        <v>748</v>
      </c>
      <c r="BO4" s="384" t="s">
        <v>749</v>
      </c>
      <c r="BP4" s="384" t="s">
        <v>750</v>
      </c>
      <c r="BQ4" s="384" t="s">
        <v>751</v>
      </c>
      <c r="BR4" s="384" t="s">
        <v>747</v>
      </c>
      <c r="BS4" s="384" t="s">
        <v>748</v>
      </c>
      <c r="BT4" s="384" t="s">
        <v>749</v>
      </c>
      <c r="BU4" s="384" t="s">
        <v>750</v>
      </c>
      <c r="BV4" s="384" t="s">
        <v>751</v>
      </c>
      <c r="BW4" s="384" t="s">
        <v>747</v>
      </c>
      <c r="BX4" s="384" t="s">
        <v>748</v>
      </c>
      <c r="BY4" s="384" t="s">
        <v>749</v>
      </c>
      <c r="BZ4" s="384" t="s">
        <v>750</v>
      </c>
      <c r="CA4" s="384" t="s">
        <v>751</v>
      </c>
      <c r="CB4" s="384" t="s">
        <v>747</v>
      </c>
      <c r="CC4" s="384" t="s">
        <v>748</v>
      </c>
      <c r="CD4" s="384" t="s">
        <v>749</v>
      </c>
      <c r="CE4" s="384" t="s">
        <v>750</v>
      </c>
      <c r="CF4" s="384" t="s">
        <v>751</v>
      </c>
      <c r="CG4" s="384" t="s">
        <v>752</v>
      </c>
      <c r="CH4" s="384" t="s">
        <v>753</v>
      </c>
      <c r="CI4" s="384" t="s">
        <v>754</v>
      </c>
      <c r="CJ4" s="384" t="s">
        <v>755</v>
      </c>
      <c r="CK4" s="384" t="s">
        <v>756</v>
      </c>
    </row>
    <row r="5" spans="1:89" x14ac:dyDescent="0.2">
      <c r="A5" s="252">
        <v>1</v>
      </c>
      <c r="B5" s="253" t="s">
        <v>248</v>
      </c>
      <c r="C5" s="253" t="s">
        <v>249</v>
      </c>
      <c r="D5" s="253" t="s">
        <v>250</v>
      </c>
      <c r="E5" s="253" t="s">
        <v>767</v>
      </c>
      <c r="F5" s="253" t="s">
        <v>251</v>
      </c>
      <c r="G5" s="253" t="s">
        <v>252</v>
      </c>
      <c r="H5" s="253" t="s">
        <v>253</v>
      </c>
      <c r="I5" s="282" t="s">
        <v>690</v>
      </c>
      <c r="J5" s="253"/>
      <c r="K5" s="253" t="s">
        <v>252</v>
      </c>
      <c r="L5" s="253" t="s">
        <v>255</v>
      </c>
      <c r="M5" s="253" t="str">
        <f t="shared" ref="M5:M36" si="0">IF(D5="Titulaire EN","",IF(OR(B5="AL OSSAIMI AL OTAIBI",B5="ALAMRI"),"Saudi","Non-Saudi"))</f>
        <v>Non-Saudi</v>
      </c>
      <c r="N5" s="254">
        <v>45170</v>
      </c>
      <c r="O5" s="255">
        <v>3.3</v>
      </c>
      <c r="P5" s="256">
        <v>7400</v>
      </c>
      <c r="Q5" s="256">
        <v>2500</v>
      </c>
      <c r="R5" s="256">
        <v>500</v>
      </c>
      <c r="S5" s="256"/>
      <c r="T5" s="256"/>
      <c r="U5" s="256">
        <v>10400</v>
      </c>
      <c r="V5" s="257">
        <v>1</v>
      </c>
      <c r="W5" s="253" t="s">
        <v>256</v>
      </c>
      <c r="X5" s="253">
        <v>200</v>
      </c>
      <c r="Y5" s="249">
        <f>IF(AND($D5="Contrat Local",$N5&lt;&gt;""),$P5*$V5,0)</f>
        <v>7400</v>
      </c>
      <c r="Z5" s="249">
        <f>IF(Y5&gt;0,Y5+($Q5+$R5+IF(ISNUMBER($S5),$S5,0)+IF(ISNUMBER($T5),$T5,0))*$V5,0)</f>
        <v>10400</v>
      </c>
      <c r="AA5" s="249">
        <f>IF(AND(Z5&gt;0,$N5&lt;&gt;""),IF((DATE(Assumptions!$B$4,1,28)-$N5)/365.25&lt;=Assumptions!$B$20,(DATE(Assumptions!$B$4,1,28)-$N5)/365.25*Assumptions!$B$18*Z5,(Assumptions!$B$20*Assumptions!$B$18+((DATE(Assumptions!$B$4,1,28)-$N5)/365.25-Assumptions!$B$20)*Assumptions!$B$19)*Z5),0)</f>
        <v>12528.405201916496</v>
      </c>
      <c r="AB5" s="249">
        <f>IF(Y5&gt;0,IF($M5="Saudi",MIN(Y5+$Q5*$V5,Assumptions!$B$14)*Assumptions!$B$12,MIN(Y5+$Q5*$V5,Assumptions!$B$14)*Assumptions!$B$13),0)</f>
        <v>0</v>
      </c>
      <c r="AC5" s="249">
        <f>IF(AND(Y5&gt;0,$M5="Non-Saudi"),Assumptions!$B$25,0)</f>
        <v>910.41666666666663</v>
      </c>
      <c r="AD5" s="249">
        <f>IF(AND($D5="Contrat Local",$N5&lt;&gt;""),$P5*$V5,0)</f>
        <v>7400</v>
      </c>
      <c r="AE5" s="249">
        <f>IF(AD5&gt;0,AD5+($Q5+$R5+IF(ISNUMBER($S5),$S5,0)+IF(ISNUMBER($T5),$T5,0))*$V5,0)</f>
        <v>10400</v>
      </c>
      <c r="AF5" s="249">
        <f>IF(AND(AE5&gt;0,$N5&lt;&gt;""),IF((DATE(Assumptions!$B$4,2,28)-$N5)/365.25&lt;=Assumptions!$B$20,(DATE(Assumptions!$B$4,2,28)-$N5)/365.25*Assumptions!$B$18*AE5,(Assumptions!$B$20*Assumptions!$B$18+((DATE(Assumptions!$B$4,2,28)-$N5)/365.25-Assumptions!$B$20)*Assumptions!$B$19)*AE5),0)</f>
        <v>12969.746748802192</v>
      </c>
      <c r="AG5" s="249">
        <f>IF(AD5&gt;0,IF($M5="Saudi",MIN(AD5+$Q5*$V5,Assumptions!$B$14)*Assumptions!$B$12,MIN(AD5+$Q5*$V5,Assumptions!$B$14)*Assumptions!$B$13),0)</f>
        <v>0</v>
      </c>
      <c r="AH5" s="249">
        <f>IF(AND(AD5&gt;0,$M5="Non-Saudi"),Assumptions!$B$25,0)</f>
        <v>910.41666666666663</v>
      </c>
      <c r="AI5" s="249">
        <f>IF(AND($D5="Contrat Local",$N5&lt;&gt;""),$P5*$V5,0)</f>
        <v>7400</v>
      </c>
      <c r="AJ5" s="249">
        <f>IF(AI5&gt;0,AI5+($Q5+$R5+IF(ISNUMBER($S5),$S5,0)+IF(ISNUMBER($T5),$T5,0))*$V5,0)</f>
        <v>10400</v>
      </c>
      <c r="AK5" s="249">
        <f>IF(AND(AJ5&gt;0,$N5&lt;&gt;""),IF((DATE(Assumptions!$B$4,3,28)-$N5)/365.25&lt;=Assumptions!$B$20,(DATE(Assumptions!$B$4,3,28)-$N5)/365.25*Assumptions!$B$18*AJ5,(Assumptions!$B$20*Assumptions!$B$18+((DATE(Assumptions!$B$4,3,28)-$N5)/365.25-Assumptions!$B$20)*Assumptions!$B$19)*AJ5),0)</f>
        <v>13368.377823408626</v>
      </c>
      <c r="AL5" s="249">
        <f>IF(AI5&gt;0,IF($M5="Saudi",MIN(AI5+$Q5*$V5,Assumptions!$B$14)*Assumptions!$B$12,MIN(AI5+$Q5*$V5,Assumptions!$B$14)*Assumptions!$B$13),0)</f>
        <v>0</v>
      </c>
      <c r="AM5" s="249">
        <f>IF(AND(AI5&gt;0,$M5="Non-Saudi"),Assumptions!$B$25,0)</f>
        <v>910.41666666666663</v>
      </c>
      <c r="AN5" s="249">
        <f>IF(AND($D5="Contrat Local",$N5&lt;&gt;""),$P5*$V5,0)</f>
        <v>7400</v>
      </c>
      <c r="AO5" s="249">
        <f>IF(AN5&gt;0,AN5+($Q5+$R5+IF(ISNUMBER($S5),$S5,0)+IF(ISNUMBER($T5),$T5,0))*$V5,0)</f>
        <v>10400</v>
      </c>
      <c r="AP5" s="249">
        <f>IF(AND(AO5&gt;0,$N5&lt;&gt;""),IF((DATE(Assumptions!$B$4,4,28)-$N5)/365.25&lt;=Assumptions!$B$20,(DATE(Assumptions!$B$4,4,28)-$N5)/365.25*Assumptions!$B$18*AO5,(Assumptions!$B$20*Assumptions!$B$18+((DATE(Assumptions!$B$4,4,28)-$N5)/365.25-Assumptions!$B$20)*Assumptions!$B$19)*AO5),0)</f>
        <v>13809.719370294319</v>
      </c>
      <c r="AQ5" s="249">
        <f>IF(AN5&gt;0,IF($M5="Saudi",MIN(AN5+$Q5*$V5,Assumptions!$B$14)*Assumptions!$B$12,MIN(AN5+$Q5*$V5,Assumptions!$B$14)*Assumptions!$B$13),0)</f>
        <v>0</v>
      </c>
      <c r="AR5" s="249">
        <f>IF(AND(AN5&gt;0,$M5="Non-Saudi"),Assumptions!$B$25,0)</f>
        <v>910.41666666666663</v>
      </c>
      <c r="AS5" s="249">
        <f>IF(AND($D5="Contrat Local",$N5&lt;&gt;""),$P5*$V5,0)</f>
        <v>7400</v>
      </c>
      <c r="AT5" s="249">
        <f>IF(AS5&gt;0,AS5+($Q5+$R5+IF(ISNUMBER($S5),$S5,0)+IF(ISNUMBER($T5),$T5,0))*$V5,0)</f>
        <v>10400</v>
      </c>
      <c r="AU5" s="249">
        <f>IF(AND(AT5&gt;0,$N5&lt;&gt;""),IF((DATE(Assumptions!$B$4,5,28)-$N5)/365.25&lt;=Assumptions!$B$20,(DATE(Assumptions!$B$4,5,28)-$N5)/365.25*Assumptions!$B$18*AT5,(Assumptions!$B$20*Assumptions!$B$18+((DATE(Assumptions!$B$4,5,28)-$N5)/365.25-Assumptions!$B$20)*Assumptions!$B$19)*AT5),0)</f>
        <v>14236.824093086927</v>
      </c>
      <c r="AV5" s="249">
        <f>IF(AS5&gt;0,IF($M5="Saudi",MIN(AS5+$Q5*$V5,Assumptions!$B$14)*Assumptions!$B$12,MIN(AS5+$Q5*$V5,Assumptions!$B$14)*Assumptions!$B$13),0)</f>
        <v>0</v>
      </c>
      <c r="AW5" s="249">
        <f>IF(AND(AS5&gt;0,$M5="Non-Saudi"),Assumptions!$B$25,0)</f>
        <v>910.41666666666663</v>
      </c>
      <c r="AX5" s="249">
        <f>IF(AND($D5="Contrat Local",$N5&lt;&gt;""),$P5*$V5,0)</f>
        <v>7400</v>
      </c>
      <c r="AY5" s="249">
        <f>IF(AX5&gt;0,AX5+($Q5+$R5+IF(ISNUMBER($S5),$S5,0)+IF(ISNUMBER($T5),$T5,0))*$V5,0)</f>
        <v>10400</v>
      </c>
      <c r="AZ5" s="249">
        <f>IF(AND(AY5&gt;0,$N5&lt;&gt;""),IF((DATE(Assumptions!$B$4,6,28)-$N5)/365.25&lt;=Assumptions!$B$20,(DATE(Assumptions!$B$4,6,28)-$N5)/365.25*Assumptions!$B$18*AY5,(Assumptions!$B$20*Assumptions!$B$18+((DATE(Assumptions!$B$4,6,28)-$N5)/365.25-Assumptions!$B$20)*Assumptions!$B$19)*AY5),0)</f>
        <v>14678.165639972622</v>
      </c>
      <c r="BA5" s="249">
        <f>IF(AX5&gt;0,IF($M5="Saudi",MIN(AX5+$Q5*$V5,Assumptions!$B$14)*Assumptions!$B$12,MIN(AX5+$Q5*$V5,Assumptions!$B$14)*Assumptions!$B$13),0)</f>
        <v>0</v>
      </c>
      <c r="BB5" s="249">
        <f>IF(AND(AX5&gt;0,$M5="Non-Saudi"),Assumptions!$B$25,0)</f>
        <v>910.41666666666663</v>
      </c>
      <c r="BC5" s="249">
        <f>IF(AND($D5="Contrat Local",$N5&lt;&gt;""),$P5*$V5,0)</f>
        <v>7400</v>
      </c>
      <c r="BD5" s="249">
        <f>IF(BC5&gt;0,BC5+($Q5+$R5+IF(ISNUMBER($S5),$S5,0)+IF(ISNUMBER($T5),$T5,0))*$V5,0)</f>
        <v>10400</v>
      </c>
      <c r="BE5" s="249">
        <f>IF(AND(BD5&gt;0,$N5&lt;&gt;""),IF((DATE(Assumptions!$B$4,7,28)-$N5)/365.25&lt;=Assumptions!$B$20,(DATE(Assumptions!$B$4,7,28)-$N5)/365.25*Assumptions!$B$18*BD5,(Assumptions!$B$20*Assumptions!$B$18+((DATE(Assumptions!$B$4,7,28)-$N5)/365.25-Assumptions!$B$20)*Assumptions!$B$19)*BD5),0)</f>
        <v>15105.27036276523</v>
      </c>
      <c r="BF5" s="249">
        <f>IF(BC5&gt;0,IF($M5="Saudi",MIN(BC5+$Q5*$V5,Assumptions!$B$14)*Assumptions!$B$12,MIN(BC5+$Q5*$V5,Assumptions!$B$14)*Assumptions!$B$13),0)</f>
        <v>0</v>
      </c>
      <c r="BG5" s="249">
        <f>IF(AND(BC5&gt;0,$M5="Non-Saudi"),Assumptions!$B$25,0)</f>
        <v>910.41666666666663</v>
      </c>
      <c r="BH5" s="249">
        <f>IF(AND($D5="Contrat Local",$N5&lt;&gt;""),$P5*$V5,0)</f>
        <v>7400</v>
      </c>
      <c r="BI5" s="249">
        <f>IF(BH5&gt;0,BH5+($Q5+$R5+IF(ISNUMBER($S5),$S5,0)+IF(ISNUMBER($T5),$T5,0))*$V5,0)</f>
        <v>10400</v>
      </c>
      <c r="BJ5" s="249">
        <f>IF(AND(BI5&gt;0,$N5&lt;&gt;""),IF((DATE(Assumptions!$B$4,8,28)-$N5)/365.25&lt;=Assumptions!$B$20,(DATE(Assumptions!$B$4,8,28)-$N5)/365.25*Assumptions!$B$18*BI5,(Assumptions!$B$20*Assumptions!$B$18+((DATE(Assumptions!$B$4,8,28)-$N5)/365.25-Assumptions!$B$20)*Assumptions!$B$19)*BI5),0)</f>
        <v>15546.611909650923</v>
      </c>
      <c r="BK5" s="249">
        <f>IF(BH5&gt;0,IF($M5="Saudi",MIN(BH5+$Q5*$V5,Assumptions!$B$14)*Assumptions!$B$12,MIN(BH5+$Q5*$V5,Assumptions!$B$14)*Assumptions!$B$13),0)</f>
        <v>0</v>
      </c>
      <c r="BL5" s="249">
        <f>IF(AND(BH5&gt;0,$M5="Non-Saudi"),Assumptions!$B$25,0)</f>
        <v>910.41666666666663</v>
      </c>
      <c r="BM5" s="249">
        <f>IF(AND($D5="Contrat Local",$N5&lt;&gt;""),IF(AND(9&gt;=Assumptions!$B$5,ISNUMBER($X5),$N5&lt;EDATE(Assumptions!$B$9,-Assumptions!$B$6*12)),($P5+$X5)*$V5,$P5*$V5),0)</f>
        <v>7600</v>
      </c>
      <c r="BN5" s="249">
        <f>IF(BM5&gt;0,BM5+($Q5+$R5+IF(ISNUMBER($S5),$S5,0)+IF(ISNUMBER($T5),$T5,0))*$V5,0)</f>
        <v>10600</v>
      </c>
      <c r="BO5" s="249">
        <f>IF(AND(BN5&gt;0,$N5&lt;&gt;""),IF((DATE(Assumptions!$B$4,9,28)-$N5)/365.25&lt;=Assumptions!$B$20,(DATE(Assumptions!$B$4,9,28)-$N5)/365.25*Assumptions!$B$18*BN5,(Assumptions!$B$20*Assumptions!$B$18+((DATE(Assumptions!$B$4,9,28)-$N5)/365.25-Assumptions!$B$20)*Assumptions!$B$19)*BN5),0)</f>
        <v>16295.414099931555</v>
      </c>
      <c r="BP5" s="249">
        <f>IF(BM5&gt;0,IF($M5="Saudi",MIN(BM5+$Q5*$V5,Assumptions!$B$14)*Assumptions!$B$12,MIN(BM5+$Q5*$V5,Assumptions!$B$14)*Assumptions!$B$13),0)</f>
        <v>0</v>
      </c>
      <c r="BQ5" s="249">
        <f>IF(AND(BM5&gt;0,$M5="Non-Saudi"),Assumptions!$B$25,0)</f>
        <v>910.41666666666663</v>
      </c>
      <c r="BR5" s="249">
        <f>IF(AND($D5="Contrat Local",$N5&lt;&gt;""),IF(AND(10&gt;=Assumptions!$B$5,ISNUMBER($X5),$N5&lt;EDATE(Assumptions!$B$9,-Assumptions!$B$6*12)),($P5+$X5)*$V5,$P5*$V5),0)</f>
        <v>7600</v>
      </c>
      <c r="BS5" s="249">
        <f>IF(BR5&gt;0,BR5+($Q5+$R5+IF(ISNUMBER($S5),$S5,0)+IF(ISNUMBER($T5),$T5,0))*$V5,0)</f>
        <v>10600</v>
      </c>
      <c r="BT5" s="249">
        <f>IF(AND(BS5&gt;0,$N5&lt;&gt;""),IF((DATE(Assumptions!$B$4,10,28)-$N5)/365.25&lt;=Assumptions!$B$20,(DATE(Assumptions!$B$4,10,28)-$N5)/365.25*Assumptions!$B$18*BS5,(Assumptions!$B$20*Assumptions!$B$18+((DATE(Assumptions!$B$4,10,28)-$N5)/365.25-Assumptions!$B$20)*Assumptions!$B$19)*BS5),0)</f>
        <v>16730.732375085558</v>
      </c>
      <c r="BU5" s="249">
        <f>IF(BR5&gt;0,IF($M5="Saudi",MIN(BR5+$Q5*$V5,Assumptions!$B$14)*Assumptions!$B$12,MIN(BR5+$Q5*$V5,Assumptions!$B$14)*Assumptions!$B$13),0)</f>
        <v>0</v>
      </c>
      <c r="BV5" s="249">
        <f>IF(AND(BR5&gt;0,$M5="Non-Saudi"),Assumptions!$B$25,0)</f>
        <v>910.41666666666663</v>
      </c>
      <c r="BW5" s="249">
        <f>IF(AND($D5="Contrat Local",$N5&lt;&gt;""),IF(AND(11&gt;=Assumptions!$B$5,ISNUMBER($X5),$N5&lt;EDATE(Assumptions!$B$9,-Assumptions!$B$6*12)),($P5+$X5)*$V5,$P5*$V5),0)</f>
        <v>7600</v>
      </c>
      <c r="BX5" s="249">
        <f>IF(BW5&gt;0,BW5+($Q5+$R5+IF(ISNUMBER($S5),$S5,0)+IF(ISNUMBER($T5),$T5,0))*$V5,0)</f>
        <v>10600</v>
      </c>
      <c r="BY5" s="249">
        <f>IF(AND(BX5&gt;0,$N5&lt;&gt;""),IF((DATE(Assumptions!$B$4,11,28)-$N5)/365.25&lt;=Assumptions!$B$20,(DATE(Assumptions!$B$4,11,28)-$N5)/365.25*Assumptions!$B$18*BX5,(Assumptions!$B$20*Assumptions!$B$18+((DATE(Assumptions!$B$4,11,28)-$N5)/365.25-Assumptions!$B$20)*Assumptions!$B$19)*BX5),0)</f>
        <v>17180.561259411363</v>
      </c>
      <c r="BZ5" s="249">
        <f>IF(BW5&gt;0,IF($M5="Saudi",MIN(BW5+$Q5*$V5,Assumptions!$B$14)*Assumptions!$B$12,MIN(BW5+$Q5*$V5,Assumptions!$B$14)*Assumptions!$B$13),0)</f>
        <v>0</v>
      </c>
      <c r="CA5" s="249">
        <f>IF(AND(BW5&gt;0,$M5="Non-Saudi"),Assumptions!$B$25,0)</f>
        <v>910.41666666666663</v>
      </c>
      <c r="CB5" s="249">
        <f>IF(AND($D5="Contrat Local",$N5&lt;&gt;""),IF(AND(12&gt;=Assumptions!$B$5,ISNUMBER($X5),$N5&lt;EDATE(Assumptions!$B$9,-Assumptions!$B$6*12)),($P5+$X5)*$V5,$P5*$V5),0)</f>
        <v>7600</v>
      </c>
      <c r="CC5" s="249">
        <f>IF(CB5&gt;0,CB5+($Q5+$R5+IF(ISNUMBER($S5),$S5,0)+IF(ISNUMBER($T5),$T5,0))*$V5,0)</f>
        <v>10600</v>
      </c>
      <c r="CD5" s="249">
        <f>IF(AND(CC5&gt;0,$N5&lt;&gt;""),IF((DATE(Assumptions!$B$4,12,28)-$N5)/365.25&lt;=Assumptions!$B$20,(DATE(Assumptions!$B$4,12,28)-$N5)/365.25*Assumptions!$B$18*CC5,(Assumptions!$B$20*Assumptions!$B$18+((DATE(Assumptions!$B$4,12,28)-$N5)/365.25-Assumptions!$B$20)*Assumptions!$B$19)*CC5),0)</f>
        <v>17615.879534565363</v>
      </c>
      <c r="CE5" s="249">
        <f>IF(CB5&gt;0,IF($M5="Saudi",MIN(CB5+$Q5*$V5,Assumptions!$B$14)*Assumptions!$B$12,MIN(CB5+$Q5*$V5,Assumptions!$B$14)*Assumptions!$B$13),0)</f>
        <v>0</v>
      </c>
      <c r="CF5" s="249">
        <f>IF(AND(CB5&gt;0,$M5="Non-Saudi"),Assumptions!$B$25,0)</f>
        <v>910.41666666666663</v>
      </c>
      <c r="CG5" s="249">
        <f>Y5+AD5+AI5+AN5+AS5+AX5+BC5+BH5+BM5+BR5+BW5+CB5</f>
        <v>89600</v>
      </c>
      <c r="CH5" s="249">
        <f>Z5+AE5+AJ5+AO5+AT5+AY5+BD5+BI5+BN5+BS5+BX5+CC5</f>
        <v>125600</v>
      </c>
      <c r="CI5" s="249">
        <f>CD5-IF(AND(Z5&gt;0,$N5&lt;&gt;""),IF((DATE(Assumptions!$B$4-1,12,28)-$N5)/365.25&lt;=Assumptions!$B$20,(DATE(Assumptions!$B$4-1,12,28)-$N5)/365.25*Assumptions!$B$18*Z5,(Assumptions!$B$20*Assumptions!$B$18+((DATE(Assumptions!$B$4-1,12,28)-$N5)/365.25-Assumptions!$B$20)*Assumptions!$B$19)*Z5),0)</f>
        <v>5528.8158795345626</v>
      </c>
      <c r="CJ5" s="249">
        <f>AB5+AG5+AL5+AQ5+AV5+BA5+BF5+BK5+BP5+BU5+BZ5+CE5</f>
        <v>0</v>
      </c>
      <c r="CK5" s="249">
        <f>AC5+AH5+AM5+AR5+AW5+BB5+BG5+BL5+BQ5+BV5+CA5+CF5</f>
        <v>10924.999999999998</v>
      </c>
    </row>
    <row r="6" spans="1:89" x14ac:dyDescent="0.2">
      <c r="A6" s="252">
        <v>2</v>
      </c>
      <c r="B6" s="253" t="s">
        <v>257</v>
      </c>
      <c r="C6" s="253" t="s">
        <v>258</v>
      </c>
      <c r="D6" s="253" t="s">
        <v>250</v>
      </c>
      <c r="E6" s="253" t="s">
        <v>767</v>
      </c>
      <c r="F6" s="253" t="s">
        <v>251</v>
      </c>
      <c r="G6" s="253" t="s">
        <v>252</v>
      </c>
      <c r="H6" s="253" t="s">
        <v>253</v>
      </c>
      <c r="I6" s="282" t="s">
        <v>690</v>
      </c>
      <c r="J6" s="253"/>
      <c r="K6" s="253" t="s">
        <v>252</v>
      </c>
      <c r="L6" s="253" t="s">
        <v>255</v>
      </c>
      <c r="M6" s="253" t="str">
        <f t="shared" si="0"/>
        <v>Non-Saudi</v>
      </c>
      <c r="N6" s="254">
        <v>42614</v>
      </c>
      <c r="O6" s="255">
        <v>10.3</v>
      </c>
      <c r="P6" s="256">
        <v>9000</v>
      </c>
      <c r="Q6" s="256">
        <v>2500</v>
      </c>
      <c r="R6" s="256">
        <v>500</v>
      </c>
      <c r="S6" s="256"/>
      <c r="T6" s="256"/>
      <c r="U6" s="256">
        <v>12000</v>
      </c>
      <c r="V6" s="257">
        <v>1</v>
      </c>
      <c r="W6" s="253" t="s">
        <v>259</v>
      </c>
      <c r="X6" s="253">
        <v>400</v>
      </c>
      <c r="Y6" s="249">
        <f t="shared" ref="Y6:Y69" si="1">IF(AND($D6="Contrat Local",$N6&lt;&gt;""),$P6*$V6,0)</f>
        <v>9000</v>
      </c>
      <c r="Z6" s="249">
        <f t="shared" ref="Z6:Z69" si="2">IF(Y6&gt;0,Y6+($Q6+$R6+IF(ISNUMBER($S6),$S6,0)+IF(ISNUMBER($T6),$T6,0))*$V6,0)</f>
        <v>12000</v>
      </c>
      <c r="AA6" s="249">
        <f>IF(AND(Z6&gt;0,$N6&lt;&gt;""),IF((DATE(Assumptions!$B$4,1,28)-$N6)/365.25&lt;=Assumptions!$B$20,(DATE(Assumptions!$B$4,1,28)-$N6)/365.25*Assumptions!$B$18*Z6,(Assumptions!$B$20*Assumptions!$B$18+((DATE(Assumptions!$B$4,1,28)-$N6)/365.25-Assumptions!$B$20)*Assumptions!$B$19)*Z6),0)</f>
        <v>82887.063655030812</v>
      </c>
      <c r="AB6" s="249">
        <f>IF(Y6&gt;0,IF($M6="Saudi",MIN(Y6+$Q6*$V6,Assumptions!$B$14)*Assumptions!$B$12,MIN(Y6+$Q6*$V6,Assumptions!$B$14)*Assumptions!$B$13),0)</f>
        <v>0</v>
      </c>
      <c r="AC6" s="249">
        <f>IF(AND(Y6&gt;0,$M6="Non-Saudi"),Assumptions!$B$25,0)</f>
        <v>910.41666666666663</v>
      </c>
      <c r="AD6" s="249">
        <f t="shared" ref="AD6:AD69" si="3">IF(AND($D6="Contrat Local",$N6&lt;&gt;""),$P6*$V6,0)</f>
        <v>9000</v>
      </c>
      <c r="AE6" s="249">
        <f t="shared" ref="AE6:AE69" si="4">IF(AD6&gt;0,AD6+($Q6+$R6+IF(ISNUMBER($S6),$S6,0)+IF(ISNUMBER($T6),$T6,0))*$V6,0)</f>
        <v>12000</v>
      </c>
      <c r="AF6" s="249">
        <f>IF(AND(AE6&gt;0,$N6&lt;&gt;""),IF((DATE(Assumptions!$B$4,2,28)-$N6)/365.25&lt;=Assumptions!$B$20,(DATE(Assumptions!$B$4,2,28)-$N6)/365.25*Assumptions!$B$18*AE6,(Assumptions!$B$20*Assumptions!$B$18+((DATE(Assumptions!$B$4,2,28)-$N6)/365.25-Assumptions!$B$20)*Assumptions!$B$19)*AE6),0)</f>
        <v>83905.544147843946</v>
      </c>
      <c r="AG6" s="249">
        <f>IF(AD6&gt;0,IF($M6="Saudi",MIN(AD6+$Q6*$V6,Assumptions!$B$14)*Assumptions!$B$12,MIN(AD6+$Q6*$V6,Assumptions!$B$14)*Assumptions!$B$13),0)</f>
        <v>0</v>
      </c>
      <c r="AH6" s="249">
        <f>IF(AND(AD6&gt;0,$M6="Non-Saudi"),Assumptions!$B$25,0)</f>
        <v>910.41666666666663</v>
      </c>
      <c r="AI6" s="249">
        <f t="shared" ref="AI6:AI69" si="5">IF(AND($D6="Contrat Local",$N6&lt;&gt;""),$P6*$V6,0)</f>
        <v>9000</v>
      </c>
      <c r="AJ6" s="249">
        <f t="shared" ref="AJ6:AJ69" si="6">IF(AI6&gt;0,AI6+($Q6+$R6+IF(ISNUMBER($S6),$S6,0)+IF(ISNUMBER($T6),$T6,0))*$V6,0)</f>
        <v>12000</v>
      </c>
      <c r="AK6" s="249">
        <f>IF(AND(AJ6&gt;0,$N6&lt;&gt;""),IF((DATE(Assumptions!$B$4,3,28)-$N6)/365.25&lt;=Assumptions!$B$20,(DATE(Assumptions!$B$4,3,28)-$N6)/365.25*Assumptions!$B$18*AJ6,(Assumptions!$B$20*Assumptions!$B$18+((DATE(Assumptions!$B$4,3,28)-$N6)/365.25-Assumptions!$B$20)*Assumptions!$B$19)*AJ6),0)</f>
        <v>84825.46201232032</v>
      </c>
      <c r="AL6" s="249">
        <f>IF(AI6&gt;0,IF($M6="Saudi",MIN(AI6+$Q6*$V6,Assumptions!$B$14)*Assumptions!$B$12,MIN(AI6+$Q6*$V6,Assumptions!$B$14)*Assumptions!$B$13),0)</f>
        <v>0</v>
      </c>
      <c r="AM6" s="249">
        <f>IF(AND(AI6&gt;0,$M6="Non-Saudi"),Assumptions!$B$25,0)</f>
        <v>910.41666666666663</v>
      </c>
      <c r="AN6" s="249">
        <f t="shared" ref="AN6:AN69" si="7">IF(AND($D6="Contrat Local",$N6&lt;&gt;""),$P6*$V6,0)</f>
        <v>9000</v>
      </c>
      <c r="AO6" s="249">
        <f t="shared" ref="AO6:AO69" si="8">IF(AN6&gt;0,AN6+($Q6+$R6+IF(ISNUMBER($S6),$S6,0)+IF(ISNUMBER($T6),$T6,0))*$V6,0)</f>
        <v>12000</v>
      </c>
      <c r="AP6" s="249">
        <f>IF(AND(AO6&gt;0,$N6&lt;&gt;""),IF((DATE(Assumptions!$B$4,4,28)-$N6)/365.25&lt;=Assumptions!$B$20,(DATE(Assumptions!$B$4,4,28)-$N6)/365.25*Assumptions!$B$18*AO6,(Assumptions!$B$20*Assumptions!$B$18+((DATE(Assumptions!$B$4,4,28)-$N6)/365.25-Assumptions!$B$20)*Assumptions!$B$19)*AO6),0)</f>
        <v>85843.942505133469</v>
      </c>
      <c r="AQ6" s="249">
        <f>IF(AN6&gt;0,IF($M6="Saudi",MIN(AN6+$Q6*$V6,Assumptions!$B$14)*Assumptions!$B$12,MIN(AN6+$Q6*$V6,Assumptions!$B$14)*Assumptions!$B$13),0)</f>
        <v>0</v>
      </c>
      <c r="AR6" s="249">
        <f>IF(AND(AN6&gt;0,$M6="Non-Saudi"),Assumptions!$B$25,0)</f>
        <v>910.41666666666663</v>
      </c>
      <c r="AS6" s="249">
        <f t="shared" ref="AS6:AS69" si="9">IF(AND($D6="Contrat Local",$N6&lt;&gt;""),$P6*$V6,0)</f>
        <v>9000</v>
      </c>
      <c r="AT6" s="249">
        <f t="shared" ref="AT6:AT69" si="10">IF(AS6&gt;0,AS6+($Q6+$R6+IF(ISNUMBER($S6),$S6,0)+IF(ISNUMBER($T6),$T6,0))*$V6,0)</f>
        <v>12000</v>
      </c>
      <c r="AU6" s="249">
        <f>IF(AND(AT6&gt;0,$N6&lt;&gt;""),IF((DATE(Assumptions!$B$4,5,28)-$N6)/365.25&lt;=Assumptions!$B$20,(DATE(Assumptions!$B$4,5,28)-$N6)/365.25*Assumptions!$B$18*AT6,(Assumptions!$B$20*Assumptions!$B$18+((DATE(Assumptions!$B$4,5,28)-$N6)/365.25-Assumptions!$B$20)*Assumptions!$B$19)*AT6),0)</f>
        <v>86829.568788501027</v>
      </c>
      <c r="AV6" s="249">
        <f>IF(AS6&gt;0,IF($M6="Saudi",MIN(AS6+$Q6*$V6,Assumptions!$B$14)*Assumptions!$B$12,MIN(AS6+$Q6*$V6,Assumptions!$B$14)*Assumptions!$B$13),0)</f>
        <v>0</v>
      </c>
      <c r="AW6" s="249">
        <f>IF(AND(AS6&gt;0,$M6="Non-Saudi"),Assumptions!$B$25,0)</f>
        <v>910.41666666666663</v>
      </c>
      <c r="AX6" s="249">
        <f t="shared" ref="AX6:AX69" si="11">IF(AND($D6="Contrat Local",$N6&lt;&gt;""),$P6*$V6,0)</f>
        <v>9000</v>
      </c>
      <c r="AY6" s="249">
        <f t="shared" ref="AY6:AY69" si="12">IF(AX6&gt;0,AX6+($Q6+$R6+IF(ISNUMBER($S6),$S6,0)+IF(ISNUMBER($T6),$T6,0))*$V6,0)</f>
        <v>12000</v>
      </c>
      <c r="AZ6" s="249">
        <f>IF(AND(AY6&gt;0,$N6&lt;&gt;""),IF((DATE(Assumptions!$B$4,6,28)-$N6)/365.25&lt;=Assumptions!$B$20,(DATE(Assumptions!$B$4,6,28)-$N6)/365.25*Assumptions!$B$18*AY6,(Assumptions!$B$20*Assumptions!$B$18+((DATE(Assumptions!$B$4,6,28)-$N6)/365.25-Assumptions!$B$20)*Assumptions!$B$19)*AY6),0)</f>
        <v>87848.049281314161</v>
      </c>
      <c r="BA6" s="249">
        <f>IF(AX6&gt;0,IF($M6="Saudi",MIN(AX6+$Q6*$V6,Assumptions!$B$14)*Assumptions!$B$12,MIN(AX6+$Q6*$V6,Assumptions!$B$14)*Assumptions!$B$13),0)</f>
        <v>0</v>
      </c>
      <c r="BB6" s="249">
        <f>IF(AND(AX6&gt;0,$M6="Non-Saudi"),Assumptions!$B$25,0)</f>
        <v>910.41666666666663</v>
      </c>
      <c r="BC6" s="249">
        <f t="shared" ref="BC6:BC69" si="13">IF(AND($D6="Contrat Local",$N6&lt;&gt;""),$P6*$V6,0)</f>
        <v>9000</v>
      </c>
      <c r="BD6" s="249">
        <f t="shared" ref="BD6:BD69" si="14">IF(BC6&gt;0,BC6+($Q6+$R6+IF(ISNUMBER($S6),$S6,0)+IF(ISNUMBER($T6),$T6,0))*$V6,0)</f>
        <v>12000</v>
      </c>
      <c r="BE6" s="249">
        <f>IF(AND(BD6&gt;0,$N6&lt;&gt;""),IF((DATE(Assumptions!$B$4,7,28)-$N6)/365.25&lt;=Assumptions!$B$20,(DATE(Assumptions!$B$4,7,28)-$N6)/365.25*Assumptions!$B$18*BD6,(Assumptions!$B$20*Assumptions!$B$18+((DATE(Assumptions!$B$4,7,28)-$N6)/365.25-Assumptions!$B$20)*Assumptions!$B$19)*BD6),0)</f>
        <v>88833.675564681733</v>
      </c>
      <c r="BF6" s="249">
        <f>IF(BC6&gt;0,IF($M6="Saudi",MIN(BC6+$Q6*$V6,Assumptions!$B$14)*Assumptions!$B$12,MIN(BC6+$Q6*$V6,Assumptions!$B$14)*Assumptions!$B$13),0)</f>
        <v>0</v>
      </c>
      <c r="BG6" s="249">
        <f>IF(AND(BC6&gt;0,$M6="Non-Saudi"),Assumptions!$B$25,0)</f>
        <v>910.41666666666663</v>
      </c>
      <c r="BH6" s="249">
        <f t="shared" ref="BH6:BH69" si="15">IF(AND($D6="Contrat Local",$N6&lt;&gt;""),$P6*$V6,0)</f>
        <v>9000</v>
      </c>
      <c r="BI6" s="249">
        <f t="shared" ref="BI6:BI69" si="16">IF(BH6&gt;0,BH6+($Q6+$R6+IF(ISNUMBER($S6),$S6,0)+IF(ISNUMBER($T6),$T6,0))*$V6,0)</f>
        <v>12000</v>
      </c>
      <c r="BJ6" s="249">
        <f>IF(AND(BI6&gt;0,$N6&lt;&gt;""),IF((DATE(Assumptions!$B$4,8,28)-$N6)/365.25&lt;=Assumptions!$B$20,(DATE(Assumptions!$B$4,8,28)-$N6)/365.25*Assumptions!$B$18*BI6,(Assumptions!$B$20*Assumptions!$B$18+((DATE(Assumptions!$B$4,8,28)-$N6)/365.25-Assumptions!$B$20)*Assumptions!$B$19)*BI6),0)</f>
        <v>89852.156057494867</v>
      </c>
      <c r="BK6" s="249">
        <f>IF(BH6&gt;0,IF($M6="Saudi",MIN(BH6+$Q6*$V6,Assumptions!$B$14)*Assumptions!$B$12,MIN(BH6+$Q6*$V6,Assumptions!$B$14)*Assumptions!$B$13),0)</f>
        <v>0</v>
      </c>
      <c r="BL6" s="249">
        <f>IF(AND(BH6&gt;0,$M6="Non-Saudi"),Assumptions!$B$25,0)</f>
        <v>910.41666666666663</v>
      </c>
      <c r="BM6" s="249">
        <f>IF(AND($D6="Contrat Local",$N6&lt;&gt;""),IF(AND(9&gt;=Assumptions!$B$5,ISNUMBER($X6),$N6&lt;EDATE(Assumptions!$B$9,-Assumptions!$B$6*12)),($P6+$X6)*$V6,$P6*$V6),0)</f>
        <v>9400</v>
      </c>
      <c r="BN6" s="249">
        <f t="shared" ref="BN6:BN69" si="17">IF(BM6&gt;0,BM6+($Q6+$R6+IF(ISNUMBER($S6),$S6,0)+IF(ISNUMBER($T6),$T6,0))*$V6,0)</f>
        <v>12400</v>
      </c>
      <c r="BO6" s="249">
        <f>IF(AND(BN6&gt;0,$N6&lt;&gt;""),IF((DATE(Assumptions!$B$4,9,28)-$N6)/365.25&lt;=Assumptions!$B$20,(DATE(Assumptions!$B$4,9,28)-$N6)/365.25*Assumptions!$B$18*BN6,(Assumptions!$B$20*Assumptions!$B$18+((DATE(Assumptions!$B$4,9,28)-$N6)/365.25-Assumptions!$B$20)*Assumptions!$B$19)*BN6),0)</f>
        <v>93899.65776865161</v>
      </c>
      <c r="BP6" s="249">
        <f>IF(BM6&gt;0,IF($M6="Saudi",MIN(BM6+$Q6*$V6,Assumptions!$B$14)*Assumptions!$B$12,MIN(BM6+$Q6*$V6,Assumptions!$B$14)*Assumptions!$B$13),0)</f>
        <v>0</v>
      </c>
      <c r="BQ6" s="249">
        <f>IF(AND(BM6&gt;0,$M6="Non-Saudi"),Assumptions!$B$25,0)</f>
        <v>910.41666666666663</v>
      </c>
      <c r="BR6" s="249">
        <f>IF(AND($D6="Contrat Local",$N6&lt;&gt;""),IF(AND(10&gt;=Assumptions!$B$5,ISNUMBER($X6),$N6&lt;EDATE(Assumptions!$B$9,-Assumptions!$B$6*12)),($P6+$X6)*$V6,$P6*$V6),0)</f>
        <v>9400</v>
      </c>
      <c r="BS6" s="249">
        <f t="shared" ref="BS6:BS69" si="18">IF(BR6&gt;0,BR6+($Q6+$R6+IF(ISNUMBER($S6),$S6,0)+IF(ISNUMBER($T6),$T6,0))*$V6,0)</f>
        <v>12400</v>
      </c>
      <c r="BT6" s="249">
        <f>IF(AND(BS6&gt;0,$N6&lt;&gt;""),IF((DATE(Assumptions!$B$4,10,28)-$N6)/365.25&lt;=Assumptions!$B$20,(DATE(Assumptions!$B$4,10,28)-$N6)/365.25*Assumptions!$B$18*BS6,(Assumptions!$B$20*Assumptions!$B$18+((DATE(Assumptions!$B$4,10,28)-$N6)/365.25-Assumptions!$B$20)*Assumptions!$B$19)*BS6),0)</f>
        <v>94918.138261464745</v>
      </c>
      <c r="BU6" s="249">
        <f>IF(BR6&gt;0,IF($M6="Saudi",MIN(BR6+$Q6*$V6,Assumptions!$B$14)*Assumptions!$B$12,MIN(BR6+$Q6*$V6,Assumptions!$B$14)*Assumptions!$B$13),0)</f>
        <v>0</v>
      </c>
      <c r="BV6" s="249">
        <f>IF(AND(BR6&gt;0,$M6="Non-Saudi"),Assumptions!$B$25,0)</f>
        <v>910.41666666666663</v>
      </c>
      <c r="BW6" s="249">
        <f>IF(AND($D6="Contrat Local",$N6&lt;&gt;""),IF(AND(11&gt;=Assumptions!$B$5,ISNUMBER($X6),$N6&lt;EDATE(Assumptions!$B$9,-Assumptions!$B$6*12)),($P6+$X6)*$V6,$P6*$V6),0)</f>
        <v>9400</v>
      </c>
      <c r="BX6" s="249">
        <f t="shared" ref="BX6:BX69" si="19">IF(BW6&gt;0,BW6+($Q6+$R6+IF(ISNUMBER($S6),$S6,0)+IF(ISNUMBER($T6),$T6,0))*$V6,0)</f>
        <v>12400</v>
      </c>
      <c r="BY6" s="249">
        <f>IF(AND(BX6&gt;0,$N6&lt;&gt;""),IF((DATE(Assumptions!$B$4,11,28)-$N6)/365.25&lt;=Assumptions!$B$20,(DATE(Assumptions!$B$4,11,28)-$N6)/365.25*Assumptions!$B$18*BX6,(Assumptions!$B$20*Assumptions!$B$18+((DATE(Assumptions!$B$4,11,28)-$N6)/365.25-Assumptions!$B$20)*Assumptions!$B$19)*BX6),0)</f>
        <v>95970.568104038321</v>
      </c>
      <c r="BZ6" s="249">
        <f>IF(BW6&gt;0,IF($M6="Saudi",MIN(BW6+$Q6*$V6,Assumptions!$B$14)*Assumptions!$B$12,MIN(BW6+$Q6*$V6,Assumptions!$B$14)*Assumptions!$B$13),0)</f>
        <v>0</v>
      </c>
      <c r="CA6" s="249">
        <f>IF(AND(BW6&gt;0,$M6="Non-Saudi"),Assumptions!$B$25,0)</f>
        <v>910.41666666666663</v>
      </c>
      <c r="CB6" s="249">
        <f>IF(AND($D6="Contrat Local",$N6&lt;&gt;""),IF(AND(12&gt;=Assumptions!$B$5,ISNUMBER($X6),$N6&lt;EDATE(Assumptions!$B$9,-Assumptions!$B$6*12)),($P6+$X6)*$V6,$P6*$V6),0)</f>
        <v>9400</v>
      </c>
      <c r="CC6" s="249">
        <f t="shared" ref="CC6:CC69" si="20">IF(CB6&gt;0,CB6+($Q6+$R6+IF(ISNUMBER($S6),$S6,0)+IF(ISNUMBER($T6),$T6,0))*$V6,0)</f>
        <v>12400</v>
      </c>
      <c r="CD6" s="249">
        <f>IF(AND(CC6&gt;0,$N6&lt;&gt;""),IF((DATE(Assumptions!$B$4,12,28)-$N6)/365.25&lt;=Assumptions!$B$20,(DATE(Assumptions!$B$4,12,28)-$N6)/365.25*Assumptions!$B$18*CC6,(Assumptions!$B$20*Assumptions!$B$18+((DATE(Assumptions!$B$4,12,28)-$N6)/365.25-Assumptions!$B$20)*Assumptions!$B$19)*CC6),0)</f>
        <v>96989.048596851469</v>
      </c>
      <c r="CE6" s="249">
        <f>IF(CB6&gt;0,IF($M6="Saudi",MIN(CB6+$Q6*$V6,Assumptions!$B$14)*Assumptions!$B$12,MIN(CB6+$Q6*$V6,Assumptions!$B$14)*Assumptions!$B$13),0)</f>
        <v>0</v>
      </c>
      <c r="CF6" s="249">
        <f>IF(AND(CB6&gt;0,$M6="Non-Saudi"),Assumptions!$B$25,0)</f>
        <v>910.41666666666663</v>
      </c>
      <c r="CG6" s="249">
        <f t="shared" ref="CG6:CG69" si="21">Y6+AD6+AI6+AN6+AS6+AX6+BC6+BH6+BM6+BR6+BW6+CB6</f>
        <v>109600</v>
      </c>
      <c r="CH6" s="249">
        <f t="shared" ref="CH6:CH69" si="22">Z6+AE6+AJ6+AO6+AT6+AY6+BD6+BI6+BN6+BS6+BX6+CC6</f>
        <v>145600</v>
      </c>
      <c r="CI6" s="249">
        <f>CD6-IF(AND(Z6&gt;0,$N6&lt;&gt;""),IF((DATE(Assumptions!$B$4-1,12,28)-$N6)/365.25&lt;=Assumptions!$B$20,(DATE(Assumptions!$B$4-1,12,28)-$N6)/365.25*Assumptions!$B$18*Z6,(Assumptions!$B$20*Assumptions!$B$18+((DATE(Assumptions!$B$4-1,12,28)-$N6)/365.25-Assumptions!$B$20)*Assumptions!$B$19)*Z6),0)</f>
        <v>15120.465434633807</v>
      </c>
      <c r="CJ6" s="249">
        <f t="shared" ref="CJ6:CJ69" si="23">AB6+AG6+AL6+AQ6+AV6+BA6+BF6+BK6+BP6+BU6+BZ6+CE6</f>
        <v>0</v>
      </c>
      <c r="CK6" s="249">
        <f t="shared" ref="CK6:CK69" si="24">AC6+AH6+AM6+AR6+AW6+BB6+BG6+BL6+BQ6+BV6+CA6+CF6</f>
        <v>10924.999999999998</v>
      </c>
    </row>
    <row r="7" spans="1:89" x14ac:dyDescent="0.2">
      <c r="A7" s="252">
        <v>3</v>
      </c>
      <c r="B7" s="253" t="s">
        <v>260</v>
      </c>
      <c r="C7" s="253" t="s">
        <v>261</v>
      </c>
      <c r="D7" s="253" t="s">
        <v>250</v>
      </c>
      <c r="E7" s="253" t="s">
        <v>767</v>
      </c>
      <c r="F7" s="253" t="s">
        <v>251</v>
      </c>
      <c r="G7" s="253" t="s">
        <v>252</v>
      </c>
      <c r="H7" s="253" t="s">
        <v>253</v>
      </c>
      <c r="I7" s="282" t="s">
        <v>690</v>
      </c>
      <c r="J7" s="253"/>
      <c r="K7" s="253" t="s">
        <v>252</v>
      </c>
      <c r="L7" s="253" t="s">
        <v>255</v>
      </c>
      <c r="M7" s="253" t="str">
        <f t="shared" si="0"/>
        <v>Non-Saudi</v>
      </c>
      <c r="N7" s="254">
        <v>45536</v>
      </c>
      <c r="O7" s="255">
        <v>2.2999999999999998</v>
      </c>
      <c r="P7" s="256">
        <v>7200</v>
      </c>
      <c r="Q7" s="256">
        <v>2500</v>
      </c>
      <c r="R7" s="256">
        <v>500</v>
      </c>
      <c r="S7" s="256"/>
      <c r="T7" s="256"/>
      <c r="U7" s="256">
        <v>10200</v>
      </c>
      <c r="V7" s="257">
        <v>1</v>
      </c>
      <c r="W7" s="253" t="s">
        <v>259</v>
      </c>
      <c r="X7" s="253">
        <v>200</v>
      </c>
      <c r="Y7" s="249">
        <f t="shared" si="1"/>
        <v>7200</v>
      </c>
      <c r="Z7" s="249">
        <f t="shared" si="2"/>
        <v>10200</v>
      </c>
      <c r="AA7" s="249">
        <f>IF(AND(Z7&gt;0,$N7&lt;&gt;""),IF((DATE(Assumptions!$B$4,1,28)-$N7)/365.25&lt;=Assumptions!$B$20,(DATE(Assumptions!$B$4,1,28)-$N7)/365.25*Assumptions!$B$18*Z7,(Assumptions!$B$20*Assumptions!$B$18+((DATE(Assumptions!$B$4,1,28)-$N7)/365.25-Assumptions!$B$20)*Assumptions!$B$19)*Z7),0)</f>
        <v>7177.0020533880897</v>
      </c>
      <c r="AB7" s="249">
        <f>IF(Y7&gt;0,IF($M7="Saudi",MIN(Y7+$Q7*$V7,Assumptions!$B$14)*Assumptions!$B$12,MIN(Y7+$Q7*$V7,Assumptions!$B$14)*Assumptions!$B$13),0)</f>
        <v>0</v>
      </c>
      <c r="AC7" s="249">
        <f>IF(AND(Y7&gt;0,$M7="Non-Saudi"),Assumptions!$B$25,0)</f>
        <v>910.41666666666663</v>
      </c>
      <c r="AD7" s="249">
        <f t="shared" si="3"/>
        <v>7200</v>
      </c>
      <c r="AE7" s="249">
        <f t="shared" si="4"/>
        <v>10200</v>
      </c>
      <c r="AF7" s="249">
        <f>IF(AND(AE7&gt;0,$N7&lt;&gt;""),IF((DATE(Assumptions!$B$4,2,28)-$N7)/365.25&lt;=Assumptions!$B$20,(DATE(Assumptions!$B$4,2,28)-$N7)/365.25*Assumptions!$B$18*AE7,(Assumptions!$B$20*Assumptions!$B$18+((DATE(Assumptions!$B$4,2,28)-$N7)/365.25-Assumptions!$B$20)*Assumptions!$B$19)*AE7),0)</f>
        <v>7609.8562628336758</v>
      </c>
      <c r="AG7" s="249">
        <f>IF(AD7&gt;0,IF($M7="Saudi",MIN(AD7+$Q7*$V7,Assumptions!$B$14)*Assumptions!$B$12,MIN(AD7+$Q7*$V7,Assumptions!$B$14)*Assumptions!$B$13),0)</f>
        <v>0</v>
      </c>
      <c r="AH7" s="249">
        <f>IF(AND(AD7&gt;0,$M7="Non-Saudi"),Assumptions!$B$25,0)</f>
        <v>910.41666666666663</v>
      </c>
      <c r="AI7" s="249">
        <f t="shared" si="5"/>
        <v>7200</v>
      </c>
      <c r="AJ7" s="249">
        <f t="shared" si="6"/>
        <v>10200</v>
      </c>
      <c r="AK7" s="249">
        <f>IF(AND(AJ7&gt;0,$N7&lt;&gt;""),IF((DATE(Assumptions!$B$4,3,28)-$N7)/365.25&lt;=Assumptions!$B$20,(DATE(Assumptions!$B$4,3,28)-$N7)/365.25*Assumptions!$B$18*AJ7,(Assumptions!$B$20*Assumptions!$B$18+((DATE(Assumptions!$B$4,3,28)-$N7)/365.25-Assumptions!$B$20)*Assumptions!$B$19)*AJ7),0)</f>
        <v>8000.8213552361394</v>
      </c>
      <c r="AL7" s="249">
        <f>IF(AI7&gt;0,IF($M7="Saudi",MIN(AI7+$Q7*$V7,Assumptions!$B$14)*Assumptions!$B$12,MIN(AI7+$Q7*$V7,Assumptions!$B$14)*Assumptions!$B$13),0)</f>
        <v>0</v>
      </c>
      <c r="AM7" s="249">
        <f>IF(AND(AI7&gt;0,$M7="Non-Saudi"),Assumptions!$B$25,0)</f>
        <v>910.41666666666663</v>
      </c>
      <c r="AN7" s="249">
        <f t="shared" si="7"/>
        <v>7200</v>
      </c>
      <c r="AO7" s="249">
        <f t="shared" si="8"/>
        <v>10200</v>
      </c>
      <c r="AP7" s="249">
        <f>IF(AND(AO7&gt;0,$N7&lt;&gt;""),IF((DATE(Assumptions!$B$4,4,28)-$N7)/365.25&lt;=Assumptions!$B$20,(DATE(Assumptions!$B$4,4,28)-$N7)/365.25*Assumptions!$B$18*AO7,(Assumptions!$B$20*Assumptions!$B$18+((DATE(Assumptions!$B$4,4,28)-$N7)/365.25-Assumptions!$B$20)*Assumptions!$B$19)*AO7),0)</f>
        <v>8433.6755646817255</v>
      </c>
      <c r="AQ7" s="249">
        <f>IF(AN7&gt;0,IF($M7="Saudi",MIN(AN7+$Q7*$V7,Assumptions!$B$14)*Assumptions!$B$12,MIN(AN7+$Q7*$V7,Assumptions!$B$14)*Assumptions!$B$13),0)</f>
        <v>0</v>
      </c>
      <c r="AR7" s="249">
        <f>IF(AND(AN7&gt;0,$M7="Non-Saudi"),Assumptions!$B$25,0)</f>
        <v>910.41666666666663</v>
      </c>
      <c r="AS7" s="249">
        <f t="shared" si="9"/>
        <v>7200</v>
      </c>
      <c r="AT7" s="249">
        <f t="shared" si="10"/>
        <v>10200</v>
      </c>
      <c r="AU7" s="249">
        <f>IF(AND(AT7&gt;0,$N7&lt;&gt;""),IF((DATE(Assumptions!$B$4,5,28)-$N7)/365.25&lt;=Assumptions!$B$20,(DATE(Assumptions!$B$4,5,28)-$N7)/365.25*Assumptions!$B$18*AT7,(Assumptions!$B$20*Assumptions!$B$18+((DATE(Assumptions!$B$4,5,28)-$N7)/365.25-Assumptions!$B$20)*Assumptions!$B$19)*AT7),0)</f>
        <v>8852.5667351129359</v>
      </c>
      <c r="AV7" s="249">
        <f>IF(AS7&gt;0,IF($M7="Saudi",MIN(AS7+$Q7*$V7,Assumptions!$B$14)*Assumptions!$B$12,MIN(AS7+$Q7*$V7,Assumptions!$B$14)*Assumptions!$B$13),0)</f>
        <v>0</v>
      </c>
      <c r="AW7" s="249">
        <f>IF(AND(AS7&gt;0,$M7="Non-Saudi"),Assumptions!$B$25,0)</f>
        <v>910.41666666666663</v>
      </c>
      <c r="AX7" s="249">
        <f t="shared" si="11"/>
        <v>7200</v>
      </c>
      <c r="AY7" s="249">
        <f t="shared" si="12"/>
        <v>10200</v>
      </c>
      <c r="AZ7" s="249">
        <f>IF(AND(AY7&gt;0,$N7&lt;&gt;""),IF((DATE(Assumptions!$B$4,6,28)-$N7)/365.25&lt;=Assumptions!$B$20,(DATE(Assumptions!$B$4,6,28)-$N7)/365.25*Assumptions!$B$18*AY7,(Assumptions!$B$20*Assumptions!$B$18+((DATE(Assumptions!$B$4,6,28)-$N7)/365.25-Assumptions!$B$20)*Assumptions!$B$19)*AY7),0)</f>
        <v>9285.420944558522</v>
      </c>
      <c r="BA7" s="249">
        <f>IF(AX7&gt;0,IF($M7="Saudi",MIN(AX7+$Q7*$V7,Assumptions!$B$14)*Assumptions!$B$12,MIN(AX7+$Q7*$V7,Assumptions!$B$14)*Assumptions!$B$13),0)</f>
        <v>0</v>
      </c>
      <c r="BB7" s="249">
        <f>IF(AND(AX7&gt;0,$M7="Non-Saudi"),Assumptions!$B$25,0)</f>
        <v>910.41666666666663</v>
      </c>
      <c r="BC7" s="249">
        <f t="shared" si="13"/>
        <v>7200</v>
      </c>
      <c r="BD7" s="249">
        <f t="shared" si="14"/>
        <v>10200</v>
      </c>
      <c r="BE7" s="249">
        <f>IF(AND(BD7&gt;0,$N7&lt;&gt;""),IF((DATE(Assumptions!$B$4,7,28)-$N7)/365.25&lt;=Assumptions!$B$20,(DATE(Assumptions!$B$4,7,28)-$N7)/365.25*Assumptions!$B$18*BD7,(Assumptions!$B$20*Assumptions!$B$18+((DATE(Assumptions!$B$4,7,28)-$N7)/365.25-Assumptions!$B$20)*Assumptions!$B$19)*BD7),0)</f>
        <v>9704.3121149897343</v>
      </c>
      <c r="BF7" s="249">
        <f>IF(BC7&gt;0,IF($M7="Saudi",MIN(BC7+$Q7*$V7,Assumptions!$B$14)*Assumptions!$B$12,MIN(BC7+$Q7*$V7,Assumptions!$B$14)*Assumptions!$B$13),0)</f>
        <v>0</v>
      </c>
      <c r="BG7" s="249">
        <f>IF(AND(BC7&gt;0,$M7="Non-Saudi"),Assumptions!$B$25,0)</f>
        <v>910.41666666666663</v>
      </c>
      <c r="BH7" s="249">
        <f t="shared" si="15"/>
        <v>7200</v>
      </c>
      <c r="BI7" s="249">
        <f t="shared" si="16"/>
        <v>10200</v>
      </c>
      <c r="BJ7" s="249">
        <f>IF(AND(BI7&gt;0,$N7&lt;&gt;""),IF((DATE(Assumptions!$B$4,8,28)-$N7)/365.25&lt;=Assumptions!$B$20,(DATE(Assumptions!$B$4,8,28)-$N7)/365.25*Assumptions!$B$18*BI7,(Assumptions!$B$20*Assumptions!$B$18+((DATE(Assumptions!$B$4,8,28)-$N7)/365.25-Assumptions!$B$20)*Assumptions!$B$19)*BI7),0)</f>
        <v>10137.166324435319</v>
      </c>
      <c r="BK7" s="249">
        <f>IF(BH7&gt;0,IF($M7="Saudi",MIN(BH7+$Q7*$V7,Assumptions!$B$14)*Assumptions!$B$12,MIN(BH7+$Q7*$V7,Assumptions!$B$14)*Assumptions!$B$13),0)</f>
        <v>0</v>
      </c>
      <c r="BL7" s="249">
        <f>IF(AND(BH7&gt;0,$M7="Non-Saudi"),Assumptions!$B$25,0)</f>
        <v>910.41666666666663</v>
      </c>
      <c r="BM7" s="249">
        <f>IF(AND($D7="Contrat Local",$N7&lt;&gt;""),IF(AND(9&gt;=Assumptions!$B$5,ISNUMBER($X7),$N7&lt;EDATE(Assumptions!$B$9,-Assumptions!$B$6*12)),($P7+$X7)*$V7,$P7*$V7),0)</f>
        <v>7400</v>
      </c>
      <c r="BN7" s="249">
        <f t="shared" si="17"/>
        <v>10400</v>
      </c>
      <c r="BO7" s="249">
        <f>IF(AND(BN7&gt;0,$N7&lt;&gt;""),IF((DATE(Assumptions!$B$4,9,28)-$N7)/365.25&lt;=Assumptions!$B$20,(DATE(Assumptions!$B$4,9,28)-$N7)/365.25*Assumptions!$B$18*BN7,(Assumptions!$B$20*Assumptions!$B$18+((DATE(Assumptions!$B$4,9,28)-$N7)/365.25-Assumptions!$B$20)*Assumptions!$B$19)*BN7),0)</f>
        <v>10777.275838466803</v>
      </c>
      <c r="BP7" s="249">
        <f>IF(BM7&gt;0,IF($M7="Saudi",MIN(BM7+$Q7*$V7,Assumptions!$B$14)*Assumptions!$B$12,MIN(BM7+$Q7*$V7,Assumptions!$B$14)*Assumptions!$B$13),0)</f>
        <v>0</v>
      </c>
      <c r="BQ7" s="249">
        <f>IF(AND(BM7&gt;0,$M7="Non-Saudi"),Assumptions!$B$25,0)</f>
        <v>910.41666666666663</v>
      </c>
      <c r="BR7" s="249">
        <f>IF(AND($D7="Contrat Local",$N7&lt;&gt;""),IF(AND(10&gt;=Assumptions!$B$5,ISNUMBER($X7),$N7&lt;EDATE(Assumptions!$B$9,-Assumptions!$B$6*12)),($P7+$X7)*$V7,$P7*$V7),0)</f>
        <v>7400</v>
      </c>
      <c r="BS7" s="249">
        <f t="shared" si="18"/>
        <v>10400</v>
      </c>
      <c r="BT7" s="249">
        <f>IF(AND(BS7&gt;0,$N7&lt;&gt;""),IF((DATE(Assumptions!$B$4,10,28)-$N7)/365.25&lt;=Assumptions!$B$20,(DATE(Assumptions!$B$4,10,28)-$N7)/365.25*Assumptions!$B$18*BS7,(Assumptions!$B$20*Assumptions!$B$18+((DATE(Assumptions!$B$4,10,28)-$N7)/365.25-Assumptions!$B$20)*Assumptions!$B$19)*BS7),0)</f>
        <v>11204.380561259411</v>
      </c>
      <c r="BU7" s="249">
        <f>IF(BR7&gt;0,IF($M7="Saudi",MIN(BR7+$Q7*$V7,Assumptions!$B$14)*Assumptions!$B$12,MIN(BR7+$Q7*$V7,Assumptions!$B$14)*Assumptions!$B$13),0)</f>
        <v>0</v>
      </c>
      <c r="BV7" s="249">
        <f>IF(AND(BR7&gt;0,$M7="Non-Saudi"),Assumptions!$B$25,0)</f>
        <v>910.41666666666663</v>
      </c>
      <c r="BW7" s="249">
        <f>IF(AND($D7="Contrat Local",$N7&lt;&gt;""),IF(AND(11&gt;=Assumptions!$B$5,ISNUMBER($X7),$N7&lt;EDATE(Assumptions!$B$9,-Assumptions!$B$6*12)),($P7+$X7)*$V7,$P7*$V7),0)</f>
        <v>7400</v>
      </c>
      <c r="BX7" s="249">
        <f t="shared" si="19"/>
        <v>10400</v>
      </c>
      <c r="BY7" s="249">
        <f>IF(AND(BX7&gt;0,$N7&lt;&gt;""),IF((DATE(Assumptions!$B$4,11,28)-$N7)/365.25&lt;=Assumptions!$B$20,(DATE(Assumptions!$B$4,11,28)-$N7)/365.25*Assumptions!$B$18*BX7,(Assumptions!$B$20*Assumptions!$B$18+((DATE(Assumptions!$B$4,11,28)-$N7)/365.25-Assumptions!$B$20)*Assumptions!$B$19)*BX7),0)</f>
        <v>11645.722108145106</v>
      </c>
      <c r="BZ7" s="249">
        <f>IF(BW7&gt;0,IF($M7="Saudi",MIN(BW7+$Q7*$V7,Assumptions!$B$14)*Assumptions!$B$12,MIN(BW7+$Q7*$V7,Assumptions!$B$14)*Assumptions!$B$13),0)</f>
        <v>0</v>
      </c>
      <c r="CA7" s="249">
        <f>IF(AND(BW7&gt;0,$M7="Non-Saudi"),Assumptions!$B$25,0)</f>
        <v>910.41666666666663</v>
      </c>
      <c r="CB7" s="249">
        <f>IF(AND($D7="Contrat Local",$N7&lt;&gt;""),IF(AND(12&gt;=Assumptions!$B$5,ISNUMBER($X7),$N7&lt;EDATE(Assumptions!$B$9,-Assumptions!$B$6*12)),($P7+$X7)*$V7,$P7*$V7),0)</f>
        <v>7400</v>
      </c>
      <c r="CC7" s="249">
        <f t="shared" si="20"/>
        <v>10400</v>
      </c>
      <c r="CD7" s="249">
        <f>IF(AND(CC7&gt;0,$N7&lt;&gt;""),IF((DATE(Assumptions!$B$4,12,28)-$N7)/365.25&lt;=Assumptions!$B$20,(DATE(Assumptions!$B$4,12,28)-$N7)/365.25*Assumptions!$B$18*CC7,(Assumptions!$B$20*Assumptions!$B$18+((DATE(Assumptions!$B$4,12,28)-$N7)/365.25-Assumptions!$B$20)*Assumptions!$B$19)*CC7),0)</f>
        <v>12072.826830937714</v>
      </c>
      <c r="CE7" s="249">
        <f>IF(CB7&gt;0,IF($M7="Saudi",MIN(CB7+$Q7*$V7,Assumptions!$B$14)*Assumptions!$B$12,MIN(CB7+$Q7*$V7,Assumptions!$B$14)*Assumptions!$B$13),0)</f>
        <v>0</v>
      </c>
      <c r="CF7" s="249">
        <f>IF(AND(CB7&gt;0,$M7="Non-Saudi"),Assumptions!$B$25,0)</f>
        <v>910.41666666666663</v>
      </c>
      <c r="CG7" s="249">
        <f t="shared" si="21"/>
        <v>87200</v>
      </c>
      <c r="CH7" s="249">
        <f t="shared" si="22"/>
        <v>123200</v>
      </c>
      <c r="CI7" s="249">
        <f>CD7-IF(AND(Z7&gt;0,$N7&lt;&gt;""),IF((DATE(Assumptions!$B$4-1,12,28)-$N7)/365.25&lt;=Assumptions!$B$20,(DATE(Assumptions!$B$4-1,12,28)-$N7)/365.25*Assumptions!$B$18*Z7,(Assumptions!$B$20*Assumptions!$B$18+((DATE(Assumptions!$B$4-1,12,28)-$N7)/365.25-Assumptions!$B$20)*Assumptions!$B$19)*Z7),0)</f>
        <v>5328.678986995209</v>
      </c>
      <c r="CJ7" s="249">
        <f t="shared" si="23"/>
        <v>0</v>
      </c>
      <c r="CK7" s="249">
        <f t="shared" si="24"/>
        <v>10924.999999999998</v>
      </c>
    </row>
    <row r="8" spans="1:89" x14ac:dyDescent="0.2">
      <c r="A8" s="258">
        <v>4</v>
      </c>
      <c r="B8" s="259" t="s">
        <v>262</v>
      </c>
      <c r="C8" s="259" t="s">
        <v>263</v>
      </c>
      <c r="D8" s="259" t="s">
        <v>250</v>
      </c>
      <c r="E8" s="259" t="s">
        <v>767</v>
      </c>
      <c r="F8" s="259" t="s">
        <v>264</v>
      </c>
      <c r="G8" s="259" t="s">
        <v>8</v>
      </c>
      <c r="H8" s="259" t="s">
        <v>265</v>
      </c>
      <c r="I8" s="283" t="s">
        <v>691</v>
      </c>
      <c r="J8" s="259" t="s">
        <v>58</v>
      </c>
      <c r="K8" s="259" t="s">
        <v>4</v>
      </c>
      <c r="L8" s="259" t="s">
        <v>255</v>
      </c>
      <c r="M8" s="259" t="str">
        <f t="shared" si="0"/>
        <v>Non-Saudi</v>
      </c>
      <c r="N8" s="260">
        <v>44440</v>
      </c>
      <c r="O8" s="261">
        <v>5.3</v>
      </c>
      <c r="P8" s="262">
        <v>9000</v>
      </c>
      <c r="Q8" s="262">
        <v>2500</v>
      </c>
      <c r="R8" s="262">
        <v>500</v>
      </c>
      <c r="S8" s="262"/>
      <c r="T8" s="262"/>
      <c r="U8" s="262">
        <v>12000</v>
      </c>
      <c r="V8" s="263">
        <v>1</v>
      </c>
      <c r="W8" s="259" t="s">
        <v>259</v>
      </c>
      <c r="X8" s="259">
        <v>250</v>
      </c>
      <c r="Y8" s="249">
        <f t="shared" si="1"/>
        <v>9000</v>
      </c>
      <c r="Z8" s="249">
        <f t="shared" si="2"/>
        <v>12000</v>
      </c>
      <c r="AA8" s="249">
        <f>IF(AND(Z8&gt;0,$N8&lt;&gt;""),IF((DATE(Assumptions!$B$4,1,28)-$N8)/365.25&lt;=Assumptions!$B$20,(DATE(Assumptions!$B$4,1,28)-$N8)/365.25*Assumptions!$B$18*Z8,(Assumptions!$B$20*Assumptions!$B$18+((DATE(Assumptions!$B$4,1,28)-$N8)/365.25-Assumptions!$B$20)*Assumptions!$B$19)*Z8),0)</f>
        <v>26447.638603696101</v>
      </c>
      <c r="AB8" s="249">
        <f>IF(Y8&gt;0,IF($M8="Saudi",MIN(Y8+$Q8*$V8,Assumptions!$B$14)*Assumptions!$B$12,MIN(Y8+$Q8*$V8,Assumptions!$B$14)*Assumptions!$B$13),0)</f>
        <v>0</v>
      </c>
      <c r="AC8" s="249">
        <f>IF(AND(Y8&gt;0,$M8="Non-Saudi"),Assumptions!$B$25,0)</f>
        <v>910.41666666666663</v>
      </c>
      <c r="AD8" s="249">
        <f t="shared" si="3"/>
        <v>9000</v>
      </c>
      <c r="AE8" s="249">
        <f t="shared" si="4"/>
        <v>12000</v>
      </c>
      <c r="AF8" s="249">
        <f>IF(AND(AE8&gt;0,$N8&lt;&gt;""),IF((DATE(Assumptions!$B$4,2,28)-$N8)/365.25&lt;=Assumptions!$B$20,(DATE(Assumptions!$B$4,2,28)-$N8)/365.25*Assumptions!$B$18*AE8,(Assumptions!$B$20*Assumptions!$B$18+((DATE(Assumptions!$B$4,2,28)-$N8)/365.25-Assumptions!$B$20)*Assumptions!$B$19)*AE8),0)</f>
        <v>26956.878850102672</v>
      </c>
      <c r="AG8" s="249">
        <f>IF(AD8&gt;0,IF($M8="Saudi",MIN(AD8+$Q8*$V8,Assumptions!$B$14)*Assumptions!$B$12,MIN(AD8+$Q8*$V8,Assumptions!$B$14)*Assumptions!$B$13),0)</f>
        <v>0</v>
      </c>
      <c r="AH8" s="249">
        <f>IF(AND(AD8&gt;0,$M8="Non-Saudi"),Assumptions!$B$25,0)</f>
        <v>910.41666666666663</v>
      </c>
      <c r="AI8" s="249">
        <f t="shared" si="5"/>
        <v>9000</v>
      </c>
      <c r="AJ8" s="249">
        <f t="shared" si="6"/>
        <v>12000</v>
      </c>
      <c r="AK8" s="249">
        <f>IF(AND(AJ8&gt;0,$N8&lt;&gt;""),IF((DATE(Assumptions!$B$4,3,28)-$N8)/365.25&lt;=Assumptions!$B$20,(DATE(Assumptions!$B$4,3,28)-$N8)/365.25*Assumptions!$B$18*AJ8,(Assumptions!$B$20*Assumptions!$B$18+((DATE(Assumptions!$B$4,3,28)-$N8)/365.25-Assumptions!$B$20)*Assumptions!$B$19)*AJ8),0)</f>
        <v>27416.837782340863</v>
      </c>
      <c r="AL8" s="249">
        <f>IF(AI8&gt;0,IF($M8="Saudi",MIN(AI8+$Q8*$V8,Assumptions!$B$14)*Assumptions!$B$12,MIN(AI8+$Q8*$V8,Assumptions!$B$14)*Assumptions!$B$13),0)</f>
        <v>0</v>
      </c>
      <c r="AM8" s="249">
        <f>IF(AND(AI8&gt;0,$M8="Non-Saudi"),Assumptions!$B$25,0)</f>
        <v>910.41666666666663</v>
      </c>
      <c r="AN8" s="249">
        <f t="shared" si="7"/>
        <v>9000</v>
      </c>
      <c r="AO8" s="249">
        <f t="shared" si="8"/>
        <v>12000</v>
      </c>
      <c r="AP8" s="249">
        <f>IF(AND(AO8&gt;0,$N8&lt;&gt;""),IF((DATE(Assumptions!$B$4,4,28)-$N8)/365.25&lt;=Assumptions!$B$20,(DATE(Assumptions!$B$4,4,28)-$N8)/365.25*Assumptions!$B$18*AO8,(Assumptions!$B$20*Assumptions!$B$18+((DATE(Assumptions!$B$4,4,28)-$N8)/365.25-Assumptions!$B$20)*Assumptions!$B$19)*AO8),0)</f>
        <v>27926.078028747434</v>
      </c>
      <c r="AQ8" s="249">
        <f>IF(AN8&gt;0,IF($M8="Saudi",MIN(AN8+$Q8*$V8,Assumptions!$B$14)*Assumptions!$B$12,MIN(AN8+$Q8*$V8,Assumptions!$B$14)*Assumptions!$B$13),0)</f>
        <v>0</v>
      </c>
      <c r="AR8" s="249">
        <f>IF(AND(AN8&gt;0,$M8="Non-Saudi"),Assumptions!$B$25,0)</f>
        <v>910.41666666666663</v>
      </c>
      <c r="AS8" s="249">
        <f t="shared" si="9"/>
        <v>9000</v>
      </c>
      <c r="AT8" s="249">
        <f t="shared" si="10"/>
        <v>12000</v>
      </c>
      <c r="AU8" s="249">
        <f>IF(AND(AT8&gt;0,$N8&lt;&gt;""),IF((DATE(Assumptions!$B$4,5,28)-$N8)/365.25&lt;=Assumptions!$B$20,(DATE(Assumptions!$B$4,5,28)-$N8)/365.25*Assumptions!$B$18*AT8,(Assumptions!$B$20*Assumptions!$B$18+((DATE(Assumptions!$B$4,5,28)-$N8)/365.25-Assumptions!$B$20)*Assumptions!$B$19)*AT8),0)</f>
        <v>28418.891170431212</v>
      </c>
      <c r="AV8" s="249">
        <f>IF(AS8&gt;0,IF($M8="Saudi",MIN(AS8+$Q8*$V8,Assumptions!$B$14)*Assumptions!$B$12,MIN(AS8+$Q8*$V8,Assumptions!$B$14)*Assumptions!$B$13),0)</f>
        <v>0</v>
      </c>
      <c r="AW8" s="249">
        <f>IF(AND(AS8&gt;0,$M8="Non-Saudi"),Assumptions!$B$25,0)</f>
        <v>910.41666666666663</v>
      </c>
      <c r="AX8" s="249">
        <f t="shared" si="11"/>
        <v>9000</v>
      </c>
      <c r="AY8" s="249">
        <f t="shared" si="12"/>
        <v>12000</v>
      </c>
      <c r="AZ8" s="249">
        <f>IF(AND(AY8&gt;0,$N8&lt;&gt;""),IF((DATE(Assumptions!$B$4,6,28)-$N8)/365.25&lt;=Assumptions!$B$20,(DATE(Assumptions!$B$4,6,28)-$N8)/365.25*Assumptions!$B$18*AY8,(Assumptions!$B$20*Assumptions!$B$18+((DATE(Assumptions!$B$4,6,28)-$N8)/365.25-Assumptions!$B$20)*Assumptions!$B$19)*AY8),0)</f>
        <v>28928.131416837779</v>
      </c>
      <c r="BA8" s="249">
        <f>IF(AX8&gt;0,IF($M8="Saudi",MIN(AX8+$Q8*$V8,Assumptions!$B$14)*Assumptions!$B$12,MIN(AX8+$Q8*$V8,Assumptions!$B$14)*Assumptions!$B$13),0)</f>
        <v>0</v>
      </c>
      <c r="BB8" s="249">
        <f>IF(AND(AX8&gt;0,$M8="Non-Saudi"),Assumptions!$B$25,0)</f>
        <v>910.41666666666663</v>
      </c>
      <c r="BC8" s="249">
        <f t="shared" si="13"/>
        <v>9000</v>
      </c>
      <c r="BD8" s="249">
        <f t="shared" si="14"/>
        <v>12000</v>
      </c>
      <c r="BE8" s="249">
        <f>IF(AND(BD8&gt;0,$N8&lt;&gt;""),IF((DATE(Assumptions!$B$4,7,28)-$N8)/365.25&lt;=Assumptions!$B$20,(DATE(Assumptions!$B$4,7,28)-$N8)/365.25*Assumptions!$B$18*BD8,(Assumptions!$B$20*Assumptions!$B$18+((DATE(Assumptions!$B$4,7,28)-$N8)/365.25-Assumptions!$B$20)*Assumptions!$B$19)*BD8),0)</f>
        <v>29420.944558521558</v>
      </c>
      <c r="BF8" s="249">
        <f>IF(BC8&gt;0,IF($M8="Saudi",MIN(BC8+$Q8*$V8,Assumptions!$B$14)*Assumptions!$B$12,MIN(BC8+$Q8*$V8,Assumptions!$B$14)*Assumptions!$B$13),0)</f>
        <v>0</v>
      </c>
      <c r="BG8" s="249">
        <f>IF(AND(BC8&gt;0,$M8="Non-Saudi"),Assumptions!$B$25,0)</f>
        <v>910.41666666666663</v>
      </c>
      <c r="BH8" s="249">
        <f t="shared" si="15"/>
        <v>9000</v>
      </c>
      <c r="BI8" s="249">
        <f t="shared" si="16"/>
        <v>12000</v>
      </c>
      <c r="BJ8" s="249">
        <f>IF(AND(BI8&gt;0,$N8&lt;&gt;""),IF((DATE(Assumptions!$B$4,8,28)-$N8)/365.25&lt;=Assumptions!$B$20,(DATE(Assumptions!$B$4,8,28)-$N8)/365.25*Assumptions!$B$18*BI8,(Assumptions!$B$20*Assumptions!$B$18+((DATE(Assumptions!$B$4,8,28)-$N8)/365.25-Assumptions!$B$20)*Assumptions!$B$19)*BI8),0)</f>
        <v>29930.184804928133</v>
      </c>
      <c r="BK8" s="249">
        <f>IF(BH8&gt;0,IF($M8="Saudi",MIN(BH8+$Q8*$V8,Assumptions!$B$14)*Assumptions!$B$12,MIN(BH8+$Q8*$V8,Assumptions!$B$14)*Assumptions!$B$13),0)</f>
        <v>0</v>
      </c>
      <c r="BL8" s="249">
        <f>IF(AND(BH8&gt;0,$M8="Non-Saudi"),Assumptions!$B$25,0)</f>
        <v>910.41666666666663</v>
      </c>
      <c r="BM8" s="249">
        <f>IF(AND($D8="Contrat Local",$N8&lt;&gt;""),IF(AND(9&gt;=Assumptions!$B$5,ISNUMBER($X8),$N8&lt;EDATE(Assumptions!$B$9,-Assumptions!$B$6*12)),($P8+$X8)*$V8,$P8*$V8),0)</f>
        <v>9250</v>
      </c>
      <c r="BN8" s="249">
        <f t="shared" si="17"/>
        <v>12250</v>
      </c>
      <c r="BO8" s="249">
        <f>IF(AND(BN8&gt;0,$N8&lt;&gt;""),IF((DATE(Assumptions!$B$4,9,28)-$N8)/365.25&lt;=Assumptions!$B$20,(DATE(Assumptions!$B$4,9,28)-$N8)/365.25*Assumptions!$B$18*BN8,(Assumptions!$B$20*Assumptions!$B$18+((DATE(Assumptions!$B$4,9,28)-$N8)/365.25-Assumptions!$B$20)*Assumptions!$B$19)*BN8),0)</f>
        <v>31522.159479808353</v>
      </c>
      <c r="BP8" s="249">
        <f>IF(BM8&gt;0,IF($M8="Saudi",MIN(BM8+$Q8*$V8,Assumptions!$B$14)*Assumptions!$B$12,MIN(BM8+$Q8*$V8,Assumptions!$B$14)*Assumptions!$B$13),0)</f>
        <v>0</v>
      </c>
      <c r="BQ8" s="249">
        <f>IF(AND(BM8&gt;0,$M8="Non-Saudi"),Assumptions!$B$25,0)</f>
        <v>910.41666666666663</v>
      </c>
      <c r="BR8" s="249">
        <f>IF(AND($D8="Contrat Local",$N8&lt;&gt;""),IF(AND(10&gt;=Assumptions!$B$5,ISNUMBER($X8),$N8&lt;EDATE(Assumptions!$B$9,-Assumptions!$B$6*12)),($P8+$X8)*$V8,$P8*$V8),0)</f>
        <v>9250</v>
      </c>
      <c r="BS8" s="249">
        <f t="shared" si="18"/>
        <v>12250</v>
      </c>
      <c r="BT8" s="249">
        <f>IF(AND(BS8&gt;0,$N8&lt;&gt;""),IF((DATE(Assumptions!$B$4,10,28)-$N8)/365.25&lt;=Assumptions!$B$20,(DATE(Assumptions!$B$4,10,28)-$N8)/365.25*Assumptions!$B$18*BS8,(Assumptions!$B$20*Assumptions!$B$18+((DATE(Assumptions!$B$4,10,28)-$N8)/365.25-Assumptions!$B$20)*Assumptions!$B$19)*BS8),0)</f>
        <v>32528.319644079398</v>
      </c>
      <c r="BU8" s="249">
        <f>IF(BR8&gt;0,IF($M8="Saudi",MIN(BR8+$Q8*$V8,Assumptions!$B$14)*Assumptions!$B$12,MIN(BR8+$Q8*$V8,Assumptions!$B$14)*Assumptions!$B$13),0)</f>
        <v>0</v>
      </c>
      <c r="BV8" s="249">
        <f>IF(AND(BR8&gt;0,$M8="Non-Saudi"),Assumptions!$B$25,0)</f>
        <v>910.41666666666663</v>
      </c>
      <c r="BW8" s="249">
        <f>IF(AND($D8="Contrat Local",$N8&lt;&gt;""),IF(AND(11&gt;=Assumptions!$B$5,ISNUMBER($X8),$N8&lt;EDATE(Assumptions!$B$9,-Assumptions!$B$6*12)),($P8+$X8)*$V8,$P8*$V8),0)</f>
        <v>9250</v>
      </c>
      <c r="BX8" s="249">
        <f t="shared" si="19"/>
        <v>12250</v>
      </c>
      <c r="BY8" s="249">
        <f>IF(AND(BX8&gt;0,$N8&lt;&gt;""),IF((DATE(Assumptions!$B$4,11,28)-$N8)/365.25&lt;=Assumptions!$B$20,(DATE(Assumptions!$B$4,11,28)-$N8)/365.25*Assumptions!$B$18*BX8,(Assumptions!$B$20*Assumptions!$B$18+((DATE(Assumptions!$B$4,11,28)-$N8)/365.25-Assumptions!$B$20)*Assumptions!$B$19)*BX8),0)</f>
        <v>33568.018480492814</v>
      </c>
      <c r="BZ8" s="249">
        <f>IF(BW8&gt;0,IF($M8="Saudi",MIN(BW8+$Q8*$V8,Assumptions!$B$14)*Assumptions!$B$12,MIN(BW8+$Q8*$V8,Assumptions!$B$14)*Assumptions!$B$13),0)</f>
        <v>0</v>
      </c>
      <c r="CA8" s="249">
        <f>IF(AND(BW8&gt;0,$M8="Non-Saudi"),Assumptions!$B$25,0)</f>
        <v>910.41666666666663</v>
      </c>
      <c r="CB8" s="249">
        <f>IF(AND($D8="Contrat Local",$N8&lt;&gt;""),IF(AND(12&gt;=Assumptions!$B$5,ISNUMBER($X8),$N8&lt;EDATE(Assumptions!$B$9,-Assumptions!$B$6*12)),($P8+$X8)*$V8,$P8*$V8),0)</f>
        <v>9250</v>
      </c>
      <c r="CC8" s="249">
        <f t="shared" si="20"/>
        <v>12250</v>
      </c>
      <c r="CD8" s="249">
        <f>IF(AND(CC8&gt;0,$N8&lt;&gt;""),IF((DATE(Assumptions!$B$4,12,28)-$N8)/365.25&lt;=Assumptions!$B$20,(DATE(Assumptions!$B$4,12,28)-$N8)/365.25*Assumptions!$B$18*CC8,(Assumptions!$B$20*Assumptions!$B$18+((DATE(Assumptions!$B$4,12,28)-$N8)/365.25-Assumptions!$B$20)*Assumptions!$B$19)*CC8),0)</f>
        <v>34574.178644763859</v>
      </c>
      <c r="CE8" s="249">
        <f>IF(CB8&gt;0,IF($M8="Saudi",MIN(CB8+$Q8*$V8,Assumptions!$B$14)*Assumptions!$B$12,MIN(CB8+$Q8*$V8,Assumptions!$B$14)*Assumptions!$B$13),0)</f>
        <v>0</v>
      </c>
      <c r="CF8" s="249">
        <f>IF(AND(CB8&gt;0,$M8="Non-Saudi"),Assumptions!$B$25,0)</f>
        <v>910.41666666666663</v>
      </c>
      <c r="CG8" s="249">
        <f t="shared" si="21"/>
        <v>109000</v>
      </c>
      <c r="CH8" s="249">
        <f t="shared" si="22"/>
        <v>145000</v>
      </c>
      <c r="CI8" s="249">
        <f>CD8-IF(AND(Z8&gt;0,$N8&lt;&gt;""),IF((DATE(Assumptions!$B$4-1,12,28)-$N8)/365.25&lt;=Assumptions!$B$20,(DATE(Assumptions!$B$4-1,12,28)-$N8)/365.25*Assumptions!$B$18*Z8,(Assumptions!$B$20*Assumptions!$B$18+((DATE(Assumptions!$B$4-1,12,28)-$N8)/365.25-Assumptions!$B$20)*Assumptions!$B$19)*Z8),0)</f>
        <v>8635.780287474332</v>
      </c>
      <c r="CJ8" s="249">
        <f t="shared" si="23"/>
        <v>0</v>
      </c>
      <c r="CK8" s="249">
        <f t="shared" si="24"/>
        <v>10924.999999999998</v>
      </c>
    </row>
    <row r="9" spans="1:89" x14ac:dyDescent="0.2">
      <c r="A9" s="264">
        <v>5</v>
      </c>
      <c r="B9" s="265" t="s">
        <v>266</v>
      </c>
      <c r="C9" s="265" t="s">
        <v>267</v>
      </c>
      <c r="D9" s="265" t="s">
        <v>250</v>
      </c>
      <c r="E9" s="265" t="s">
        <v>767</v>
      </c>
      <c r="F9" s="265" t="s">
        <v>264</v>
      </c>
      <c r="G9" s="265" t="s">
        <v>8</v>
      </c>
      <c r="H9" s="265" t="s">
        <v>265</v>
      </c>
      <c r="I9" s="284" t="s">
        <v>691</v>
      </c>
      <c r="J9" s="265" t="s">
        <v>58</v>
      </c>
      <c r="K9" s="265" t="s">
        <v>8</v>
      </c>
      <c r="L9" s="265" t="s">
        <v>255</v>
      </c>
      <c r="M9" s="265" t="str">
        <f t="shared" si="0"/>
        <v>Non-Saudi</v>
      </c>
      <c r="N9" s="266">
        <v>45901</v>
      </c>
      <c r="O9" s="267">
        <v>1.3</v>
      </c>
      <c r="P9" s="268">
        <v>10500</v>
      </c>
      <c r="Q9" s="268">
        <v>2500</v>
      </c>
      <c r="R9" s="268">
        <v>500</v>
      </c>
      <c r="S9" s="268"/>
      <c r="T9" s="268"/>
      <c r="U9" s="268">
        <v>13500</v>
      </c>
      <c r="V9" s="269">
        <v>1</v>
      </c>
      <c r="W9" s="265" t="s">
        <v>256</v>
      </c>
      <c r="X9" s="265" t="s">
        <v>268</v>
      </c>
      <c r="Y9" s="249">
        <f t="shared" si="1"/>
        <v>10500</v>
      </c>
      <c r="Z9" s="249">
        <f t="shared" si="2"/>
        <v>13500</v>
      </c>
      <c r="AA9" s="249">
        <f>IF(AND(Z9&gt;0,$N9&lt;&gt;""),IF((DATE(Assumptions!$B$4,1,28)-$N9)/365.25&lt;=Assumptions!$B$20,(DATE(Assumptions!$B$4,1,28)-$N9)/365.25*Assumptions!$B$18*Z9,(Assumptions!$B$20*Assumptions!$B$18+((DATE(Assumptions!$B$4,1,28)-$N9)/365.25-Assumptions!$B$20)*Assumptions!$B$19)*Z9),0)</f>
        <v>2753.5934291581111</v>
      </c>
      <c r="AB9" s="249">
        <f>IF(Y9&gt;0,IF($M9="Saudi",MIN(Y9+$Q9*$V9,Assumptions!$B$14)*Assumptions!$B$12,MIN(Y9+$Q9*$V9,Assumptions!$B$14)*Assumptions!$B$13),0)</f>
        <v>0</v>
      </c>
      <c r="AC9" s="249">
        <f>IF(AND(Y9&gt;0,$M9="Non-Saudi"),Assumptions!$B$25,0)</f>
        <v>910.41666666666663</v>
      </c>
      <c r="AD9" s="249">
        <f t="shared" si="3"/>
        <v>10500</v>
      </c>
      <c r="AE9" s="249">
        <f t="shared" si="4"/>
        <v>13500</v>
      </c>
      <c r="AF9" s="249">
        <f>IF(AND(AE9&gt;0,$N9&lt;&gt;""),IF((DATE(Assumptions!$B$4,2,28)-$N9)/365.25&lt;=Assumptions!$B$20,(DATE(Assumptions!$B$4,2,28)-$N9)/365.25*Assumptions!$B$18*AE9,(Assumptions!$B$20*Assumptions!$B$18+((DATE(Assumptions!$B$4,2,28)-$N9)/365.25-Assumptions!$B$20)*Assumptions!$B$19)*AE9),0)</f>
        <v>3326.4887063655028</v>
      </c>
      <c r="AG9" s="249">
        <f>IF(AD9&gt;0,IF($M9="Saudi",MIN(AD9+$Q9*$V9,Assumptions!$B$14)*Assumptions!$B$12,MIN(AD9+$Q9*$V9,Assumptions!$B$14)*Assumptions!$B$13),0)</f>
        <v>0</v>
      </c>
      <c r="AH9" s="249">
        <f>IF(AND(AD9&gt;0,$M9="Non-Saudi"),Assumptions!$B$25,0)</f>
        <v>910.41666666666663</v>
      </c>
      <c r="AI9" s="249">
        <f t="shared" si="5"/>
        <v>10500</v>
      </c>
      <c r="AJ9" s="249">
        <f t="shared" si="6"/>
        <v>13500</v>
      </c>
      <c r="AK9" s="249">
        <f>IF(AND(AJ9&gt;0,$N9&lt;&gt;""),IF((DATE(Assumptions!$B$4,3,28)-$N9)/365.25&lt;=Assumptions!$B$20,(DATE(Assumptions!$B$4,3,28)-$N9)/365.25*Assumptions!$B$18*AJ9,(Assumptions!$B$20*Assumptions!$B$18+((DATE(Assumptions!$B$4,3,28)-$N9)/365.25-Assumptions!$B$20)*Assumptions!$B$19)*AJ9),0)</f>
        <v>3843.9425051334706</v>
      </c>
      <c r="AL9" s="249">
        <f>IF(AI9&gt;0,IF($M9="Saudi",MIN(AI9+$Q9*$V9,Assumptions!$B$14)*Assumptions!$B$12,MIN(AI9+$Q9*$V9,Assumptions!$B$14)*Assumptions!$B$13),0)</f>
        <v>0</v>
      </c>
      <c r="AM9" s="249">
        <f>IF(AND(AI9&gt;0,$M9="Non-Saudi"),Assumptions!$B$25,0)</f>
        <v>910.41666666666663</v>
      </c>
      <c r="AN9" s="249">
        <f t="shared" si="7"/>
        <v>10500</v>
      </c>
      <c r="AO9" s="249">
        <f t="shared" si="8"/>
        <v>13500</v>
      </c>
      <c r="AP9" s="249">
        <f>IF(AND(AO9&gt;0,$N9&lt;&gt;""),IF((DATE(Assumptions!$B$4,4,28)-$N9)/365.25&lt;=Assumptions!$B$20,(DATE(Assumptions!$B$4,4,28)-$N9)/365.25*Assumptions!$B$18*AO9,(Assumptions!$B$20*Assumptions!$B$18+((DATE(Assumptions!$B$4,4,28)-$N9)/365.25-Assumptions!$B$20)*Assumptions!$B$19)*AO9),0)</f>
        <v>4416.8377823408628</v>
      </c>
      <c r="AQ9" s="249">
        <f>IF(AN9&gt;0,IF($M9="Saudi",MIN(AN9+$Q9*$V9,Assumptions!$B$14)*Assumptions!$B$12,MIN(AN9+$Q9*$V9,Assumptions!$B$14)*Assumptions!$B$13),0)</f>
        <v>0</v>
      </c>
      <c r="AR9" s="249">
        <f>IF(AND(AN9&gt;0,$M9="Non-Saudi"),Assumptions!$B$25,0)</f>
        <v>910.41666666666663</v>
      </c>
      <c r="AS9" s="249">
        <f t="shared" si="9"/>
        <v>10500</v>
      </c>
      <c r="AT9" s="249">
        <f t="shared" si="10"/>
        <v>13500</v>
      </c>
      <c r="AU9" s="249">
        <f>IF(AND(AT9&gt;0,$N9&lt;&gt;""),IF((DATE(Assumptions!$B$4,5,28)-$N9)/365.25&lt;=Assumptions!$B$20,(DATE(Assumptions!$B$4,5,28)-$N9)/365.25*Assumptions!$B$18*AT9,(Assumptions!$B$20*Assumptions!$B$18+((DATE(Assumptions!$B$4,5,28)-$N9)/365.25-Assumptions!$B$20)*Assumptions!$B$19)*AT9),0)</f>
        <v>4971.2525667351129</v>
      </c>
      <c r="AV9" s="249">
        <f>IF(AS9&gt;0,IF($M9="Saudi",MIN(AS9+$Q9*$V9,Assumptions!$B$14)*Assumptions!$B$12,MIN(AS9+$Q9*$V9,Assumptions!$B$14)*Assumptions!$B$13),0)</f>
        <v>0</v>
      </c>
      <c r="AW9" s="249">
        <f>IF(AND(AS9&gt;0,$M9="Non-Saudi"),Assumptions!$B$25,0)</f>
        <v>910.41666666666663</v>
      </c>
      <c r="AX9" s="249">
        <f t="shared" si="11"/>
        <v>10500</v>
      </c>
      <c r="AY9" s="249">
        <f t="shared" si="12"/>
        <v>13500</v>
      </c>
      <c r="AZ9" s="249">
        <f>IF(AND(AY9&gt;0,$N9&lt;&gt;""),IF((DATE(Assumptions!$B$4,6,28)-$N9)/365.25&lt;=Assumptions!$B$20,(DATE(Assumptions!$B$4,6,28)-$N9)/365.25*Assumptions!$B$18*AY9,(Assumptions!$B$20*Assumptions!$B$18+((DATE(Assumptions!$B$4,6,28)-$N9)/365.25-Assumptions!$B$20)*Assumptions!$B$19)*AY9),0)</f>
        <v>5544.1478439425046</v>
      </c>
      <c r="BA9" s="249">
        <f>IF(AX9&gt;0,IF($M9="Saudi",MIN(AX9+$Q9*$V9,Assumptions!$B$14)*Assumptions!$B$12,MIN(AX9+$Q9*$V9,Assumptions!$B$14)*Assumptions!$B$13),0)</f>
        <v>0</v>
      </c>
      <c r="BB9" s="249">
        <f>IF(AND(AX9&gt;0,$M9="Non-Saudi"),Assumptions!$B$25,0)</f>
        <v>910.41666666666663</v>
      </c>
      <c r="BC9" s="249">
        <f t="shared" si="13"/>
        <v>10500</v>
      </c>
      <c r="BD9" s="249">
        <f t="shared" si="14"/>
        <v>13500</v>
      </c>
      <c r="BE9" s="249">
        <f>IF(AND(BD9&gt;0,$N9&lt;&gt;""),IF((DATE(Assumptions!$B$4,7,28)-$N9)/365.25&lt;=Assumptions!$B$20,(DATE(Assumptions!$B$4,7,28)-$N9)/365.25*Assumptions!$B$18*BD9,(Assumptions!$B$20*Assumptions!$B$18+((DATE(Assumptions!$B$4,7,28)-$N9)/365.25-Assumptions!$B$20)*Assumptions!$B$19)*BD9),0)</f>
        <v>6098.5626283367556</v>
      </c>
      <c r="BF9" s="249">
        <f>IF(BC9&gt;0,IF($M9="Saudi",MIN(BC9+$Q9*$V9,Assumptions!$B$14)*Assumptions!$B$12,MIN(BC9+$Q9*$V9,Assumptions!$B$14)*Assumptions!$B$13),0)</f>
        <v>0</v>
      </c>
      <c r="BG9" s="249">
        <f>IF(AND(BC9&gt;0,$M9="Non-Saudi"),Assumptions!$B$25,0)</f>
        <v>910.41666666666663</v>
      </c>
      <c r="BH9" s="249">
        <f t="shared" si="15"/>
        <v>10500</v>
      </c>
      <c r="BI9" s="249">
        <f t="shared" si="16"/>
        <v>13500</v>
      </c>
      <c r="BJ9" s="249">
        <f>IF(AND(BI9&gt;0,$N9&lt;&gt;""),IF((DATE(Assumptions!$B$4,8,28)-$N9)/365.25&lt;=Assumptions!$B$20,(DATE(Assumptions!$B$4,8,28)-$N9)/365.25*Assumptions!$B$18*BI9,(Assumptions!$B$20*Assumptions!$B$18+((DATE(Assumptions!$B$4,8,28)-$N9)/365.25-Assumptions!$B$20)*Assumptions!$B$19)*BI9),0)</f>
        <v>6671.4579055441482</v>
      </c>
      <c r="BK9" s="249">
        <f>IF(BH9&gt;0,IF($M9="Saudi",MIN(BH9+$Q9*$V9,Assumptions!$B$14)*Assumptions!$B$12,MIN(BH9+$Q9*$V9,Assumptions!$B$14)*Assumptions!$B$13),0)</f>
        <v>0</v>
      </c>
      <c r="BL9" s="249">
        <f>IF(AND(BH9&gt;0,$M9="Non-Saudi"),Assumptions!$B$25,0)</f>
        <v>910.41666666666663</v>
      </c>
      <c r="BM9" s="249">
        <f>IF(AND($D9="Contrat Local",$N9&lt;&gt;""),IF(AND(9&gt;=Assumptions!$B$5,ISNUMBER($X9),$N9&lt;EDATE(Assumptions!$B$9,-Assumptions!$B$6*12)),($P9+$X9)*$V9,$P9*$V9),0)</f>
        <v>10500</v>
      </c>
      <c r="BN9" s="249">
        <f t="shared" si="17"/>
        <v>13500</v>
      </c>
      <c r="BO9" s="249">
        <f>IF(AND(BN9&gt;0,$N9&lt;&gt;""),IF((DATE(Assumptions!$B$4,9,28)-$N9)/365.25&lt;=Assumptions!$B$20,(DATE(Assumptions!$B$4,9,28)-$N9)/365.25*Assumptions!$B$18*BN9,(Assumptions!$B$20*Assumptions!$B$18+((DATE(Assumptions!$B$4,9,28)-$N9)/365.25-Assumptions!$B$20)*Assumptions!$B$19)*BN9),0)</f>
        <v>7244.3531827515399</v>
      </c>
      <c r="BP9" s="249">
        <f>IF(BM9&gt;0,IF($M9="Saudi",MIN(BM9+$Q9*$V9,Assumptions!$B$14)*Assumptions!$B$12,MIN(BM9+$Q9*$V9,Assumptions!$B$14)*Assumptions!$B$13),0)</f>
        <v>0</v>
      </c>
      <c r="BQ9" s="249">
        <f>IF(AND(BM9&gt;0,$M9="Non-Saudi"),Assumptions!$B$25,0)</f>
        <v>910.41666666666663</v>
      </c>
      <c r="BR9" s="249">
        <f>IF(AND($D9="Contrat Local",$N9&lt;&gt;""),IF(AND(10&gt;=Assumptions!$B$5,ISNUMBER($X9),$N9&lt;EDATE(Assumptions!$B$9,-Assumptions!$B$6*12)),($P9+$X9)*$V9,$P9*$V9),0)</f>
        <v>10500</v>
      </c>
      <c r="BS9" s="249">
        <f t="shared" si="18"/>
        <v>13500</v>
      </c>
      <c r="BT9" s="249">
        <f>IF(AND(BS9&gt;0,$N9&lt;&gt;""),IF((DATE(Assumptions!$B$4,10,28)-$N9)/365.25&lt;=Assumptions!$B$20,(DATE(Assumptions!$B$4,10,28)-$N9)/365.25*Assumptions!$B$18*BS9,(Assumptions!$B$20*Assumptions!$B$18+((DATE(Assumptions!$B$4,10,28)-$N9)/365.25-Assumptions!$B$20)*Assumptions!$B$19)*BS9),0)</f>
        <v>7798.7679671457909</v>
      </c>
      <c r="BU9" s="249">
        <f>IF(BR9&gt;0,IF($M9="Saudi",MIN(BR9+$Q9*$V9,Assumptions!$B$14)*Assumptions!$B$12,MIN(BR9+$Q9*$V9,Assumptions!$B$14)*Assumptions!$B$13),0)</f>
        <v>0</v>
      </c>
      <c r="BV9" s="249">
        <f>IF(AND(BR9&gt;0,$M9="Non-Saudi"),Assumptions!$B$25,0)</f>
        <v>910.41666666666663</v>
      </c>
      <c r="BW9" s="249">
        <f>IF(AND($D9="Contrat Local",$N9&lt;&gt;""),IF(AND(11&gt;=Assumptions!$B$5,ISNUMBER($X9),$N9&lt;EDATE(Assumptions!$B$9,-Assumptions!$B$6*12)),($P9+$X9)*$V9,$P9*$V9),0)</f>
        <v>10500</v>
      </c>
      <c r="BX9" s="249">
        <f t="shared" si="19"/>
        <v>13500</v>
      </c>
      <c r="BY9" s="249">
        <f>IF(AND(BX9&gt;0,$N9&lt;&gt;""),IF((DATE(Assumptions!$B$4,11,28)-$N9)/365.25&lt;=Assumptions!$B$20,(DATE(Assumptions!$B$4,11,28)-$N9)/365.25*Assumptions!$B$18*BX9,(Assumptions!$B$20*Assumptions!$B$18+((DATE(Assumptions!$B$4,11,28)-$N9)/365.25-Assumptions!$B$20)*Assumptions!$B$19)*BX9),0)</f>
        <v>8371.6632443531817</v>
      </c>
      <c r="BZ9" s="249">
        <f>IF(BW9&gt;0,IF($M9="Saudi",MIN(BW9+$Q9*$V9,Assumptions!$B$14)*Assumptions!$B$12,MIN(BW9+$Q9*$V9,Assumptions!$B$14)*Assumptions!$B$13),0)</f>
        <v>0</v>
      </c>
      <c r="CA9" s="249">
        <f>IF(AND(BW9&gt;0,$M9="Non-Saudi"),Assumptions!$B$25,0)</f>
        <v>910.41666666666663</v>
      </c>
      <c r="CB9" s="249">
        <f>IF(AND($D9="Contrat Local",$N9&lt;&gt;""),IF(AND(12&gt;=Assumptions!$B$5,ISNUMBER($X9),$N9&lt;EDATE(Assumptions!$B$9,-Assumptions!$B$6*12)),($P9+$X9)*$V9,$P9*$V9),0)</f>
        <v>10500</v>
      </c>
      <c r="CC9" s="249">
        <f t="shared" si="20"/>
        <v>13500</v>
      </c>
      <c r="CD9" s="249">
        <f>IF(AND(CC9&gt;0,$N9&lt;&gt;""),IF((DATE(Assumptions!$B$4,12,28)-$N9)/365.25&lt;=Assumptions!$B$20,(DATE(Assumptions!$B$4,12,28)-$N9)/365.25*Assumptions!$B$18*CC9,(Assumptions!$B$20*Assumptions!$B$18+((DATE(Assumptions!$B$4,12,28)-$N9)/365.25-Assumptions!$B$20)*Assumptions!$B$19)*CC9),0)</f>
        <v>8926.0780287474336</v>
      </c>
      <c r="CE9" s="249">
        <f>IF(CB9&gt;0,IF($M9="Saudi",MIN(CB9+$Q9*$V9,Assumptions!$B$14)*Assumptions!$B$12,MIN(CB9+$Q9*$V9,Assumptions!$B$14)*Assumptions!$B$13),0)</f>
        <v>0</v>
      </c>
      <c r="CF9" s="249">
        <f>IF(AND(CB9&gt;0,$M9="Non-Saudi"),Assumptions!$B$25,0)</f>
        <v>910.41666666666663</v>
      </c>
      <c r="CG9" s="249">
        <f t="shared" si="21"/>
        <v>126000</v>
      </c>
      <c r="CH9" s="249">
        <f t="shared" si="22"/>
        <v>162000</v>
      </c>
      <c r="CI9" s="249">
        <f>CD9-IF(AND(Z9&gt;0,$N9&lt;&gt;""),IF((DATE(Assumptions!$B$4-1,12,28)-$N9)/365.25&lt;=Assumptions!$B$20,(DATE(Assumptions!$B$4-1,12,28)-$N9)/365.25*Assumptions!$B$18*Z9,(Assumptions!$B$20*Assumptions!$B$18+((DATE(Assumptions!$B$4-1,12,28)-$N9)/365.25-Assumptions!$B$20)*Assumptions!$B$19)*Z9),0)</f>
        <v>6745.3798767967146</v>
      </c>
      <c r="CJ9" s="249">
        <f t="shared" si="23"/>
        <v>0</v>
      </c>
      <c r="CK9" s="249">
        <f t="shared" si="24"/>
        <v>10924.999999999998</v>
      </c>
    </row>
    <row r="10" spans="1:89" x14ac:dyDescent="0.2">
      <c r="A10" s="270">
        <v>6</v>
      </c>
      <c r="B10" s="271" t="s">
        <v>269</v>
      </c>
      <c r="C10" s="271" t="s">
        <v>270</v>
      </c>
      <c r="D10" s="271" t="s">
        <v>250</v>
      </c>
      <c r="E10" s="271" t="s">
        <v>767</v>
      </c>
      <c r="F10" s="271" t="s">
        <v>271</v>
      </c>
      <c r="G10" s="271" t="s">
        <v>272</v>
      </c>
      <c r="H10" s="271" t="s">
        <v>273</v>
      </c>
      <c r="I10" s="285" t="s">
        <v>690</v>
      </c>
      <c r="J10" s="271"/>
      <c r="K10" s="271" t="s">
        <v>272</v>
      </c>
      <c r="L10" s="271" t="s">
        <v>255</v>
      </c>
      <c r="M10" s="271" t="str">
        <f t="shared" si="0"/>
        <v>Non-Saudi</v>
      </c>
      <c r="N10" s="272">
        <v>42614</v>
      </c>
      <c r="O10" s="273">
        <v>10.3</v>
      </c>
      <c r="P10" s="274">
        <v>12250</v>
      </c>
      <c r="Q10" s="274">
        <v>2500</v>
      </c>
      <c r="R10" s="274">
        <v>500</v>
      </c>
      <c r="S10" s="274">
        <v>1000</v>
      </c>
      <c r="T10" s="274"/>
      <c r="U10" s="274">
        <v>16250</v>
      </c>
      <c r="V10" s="275">
        <v>1</v>
      </c>
      <c r="W10" s="271" t="s">
        <v>274</v>
      </c>
      <c r="X10" s="271">
        <v>250</v>
      </c>
      <c r="Y10" s="249">
        <f t="shared" si="1"/>
        <v>12250</v>
      </c>
      <c r="Z10" s="249">
        <f t="shared" si="2"/>
        <v>16250</v>
      </c>
      <c r="AA10" s="249">
        <f>IF(AND(Z10&gt;0,$N10&lt;&gt;""),IF((DATE(Assumptions!$B$4,1,28)-$N10)/365.25&lt;=Assumptions!$B$20,(DATE(Assumptions!$B$4,1,28)-$N10)/365.25*Assumptions!$B$18*Z10,(Assumptions!$B$20*Assumptions!$B$18+((DATE(Assumptions!$B$4,1,28)-$N10)/365.25-Assumptions!$B$20)*Assumptions!$B$19)*Z10),0)</f>
        <v>112242.89869952088</v>
      </c>
      <c r="AB10" s="249">
        <f>IF(Y10&gt;0,IF($M10="Saudi",MIN(Y10+$Q10*$V10,Assumptions!$B$14)*Assumptions!$B$12,MIN(Y10+$Q10*$V10,Assumptions!$B$14)*Assumptions!$B$13),0)</f>
        <v>0</v>
      </c>
      <c r="AC10" s="249">
        <f>IF(AND(Y10&gt;0,$M10="Non-Saudi"),Assumptions!$B$25,0)</f>
        <v>910.41666666666663</v>
      </c>
      <c r="AD10" s="249">
        <f t="shared" si="3"/>
        <v>12250</v>
      </c>
      <c r="AE10" s="249">
        <f t="shared" si="4"/>
        <v>16250</v>
      </c>
      <c r="AF10" s="249">
        <f>IF(AND(AE10&gt;0,$N10&lt;&gt;""),IF((DATE(Assumptions!$B$4,2,28)-$N10)/365.25&lt;=Assumptions!$B$20,(DATE(Assumptions!$B$4,2,28)-$N10)/365.25*Assumptions!$B$18*AE10,(Assumptions!$B$20*Assumptions!$B$18+((DATE(Assumptions!$B$4,2,28)-$N10)/365.25-Assumptions!$B$20)*Assumptions!$B$19)*AE10),0)</f>
        <v>113622.09103353867</v>
      </c>
      <c r="AG10" s="249">
        <f>IF(AD10&gt;0,IF($M10="Saudi",MIN(AD10+$Q10*$V10,Assumptions!$B$14)*Assumptions!$B$12,MIN(AD10+$Q10*$V10,Assumptions!$B$14)*Assumptions!$B$13),0)</f>
        <v>0</v>
      </c>
      <c r="AH10" s="249">
        <f>IF(AND(AD10&gt;0,$M10="Non-Saudi"),Assumptions!$B$25,0)</f>
        <v>910.41666666666663</v>
      </c>
      <c r="AI10" s="249">
        <f t="shared" si="5"/>
        <v>12250</v>
      </c>
      <c r="AJ10" s="249">
        <f t="shared" si="6"/>
        <v>16250</v>
      </c>
      <c r="AK10" s="249">
        <f>IF(AND(AJ10&gt;0,$N10&lt;&gt;""),IF((DATE(Assumptions!$B$4,3,28)-$N10)/365.25&lt;=Assumptions!$B$20,(DATE(Assumptions!$B$4,3,28)-$N10)/365.25*Assumptions!$B$18*AJ10,(Assumptions!$B$20*Assumptions!$B$18+((DATE(Assumptions!$B$4,3,28)-$N10)/365.25-Assumptions!$B$20)*Assumptions!$B$19)*AJ10),0)</f>
        <v>114867.81314168377</v>
      </c>
      <c r="AL10" s="249">
        <f>IF(AI10&gt;0,IF($M10="Saudi",MIN(AI10+$Q10*$V10,Assumptions!$B$14)*Assumptions!$B$12,MIN(AI10+$Q10*$V10,Assumptions!$B$14)*Assumptions!$B$13),0)</f>
        <v>0</v>
      </c>
      <c r="AM10" s="249">
        <f>IF(AND(AI10&gt;0,$M10="Non-Saudi"),Assumptions!$B$25,0)</f>
        <v>910.41666666666663</v>
      </c>
      <c r="AN10" s="249">
        <f t="shared" si="7"/>
        <v>12250</v>
      </c>
      <c r="AO10" s="249">
        <f t="shared" si="8"/>
        <v>16250</v>
      </c>
      <c r="AP10" s="249">
        <f>IF(AND(AO10&gt;0,$N10&lt;&gt;""),IF((DATE(Assumptions!$B$4,4,28)-$N10)/365.25&lt;=Assumptions!$B$20,(DATE(Assumptions!$B$4,4,28)-$N10)/365.25*Assumptions!$B$18*AO10,(Assumptions!$B$20*Assumptions!$B$18+((DATE(Assumptions!$B$4,4,28)-$N10)/365.25-Assumptions!$B$20)*Assumptions!$B$19)*AO10),0)</f>
        <v>116247.00547570156</v>
      </c>
      <c r="AQ10" s="249">
        <f>IF(AN10&gt;0,IF($M10="Saudi",MIN(AN10+$Q10*$V10,Assumptions!$B$14)*Assumptions!$B$12,MIN(AN10+$Q10*$V10,Assumptions!$B$14)*Assumptions!$B$13),0)</f>
        <v>0</v>
      </c>
      <c r="AR10" s="249">
        <f>IF(AND(AN10&gt;0,$M10="Non-Saudi"),Assumptions!$B$25,0)</f>
        <v>910.41666666666663</v>
      </c>
      <c r="AS10" s="249">
        <f t="shared" si="9"/>
        <v>12250</v>
      </c>
      <c r="AT10" s="249">
        <f t="shared" si="10"/>
        <v>16250</v>
      </c>
      <c r="AU10" s="249">
        <f>IF(AND(AT10&gt;0,$N10&lt;&gt;""),IF((DATE(Assumptions!$B$4,5,28)-$N10)/365.25&lt;=Assumptions!$B$20,(DATE(Assumptions!$B$4,5,28)-$N10)/365.25*Assumptions!$B$18*AT10,(Assumptions!$B$20*Assumptions!$B$18+((DATE(Assumptions!$B$4,5,28)-$N10)/365.25-Assumptions!$B$20)*Assumptions!$B$19)*AT10),0)</f>
        <v>117581.70773442848</v>
      </c>
      <c r="AV10" s="249">
        <f>IF(AS10&gt;0,IF($M10="Saudi",MIN(AS10+$Q10*$V10,Assumptions!$B$14)*Assumptions!$B$12,MIN(AS10+$Q10*$V10,Assumptions!$B$14)*Assumptions!$B$13),0)</f>
        <v>0</v>
      </c>
      <c r="AW10" s="249">
        <f>IF(AND(AS10&gt;0,$M10="Non-Saudi"),Assumptions!$B$25,0)</f>
        <v>910.41666666666663</v>
      </c>
      <c r="AX10" s="249">
        <f t="shared" si="11"/>
        <v>12250</v>
      </c>
      <c r="AY10" s="249">
        <f t="shared" si="12"/>
        <v>16250</v>
      </c>
      <c r="AZ10" s="249">
        <f>IF(AND(AY10&gt;0,$N10&lt;&gt;""),IF((DATE(Assumptions!$B$4,6,28)-$N10)/365.25&lt;=Assumptions!$B$20,(DATE(Assumptions!$B$4,6,28)-$N10)/365.25*Assumptions!$B$18*AY10,(Assumptions!$B$20*Assumptions!$B$18+((DATE(Assumptions!$B$4,6,28)-$N10)/365.25-Assumptions!$B$20)*Assumptions!$B$19)*AY10),0)</f>
        <v>118960.90006844627</v>
      </c>
      <c r="BA10" s="249">
        <f>IF(AX10&gt;0,IF($M10="Saudi",MIN(AX10+$Q10*$V10,Assumptions!$B$14)*Assumptions!$B$12,MIN(AX10+$Q10*$V10,Assumptions!$B$14)*Assumptions!$B$13),0)</f>
        <v>0</v>
      </c>
      <c r="BB10" s="249">
        <f>IF(AND(AX10&gt;0,$M10="Non-Saudi"),Assumptions!$B$25,0)</f>
        <v>910.41666666666663</v>
      </c>
      <c r="BC10" s="249">
        <f t="shared" si="13"/>
        <v>12250</v>
      </c>
      <c r="BD10" s="249">
        <f t="shared" si="14"/>
        <v>16250</v>
      </c>
      <c r="BE10" s="249">
        <f>IF(AND(BD10&gt;0,$N10&lt;&gt;""),IF((DATE(Assumptions!$B$4,7,28)-$N10)/365.25&lt;=Assumptions!$B$20,(DATE(Assumptions!$B$4,7,28)-$N10)/365.25*Assumptions!$B$18*BD10,(Assumptions!$B$20*Assumptions!$B$18+((DATE(Assumptions!$B$4,7,28)-$N10)/365.25-Assumptions!$B$20)*Assumptions!$B$19)*BD10),0)</f>
        <v>120295.60232717318</v>
      </c>
      <c r="BF10" s="249">
        <f>IF(BC10&gt;0,IF($M10="Saudi",MIN(BC10+$Q10*$V10,Assumptions!$B$14)*Assumptions!$B$12,MIN(BC10+$Q10*$V10,Assumptions!$B$14)*Assumptions!$B$13),0)</f>
        <v>0</v>
      </c>
      <c r="BG10" s="249">
        <f>IF(AND(BC10&gt;0,$M10="Non-Saudi"),Assumptions!$B$25,0)</f>
        <v>910.41666666666663</v>
      </c>
      <c r="BH10" s="249">
        <f t="shared" si="15"/>
        <v>12250</v>
      </c>
      <c r="BI10" s="249">
        <f t="shared" si="16"/>
        <v>16250</v>
      </c>
      <c r="BJ10" s="249">
        <f>IF(AND(BI10&gt;0,$N10&lt;&gt;""),IF((DATE(Assumptions!$B$4,8,28)-$N10)/365.25&lt;=Assumptions!$B$20,(DATE(Assumptions!$B$4,8,28)-$N10)/365.25*Assumptions!$B$18*BI10,(Assumptions!$B$20*Assumptions!$B$18+((DATE(Assumptions!$B$4,8,28)-$N10)/365.25-Assumptions!$B$20)*Assumptions!$B$19)*BI10),0)</f>
        <v>121674.79466119097</v>
      </c>
      <c r="BK10" s="249">
        <f>IF(BH10&gt;0,IF($M10="Saudi",MIN(BH10+$Q10*$V10,Assumptions!$B$14)*Assumptions!$B$12,MIN(BH10+$Q10*$V10,Assumptions!$B$14)*Assumptions!$B$13),0)</f>
        <v>0</v>
      </c>
      <c r="BL10" s="249">
        <f>IF(AND(BH10&gt;0,$M10="Non-Saudi"),Assumptions!$B$25,0)</f>
        <v>910.41666666666663</v>
      </c>
      <c r="BM10" s="249">
        <f>IF(AND($D10="Contrat Local",$N10&lt;&gt;""),IF(AND(9&gt;=Assumptions!$B$5,ISNUMBER($X10),$N10&lt;EDATE(Assumptions!$B$9,-Assumptions!$B$6*12)),($P10+$X10)*$V10,$P10*$V10),0)</f>
        <v>12500</v>
      </c>
      <c r="BN10" s="249">
        <f t="shared" si="17"/>
        <v>16500</v>
      </c>
      <c r="BO10" s="249">
        <f>IF(AND(BN10&gt;0,$N10&lt;&gt;""),IF((DATE(Assumptions!$B$4,9,28)-$N10)/365.25&lt;=Assumptions!$B$20,(DATE(Assumptions!$B$4,9,28)-$N10)/365.25*Assumptions!$B$18*BN10,(Assumptions!$B$20*Assumptions!$B$18+((DATE(Assumptions!$B$4,9,28)-$N10)/365.25-Assumptions!$B$20)*Assumptions!$B$19)*BN10),0)</f>
        <v>124947.12525667352</v>
      </c>
      <c r="BP10" s="249">
        <f>IF(BM10&gt;0,IF($M10="Saudi",MIN(BM10+$Q10*$V10,Assumptions!$B$14)*Assumptions!$B$12,MIN(BM10+$Q10*$V10,Assumptions!$B$14)*Assumptions!$B$13),0)</f>
        <v>0</v>
      </c>
      <c r="BQ10" s="249">
        <f>IF(AND(BM10&gt;0,$M10="Non-Saudi"),Assumptions!$B$25,0)</f>
        <v>910.41666666666663</v>
      </c>
      <c r="BR10" s="249">
        <f>IF(AND($D10="Contrat Local",$N10&lt;&gt;""),IF(AND(10&gt;=Assumptions!$B$5,ISNUMBER($X10),$N10&lt;EDATE(Assumptions!$B$9,-Assumptions!$B$6*12)),($P10+$X10)*$V10,$P10*$V10),0)</f>
        <v>12500</v>
      </c>
      <c r="BS10" s="249">
        <f t="shared" si="18"/>
        <v>16500</v>
      </c>
      <c r="BT10" s="249">
        <f>IF(AND(BS10&gt;0,$N10&lt;&gt;""),IF((DATE(Assumptions!$B$4,10,28)-$N10)/365.25&lt;=Assumptions!$B$20,(DATE(Assumptions!$B$4,10,28)-$N10)/365.25*Assumptions!$B$18*BS10,(Assumptions!$B$20*Assumptions!$B$18+((DATE(Assumptions!$B$4,10,28)-$N10)/365.25-Assumptions!$B$20)*Assumptions!$B$19)*BS10),0)</f>
        <v>126302.3613963039</v>
      </c>
      <c r="BU10" s="249">
        <f>IF(BR10&gt;0,IF($M10="Saudi",MIN(BR10+$Q10*$V10,Assumptions!$B$14)*Assumptions!$B$12,MIN(BR10+$Q10*$V10,Assumptions!$B$14)*Assumptions!$B$13),0)</f>
        <v>0</v>
      </c>
      <c r="BV10" s="249">
        <f>IF(AND(BR10&gt;0,$M10="Non-Saudi"),Assumptions!$B$25,0)</f>
        <v>910.41666666666663</v>
      </c>
      <c r="BW10" s="249">
        <f>IF(AND($D10="Contrat Local",$N10&lt;&gt;""),IF(AND(11&gt;=Assumptions!$B$5,ISNUMBER($X10),$N10&lt;EDATE(Assumptions!$B$9,-Assumptions!$B$6*12)),($P10+$X10)*$V10,$P10*$V10),0)</f>
        <v>12500</v>
      </c>
      <c r="BX10" s="249">
        <f t="shared" si="19"/>
        <v>16500</v>
      </c>
      <c r="BY10" s="249">
        <f>IF(AND(BX10&gt;0,$N10&lt;&gt;""),IF((DATE(Assumptions!$B$4,11,28)-$N10)/365.25&lt;=Assumptions!$B$20,(DATE(Assumptions!$B$4,11,28)-$N10)/365.25*Assumptions!$B$18*BX10,(Assumptions!$B$20*Assumptions!$B$18+((DATE(Assumptions!$B$4,11,28)-$N10)/365.25-Assumptions!$B$20)*Assumptions!$B$19)*BX10),0)</f>
        <v>127702.77207392197</v>
      </c>
      <c r="BZ10" s="249">
        <f>IF(BW10&gt;0,IF($M10="Saudi",MIN(BW10+$Q10*$V10,Assumptions!$B$14)*Assumptions!$B$12,MIN(BW10+$Q10*$V10,Assumptions!$B$14)*Assumptions!$B$13),0)</f>
        <v>0</v>
      </c>
      <c r="CA10" s="249">
        <f>IF(AND(BW10&gt;0,$M10="Non-Saudi"),Assumptions!$B$25,0)</f>
        <v>910.41666666666663</v>
      </c>
      <c r="CB10" s="249">
        <f>IF(AND($D10="Contrat Local",$N10&lt;&gt;""),IF(AND(12&gt;=Assumptions!$B$5,ISNUMBER($X10),$N10&lt;EDATE(Assumptions!$B$9,-Assumptions!$B$6*12)),($P10+$X10)*$V10,$P10*$V10),0)</f>
        <v>12500</v>
      </c>
      <c r="CC10" s="249">
        <f t="shared" si="20"/>
        <v>16500</v>
      </c>
      <c r="CD10" s="249">
        <f>IF(AND(CC10&gt;0,$N10&lt;&gt;""),IF((DATE(Assumptions!$B$4,12,28)-$N10)/365.25&lt;=Assumptions!$B$20,(DATE(Assumptions!$B$4,12,28)-$N10)/365.25*Assumptions!$B$18*CC10,(Assumptions!$B$20*Assumptions!$B$18+((DATE(Assumptions!$B$4,12,28)-$N10)/365.25-Assumptions!$B$20)*Assumptions!$B$19)*CC10),0)</f>
        <v>129058.00821355236</v>
      </c>
      <c r="CE10" s="249">
        <f>IF(CB10&gt;0,IF($M10="Saudi",MIN(CB10+$Q10*$V10,Assumptions!$B$14)*Assumptions!$B$12,MIN(CB10+$Q10*$V10,Assumptions!$B$14)*Assumptions!$B$13),0)</f>
        <v>0</v>
      </c>
      <c r="CF10" s="249">
        <f>IF(AND(CB10&gt;0,$M10="Non-Saudi"),Assumptions!$B$25,0)</f>
        <v>910.41666666666663</v>
      </c>
      <c r="CG10" s="249">
        <f t="shared" si="21"/>
        <v>148000</v>
      </c>
      <c r="CH10" s="249">
        <f t="shared" si="22"/>
        <v>196000</v>
      </c>
      <c r="CI10" s="249">
        <f>CD10-IF(AND(Z10&gt;0,$N10&lt;&gt;""),IF((DATE(Assumptions!$B$4-1,12,28)-$N10)/365.25&lt;=Assumptions!$B$20,(DATE(Assumptions!$B$4-1,12,28)-$N10)/365.25*Assumptions!$B$18*Z10,(Assumptions!$B$20*Assumptions!$B$18+((DATE(Assumptions!$B$4-1,12,28)-$N10)/365.25-Assumptions!$B$20)*Assumptions!$B$19)*Z10),0)</f>
        <v>18194.301848049261</v>
      </c>
      <c r="CJ10" s="249">
        <f t="shared" si="23"/>
        <v>0</v>
      </c>
      <c r="CK10" s="249">
        <f t="shared" si="24"/>
        <v>10924.999999999998</v>
      </c>
    </row>
    <row r="11" spans="1:89" x14ac:dyDescent="0.2">
      <c r="A11" s="264">
        <v>7</v>
      </c>
      <c r="B11" s="265" t="s">
        <v>275</v>
      </c>
      <c r="C11" s="265" t="s">
        <v>276</v>
      </c>
      <c r="D11" s="265" t="s">
        <v>250</v>
      </c>
      <c r="E11" s="265" t="s">
        <v>767</v>
      </c>
      <c r="F11" s="265" t="s">
        <v>264</v>
      </c>
      <c r="G11" s="265" t="s">
        <v>8</v>
      </c>
      <c r="H11" s="265" t="s">
        <v>265</v>
      </c>
      <c r="I11" s="284" t="s">
        <v>691</v>
      </c>
      <c r="J11" s="265" t="s">
        <v>58</v>
      </c>
      <c r="K11" s="265" t="s">
        <v>8</v>
      </c>
      <c r="L11" s="265" t="s">
        <v>255</v>
      </c>
      <c r="M11" s="265" t="str">
        <f t="shared" si="0"/>
        <v>Non-Saudi</v>
      </c>
      <c r="N11" s="266">
        <v>45901</v>
      </c>
      <c r="O11" s="267">
        <v>1.3</v>
      </c>
      <c r="P11" s="268">
        <v>8250</v>
      </c>
      <c r="Q11" s="268">
        <v>2500</v>
      </c>
      <c r="R11" s="268">
        <v>500</v>
      </c>
      <c r="S11" s="268"/>
      <c r="T11" s="268"/>
      <c r="U11" s="268">
        <v>11250</v>
      </c>
      <c r="V11" s="269">
        <v>1</v>
      </c>
      <c r="W11" s="265" t="s">
        <v>256</v>
      </c>
      <c r="X11" s="265" t="s">
        <v>268</v>
      </c>
      <c r="Y11" s="249">
        <f t="shared" si="1"/>
        <v>8250</v>
      </c>
      <c r="Z11" s="249">
        <f t="shared" si="2"/>
        <v>11250</v>
      </c>
      <c r="AA11" s="249">
        <f>IF(AND(Z11&gt;0,$N11&lt;&gt;""),IF((DATE(Assumptions!$B$4,1,28)-$N11)/365.25&lt;=Assumptions!$B$20,(DATE(Assumptions!$B$4,1,28)-$N11)/365.25*Assumptions!$B$18*Z11,(Assumptions!$B$20*Assumptions!$B$18+((DATE(Assumptions!$B$4,1,28)-$N11)/365.25-Assumptions!$B$20)*Assumptions!$B$19)*Z11),0)</f>
        <v>2294.6611909650924</v>
      </c>
      <c r="AB11" s="249">
        <f>IF(Y11&gt;0,IF($M11="Saudi",MIN(Y11+$Q11*$V11,Assumptions!$B$14)*Assumptions!$B$12,MIN(Y11+$Q11*$V11,Assumptions!$B$14)*Assumptions!$B$13),0)</f>
        <v>0</v>
      </c>
      <c r="AC11" s="249">
        <f>IF(AND(Y11&gt;0,$M11="Non-Saudi"),Assumptions!$B$25,0)</f>
        <v>910.41666666666663</v>
      </c>
      <c r="AD11" s="249">
        <f t="shared" si="3"/>
        <v>8250</v>
      </c>
      <c r="AE11" s="249">
        <f t="shared" si="4"/>
        <v>11250</v>
      </c>
      <c r="AF11" s="249">
        <f>IF(AND(AE11&gt;0,$N11&lt;&gt;""),IF((DATE(Assumptions!$B$4,2,28)-$N11)/365.25&lt;=Assumptions!$B$20,(DATE(Assumptions!$B$4,2,28)-$N11)/365.25*Assumptions!$B$18*AE11,(Assumptions!$B$20*Assumptions!$B$18+((DATE(Assumptions!$B$4,2,28)-$N11)/365.25-Assumptions!$B$20)*Assumptions!$B$19)*AE11),0)</f>
        <v>2772.0739219712523</v>
      </c>
      <c r="AG11" s="249">
        <f>IF(AD11&gt;0,IF($M11="Saudi",MIN(AD11+$Q11*$V11,Assumptions!$B$14)*Assumptions!$B$12,MIN(AD11+$Q11*$V11,Assumptions!$B$14)*Assumptions!$B$13),0)</f>
        <v>0</v>
      </c>
      <c r="AH11" s="249">
        <f>IF(AND(AD11&gt;0,$M11="Non-Saudi"),Assumptions!$B$25,0)</f>
        <v>910.41666666666663</v>
      </c>
      <c r="AI11" s="249">
        <f t="shared" si="5"/>
        <v>8250</v>
      </c>
      <c r="AJ11" s="249">
        <f t="shared" si="6"/>
        <v>11250</v>
      </c>
      <c r="AK11" s="249">
        <f>IF(AND(AJ11&gt;0,$N11&lt;&gt;""),IF((DATE(Assumptions!$B$4,3,28)-$N11)/365.25&lt;=Assumptions!$B$20,(DATE(Assumptions!$B$4,3,28)-$N11)/365.25*Assumptions!$B$18*AJ11,(Assumptions!$B$20*Assumptions!$B$18+((DATE(Assumptions!$B$4,3,28)-$N11)/365.25-Assumptions!$B$20)*Assumptions!$B$19)*AJ11),0)</f>
        <v>3203.2854209445586</v>
      </c>
      <c r="AL11" s="249">
        <f>IF(AI11&gt;0,IF($M11="Saudi",MIN(AI11+$Q11*$V11,Assumptions!$B$14)*Assumptions!$B$12,MIN(AI11+$Q11*$V11,Assumptions!$B$14)*Assumptions!$B$13),0)</f>
        <v>0</v>
      </c>
      <c r="AM11" s="249">
        <f>IF(AND(AI11&gt;0,$M11="Non-Saudi"),Assumptions!$B$25,0)</f>
        <v>910.41666666666663</v>
      </c>
      <c r="AN11" s="249">
        <f t="shared" si="7"/>
        <v>8250</v>
      </c>
      <c r="AO11" s="249">
        <f t="shared" si="8"/>
        <v>11250</v>
      </c>
      <c r="AP11" s="249">
        <f>IF(AND(AO11&gt;0,$N11&lt;&gt;""),IF((DATE(Assumptions!$B$4,4,28)-$N11)/365.25&lt;=Assumptions!$B$20,(DATE(Assumptions!$B$4,4,28)-$N11)/365.25*Assumptions!$B$18*AO11,(Assumptions!$B$20*Assumptions!$B$18+((DATE(Assumptions!$B$4,4,28)-$N11)/365.25-Assumptions!$B$20)*Assumptions!$B$19)*AO11),0)</f>
        <v>3680.6981519507185</v>
      </c>
      <c r="AQ11" s="249">
        <f>IF(AN11&gt;0,IF($M11="Saudi",MIN(AN11+$Q11*$V11,Assumptions!$B$14)*Assumptions!$B$12,MIN(AN11+$Q11*$V11,Assumptions!$B$14)*Assumptions!$B$13),0)</f>
        <v>0</v>
      </c>
      <c r="AR11" s="249">
        <f>IF(AND(AN11&gt;0,$M11="Non-Saudi"),Assumptions!$B$25,0)</f>
        <v>910.41666666666663</v>
      </c>
      <c r="AS11" s="249">
        <f t="shared" si="9"/>
        <v>8250</v>
      </c>
      <c r="AT11" s="249">
        <f t="shared" si="10"/>
        <v>11250</v>
      </c>
      <c r="AU11" s="249">
        <f>IF(AND(AT11&gt;0,$N11&lt;&gt;""),IF((DATE(Assumptions!$B$4,5,28)-$N11)/365.25&lt;=Assumptions!$B$20,(DATE(Assumptions!$B$4,5,28)-$N11)/365.25*Assumptions!$B$18*AT11,(Assumptions!$B$20*Assumptions!$B$18+((DATE(Assumptions!$B$4,5,28)-$N11)/365.25-Assumptions!$B$20)*Assumptions!$B$19)*AT11),0)</f>
        <v>4142.710472279261</v>
      </c>
      <c r="AV11" s="249">
        <f>IF(AS11&gt;0,IF($M11="Saudi",MIN(AS11+$Q11*$V11,Assumptions!$B$14)*Assumptions!$B$12,MIN(AS11+$Q11*$V11,Assumptions!$B$14)*Assumptions!$B$13),0)</f>
        <v>0</v>
      </c>
      <c r="AW11" s="249">
        <f>IF(AND(AS11&gt;0,$M11="Non-Saudi"),Assumptions!$B$25,0)</f>
        <v>910.41666666666663</v>
      </c>
      <c r="AX11" s="249">
        <f t="shared" si="11"/>
        <v>8250</v>
      </c>
      <c r="AY11" s="249">
        <f t="shared" si="12"/>
        <v>11250</v>
      </c>
      <c r="AZ11" s="249">
        <f>IF(AND(AY11&gt;0,$N11&lt;&gt;""),IF((DATE(Assumptions!$B$4,6,28)-$N11)/365.25&lt;=Assumptions!$B$20,(DATE(Assumptions!$B$4,6,28)-$N11)/365.25*Assumptions!$B$18*AY11,(Assumptions!$B$20*Assumptions!$B$18+((DATE(Assumptions!$B$4,6,28)-$N11)/365.25-Assumptions!$B$20)*Assumptions!$B$19)*AY11),0)</f>
        <v>4620.1232032854205</v>
      </c>
      <c r="BA11" s="249">
        <f>IF(AX11&gt;0,IF($M11="Saudi",MIN(AX11+$Q11*$V11,Assumptions!$B$14)*Assumptions!$B$12,MIN(AX11+$Q11*$V11,Assumptions!$B$14)*Assumptions!$B$13),0)</f>
        <v>0</v>
      </c>
      <c r="BB11" s="249">
        <f>IF(AND(AX11&gt;0,$M11="Non-Saudi"),Assumptions!$B$25,0)</f>
        <v>910.41666666666663</v>
      </c>
      <c r="BC11" s="249">
        <f t="shared" si="13"/>
        <v>8250</v>
      </c>
      <c r="BD11" s="249">
        <f t="shared" si="14"/>
        <v>11250</v>
      </c>
      <c r="BE11" s="249">
        <f>IF(AND(BD11&gt;0,$N11&lt;&gt;""),IF((DATE(Assumptions!$B$4,7,28)-$N11)/365.25&lt;=Assumptions!$B$20,(DATE(Assumptions!$B$4,7,28)-$N11)/365.25*Assumptions!$B$18*BD11,(Assumptions!$B$20*Assumptions!$B$18+((DATE(Assumptions!$B$4,7,28)-$N11)/365.25-Assumptions!$B$20)*Assumptions!$B$19)*BD11),0)</f>
        <v>5082.1355236139625</v>
      </c>
      <c r="BF11" s="249">
        <f>IF(BC11&gt;0,IF($M11="Saudi",MIN(BC11+$Q11*$V11,Assumptions!$B$14)*Assumptions!$B$12,MIN(BC11+$Q11*$V11,Assumptions!$B$14)*Assumptions!$B$13),0)</f>
        <v>0</v>
      </c>
      <c r="BG11" s="249">
        <f>IF(AND(BC11&gt;0,$M11="Non-Saudi"),Assumptions!$B$25,0)</f>
        <v>910.41666666666663</v>
      </c>
      <c r="BH11" s="249">
        <f t="shared" si="15"/>
        <v>8250</v>
      </c>
      <c r="BI11" s="249">
        <f t="shared" si="16"/>
        <v>11250</v>
      </c>
      <c r="BJ11" s="249">
        <f>IF(AND(BI11&gt;0,$N11&lt;&gt;""),IF((DATE(Assumptions!$B$4,8,28)-$N11)/365.25&lt;=Assumptions!$B$20,(DATE(Assumptions!$B$4,8,28)-$N11)/365.25*Assumptions!$B$18*BI11,(Assumptions!$B$20*Assumptions!$B$18+((DATE(Assumptions!$B$4,8,28)-$N11)/365.25-Assumptions!$B$20)*Assumptions!$B$19)*BI11),0)</f>
        <v>5559.5482546201238</v>
      </c>
      <c r="BK11" s="249">
        <f>IF(BH11&gt;0,IF($M11="Saudi",MIN(BH11+$Q11*$V11,Assumptions!$B$14)*Assumptions!$B$12,MIN(BH11+$Q11*$V11,Assumptions!$B$14)*Assumptions!$B$13),0)</f>
        <v>0</v>
      </c>
      <c r="BL11" s="249">
        <f>IF(AND(BH11&gt;0,$M11="Non-Saudi"),Assumptions!$B$25,0)</f>
        <v>910.41666666666663</v>
      </c>
      <c r="BM11" s="249">
        <f>IF(AND($D11="Contrat Local",$N11&lt;&gt;""),IF(AND(9&gt;=Assumptions!$B$5,ISNUMBER($X11),$N11&lt;EDATE(Assumptions!$B$9,-Assumptions!$B$6*12)),($P11+$X11)*$V11,$P11*$V11),0)</f>
        <v>8250</v>
      </c>
      <c r="BN11" s="249">
        <f t="shared" si="17"/>
        <v>11250</v>
      </c>
      <c r="BO11" s="249">
        <f>IF(AND(BN11&gt;0,$N11&lt;&gt;""),IF((DATE(Assumptions!$B$4,9,28)-$N11)/365.25&lt;=Assumptions!$B$20,(DATE(Assumptions!$B$4,9,28)-$N11)/365.25*Assumptions!$B$18*BN11,(Assumptions!$B$20*Assumptions!$B$18+((DATE(Assumptions!$B$4,9,28)-$N11)/365.25-Assumptions!$B$20)*Assumptions!$B$19)*BN11),0)</f>
        <v>6036.9609856262832</v>
      </c>
      <c r="BP11" s="249">
        <f>IF(BM11&gt;0,IF($M11="Saudi",MIN(BM11+$Q11*$V11,Assumptions!$B$14)*Assumptions!$B$12,MIN(BM11+$Q11*$V11,Assumptions!$B$14)*Assumptions!$B$13),0)</f>
        <v>0</v>
      </c>
      <c r="BQ11" s="249">
        <f>IF(AND(BM11&gt;0,$M11="Non-Saudi"),Assumptions!$B$25,0)</f>
        <v>910.41666666666663</v>
      </c>
      <c r="BR11" s="249">
        <f>IF(AND($D11="Contrat Local",$N11&lt;&gt;""),IF(AND(10&gt;=Assumptions!$B$5,ISNUMBER($X11),$N11&lt;EDATE(Assumptions!$B$9,-Assumptions!$B$6*12)),($P11+$X11)*$V11,$P11*$V11),0)</f>
        <v>8250</v>
      </c>
      <c r="BS11" s="249">
        <f t="shared" si="18"/>
        <v>11250</v>
      </c>
      <c r="BT11" s="249">
        <f>IF(AND(BS11&gt;0,$N11&lt;&gt;""),IF((DATE(Assumptions!$B$4,10,28)-$N11)/365.25&lt;=Assumptions!$B$20,(DATE(Assumptions!$B$4,10,28)-$N11)/365.25*Assumptions!$B$18*BS11,(Assumptions!$B$20*Assumptions!$B$18+((DATE(Assumptions!$B$4,10,28)-$N11)/365.25-Assumptions!$B$20)*Assumptions!$B$19)*BS11),0)</f>
        <v>6498.9733059548262</v>
      </c>
      <c r="BU11" s="249">
        <f>IF(BR11&gt;0,IF($M11="Saudi",MIN(BR11+$Q11*$V11,Assumptions!$B$14)*Assumptions!$B$12,MIN(BR11+$Q11*$V11,Assumptions!$B$14)*Assumptions!$B$13),0)</f>
        <v>0</v>
      </c>
      <c r="BV11" s="249">
        <f>IF(AND(BR11&gt;0,$M11="Non-Saudi"),Assumptions!$B$25,0)</f>
        <v>910.41666666666663</v>
      </c>
      <c r="BW11" s="249">
        <f>IF(AND($D11="Contrat Local",$N11&lt;&gt;""),IF(AND(11&gt;=Assumptions!$B$5,ISNUMBER($X11),$N11&lt;EDATE(Assumptions!$B$9,-Assumptions!$B$6*12)),($P11+$X11)*$V11,$P11*$V11),0)</f>
        <v>8250</v>
      </c>
      <c r="BX11" s="249">
        <f t="shared" si="19"/>
        <v>11250</v>
      </c>
      <c r="BY11" s="249">
        <f>IF(AND(BX11&gt;0,$N11&lt;&gt;""),IF((DATE(Assumptions!$B$4,11,28)-$N11)/365.25&lt;=Assumptions!$B$20,(DATE(Assumptions!$B$4,11,28)-$N11)/365.25*Assumptions!$B$18*BX11,(Assumptions!$B$20*Assumptions!$B$18+((DATE(Assumptions!$B$4,11,28)-$N11)/365.25-Assumptions!$B$20)*Assumptions!$B$19)*BX11),0)</f>
        <v>6976.3860369609856</v>
      </c>
      <c r="BZ11" s="249">
        <f>IF(BW11&gt;0,IF($M11="Saudi",MIN(BW11+$Q11*$V11,Assumptions!$B$14)*Assumptions!$B$12,MIN(BW11+$Q11*$V11,Assumptions!$B$14)*Assumptions!$B$13),0)</f>
        <v>0</v>
      </c>
      <c r="CA11" s="249">
        <f>IF(AND(BW11&gt;0,$M11="Non-Saudi"),Assumptions!$B$25,0)</f>
        <v>910.41666666666663</v>
      </c>
      <c r="CB11" s="249">
        <f>IF(AND($D11="Contrat Local",$N11&lt;&gt;""),IF(AND(12&gt;=Assumptions!$B$5,ISNUMBER($X11),$N11&lt;EDATE(Assumptions!$B$9,-Assumptions!$B$6*12)),($P11+$X11)*$V11,$P11*$V11),0)</f>
        <v>8250</v>
      </c>
      <c r="CC11" s="249">
        <f t="shared" si="20"/>
        <v>11250</v>
      </c>
      <c r="CD11" s="249">
        <f>IF(AND(CC11&gt;0,$N11&lt;&gt;""),IF((DATE(Assumptions!$B$4,12,28)-$N11)/365.25&lt;=Assumptions!$B$20,(DATE(Assumptions!$B$4,12,28)-$N11)/365.25*Assumptions!$B$18*CC11,(Assumptions!$B$20*Assumptions!$B$18+((DATE(Assumptions!$B$4,12,28)-$N11)/365.25-Assumptions!$B$20)*Assumptions!$B$19)*CC11),0)</f>
        <v>7438.3983572895277</v>
      </c>
      <c r="CE11" s="249">
        <f>IF(CB11&gt;0,IF($M11="Saudi",MIN(CB11+$Q11*$V11,Assumptions!$B$14)*Assumptions!$B$12,MIN(CB11+$Q11*$V11,Assumptions!$B$14)*Assumptions!$B$13),0)</f>
        <v>0</v>
      </c>
      <c r="CF11" s="249">
        <f>IF(AND(CB11&gt;0,$M11="Non-Saudi"),Assumptions!$B$25,0)</f>
        <v>910.41666666666663</v>
      </c>
      <c r="CG11" s="249">
        <f t="shared" si="21"/>
        <v>99000</v>
      </c>
      <c r="CH11" s="249">
        <f t="shared" si="22"/>
        <v>135000</v>
      </c>
      <c r="CI11" s="249">
        <f>CD11-IF(AND(Z11&gt;0,$N11&lt;&gt;""),IF((DATE(Assumptions!$B$4-1,12,28)-$N11)/365.25&lt;=Assumptions!$B$20,(DATE(Assumptions!$B$4-1,12,28)-$N11)/365.25*Assumptions!$B$18*Z11,(Assumptions!$B$20*Assumptions!$B$18+((DATE(Assumptions!$B$4-1,12,28)-$N11)/365.25-Assumptions!$B$20)*Assumptions!$B$19)*Z11),0)</f>
        <v>5621.1498973305952</v>
      </c>
      <c r="CJ11" s="249">
        <f t="shared" si="23"/>
        <v>0</v>
      </c>
      <c r="CK11" s="249">
        <f t="shared" si="24"/>
        <v>10924.999999999998</v>
      </c>
    </row>
    <row r="12" spans="1:89" x14ac:dyDescent="0.2">
      <c r="A12" s="258">
        <v>8</v>
      </c>
      <c r="B12" s="259" t="s">
        <v>277</v>
      </c>
      <c r="C12" s="259" t="s">
        <v>278</v>
      </c>
      <c r="D12" s="259" t="s">
        <v>250</v>
      </c>
      <c r="E12" s="259" t="s">
        <v>767</v>
      </c>
      <c r="F12" s="259" t="s">
        <v>264</v>
      </c>
      <c r="G12" s="259" t="s">
        <v>8</v>
      </c>
      <c r="H12" s="259" t="s">
        <v>265</v>
      </c>
      <c r="I12" s="283" t="s">
        <v>691</v>
      </c>
      <c r="J12" s="259" t="s">
        <v>58</v>
      </c>
      <c r="K12" s="259" t="s">
        <v>4</v>
      </c>
      <c r="L12" s="259" t="s">
        <v>255</v>
      </c>
      <c r="M12" s="259" t="str">
        <f t="shared" si="0"/>
        <v>Non-Saudi</v>
      </c>
      <c r="N12" s="260">
        <v>42614</v>
      </c>
      <c r="O12" s="261">
        <v>10.3</v>
      </c>
      <c r="P12" s="262">
        <v>10250</v>
      </c>
      <c r="Q12" s="262">
        <v>2500</v>
      </c>
      <c r="R12" s="262">
        <v>500</v>
      </c>
      <c r="S12" s="262"/>
      <c r="T12" s="262"/>
      <c r="U12" s="262">
        <v>13250</v>
      </c>
      <c r="V12" s="263">
        <v>1</v>
      </c>
      <c r="W12" s="259" t="s">
        <v>259</v>
      </c>
      <c r="X12" s="259">
        <v>250</v>
      </c>
      <c r="Y12" s="249">
        <f t="shared" si="1"/>
        <v>10250</v>
      </c>
      <c r="Z12" s="249">
        <f t="shared" si="2"/>
        <v>13250</v>
      </c>
      <c r="AA12" s="249">
        <f>IF(AND(Z12&gt;0,$N12&lt;&gt;""),IF((DATE(Assumptions!$B$4,1,28)-$N12)/365.25&lt;=Assumptions!$B$20,(DATE(Assumptions!$B$4,1,28)-$N12)/365.25*Assumptions!$B$18*Z12,(Assumptions!$B$20*Assumptions!$B$18+((DATE(Assumptions!$B$4,1,28)-$N12)/365.25-Assumptions!$B$20)*Assumptions!$B$19)*Z12),0)</f>
        <v>91521.132785763184</v>
      </c>
      <c r="AB12" s="249">
        <f>IF(Y12&gt;0,IF($M12="Saudi",MIN(Y12+$Q12*$V12,Assumptions!$B$14)*Assumptions!$B$12,MIN(Y12+$Q12*$V12,Assumptions!$B$14)*Assumptions!$B$13),0)</f>
        <v>0</v>
      </c>
      <c r="AC12" s="249">
        <f>IF(AND(Y12&gt;0,$M12="Non-Saudi"),Assumptions!$B$25,0)</f>
        <v>910.41666666666663</v>
      </c>
      <c r="AD12" s="249">
        <f t="shared" si="3"/>
        <v>10250</v>
      </c>
      <c r="AE12" s="249">
        <f t="shared" si="4"/>
        <v>13250</v>
      </c>
      <c r="AF12" s="249">
        <f>IF(AND(AE12&gt;0,$N12&lt;&gt;""),IF((DATE(Assumptions!$B$4,2,28)-$N12)/365.25&lt;=Assumptions!$B$20,(DATE(Assumptions!$B$4,2,28)-$N12)/365.25*Assumptions!$B$18*AE12,(Assumptions!$B$20*Assumptions!$B$18+((DATE(Assumptions!$B$4,2,28)-$N12)/365.25-Assumptions!$B$20)*Assumptions!$B$19)*AE12),0)</f>
        <v>92645.704996577697</v>
      </c>
      <c r="AG12" s="249">
        <f>IF(AD12&gt;0,IF($M12="Saudi",MIN(AD12+$Q12*$V12,Assumptions!$B$14)*Assumptions!$B$12,MIN(AD12+$Q12*$V12,Assumptions!$B$14)*Assumptions!$B$13),0)</f>
        <v>0</v>
      </c>
      <c r="AH12" s="249">
        <f>IF(AND(AD12&gt;0,$M12="Non-Saudi"),Assumptions!$B$25,0)</f>
        <v>910.41666666666663</v>
      </c>
      <c r="AI12" s="249">
        <f t="shared" si="5"/>
        <v>10250</v>
      </c>
      <c r="AJ12" s="249">
        <f t="shared" si="6"/>
        <v>13250</v>
      </c>
      <c r="AK12" s="249">
        <f>IF(AND(AJ12&gt;0,$N12&lt;&gt;""),IF((DATE(Assumptions!$B$4,3,28)-$N12)/365.25&lt;=Assumptions!$B$20,(DATE(Assumptions!$B$4,3,28)-$N12)/365.25*Assumptions!$B$18*AJ12,(Assumptions!$B$20*Assumptions!$B$18+((DATE(Assumptions!$B$4,3,28)-$N12)/365.25-Assumptions!$B$20)*Assumptions!$B$19)*AJ12),0)</f>
        <v>93661.447638603684</v>
      </c>
      <c r="AL12" s="249">
        <f>IF(AI12&gt;0,IF($M12="Saudi",MIN(AI12+$Q12*$V12,Assumptions!$B$14)*Assumptions!$B$12,MIN(AI12+$Q12*$V12,Assumptions!$B$14)*Assumptions!$B$13),0)</f>
        <v>0</v>
      </c>
      <c r="AM12" s="249">
        <f>IF(AND(AI12&gt;0,$M12="Non-Saudi"),Assumptions!$B$25,0)</f>
        <v>910.41666666666663</v>
      </c>
      <c r="AN12" s="249">
        <f t="shared" si="7"/>
        <v>10250</v>
      </c>
      <c r="AO12" s="249">
        <f t="shared" si="8"/>
        <v>13250</v>
      </c>
      <c r="AP12" s="249">
        <f>IF(AND(AO12&gt;0,$N12&lt;&gt;""),IF((DATE(Assumptions!$B$4,4,28)-$N12)/365.25&lt;=Assumptions!$B$20,(DATE(Assumptions!$B$4,4,28)-$N12)/365.25*Assumptions!$B$18*AO12,(Assumptions!$B$20*Assumptions!$B$18+((DATE(Assumptions!$B$4,4,28)-$N12)/365.25-Assumptions!$B$20)*Assumptions!$B$19)*AO12),0)</f>
        <v>94786.019849418197</v>
      </c>
      <c r="AQ12" s="249">
        <f>IF(AN12&gt;0,IF($M12="Saudi",MIN(AN12+$Q12*$V12,Assumptions!$B$14)*Assumptions!$B$12,MIN(AN12+$Q12*$V12,Assumptions!$B$14)*Assumptions!$B$13),0)</f>
        <v>0</v>
      </c>
      <c r="AR12" s="249">
        <f>IF(AND(AN12&gt;0,$M12="Non-Saudi"),Assumptions!$B$25,0)</f>
        <v>910.41666666666663</v>
      </c>
      <c r="AS12" s="249">
        <f t="shared" si="9"/>
        <v>10250</v>
      </c>
      <c r="AT12" s="249">
        <f t="shared" si="10"/>
        <v>13250</v>
      </c>
      <c r="AU12" s="249">
        <f>IF(AND(AT12&gt;0,$N12&lt;&gt;""),IF((DATE(Assumptions!$B$4,5,28)-$N12)/365.25&lt;=Assumptions!$B$20,(DATE(Assumptions!$B$4,5,28)-$N12)/365.25*Assumptions!$B$18*AT12,(Assumptions!$B$20*Assumptions!$B$18+((DATE(Assumptions!$B$4,5,28)-$N12)/365.25-Assumptions!$B$20)*Assumptions!$B$19)*AT12),0)</f>
        <v>95874.31553730322</v>
      </c>
      <c r="AV12" s="249">
        <f>IF(AS12&gt;0,IF($M12="Saudi",MIN(AS12+$Q12*$V12,Assumptions!$B$14)*Assumptions!$B$12,MIN(AS12+$Q12*$V12,Assumptions!$B$14)*Assumptions!$B$13),0)</f>
        <v>0</v>
      </c>
      <c r="AW12" s="249">
        <f>IF(AND(AS12&gt;0,$M12="Non-Saudi"),Assumptions!$B$25,0)</f>
        <v>910.41666666666663</v>
      </c>
      <c r="AX12" s="249">
        <f t="shared" si="11"/>
        <v>10250</v>
      </c>
      <c r="AY12" s="249">
        <f t="shared" si="12"/>
        <v>13250</v>
      </c>
      <c r="AZ12" s="249">
        <f>IF(AND(AY12&gt;0,$N12&lt;&gt;""),IF((DATE(Assumptions!$B$4,6,28)-$N12)/365.25&lt;=Assumptions!$B$20,(DATE(Assumptions!$B$4,6,28)-$N12)/365.25*Assumptions!$B$18*AY12,(Assumptions!$B$20*Assumptions!$B$18+((DATE(Assumptions!$B$4,6,28)-$N12)/365.25-Assumptions!$B$20)*Assumptions!$B$19)*AY12),0)</f>
        <v>96998.887748117733</v>
      </c>
      <c r="BA12" s="249">
        <f>IF(AX12&gt;0,IF($M12="Saudi",MIN(AX12+$Q12*$V12,Assumptions!$B$14)*Assumptions!$B$12,MIN(AX12+$Q12*$V12,Assumptions!$B$14)*Assumptions!$B$13),0)</f>
        <v>0</v>
      </c>
      <c r="BB12" s="249">
        <f>IF(AND(AX12&gt;0,$M12="Non-Saudi"),Assumptions!$B$25,0)</f>
        <v>910.41666666666663</v>
      </c>
      <c r="BC12" s="249">
        <f t="shared" si="13"/>
        <v>10250</v>
      </c>
      <c r="BD12" s="249">
        <f t="shared" si="14"/>
        <v>13250</v>
      </c>
      <c r="BE12" s="249">
        <f>IF(AND(BD12&gt;0,$N12&lt;&gt;""),IF((DATE(Assumptions!$B$4,7,28)-$N12)/365.25&lt;=Assumptions!$B$20,(DATE(Assumptions!$B$4,7,28)-$N12)/365.25*Assumptions!$B$18*BD12,(Assumptions!$B$20*Assumptions!$B$18+((DATE(Assumptions!$B$4,7,28)-$N12)/365.25-Assumptions!$B$20)*Assumptions!$B$19)*BD12),0)</f>
        <v>98087.183436002742</v>
      </c>
      <c r="BF12" s="249">
        <f>IF(BC12&gt;0,IF($M12="Saudi",MIN(BC12+$Q12*$V12,Assumptions!$B$14)*Assumptions!$B$12,MIN(BC12+$Q12*$V12,Assumptions!$B$14)*Assumptions!$B$13),0)</f>
        <v>0</v>
      </c>
      <c r="BG12" s="249">
        <f>IF(AND(BC12&gt;0,$M12="Non-Saudi"),Assumptions!$B$25,0)</f>
        <v>910.41666666666663</v>
      </c>
      <c r="BH12" s="249">
        <f t="shared" si="15"/>
        <v>10250</v>
      </c>
      <c r="BI12" s="249">
        <f t="shared" si="16"/>
        <v>13250</v>
      </c>
      <c r="BJ12" s="249">
        <f>IF(AND(BI12&gt;0,$N12&lt;&gt;""),IF((DATE(Assumptions!$B$4,8,28)-$N12)/365.25&lt;=Assumptions!$B$20,(DATE(Assumptions!$B$4,8,28)-$N12)/365.25*Assumptions!$B$18*BI12,(Assumptions!$B$20*Assumptions!$B$18+((DATE(Assumptions!$B$4,8,28)-$N12)/365.25-Assumptions!$B$20)*Assumptions!$B$19)*BI12),0)</f>
        <v>99211.755646817255</v>
      </c>
      <c r="BK12" s="249">
        <f>IF(BH12&gt;0,IF($M12="Saudi",MIN(BH12+$Q12*$V12,Assumptions!$B$14)*Assumptions!$B$12,MIN(BH12+$Q12*$V12,Assumptions!$B$14)*Assumptions!$B$13),0)</f>
        <v>0</v>
      </c>
      <c r="BL12" s="249">
        <f>IF(AND(BH12&gt;0,$M12="Non-Saudi"),Assumptions!$B$25,0)</f>
        <v>910.41666666666663</v>
      </c>
      <c r="BM12" s="249">
        <f>IF(AND($D12="Contrat Local",$N12&lt;&gt;""),IF(AND(9&gt;=Assumptions!$B$5,ISNUMBER($X12),$N12&lt;EDATE(Assumptions!$B$9,-Assumptions!$B$6*12)),($P12+$X12)*$V12,$P12*$V12),0)</f>
        <v>10500</v>
      </c>
      <c r="BN12" s="249">
        <f t="shared" si="17"/>
        <v>13500</v>
      </c>
      <c r="BO12" s="249">
        <f>IF(AND(BN12&gt;0,$N12&lt;&gt;""),IF((DATE(Assumptions!$B$4,9,28)-$N12)/365.25&lt;=Assumptions!$B$20,(DATE(Assumptions!$B$4,9,28)-$N12)/365.25*Assumptions!$B$18*BN12,(Assumptions!$B$20*Assumptions!$B$18+((DATE(Assumptions!$B$4,9,28)-$N12)/365.25-Assumptions!$B$20)*Assumptions!$B$19)*BN12),0)</f>
        <v>102229.46611909651</v>
      </c>
      <c r="BP12" s="249">
        <f>IF(BM12&gt;0,IF($M12="Saudi",MIN(BM12+$Q12*$V12,Assumptions!$B$14)*Assumptions!$B$12,MIN(BM12+$Q12*$V12,Assumptions!$B$14)*Assumptions!$B$13),0)</f>
        <v>0</v>
      </c>
      <c r="BQ12" s="249">
        <f>IF(AND(BM12&gt;0,$M12="Non-Saudi"),Assumptions!$B$25,0)</f>
        <v>910.41666666666663</v>
      </c>
      <c r="BR12" s="249">
        <f>IF(AND($D12="Contrat Local",$N12&lt;&gt;""),IF(AND(10&gt;=Assumptions!$B$5,ISNUMBER($X12),$N12&lt;EDATE(Assumptions!$B$9,-Assumptions!$B$6*12)),($P12+$X12)*$V12,$P12*$V12),0)</f>
        <v>10500</v>
      </c>
      <c r="BS12" s="249">
        <f t="shared" si="18"/>
        <v>13500</v>
      </c>
      <c r="BT12" s="249">
        <f>IF(AND(BS12&gt;0,$N12&lt;&gt;""),IF((DATE(Assumptions!$B$4,10,28)-$N12)/365.25&lt;=Assumptions!$B$20,(DATE(Assumptions!$B$4,10,28)-$N12)/365.25*Assumptions!$B$18*BS12,(Assumptions!$B$20*Assumptions!$B$18+((DATE(Assumptions!$B$4,10,28)-$N12)/365.25-Assumptions!$B$20)*Assumptions!$B$19)*BS12),0)</f>
        <v>103338.29568788501</v>
      </c>
      <c r="BU12" s="249">
        <f>IF(BR12&gt;0,IF($M12="Saudi",MIN(BR12+$Q12*$V12,Assumptions!$B$14)*Assumptions!$B$12,MIN(BR12+$Q12*$V12,Assumptions!$B$14)*Assumptions!$B$13),0)</f>
        <v>0</v>
      </c>
      <c r="BV12" s="249">
        <f>IF(AND(BR12&gt;0,$M12="Non-Saudi"),Assumptions!$B$25,0)</f>
        <v>910.41666666666663</v>
      </c>
      <c r="BW12" s="249">
        <f>IF(AND($D12="Contrat Local",$N12&lt;&gt;""),IF(AND(11&gt;=Assumptions!$B$5,ISNUMBER($X12),$N12&lt;EDATE(Assumptions!$B$9,-Assumptions!$B$6*12)),($P12+$X12)*$V12,$P12*$V12),0)</f>
        <v>10500</v>
      </c>
      <c r="BX12" s="249">
        <f t="shared" si="19"/>
        <v>13500</v>
      </c>
      <c r="BY12" s="249">
        <f>IF(AND(BX12&gt;0,$N12&lt;&gt;""),IF((DATE(Assumptions!$B$4,11,28)-$N12)/365.25&lt;=Assumptions!$B$20,(DATE(Assumptions!$B$4,11,28)-$N12)/365.25*Assumptions!$B$18*BX12,(Assumptions!$B$20*Assumptions!$B$18+((DATE(Assumptions!$B$4,11,28)-$N12)/365.25-Assumptions!$B$20)*Assumptions!$B$19)*BX12),0)</f>
        <v>104484.08624229979</v>
      </c>
      <c r="BZ12" s="249">
        <f>IF(BW12&gt;0,IF($M12="Saudi",MIN(BW12+$Q12*$V12,Assumptions!$B$14)*Assumptions!$B$12,MIN(BW12+$Q12*$V12,Assumptions!$B$14)*Assumptions!$B$13),0)</f>
        <v>0</v>
      </c>
      <c r="CA12" s="249">
        <f>IF(AND(BW12&gt;0,$M12="Non-Saudi"),Assumptions!$B$25,0)</f>
        <v>910.41666666666663</v>
      </c>
      <c r="CB12" s="249">
        <f>IF(AND($D12="Contrat Local",$N12&lt;&gt;""),IF(AND(12&gt;=Assumptions!$B$5,ISNUMBER($X12),$N12&lt;EDATE(Assumptions!$B$9,-Assumptions!$B$6*12)),($P12+$X12)*$V12,$P12*$V12),0)</f>
        <v>10500</v>
      </c>
      <c r="CC12" s="249">
        <f t="shared" si="20"/>
        <v>13500</v>
      </c>
      <c r="CD12" s="249">
        <f>IF(AND(CC12&gt;0,$N12&lt;&gt;""),IF((DATE(Assumptions!$B$4,12,28)-$N12)/365.25&lt;=Assumptions!$B$20,(DATE(Assumptions!$B$4,12,28)-$N12)/365.25*Assumptions!$B$18*CC12,(Assumptions!$B$20*Assumptions!$B$18+((DATE(Assumptions!$B$4,12,28)-$N12)/365.25-Assumptions!$B$20)*Assumptions!$B$19)*CC12),0)</f>
        <v>105592.9158110883</v>
      </c>
      <c r="CE12" s="249">
        <f>IF(CB12&gt;0,IF($M12="Saudi",MIN(CB12+$Q12*$V12,Assumptions!$B$14)*Assumptions!$B$12,MIN(CB12+$Q12*$V12,Assumptions!$B$14)*Assumptions!$B$13),0)</f>
        <v>0</v>
      </c>
      <c r="CF12" s="249">
        <f>IF(AND(CB12&gt;0,$M12="Non-Saudi"),Assumptions!$B$25,0)</f>
        <v>910.41666666666663</v>
      </c>
      <c r="CG12" s="249">
        <f t="shared" si="21"/>
        <v>124000</v>
      </c>
      <c r="CH12" s="249">
        <f t="shared" si="22"/>
        <v>160000</v>
      </c>
      <c r="CI12" s="249">
        <f>CD12-IF(AND(Z12&gt;0,$N12&lt;&gt;""),IF((DATE(Assumptions!$B$4-1,12,28)-$N12)/365.25&lt;=Assumptions!$B$20,(DATE(Assumptions!$B$4-1,12,28)-$N12)/365.25*Assumptions!$B$18*Z12,(Assumptions!$B$20*Assumptions!$B$18+((DATE(Assumptions!$B$4-1,12,28)-$N12)/365.25-Assumptions!$B$20)*Assumptions!$B$19)*Z12),0)</f>
        <v>15196.355236139629</v>
      </c>
      <c r="CJ12" s="249">
        <f t="shared" si="23"/>
        <v>0</v>
      </c>
      <c r="CK12" s="249">
        <f t="shared" si="24"/>
        <v>10924.999999999998</v>
      </c>
    </row>
    <row r="13" spans="1:89" x14ac:dyDescent="0.2">
      <c r="A13" s="264">
        <v>9</v>
      </c>
      <c r="B13" s="265" t="s">
        <v>279</v>
      </c>
      <c r="C13" s="265" t="s">
        <v>280</v>
      </c>
      <c r="D13" s="265" t="s">
        <v>250</v>
      </c>
      <c r="E13" s="265" t="s">
        <v>767</v>
      </c>
      <c r="F13" s="265" t="s">
        <v>281</v>
      </c>
      <c r="G13" s="265" t="s">
        <v>8</v>
      </c>
      <c r="H13" s="265" t="s">
        <v>43</v>
      </c>
      <c r="I13" s="284" t="s">
        <v>691</v>
      </c>
      <c r="J13" s="286" t="s">
        <v>694</v>
      </c>
      <c r="K13" s="265" t="s">
        <v>282</v>
      </c>
      <c r="L13" s="265" t="s">
        <v>255</v>
      </c>
      <c r="M13" s="265" t="str">
        <f t="shared" si="0"/>
        <v>Non-Saudi</v>
      </c>
      <c r="N13" s="266">
        <v>35309</v>
      </c>
      <c r="O13" s="267">
        <v>30.3</v>
      </c>
      <c r="P13" s="268">
        <v>9750</v>
      </c>
      <c r="Q13" s="268">
        <v>2500</v>
      </c>
      <c r="R13" s="268">
        <v>500</v>
      </c>
      <c r="S13" s="268"/>
      <c r="T13" s="268">
        <v>1140</v>
      </c>
      <c r="U13" s="268">
        <v>13890</v>
      </c>
      <c r="V13" s="269">
        <v>1</v>
      </c>
      <c r="W13" s="265" t="s">
        <v>259</v>
      </c>
      <c r="X13" s="265">
        <v>250</v>
      </c>
      <c r="Y13" s="249">
        <f t="shared" si="1"/>
        <v>9750</v>
      </c>
      <c r="Z13" s="249">
        <f t="shared" si="2"/>
        <v>13890</v>
      </c>
      <c r="AA13" s="249">
        <f>IF(AND(Z13&gt;0,$N13&lt;&gt;""),IF((DATE(Assumptions!$B$4,1,28)-$N13)/365.25&lt;=Assumptions!$B$20,(DATE(Assumptions!$B$4,1,28)-$N13)/365.25*Assumptions!$B$18*Z13,(Assumptions!$B$20*Assumptions!$B$18+((DATE(Assumptions!$B$4,1,28)-$N13)/365.25-Assumptions!$B$20)*Assumptions!$B$19)*Z13),0)</f>
        <v>373741.77618069813</v>
      </c>
      <c r="AB13" s="249">
        <f>IF(Y13&gt;0,IF($M13="Saudi",MIN(Y13+$Q13*$V13,Assumptions!$B$14)*Assumptions!$B$12,MIN(Y13+$Q13*$V13,Assumptions!$B$14)*Assumptions!$B$13),0)</f>
        <v>0</v>
      </c>
      <c r="AC13" s="249">
        <f>IF(AND(Y13&gt;0,$M13="Non-Saudi"),Assumptions!$B$25,0)</f>
        <v>910.41666666666663</v>
      </c>
      <c r="AD13" s="249">
        <f t="shared" si="3"/>
        <v>9750</v>
      </c>
      <c r="AE13" s="249">
        <f t="shared" si="4"/>
        <v>13890</v>
      </c>
      <c r="AF13" s="249">
        <f>IF(AND(AE13&gt;0,$N13&lt;&gt;""),IF((DATE(Assumptions!$B$4,2,28)-$N13)/365.25&lt;=Assumptions!$B$20,(DATE(Assumptions!$B$4,2,28)-$N13)/365.25*Assumptions!$B$18*AE13,(Assumptions!$B$20*Assumptions!$B$18+((DATE(Assumptions!$B$4,2,28)-$N13)/365.25-Assumptions!$B$20)*Assumptions!$B$19)*AE13),0)</f>
        <v>374920.66735112935</v>
      </c>
      <c r="AG13" s="249">
        <f>IF(AD13&gt;0,IF($M13="Saudi",MIN(AD13+$Q13*$V13,Assumptions!$B$14)*Assumptions!$B$12,MIN(AD13+$Q13*$V13,Assumptions!$B$14)*Assumptions!$B$13),0)</f>
        <v>0</v>
      </c>
      <c r="AH13" s="249">
        <f>IF(AND(AD13&gt;0,$M13="Non-Saudi"),Assumptions!$B$25,0)</f>
        <v>910.41666666666663</v>
      </c>
      <c r="AI13" s="249">
        <f t="shared" si="5"/>
        <v>9750</v>
      </c>
      <c r="AJ13" s="249">
        <f t="shared" si="6"/>
        <v>13890</v>
      </c>
      <c r="AK13" s="249">
        <f>IF(AND(AJ13&gt;0,$N13&lt;&gt;""),IF((DATE(Assumptions!$B$4,3,28)-$N13)/365.25&lt;=Assumptions!$B$20,(DATE(Assumptions!$B$4,3,28)-$N13)/365.25*Assumptions!$B$18*AJ13,(Assumptions!$B$20*Assumptions!$B$18+((DATE(Assumptions!$B$4,3,28)-$N13)/365.25-Assumptions!$B$20)*Assumptions!$B$19)*AJ13),0)</f>
        <v>375985.47227926081</v>
      </c>
      <c r="AL13" s="249">
        <f>IF(AI13&gt;0,IF($M13="Saudi",MIN(AI13+$Q13*$V13,Assumptions!$B$14)*Assumptions!$B$12,MIN(AI13+$Q13*$V13,Assumptions!$B$14)*Assumptions!$B$13),0)</f>
        <v>0</v>
      </c>
      <c r="AM13" s="249">
        <f>IF(AND(AI13&gt;0,$M13="Non-Saudi"),Assumptions!$B$25,0)</f>
        <v>910.41666666666663</v>
      </c>
      <c r="AN13" s="249">
        <f t="shared" si="7"/>
        <v>9750</v>
      </c>
      <c r="AO13" s="249">
        <f t="shared" si="8"/>
        <v>13890</v>
      </c>
      <c r="AP13" s="249">
        <f>IF(AND(AO13&gt;0,$N13&lt;&gt;""),IF((DATE(Assumptions!$B$4,4,28)-$N13)/365.25&lt;=Assumptions!$B$20,(DATE(Assumptions!$B$4,4,28)-$N13)/365.25*Assumptions!$B$18*AO13,(Assumptions!$B$20*Assumptions!$B$18+((DATE(Assumptions!$B$4,4,28)-$N13)/365.25-Assumptions!$B$20)*Assumptions!$B$19)*AO13),0)</f>
        <v>377164.36344969203</v>
      </c>
      <c r="AQ13" s="249">
        <f>IF(AN13&gt;0,IF($M13="Saudi",MIN(AN13+$Q13*$V13,Assumptions!$B$14)*Assumptions!$B$12,MIN(AN13+$Q13*$V13,Assumptions!$B$14)*Assumptions!$B$13),0)</f>
        <v>0</v>
      </c>
      <c r="AR13" s="249">
        <f>IF(AND(AN13&gt;0,$M13="Non-Saudi"),Assumptions!$B$25,0)</f>
        <v>910.41666666666663</v>
      </c>
      <c r="AS13" s="249">
        <f t="shared" si="9"/>
        <v>9750</v>
      </c>
      <c r="AT13" s="249">
        <f t="shared" si="10"/>
        <v>13890</v>
      </c>
      <c r="AU13" s="249">
        <f>IF(AND(AT13&gt;0,$N13&lt;&gt;""),IF((DATE(Assumptions!$B$4,5,28)-$N13)/365.25&lt;=Assumptions!$B$20,(DATE(Assumptions!$B$4,5,28)-$N13)/365.25*Assumptions!$B$18*AT13,(Assumptions!$B$20*Assumptions!$B$18+((DATE(Assumptions!$B$4,5,28)-$N13)/365.25-Assumptions!$B$20)*Assumptions!$B$19)*AT13),0)</f>
        <v>378305.22587268992</v>
      </c>
      <c r="AV13" s="249">
        <f>IF(AS13&gt;0,IF($M13="Saudi",MIN(AS13+$Q13*$V13,Assumptions!$B$14)*Assumptions!$B$12,MIN(AS13+$Q13*$V13,Assumptions!$B$14)*Assumptions!$B$13),0)</f>
        <v>0</v>
      </c>
      <c r="AW13" s="249">
        <f>IF(AND(AS13&gt;0,$M13="Non-Saudi"),Assumptions!$B$25,0)</f>
        <v>910.41666666666663</v>
      </c>
      <c r="AX13" s="249">
        <f t="shared" si="11"/>
        <v>9750</v>
      </c>
      <c r="AY13" s="249">
        <f t="shared" si="12"/>
        <v>13890</v>
      </c>
      <c r="AZ13" s="249">
        <f>IF(AND(AY13&gt;0,$N13&lt;&gt;""),IF((DATE(Assumptions!$B$4,6,28)-$N13)/365.25&lt;=Assumptions!$B$20,(DATE(Assumptions!$B$4,6,28)-$N13)/365.25*Assumptions!$B$18*AY13,(Assumptions!$B$20*Assumptions!$B$18+((DATE(Assumptions!$B$4,6,28)-$N13)/365.25-Assumptions!$B$20)*Assumptions!$B$19)*AY13),0)</f>
        <v>379484.11704312119</v>
      </c>
      <c r="BA13" s="249">
        <f>IF(AX13&gt;0,IF($M13="Saudi",MIN(AX13+$Q13*$V13,Assumptions!$B$14)*Assumptions!$B$12,MIN(AX13+$Q13*$V13,Assumptions!$B$14)*Assumptions!$B$13),0)</f>
        <v>0</v>
      </c>
      <c r="BB13" s="249">
        <f>IF(AND(AX13&gt;0,$M13="Non-Saudi"),Assumptions!$B$25,0)</f>
        <v>910.41666666666663</v>
      </c>
      <c r="BC13" s="249">
        <f t="shared" si="13"/>
        <v>9750</v>
      </c>
      <c r="BD13" s="249">
        <f t="shared" si="14"/>
        <v>13890</v>
      </c>
      <c r="BE13" s="249">
        <f>IF(AND(BD13&gt;0,$N13&lt;&gt;""),IF((DATE(Assumptions!$B$4,7,28)-$N13)/365.25&lt;=Assumptions!$B$20,(DATE(Assumptions!$B$4,7,28)-$N13)/365.25*Assumptions!$B$18*BD13,(Assumptions!$B$20*Assumptions!$B$18+((DATE(Assumptions!$B$4,7,28)-$N13)/365.25-Assumptions!$B$20)*Assumptions!$B$19)*BD13),0)</f>
        <v>380624.97946611908</v>
      </c>
      <c r="BF13" s="249">
        <f>IF(BC13&gt;0,IF($M13="Saudi",MIN(BC13+$Q13*$V13,Assumptions!$B$14)*Assumptions!$B$12,MIN(BC13+$Q13*$V13,Assumptions!$B$14)*Assumptions!$B$13),0)</f>
        <v>0</v>
      </c>
      <c r="BG13" s="249">
        <f>IF(AND(BC13&gt;0,$M13="Non-Saudi"),Assumptions!$B$25,0)</f>
        <v>910.41666666666663</v>
      </c>
      <c r="BH13" s="249">
        <f t="shared" si="15"/>
        <v>9750</v>
      </c>
      <c r="BI13" s="249">
        <f t="shared" si="16"/>
        <v>13890</v>
      </c>
      <c r="BJ13" s="249">
        <f>IF(AND(BI13&gt;0,$N13&lt;&gt;""),IF((DATE(Assumptions!$B$4,8,28)-$N13)/365.25&lt;=Assumptions!$B$20,(DATE(Assumptions!$B$4,8,28)-$N13)/365.25*Assumptions!$B$18*BI13,(Assumptions!$B$20*Assumptions!$B$18+((DATE(Assumptions!$B$4,8,28)-$N13)/365.25-Assumptions!$B$20)*Assumptions!$B$19)*BI13),0)</f>
        <v>381803.8706365503</v>
      </c>
      <c r="BK13" s="249">
        <f>IF(BH13&gt;0,IF($M13="Saudi",MIN(BH13+$Q13*$V13,Assumptions!$B$14)*Assumptions!$B$12,MIN(BH13+$Q13*$V13,Assumptions!$B$14)*Assumptions!$B$13),0)</f>
        <v>0</v>
      </c>
      <c r="BL13" s="249">
        <f>IF(AND(BH13&gt;0,$M13="Non-Saudi"),Assumptions!$B$25,0)</f>
        <v>910.41666666666663</v>
      </c>
      <c r="BM13" s="249">
        <f>IF(AND($D13="Contrat Local",$N13&lt;&gt;""),IF(AND(9&gt;=Assumptions!$B$5,ISNUMBER($X13),$N13&lt;EDATE(Assumptions!$B$9,-Assumptions!$B$6*12)),($P13+$X13)*$V13,$P13*$V13),0)</f>
        <v>10000</v>
      </c>
      <c r="BN13" s="249">
        <f t="shared" si="17"/>
        <v>14140</v>
      </c>
      <c r="BO13" s="249">
        <f>IF(AND(BN13&gt;0,$N13&lt;&gt;""),IF((DATE(Assumptions!$B$4,9,28)-$N13)/365.25&lt;=Assumptions!$B$20,(DATE(Assumptions!$B$4,9,28)-$N13)/365.25*Assumptions!$B$18*BN13,(Assumptions!$B$20*Assumptions!$B$18+((DATE(Assumptions!$B$4,9,28)-$N13)/365.25-Assumptions!$B$20)*Assumptions!$B$19)*BN13),0)</f>
        <v>389875.90006844624</v>
      </c>
      <c r="BP13" s="249">
        <f>IF(BM13&gt;0,IF($M13="Saudi",MIN(BM13+$Q13*$V13,Assumptions!$B$14)*Assumptions!$B$12,MIN(BM13+$Q13*$V13,Assumptions!$B$14)*Assumptions!$B$13),0)</f>
        <v>0</v>
      </c>
      <c r="BQ13" s="249">
        <f>IF(AND(BM13&gt;0,$M13="Non-Saudi"),Assumptions!$B$25,0)</f>
        <v>910.41666666666663</v>
      </c>
      <c r="BR13" s="249">
        <f>IF(AND($D13="Contrat Local",$N13&lt;&gt;""),IF(AND(10&gt;=Assumptions!$B$5,ISNUMBER($X13),$N13&lt;EDATE(Assumptions!$B$9,-Assumptions!$B$6*12)),($P13+$X13)*$V13,$P13*$V13),0)</f>
        <v>10000</v>
      </c>
      <c r="BS13" s="249">
        <f t="shared" si="18"/>
        <v>14140</v>
      </c>
      <c r="BT13" s="249">
        <f>IF(AND(BS13&gt;0,$N13&lt;&gt;""),IF((DATE(Assumptions!$B$4,10,28)-$N13)/365.25&lt;=Assumptions!$B$20,(DATE(Assumptions!$B$4,10,28)-$N13)/365.25*Assumptions!$B$18*BS13,(Assumptions!$B$20*Assumptions!$B$18+((DATE(Assumptions!$B$4,10,28)-$N13)/365.25-Assumptions!$B$20)*Assumptions!$B$19)*BS13),0)</f>
        <v>391037.29637234769</v>
      </c>
      <c r="BU13" s="249">
        <f>IF(BR13&gt;0,IF($M13="Saudi",MIN(BR13+$Q13*$V13,Assumptions!$B$14)*Assumptions!$B$12,MIN(BR13+$Q13*$V13,Assumptions!$B$14)*Assumptions!$B$13),0)</f>
        <v>0</v>
      </c>
      <c r="BV13" s="249">
        <f>IF(AND(BR13&gt;0,$M13="Non-Saudi"),Assumptions!$B$25,0)</f>
        <v>910.41666666666663</v>
      </c>
      <c r="BW13" s="249">
        <f>IF(AND($D13="Contrat Local",$N13&lt;&gt;""),IF(AND(11&gt;=Assumptions!$B$5,ISNUMBER($X13),$N13&lt;EDATE(Assumptions!$B$9,-Assumptions!$B$6*12)),($P13+$X13)*$V13,$P13*$V13),0)</f>
        <v>10000</v>
      </c>
      <c r="BX13" s="249">
        <f t="shared" si="19"/>
        <v>14140</v>
      </c>
      <c r="BY13" s="249">
        <f>IF(AND(BX13&gt;0,$N13&lt;&gt;""),IF((DATE(Assumptions!$B$4,11,28)-$N13)/365.25&lt;=Assumptions!$B$20,(DATE(Assumptions!$B$4,11,28)-$N13)/365.25*Assumptions!$B$18*BX13,(Assumptions!$B$20*Assumptions!$B$18+((DATE(Assumptions!$B$4,11,28)-$N13)/365.25-Assumptions!$B$20)*Assumptions!$B$19)*BX13),0)</f>
        <v>392237.40588637919</v>
      </c>
      <c r="BZ13" s="249">
        <f>IF(BW13&gt;0,IF($M13="Saudi",MIN(BW13+$Q13*$V13,Assumptions!$B$14)*Assumptions!$B$12,MIN(BW13+$Q13*$V13,Assumptions!$B$14)*Assumptions!$B$13),0)</f>
        <v>0</v>
      </c>
      <c r="CA13" s="249">
        <f>IF(AND(BW13&gt;0,$M13="Non-Saudi"),Assumptions!$B$25,0)</f>
        <v>910.41666666666663</v>
      </c>
      <c r="CB13" s="249">
        <f>IF(AND($D13="Contrat Local",$N13&lt;&gt;""),IF(AND(12&gt;=Assumptions!$B$5,ISNUMBER($X13),$N13&lt;EDATE(Assumptions!$B$9,-Assumptions!$B$6*12)),($P13+$X13)*$V13,$P13*$V13),0)</f>
        <v>10000</v>
      </c>
      <c r="CC13" s="249">
        <f t="shared" si="20"/>
        <v>14140</v>
      </c>
      <c r="CD13" s="249">
        <f>IF(AND(CC13&gt;0,$N13&lt;&gt;""),IF((DATE(Assumptions!$B$4,12,28)-$N13)/365.25&lt;=Assumptions!$B$20,(DATE(Assumptions!$B$4,12,28)-$N13)/365.25*Assumptions!$B$18*CC13,(Assumptions!$B$20*Assumptions!$B$18+((DATE(Assumptions!$B$4,12,28)-$N13)/365.25-Assumptions!$B$20)*Assumptions!$B$19)*CC13),0)</f>
        <v>393398.80219028064</v>
      </c>
      <c r="CE13" s="249">
        <f>IF(CB13&gt;0,IF($M13="Saudi",MIN(CB13+$Q13*$V13,Assumptions!$B$14)*Assumptions!$B$12,MIN(CB13+$Q13*$V13,Assumptions!$B$14)*Assumptions!$B$13),0)</f>
        <v>0</v>
      </c>
      <c r="CF13" s="249">
        <f>IF(AND(CB13&gt;0,$M13="Non-Saudi"),Assumptions!$B$25,0)</f>
        <v>910.41666666666663</v>
      </c>
      <c r="CG13" s="249">
        <f t="shared" si="21"/>
        <v>118000</v>
      </c>
      <c r="CH13" s="249">
        <f t="shared" si="22"/>
        <v>167680</v>
      </c>
      <c r="CI13" s="249">
        <f>CD13-IF(AND(Z13&gt;0,$N13&lt;&gt;""),IF((DATE(Assumptions!$B$4-1,12,28)-$N13)/365.25&lt;=Assumptions!$B$20,(DATE(Assumptions!$B$4-1,12,28)-$N13)/365.25*Assumptions!$B$18*Z13,(Assumptions!$B$20*Assumptions!$B$18+((DATE(Assumptions!$B$4-1,12,28)-$N13)/365.25-Assumptions!$B$20)*Assumptions!$B$19)*Z13),0)</f>
        <v>20835.917180013726</v>
      </c>
      <c r="CJ13" s="249">
        <f t="shared" si="23"/>
        <v>0</v>
      </c>
      <c r="CK13" s="249">
        <f t="shared" si="24"/>
        <v>10924.999999999998</v>
      </c>
    </row>
    <row r="14" spans="1:89" x14ac:dyDescent="0.2">
      <c r="A14" s="264">
        <v>10</v>
      </c>
      <c r="B14" s="265" t="s">
        <v>283</v>
      </c>
      <c r="C14" s="265" t="s">
        <v>284</v>
      </c>
      <c r="D14" s="265" t="s">
        <v>250</v>
      </c>
      <c r="E14" s="265" t="s">
        <v>767</v>
      </c>
      <c r="F14" s="265" t="s">
        <v>264</v>
      </c>
      <c r="G14" s="265" t="s">
        <v>8</v>
      </c>
      <c r="H14" s="265" t="s">
        <v>265</v>
      </c>
      <c r="I14" s="284" t="s">
        <v>691</v>
      </c>
      <c r="J14" s="265" t="s">
        <v>58</v>
      </c>
      <c r="K14" s="265" t="s">
        <v>8</v>
      </c>
      <c r="L14" s="265" t="s">
        <v>255</v>
      </c>
      <c r="M14" s="265" t="str">
        <f t="shared" si="0"/>
        <v>Non-Saudi</v>
      </c>
      <c r="N14" s="266">
        <v>45536</v>
      </c>
      <c r="O14" s="267">
        <v>2.2999999999999998</v>
      </c>
      <c r="P14" s="268">
        <v>8750</v>
      </c>
      <c r="Q14" s="268">
        <v>2500</v>
      </c>
      <c r="R14" s="268">
        <v>500</v>
      </c>
      <c r="S14" s="268"/>
      <c r="T14" s="268"/>
      <c r="U14" s="268">
        <v>11750</v>
      </c>
      <c r="V14" s="269">
        <v>1</v>
      </c>
      <c r="W14" s="265" t="s">
        <v>259</v>
      </c>
      <c r="X14" s="265">
        <v>250</v>
      </c>
      <c r="Y14" s="249">
        <f t="shared" si="1"/>
        <v>8750</v>
      </c>
      <c r="Z14" s="249">
        <f t="shared" si="2"/>
        <v>11750</v>
      </c>
      <c r="AA14" s="249">
        <f>IF(AND(Z14&gt;0,$N14&lt;&gt;""),IF((DATE(Assumptions!$B$4,1,28)-$N14)/365.25&lt;=Assumptions!$B$20,(DATE(Assumptions!$B$4,1,28)-$N14)/365.25*Assumptions!$B$18*Z14,(Assumptions!$B$20*Assumptions!$B$18+((DATE(Assumptions!$B$4,1,28)-$N14)/365.25-Assumptions!$B$20)*Assumptions!$B$19)*Z14),0)</f>
        <v>8267.6249144421618</v>
      </c>
      <c r="AB14" s="249">
        <f>IF(Y14&gt;0,IF($M14="Saudi",MIN(Y14+$Q14*$V14,Assumptions!$B$14)*Assumptions!$B$12,MIN(Y14+$Q14*$V14,Assumptions!$B$14)*Assumptions!$B$13),0)</f>
        <v>0</v>
      </c>
      <c r="AC14" s="249">
        <f>IF(AND(Y14&gt;0,$M14="Non-Saudi"),Assumptions!$B$25,0)</f>
        <v>910.41666666666663</v>
      </c>
      <c r="AD14" s="249">
        <f t="shared" si="3"/>
        <v>8750</v>
      </c>
      <c r="AE14" s="249">
        <f t="shared" si="4"/>
        <v>11750</v>
      </c>
      <c r="AF14" s="249">
        <f>IF(AND(AE14&gt;0,$N14&lt;&gt;""),IF((DATE(Assumptions!$B$4,2,28)-$N14)/365.25&lt;=Assumptions!$B$20,(DATE(Assumptions!$B$4,2,28)-$N14)/365.25*Assumptions!$B$18*AE14,(Assumptions!$B$20*Assumptions!$B$18+((DATE(Assumptions!$B$4,2,28)-$N14)/365.25-Assumptions!$B$20)*Assumptions!$B$19)*AE14),0)</f>
        <v>8766.2559890485973</v>
      </c>
      <c r="AG14" s="249">
        <f>IF(AD14&gt;0,IF($M14="Saudi",MIN(AD14+$Q14*$V14,Assumptions!$B$14)*Assumptions!$B$12,MIN(AD14+$Q14*$V14,Assumptions!$B$14)*Assumptions!$B$13),0)</f>
        <v>0</v>
      </c>
      <c r="AH14" s="249">
        <f>IF(AND(AD14&gt;0,$M14="Non-Saudi"),Assumptions!$B$25,0)</f>
        <v>910.41666666666663</v>
      </c>
      <c r="AI14" s="249">
        <f t="shared" si="5"/>
        <v>8750</v>
      </c>
      <c r="AJ14" s="249">
        <f t="shared" si="6"/>
        <v>11750</v>
      </c>
      <c r="AK14" s="249">
        <f>IF(AND(AJ14&gt;0,$N14&lt;&gt;""),IF((DATE(Assumptions!$B$4,3,28)-$N14)/365.25&lt;=Assumptions!$B$20,(DATE(Assumptions!$B$4,3,28)-$N14)/365.25*Assumptions!$B$18*AJ14,(Assumptions!$B$20*Assumptions!$B$18+((DATE(Assumptions!$B$4,3,28)-$N14)/365.25-Assumptions!$B$20)*Assumptions!$B$19)*AJ14),0)</f>
        <v>9216.6324435318274</v>
      </c>
      <c r="AL14" s="249">
        <f>IF(AI14&gt;0,IF($M14="Saudi",MIN(AI14+$Q14*$V14,Assumptions!$B$14)*Assumptions!$B$12,MIN(AI14+$Q14*$V14,Assumptions!$B$14)*Assumptions!$B$13),0)</f>
        <v>0</v>
      </c>
      <c r="AM14" s="249">
        <f>IF(AND(AI14&gt;0,$M14="Non-Saudi"),Assumptions!$B$25,0)</f>
        <v>910.41666666666663</v>
      </c>
      <c r="AN14" s="249">
        <f t="shared" si="7"/>
        <v>8750</v>
      </c>
      <c r="AO14" s="249">
        <f t="shared" si="8"/>
        <v>11750</v>
      </c>
      <c r="AP14" s="249">
        <f>IF(AND(AO14&gt;0,$N14&lt;&gt;""),IF((DATE(Assumptions!$B$4,4,28)-$N14)/365.25&lt;=Assumptions!$B$20,(DATE(Assumptions!$B$4,4,28)-$N14)/365.25*Assumptions!$B$18*AO14,(Assumptions!$B$20*Assumptions!$B$18+((DATE(Assumptions!$B$4,4,28)-$N14)/365.25-Assumptions!$B$20)*Assumptions!$B$19)*AO14),0)</f>
        <v>9715.2635181382611</v>
      </c>
      <c r="AQ14" s="249">
        <f>IF(AN14&gt;0,IF($M14="Saudi",MIN(AN14+$Q14*$V14,Assumptions!$B$14)*Assumptions!$B$12,MIN(AN14+$Q14*$V14,Assumptions!$B$14)*Assumptions!$B$13),0)</f>
        <v>0</v>
      </c>
      <c r="AR14" s="249">
        <f>IF(AND(AN14&gt;0,$M14="Non-Saudi"),Assumptions!$B$25,0)</f>
        <v>910.41666666666663</v>
      </c>
      <c r="AS14" s="249">
        <f t="shared" si="9"/>
        <v>8750</v>
      </c>
      <c r="AT14" s="249">
        <f t="shared" si="10"/>
        <v>11750</v>
      </c>
      <c r="AU14" s="249">
        <f>IF(AND(AT14&gt;0,$N14&lt;&gt;""),IF((DATE(Assumptions!$B$4,5,28)-$N14)/365.25&lt;=Assumptions!$B$20,(DATE(Assumptions!$B$4,5,28)-$N14)/365.25*Assumptions!$B$18*AT14,(Assumptions!$B$20*Assumptions!$B$18+((DATE(Assumptions!$B$4,5,28)-$N14)/365.25-Assumptions!$B$20)*Assumptions!$B$19)*AT14),0)</f>
        <v>10197.809719370294</v>
      </c>
      <c r="AV14" s="249">
        <f>IF(AS14&gt;0,IF($M14="Saudi",MIN(AS14+$Q14*$V14,Assumptions!$B$14)*Assumptions!$B$12,MIN(AS14+$Q14*$V14,Assumptions!$B$14)*Assumptions!$B$13),0)</f>
        <v>0</v>
      </c>
      <c r="AW14" s="249">
        <f>IF(AND(AS14&gt;0,$M14="Non-Saudi"),Assumptions!$B$25,0)</f>
        <v>910.41666666666663</v>
      </c>
      <c r="AX14" s="249">
        <f t="shared" si="11"/>
        <v>8750</v>
      </c>
      <c r="AY14" s="249">
        <f t="shared" si="12"/>
        <v>11750</v>
      </c>
      <c r="AZ14" s="249">
        <f>IF(AND(AY14&gt;0,$N14&lt;&gt;""),IF((DATE(Assumptions!$B$4,6,28)-$N14)/365.25&lt;=Assumptions!$B$20,(DATE(Assumptions!$B$4,6,28)-$N14)/365.25*Assumptions!$B$18*AY14,(Assumptions!$B$20*Assumptions!$B$18+((DATE(Assumptions!$B$4,6,28)-$N14)/365.25-Assumptions!$B$20)*Assumptions!$B$19)*AY14),0)</f>
        <v>10696.440793976728</v>
      </c>
      <c r="BA14" s="249">
        <f>IF(AX14&gt;0,IF($M14="Saudi",MIN(AX14+$Q14*$V14,Assumptions!$B$14)*Assumptions!$B$12,MIN(AX14+$Q14*$V14,Assumptions!$B$14)*Assumptions!$B$13),0)</f>
        <v>0</v>
      </c>
      <c r="BB14" s="249">
        <f>IF(AND(AX14&gt;0,$M14="Non-Saudi"),Assumptions!$B$25,0)</f>
        <v>910.41666666666663</v>
      </c>
      <c r="BC14" s="249">
        <f t="shared" si="13"/>
        <v>8750</v>
      </c>
      <c r="BD14" s="249">
        <f t="shared" si="14"/>
        <v>11750</v>
      </c>
      <c r="BE14" s="249">
        <f>IF(AND(BD14&gt;0,$N14&lt;&gt;""),IF((DATE(Assumptions!$B$4,7,28)-$N14)/365.25&lt;=Assumptions!$B$20,(DATE(Assumptions!$B$4,7,28)-$N14)/365.25*Assumptions!$B$18*BD14,(Assumptions!$B$20*Assumptions!$B$18+((DATE(Assumptions!$B$4,7,28)-$N14)/365.25-Assumptions!$B$20)*Assumptions!$B$19)*BD14),0)</f>
        <v>11178.986995208761</v>
      </c>
      <c r="BF14" s="249">
        <f>IF(BC14&gt;0,IF($M14="Saudi",MIN(BC14+$Q14*$V14,Assumptions!$B$14)*Assumptions!$B$12,MIN(BC14+$Q14*$V14,Assumptions!$B$14)*Assumptions!$B$13),0)</f>
        <v>0</v>
      </c>
      <c r="BG14" s="249">
        <f>IF(AND(BC14&gt;0,$M14="Non-Saudi"),Assumptions!$B$25,0)</f>
        <v>910.41666666666663</v>
      </c>
      <c r="BH14" s="249">
        <f t="shared" si="15"/>
        <v>8750</v>
      </c>
      <c r="BI14" s="249">
        <f t="shared" si="16"/>
        <v>11750</v>
      </c>
      <c r="BJ14" s="249">
        <f>IF(AND(BI14&gt;0,$N14&lt;&gt;""),IF((DATE(Assumptions!$B$4,8,28)-$N14)/365.25&lt;=Assumptions!$B$20,(DATE(Assumptions!$B$4,8,28)-$N14)/365.25*Assumptions!$B$18*BI14,(Assumptions!$B$20*Assumptions!$B$18+((DATE(Assumptions!$B$4,8,28)-$N14)/365.25-Assumptions!$B$20)*Assumptions!$B$19)*BI14),0)</f>
        <v>11677.618069815195</v>
      </c>
      <c r="BK14" s="249">
        <f>IF(BH14&gt;0,IF($M14="Saudi",MIN(BH14+$Q14*$V14,Assumptions!$B$14)*Assumptions!$B$12,MIN(BH14+$Q14*$V14,Assumptions!$B$14)*Assumptions!$B$13),0)</f>
        <v>0</v>
      </c>
      <c r="BL14" s="249">
        <f>IF(AND(BH14&gt;0,$M14="Non-Saudi"),Assumptions!$B$25,0)</f>
        <v>910.41666666666663</v>
      </c>
      <c r="BM14" s="249">
        <f>IF(AND($D14="Contrat Local",$N14&lt;&gt;""),IF(AND(9&gt;=Assumptions!$B$5,ISNUMBER($X14),$N14&lt;EDATE(Assumptions!$B$9,-Assumptions!$B$6*12)),($P14+$X14)*$V14,$P14*$V14),0)</f>
        <v>9000</v>
      </c>
      <c r="BN14" s="249">
        <f t="shared" si="17"/>
        <v>12000</v>
      </c>
      <c r="BO14" s="249">
        <f>IF(AND(BN14&gt;0,$N14&lt;&gt;""),IF((DATE(Assumptions!$B$4,9,28)-$N14)/365.25&lt;=Assumptions!$B$20,(DATE(Assumptions!$B$4,9,28)-$N14)/365.25*Assumptions!$B$18*BN14,(Assumptions!$B$20*Assumptions!$B$18+((DATE(Assumptions!$B$4,9,28)-$N14)/365.25-Assumptions!$B$20)*Assumptions!$B$19)*BN14),0)</f>
        <v>12435.318275154004</v>
      </c>
      <c r="BP14" s="249">
        <f>IF(BM14&gt;0,IF($M14="Saudi",MIN(BM14+$Q14*$V14,Assumptions!$B$14)*Assumptions!$B$12,MIN(BM14+$Q14*$V14,Assumptions!$B$14)*Assumptions!$B$13),0)</f>
        <v>0</v>
      </c>
      <c r="BQ14" s="249">
        <f>IF(AND(BM14&gt;0,$M14="Non-Saudi"),Assumptions!$B$25,0)</f>
        <v>910.41666666666663</v>
      </c>
      <c r="BR14" s="249">
        <f>IF(AND($D14="Contrat Local",$N14&lt;&gt;""),IF(AND(10&gt;=Assumptions!$B$5,ISNUMBER($X14),$N14&lt;EDATE(Assumptions!$B$9,-Assumptions!$B$6*12)),($P14+$X14)*$V14,$P14*$V14),0)</f>
        <v>9000</v>
      </c>
      <c r="BS14" s="249">
        <f t="shared" si="18"/>
        <v>12000</v>
      </c>
      <c r="BT14" s="249">
        <f>IF(AND(BS14&gt;0,$N14&lt;&gt;""),IF((DATE(Assumptions!$B$4,10,28)-$N14)/365.25&lt;=Assumptions!$B$20,(DATE(Assumptions!$B$4,10,28)-$N14)/365.25*Assumptions!$B$18*BS14,(Assumptions!$B$20*Assumptions!$B$18+((DATE(Assumptions!$B$4,10,28)-$N14)/365.25-Assumptions!$B$20)*Assumptions!$B$19)*BS14),0)</f>
        <v>12928.131416837781</v>
      </c>
      <c r="BU14" s="249">
        <f>IF(BR14&gt;0,IF($M14="Saudi",MIN(BR14+$Q14*$V14,Assumptions!$B$14)*Assumptions!$B$12,MIN(BR14+$Q14*$V14,Assumptions!$B$14)*Assumptions!$B$13),0)</f>
        <v>0</v>
      </c>
      <c r="BV14" s="249">
        <f>IF(AND(BR14&gt;0,$M14="Non-Saudi"),Assumptions!$B$25,0)</f>
        <v>910.41666666666663</v>
      </c>
      <c r="BW14" s="249">
        <f>IF(AND($D14="Contrat Local",$N14&lt;&gt;""),IF(AND(11&gt;=Assumptions!$B$5,ISNUMBER($X14),$N14&lt;EDATE(Assumptions!$B$9,-Assumptions!$B$6*12)),($P14+$X14)*$V14,$P14*$V14),0)</f>
        <v>9000</v>
      </c>
      <c r="BX14" s="249">
        <f t="shared" si="19"/>
        <v>12000</v>
      </c>
      <c r="BY14" s="249">
        <f>IF(AND(BX14&gt;0,$N14&lt;&gt;""),IF((DATE(Assumptions!$B$4,11,28)-$N14)/365.25&lt;=Assumptions!$B$20,(DATE(Assumptions!$B$4,11,28)-$N14)/365.25*Assumptions!$B$18*BX14,(Assumptions!$B$20*Assumptions!$B$18+((DATE(Assumptions!$B$4,11,28)-$N14)/365.25-Assumptions!$B$20)*Assumptions!$B$19)*BX14),0)</f>
        <v>13437.371663244354</v>
      </c>
      <c r="BZ14" s="249">
        <f>IF(BW14&gt;0,IF($M14="Saudi",MIN(BW14+$Q14*$V14,Assumptions!$B$14)*Assumptions!$B$12,MIN(BW14+$Q14*$V14,Assumptions!$B$14)*Assumptions!$B$13),0)</f>
        <v>0</v>
      </c>
      <c r="CA14" s="249">
        <f>IF(AND(BW14&gt;0,$M14="Non-Saudi"),Assumptions!$B$25,0)</f>
        <v>910.41666666666663</v>
      </c>
      <c r="CB14" s="249">
        <f>IF(AND($D14="Contrat Local",$N14&lt;&gt;""),IF(AND(12&gt;=Assumptions!$B$5,ISNUMBER($X14),$N14&lt;EDATE(Assumptions!$B$9,-Assumptions!$B$6*12)),($P14+$X14)*$V14,$P14*$V14),0)</f>
        <v>9000</v>
      </c>
      <c r="CC14" s="249">
        <f t="shared" si="20"/>
        <v>12000</v>
      </c>
      <c r="CD14" s="249">
        <f>IF(AND(CC14&gt;0,$N14&lt;&gt;""),IF((DATE(Assumptions!$B$4,12,28)-$N14)/365.25&lt;=Assumptions!$B$20,(DATE(Assumptions!$B$4,12,28)-$N14)/365.25*Assumptions!$B$18*CC14,(Assumptions!$B$20*Assumptions!$B$18+((DATE(Assumptions!$B$4,12,28)-$N14)/365.25-Assumptions!$B$20)*Assumptions!$B$19)*CC14),0)</f>
        <v>13930.184804928133</v>
      </c>
      <c r="CE14" s="249">
        <f>IF(CB14&gt;0,IF($M14="Saudi",MIN(CB14+$Q14*$V14,Assumptions!$B$14)*Assumptions!$B$12,MIN(CB14+$Q14*$V14,Assumptions!$B$14)*Assumptions!$B$13),0)</f>
        <v>0</v>
      </c>
      <c r="CF14" s="249">
        <f>IF(AND(CB14&gt;0,$M14="Non-Saudi"),Assumptions!$B$25,0)</f>
        <v>910.41666666666663</v>
      </c>
      <c r="CG14" s="249">
        <f t="shared" si="21"/>
        <v>106000</v>
      </c>
      <c r="CH14" s="249">
        <f t="shared" si="22"/>
        <v>142000</v>
      </c>
      <c r="CI14" s="249">
        <f>CD14-IF(AND(Z14&gt;0,$N14&lt;&gt;""),IF((DATE(Assumptions!$B$4-1,12,28)-$N14)/365.25&lt;=Assumptions!$B$20,(DATE(Assumptions!$B$4-1,12,28)-$N14)/365.25*Assumptions!$B$18*Z14,(Assumptions!$B$20*Assumptions!$B$18+((DATE(Assumptions!$B$4-1,12,28)-$N14)/365.25-Assumptions!$B$20)*Assumptions!$B$19)*Z14),0)</f>
        <v>6161.1909650924035</v>
      </c>
      <c r="CJ14" s="249">
        <f t="shared" si="23"/>
        <v>0</v>
      </c>
      <c r="CK14" s="249">
        <f t="shared" si="24"/>
        <v>10924.999999999998</v>
      </c>
    </row>
    <row r="15" spans="1:89" x14ac:dyDescent="0.2">
      <c r="A15" s="270">
        <v>11</v>
      </c>
      <c r="B15" s="271" t="s">
        <v>285</v>
      </c>
      <c r="C15" s="271" t="s">
        <v>286</v>
      </c>
      <c r="D15" s="271" t="s">
        <v>250</v>
      </c>
      <c r="E15" s="271" t="s">
        <v>767</v>
      </c>
      <c r="F15" s="271" t="s">
        <v>287</v>
      </c>
      <c r="G15" s="271" t="s">
        <v>272</v>
      </c>
      <c r="H15" s="271" t="s">
        <v>288</v>
      </c>
      <c r="I15" s="285" t="s">
        <v>690</v>
      </c>
      <c r="J15" s="271"/>
      <c r="K15" s="271" t="s">
        <v>272</v>
      </c>
      <c r="L15" s="271" t="s">
        <v>255</v>
      </c>
      <c r="M15" s="271" t="str">
        <f t="shared" si="0"/>
        <v>Saudi</v>
      </c>
      <c r="N15" s="272"/>
      <c r="O15" s="273"/>
      <c r="P15" s="274">
        <v>2000</v>
      </c>
      <c r="Q15" s="274">
        <v>2500</v>
      </c>
      <c r="R15" s="274">
        <v>500</v>
      </c>
      <c r="S15" s="274"/>
      <c r="T15" s="274"/>
      <c r="U15" s="274">
        <v>5000</v>
      </c>
      <c r="V15" s="275">
        <v>1</v>
      </c>
      <c r="W15" s="271" t="s">
        <v>259</v>
      </c>
      <c r="X15" s="271" t="s">
        <v>268</v>
      </c>
      <c r="Y15" s="249">
        <f t="shared" si="1"/>
        <v>0</v>
      </c>
      <c r="Z15" s="249">
        <f t="shared" si="2"/>
        <v>0</v>
      </c>
      <c r="AA15" s="249">
        <f>IF(AND(Z15&gt;0,$N15&lt;&gt;""),IF((DATE(Assumptions!$B$4,1,28)-$N15)/365.25&lt;=Assumptions!$B$20,(DATE(Assumptions!$B$4,1,28)-$N15)/365.25*Assumptions!$B$18*Z15,(Assumptions!$B$20*Assumptions!$B$18+((DATE(Assumptions!$B$4,1,28)-$N15)/365.25-Assumptions!$B$20)*Assumptions!$B$19)*Z15),0)</f>
        <v>0</v>
      </c>
      <c r="AB15" s="249">
        <f>IF(Y15&gt;0,IF($M15="Saudi",MIN(Y15+$Q15*$V15,Assumptions!$B$14)*Assumptions!$B$12,MIN(Y15+$Q15*$V15,Assumptions!$B$14)*Assumptions!$B$13),0)</f>
        <v>0</v>
      </c>
      <c r="AC15" s="249">
        <f>IF(AND(Y15&gt;0,$M15="Non-Saudi"),Assumptions!$B$25,0)</f>
        <v>0</v>
      </c>
      <c r="AD15" s="249">
        <f t="shared" si="3"/>
        <v>0</v>
      </c>
      <c r="AE15" s="249">
        <f t="shared" si="4"/>
        <v>0</v>
      </c>
      <c r="AF15" s="249">
        <f>IF(AND(AE15&gt;0,$N15&lt;&gt;""),IF((DATE(Assumptions!$B$4,2,28)-$N15)/365.25&lt;=Assumptions!$B$20,(DATE(Assumptions!$B$4,2,28)-$N15)/365.25*Assumptions!$B$18*AE15,(Assumptions!$B$20*Assumptions!$B$18+((DATE(Assumptions!$B$4,2,28)-$N15)/365.25-Assumptions!$B$20)*Assumptions!$B$19)*AE15),0)</f>
        <v>0</v>
      </c>
      <c r="AG15" s="249">
        <f>IF(AD15&gt;0,IF($M15="Saudi",MIN(AD15+$Q15*$V15,Assumptions!$B$14)*Assumptions!$B$12,MIN(AD15+$Q15*$V15,Assumptions!$B$14)*Assumptions!$B$13),0)</f>
        <v>0</v>
      </c>
      <c r="AH15" s="249">
        <f>IF(AND(AD15&gt;0,$M15="Non-Saudi"),Assumptions!$B$25,0)</f>
        <v>0</v>
      </c>
      <c r="AI15" s="249">
        <f t="shared" si="5"/>
        <v>0</v>
      </c>
      <c r="AJ15" s="249">
        <f t="shared" si="6"/>
        <v>0</v>
      </c>
      <c r="AK15" s="249">
        <f>IF(AND(AJ15&gt;0,$N15&lt;&gt;""),IF((DATE(Assumptions!$B$4,3,28)-$N15)/365.25&lt;=Assumptions!$B$20,(DATE(Assumptions!$B$4,3,28)-$N15)/365.25*Assumptions!$B$18*AJ15,(Assumptions!$B$20*Assumptions!$B$18+((DATE(Assumptions!$B$4,3,28)-$N15)/365.25-Assumptions!$B$20)*Assumptions!$B$19)*AJ15),0)</f>
        <v>0</v>
      </c>
      <c r="AL15" s="249">
        <f>IF(AI15&gt;0,IF($M15="Saudi",MIN(AI15+$Q15*$V15,Assumptions!$B$14)*Assumptions!$B$12,MIN(AI15+$Q15*$V15,Assumptions!$B$14)*Assumptions!$B$13),0)</f>
        <v>0</v>
      </c>
      <c r="AM15" s="249">
        <f>IF(AND(AI15&gt;0,$M15="Non-Saudi"),Assumptions!$B$25,0)</f>
        <v>0</v>
      </c>
      <c r="AN15" s="249">
        <f t="shared" si="7"/>
        <v>0</v>
      </c>
      <c r="AO15" s="249">
        <f t="shared" si="8"/>
        <v>0</v>
      </c>
      <c r="AP15" s="249">
        <f>IF(AND(AO15&gt;0,$N15&lt;&gt;""),IF((DATE(Assumptions!$B$4,4,28)-$N15)/365.25&lt;=Assumptions!$B$20,(DATE(Assumptions!$B$4,4,28)-$N15)/365.25*Assumptions!$B$18*AO15,(Assumptions!$B$20*Assumptions!$B$18+((DATE(Assumptions!$B$4,4,28)-$N15)/365.25-Assumptions!$B$20)*Assumptions!$B$19)*AO15),0)</f>
        <v>0</v>
      </c>
      <c r="AQ15" s="249">
        <f>IF(AN15&gt;0,IF($M15="Saudi",MIN(AN15+$Q15*$V15,Assumptions!$B$14)*Assumptions!$B$12,MIN(AN15+$Q15*$V15,Assumptions!$B$14)*Assumptions!$B$13),0)</f>
        <v>0</v>
      </c>
      <c r="AR15" s="249">
        <f>IF(AND(AN15&gt;0,$M15="Non-Saudi"),Assumptions!$B$25,0)</f>
        <v>0</v>
      </c>
      <c r="AS15" s="249">
        <f t="shared" si="9"/>
        <v>0</v>
      </c>
      <c r="AT15" s="249">
        <f t="shared" si="10"/>
        <v>0</v>
      </c>
      <c r="AU15" s="249">
        <f>IF(AND(AT15&gt;0,$N15&lt;&gt;""),IF((DATE(Assumptions!$B$4,5,28)-$N15)/365.25&lt;=Assumptions!$B$20,(DATE(Assumptions!$B$4,5,28)-$N15)/365.25*Assumptions!$B$18*AT15,(Assumptions!$B$20*Assumptions!$B$18+((DATE(Assumptions!$B$4,5,28)-$N15)/365.25-Assumptions!$B$20)*Assumptions!$B$19)*AT15),0)</f>
        <v>0</v>
      </c>
      <c r="AV15" s="249">
        <f>IF(AS15&gt;0,IF($M15="Saudi",MIN(AS15+$Q15*$V15,Assumptions!$B$14)*Assumptions!$B$12,MIN(AS15+$Q15*$V15,Assumptions!$B$14)*Assumptions!$B$13),0)</f>
        <v>0</v>
      </c>
      <c r="AW15" s="249">
        <f>IF(AND(AS15&gt;0,$M15="Non-Saudi"),Assumptions!$B$25,0)</f>
        <v>0</v>
      </c>
      <c r="AX15" s="249">
        <f t="shared" si="11"/>
        <v>0</v>
      </c>
      <c r="AY15" s="249">
        <f t="shared" si="12"/>
        <v>0</v>
      </c>
      <c r="AZ15" s="249">
        <f>IF(AND(AY15&gt;0,$N15&lt;&gt;""),IF((DATE(Assumptions!$B$4,6,28)-$N15)/365.25&lt;=Assumptions!$B$20,(DATE(Assumptions!$B$4,6,28)-$N15)/365.25*Assumptions!$B$18*AY15,(Assumptions!$B$20*Assumptions!$B$18+((DATE(Assumptions!$B$4,6,28)-$N15)/365.25-Assumptions!$B$20)*Assumptions!$B$19)*AY15),0)</f>
        <v>0</v>
      </c>
      <c r="BA15" s="249">
        <f>IF(AX15&gt;0,IF($M15="Saudi",MIN(AX15+$Q15*$V15,Assumptions!$B$14)*Assumptions!$B$12,MIN(AX15+$Q15*$V15,Assumptions!$B$14)*Assumptions!$B$13),0)</f>
        <v>0</v>
      </c>
      <c r="BB15" s="249">
        <f>IF(AND(AX15&gt;0,$M15="Non-Saudi"),Assumptions!$B$25,0)</f>
        <v>0</v>
      </c>
      <c r="BC15" s="249">
        <f t="shared" si="13"/>
        <v>0</v>
      </c>
      <c r="BD15" s="249">
        <f t="shared" si="14"/>
        <v>0</v>
      </c>
      <c r="BE15" s="249">
        <f>IF(AND(BD15&gt;0,$N15&lt;&gt;""),IF((DATE(Assumptions!$B$4,7,28)-$N15)/365.25&lt;=Assumptions!$B$20,(DATE(Assumptions!$B$4,7,28)-$N15)/365.25*Assumptions!$B$18*BD15,(Assumptions!$B$20*Assumptions!$B$18+((DATE(Assumptions!$B$4,7,28)-$N15)/365.25-Assumptions!$B$20)*Assumptions!$B$19)*BD15),0)</f>
        <v>0</v>
      </c>
      <c r="BF15" s="249">
        <f>IF(BC15&gt;0,IF($M15="Saudi",MIN(BC15+$Q15*$V15,Assumptions!$B$14)*Assumptions!$B$12,MIN(BC15+$Q15*$V15,Assumptions!$B$14)*Assumptions!$B$13),0)</f>
        <v>0</v>
      </c>
      <c r="BG15" s="249">
        <f>IF(AND(BC15&gt;0,$M15="Non-Saudi"),Assumptions!$B$25,0)</f>
        <v>0</v>
      </c>
      <c r="BH15" s="249">
        <f t="shared" si="15"/>
        <v>0</v>
      </c>
      <c r="BI15" s="249">
        <f t="shared" si="16"/>
        <v>0</v>
      </c>
      <c r="BJ15" s="249">
        <f>IF(AND(BI15&gt;0,$N15&lt;&gt;""),IF((DATE(Assumptions!$B$4,8,28)-$N15)/365.25&lt;=Assumptions!$B$20,(DATE(Assumptions!$B$4,8,28)-$N15)/365.25*Assumptions!$B$18*BI15,(Assumptions!$B$20*Assumptions!$B$18+((DATE(Assumptions!$B$4,8,28)-$N15)/365.25-Assumptions!$B$20)*Assumptions!$B$19)*BI15),0)</f>
        <v>0</v>
      </c>
      <c r="BK15" s="249">
        <f>IF(BH15&gt;0,IF($M15="Saudi",MIN(BH15+$Q15*$V15,Assumptions!$B$14)*Assumptions!$B$12,MIN(BH15+$Q15*$V15,Assumptions!$B$14)*Assumptions!$B$13),0)</f>
        <v>0</v>
      </c>
      <c r="BL15" s="249">
        <f>IF(AND(BH15&gt;0,$M15="Non-Saudi"),Assumptions!$B$25,0)</f>
        <v>0</v>
      </c>
      <c r="BM15" s="249">
        <f>IF(AND($D15="Contrat Local",$N15&lt;&gt;""),IF(AND(9&gt;=Assumptions!$B$5,ISNUMBER($X15),$N15&lt;EDATE(Assumptions!$B$9,-Assumptions!$B$6*12)),($P15+$X15)*$V15,$P15*$V15),0)</f>
        <v>0</v>
      </c>
      <c r="BN15" s="249">
        <f t="shared" si="17"/>
        <v>0</v>
      </c>
      <c r="BO15" s="249">
        <f>IF(AND(BN15&gt;0,$N15&lt;&gt;""),IF((DATE(Assumptions!$B$4,9,28)-$N15)/365.25&lt;=Assumptions!$B$20,(DATE(Assumptions!$B$4,9,28)-$N15)/365.25*Assumptions!$B$18*BN15,(Assumptions!$B$20*Assumptions!$B$18+((DATE(Assumptions!$B$4,9,28)-$N15)/365.25-Assumptions!$B$20)*Assumptions!$B$19)*BN15),0)</f>
        <v>0</v>
      </c>
      <c r="BP15" s="249">
        <f>IF(BM15&gt;0,IF($M15="Saudi",MIN(BM15+$Q15*$V15,Assumptions!$B$14)*Assumptions!$B$12,MIN(BM15+$Q15*$V15,Assumptions!$B$14)*Assumptions!$B$13),0)</f>
        <v>0</v>
      </c>
      <c r="BQ15" s="249">
        <f>IF(AND(BM15&gt;0,$M15="Non-Saudi"),Assumptions!$B$25,0)</f>
        <v>0</v>
      </c>
      <c r="BR15" s="249">
        <f>IF(AND($D15="Contrat Local",$N15&lt;&gt;""),IF(AND(10&gt;=Assumptions!$B$5,ISNUMBER($X15),$N15&lt;EDATE(Assumptions!$B$9,-Assumptions!$B$6*12)),($P15+$X15)*$V15,$P15*$V15),0)</f>
        <v>0</v>
      </c>
      <c r="BS15" s="249">
        <f t="shared" si="18"/>
        <v>0</v>
      </c>
      <c r="BT15" s="249">
        <f>IF(AND(BS15&gt;0,$N15&lt;&gt;""),IF((DATE(Assumptions!$B$4,10,28)-$N15)/365.25&lt;=Assumptions!$B$20,(DATE(Assumptions!$B$4,10,28)-$N15)/365.25*Assumptions!$B$18*BS15,(Assumptions!$B$20*Assumptions!$B$18+((DATE(Assumptions!$B$4,10,28)-$N15)/365.25-Assumptions!$B$20)*Assumptions!$B$19)*BS15),0)</f>
        <v>0</v>
      </c>
      <c r="BU15" s="249">
        <f>IF(BR15&gt;0,IF($M15="Saudi",MIN(BR15+$Q15*$V15,Assumptions!$B$14)*Assumptions!$B$12,MIN(BR15+$Q15*$V15,Assumptions!$B$14)*Assumptions!$B$13),0)</f>
        <v>0</v>
      </c>
      <c r="BV15" s="249">
        <f>IF(AND(BR15&gt;0,$M15="Non-Saudi"),Assumptions!$B$25,0)</f>
        <v>0</v>
      </c>
      <c r="BW15" s="249">
        <f>IF(AND($D15="Contrat Local",$N15&lt;&gt;""),IF(AND(11&gt;=Assumptions!$B$5,ISNUMBER($X15),$N15&lt;EDATE(Assumptions!$B$9,-Assumptions!$B$6*12)),($P15+$X15)*$V15,$P15*$V15),0)</f>
        <v>0</v>
      </c>
      <c r="BX15" s="249">
        <f t="shared" si="19"/>
        <v>0</v>
      </c>
      <c r="BY15" s="249">
        <f>IF(AND(BX15&gt;0,$N15&lt;&gt;""),IF((DATE(Assumptions!$B$4,11,28)-$N15)/365.25&lt;=Assumptions!$B$20,(DATE(Assumptions!$B$4,11,28)-$N15)/365.25*Assumptions!$B$18*BX15,(Assumptions!$B$20*Assumptions!$B$18+((DATE(Assumptions!$B$4,11,28)-$N15)/365.25-Assumptions!$B$20)*Assumptions!$B$19)*BX15),0)</f>
        <v>0</v>
      </c>
      <c r="BZ15" s="249">
        <f>IF(BW15&gt;0,IF($M15="Saudi",MIN(BW15+$Q15*$V15,Assumptions!$B$14)*Assumptions!$B$12,MIN(BW15+$Q15*$V15,Assumptions!$B$14)*Assumptions!$B$13),0)</f>
        <v>0</v>
      </c>
      <c r="CA15" s="249">
        <f>IF(AND(BW15&gt;0,$M15="Non-Saudi"),Assumptions!$B$25,0)</f>
        <v>0</v>
      </c>
      <c r="CB15" s="249">
        <f>IF(AND($D15="Contrat Local",$N15&lt;&gt;""),IF(AND(12&gt;=Assumptions!$B$5,ISNUMBER($X15),$N15&lt;EDATE(Assumptions!$B$9,-Assumptions!$B$6*12)),($P15+$X15)*$V15,$P15*$V15),0)</f>
        <v>0</v>
      </c>
      <c r="CC15" s="249">
        <f t="shared" si="20"/>
        <v>0</v>
      </c>
      <c r="CD15" s="249">
        <f>IF(AND(CC15&gt;0,$N15&lt;&gt;""),IF((DATE(Assumptions!$B$4,12,28)-$N15)/365.25&lt;=Assumptions!$B$20,(DATE(Assumptions!$B$4,12,28)-$N15)/365.25*Assumptions!$B$18*CC15,(Assumptions!$B$20*Assumptions!$B$18+((DATE(Assumptions!$B$4,12,28)-$N15)/365.25-Assumptions!$B$20)*Assumptions!$B$19)*CC15),0)</f>
        <v>0</v>
      </c>
      <c r="CE15" s="249">
        <f>IF(CB15&gt;0,IF($M15="Saudi",MIN(CB15+$Q15*$V15,Assumptions!$B$14)*Assumptions!$B$12,MIN(CB15+$Q15*$V15,Assumptions!$B$14)*Assumptions!$B$13),0)</f>
        <v>0</v>
      </c>
      <c r="CF15" s="249">
        <f>IF(AND(CB15&gt;0,$M15="Non-Saudi"),Assumptions!$B$25,0)</f>
        <v>0</v>
      </c>
      <c r="CG15" s="249">
        <f t="shared" si="21"/>
        <v>0</v>
      </c>
      <c r="CH15" s="249">
        <f t="shared" si="22"/>
        <v>0</v>
      </c>
      <c r="CI15" s="249">
        <f>CD15-IF(AND(Z15&gt;0,$N15&lt;&gt;""),IF((DATE(Assumptions!$B$4-1,12,28)-$N15)/365.25&lt;=Assumptions!$B$20,(DATE(Assumptions!$B$4-1,12,28)-$N15)/365.25*Assumptions!$B$18*Z15,(Assumptions!$B$20*Assumptions!$B$18+((DATE(Assumptions!$B$4-1,12,28)-$N15)/365.25-Assumptions!$B$20)*Assumptions!$B$19)*Z15),0)</f>
        <v>0</v>
      </c>
      <c r="CJ15" s="249">
        <f t="shared" si="23"/>
        <v>0</v>
      </c>
      <c r="CK15" s="249">
        <f t="shared" si="24"/>
        <v>0</v>
      </c>
    </row>
    <row r="16" spans="1:89" x14ac:dyDescent="0.2">
      <c r="A16" s="270">
        <v>12</v>
      </c>
      <c r="B16" s="271" t="s">
        <v>289</v>
      </c>
      <c r="C16" s="271" t="s">
        <v>290</v>
      </c>
      <c r="D16" s="271" t="s">
        <v>250</v>
      </c>
      <c r="E16" s="271" t="s">
        <v>767</v>
      </c>
      <c r="F16" s="271" t="s">
        <v>291</v>
      </c>
      <c r="G16" s="271" t="s">
        <v>272</v>
      </c>
      <c r="H16" s="271" t="s">
        <v>292</v>
      </c>
      <c r="I16" s="285" t="s">
        <v>690</v>
      </c>
      <c r="J16" s="271"/>
      <c r="K16" s="271" t="s">
        <v>272</v>
      </c>
      <c r="L16" s="271" t="s">
        <v>255</v>
      </c>
      <c r="M16" s="271" t="str">
        <f t="shared" si="0"/>
        <v>Non-Saudi</v>
      </c>
      <c r="N16" s="272">
        <v>42283</v>
      </c>
      <c r="O16" s="273">
        <v>11.2</v>
      </c>
      <c r="P16" s="274">
        <v>9500</v>
      </c>
      <c r="Q16" s="274">
        <v>2500</v>
      </c>
      <c r="R16" s="274">
        <v>500</v>
      </c>
      <c r="S16" s="274"/>
      <c r="T16" s="274"/>
      <c r="U16" s="274">
        <v>12500</v>
      </c>
      <c r="V16" s="275">
        <v>1</v>
      </c>
      <c r="W16" s="271" t="s">
        <v>274</v>
      </c>
      <c r="X16" s="271">
        <v>250</v>
      </c>
      <c r="Y16" s="249">
        <f t="shared" si="1"/>
        <v>9500</v>
      </c>
      <c r="Z16" s="249">
        <f t="shared" si="2"/>
        <v>12500</v>
      </c>
      <c r="AA16" s="249">
        <f>IF(AND(Z16&gt;0,$N16&lt;&gt;""),IF((DATE(Assumptions!$B$4,1,28)-$N16)/365.25&lt;=Assumptions!$B$20,(DATE(Assumptions!$B$4,1,28)-$N16)/365.25*Assumptions!$B$18*Z16,(Assumptions!$B$20*Assumptions!$B$18+((DATE(Assumptions!$B$4,1,28)-$N16)/365.25-Assumptions!$B$20)*Assumptions!$B$19)*Z16),0)</f>
        <v>97668.548939082815</v>
      </c>
      <c r="AB16" s="249">
        <f>IF(Y16&gt;0,IF($M16="Saudi",MIN(Y16+$Q16*$V16,Assumptions!$B$14)*Assumptions!$B$12,MIN(Y16+$Q16*$V16,Assumptions!$B$14)*Assumptions!$B$13),0)</f>
        <v>0</v>
      </c>
      <c r="AC16" s="249">
        <f>IF(AND(Y16&gt;0,$M16="Non-Saudi"),Assumptions!$B$25,0)</f>
        <v>910.41666666666663</v>
      </c>
      <c r="AD16" s="249">
        <f t="shared" si="3"/>
        <v>9500</v>
      </c>
      <c r="AE16" s="249">
        <f t="shared" si="4"/>
        <v>12500</v>
      </c>
      <c r="AF16" s="249">
        <f>IF(AND(AE16&gt;0,$N16&lt;&gt;""),IF((DATE(Assumptions!$B$4,2,28)-$N16)/365.25&lt;=Assumptions!$B$20,(DATE(Assumptions!$B$4,2,28)-$N16)/365.25*Assumptions!$B$18*AE16,(Assumptions!$B$20*Assumptions!$B$18+((DATE(Assumptions!$B$4,2,28)-$N16)/365.25-Assumptions!$B$20)*Assumptions!$B$19)*AE16),0)</f>
        <v>98729.466119096498</v>
      </c>
      <c r="AG16" s="249">
        <f>IF(AD16&gt;0,IF($M16="Saudi",MIN(AD16+$Q16*$V16,Assumptions!$B$14)*Assumptions!$B$12,MIN(AD16+$Q16*$V16,Assumptions!$B$14)*Assumptions!$B$13),0)</f>
        <v>0</v>
      </c>
      <c r="AH16" s="249">
        <f>IF(AND(AD16&gt;0,$M16="Non-Saudi"),Assumptions!$B$25,0)</f>
        <v>910.41666666666663</v>
      </c>
      <c r="AI16" s="249">
        <f t="shared" si="5"/>
        <v>9500</v>
      </c>
      <c r="AJ16" s="249">
        <f t="shared" si="6"/>
        <v>12500</v>
      </c>
      <c r="AK16" s="249">
        <f>IF(AND(AJ16&gt;0,$N16&lt;&gt;""),IF((DATE(Assumptions!$B$4,3,28)-$N16)/365.25&lt;=Assumptions!$B$20,(DATE(Assumptions!$B$4,3,28)-$N16)/365.25*Assumptions!$B$18*AJ16,(Assumptions!$B$20*Assumptions!$B$18+((DATE(Assumptions!$B$4,3,28)-$N16)/365.25-Assumptions!$B$20)*Assumptions!$B$19)*AJ16),0)</f>
        <v>99687.713894592744</v>
      </c>
      <c r="AL16" s="249">
        <f>IF(AI16&gt;0,IF($M16="Saudi",MIN(AI16+$Q16*$V16,Assumptions!$B$14)*Assumptions!$B$12,MIN(AI16+$Q16*$V16,Assumptions!$B$14)*Assumptions!$B$13),0)</f>
        <v>0</v>
      </c>
      <c r="AM16" s="249">
        <f>IF(AND(AI16&gt;0,$M16="Non-Saudi"),Assumptions!$B$25,0)</f>
        <v>910.41666666666663</v>
      </c>
      <c r="AN16" s="249">
        <f t="shared" si="7"/>
        <v>9500</v>
      </c>
      <c r="AO16" s="249">
        <f t="shared" si="8"/>
        <v>12500</v>
      </c>
      <c r="AP16" s="249">
        <f>IF(AND(AO16&gt;0,$N16&lt;&gt;""),IF((DATE(Assumptions!$B$4,4,28)-$N16)/365.25&lt;=Assumptions!$B$20,(DATE(Assumptions!$B$4,4,28)-$N16)/365.25*Assumptions!$B$18*AO16,(Assumptions!$B$20*Assumptions!$B$18+((DATE(Assumptions!$B$4,4,28)-$N16)/365.25-Assumptions!$B$20)*Assumptions!$B$19)*AO16),0)</f>
        <v>100748.63107460643</v>
      </c>
      <c r="AQ16" s="249">
        <f>IF(AN16&gt;0,IF($M16="Saudi",MIN(AN16+$Q16*$V16,Assumptions!$B$14)*Assumptions!$B$12,MIN(AN16+$Q16*$V16,Assumptions!$B$14)*Assumptions!$B$13),0)</f>
        <v>0</v>
      </c>
      <c r="AR16" s="249">
        <f>IF(AND(AN16&gt;0,$M16="Non-Saudi"),Assumptions!$B$25,0)</f>
        <v>910.41666666666663</v>
      </c>
      <c r="AS16" s="249">
        <f t="shared" si="9"/>
        <v>9500</v>
      </c>
      <c r="AT16" s="249">
        <f t="shared" si="10"/>
        <v>12500</v>
      </c>
      <c r="AU16" s="249">
        <f>IF(AND(AT16&gt;0,$N16&lt;&gt;""),IF((DATE(Assumptions!$B$4,5,28)-$N16)/365.25&lt;=Assumptions!$B$20,(DATE(Assumptions!$B$4,5,28)-$N16)/365.25*Assumptions!$B$18*AT16,(Assumptions!$B$20*Assumptions!$B$18+((DATE(Assumptions!$B$4,5,28)-$N16)/365.25-Assumptions!$B$20)*Assumptions!$B$19)*AT16),0)</f>
        <v>101775.32511978097</v>
      </c>
      <c r="AV16" s="249">
        <f>IF(AS16&gt;0,IF($M16="Saudi",MIN(AS16+$Q16*$V16,Assumptions!$B$14)*Assumptions!$B$12,MIN(AS16+$Q16*$V16,Assumptions!$B$14)*Assumptions!$B$13),0)</f>
        <v>0</v>
      </c>
      <c r="AW16" s="249">
        <f>IF(AND(AS16&gt;0,$M16="Non-Saudi"),Assumptions!$B$25,0)</f>
        <v>910.41666666666663</v>
      </c>
      <c r="AX16" s="249">
        <f t="shared" si="11"/>
        <v>9500</v>
      </c>
      <c r="AY16" s="249">
        <f t="shared" si="12"/>
        <v>12500</v>
      </c>
      <c r="AZ16" s="249">
        <f>IF(AND(AY16&gt;0,$N16&lt;&gt;""),IF((DATE(Assumptions!$B$4,6,28)-$N16)/365.25&lt;=Assumptions!$B$20,(DATE(Assumptions!$B$4,6,28)-$N16)/365.25*Assumptions!$B$18*AY16,(Assumptions!$B$20*Assumptions!$B$18+((DATE(Assumptions!$B$4,6,28)-$N16)/365.25-Assumptions!$B$20)*Assumptions!$B$19)*AY16),0)</f>
        <v>102836.24229979467</v>
      </c>
      <c r="BA16" s="249">
        <f>IF(AX16&gt;0,IF($M16="Saudi",MIN(AX16+$Q16*$V16,Assumptions!$B$14)*Assumptions!$B$12,MIN(AX16+$Q16*$V16,Assumptions!$B$14)*Assumptions!$B$13),0)</f>
        <v>0</v>
      </c>
      <c r="BB16" s="249">
        <f>IF(AND(AX16&gt;0,$M16="Non-Saudi"),Assumptions!$B$25,0)</f>
        <v>910.41666666666663</v>
      </c>
      <c r="BC16" s="249">
        <f t="shared" si="13"/>
        <v>9500</v>
      </c>
      <c r="BD16" s="249">
        <f t="shared" si="14"/>
        <v>12500</v>
      </c>
      <c r="BE16" s="249">
        <f>IF(AND(BD16&gt;0,$N16&lt;&gt;""),IF((DATE(Assumptions!$B$4,7,28)-$N16)/365.25&lt;=Assumptions!$B$20,(DATE(Assumptions!$B$4,7,28)-$N16)/365.25*Assumptions!$B$18*BD16,(Assumptions!$B$20*Assumptions!$B$18+((DATE(Assumptions!$B$4,7,28)-$N16)/365.25-Assumptions!$B$20)*Assumptions!$B$19)*BD16),0)</f>
        <v>103862.93634496919</v>
      </c>
      <c r="BF16" s="249">
        <f>IF(BC16&gt;0,IF($M16="Saudi",MIN(BC16+$Q16*$V16,Assumptions!$B$14)*Assumptions!$B$12,MIN(BC16+$Q16*$V16,Assumptions!$B$14)*Assumptions!$B$13),0)</f>
        <v>0</v>
      </c>
      <c r="BG16" s="249">
        <f>IF(AND(BC16&gt;0,$M16="Non-Saudi"),Assumptions!$B$25,0)</f>
        <v>910.41666666666663</v>
      </c>
      <c r="BH16" s="249">
        <f t="shared" si="15"/>
        <v>9500</v>
      </c>
      <c r="BI16" s="249">
        <f t="shared" si="16"/>
        <v>12500</v>
      </c>
      <c r="BJ16" s="249">
        <f>IF(AND(BI16&gt;0,$N16&lt;&gt;""),IF((DATE(Assumptions!$B$4,8,28)-$N16)/365.25&lt;=Assumptions!$B$20,(DATE(Assumptions!$B$4,8,28)-$N16)/365.25*Assumptions!$B$18*BI16,(Assumptions!$B$20*Assumptions!$B$18+((DATE(Assumptions!$B$4,8,28)-$N16)/365.25-Assumptions!$B$20)*Assumptions!$B$19)*BI16),0)</f>
        <v>104923.85352498289</v>
      </c>
      <c r="BK16" s="249">
        <f>IF(BH16&gt;0,IF($M16="Saudi",MIN(BH16+$Q16*$V16,Assumptions!$B$14)*Assumptions!$B$12,MIN(BH16+$Q16*$V16,Assumptions!$B$14)*Assumptions!$B$13),0)</f>
        <v>0</v>
      </c>
      <c r="BL16" s="249">
        <f>IF(AND(BH16&gt;0,$M16="Non-Saudi"),Assumptions!$B$25,0)</f>
        <v>910.41666666666663</v>
      </c>
      <c r="BM16" s="249">
        <f>IF(AND($D16="Contrat Local",$N16&lt;&gt;""),IF(AND(9&gt;=Assumptions!$B$5,ISNUMBER($X16),$N16&lt;EDATE(Assumptions!$B$9,-Assumptions!$B$6*12)),($P16+$X16)*$V16,$P16*$V16),0)</f>
        <v>9750</v>
      </c>
      <c r="BN16" s="249">
        <f t="shared" si="17"/>
        <v>12750</v>
      </c>
      <c r="BO16" s="249">
        <f>IF(AND(BN16&gt;0,$N16&lt;&gt;""),IF((DATE(Assumptions!$B$4,9,28)-$N16)/365.25&lt;=Assumptions!$B$20,(DATE(Assumptions!$B$4,9,28)-$N16)/365.25*Assumptions!$B$18*BN16,(Assumptions!$B$20*Assumptions!$B$18+((DATE(Assumptions!$B$4,9,28)-$N16)/365.25-Assumptions!$B$20)*Assumptions!$B$19)*BN16),0)</f>
        <v>108104.4661190965</v>
      </c>
      <c r="BP16" s="249">
        <f>IF(BM16&gt;0,IF($M16="Saudi",MIN(BM16+$Q16*$V16,Assumptions!$B$14)*Assumptions!$B$12,MIN(BM16+$Q16*$V16,Assumptions!$B$14)*Assumptions!$B$13),0)</f>
        <v>0</v>
      </c>
      <c r="BQ16" s="249">
        <f>IF(AND(BM16&gt;0,$M16="Non-Saudi"),Assumptions!$B$25,0)</f>
        <v>910.41666666666663</v>
      </c>
      <c r="BR16" s="249">
        <f>IF(AND($D16="Contrat Local",$N16&lt;&gt;""),IF(AND(10&gt;=Assumptions!$B$5,ISNUMBER($X16),$N16&lt;EDATE(Assumptions!$B$9,-Assumptions!$B$6*12)),($P16+$X16)*$V16,$P16*$V16),0)</f>
        <v>9750</v>
      </c>
      <c r="BS16" s="249">
        <f t="shared" si="18"/>
        <v>12750</v>
      </c>
      <c r="BT16" s="249">
        <f>IF(AND(BS16&gt;0,$N16&lt;&gt;""),IF((DATE(Assumptions!$B$4,10,28)-$N16)/365.25&lt;=Assumptions!$B$20,(DATE(Assumptions!$B$4,10,28)-$N16)/365.25*Assumptions!$B$18*BS16,(Assumptions!$B$20*Assumptions!$B$18+((DATE(Assumptions!$B$4,10,28)-$N16)/365.25-Assumptions!$B$20)*Assumptions!$B$19)*BS16),0)</f>
        <v>109151.69404517453</v>
      </c>
      <c r="BU16" s="249">
        <f>IF(BR16&gt;0,IF($M16="Saudi",MIN(BR16+$Q16*$V16,Assumptions!$B$14)*Assumptions!$B$12,MIN(BR16+$Q16*$V16,Assumptions!$B$14)*Assumptions!$B$13),0)</f>
        <v>0</v>
      </c>
      <c r="BV16" s="249">
        <f>IF(AND(BR16&gt;0,$M16="Non-Saudi"),Assumptions!$B$25,0)</f>
        <v>910.41666666666663</v>
      </c>
      <c r="BW16" s="249">
        <f>IF(AND($D16="Contrat Local",$N16&lt;&gt;""),IF(AND(11&gt;=Assumptions!$B$5,ISNUMBER($X16),$N16&lt;EDATE(Assumptions!$B$9,-Assumptions!$B$6*12)),($P16+$X16)*$V16,$P16*$V16),0)</f>
        <v>9750</v>
      </c>
      <c r="BX16" s="249">
        <f t="shared" si="19"/>
        <v>12750</v>
      </c>
      <c r="BY16" s="249">
        <f>IF(AND(BX16&gt;0,$N16&lt;&gt;""),IF((DATE(Assumptions!$B$4,11,28)-$N16)/365.25&lt;=Assumptions!$B$20,(DATE(Assumptions!$B$4,11,28)-$N16)/365.25*Assumptions!$B$18*BX16,(Assumptions!$B$20*Assumptions!$B$18+((DATE(Assumptions!$B$4,11,28)-$N16)/365.25-Assumptions!$B$20)*Assumptions!$B$19)*BX16),0)</f>
        <v>110233.8295687885</v>
      </c>
      <c r="BZ16" s="249">
        <f>IF(BW16&gt;0,IF($M16="Saudi",MIN(BW16+$Q16*$V16,Assumptions!$B$14)*Assumptions!$B$12,MIN(BW16+$Q16*$V16,Assumptions!$B$14)*Assumptions!$B$13),0)</f>
        <v>0</v>
      </c>
      <c r="CA16" s="249">
        <f>IF(AND(BW16&gt;0,$M16="Non-Saudi"),Assumptions!$B$25,0)</f>
        <v>910.41666666666663</v>
      </c>
      <c r="CB16" s="249">
        <f>IF(AND($D16="Contrat Local",$N16&lt;&gt;""),IF(AND(12&gt;=Assumptions!$B$5,ISNUMBER($X16),$N16&lt;EDATE(Assumptions!$B$9,-Assumptions!$B$6*12)),($P16+$X16)*$V16,$P16*$V16),0)</f>
        <v>9750</v>
      </c>
      <c r="CC16" s="249">
        <f t="shared" si="20"/>
        <v>12750</v>
      </c>
      <c r="CD16" s="249">
        <f>IF(AND(CC16&gt;0,$N16&lt;&gt;""),IF((DATE(Assumptions!$B$4,12,28)-$N16)/365.25&lt;=Assumptions!$B$20,(DATE(Assumptions!$B$4,12,28)-$N16)/365.25*Assumptions!$B$18*CC16,(Assumptions!$B$20*Assumptions!$B$18+((DATE(Assumptions!$B$4,12,28)-$N16)/365.25-Assumptions!$B$20)*Assumptions!$B$19)*CC16),0)</f>
        <v>111281.05749486653</v>
      </c>
      <c r="CE16" s="249">
        <f>IF(CB16&gt;0,IF($M16="Saudi",MIN(CB16+$Q16*$V16,Assumptions!$B$14)*Assumptions!$B$12,MIN(CB16+$Q16*$V16,Assumptions!$B$14)*Assumptions!$B$13),0)</f>
        <v>0</v>
      </c>
      <c r="CF16" s="249">
        <f>IF(AND(CB16&gt;0,$M16="Non-Saudi"),Assumptions!$B$25,0)</f>
        <v>910.41666666666663</v>
      </c>
      <c r="CG16" s="249">
        <f t="shared" si="21"/>
        <v>115000</v>
      </c>
      <c r="CH16" s="249">
        <f t="shared" si="22"/>
        <v>151000</v>
      </c>
      <c r="CI16" s="249">
        <f>CD16-IF(AND(Z16&gt;0,$N16&lt;&gt;""),IF((DATE(Assumptions!$B$4-1,12,28)-$N16)/365.25&lt;=Assumptions!$B$20,(DATE(Assumptions!$B$4-1,12,28)-$N16)/365.25*Assumptions!$B$18*Z16,(Assumptions!$B$20*Assumptions!$B$18+((DATE(Assumptions!$B$4-1,12,28)-$N16)/365.25-Assumptions!$B$20)*Assumptions!$B$19)*Z16),0)</f>
        <v>14673.425735797413</v>
      </c>
      <c r="CJ16" s="249">
        <f t="shared" si="23"/>
        <v>0</v>
      </c>
      <c r="CK16" s="249">
        <f t="shared" si="24"/>
        <v>10924.999999999998</v>
      </c>
    </row>
    <row r="17" spans="1:89" x14ac:dyDescent="0.2">
      <c r="A17" s="270">
        <v>13</v>
      </c>
      <c r="B17" s="271" t="s">
        <v>293</v>
      </c>
      <c r="C17" s="271" t="s">
        <v>294</v>
      </c>
      <c r="D17" s="271" t="s">
        <v>250</v>
      </c>
      <c r="E17" s="271" t="s">
        <v>767</v>
      </c>
      <c r="F17" s="271" t="s">
        <v>295</v>
      </c>
      <c r="G17" s="271" t="s">
        <v>272</v>
      </c>
      <c r="H17" s="271" t="s">
        <v>288</v>
      </c>
      <c r="I17" s="285" t="s">
        <v>690</v>
      </c>
      <c r="J17" s="271"/>
      <c r="K17" s="271" t="s">
        <v>272</v>
      </c>
      <c r="L17" s="271" t="s">
        <v>255</v>
      </c>
      <c r="M17" s="271" t="str">
        <f t="shared" si="0"/>
        <v>Saudi</v>
      </c>
      <c r="N17" s="272">
        <v>44867</v>
      </c>
      <c r="O17" s="273">
        <v>4.2</v>
      </c>
      <c r="P17" s="274">
        <v>12250</v>
      </c>
      <c r="Q17" s="274">
        <v>2500</v>
      </c>
      <c r="R17" s="274">
        <v>500</v>
      </c>
      <c r="S17" s="274">
        <v>1000</v>
      </c>
      <c r="T17" s="274"/>
      <c r="U17" s="274">
        <v>16250</v>
      </c>
      <c r="V17" s="275">
        <v>1</v>
      </c>
      <c r="W17" s="271" t="s">
        <v>274</v>
      </c>
      <c r="X17" s="271">
        <v>250</v>
      </c>
      <c r="Y17" s="249">
        <f t="shared" si="1"/>
        <v>12250</v>
      </c>
      <c r="Z17" s="249">
        <f t="shared" si="2"/>
        <v>16250</v>
      </c>
      <c r="AA17" s="249">
        <f>IF(AND(Z17&gt;0,$N17&lt;&gt;""),IF((DATE(Assumptions!$B$4,1,28)-$N17)/365.25&lt;=Assumptions!$B$20,(DATE(Assumptions!$B$4,1,28)-$N17)/365.25*Assumptions!$B$18*Z17,(Assumptions!$B$20*Assumptions!$B$18+((DATE(Assumptions!$B$4,1,28)-$N17)/365.25-Assumptions!$B$20)*Assumptions!$B$19)*Z17),0)</f>
        <v>26315.879534565367</v>
      </c>
      <c r="AB17" s="249">
        <f>IF(Y17&gt;0,IF($M17="Saudi",MIN(Y17+$Q17*$V17,Assumptions!$B$14)*Assumptions!$B$12,MIN(Y17+$Q17*$V17,Assumptions!$B$14)*Assumptions!$B$13),0)</f>
        <v>1733.125</v>
      </c>
      <c r="AC17" s="249">
        <f>IF(AND(Y17&gt;0,$M17="Non-Saudi"),Assumptions!$B$25,0)</f>
        <v>0</v>
      </c>
      <c r="AD17" s="249">
        <f t="shared" si="3"/>
        <v>12250</v>
      </c>
      <c r="AE17" s="249">
        <f t="shared" si="4"/>
        <v>16250</v>
      </c>
      <c r="AF17" s="249">
        <f>IF(AND(AE17&gt;0,$N17&lt;&gt;""),IF((DATE(Assumptions!$B$4,2,28)-$N17)/365.25&lt;=Assumptions!$B$20,(DATE(Assumptions!$B$4,2,28)-$N17)/365.25*Assumptions!$B$18*AE17,(Assumptions!$B$20*Assumptions!$B$18+((DATE(Assumptions!$B$4,2,28)-$N17)/365.25-Assumptions!$B$20)*Assumptions!$B$19)*AE17),0)</f>
        <v>27005.475701574262</v>
      </c>
      <c r="AG17" s="249">
        <f>IF(AD17&gt;0,IF($M17="Saudi",MIN(AD17+$Q17*$V17,Assumptions!$B$14)*Assumptions!$B$12,MIN(AD17+$Q17*$V17,Assumptions!$B$14)*Assumptions!$B$13),0)</f>
        <v>1733.125</v>
      </c>
      <c r="AH17" s="249">
        <f>IF(AND(AD17&gt;0,$M17="Non-Saudi"),Assumptions!$B$25,0)</f>
        <v>0</v>
      </c>
      <c r="AI17" s="249">
        <f t="shared" si="5"/>
        <v>12250</v>
      </c>
      <c r="AJ17" s="249">
        <f t="shared" si="6"/>
        <v>16250</v>
      </c>
      <c r="AK17" s="249">
        <f>IF(AND(AJ17&gt;0,$N17&lt;&gt;""),IF((DATE(Assumptions!$B$4,3,28)-$N17)/365.25&lt;=Assumptions!$B$20,(DATE(Assumptions!$B$4,3,28)-$N17)/365.25*Assumptions!$B$18*AJ17,(Assumptions!$B$20*Assumptions!$B$18+((DATE(Assumptions!$B$4,3,28)-$N17)/365.25-Assumptions!$B$20)*Assumptions!$B$19)*AJ17),0)</f>
        <v>27628.336755646818</v>
      </c>
      <c r="AL17" s="249">
        <f>IF(AI17&gt;0,IF($M17="Saudi",MIN(AI17+$Q17*$V17,Assumptions!$B$14)*Assumptions!$B$12,MIN(AI17+$Q17*$V17,Assumptions!$B$14)*Assumptions!$B$13),0)</f>
        <v>1733.125</v>
      </c>
      <c r="AM17" s="249">
        <f>IF(AND(AI17&gt;0,$M17="Non-Saudi"),Assumptions!$B$25,0)</f>
        <v>0</v>
      </c>
      <c r="AN17" s="249">
        <f t="shared" si="7"/>
        <v>12250</v>
      </c>
      <c r="AO17" s="249">
        <f t="shared" si="8"/>
        <v>16250</v>
      </c>
      <c r="AP17" s="249">
        <f>IF(AND(AO17&gt;0,$N17&lt;&gt;""),IF((DATE(Assumptions!$B$4,4,28)-$N17)/365.25&lt;=Assumptions!$B$20,(DATE(Assumptions!$B$4,4,28)-$N17)/365.25*Assumptions!$B$18*AO17,(Assumptions!$B$20*Assumptions!$B$18+((DATE(Assumptions!$B$4,4,28)-$N17)/365.25-Assumptions!$B$20)*Assumptions!$B$19)*AO17),0)</f>
        <v>28317.932922655717</v>
      </c>
      <c r="AQ17" s="249">
        <f>IF(AN17&gt;0,IF($M17="Saudi",MIN(AN17+$Q17*$V17,Assumptions!$B$14)*Assumptions!$B$12,MIN(AN17+$Q17*$V17,Assumptions!$B$14)*Assumptions!$B$13),0)</f>
        <v>1733.125</v>
      </c>
      <c r="AR17" s="249">
        <f>IF(AND(AN17&gt;0,$M17="Non-Saudi"),Assumptions!$B$25,0)</f>
        <v>0</v>
      </c>
      <c r="AS17" s="249">
        <f t="shared" si="9"/>
        <v>12250</v>
      </c>
      <c r="AT17" s="249">
        <f t="shared" si="10"/>
        <v>16250</v>
      </c>
      <c r="AU17" s="249">
        <f>IF(AND(AT17&gt;0,$N17&lt;&gt;""),IF((DATE(Assumptions!$B$4,5,28)-$N17)/365.25&lt;=Assumptions!$B$20,(DATE(Assumptions!$B$4,5,28)-$N17)/365.25*Assumptions!$B$18*AT17,(Assumptions!$B$20*Assumptions!$B$18+((DATE(Assumptions!$B$4,5,28)-$N17)/365.25-Assumptions!$B$20)*Assumptions!$B$19)*AT17),0)</f>
        <v>28985.284052019164</v>
      </c>
      <c r="AV17" s="249">
        <f>IF(AS17&gt;0,IF($M17="Saudi",MIN(AS17+$Q17*$V17,Assumptions!$B$14)*Assumptions!$B$12,MIN(AS17+$Q17*$V17,Assumptions!$B$14)*Assumptions!$B$13),0)</f>
        <v>1733.125</v>
      </c>
      <c r="AW17" s="249">
        <f>IF(AND(AS17&gt;0,$M17="Non-Saudi"),Assumptions!$B$25,0)</f>
        <v>0</v>
      </c>
      <c r="AX17" s="249">
        <f t="shared" si="11"/>
        <v>12250</v>
      </c>
      <c r="AY17" s="249">
        <f t="shared" si="12"/>
        <v>16250</v>
      </c>
      <c r="AZ17" s="249">
        <f>IF(AND(AY17&gt;0,$N17&lt;&gt;""),IF((DATE(Assumptions!$B$4,6,28)-$N17)/365.25&lt;=Assumptions!$B$20,(DATE(Assumptions!$B$4,6,28)-$N17)/365.25*Assumptions!$B$18*AY17,(Assumptions!$B$20*Assumptions!$B$18+((DATE(Assumptions!$B$4,6,28)-$N17)/365.25-Assumptions!$B$20)*Assumptions!$B$19)*AY17),0)</f>
        <v>29674.880219028062</v>
      </c>
      <c r="BA17" s="249">
        <f>IF(AX17&gt;0,IF($M17="Saudi",MIN(AX17+$Q17*$V17,Assumptions!$B$14)*Assumptions!$B$12,MIN(AX17+$Q17*$V17,Assumptions!$B$14)*Assumptions!$B$13),0)</f>
        <v>1733.125</v>
      </c>
      <c r="BB17" s="249">
        <f>IF(AND(AX17&gt;0,$M17="Non-Saudi"),Assumptions!$B$25,0)</f>
        <v>0</v>
      </c>
      <c r="BC17" s="249">
        <f t="shared" si="13"/>
        <v>12250</v>
      </c>
      <c r="BD17" s="249">
        <f t="shared" si="14"/>
        <v>16250</v>
      </c>
      <c r="BE17" s="249">
        <f>IF(AND(BD17&gt;0,$N17&lt;&gt;""),IF((DATE(Assumptions!$B$4,7,28)-$N17)/365.25&lt;=Assumptions!$B$20,(DATE(Assumptions!$B$4,7,28)-$N17)/365.25*Assumptions!$B$18*BD17,(Assumptions!$B$20*Assumptions!$B$18+((DATE(Assumptions!$B$4,7,28)-$N17)/365.25-Assumptions!$B$20)*Assumptions!$B$19)*BD17),0)</f>
        <v>30342.231348391513</v>
      </c>
      <c r="BF17" s="249">
        <f>IF(BC17&gt;0,IF($M17="Saudi",MIN(BC17+$Q17*$V17,Assumptions!$B$14)*Assumptions!$B$12,MIN(BC17+$Q17*$V17,Assumptions!$B$14)*Assumptions!$B$13),0)</f>
        <v>1733.125</v>
      </c>
      <c r="BG17" s="249">
        <f>IF(AND(BC17&gt;0,$M17="Non-Saudi"),Assumptions!$B$25,0)</f>
        <v>0</v>
      </c>
      <c r="BH17" s="249">
        <f t="shared" si="15"/>
        <v>12250</v>
      </c>
      <c r="BI17" s="249">
        <f t="shared" si="16"/>
        <v>16250</v>
      </c>
      <c r="BJ17" s="249">
        <f>IF(AND(BI17&gt;0,$N17&lt;&gt;""),IF((DATE(Assumptions!$B$4,8,28)-$N17)/365.25&lt;=Assumptions!$B$20,(DATE(Assumptions!$B$4,8,28)-$N17)/365.25*Assumptions!$B$18*BI17,(Assumptions!$B$20*Assumptions!$B$18+((DATE(Assumptions!$B$4,8,28)-$N17)/365.25-Assumptions!$B$20)*Assumptions!$B$19)*BI17),0)</f>
        <v>31031.827515400411</v>
      </c>
      <c r="BK17" s="249">
        <f>IF(BH17&gt;0,IF($M17="Saudi",MIN(BH17+$Q17*$V17,Assumptions!$B$14)*Assumptions!$B$12,MIN(BH17+$Q17*$V17,Assumptions!$B$14)*Assumptions!$B$13),0)</f>
        <v>1733.125</v>
      </c>
      <c r="BL17" s="249">
        <f>IF(AND(BH17&gt;0,$M17="Non-Saudi"),Assumptions!$B$25,0)</f>
        <v>0</v>
      </c>
      <c r="BM17" s="249">
        <f>IF(AND($D17="Contrat Local",$N17&lt;&gt;""),IF(AND(9&gt;=Assumptions!$B$5,ISNUMBER($X17),$N17&lt;EDATE(Assumptions!$B$9,-Assumptions!$B$6*12)),($P17+$X17)*$V17,$P17*$V17),0)</f>
        <v>12500</v>
      </c>
      <c r="BN17" s="249">
        <f t="shared" si="17"/>
        <v>16500</v>
      </c>
      <c r="BO17" s="249">
        <f>IF(AND(BN17&gt;0,$N17&lt;&gt;""),IF((DATE(Assumptions!$B$4,9,28)-$N17)/365.25&lt;=Assumptions!$B$20,(DATE(Assumptions!$B$4,9,28)-$N17)/365.25*Assumptions!$B$18*BN17,(Assumptions!$B$20*Assumptions!$B$18+((DATE(Assumptions!$B$4,9,28)-$N17)/365.25-Assumptions!$B$20)*Assumptions!$B$19)*BN17),0)</f>
        <v>32209.445585215606</v>
      </c>
      <c r="BP17" s="249">
        <f>IF(BM17&gt;0,IF($M17="Saudi",MIN(BM17+$Q17*$V17,Assumptions!$B$14)*Assumptions!$B$12,MIN(BM17+$Q17*$V17,Assumptions!$B$14)*Assumptions!$B$13),0)</f>
        <v>1762.5</v>
      </c>
      <c r="BQ17" s="249">
        <f>IF(AND(BM17&gt;0,$M17="Non-Saudi"),Assumptions!$B$25,0)</f>
        <v>0</v>
      </c>
      <c r="BR17" s="249">
        <f>IF(AND($D17="Contrat Local",$N17&lt;&gt;""),IF(AND(10&gt;=Assumptions!$B$5,ISNUMBER($X17),$N17&lt;EDATE(Assumptions!$B$9,-Assumptions!$B$6*12)),($P17+$X17)*$V17,$P17*$V17),0)</f>
        <v>12500</v>
      </c>
      <c r="BS17" s="249">
        <f t="shared" si="18"/>
        <v>16500</v>
      </c>
      <c r="BT17" s="249">
        <f>IF(AND(BS17&gt;0,$N17&lt;&gt;""),IF((DATE(Assumptions!$B$4,10,28)-$N17)/365.25&lt;=Assumptions!$B$20,(DATE(Assumptions!$B$4,10,28)-$N17)/365.25*Assumptions!$B$18*BS17,(Assumptions!$B$20*Assumptions!$B$18+((DATE(Assumptions!$B$4,10,28)-$N17)/365.25-Assumptions!$B$20)*Assumptions!$B$19)*BS17),0)</f>
        <v>32887.063655030805</v>
      </c>
      <c r="BU17" s="249">
        <f>IF(BR17&gt;0,IF($M17="Saudi",MIN(BR17+$Q17*$V17,Assumptions!$B$14)*Assumptions!$B$12,MIN(BR17+$Q17*$V17,Assumptions!$B$14)*Assumptions!$B$13),0)</f>
        <v>1762.5</v>
      </c>
      <c r="BV17" s="249">
        <f>IF(AND(BR17&gt;0,$M17="Non-Saudi"),Assumptions!$B$25,0)</f>
        <v>0</v>
      </c>
      <c r="BW17" s="249">
        <f>IF(AND($D17="Contrat Local",$N17&lt;&gt;""),IF(AND(11&gt;=Assumptions!$B$5,ISNUMBER($X17),$N17&lt;EDATE(Assumptions!$B$9,-Assumptions!$B$6*12)),($P17+$X17)*$V17,$P17*$V17),0)</f>
        <v>12500</v>
      </c>
      <c r="BX17" s="249">
        <f t="shared" si="19"/>
        <v>16500</v>
      </c>
      <c r="BY17" s="249">
        <f>IF(AND(BX17&gt;0,$N17&lt;&gt;""),IF((DATE(Assumptions!$B$4,11,28)-$N17)/365.25&lt;=Assumptions!$B$20,(DATE(Assumptions!$B$4,11,28)-$N17)/365.25*Assumptions!$B$18*BX17,(Assumptions!$B$20*Assumptions!$B$18+((DATE(Assumptions!$B$4,11,28)-$N17)/365.25-Assumptions!$B$20)*Assumptions!$B$19)*BX17),0)</f>
        <v>33587.268993839833</v>
      </c>
      <c r="BZ17" s="249">
        <f>IF(BW17&gt;0,IF($M17="Saudi",MIN(BW17+$Q17*$V17,Assumptions!$B$14)*Assumptions!$B$12,MIN(BW17+$Q17*$V17,Assumptions!$B$14)*Assumptions!$B$13),0)</f>
        <v>1762.5</v>
      </c>
      <c r="CA17" s="249">
        <f>IF(AND(BW17&gt;0,$M17="Non-Saudi"),Assumptions!$B$25,0)</f>
        <v>0</v>
      </c>
      <c r="CB17" s="249">
        <f>IF(AND($D17="Contrat Local",$N17&lt;&gt;""),IF(AND(12&gt;=Assumptions!$B$5,ISNUMBER($X17),$N17&lt;EDATE(Assumptions!$B$9,-Assumptions!$B$6*12)),($P17+$X17)*$V17,$P17*$V17),0)</f>
        <v>12500</v>
      </c>
      <c r="CC17" s="249">
        <f t="shared" si="20"/>
        <v>16500</v>
      </c>
      <c r="CD17" s="249">
        <f>IF(AND(CC17&gt;0,$N17&lt;&gt;""),IF((DATE(Assumptions!$B$4,12,28)-$N17)/365.25&lt;=Assumptions!$B$20,(DATE(Assumptions!$B$4,12,28)-$N17)/365.25*Assumptions!$B$18*CC17,(Assumptions!$B$20*Assumptions!$B$18+((DATE(Assumptions!$B$4,12,28)-$N17)/365.25-Assumptions!$B$20)*Assumptions!$B$19)*CC17),0)</f>
        <v>34264.887063655027</v>
      </c>
      <c r="CE17" s="249">
        <f>IF(CB17&gt;0,IF($M17="Saudi",MIN(CB17+$Q17*$V17,Assumptions!$B$14)*Assumptions!$B$12,MIN(CB17+$Q17*$V17,Assumptions!$B$14)*Assumptions!$B$13),0)</f>
        <v>1762.5</v>
      </c>
      <c r="CF17" s="249">
        <f>IF(AND(CB17&gt;0,$M17="Non-Saudi"),Assumptions!$B$25,0)</f>
        <v>0</v>
      </c>
      <c r="CG17" s="249">
        <f t="shared" si="21"/>
        <v>148000</v>
      </c>
      <c r="CH17" s="249">
        <f t="shared" si="22"/>
        <v>196000</v>
      </c>
      <c r="CI17" s="249">
        <f>CD17-IF(AND(Z17&gt;0,$N17&lt;&gt;""),IF((DATE(Assumptions!$B$4-1,12,28)-$N17)/365.25&lt;=Assumptions!$B$20,(DATE(Assumptions!$B$4-1,12,28)-$N17)/365.25*Assumptions!$B$18*Z17,(Assumptions!$B$20*Assumptions!$B$18+((DATE(Assumptions!$B$4-1,12,28)-$N17)/365.25-Assumptions!$B$20)*Assumptions!$B$19)*Z17),0)</f>
        <v>8638.6036960985584</v>
      </c>
      <c r="CJ17" s="249">
        <f t="shared" si="23"/>
        <v>20915</v>
      </c>
      <c r="CK17" s="249">
        <f t="shared" si="24"/>
        <v>0</v>
      </c>
    </row>
    <row r="18" spans="1:89" x14ac:dyDescent="0.2">
      <c r="A18" s="252">
        <v>14</v>
      </c>
      <c r="B18" s="253" t="s">
        <v>296</v>
      </c>
      <c r="C18" s="253" t="s">
        <v>297</v>
      </c>
      <c r="D18" s="253" t="s">
        <v>250</v>
      </c>
      <c r="E18" s="253" t="s">
        <v>767</v>
      </c>
      <c r="F18" s="253" t="s">
        <v>251</v>
      </c>
      <c r="G18" s="253" t="s">
        <v>252</v>
      </c>
      <c r="H18" s="253" t="s">
        <v>253</v>
      </c>
      <c r="I18" s="282" t="s">
        <v>690</v>
      </c>
      <c r="J18" s="253"/>
      <c r="K18" s="253" t="s">
        <v>252</v>
      </c>
      <c r="L18" s="253" t="s">
        <v>255</v>
      </c>
      <c r="M18" s="253" t="str">
        <f t="shared" si="0"/>
        <v>Non-Saudi</v>
      </c>
      <c r="N18" s="254">
        <v>45901</v>
      </c>
      <c r="O18" s="255">
        <v>1.3</v>
      </c>
      <c r="P18" s="256">
        <v>7000</v>
      </c>
      <c r="Q18" s="256">
        <v>2500</v>
      </c>
      <c r="R18" s="256">
        <v>500</v>
      </c>
      <c r="S18" s="256"/>
      <c r="T18" s="256"/>
      <c r="U18" s="256">
        <v>10000</v>
      </c>
      <c r="V18" s="257">
        <v>1</v>
      </c>
      <c r="W18" s="253" t="s">
        <v>259</v>
      </c>
      <c r="X18" s="253" t="s">
        <v>268</v>
      </c>
      <c r="Y18" s="249">
        <f t="shared" si="1"/>
        <v>7000</v>
      </c>
      <c r="Z18" s="249">
        <f t="shared" si="2"/>
        <v>10000</v>
      </c>
      <c r="AA18" s="249">
        <f>IF(AND(Z18&gt;0,$N18&lt;&gt;""),IF((DATE(Assumptions!$B$4,1,28)-$N18)/365.25&lt;=Assumptions!$B$20,(DATE(Assumptions!$B$4,1,28)-$N18)/365.25*Assumptions!$B$18*Z18,(Assumptions!$B$20*Assumptions!$B$18+((DATE(Assumptions!$B$4,1,28)-$N18)/365.25-Assumptions!$B$20)*Assumptions!$B$19)*Z18),0)</f>
        <v>2039.6988364134156</v>
      </c>
      <c r="AB18" s="249">
        <f>IF(Y18&gt;0,IF($M18="Saudi",MIN(Y18+$Q18*$V18,Assumptions!$B$14)*Assumptions!$B$12,MIN(Y18+$Q18*$V18,Assumptions!$B$14)*Assumptions!$B$13),0)</f>
        <v>0</v>
      </c>
      <c r="AC18" s="249">
        <f>IF(AND(Y18&gt;0,$M18="Non-Saudi"),Assumptions!$B$25,0)</f>
        <v>910.41666666666663</v>
      </c>
      <c r="AD18" s="249">
        <f t="shared" si="3"/>
        <v>7000</v>
      </c>
      <c r="AE18" s="249">
        <f t="shared" si="4"/>
        <v>10000</v>
      </c>
      <c r="AF18" s="249">
        <f>IF(AND(AE18&gt;0,$N18&lt;&gt;""),IF((DATE(Assumptions!$B$4,2,28)-$N18)/365.25&lt;=Assumptions!$B$20,(DATE(Assumptions!$B$4,2,28)-$N18)/365.25*Assumptions!$B$18*AE18,(Assumptions!$B$20*Assumptions!$B$18+((DATE(Assumptions!$B$4,2,28)-$N18)/365.25-Assumptions!$B$20)*Assumptions!$B$19)*AE18),0)</f>
        <v>2464.0657084188911</v>
      </c>
      <c r="AG18" s="249">
        <f>IF(AD18&gt;0,IF($M18="Saudi",MIN(AD18+$Q18*$V18,Assumptions!$B$14)*Assumptions!$B$12,MIN(AD18+$Q18*$V18,Assumptions!$B$14)*Assumptions!$B$13),0)</f>
        <v>0</v>
      </c>
      <c r="AH18" s="249">
        <f>IF(AND(AD18&gt;0,$M18="Non-Saudi"),Assumptions!$B$25,0)</f>
        <v>910.41666666666663</v>
      </c>
      <c r="AI18" s="249">
        <f t="shared" si="5"/>
        <v>7000</v>
      </c>
      <c r="AJ18" s="249">
        <f t="shared" si="6"/>
        <v>10000</v>
      </c>
      <c r="AK18" s="249">
        <f>IF(AND(AJ18&gt;0,$N18&lt;&gt;""),IF((DATE(Assumptions!$B$4,3,28)-$N18)/365.25&lt;=Assumptions!$B$20,(DATE(Assumptions!$B$4,3,28)-$N18)/365.25*Assumptions!$B$18*AJ18,(Assumptions!$B$20*Assumptions!$B$18+((DATE(Assumptions!$B$4,3,28)-$N18)/365.25-Assumptions!$B$20)*Assumptions!$B$19)*AJ18),0)</f>
        <v>2847.3648186173855</v>
      </c>
      <c r="AL18" s="249">
        <f>IF(AI18&gt;0,IF($M18="Saudi",MIN(AI18+$Q18*$V18,Assumptions!$B$14)*Assumptions!$B$12,MIN(AI18+$Q18*$V18,Assumptions!$B$14)*Assumptions!$B$13),0)</f>
        <v>0</v>
      </c>
      <c r="AM18" s="249">
        <f>IF(AND(AI18&gt;0,$M18="Non-Saudi"),Assumptions!$B$25,0)</f>
        <v>910.41666666666663</v>
      </c>
      <c r="AN18" s="249">
        <f t="shared" si="7"/>
        <v>7000</v>
      </c>
      <c r="AO18" s="249">
        <f t="shared" si="8"/>
        <v>10000</v>
      </c>
      <c r="AP18" s="249">
        <f>IF(AND(AO18&gt;0,$N18&lt;&gt;""),IF((DATE(Assumptions!$B$4,4,28)-$N18)/365.25&lt;=Assumptions!$B$20,(DATE(Assumptions!$B$4,4,28)-$N18)/365.25*Assumptions!$B$18*AO18,(Assumptions!$B$20*Assumptions!$B$18+((DATE(Assumptions!$B$4,4,28)-$N18)/365.25-Assumptions!$B$20)*Assumptions!$B$19)*AO18),0)</f>
        <v>3271.7316906228612</v>
      </c>
      <c r="AQ18" s="249">
        <f>IF(AN18&gt;0,IF($M18="Saudi",MIN(AN18+$Q18*$V18,Assumptions!$B$14)*Assumptions!$B$12,MIN(AN18+$Q18*$V18,Assumptions!$B$14)*Assumptions!$B$13),0)</f>
        <v>0</v>
      </c>
      <c r="AR18" s="249">
        <f>IF(AND(AN18&gt;0,$M18="Non-Saudi"),Assumptions!$B$25,0)</f>
        <v>910.41666666666663</v>
      </c>
      <c r="AS18" s="249">
        <f t="shared" si="9"/>
        <v>7000</v>
      </c>
      <c r="AT18" s="249">
        <f t="shared" si="10"/>
        <v>10000</v>
      </c>
      <c r="AU18" s="249">
        <f>IF(AND(AT18&gt;0,$N18&lt;&gt;""),IF((DATE(Assumptions!$B$4,5,28)-$N18)/365.25&lt;=Assumptions!$B$20,(DATE(Assumptions!$B$4,5,28)-$N18)/365.25*Assumptions!$B$18*AT18,(Assumptions!$B$20*Assumptions!$B$18+((DATE(Assumptions!$B$4,5,28)-$N18)/365.25-Assumptions!$B$20)*Assumptions!$B$19)*AT18),0)</f>
        <v>3682.4093086926764</v>
      </c>
      <c r="AV18" s="249">
        <f>IF(AS18&gt;0,IF($M18="Saudi",MIN(AS18+$Q18*$V18,Assumptions!$B$14)*Assumptions!$B$12,MIN(AS18+$Q18*$V18,Assumptions!$B$14)*Assumptions!$B$13),0)</f>
        <v>0</v>
      </c>
      <c r="AW18" s="249">
        <f>IF(AND(AS18&gt;0,$M18="Non-Saudi"),Assumptions!$B$25,0)</f>
        <v>910.41666666666663</v>
      </c>
      <c r="AX18" s="249">
        <f t="shared" si="11"/>
        <v>7000</v>
      </c>
      <c r="AY18" s="249">
        <f t="shared" si="12"/>
        <v>10000</v>
      </c>
      <c r="AZ18" s="249">
        <f>IF(AND(AY18&gt;0,$N18&lt;&gt;""),IF((DATE(Assumptions!$B$4,6,28)-$N18)/365.25&lt;=Assumptions!$B$20,(DATE(Assumptions!$B$4,6,28)-$N18)/365.25*Assumptions!$B$18*AY18,(Assumptions!$B$20*Assumptions!$B$18+((DATE(Assumptions!$B$4,6,28)-$N18)/365.25-Assumptions!$B$20)*Assumptions!$B$19)*AY18),0)</f>
        <v>4106.7761806981516</v>
      </c>
      <c r="BA18" s="249">
        <f>IF(AX18&gt;0,IF($M18="Saudi",MIN(AX18+$Q18*$V18,Assumptions!$B$14)*Assumptions!$B$12,MIN(AX18+$Q18*$V18,Assumptions!$B$14)*Assumptions!$B$13),0)</f>
        <v>0</v>
      </c>
      <c r="BB18" s="249">
        <f>IF(AND(AX18&gt;0,$M18="Non-Saudi"),Assumptions!$B$25,0)</f>
        <v>910.41666666666663</v>
      </c>
      <c r="BC18" s="249">
        <f t="shared" si="13"/>
        <v>7000</v>
      </c>
      <c r="BD18" s="249">
        <f t="shared" si="14"/>
        <v>10000</v>
      </c>
      <c r="BE18" s="249">
        <f>IF(AND(BD18&gt;0,$N18&lt;&gt;""),IF((DATE(Assumptions!$B$4,7,28)-$N18)/365.25&lt;=Assumptions!$B$20,(DATE(Assumptions!$B$4,7,28)-$N18)/365.25*Assumptions!$B$18*BD18,(Assumptions!$B$20*Assumptions!$B$18+((DATE(Assumptions!$B$4,7,28)-$N18)/365.25-Assumptions!$B$20)*Assumptions!$B$19)*BD18),0)</f>
        <v>4517.4537987679669</v>
      </c>
      <c r="BF18" s="249">
        <f>IF(BC18&gt;0,IF($M18="Saudi",MIN(BC18+$Q18*$V18,Assumptions!$B$14)*Assumptions!$B$12,MIN(BC18+$Q18*$V18,Assumptions!$B$14)*Assumptions!$B$13),0)</f>
        <v>0</v>
      </c>
      <c r="BG18" s="249">
        <f>IF(AND(BC18&gt;0,$M18="Non-Saudi"),Assumptions!$B$25,0)</f>
        <v>910.41666666666663</v>
      </c>
      <c r="BH18" s="249">
        <f t="shared" si="15"/>
        <v>7000</v>
      </c>
      <c r="BI18" s="249">
        <f t="shared" si="16"/>
        <v>10000</v>
      </c>
      <c r="BJ18" s="249">
        <f>IF(AND(BI18&gt;0,$N18&lt;&gt;""),IF((DATE(Assumptions!$B$4,8,28)-$N18)/365.25&lt;=Assumptions!$B$20,(DATE(Assumptions!$B$4,8,28)-$N18)/365.25*Assumptions!$B$18*BI18,(Assumptions!$B$20*Assumptions!$B$18+((DATE(Assumptions!$B$4,8,28)-$N18)/365.25-Assumptions!$B$20)*Assumptions!$B$19)*BI18),0)</f>
        <v>4941.8206707734435</v>
      </c>
      <c r="BK18" s="249">
        <f>IF(BH18&gt;0,IF($M18="Saudi",MIN(BH18+$Q18*$V18,Assumptions!$B$14)*Assumptions!$B$12,MIN(BH18+$Q18*$V18,Assumptions!$B$14)*Assumptions!$B$13),0)</f>
        <v>0</v>
      </c>
      <c r="BL18" s="249">
        <f>IF(AND(BH18&gt;0,$M18="Non-Saudi"),Assumptions!$B$25,0)</f>
        <v>910.41666666666663</v>
      </c>
      <c r="BM18" s="249">
        <f>IF(AND($D18="Contrat Local",$N18&lt;&gt;""),IF(AND(9&gt;=Assumptions!$B$5,ISNUMBER($X18),$N18&lt;EDATE(Assumptions!$B$9,-Assumptions!$B$6*12)),($P18+$X18)*$V18,$P18*$V18),0)</f>
        <v>7000</v>
      </c>
      <c r="BN18" s="249">
        <f t="shared" si="17"/>
        <v>10000</v>
      </c>
      <c r="BO18" s="249">
        <f>IF(AND(BN18&gt;0,$N18&lt;&gt;""),IF((DATE(Assumptions!$B$4,9,28)-$N18)/365.25&lt;=Assumptions!$B$20,(DATE(Assumptions!$B$4,9,28)-$N18)/365.25*Assumptions!$B$18*BN18,(Assumptions!$B$20*Assumptions!$B$18+((DATE(Assumptions!$B$4,9,28)-$N18)/365.25-Assumptions!$B$20)*Assumptions!$B$19)*BN18),0)</f>
        <v>5366.1875427789182</v>
      </c>
      <c r="BP18" s="249">
        <f>IF(BM18&gt;0,IF($M18="Saudi",MIN(BM18+$Q18*$V18,Assumptions!$B$14)*Assumptions!$B$12,MIN(BM18+$Q18*$V18,Assumptions!$B$14)*Assumptions!$B$13),0)</f>
        <v>0</v>
      </c>
      <c r="BQ18" s="249">
        <f>IF(AND(BM18&gt;0,$M18="Non-Saudi"),Assumptions!$B$25,0)</f>
        <v>910.41666666666663</v>
      </c>
      <c r="BR18" s="249">
        <f>IF(AND($D18="Contrat Local",$N18&lt;&gt;""),IF(AND(10&gt;=Assumptions!$B$5,ISNUMBER($X18),$N18&lt;EDATE(Assumptions!$B$9,-Assumptions!$B$6*12)),($P18+$X18)*$V18,$P18*$V18),0)</f>
        <v>7000</v>
      </c>
      <c r="BS18" s="249">
        <f t="shared" si="18"/>
        <v>10000</v>
      </c>
      <c r="BT18" s="249">
        <f>IF(AND(BS18&gt;0,$N18&lt;&gt;""),IF((DATE(Assumptions!$B$4,10,28)-$N18)/365.25&lt;=Assumptions!$B$20,(DATE(Assumptions!$B$4,10,28)-$N18)/365.25*Assumptions!$B$18*BS18,(Assumptions!$B$20*Assumptions!$B$18+((DATE(Assumptions!$B$4,10,28)-$N18)/365.25-Assumptions!$B$20)*Assumptions!$B$19)*BS18),0)</f>
        <v>5776.8651608487344</v>
      </c>
      <c r="BU18" s="249">
        <f>IF(BR18&gt;0,IF($M18="Saudi",MIN(BR18+$Q18*$V18,Assumptions!$B$14)*Assumptions!$B$12,MIN(BR18+$Q18*$V18,Assumptions!$B$14)*Assumptions!$B$13),0)</f>
        <v>0</v>
      </c>
      <c r="BV18" s="249">
        <f>IF(AND(BR18&gt;0,$M18="Non-Saudi"),Assumptions!$B$25,0)</f>
        <v>910.41666666666663</v>
      </c>
      <c r="BW18" s="249">
        <f>IF(AND($D18="Contrat Local",$N18&lt;&gt;""),IF(AND(11&gt;=Assumptions!$B$5,ISNUMBER($X18),$N18&lt;EDATE(Assumptions!$B$9,-Assumptions!$B$6*12)),($P18+$X18)*$V18,$P18*$V18),0)</f>
        <v>7000</v>
      </c>
      <c r="BX18" s="249">
        <f t="shared" si="19"/>
        <v>10000</v>
      </c>
      <c r="BY18" s="249">
        <f>IF(AND(BX18&gt;0,$N18&lt;&gt;""),IF((DATE(Assumptions!$B$4,11,28)-$N18)/365.25&lt;=Assumptions!$B$20,(DATE(Assumptions!$B$4,11,28)-$N18)/365.25*Assumptions!$B$18*BX18,(Assumptions!$B$20*Assumptions!$B$18+((DATE(Assumptions!$B$4,11,28)-$N18)/365.25-Assumptions!$B$20)*Assumptions!$B$19)*BX18),0)</f>
        <v>6201.2320328542091</v>
      </c>
      <c r="BZ18" s="249">
        <f>IF(BW18&gt;0,IF($M18="Saudi",MIN(BW18+$Q18*$V18,Assumptions!$B$14)*Assumptions!$B$12,MIN(BW18+$Q18*$V18,Assumptions!$B$14)*Assumptions!$B$13),0)</f>
        <v>0</v>
      </c>
      <c r="CA18" s="249">
        <f>IF(AND(BW18&gt;0,$M18="Non-Saudi"),Assumptions!$B$25,0)</f>
        <v>910.41666666666663</v>
      </c>
      <c r="CB18" s="249">
        <f>IF(AND($D18="Contrat Local",$N18&lt;&gt;""),IF(AND(12&gt;=Assumptions!$B$5,ISNUMBER($X18),$N18&lt;EDATE(Assumptions!$B$9,-Assumptions!$B$6*12)),($P18+$X18)*$V18,$P18*$V18),0)</f>
        <v>7000</v>
      </c>
      <c r="CC18" s="249">
        <f t="shared" si="20"/>
        <v>10000</v>
      </c>
      <c r="CD18" s="249">
        <f>IF(AND(CC18&gt;0,$N18&lt;&gt;""),IF((DATE(Assumptions!$B$4,12,28)-$N18)/365.25&lt;=Assumptions!$B$20,(DATE(Assumptions!$B$4,12,28)-$N18)/365.25*Assumptions!$B$18*CC18,(Assumptions!$B$20*Assumptions!$B$18+((DATE(Assumptions!$B$4,12,28)-$N18)/365.25-Assumptions!$B$20)*Assumptions!$B$19)*CC18),0)</f>
        <v>6611.9096509240253</v>
      </c>
      <c r="CE18" s="249">
        <f>IF(CB18&gt;0,IF($M18="Saudi",MIN(CB18+$Q18*$V18,Assumptions!$B$14)*Assumptions!$B$12,MIN(CB18+$Q18*$V18,Assumptions!$B$14)*Assumptions!$B$13),0)</f>
        <v>0</v>
      </c>
      <c r="CF18" s="249">
        <f>IF(AND(CB18&gt;0,$M18="Non-Saudi"),Assumptions!$B$25,0)</f>
        <v>910.41666666666663</v>
      </c>
      <c r="CG18" s="249">
        <f t="shared" si="21"/>
        <v>84000</v>
      </c>
      <c r="CH18" s="249">
        <f t="shared" si="22"/>
        <v>120000</v>
      </c>
      <c r="CI18" s="249">
        <f>CD18-IF(AND(Z18&gt;0,$N18&lt;&gt;""),IF((DATE(Assumptions!$B$4-1,12,28)-$N18)/365.25&lt;=Assumptions!$B$20,(DATE(Assumptions!$B$4-1,12,28)-$N18)/365.25*Assumptions!$B$18*Z18,(Assumptions!$B$20*Assumptions!$B$18+((DATE(Assumptions!$B$4-1,12,28)-$N18)/365.25-Assumptions!$B$20)*Assumptions!$B$19)*Z18),0)</f>
        <v>4996.577686516086</v>
      </c>
      <c r="CJ18" s="249">
        <f t="shared" si="23"/>
        <v>0</v>
      </c>
      <c r="CK18" s="249">
        <f t="shared" si="24"/>
        <v>10924.999999999998</v>
      </c>
    </row>
    <row r="19" spans="1:89" x14ac:dyDescent="0.2">
      <c r="A19" s="258">
        <v>15</v>
      </c>
      <c r="B19" s="259" t="s">
        <v>298</v>
      </c>
      <c r="C19" s="259" t="s">
        <v>299</v>
      </c>
      <c r="D19" s="259" t="s">
        <v>250</v>
      </c>
      <c r="E19" s="259" t="s">
        <v>767</v>
      </c>
      <c r="F19" s="259" t="s">
        <v>264</v>
      </c>
      <c r="G19" s="259" t="s">
        <v>8</v>
      </c>
      <c r="H19" s="259" t="s">
        <v>265</v>
      </c>
      <c r="I19" s="283" t="s">
        <v>691</v>
      </c>
      <c r="J19" s="259" t="s">
        <v>58</v>
      </c>
      <c r="K19" s="259" t="s">
        <v>4</v>
      </c>
      <c r="L19" s="259" t="s">
        <v>255</v>
      </c>
      <c r="M19" s="259" t="str">
        <f t="shared" si="0"/>
        <v>Non-Saudi</v>
      </c>
      <c r="N19" s="260">
        <v>45536</v>
      </c>
      <c r="O19" s="261">
        <v>2.2999999999999998</v>
      </c>
      <c r="P19" s="262">
        <v>8250</v>
      </c>
      <c r="Q19" s="262">
        <v>2500</v>
      </c>
      <c r="R19" s="262">
        <v>500</v>
      </c>
      <c r="S19" s="262"/>
      <c r="T19" s="262"/>
      <c r="U19" s="262">
        <v>11250</v>
      </c>
      <c r="V19" s="263">
        <v>1</v>
      </c>
      <c r="W19" s="259" t="s">
        <v>256</v>
      </c>
      <c r="X19" s="259">
        <v>250</v>
      </c>
      <c r="Y19" s="249">
        <f t="shared" si="1"/>
        <v>8250</v>
      </c>
      <c r="Z19" s="249">
        <f t="shared" si="2"/>
        <v>11250</v>
      </c>
      <c r="AA19" s="249">
        <f>IF(AND(Z19&gt;0,$N19&lt;&gt;""),IF((DATE(Assumptions!$B$4,1,28)-$N19)/365.25&lt;=Assumptions!$B$20,(DATE(Assumptions!$B$4,1,28)-$N19)/365.25*Assumptions!$B$18*Z19,(Assumptions!$B$20*Assumptions!$B$18+((DATE(Assumptions!$B$4,1,28)-$N19)/365.25-Assumptions!$B$20)*Assumptions!$B$19)*Z19),0)</f>
        <v>7915.8110882956871</v>
      </c>
      <c r="AB19" s="249">
        <f>IF(Y19&gt;0,IF($M19="Saudi",MIN(Y19+$Q19*$V19,Assumptions!$B$14)*Assumptions!$B$12,MIN(Y19+$Q19*$V19,Assumptions!$B$14)*Assumptions!$B$13),0)</f>
        <v>0</v>
      </c>
      <c r="AC19" s="249">
        <f>IF(AND(Y19&gt;0,$M19="Non-Saudi"),Assumptions!$B$25,0)</f>
        <v>910.41666666666663</v>
      </c>
      <c r="AD19" s="249">
        <f t="shared" si="3"/>
        <v>8250</v>
      </c>
      <c r="AE19" s="249">
        <f t="shared" si="4"/>
        <v>11250</v>
      </c>
      <c r="AF19" s="249">
        <f>IF(AND(AE19&gt;0,$N19&lt;&gt;""),IF((DATE(Assumptions!$B$4,2,28)-$N19)/365.25&lt;=Assumptions!$B$20,(DATE(Assumptions!$B$4,2,28)-$N19)/365.25*Assumptions!$B$18*AE19,(Assumptions!$B$20*Assumptions!$B$18+((DATE(Assumptions!$B$4,2,28)-$N19)/365.25-Assumptions!$B$20)*Assumptions!$B$19)*AE19),0)</f>
        <v>8393.2238193018475</v>
      </c>
      <c r="AG19" s="249">
        <f>IF(AD19&gt;0,IF($M19="Saudi",MIN(AD19+$Q19*$V19,Assumptions!$B$14)*Assumptions!$B$12,MIN(AD19+$Q19*$V19,Assumptions!$B$14)*Assumptions!$B$13),0)</f>
        <v>0</v>
      </c>
      <c r="AH19" s="249">
        <f>IF(AND(AD19&gt;0,$M19="Non-Saudi"),Assumptions!$B$25,0)</f>
        <v>910.41666666666663</v>
      </c>
      <c r="AI19" s="249">
        <f t="shared" si="5"/>
        <v>8250</v>
      </c>
      <c r="AJ19" s="249">
        <f t="shared" si="6"/>
        <v>11250</v>
      </c>
      <c r="AK19" s="249">
        <f>IF(AND(AJ19&gt;0,$N19&lt;&gt;""),IF((DATE(Assumptions!$B$4,3,28)-$N19)/365.25&lt;=Assumptions!$B$20,(DATE(Assumptions!$B$4,3,28)-$N19)/365.25*Assumptions!$B$18*AJ19,(Assumptions!$B$20*Assumptions!$B$18+((DATE(Assumptions!$B$4,3,28)-$N19)/365.25-Assumptions!$B$20)*Assumptions!$B$19)*AJ19),0)</f>
        <v>8824.4353182751529</v>
      </c>
      <c r="AL19" s="249">
        <f>IF(AI19&gt;0,IF($M19="Saudi",MIN(AI19+$Q19*$V19,Assumptions!$B$14)*Assumptions!$B$12,MIN(AI19+$Q19*$V19,Assumptions!$B$14)*Assumptions!$B$13),0)</f>
        <v>0</v>
      </c>
      <c r="AM19" s="249">
        <f>IF(AND(AI19&gt;0,$M19="Non-Saudi"),Assumptions!$B$25,0)</f>
        <v>910.41666666666663</v>
      </c>
      <c r="AN19" s="249">
        <f t="shared" si="7"/>
        <v>8250</v>
      </c>
      <c r="AO19" s="249">
        <f t="shared" si="8"/>
        <v>11250</v>
      </c>
      <c r="AP19" s="249">
        <f>IF(AND(AO19&gt;0,$N19&lt;&gt;""),IF((DATE(Assumptions!$B$4,4,28)-$N19)/365.25&lt;=Assumptions!$B$20,(DATE(Assumptions!$B$4,4,28)-$N19)/365.25*Assumptions!$B$18*AO19,(Assumptions!$B$20*Assumptions!$B$18+((DATE(Assumptions!$B$4,4,28)-$N19)/365.25-Assumptions!$B$20)*Assumptions!$B$19)*AO19),0)</f>
        <v>9301.8480492813142</v>
      </c>
      <c r="AQ19" s="249">
        <f>IF(AN19&gt;0,IF($M19="Saudi",MIN(AN19+$Q19*$V19,Assumptions!$B$14)*Assumptions!$B$12,MIN(AN19+$Q19*$V19,Assumptions!$B$14)*Assumptions!$B$13),0)</f>
        <v>0</v>
      </c>
      <c r="AR19" s="249">
        <f>IF(AND(AN19&gt;0,$M19="Non-Saudi"),Assumptions!$B$25,0)</f>
        <v>910.41666666666663</v>
      </c>
      <c r="AS19" s="249">
        <f t="shared" si="9"/>
        <v>8250</v>
      </c>
      <c r="AT19" s="249">
        <f t="shared" si="10"/>
        <v>11250</v>
      </c>
      <c r="AU19" s="249">
        <f>IF(AND(AT19&gt;0,$N19&lt;&gt;""),IF((DATE(Assumptions!$B$4,5,28)-$N19)/365.25&lt;=Assumptions!$B$20,(DATE(Assumptions!$B$4,5,28)-$N19)/365.25*Assumptions!$B$18*AT19,(Assumptions!$B$20*Assumptions!$B$18+((DATE(Assumptions!$B$4,5,28)-$N19)/365.25-Assumptions!$B$20)*Assumptions!$B$19)*AT19),0)</f>
        <v>9763.8603696098562</v>
      </c>
      <c r="AV19" s="249">
        <f>IF(AS19&gt;0,IF($M19="Saudi",MIN(AS19+$Q19*$V19,Assumptions!$B$14)*Assumptions!$B$12,MIN(AS19+$Q19*$V19,Assumptions!$B$14)*Assumptions!$B$13),0)</f>
        <v>0</v>
      </c>
      <c r="AW19" s="249">
        <f>IF(AND(AS19&gt;0,$M19="Non-Saudi"),Assumptions!$B$25,0)</f>
        <v>910.41666666666663</v>
      </c>
      <c r="AX19" s="249">
        <f t="shared" si="11"/>
        <v>8250</v>
      </c>
      <c r="AY19" s="249">
        <f t="shared" si="12"/>
        <v>11250</v>
      </c>
      <c r="AZ19" s="249">
        <f>IF(AND(AY19&gt;0,$N19&lt;&gt;""),IF((DATE(Assumptions!$B$4,6,28)-$N19)/365.25&lt;=Assumptions!$B$20,(DATE(Assumptions!$B$4,6,28)-$N19)/365.25*Assumptions!$B$18*AY19,(Assumptions!$B$20*Assumptions!$B$18+((DATE(Assumptions!$B$4,6,28)-$N19)/365.25-Assumptions!$B$20)*Assumptions!$B$19)*AY19),0)</f>
        <v>10241.273100616016</v>
      </c>
      <c r="BA19" s="249">
        <f>IF(AX19&gt;0,IF($M19="Saudi",MIN(AX19+$Q19*$V19,Assumptions!$B$14)*Assumptions!$B$12,MIN(AX19+$Q19*$V19,Assumptions!$B$14)*Assumptions!$B$13),0)</f>
        <v>0</v>
      </c>
      <c r="BB19" s="249">
        <f>IF(AND(AX19&gt;0,$M19="Non-Saudi"),Assumptions!$B$25,0)</f>
        <v>910.41666666666663</v>
      </c>
      <c r="BC19" s="249">
        <f t="shared" si="13"/>
        <v>8250</v>
      </c>
      <c r="BD19" s="249">
        <f t="shared" si="14"/>
        <v>11250</v>
      </c>
      <c r="BE19" s="249">
        <f>IF(AND(BD19&gt;0,$N19&lt;&gt;""),IF((DATE(Assumptions!$B$4,7,28)-$N19)/365.25&lt;=Assumptions!$B$20,(DATE(Assumptions!$B$4,7,28)-$N19)/365.25*Assumptions!$B$18*BD19,(Assumptions!$B$20*Assumptions!$B$18+((DATE(Assumptions!$B$4,7,28)-$N19)/365.25-Assumptions!$B$20)*Assumptions!$B$19)*BD19),0)</f>
        <v>10703.28542094456</v>
      </c>
      <c r="BF19" s="249">
        <f>IF(BC19&gt;0,IF($M19="Saudi",MIN(BC19+$Q19*$V19,Assumptions!$B$14)*Assumptions!$B$12,MIN(BC19+$Q19*$V19,Assumptions!$B$14)*Assumptions!$B$13),0)</f>
        <v>0</v>
      </c>
      <c r="BG19" s="249">
        <f>IF(AND(BC19&gt;0,$M19="Non-Saudi"),Assumptions!$B$25,0)</f>
        <v>910.41666666666663</v>
      </c>
      <c r="BH19" s="249">
        <f t="shared" si="15"/>
        <v>8250</v>
      </c>
      <c r="BI19" s="249">
        <f t="shared" si="16"/>
        <v>11250</v>
      </c>
      <c r="BJ19" s="249">
        <f>IF(AND(BI19&gt;0,$N19&lt;&gt;""),IF((DATE(Assumptions!$B$4,8,28)-$N19)/365.25&lt;=Assumptions!$B$20,(DATE(Assumptions!$B$4,8,28)-$N19)/365.25*Assumptions!$B$18*BI19,(Assumptions!$B$20*Assumptions!$B$18+((DATE(Assumptions!$B$4,8,28)-$N19)/365.25-Assumptions!$B$20)*Assumptions!$B$19)*BI19),0)</f>
        <v>11180.698151950719</v>
      </c>
      <c r="BK19" s="249">
        <f>IF(BH19&gt;0,IF($M19="Saudi",MIN(BH19+$Q19*$V19,Assumptions!$B$14)*Assumptions!$B$12,MIN(BH19+$Q19*$V19,Assumptions!$B$14)*Assumptions!$B$13),0)</f>
        <v>0</v>
      </c>
      <c r="BL19" s="249">
        <f>IF(AND(BH19&gt;0,$M19="Non-Saudi"),Assumptions!$B$25,0)</f>
        <v>910.41666666666663</v>
      </c>
      <c r="BM19" s="249">
        <f>IF(AND($D19="Contrat Local",$N19&lt;&gt;""),IF(AND(9&gt;=Assumptions!$B$5,ISNUMBER($X19),$N19&lt;EDATE(Assumptions!$B$9,-Assumptions!$B$6*12)),($P19+$X19)*$V19,$P19*$V19),0)</f>
        <v>8500</v>
      </c>
      <c r="BN19" s="249">
        <f t="shared" si="17"/>
        <v>11500</v>
      </c>
      <c r="BO19" s="249">
        <f>IF(AND(BN19&gt;0,$N19&lt;&gt;""),IF((DATE(Assumptions!$B$4,9,28)-$N19)/365.25&lt;=Assumptions!$B$20,(DATE(Assumptions!$B$4,9,28)-$N19)/365.25*Assumptions!$B$18*BN19,(Assumptions!$B$20*Assumptions!$B$18+((DATE(Assumptions!$B$4,9,28)-$N19)/365.25-Assumptions!$B$20)*Assumptions!$B$19)*BN19),0)</f>
        <v>11917.180013689254</v>
      </c>
      <c r="BP19" s="249">
        <f>IF(BM19&gt;0,IF($M19="Saudi",MIN(BM19+$Q19*$V19,Assumptions!$B$14)*Assumptions!$B$12,MIN(BM19+$Q19*$V19,Assumptions!$B$14)*Assumptions!$B$13),0)</f>
        <v>0</v>
      </c>
      <c r="BQ19" s="249">
        <f>IF(AND(BM19&gt;0,$M19="Non-Saudi"),Assumptions!$B$25,0)</f>
        <v>910.41666666666663</v>
      </c>
      <c r="BR19" s="249">
        <f>IF(AND($D19="Contrat Local",$N19&lt;&gt;""),IF(AND(10&gt;=Assumptions!$B$5,ISNUMBER($X19),$N19&lt;EDATE(Assumptions!$B$9,-Assumptions!$B$6*12)),($P19+$X19)*$V19,$P19*$V19),0)</f>
        <v>8500</v>
      </c>
      <c r="BS19" s="249">
        <f t="shared" si="18"/>
        <v>11500</v>
      </c>
      <c r="BT19" s="249">
        <f>IF(AND(BS19&gt;0,$N19&lt;&gt;""),IF((DATE(Assumptions!$B$4,10,28)-$N19)/365.25&lt;=Assumptions!$B$20,(DATE(Assumptions!$B$4,10,28)-$N19)/365.25*Assumptions!$B$18*BS19,(Assumptions!$B$20*Assumptions!$B$18+((DATE(Assumptions!$B$4,10,28)-$N19)/365.25-Assumptions!$B$20)*Assumptions!$B$19)*BS19),0)</f>
        <v>12389.45927446954</v>
      </c>
      <c r="BU19" s="249">
        <f>IF(BR19&gt;0,IF($M19="Saudi",MIN(BR19+$Q19*$V19,Assumptions!$B$14)*Assumptions!$B$12,MIN(BR19+$Q19*$V19,Assumptions!$B$14)*Assumptions!$B$13),0)</f>
        <v>0</v>
      </c>
      <c r="BV19" s="249">
        <f>IF(AND(BR19&gt;0,$M19="Non-Saudi"),Assumptions!$B$25,0)</f>
        <v>910.41666666666663</v>
      </c>
      <c r="BW19" s="249">
        <f>IF(AND($D19="Contrat Local",$N19&lt;&gt;""),IF(AND(11&gt;=Assumptions!$B$5,ISNUMBER($X19),$N19&lt;EDATE(Assumptions!$B$9,-Assumptions!$B$6*12)),($P19+$X19)*$V19,$P19*$V19),0)</f>
        <v>8500</v>
      </c>
      <c r="BX19" s="249">
        <f t="shared" si="19"/>
        <v>11500</v>
      </c>
      <c r="BY19" s="249">
        <f>IF(AND(BX19&gt;0,$N19&lt;&gt;""),IF((DATE(Assumptions!$B$4,11,28)-$N19)/365.25&lt;=Assumptions!$B$20,(DATE(Assumptions!$B$4,11,28)-$N19)/365.25*Assumptions!$B$18*BX19,(Assumptions!$B$20*Assumptions!$B$18+((DATE(Assumptions!$B$4,11,28)-$N19)/365.25-Assumptions!$B$20)*Assumptions!$B$19)*BX19),0)</f>
        <v>12877.48117727584</v>
      </c>
      <c r="BZ19" s="249">
        <f>IF(BW19&gt;0,IF($M19="Saudi",MIN(BW19+$Q19*$V19,Assumptions!$B$14)*Assumptions!$B$12,MIN(BW19+$Q19*$V19,Assumptions!$B$14)*Assumptions!$B$13),0)</f>
        <v>0</v>
      </c>
      <c r="CA19" s="249">
        <f>IF(AND(BW19&gt;0,$M19="Non-Saudi"),Assumptions!$B$25,0)</f>
        <v>910.41666666666663</v>
      </c>
      <c r="CB19" s="249">
        <f>IF(AND($D19="Contrat Local",$N19&lt;&gt;""),IF(AND(12&gt;=Assumptions!$B$5,ISNUMBER($X19),$N19&lt;EDATE(Assumptions!$B$9,-Assumptions!$B$6*12)),($P19+$X19)*$V19,$P19*$V19),0)</f>
        <v>8500</v>
      </c>
      <c r="CC19" s="249">
        <f t="shared" si="20"/>
        <v>11500</v>
      </c>
      <c r="CD19" s="249">
        <f>IF(AND(CC19&gt;0,$N19&lt;&gt;""),IF((DATE(Assumptions!$B$4,12,28)-$N19)/365.25&lt;=Assumptions!$B$20,(DATE(Assumptions!$B$4,12,28)-$N19)/365.25*Assumptions!$B$18*CC19,(Assumptions!$B$20*Assumptions!$B$18+((DATE(Assumptions!$B$4,12,28)-$N19)/365.25-Assumptions!$B$20)*Assumptions!$B$19)*CC19),0)</f>
        <v>13349.760438056126</v>
      </c>
      <c r="CE19" s="249">
        <f>IF(CB19&gt;0,IF($M19="Saudi",MIN(CB19+$Q19*$V19,Assumptions!$B$14)*Assumptions!$B$12,MIN(CB19+$Q19*$V19,Assumptions!$B$14)*Assumptions!$B$13),0)</f>
        <v>0</v>
      </c>
      <c r="CF19" s="249">
        <f>IF(AND(CB19&gt;0,$M19="Non-Saudi"),Assumptions!$B$25,0)</f>
        <v>910.41666666666663</v>
      </c>
      <c r="CG19" s="249">
        <f t="shared" si="21"/>
        <v>100000</v>
      </c>
      <c r="CH19" s="249">
        <f t="shared" si="22"/>
        <v>136000</v>
      </c>
      <c r="CI19" s="249">
        <f>CD19-IF(AND(Z19&gt;0,$N19&lt;&gt;""),IF((DATE(Assumptions!$B$4-1,12,28)-$N19)/365.25&lt;=Assumptions!$B$20,(DATE(Assumptions!$B$4-1,12,28)-$N19)/365.25*Assumptions!$B$18*Z19,(Assumptions!$B$20*Assumptions!$B$18+((DATE(Assumptions!$B$4-1,12,28)-$N19)/365.25-Assumptions!$B$20)*Assumptions!$B$19)*Z19),0)</f>
        <v>5911.3620807665984</v>
      </c>
      <c r="CJ19" s="249">
        <f t="shared" si="23"/>
        <v>0</v>
      </c>
      <c r="CK19" s="249">
        <f t="shared" si="24"/>
        <v>10924.999999999998</v>
      </c>
    </row>
    <row r="20" spans="1:89" x14ac:dyDescent="0.2">
      <c r="A20" s="276">
        <v>16</v>
      </c>
      <c r="B20" s="277" t="s">
        <v>300</v>
      </c>
      <c r="C20" s="277" t="s">
        <v>301</v>
      </c>
      <c r="D20" s="277" t="s">
        <v>250</v>
      </c>
      <c r="E20" s="277" t="s">
        <v>767</v>
      </c>
      <c r="F20" s="277" t="s">
        <v>302</v>
      </c>
      <c r="G20" s="277" t="s">
        <v>303</v>
      </c>
      <c r="H20" s="277" t="s">
        <v>304</v>
      </c>
      <c r="I20" s="287" t="s">
        <v>691</v>
      </c>
      <c r="J20" s="277" t="s">
        <v>101</v>
      </c>
      <c r="K20" s="277" t="s">
        <v>254</v>
      </c>
      <c r="L20" s="277" t="s">
        <v>255</v>
      </c>
      <c r="M20" s="277" t="str">
        <f t="shared" si="0"/>
        <v>Non-Saudi</v>
      </c>
      <c r="N20" s="278">
        <v>40787</v>
      </c>
      <c r="O20" s="279">
        <v>15.3</v>
      </c>
      <c r="P20" s="280">
        <v>12000</v>
      </c>
      <c r="Q20" s="280">
        <v>2500</v>
      </c>
      <c r="R20" s="280">
        <v>500</v>
      </c>
      <c r="S20" s="280"/>
      <c r="T20" s="280">
        <v>900</v>
      </c>
      <c r="U20" s="280">
        <v>15900</v>
      </c>
      <c r="V20" s="281">
        <v>1</v>
      </c>
      <c r="W20" s="277" t="s">
        <v>259</v>
      </c>
      <c r="X20" s="277">
        <v>250</v>
      </c>
      <c r="Y20" s="249">
        <f t="shared" si="1"/>
        <v>12000</v>
      </c>
      <c r="Z20" s="249">
        <f t="shared" si="2"/>
        <v>15900</v>
      </c>
      <c r="AA20" s="249">
        <f>IF(AND(Z20&gt;0,$N20&lt;&gt;""),IF((DATE(Assumptions!$B$4,1,28)-$N20)/365.25&lt;=Assumptions!$B$20,(DATE(Assumptions!$B$4,1,28)-$N20)/365.25*Assumptions!$B$18*Z20,(Assumptions!$B$20*Assumptions!$B$18+((DATE(Assumptions!$B$4,1,28)-$N20)/365.25-Assumptions!$B$20)*Assumptions!$B$19)*Z20),0)</f>
        <v>189358.00821355238</v>
      </c>
      <c r="AB20" s="249">
        <f>IF(Y20&gt;0,IF($M20="Saudi",MIN(Y20+$Q20*$V20,Assumptions!$B$14)*Assumptions!$B$12,MIN(Y20+$Q20*$V20,Assumptions!$B$14)*Assumptions!$B$13),0)</f>
        <v>0</v>
      </c>
      <c r="AC20" s="249">
        <f>IF(AND(Y20&gt;0,$M20="Non-Saudi"),Assumptions!$B$25,0)</f>
        <v>910.41666666666663</v>
      </c>
      <c r="AD20" s="249">
        <f t="shared" si="3"/>
        <v>12000</v>
      </c>
      <c r="AE20" s="249">
        <f t="shared" si="4"/>
        <v>15900</v>
      </c>
      <c r="AF20" s="249">
        <f>IF(AND(AE20&gt;0,$N20&lt;&gt;""),IF((DATE(Assumptions!$B$4,2,28)-$N20)/365.25&lt;=Assumptions!$B$20,(DATE(Assumptions!$B$4,2,28)-$N20)/365.25*Assumptions!$B$18*AE20,(Assumptions!$B$20*Assumptions!$B$18+((DATE(Assumptions!$B$4,2,28)-$N20)/365.25-Assumptions!$B$20)*Assumptions!$B$19)*AE20),0)</f>
        <v>190707.49486652977</v>
      </c>
      <c r="AG20" s="249">
        <f>IF(AD20&gt;0,IF($M20="Saudi",MIN(AD20+$Q20*$V20,Assumptions!$B$14)*Assumptions!$B$12,MIN(AD20+$Q20*$V20,Assumptions!$B$14)*Assumptions!$B$13),0)</f>
        <v>0</v>
      </c>
      <c r="AH20" s="249">
        <f>IF(AND(AD20&gt;0,$M20="Non-Saudi"),Assumptions!$B$25,0)</f>
        <v>910.41666666666663</v>
      </c>
      <c r="AI20" s="249">
        <f t="shared" si="5"/>
        <v>12000</v>
      </c>
      <c r="AJ20" s="249">
        <f t="shared" si="6"/>
        <v>15900</v>
      </c>
      <c r="AK20" s="249">
        <f>IF(AND(AJ20&gt;0,$N20&lt;&gt;""),IF((DATE(Assumptions!$B$4,3,28)-$N20)/365.25&lt;=Assumptions!$B$20,(DATE(Assumptions!$B$4,3,28)-$N20)/365.25*Assumptions!$B$18*AJ20,(Assumptions!$B$20*Assumptions!$B$18+((DATE(Assumptions!$B$4,3,28)-$N20)/365.25-Assumptions!$B$20)*Assumptions!$B$19)*AJ20),0)</f>
        <v>191926.38603696099</v>
      </c>
      <c r="AL20" s="249">
        <f>IF(AI20&gt;0,IF($M20="Saudi",MIN(AI20+$Q20*$V20,Assumptions!$B$14)*Assumptions!$B$12,MIN(AI20+$Q20*$V20,Assumptions!$B$14)*Assumptions!$B$13),0)</f>
        <v>0</v>
      </c>
      <c r="AM20" s="249">
        <f>IF(AND(AI20&gt;0,$M20="Non-Saudi"),Assumptions!$B$25,0)</f>
        <v>910.41666666666663</v>
      </c>
      <c r="AN20" s="249">
        <f t="shared" si="7"/>
        <v>12000</v>
      </c>
      <c r="AO20" s="249">
        <f t="shared" si="8"/>
        <v>15900</v>
      </c>
      <c r="AP20" s="249">
        <f>IF(AND(AO20&gt;0,$N20&lt;&gt;""),IF((DATE(Assumptions!$B$4,4,28)-$N20)/365.25&lt;=Assumptions!$B$20,(DATE(Assumptions!$B$4,4,28)-$N20)/365.25*Assumptions!$B$18*AO20,(Assumptions!$B$20*Assumptions!$B$18+((DATE(Assumptions!$B$4,4,28)-$N20)/365.25-Assumptions!$B$20)*Assumptions!$B$19)*AO20),0)</f>
        <v>193275.87268993841</v>
      </c>
      <c r="AQ20" s="249">
        <f>IF(AN20&gt;0,IF($M20="Saudi",MIN(AN20+$Q20*$V20,Assumptions!$B$14)*Assumptions!$B$12,MIN(AN20+$Q20*$V20,Assumptions!$B$14)*Assumptions!$B$13),0)</f>
        <v>0</v>
      </c>
      <c r="AR20" s="249">
        <f>IF(AND(AN20&gt;0,$M20="Non-Saudi"),Assumptions!$B$25,0)</f>
        <v>910.41666666666663</v>
      </c>
      <c r="AS20" s="249">
        <f t="shared" si="9"/>
        <v>12000</v>
      </c>
      <c r="AT20" s="249">
        <f t="shared" si="10"/>
        <v>15900</v>
      </c>
      <c r="AU20" s="249">
        <f>IF(AND(AT20&gt;0,$N20&lt;&gt;""),IF((DATE(Assumptions!$B$4,5,28)-$N20)/365.25&lt;=Assumptions!$B$20,(DATE(Assumptions!$B$4,5,28)-$N20)/365.25*Assumptions!$B$18*AT20,(Assumptions!$B$20*Assumptions!$B$18+((DATE(Assumptions!$B$4,5,28)-$N20)/365.25-Assumptions!$B$20)*Assumptions!$B$19)*AT20),0)</f>
        <v>194581.82751540042</v>
      </c>
      <c r="AV20" s="249">
        <f>IF(AS20&gt;0,IF($M20="Saudi",MIN(AS20+$Q20*$V20,Assumptions!$B$14)*Assumptions!$B$12,MIN(AS20+$Q20*$V20,Assumptions!$B$14)*Assumptions!$B$13),0)</f>
        <v>0</v>
      </c>
      <c r="AW20" s="249">
        <f>IF(AND(AS20&gt;0,$M20="Non-Saudi"),Assumptions!$B$25,0)</f>
        <v>910.41666666666663</v>
      </c>
      <c r="AX20" s="249">
        <f t="shared" si="11"/>
        <v>12000</v>
      </c>
      <c r="AY20" s="249">
        <f t="shared" si="12"/>
        <v>15900</v>
      </c>
      <c r="AZ20" s="249">
        <f>IF(AND(AY20&gt;0,$N20&lt;&gt;""),IF((DATE(Assumptions!$B$4,6,28)-$N20)/365.25&lt;=Assumptions!$B$20,(DATE(Assumptions!$B$4,6,28)-$N20)/365.25*Assumptions!$B$18*AY20,(Assumptions!$B$20*Assumptions!$B$18+((DATE(Assumptions!$B$4,6,28)-$N20)/365.25-Assumptions!$B$20)*Assumptions!$B$19)*AY20),0)</f>
        <v>195931.31416837784</v>
      </c>
      <c r="BA20" s="249">
        <f>IF(AX20&gt;0,IF($M20="Saudi",MIN(AX20+$Q20*$V20,Assumptions!$B$14)*Assumptions!$B$12,MIN(AX20+$Q20*$V20,Assumptions!$B$14)*Assumptions!$B$13),0)</f>
        <v>0</v>
      </c>
      <c r="BB20" s="249">
        <f>IF(AND(AX20&gt;0,$M20="Non-Saudi"),Assumptions!$B$25,0)</f>
        <v>910.41666666666663</v>
      </c>
      <c r="BC20" s="249">
        <f t="shared" si="13"/>
        <v>12000</v>
      </c>
      <c r="BD20" s="249">
        <f t="shared" si="14"/>
        <v>15900</v>
      </c>
      <c r="BE20" s="249">
        <f>IF(AND(BD20&gt;0,$N20&lt;&gt;""),IF((DATE(Assumptions!$B$4,7,28)-$N20)/365.25&lt;=Assumptions!$B$20,(DATE(Assumptions!$B$4,7,28)-$N20)/365.25*Assumptions!$B$18*BD20,(Assumptions!$B$20*Assumptions!$B$18+((DATE(Assumptions!$B$4,7,28)-$N20)/365.25-Assumptions!$B$20)*Assumptions!$B$19)*BD20),0)</f>
        <v>197237.26899383983</v>
      </c>
      <c r="BF20" s="249">
        <f>IF(BC20&gt;0,IF($M20="Saudi",MIN(BC20+$Q20*$V20,Assumptions!$B$14)*Assumptions!$B$12,MIN(BC20+$Q20*$V20,Assumptions!$B$14)*Assumptions!$B$13),0)</f>
        <v>0</v>
      </c>
      <c r="BG20" s="249">
        <f>IF(AND(BC20&gt;0,$M20="Non-Saudi"),Assumptions!$B$25,0)</f>
        <v>910.41666666666663</v>
      </c>
      <c r="BH20" s="249">
        <f t="shared" si="15"/>
        <v>12000</v>
      </c>
      <c r="BI20" s="249">
        <f t="shared" si="16"/>
        <v>15900</v>
      </c>
      <c r="BJ20" s="249">
        <f>IF(AND(BI20&gt;0,$N20&lt;&gt;""),IF((DATE(Assumptions!$B$4,8,28)-$N20)/365.25&lt;=Assumptions!$B$20,(DATE(Assumptions!$B$4,8,28)-$N20)/365.25*Assumptions!$B$18*BI20,(Assumptions!$B$20*Assumptions!$B$18+((DATE(Assumptions!$B$4,8,28)-$N20)/365.25-Assumptions!$B$20)*Assumptions!$B$19)*BI20),0)</f>
        <v>198586.75564681727</v>
      </c>
      <c r="BK20" s="249">
        <f>IF(BH20&gt;0,IF($M20="Saudi",MIN(BH20+$Q20*$V20,Assumptions!$B$14)*Assumptions!$B$12,MIN(BH20+$Q20*$V20,Assumptions!$B$14)*Assumptions!$B$13),0)</f>
        <v>0</v>
      </c>
      <c r="BL20" s="249">
        <f>IF(AND(BH20&gt;0,$M20="Non-Saudi"),Assumptions!$B$25,0)</f>
        <v>910.41666666666663</v>
      </c>
      <c r="BM20" s="249">
        <f>IF(AND($D20="Contrat Local",$N20&lt;&gt;""),IF(AND(9&gt;=Assumptions!$B$5,ISNUMBER($X20),$N20&lt;EDATE(Assumptions!$B$9,-Assumptions!$B$6*12)),($P20+$X20)*$V20,$P20*$V20),0)</f>
        <v>12250</v>
      </c>
      <c r="BN20" s="249">
        <f t="shared" si="17"/>
        <v>16150</v>
      </c>
      <c r="BO20" s="249">
        <f>IF(AND(BN20&gt;0,$N20&lt;&gt;""),IF((DATE(Assumptions!$B$4,9,28)-$N20)/365.25&lt;=Assumptions!$B$20,(DATE(Assumptions!$B$4,9,28)-$N20)/365.25*Assumptions!$B$18*BN20,(Assumptions!$B$20*Assumptions!$B$18+((DATE(Assumptions!$B$4,9,28)-$N20)/365.25-Assumptions!$B$20)*Assumptions!$B$19)*BN20),0)</f>
        <v>203079.89390828201</v>
      </c>
      <c r="BP20" s="249">
        <f>IF(BM20&gt;0,IF($M20="Saudi",MIN(BM20+$Q20*$V20,Assumptions!$B$14)*Assumptions!$B$12,MIN(BM20+$Q20*$V20,Assumptions!$B$14)*Assumptions!$B$13),0)</f>
        <v>0</v>
      </c>
      <c r="BQ20" s="249">
        <f>IF(AND(BM20&gt;0,$M20="Non-Saudi"),Assumptions!$B$25,0)</f>
        <v>910.41666666666663</v>
      </c>
      <c r="BR20" s="249">
        <f>IF(AND($D20="Contrat Local",$N20&lt;&gt;""),IF(AND(10&gt;=Assumptions!$B$5,ISNUMBER($X20),$N20&lt;EDATE(Assumptions!$B$9,-Assumptions!$B$6*12)),($P20+$X20)*$V20,$P20*$V20),0)</f>
        <v>12250</v>
      </c>
      <c r="BS20" s="249">
        <f t="shared" si="18"/>
        <v>16150</v>
      </c>
      <c r="BT20" s="249">
        <f>IF(AND(BS20&gt;0,$N20&lt;&gt;""),IF((DATE(Assumptions!$B$4,10,28)-$N20)/365.25&lt;=Assumptions!$B$20,(DATE(Assumptions!$B$4,10,28)-$N20)/365.25*Assumptions!$B$18*BS20,(Assumptions!$B$20*Assumptions!$B$18+((DATE(Assumptions!$B$4,10,28)-$N20)/365.25-Assumptions!$B$20)*Assumptions!$B$19)*BS20),0)</f>
        <v>204406.3826146475</v>
      </c>
      <c r="BU20" s="249">
        <f>IF(BR20&gt;0,IF($M20="Saudi",MIN(BR20+$Q20*$V20,Assumptions!$B$14)*Assumptions!$B$12,MIN(BR20+$Q20*$V20,Assumptions!$B$14)*Assumptions!$B$13),0)</f>
        <v>0</v>
      </c>
      <c r="BV20" s="249">
        <f>IF(AND(BR20&gt;0,$M20="Non-Saudi"),Assumptions!$B$25,0)</f>
        <v>910.41666666666663</v>
      </c>
      <c r="BW20" s="249">
        <f>IF(AND($D20="Contrat Local",$N20&lt;&gt;""),IF(AND(11&gt;=Assumptions!$B$5,ISNUMBER($X20),$N20&lt;EDATE(Assumptions!$B$9,-Assumptions!$B$6*12)),($P20+$X20)*$V20,$P20*$V20),0)</f>
        <v>12250</v>
      </c>
      <c r="BX20" s="249">
        <f t="shared" si="19"/>
        <v>16150</v>
      </c>
      <c r="BY20" s="249">
        <f>IF(AND(BX20&gt;0,$N20&lt;&gt;""),IF((DATE(Assumptions!$B$4,11,28)-$N20)/365.25&lt;=Assumptions!$B$20,(DATE(Assumptions!$B$4,11,28)-$N20)/365.25*Assumptions!$B$18*BX20,(Assumptions!$B$20*Assumptions!$B$18+((DATE(Assumptions!$B$4,11,28)-$N20)/365.25-Assumptions!$B$20)*Assumptions!$B$19)*BX20),0)</f>
        <v>205777.08761122517</v>
      </c>
      <c r="BZ20" s="249">
        <f>IF(BW20&gt;0,IF($M20="Saudi",MIN(BW20+$Q20*$V20,Assumptions!$B$14)*Assumptions!$B$12,MIN(BW20+$Q20*$V20,Assumptions!$B$14)*Assumptions!$B$13),0)</f>
        <v>0</v>
      </c>
      <c r="CA20" s="249">
        <f>IF(AND(BW20&gt;0,$M20="Non-Saudi"),Assumptions!$B$25,0)</f>
        <v>910.41666666666663</v>
      </c>
      <c r="CB20" s="249">
        <f>IF(AND($D20="Contrat Local",$N20&lt;&gt;""),IF(AND(12&gt;=Assumptions!$B$5,ISNUMBER($X20),$N20&lt;EDATE(Assumptions!$B$9,-Assumptions!$B$6*12)),($P20+$X20)*$V20,$P20*$V20),0)</f>
        <v>12250</v>
      </c>
      <c r="CC20" s="249">
        <f t="shared" si="20"/>
        <v>16150</v>
      </c>
      <c r="CD20" s="249">
        <f>IF(AND(CC20&gt;0,$N20&lt;&gt;""),IF((DATE(Assumptions!$B$4,12,28)-$N20)/365.25&lt;=Assumptions!$B$20,(DATE(Assumptions!$B$4,12,28)-$N20)/365.25*Assumptions!$B$18*CC20,(Assumptions!$B$20*Assumptions!$B$18+((DATE(Assumptions!$B$4,12,28)-$N20)/365.25-Assumptions!$B$20)*Assumptions!$B$19)*CC20),0)</f>
        <v>207103.57631759069</v>
      </c>
      <c r="CE20" s="249">
        <f>IF(CB20&gt;0,IF($M20="Saudi",MIN(CB20+$Q20*$V20,Assumptions!$B$14)*Assumptions!$B$12,MIN(CB20+$Q20*$V20,Assumptions!$B$14)*Assumptions!$B$13),0)</f>
        <v>0</v>
      </c>
      <c r="CF20" s="249">
        <f>IF(AND(CB20&gt;0,$M20="Non-Saudi"),Assumptions!$B$25,0)</f>
        <v>910.41666666666663</v>
      </c>
      <c r="CG20" s="249">
        <f t="shared" si="21"/>
        <v>145000</v>
      </c>
      <c r="CH20" s="249">
        <f t="shared" si="22"/>
        <v>191800</v>
      </c>
      <c r="CI20" s="249">
        <f>CD20-IF(AND(Z20&gt;0,$N20&lt;&gt;""),IF((DATE(Assumptions!$B$4-1,12,28)-$N20)/365.25&lt;=Assumptions!$B$20,(DATE(Assumptions!$B$4-1,12,28)-$N20)/365.25*Assumptions!$B$18*Z20,(Assumptions!$B$20*Assumptions!$B$18+((DATE(Assumptions!$B$4-1,12,28)-$N20)/365.25-Assumptions!$B$20)*Assumptions!$B$19)*Z20),0)</f>
        <v>19095.054757015751</v>
      </c>
      <c r="CJ20" s="249">
        <f t="shared" si="23"/>
        <v>0</v>
      </c>
      <c r="CK20" s="249">
        <f t="shared" si="24"/>
        <v>10924.999999999998</v>
      </c>
    </row>
    <row r="21" spans="1:89" x14ac:dyDescent="0.2">
      <c r="A21" s="276">
        <v>17</v>
      </c>
      <c r="B21" s="277" t="s">
        <v>305</v>
      </c>
      <c r="C21" s="277" t="s">
        <v>306</v>
      </c>
      <c r="D21" s="277" t="s">
        <v>250</v>
      </c>
      <c r="E21" s="277" t="s">
        <v>767</v>
      </c>
      <c r="F21" s="277" t="s">
        <v>302</v>
      </c>
      <c r="G21" s="277" t="s">
        <v>303</v>
      </c>
      <c r="H21" s="299" t="s">
        <v>42</v>
      </c>
      <c r="I21" s="287" t="s">
        <v>691</v>
      </c>
      <c r="J21" s="299" t="s">
        <v>85</v>
      </c>
      <c r="K21" s="277" t="s">
        <v>254</v>
      </c>
      <c r="L21" s="277" t="s">
        <v>255</v>
      </c>
      <c r="M21" s="277" t="str">
        <f t="shared" si="0"/>
        <v>Non-Saudi</v>
      </c>
      <c r="N21" s="278">
        <v>45901</v>
      </c>
      <c r="O21" s="279">
        <v>1.3</v>
      </c>
      <c r="P21" s="280">
        <v>8750</v>
      </c>
      <c r="Q21" s="280">
        <v>2500</v>
      </c>
      <c r="R21" s="280">
        <v>500</v>
      </c>
      <c r="S21" s="280"/>
      <c r="T21" s="280">
        <v>700</v>
      </c>
      <c r="U21" s="280">
        <v>12450</v>
      </c>
      <c r="V21" s="281">
        <v>1</v>
      </c>
      <c r="W21" s="277" t="s">
        <v>256</v>
      </c>
      <c r="X21" s="277" t="s">
        <v>268</v>
      </c>
      <c r="Y21" s="249">
        <f t="shared" si="1"/>
        <v>8750</v>
      </c>
      <c r="Z21" s="249">
        <f t="shared" si="2"/>
        <v>12450</v>
      </c>
      <c r="AA21" s="249">
        <f>IF(AND(Z21&gt;0,$N21&lt;&gt;""),IF((DATE(Assumptions!$B$4,1,28)-$N21)/365.25&lt;=Assumptions!$B$20,(DATE(Assumptions!$B$4,1,28)-$N21)/365.25*Assumptions!$B$18*Z21,(Assumptions!$B$20*Assumptions!$B$18+((DATE(Assumptions!$B$4,1,28)-$N21)/365.25-Assumptions!$B$20)*Assumptions!$B$19)*Z21),0)</f>
        <v>2539.4250513347024</v>
      </c>
      <c r="AB21" s="249">
        <f>IF(Y21&gt;0,IF($M21="Saudi",MIN(Y21+$Q21*$V21,Assumptions!$B$14)*Assumptions!$B$12,MIN(Y21+$Q21*$V21,Assumptions!$B$14)*Assumptions!$B$13),0)</f>
        <v>0</v>
      </c>
      <c r="AC21" s="249">
        <f>IF(AND(Y21&gt;0,$M21="Non-Saudi"),Assumptions!$B$25,0)</f>
        <v>910.41666666666663</v>
      </c>
      <c r="AD21" s="249">
        <f t="shared" si="3"/>
        <v>8750</v>
      </c>
      <c r="AE21" s="249">
        <f t="shared" si="4"/>
        <v>12450</v>
      </c>
      <c r="AF21" s="249">
        <f>IF(AND(AE21&gt;0,$N21&lt;&gt;""),IF((DATE(Assumptions!$B$4,2,28)-$N21)/365.25&lt;=Assumptions!$B$20,(DATE(Assumptions!$B$4,2,28)-$N21)/365.25*Assumptions!$B$18*AE21,(Assumptions!$B$20*Assumptions!$B$18+((DATE(Assumptions!$B$4,2,28)-$N21)/365.25-Assumptions!$B$20)*Assumptions!$B$19)*AE21),0)</f>
        <v>3067.7618069815194</v>
      </c>
      <c r="AG21" s="249">
        <f>IF(AD21&gt;0,IF($M21="Saudi",MIN(AD21+$Q21*$V21,Assumptions!$B$14)*Assumptions!$B$12,MIN(AD21+$Q21*$V21,Assumptions!$B$14)*Assumptions!$B$13),0)</f>
        <v>0</v>
      </c>
      <c r="AH21" s="249">
        <f>IF(AND(AD21&gt;0,$M21="Non-Saudi"),Assumptions!$B$25,0)</f>
        <v>910.41666666666663</v>
      </c>
      <c r="AI21" s="249">
        <f t="shared" si="5"/>
        <v>8750</v>
      </c>
      <c r="AJ21" s="249">
        <f t="shared" si="6"/>
        <v>12450</v>
      </c>
      <c r="AK21" s="249">
        <f>IF(AND(AJ21&gt;0,$N21&lt;&gt;""),IF((DATE(Assumptions!$B$4,3,28)-$N21)/365.25&lt;=Assumptions!$B$20,(DATE(Assumptions!$B$4,3,28)-$N21)/365.25*Assumptions!$B$18*AJ21,(Assumptions!$B$20*Assumptions!$B$18+((DATE(Assumptions!$B$4,3,28)-$N21)/365.25-Assumptions!$B$20)*Assumptions!$B$19)*AJ21),0)</f>
        <v>3544.9691991786449</v>
      </c>
      <c r="AL21" s="249">
        <f>IF(AI21&gt;0,IF($M21="Saudi",MIN(AI21+$Q21*$V21,Assumptions!$B$14)*Assumptions!$B$12,MIN(AI21+$Q21*$V21,Assumptions!$B$14)*Assumptions!$B$13),0)</f>
        <v>0</v>
      </c>
      <c r="AM21" s="249">
        <f>IF(AND(AI21&gt;0,$M21="Non-Saudi"),Assumptions!$B$25,0)</f>
        <v>910.41666666666663</v>
      </c>
      <c r="AN21" s="249">
        <f t="shared" si="7"/>
        <v>8750</v>
      </c>
      <c r="AO21" s="249">
        <f t="shared" si="8"/>
        <v>12450</v>
      </c>
      <c r="AP21" s="249">
        <f>IF(AND(AO21&gt;0,$N21&lt;&gt;""),IF((DATE(Assumptions!$B$4,4,28)-$N21)/365.25&lt;=Assumptions!$B$20,(DATE(Assumptions!$B$4,4,28)-$N21)/365.25*Assumptions!$B$18*AO21,(Assumptions!$B$20*Assumptions!$B$18+((DATE(Assumptions!$B$4,4,28)-$N21)/365.25-Assumptions!$B$20)*Assumptions!$B$19)*AO21),0)</f>
        <v>4073.3059548254619</v>
      </c>
      <c r="AQ21" s="249">
        <f>IF(AN21&gt;0,IF($M21="Saudi",MIN(AN21+$Q21*$V21,Assumptions!$B$14)*Assumptions!$B$12,MIN(AN21+$Q21*$V21,Assumptions!$B$14)*Assumptions!$B$13),0)</f>
        <v>0</v>
      </c>
      <c r="AR21" s="249">
        <f>IF(AND(AN21&gt;0,$M21="Non-Saudi"),Assumptions!$B$25,0)</f>
        <v>910.41666666666663</v>
      </c>
      <c r="AS21" s="249">
        <f t="shared" si="9"/>
        <v>8750</v>
      </c>
      <c r="AT21" s="249">
        <f t="shared" si="10"/>
        <v>12450</v>
      </c>
      <c r="AU21" s="249">
        <f>IF(AND(AT21&gt;0,$N21&lt;&gt;""),IF((DATE(Assumptions!$B$4,5,28)-$N21)/365.25&lt;=Assumptions!$B$20,(DATE(Assumptions!$B$4,5,28)-$N21)/365.25*Assumptions!$B$18*AT21,(Assumptions!$B$20*Assumptions!$B$18+((DATE(Assumptions!$B$4,5,28)-$N21)/365.25-Assumptions!$B$20)*Assumptions!$B$19)*AT21),0)</f>
        <v>4584.5995893223817</v>
      </c>
      <c r="AV21" s="249">
        <f>IF(AS21&gt;0,IF($M21="Saudi",MIN(AS21+$Q21*$V21,Assumptions!$B$14)*Assumptions!$B$12,MIN(AS21+$Q21*$V21,Assumptions!$B$14)*Assumptions!$B$13),0)</f>
        <v>0</v>
      </c>
      <c r="AW21" s="249">
        <f>IF(AND(AS21&gt;0,$M21="Non-Saudi"),Assumptions!$B$25,0)</f>
        <v>910.41666666666663</v>
      </c>
      <c r="AX21" s="249">
        <f t="shared" si="11"/>
        <v>8750</v>
      </c>
      <c r="AY21" s="249">
        <f t="shared" si="12"/>
        <v>12450</v>
      </c>
      <c r="AZ21" s="249">
        <f>IF(AND(AY21&gt;0,$N21&lt;&gt;""),IF((DATE(Assumptions!$B$4,6,28)-$N21)/365.25&lt;=Assumptions!$B$20,(DATE(Assumptions!$B$4,6,28)-$N21)/365.25*Assumptions!$B$18*AY21,(Assumptions!$B$20*Assumptions!$B$18+((DATE(Assumptions!$B$4,6,28)-$N21)/365.25-Assumptions!$B$20)*Assumptions!$B$19)*AY21),0)</f>
        <v>5112.9363449691991</v>
      </c>
      <c r="BA21" s="249">
        <f>IF(AX21&gt;0,IF($M21="Saudi",MIN(AX21+$Q21*$V21,Assumptions!$B$14)*Assumptions!$B$12,MIN(AX21+$Q21*$V21,Assumptions!$B$14)*Assumptions!$B$13),0)</f>
        <v>0</v>
      </c>
      <c r="BB21" s="249">
        <f>IF(AND(AX21&gt;0,$M21="Non-Saudi"),Assumptions!$B$25,0)</f>
        <v>910.41666666666663</v>
      </c>
      <c r="BC21" s="249">
        <f t="shared" si="13"/>
        <v>8750</v>
      </c>
      <c r="BD21" s="249">
        <f t="shared" si="14"/>
        <v>12450</v>
      </c>
      <c r="BE21" s="249">
        <f>IF(AND(BD21&gt;0,$N21&lt;&gt;""),IF((DATE(Assumptions!$B$4,7,28)-$N21)/365.25&lt;=Assumptions!$B$20,(DATE(Assumptions!$B$4,7,28)-$N21)/365.25*Assumptions!$B$18*BD21,(Assumptions!$B$20*Assumptions!$B$18+((DATE(Assumptions!$B$4,7,28)-$N21)/365.25-Assumptions!$B$20)*Assumptions!$B$19)*BD21),0)</f>
        <v>5624.2299794661185</v>
      </c>
      <c r="BF21" s="249">
        <f>IF(BC21&gt;0,IF($M21="Saudi",MIN(BC21+$Q21*$V21,Assumptions!$B$14)*Assumptions!$B$12,MIN(BC21+$Q21*$V21,Assumptions!$B$14)*Assumptions!$B$13),0)</f>
        <v>0</v>
      </c>
      <c r="BG21" s="249">
        <f>IF(AND(BC21&gt;0,$M21="Non-Saudi"),Assumptions!$B$25,0)</f>
        <v>910.41666666666663</v>
      </c>
      <c r="BH21" s="249">
        <f t="shared" si="15"/>
        <v>8750</v>
      </c>
      <c r="BI21" s="249">
        <f t="shared" si="16"/>
        <v>12450</v>
      </c>
      <c r="BJ21" s="249">
        <f>IF(AND(BI21&gt;0,$N21&lt;&gt;""),IF((DATE(Assumptions!$B$4,8,28)-$N21)/365.25&lt;=Assumptions!$B$20,(DATE(Assumptions!$B$4,8,28)-$N21)/365.25*Assumptions!$B$18*BI21,(Assumptions!$B$20*Assumptions!$B$18+((DATE(Assumptions!$B$4,8,28)-$N21)/365.25-Assumptions!$B$20)*Assumptions!$B$19)*BI21),0)</f>
        <v>6152.5667351129368</v>
      </c>
      <c r="BK21" s="249">
        <f>IF(BH21&gt;0,IF($M21="Saudi",MIN(BH21+$Q21*$V21,Assumptions!$B$14)*Assumptions!$B$12,MIN(BH21+$Q21*$V21,Assumptions!$B$14)*Assumptions!$B$13),0)</f>
        <v>0</v>
      </c>
      <c r="BL21" s="249">
        <f>IF(AND(BH21&gt;0,$M21="Non-Saudi"),Assumptions!$B$25,0)</f>
        <v>910.41666666666663</v>
      </c>
      <c r="BM21" s="249">
        <f>IF(AND($D21="Contrat Local",$N21&lt;&gt;""),IF(AND(9&gt;=Assumptions!$B$5,ISNUMBER($X21),$N21&lt;EDATE(Assumptions!$B$9,-Assumptions!$B$6*12)),($P21+$X21)*$V21,$P21*$V21),0)</f>
        <v>8750</v>
      </c>
      <c r="BN21" s="249">
        <f t="shared" si="17"/>
        <v>12450</v>
      </c>
      <c r="BO21" s="249">
        <f>IF(AND(BN21&gt;0,$N21&lt;&gt;""),IF((DATE(Assumptions!$B$4,9,28)-$N21)/365.25&lt;=Assumptions!$B$20,(DATE(Assumptions!$B$4,9,28)-$N21)/365.25*Assumptions!$B$18*BN21,(Assumptions!$B$20*Assumptions!$B$18+((DATE(Assumptions!$B$4,9,28)-$N21)/365.25-Assumptions!$B$20)*Assumptions!$B$19)*BN21),0)</f>
        <v>6680.9034907597534</v>
      </c>
      <c r="BP21" s="249">
        <f>IF(BM21&gt;0,IF($M21="Saudi",MIN(BM21+$Q21*$V21,Assumptions!$B$14)*Assumptions!$B$12,MIN(BM21+$Q21*$V21,Assumptions!$B$14)*Assumptions!$B$13),0)</f>
        <v>0</v>
      </c>
      <c r="BQ21" s="249">
        <f>IF(AND(BM21&gt;0,$M21="Non-Saudi"),Assumptions!$B$25,0)</f>
        <v>910.41666666666663</v>
      </c>
      <c r="BR21" s="249">
        <f>IF(AND($D21="Contrat Local",$N21&lt;&gt;""),IF(AND(10&gt;=Assumptions!$B$5,ISNUMBER($X21),$N21&lt;EDATE(Assumptions!$B$9,-Assumptions!$B$6*12)),($P21+$X21)*$V21,$P21*$V21),0)</f>
        <v>8750</v>
      </c>
      <c r="BS21" s="249">
        <f t="shared" si="18"/>
        <v>12450</v>
      </c>
      <c r="BT21" s="249">
        <f>IF(AND(BS21&gt;0,$N21&lt;&gt;""),IF((DATE(Assumptions!$B$4,10,28)-$N21)/365.25&lt;=Assumptions!$B$20,(DATE(Assumptions!$B$4,10,28)-$N21)/365.25*Assumptions!$B$18*BS21,(Assumptions!$B$20*Assumptions!$B$18+((DATE(Assumptions!$B$4,10,28)-$N21)/365.25-Assumptions!$B$20)*Assumptions!$B$19)*BS21),0)</f>
        <v>7192.1971252566746</v>
      </c>
      <c r="BU21" s="249">
        <f>IF(BR21&gt;0,IF($M21="Saudi",MIN(BR21+$Q21*$V21,Assumptions!$B$14)*Assumptions!$B$12,MIN(BR21+$Q21*$V21,Assumptions!$B$14)*Assumptions!$B$13),0)</f>
        <v>0</v>
      </c>
      <c r="BV21" s="249">
        <f>IF(AND(BR21&gt;0,$M21="Non-Saudi"),Assumptions!$B$25,0)</f>
        <v>910.41666666666663</v>
      </c>
      <c r="BW21" s="249">
        <f>IF(AND($D21="Contrat Local",$N21&lt;&gt;""),IF(AND(11&gt;=Assumptions!$B$5,ISNUMBER($X21),$N21&lt;EDATE(Assumptions!$B$9,-Assumptions!$B$6*12)),($P21+$X21)*$V21,$P21*$V21),0)</f>
        <v>8750</v>
      </c>
      <c r="BX21" s="249">
        <f t="shared" si="19"/>
        <v>12450</v>
      </c>
      <c r="BY21" s="249">
        <f>IF(AND(BX21&gt;0,$N21&lt;&gt;""),IF((DATE(Assumptions!$B$4,11,28)-$N21)/365.25&lt;=Assumptions!$B$20,(DATE(Assumptions!$B$4,11,28)-$N21)/365.25*Assumptions!$B$18*BX21,(Assumptions!$B$20*Assumptions!$B$18+((DATE(Assumptions!$B$4,11,28)-$N21)/365.25-Assumptions!$B$20)*Assumptions!$B$19)*BX21),0)</f>
        <v>7720.5338809034902</v>
      </c>
      <c r="BZ21" s="249">
        <f>IF(BW21&gt;0,IF($M21="Saudi",MIN(BW21+$Q21*$V21,Assumptions!$B$14)*Assumptions!$B$12,MIN(BW21+$Q21*$V21,Assumptions!$B$14)*Assumptions!$B$13),0)</f>
        <v>0</v>
      </c>
      <c r="CA21" s="249">
        <f>IF(AND(BW21&gt;0,$M21="Non-Saudi"),Assumptions!$B$25,0)</f>
        <v>910.41666666666663</v>
      </c>
      <c r="CB21" s="249">
        <f>IF(AND($D21="Contrat Local",$N21&lt;&gt;""),IF(AND(12&gt;=Assumptions!$B$5,ISNUMBER($X21),$N21&lt;EDATE(Assumptions!$B$9,-Assumptions!$B$6*12)),($P21+$X21)*$V21,$P21*$V21),0)</f>
        <v>8750</v>
      </c>
      <c r="CC21" s="249">
        <f t="shared" si="20"/>
        <v>12450</v>
      </c>
      <c r="CD21" s="249">
        <f>IF(AND(CC21&gt;0,$N21&lt;&gt;""),IF((DATE(Assumptions!$B$4,12,28)-$N21)/365.25&lt;=Assumptions!$B$20,(DATE(Assumptions!$B$4,12,28)-$N21)/365.25*Assumptions!$B$18*CC21,(Assumptions!$B$20*Assumptions!$B$18+((DATE(Assumptions!$B$4,12,28)-$N21)/365.25-Assumptions!$B$20)*Assumptions!$B$19)*CC21),0)</f>
        <v>8231.8275154004114</v>
      </c>
      <c r="CE21" s="249">
        <f>IF(CB21&gt;0,IF($M21="Saudi",MIN(CB21+$Q21*$V21,Assumptions!$B$14)*Assumptions!$B$12,MIN(CB21+$Q21*$V21,Assumptions!$B$14)*Assumptions!$B$13),0)</f>
        <v>0</v>
      </c>
      <c r="CF21" s="249">
        <f>IF(AND(CB21&gt;0,$M21="Non-Saudi"),Assumptions!$B$25,0)</f>
        <v>910.41666666666663</v>
      </c>
      <c r="CG21" s="249">
        <f t="shared" si="21"/>
        <v>105000</v>
      </c>
      <c r="CH21" s="249">
        <f t="shared" si="22"/>
        <v>149400</v>
      </c>
      <c r="CI21" s="249">
        <f>CD21-IF(AND(Z21&gt;0,$N21&lt;&gt;""),IF((DATE(Assumptions!$B$4-1,12,28)-$N21)/365.25&lt;=Assumptions!$B$20,(DATE(Assumptions!$B$4-1,12,28)-$N21)/365.25*Assumptions!$B$18*Z21,(Assumptions!$B$20*Assumptions!$B$18+((DATE(Assumptions!$B$4-1,12,28)-$N21)/365.25-Assumptions!$B$20)*Assumptions!$B$19)*Z21),0)</f>
        <v>6220.7392197125264</v>
      </c>
      <c r="CJ21" s="249">
        <f t="shared" si="23"/>
        <v>0</v>
      </c>
      <c r="CK21" s="249">
        <f t="shared" si="24"/>
        <v>10924.999999999998</v>
      </c>
    </row>
    <row r="22" spans="1:89" x14ac:dyDescent="0.2">
      <c r="A22" s="258">
        <v>18</v>
      </c>
      <c r="B22" s="259" t="s">
        <v>308</v>
      </c>
      <c r="C22" s="259" t="s">
        <v>309</v>
      </c>
      <c r="D22" s="259" t="s">
        <v>250</v>
      </c>
      <c r="E22" s="259" t="s">
        <v>767</v>
      </c>
      <c r="F22" s="259" t="s">
        <v>264</v>
      </c>
      <c r="G22" s="259" t="s">
        <v>8</v>
      </c>
      <c r="H22" s="259" t="s">
        <v>265</v>
      </c>
      <c r="I22" s="283" t="s">
        <v>691</v>
      </c>
      <c r="J22" s="259" t="s">
        <v>58</v>
      </c>
      <c r="K22" s="259" t="s">
        <v>4</v>
      </c>
      <c r="L22" s="259" t="s">
        <v>255</v>
      </c>
      <c r="M22" s="259" t="str">
        <f t="shared" si="0"/>
        <v>Non-Saudi</v>
      </c>
      <c r="N22" s="260">
        <v>45536</v>
      </c>
      <c r="O22" s="261">
        <v>2.2999999999999998</v>
      </c>
      <c r="P22" s="262">
        <v>9000</v>
      </c>
      <c r="Q22" s="262">
        <v>2500</v>
      </c>
      <c r="R22" s="262">
        <v>500</v>
      </c>
      <c r="S22" s="262"/>
      <c r="T22" s="262"/>
      <c r="U22" s="262">
        <v>12000</v>
      </c>
      <c r="V22" s="263">
        <v>1</v>
      </c>
      <c r="W22" s="259" t="s">
        <v>259</v>
      </c>
      <c r="X22" s="259">
        <v>250</v>
      </c>
      <c r="Y22" s="249">
        <f t="shared" si="1"/>
        <v>9000</v>
      </c>
      <c r="Z22" s="249">
        <f t="shared" si="2"/>
        <v>12000</v>
      </c>
      <c r="AA22" s="249">
        <f>IF(AND(Z22&gt;0,$N22&lt;&gt;""),IF((DATE(Assumptions!$B$4,1,28)-$N22)/365.25&lt;=Assumptions!$B$20,(DATE(Assumptions!$B$4,1,28)-$N22)/365.25*Assumptions!$B$18*Z22,(Assumptions!$B$20*Assumptions!$B$18+((DATE(Assumptions!$B$4,1,28)-$N22)/365.25-Assumptions!$B$20)*Assumptions!$B$19)*Z22),0)</f>
        <v>8443.5318275154004</v>
      </c>
      <c r="AB22" s="249">
        <f>IF(Y22&gt;0,IF($M22="Saudi",MIN(Y22+$Q22*$V22,Assumptions!$B$14)*Assumptions!$B$12,MIN(Y22+$Q22*$V22,Assumptions!$B$14)*Assumptions!$B$13),0)</f>
        <v>0</v>
      </c>
      <c r="AC22" s="249">
        <f>IF(AND(Y22&gt;0,$M22="Non-Saudi"),Assumptions!$B$25,0)</f>
        <v>910.41666666666663</v>
      </c>
      <c r="AD22" s="249">
        <f t="shared" si="3"/>
        <v>9000</v>
      </c>
      <c r="AE22" s="249">
        <f t="shared" si="4"/>
        <v>12000</v>
      </c>
      <c r="AF22" s="249">
        <f>IF(AND(AE22&gt;0,$N22&lt;&gt;""),IF((DATE(Assumptions!$B$4,2,28)-$N22)/365.25&lt;=Assumptions!$B$20,(DATE(Assumptions!$B$4,2,28)-$N22)/365.25*Assumptions!$B$18*AE22,(Assumptions!$B$20*Assumptions!$B$18+((DATE(Assumptions!$B$4,2,28)-$N22)/365.25-Assumptions!$B$20)*Assumptions!$B$19)*AE22),0)</f>
        <v>8952.7720739219712</v>
      </c>
      <c r="AG22" s="249">
        <f>IF(AD22&gt;0,IF($M22="Saudi",MIN(AD22+$Q22*$V22,Assumptions!$B$14)*Assumptions!$B$12,MIN(AD22+$Q22*$V22,Assumptions!$B$14)*Assumptions!$B$13),0)</f>
        <v>0</v>
      </c>
      <c r="AH22" s="249">
        <f>IF(AND(AD22&gt;0,$M22="Non-Saudi"),Assumptions!$B$25,0)</f>
        <v>910.41666666666663</v>
      </c>
      <c r="AI22" s="249">
        <f t="shared" si="5"/>
        <v>9000</v>
      </c>
      <c r="AJ22" s="249">
        <f t="shared" si="6"/>
        <v>12000</v>
      </c>
      <c r="AK22" s="249">
        <f>IF(AND(AJ22&gt;0,$N22&lt;&gt;""),IF((DATE(Assumptions!$B$4,3,28)-$N22)/365.25&lt;=Assumptions!$B$20,(DATE(Assumptions!$B$4,3,28)-$N22)/365.25*Assumptions!$B$18*AJ22,(Assumptions!$B$20*Assumptions!$B$18+((DATE(Assumptions!$B$4,3,28)-$N22)/365.25-Assumptions!$B$20)*Assumptions!$B$19)*AJ22),0)</f>
        <v>9412.7310061601638</v>
      </c>
      <c r="AL22" s="249">
        <f>IF(AI22&gt;0,IF($M22="Saudi",MIN(AI22+$Q22*$V22,Assumptions!$B$14)*Assumptions!$B$12,MIN(AI22+$Q22*$V22,Assumptions!$B$14)*Assumptions!$B$13),0)</f>
        <v>0</v>
      </c>
      <c r="AM22" s="249">
        <f>IF(AND(AI22&gt;0,$M22="Non-Saudi"),Assumptions!$B$25,0)</f>
        <v>910.41666666666663</v>
      </c>
      <c r="AN22" s="249">
        <f t="shared" si="7"/>
        <v>9000</v>
      </c>
      <c r="AO22" s="249">
        <f t="shared" si="8"/>
        <v>12000</v>
      </c>
      <c r="AP22" s="249">
        <f>IF(AND(AO22&gt;0,$N22&lt;&gt;""),IF((DATE(Assumptions!$B$4,4,28)-$N22)/365.25&lt;=Assumptions!$B$20,(DATE(Assumptions!$B$4,4,28)-$N22)/365.25*Assumptions!$B$18*AO22,(Assumptions!$B$20*Assumptions!$B$18+((DATE(Assumptions!$B$4,4,28)-$N22)/365.25-Assumptions!$B$20)*Assumptions!$B$19)*AO22),0)</f>
        <v>9921.9712525667346</v>
      </c>
      <c r="AQ22" s="249">
        <f>IF(AN22&gt;0,IF($M22="Saudi",MIN(AN22+$Q22*$V22,Assumptions!$B$14)*Assumptions!$B$12,MIN(AN22+$Q22*$V22,Assumptions!$B$14)*Assumptions!$B$13),0)</f>
        <v>0</v>
      </c>
      <c r="AR22" s="249">
        <f>IF(AND(AN22&gt;0,$M22="Non-Saudi"),Assumptions!$B$25,0)</f>
        <v>910.41666666666663</v>
      </c>
      <c r="AS22" s="249">
        <f t="shared" si="9"/>
        <v>9000</v>
      </c>
      <c r="AT22" s="249">
        <f t="shared" si="10"/>
        <v>12000</v>
      </c>
      <c r="AU22" s="249">
        <f>IF(AND(AT22&gt;0,$N22&lt;&gt;""),IF((DATE(Assumptions!$B$4,5,28)-$N22)/365.25&lt;=Assumptions!$B$20,(DATE(Assumptions!$B$4,5,28)-$N22)/365.25*Assumptions!$B$18*AT22,(Assumptions!$B$20*Assumptions!$B$18+((DATE(Assumptions!$B$4,5,28)-$N22)/365.25-Assumptions!$B$20)*Assumptions!$B$19)*AT22),0)</f>
        <v>10414.784394250513</v>
      </c>
      <c r="AV22" s="249">
        <f>IF(AS22&gt;0,IF($M22="Saudi",MIN(AS22+$Q22*$V22,Assumptions!$B$14)*Assumptions!$B$12,MIN(AS22+$Q22*$V22,Assumptions!$B$14)*Assumptions!$B$13),0)</f>
        <v>0</v>
      </c>
      <c r="AW22" s="249">
        <f>IF(AND(AS22&gt;0,$M22="Non-Saudi"),Assumptions!$B$25,0)</f>
        <v>910.41666666666663</v>
      </c>
      <c r="AX22" s="249">
        <f t="shared" si="11"/>
        <v>9000</v>
      </c>
      <c r="AY22" s="249">
        <f t="shared" si="12"/>
        <v>12000</v>
      </c>
      <c r="AZ22" s="249">
        <f>IF(AND(AY22&gt;0,$N22&lt;&gt;""),IF((DATE(Assumptions!$B$4,6,28)-$N22)/365.25&lt;=Assumptions!$B$20,(DATE(Assumptions!$B$4,6,28)-$N22)/365.25*Assumptions!$B$18*AY22,(Assumptions!$B$20*Assumptions!$B$18+((DATE(Assumptions!$B$4,6,28)-$N22)/365.25-Assumptions!$B$20)*Assumptions!$B$19)*AY22),0)</f>
        <v>10924.024640657084</v>
      </c>
      <c r="BA22" s="249">
        <f>IF(AX22&gt;0,IF($M22="Saudi",MIN(AX22+$Q22*$V22,Assumptions!$B$14)*Assumptions!$B$12,MIN(AX22+$Q22*$V22,Assumptions!$B$14)*Assumptions!$B$13),0)</f>
        <v>0</v>
      </c>
      <c r="BB22" s="249">
        <f>IF(AND(AX22&gt;0,$M22="Non-Saudi"),Assumptions!$B$25,0)</f>
        <v>910.41666666666663</v>
      </c>
      <c r="BC22" s="249">
        <f t="shared" si="13"/>
        <v>9000</v>
      </c>
      <c r="BD22" s="249">
        <f t="shared" si="14"/>
        <v>12000</v>
      </c>
      <c r="BE22" s="249">
        <f>IF(AND(BD22&gt;0,$N22&lt;&gt;""),IF((DATE(Assumptions!$B$4,7,28)-$N22)/365.25&lt;=Assumptions!$B$20,(DATE(Assumptions!$B$4,7,28)-$N22)/365.25*Assumptions!$B$18*BD22,(Assumptions!$B$20*Assumptions!$B$18+((DATE(Assumptions!$B$4,7,28)-$N22)/365.25-Assumptions!$B$20)*Assumptions!$B$19)*BD22),0)</f>
        <v>11416.837782340863</v>
      </c>
      <c r="BF22" s="249">
        <f>IF(BC22&gt;0,IF($M22="Saudi",MIN(BC22+$Q22*$V22,Assumptions!$B$14)*Assumptions!$B$12,MIN(BC22+$Q22*$V22,Assumptions!$B$14)*Assumptions!$B$13),0)</f>
        <v>0</v>
      </c>
      <c r="BG22" s="249">
        <f>IF(AND(BC22&gt;0,$M22="Non-Saudi"),Assumptions!$B$25,0)</f>
        <v>910.41666666666663</v>
      </c>
      <c r="BH22" s="249">
        <f t="shared" si="15"/>
        <v>9000</v>
      </c>
      <c r="BI22" s="249">
        <f t="shared" si="16"/>
        <v>12000</v>
      </c>
      <c r="BJ22" s="249">
        <f>IF(AND(BI22&gt;0,$N22&lt;&gt;""),IF((DATE(Assumptions!$B$4,8,28)-$N22)/365.25&lt;=Assumptions!$B$20,(DATE(Assumptions!$B$4,8,28)-$N22)/365.25*Assumptions!$B$18*BI22,(Assumptions!$B$20*Assumptions!$B$18+((DATE(Assumptions!$B$4,8,28)-$N22)/365.25-Assumptions!$B$20)*Assumptions!$B$19)*BI22),0)</f>
        <v>11926.078028747434</v>
      </c>
      <c r="BK22" s="249">
        <f>IF(BH22&gt;0,IF($M22="Saudi",MIN(BH22+$Q22*$V22,Assumptions!$B$14)*Assumptions!$B$12,MIN(BH22+$Q22*$V22,Assumptions!$B$14)*Assumptions!$B$13),0)</f>
        <v>0</v>
      </c>
      <c r="BL22" s="249">
        <f>IF(AND(BH22&gt;0,$M22="Non-Saudi"),Assumptions!$B$25,0)</f>
        <v>910.41666666666663</v>
      </c>
      <c r="BM22" s="249">
        <f>IF(AND($D22="Contrat Local",$N22&lt;&gt;""),IF(AND(9&gt;=Assumptions!$B$5,ISNUMBER($X22),$N22&lt;EDATE(Assumptions!$B$9,-Assumptions!$B$6*12)),($P22+$X22)*$V22,$P22*$V22),0)</f>
        <v>9250</v>
      </c>
      <c r="BN22" s="249">
        <f t="shared" si="17"/>
        <v>12250</v>
      </c>
      <c r="BO22" s="249">
        <f>IF(AND(BN22&gt;0,$N22&lt;&gt;""),IF((DATE(Assumptions!$B$4,9,28)-$N22)/365.25&lt;=Assumptions!$B$20,(DATE(Assumptions!$B$4,9,28)-$N22)/365.25*Assumptions!$B$18*BN22,(Assumptions!$B$20*Assumptions!$B$18+((DATE(Assumptions!$B$4,9,28)-$N22)/365.25-Assumptions!$B$20)*Assumptions!$B$19)*BN22),0)</f>
        <v>12694.387405886378</v>
      </c>
      <c r="BP22" s="249">
        <f>IF(BM22&gt;0,IF($M22="Saudi",MIN(BM22+$Q22*$V22,Assumptions!$B$14)*Assumptions!$B$12,MIN(BM22+$Q22*$V22,Assumptions!$B$14)*Assumptions!$B$13),0)</f>
        <v>0</v>
      </c>
      <c r="BQ22" s="249">
        <f>IF(AND(BM22&gt;0,$M22="Non-Saudi"),Assumptions!$B$25,0)</f>
        <v>910.41666666666663</v>
      </c>
      <c r="BR22" s="249">
        <f>IF(AND($D22="Contrat Local",$N22&lt;&gt;""),IF(AND(10&gt;=Assumptions!$B$5,ISNUMBER($X22),$N22&lt;EDATE(Assumptions!$B$9,-Assumptions!$B$6*12)),($P22+$X22)*$V22,$P22*$V22),0)</f>
        <v>9250</v>
      </c>
      <c r="BS22" s="249">
        <f t="shared" si="18"/>
        <v>12250</v>
      </c>
      <c r="BT22" s="249">
        <f>IF(AND(BS22&gt;0,$N22&lt;&gt;""),IF((DATE(Assumptions!$B$4,10,28)-$N22)/365.25&lt;=Assumptions!$B$20,(DATE(Assumptions!$B$4,10,28)-$N22)/365.25*Assumptions!$B$18*BS22,(Assumptions!$B$20*Assumptions!$B$18+((DATE(Assumptions!$B$4,10,28)-$N22)/365.25-Assumptions!$B$20)*Assumptions!$B$19)*BS22),0)</f>
        <v>13197.467488021903</v>
      </c>
      <c r="BU22" s="249">
        <f>IF(BR22&gt;0,IF($M22="Saudi",MIN(BR22+$Q22*$V22,Assumptions!$B$14)*Assumptions!$B$12,MIN(BR22+$Q22*$V22,Assumptions!$B$14)*Assumptions!$B$13),0)</f>
        <v>0</v>
      </c>
      <c r="BV22" s="249">
        <f>IF(AND(BR22&gt;0,$M22="Non-Saudi"),Assumptions!$B$25,0)</f>
        <v>910.41666666666663</v>
      </c>
      <c r="BW22" s="249">
        <f>IF(AND($D22="Contrat Local",$N22&lt;&gt;""),IF(AND(11&gt;=Assumptions!$B$5,ISNUMBER($X22),$N22&lt;EDATE(Assumptions!$B$9,-Assumptions!$B$6*12)),($P22+$X22)*$V22,$P22*$V22),0)</f>
        <v>9250</v>
      </c>
      <c r="BX22" s="249">
        <f t="shared" si="19"/>
        <v>12250</v>
      </c>
      <c r="BY22" s="249">
        <f>IF(AND(BX22&gt;0,$N22&lt;&gt;""),IF((DATE(Assumptions!$B$4,11,28)-$N22)/365.25&lt;=Assumptions!$B$20,(DATE(Assumptions!$B$4,11,28)-$N22)/365.25*Assumptions!$B$18*BX22,(Assumptions!$B$20*Assumptions!$B$18+((DATE(Assumptions!$B$4,11,28)-$N22)/365.25-Assumptions!$B$20)*Assumptions!$B$19)*BX22),0)</f>
        <v>13717.316906228612</v>
      </c>
      <c r="BZ22" s="249">
        <f>IF(BW22&gt;0,IF($M22="Saudi",MIN(BW22+$Q22*$V22,Assumptions!$B$14)*Assumptions!$B$12,MIN(BW22+$Q22*$V22,Assumptions!$B$14)*Assumptions!$B$13),0)</f>
        <v>0</v>
      </c>
      <c r="CA22" s="249">
        <f>IF(AND(BW22&gt;0,$M22="Non-Saudi"),Assumptions!$B$25,0)</f>
        <v>910.41666666666663</v>
      </c>
      <c r="CB22" s="249">
        <f>IF(AND($D22="Contrat Local",$N22&lt;&gt;""),IF(AND(12&gt;=Assumptions!$B$5,ISNUMBER($X22),$N22&lt;EDATE(Assumptions!$B$9,-Assumptions!$B$6*12)),($P22+$X22)*$V22,$P22*$V22),0)</f>
        <v>9250</v>
      </c>
      <c r="CC22" s="249">
        <f t="shared" si="20"/>
        <v>12250</v>
      </c>
      <c r="CD22" s="249">
        <f>IF(AND(CC22&gt;0,$N22&lt;&gt;""),IF((DATE(Assumptions!$B$4,12,28)-$N22)/365.25&lt;=Assumptions!$B$20,(DATE(Assumptions!$B$4,12,28)-$N22)/365.25*Assumptions!$B$18*CC22,(Assumptions!$B$20*Assumptions!$B$18+((DATE(Assumptions!$B$4,12,28)-$N22)/365.25-Assumptions!$B$20)*Assumptions!$B$19)*CC22),0)</f>
        <v>14220.396988364135</v>
      </c>
      <c r="CE22" s="249">
        <f>IF(CB22&gt;0,IF($M22="Saudi",MIN(CB22+$Q22*$V22,Assumptions!$B$14)*Assumptions!$B$12,MIN(CB22+$Q22*$V22,Assumptions!$B$14)*Assumptions!$B$13),0)</f>
        <v>0</v>
      </c>
      <c r="CF22" s="249">
        <f>IF(AND(CB22&gt;0,$M22="Non-Saudi"),Assumptions!$B$25,0)</f>
        <v>910.41666666666663</v>
      </c>
      <c r="CG22" s="249">
        <f t="shared" si="21"/>
        <v>109000</v>
      </c>
      <c r="CH22" s="249">
        <f t="shared" si="22"/>
        <v>145000</v>
      </c>
      <c r="CI22" s="249">
        <f>CD22-IF(AND(Z22&gt;0,$N22&lt;&gt;""),IF((DATE(Assumptions!$B$4-1,12,28)-$N22)/365.25&lt;=Assumptions!$B$20,(DATE(Assumptions!$B$4-1,12,28)-$N22)/365.25*Assumptions!$B$18*Z22,(Assumptions!$B$20*Assumptions!$B$18+((DATE(Assumptions!$B$4-1,12,28)-$N22)/365.25-Assumptions!$B$20)*Assumptions!$B$19)*Z22),0)</f>
        <v>6286.1054072553052</v>
      </c>
      <c r="CJ22" s="249">
        <f t="shared" si="23"/>
        <v>0</v>
      </c>
      <c r="CK22" s="249">
        <f t="shared" si="24"/>
        <v>10924.999999999998</v>
      </c>
    </row>
    <row r="23" spans="1:89" x14ac:dyDescent="0.2">
      <c r="A23" s="264">
        <v>19</v>
      </c>
      <c r="B23" s="265" t="s">
        <v>310</v>
      </c>
      <c r="C23" s="265" t="s">
        <v>311</v>
      </c>
      <c r="D23" s="265" t="s">
        <v>250</v>
      </c>
      <c r="E23" s="265" t="s">
        <v>767</v>
      </c>
      <c r="F23" s="265" t="s">
        <v>281</v>
      </c>
      <c r="G23" s="265" t="s">
        <v>8</v>
      </c>
      <c r="H23" s="265" t="s">
        <v>43</v>
      </c>
      <c r="I23" s="284" t="s">
        <v>691</v>
      </c>
      <c r="J23" s="286" t="s">
        <v>694</v>
      </c>
      <c r="K23" s="265" t="s">
        <v>282</v>
      </c>
      <c r="L23" s="265" t="s">
        <v>255</v>
      </c>
      <c r="M23" s="265" t="str">
        <f t="shared" si="0"/>
        <v>Non-Saudi</v>
      </c>
      <c r="N23" s="266">
        <v>36404</v>
      </c>
      <c r="O23" s="267">
        <v>27.3</v>
      </c>
      <c r="P23" s="268">
        <v>13250</v>
      </c>
      <c r="Q23" s="268">
        <v>2500</v>
      </c>
      <c r="R23" s="268">
        <v>500</v>
      </c>
      <c r="S23" s="268"/>
      <c r="T23" s="268">
        <v>1140</v>
      </c>
      <c r="U23" s="268">
        <v>17390</v>
      </c>
      <c r="V23" s="269">
        <v>1</v>
      </c>
      <c r="W23" s="265" t="s">
        <v>259</v>
      </c>
      <c r="X23" s="265">
        <v>250</v>
      </c>
      <c r="Y23" s="249">
        <f t="shared" si="1"/>
        <v>13250</v>
      </c>
      <c r="Z23" s="249">
        <f t="shared" si="2"/>
        <v>17390</v>
      </c>
      <c r="AA23" s="249">
        <f>IF(AND(Z23&gt;0,$N23&lt;&gt;""),IF((DATE(Assumptions!$B$4,1,28)-$N23)/365.25&lt;=Assumptions!$B$20,(DATE(Assumptions!$B$4,1,28)-$N23)/365.25*Assumptions!$B$18*Z23,(Assumptions!$B$20*Assumptions!$B$18+((DATE(Assumptions!$B$4,1,28)-$N23)/365.25-Assumptions!$B$20)*Assumptions!$B$19)*Z23),0)</f>
        <v>415782.87816563994</v>
      </c>
      <c r="AB23" s="249">
        <f>IF(Y23&gt;0,IF($M23="Saudi",MIN(Y23+$Q23*$V23,Assumptions!$B$14)*Assumptions!$B$12,MIN(Y23+$Q23*$V23,Assumptions!$B$14)*Assumptions!$B$13),0)</f>
        <v>0</v>
      </c>
      <c r="AC23" s="249">
        <f>IF(AND(Y23&gt;0,$M23="Non-Saudi"),Assumptions!$B$25,0)</f>
        <v>910.41666666666663</v>
      </c>
      <c r="AD23" s="249">
        <f t="shared" si="3"/>
        <v>13250</v>
      </c>
      <c r="AE23" s="249">
        <f t="shared" si="4"/>
        <v>17390</v>
      </c>
      <c r="AF23" s="249">
        <f>IF(AND(AE23&gt;0,$N23&lt;&gt;""),IF((DATE(Assumptions!$B$4,2,28)-$N23)/365.25&lt;=Assumptions!$B$20,(DATE(Assumptions!$B$4,2,28)-$N23)/365.25*Assumptions!$B$18*AE23,(Assumptions!$B$20*Assumptions!$B$18+((DATE(Assumptions!$B$4,2,28)-$N23)/365.25-Assumptions!$B$20)*Assumptions!$B$19)*AE23),0)</f>
        <v>417258.82614647498</v>
      </c>
      <c r="AG23" s="249">
        <f>IF(AD23&gt;0,IF($M23="Saudi",MIN(AD23+$Q23*$V23,Assumptions!$B$14)*Assumptions!$B$12,MIN(AD23+$Q23*$V23,Assumptions!$B$14)*Assumptions!$B$13),0)</f>
        <v>0</v>
      </c>
      <c r="AH23" s="249">
        <f>IF(AND(AD23&gt;0,$M23="Non-Saudi"),Assumptions!$B$25,0)</f>
        <v>910.41666666666663</v>
      </c>
      <c r="AI23" s="249">
        <f t="shared" si="5"/>
        <v>13250</v>
      </c>
      <c r="AJ23" s="249">
        <f t="shared" si="6"/>
        <v>17390</v>
      </c>
      <c r="AK23" s="249">
        <f>IF(AND(AJ23&gt;0,$N23&lt;&gt;""),IF((DATE(Assumptions!$B$4,3,28)-$N23)/365.25&lt;=Assumptions!$B$20,(DATE(Assumptions!$B$4,3,28)-$N23)/365.25*Assumptions!$B$18*AJ23,(Assumptions!$B$20*Assumptions!$B$18+((DATE(Assumptions!$B$4,3,28)-$N23)/365.25-Assumptions!$B$20)*Assumptions!$B$19)*AJ23),0)</f>
        <v>418591.94045174541</v>
      </c>
      <c r="AL23" s="249">
        <f>IF(AI23&gt;0,IF($M23="Saudi",MIN(AI23+$Q23*$V23,Assumptions!$B$14)*Assumptions!$B$12,MIN(AI23+$Q23*$V23,Assumptions!$B$14)*Assumptions!$B$13),0)</f>
        <v>0</v>
      </c>
      <c r="AM23" s="249">
        <f>IF(AND(AI23&gt;0,$M23="Non-Saudi"),Assumptions!$B$25,0)</f>
        <v>910.41666666666663</v>
      </c>
      <c r="AN23" s="249">
        <f t="shared" si="7"/>
        <v>13250</v>
      </c>
      <c r="AO23" s="249">
        <f t="shared" si="8"/>
        <v>17390</v>
      </c>
      <c r="AP23" s="249">
        <f>IF(AND(AO23&gt;0,$N23&lt;&gt;""),IF((DATE(Assumptions!$B$4,4,28)-$N23)/365.25&lt;=Assumptions!$B$20,(DATE(Assumptions!$B$4,4,28)-$N23)/365.25*Assumptions!$B$18*AO23,(Assumptions!$B$20*Assumptions!$B$18+((DATE(Assumptions!$B$4,4,28)-$N23)/365.25-Assumptions!$B$20)*Assumptions!$B$19)*AO23),0)</f>
        <v>420067.88843258045</v>
      </c>
      <c r="AQ23" s="249">
        <f>IF(AN23&gt;0,IF($M23="Saudi",MIN(AN23+$Q23*$V23,Assumptions!$B$14)*Assumptions!$B$12,MIN(AN23+$Q23*$V23,Assumptions!$B$14)*Assumptions!$B$13),0)</f>
        <v>0</v>
      </c>
      <c r="AR23" s="249">
        <f>IF(AND(AN23&gt;0,$M23="Non-Saudi"),Assumptions!$B$25,0)</f>
        <v>910.41666666666663</v>
      </c>
      <c r="AS23" s="249">
        <f t="shared" si="9"/>
        <v>13250</v>
      </c>
      <c r="AT23" s="249">
        <f t="shared" si="10"/>
        <v>17390</v>
      </c>
      <c r="AU23" s="249">
        <f>IF(AND(AT23&gt;0,$N23&lt;&gt;""),IF((DATE(Assumptions!$B$4,5,28)-$N23)/365.25&lt;=Assumptions!$B$20,(DATE(Assumptions!$B$4,5,28)-$N23)/365.25*Assumptions!$B$18*AT23,(Assumptions!$B$20*Assumptions!$B$18+((DATE(Assumptions!$B$4,5,28)-$N23)/365.25-Assumptions!$B$20)*Assumptions!$B$19)*AT23),0)</f>
        <v>421496.2251882272</v>
      </c>
      <c r="AV23" s="249">
        <f>IF(AS23&gt;0,IF($M23="Saudi",MIN(AS23+$Q23*$V23,Assumptions!$B$14)*Assumptions!$B$12,MIN(AS23+$Q23*$V23,Assumptions!$B$14)*Assumptions!$B$13),0)</f>
        <v>0</v>
      </c>
      <c r="AW23" s="249">
        <f>IF(AND(AS23&gt;0,$M23="Non-Saudi"),Assumptions!$B$25,0)</f>
        <v>910.41666666666663</v>
      </c>
      <c r="AX23" s="249">
        <f t="shared" si="11"/>
        <v>13250</v>
      </c>
      <c r="AY23" s="249">
        <f t="shared" si="12"/>
        <v>17390</v>
      </c>
      <c r="AZ23" s="249">
        <f>IF(AND(AY23&gt;0,$N23&lt;&gt;""),IF((DATE(Assumptions!$B$4,6,28)-$N23)/365.25&lt;=Assumptions!$B$20,(DATE(Assumptions!$B$4,6,28)-$N23)/365.25*Assumptions!$B$18*AY23,(Assumptions!$B$20*Assumptions!$B$18+((DATE(Assumptions!$B$4,6,28)-$N23)/365.25-Assumptions!$B$20)*Assumptions!$B$19)*AY23),0)</f>
        <v>422972.17316906224</v>
      </c>
      <c r="BA23" s="249">
        <f>IF(AX23&gt;0,IF($M23="Saudi",MIN(AX23+$Q23*$V23,Assumptions!$B$14)*Assumptions!$B$12,MIN(AX23+$Q23*$V23,Assumptions!$B$14)*Assumptions!$B$13),0)</f>
        <v>0</v>
      </c>
      <c r="BB23" s="249">
        <f>IF(AND(AX23&gt;0,$M23="Non-Saudi"),Assumptions!$B$25,0)</f>
        <v>910.41666666666663</v>
      </c>
      <c r="BC23" s="249">
        <f t="shared" si="13"/>
        <v>13250</v>
      </c>
      <c r="BD23" s="249">
        <f t="shared" si="14"/>
        <v>17390</v>
      </c>
      <c r="BE23" s="249">
        <f>IF(AND(BD23&gt;0,$N23&lt;&gt;""),IF((DATE(Assumptions!$B$4,7,28)-$N23)/365.25&lt;=Assumptions!$B$20,(DATE(Assumptions!$B$4,7,28)-$N23)/365.25*Assumptions!$B$18*BD23,(Assumptions!$B$20*Assumptions!$B$18+((DATE(Assumptions!$B$4,7,28)-$N23)/365.25-Assumptions!$B$20)*Assumptions!$B$19)*BD23),0)</f>
        <v>424400.5099247091</v>
      </c>
      <c r="BF23" s="249">
        <f>IF(BC23&gt;0,IF($M23="Saudi",MIN(BC23+$Q23*$V23,Assumptions!$B$14)*Assumptions!$B$12,MIN(BC23+$Q23*$V23,Assumptions!$B$14)*Assumptions!$B$13),0)</f>
        <v>0</v>
      </c>
      <c r="BG23" s="249">
        <f>IF(AND(BC23&gt;0,$M23="Non-Saudi"),Assumptions!$B$25,0)</f>
        <v>910.41666666666663</v>
      </c>
      <c r="BH23" s="249">
        <f t="shared" si="15"/>
        <v>13250</v>
      </c>
      <c r="BI23" s="249">
        <f t="shared" si="16"/>
        <v>17390</v>
      </c>
      <c r="BJ23" s="249">
        <f>IF(AND(BI23&gt;0,$N23&lt;&gt;""),IF((DATE(Assumptions!$B$4,8,28)-$N23)/365.25&lt;=Assumptions!$B$20,(DATE(Assumptions!$B$4,8,28)-$N23)/365.25*Assumptions!$B$18*BI23,(Assumptions!$B$20*Assumptions!$B$18+((DATE(Assumptions!$B$4,8,28)-$N23)/365.25-Assumptions!$B$20)*Assumptions!$B$19)*BI23),0)</f>
        <v>425876.45790554414</v>
      </c>
      <c r="BK23" s="249">
        <f>IF(BH23&gt;0,IF($M23="Saudi",MIN(BH23+$Q23*$V23,Assumptions!$B$14)*Assumptions!$B$12,MIN(BH23+$Q23*$V23,Assumptions!$B$14)*Assumptions!$B$13),0)</f>
        <v>0</v>
      </c>
      <c r="BL23" s="249">
        <f>IF(AND(BH23&gt;0,$M23="Non-Saudi"),Assumptions!$B$25,0)</f>
        <v>910.41666666666663</v>
      </c>
      <c r="BM23" s="249">
        <f>IF(AND($D23="Contrat Local",$N23&lt;&gt;""),IF(AND(9&gt;=Assumptions!$B$5,ISNUMBER($X23),$N23&lt;EDATE(Assumptions!$B$9,-Assumptions!$B$6*12)),($P23+$X23)*$V23,$P23*$V23),0)</f>
        <v>13500</v>
      </c>
      <c r="BN23" s="249">
        <f t="shared" si="17"/>
        <v>17640</v>
      </c>
      <c r="BO23" s="249">
        <f>IF(AND(BN23&gt;0,$N23&lt;&gt;""),IF((DATE(Assumptions!$B$4,9,28)-$N23)/365.25&lt;=Assumptions!$B$20,(DATE(Assumptions!$B$4,9,28)-$N23)/365.25*Assumptions!$B$18*BN23,(Assumptions!$B$20*Assumptions!$B$18+((DATE(Assumptions!$B$4,9,28)-$N23)/365.25-Assumptions!$B$20)*Assumptions!$B$19)*BN23),0)</f>
        <v>433496.05749486649</v>
      </c>
      <c r="BP23" s="249">
        <f>IF(BM23&gt;0,IF($M23="Saudi",MIN(BM23+$Q23*$V23,Assumptions!$B$14)*Assumptions!$B$12,MIN(BM23+$Q23*$V23,Assumptions!$B$14)*Assumptions!$B$13),0)</f>
        <v>0</v>
      </c>
      <c r="BQ23" s="249">
        <f>IF(AND(BM23&gt;0,$M23="Non-Saudi"),Assumptions!$B$25,0)</f>
        <v>910.41666666666663</v>
      </c>
      <c r="BR23" s="249">
        <f>IF(AND($D23="Contrat Local",$N23&lt;&gt;""),IF(AND(10&gt;=Assumptions!$B$5,ISNUMBER($X23),$N23&lt;EDATE(Assumptions!$B$9,-Assumptions!$B$6*12)),($P23+$X23)*$V23,$P23*$V23),0)</f>
        <v>13500</v>
      </c>
      <c r="BS23" s="249">
        <f t="shared" si="18"/>
        <v>17640</v>
      </c>
      <c r="BT23" s="249">
        <f>IF(AND(BS23&gt;0,$N23&lt;&gt;""),IF((DATE(Assumptions!$B$4,10,28)-$N23)/365.25&lt;=Assumptions!$B$20,(DATE(Assumptions!$B$4,10,28)-$N23)/365.25*Assumptions!$B$18*BS23,(Assumptions!$B$20*Assumptions!$B$18+((DATE(Assumptions!$B$4,10,28)-$N23)/365.25-Assumptions!$B$20)*Assumptions!$B$19)*BS23),0)</f>
        <v>434944.92813141685</v>
      </c>
      <c r="BU23" s="249">
        <f>IF(BR23&gt;0,IF($M23="Saudi",MIN(BR23+$Q23*$V23,Assumptions!$B$14)*Assumptions!$B$12,MIN(BR23+$Q23*$V23,Assumptions!$B$14)*Assumptions!$B$13),0)</f>
        <v>0</v>
      </c>
      <c r="BV23" s="249">
        <f>IF(AND(BR23&gt;0,$M23="Non-Saudi"),Assumptions!$B$25,0)</f>
        <v>910.41666666666663</v>
      </c>
      <c r="BW23" s="249">
        <f>IF(AND($D23="Contrat Local",$N23&lt;&gt;""),IF(AND(11&gt;=Assumptions!$B$5,ISNUMBER($X23),$N23&lt;EDATE(Assumptions!$B$9,-Assumptions!$B$6*12)),($P23+$X23)*$V23,$P23*$V23),0)</f>
        <v>13500</v>
      </c>
      <c r="BX23" s="249">
        <f t="shared" si="19"/>
        <v>17640</v>
      </c>
      <c r="BY23" s="249">
        <f>IF(AND(BX23&gt;0,$N23&lt;&gt;""),IF((DATE(Assumptions!$B$4,11,28)-$N23)/365.25&lt;=Assumptions!$B$20,(DATE(Assumptions!$B$4,11,28)-$N23)/365.25*Assumptions!$B$18*BX23,(Assumptions!$B$20*Assumptions!$B$18+((DATE(Assumptions!$B$4,11,28)-$N23)/365.25-Assumptions!$B$20)*Assumptions!$B$19)*BX23),0)</f>
        <v>436442.09445585217</v>
      </c>
      <c r="BZ23" s="249">
        <f>IF(BW23&gt;0,IF($M23="Saudi",MIN(BW23+$Q23*$V23,Assumptions!$B$14)*Assumptions!$B$12,MIN(BW23+$Q23*$V23,Assumptions!$B$14)*Assumptions!$B$13),0)</f>
        <v>0</v>
      </c>
      <c r="CA23" s="249">
        <f>IF(AND(BW23&gt;0,$M23="Non-Saudi"),Assumptions!$B$25,0)</f>
        <v>910.41666666666663</v>
      </c>
      <c r="CB23" s="249">
        <f>IF(AND($D23="Contrat Local",$N23&lt;&gt;""),IF(AND(12&gt;=Assumptions!$B$5,ISNUMBER($X23),$N23&lt;EDATE(Assumptions!$B$9,-Assumptions!$B$6*12)),($P23+$X23)*$V23,$P23*$V23),0)</f>
        <v>13500</v>
      </c>
      <c r="CC23" s="249">
        <f t="shared" si="20"/>
        <v>17640</v>
      </c>
      <c r="CD23" s="249">
        <f>IF(AND(CC23&gt;0,$N23&lt;&gt;""),IF((DATE(Assumptions!$B$4,12,28)-$N23)/365.25&lt;=Assumptions!$B$20,(DATE(Assumptions!$B$4,12,28)-$N23)/365.25*Assumptions!$B$18*CC23,(Assumptions!$B$20*Assumptions!$B$18+((DATE(Assumptions!$B$4,12,28)-$N23)/365.25-Assumptions!$B$20)*Assumptions!$B$19)*CC23),0)</f>
        <v>437890.96509240248</v>
      </c>
      <c r="CE23" s="249">
        <f>IF(CB23&gt;0,IF($M23="Saudi",MIN(CB23+$Q23*$V23,Assumptions!$B$14)*Assumptions!$B$12,MIN(CB23+$Q23*$V23,Assumptions!$B$14)*Assumptions!$B$13),0)</f>
        <v>0</v>
      </c>
      <c r="CF23" s="249">
        <f>IF(AND(CB23&gt;0,$M23="Non-Saudi"),Assumptions!$B$25,0)</f>
        <v>910.41666666666663</v>
      </c>
      <c r="CG23" s="249">
        <f t="shared" si="21"/>
        <v>160000</v>
      </c>
      <c r="CH23" s="249">
        <f t="shared" si="22"/>
        <v>209680</v>
      </c>
      <c r="CI23" s="249">
        <f>CD23-IF(AND(Z23&gt;0,$N23&lt;&gt;""),IF((DATE(Assumptions!$B$4-1,12,28)-$N23)/365.25&lt;=Assumptions!$B$20,(DATE(Assumptions!$B$4-1,12,28)-$N23)/365.25*Assumptions!$B$18*Z23,(Assumptions!$B$20*Assumptions!$B$18+((DATE(Assumptions!$B$4-1,12,28)-$N23)/365.25-Assumptions!$B$20)*Assumptions!$B$19)*Z23),0)</f>
        <v>23584.034907597583</v>
      </c>
      <c r="CJ23" s="249">
        <f t="shared" si="23"/>
        <v>0</v>
      </c>
      <c r="CK23" s="249">
        <f t="shared" si="24"/>
        <v>10924.999999999998</v>
      </c>
    </row>
    <row r="24" spans="1:89" x14ac:dyDescent="0.2">
      <c r="A24" s="264">
        <v>20</v>
      </c>
      <c r="B24" s="265" t="s">
        <v>286</v>
      </c>
      <c r="C24" s="265" t="s">
        <v>312</v>
      </c>
      <c r="D24" s="265" t="s">
        <v>250</v>
      </c>
      <c r="E24" s="265" t="s">
        <v>767</v>
      </c>
      <c r="F24" s="265" t="s">
        <v>281</v>
      </c>
      <c r="G24" s="265" t="s">
        <v>8</v>
      </c>
      <c r="H24" s="265" t="s">
        <v>43</v>
      </c>
      <c r="I24" s="284" t="s">
        <v>691</v>
      </c>
      <c r="J24" s="286" t="s">
        <v>694</v>
      </c>
      <c r="K24" s="265" t="s">
        <v>282</v>
      </c>
      <c r="L24" s="265" t="s">
        <v>255</v>
      </c>
      <c r="M24" s="265" t="str">
        <f t="shared" si="0"/>
        <v>Non-Saudi</v>
      </c>
      <c r="N24" s="266">
        <v>40787</v>
      </c>
      <c r="O24" s="267">
        <v>15.3</v>
      </c>
      <c r="P24" s="268">
        <v>10250</v>
      </c>
      <c r="Q24" s="268">
        <v>2500</v>
      </c>
      <c r="R24" s="268">
        <v>500</v>
      </c>
      <c r="S24" s="268"/>
      <c r="T24" s="268">
        <v>70</v>
      </c>
      <c r="U24" s="268">
        <v>13320</v>
      </c>
      <c r="V24" s="269">
        <v>1</v>
      </c>
      <c r="W24" s="265" t="s">
        <v>259</v>
      </c>
      <c r="X24" s="265">
        <v>250</v>
      </c>
      <c r="Y24" s="249">
        <f t="shared" si="1"/>
        <v>10250</v>
      </c>
      <c r="Z24" s="249">
        <f t="shared" si="2"/>
        <v>13320</v>
      </c>
      <c r="AA24" s="249">
        <f>IF(AND(Z24&gt;0,$N24&lt;&gt;""),IF((DATE(Assumptions!$B$4,1,28)-$N24)/365.25&lt;=Assumptions!$B$20,(DATE(Assumptions!$B$4,1,28)-$N24)/365.25*Assumptions!$B$18*Z24,(Assumptions!$B$20*Assumptions!$B$18+((DATE(Assumptions!$B$4,1,28)-$N24)/365.25-Assumptions!$B$20)*Assumptions!$B$19)*Z24),0)</f>
        <v>158631.99178644764</v>
      </c>
      <c r="AB24" s="249">
        <f>IF(Y24&gt;0,IF($M24="Saudi",MIN(Y24+$Q24*$V24,Assumptions!$B$14)*Assumptions!$B$12,MIN(Y24+$Q24*$V24,Assumptions!$B$14)*Assumptions!$B$13),0)</f>
        <v>0</v>
      </c>
      <c r="AC24" s="249">
        <f>IF(AND(Y24&gt;0,$M24="Non-Saudi"),Assumptions!$B$25,0)</f>
        <v>910.41666666666663</v>
      </c>
      <c r="AD24" s="249">
        <f t="shared" si="3"/>
        <v>10250</v>
      </c>
      <c r="AE24" s="249">
        <f t="shared" si="4"/>
        <v>13320</v>
      </c>
      <c r="AF24" s="249">
        <f>IF(AND(AE24&gt;0,$N24&lt;&gt;""),IF((DATE(Assumptions!$B$4,2,28)-$N24)/365.25&lt;=Assumptions!$B$20,(DATE(Assumptions!$B$4,2,28)-$N24)/365.25*Assumptions!$B$18*AE24,(Assumptions!$B$20*Assumptions!$B$18+((DATE(Assumptions!$B$4,2,28)-$N24)/365.25-Assumptions!$B$20)*Assumptions!$B$19)*AE24),0)</f>
        <v>159762.50513347023</v>
      </c>
      <c r="AG24" s="249">
        <f>IF(AD24&gt;0,IF($M24="Saudi",MIN(AD24+$Q24*$V24,Assumptions!$B$14)*Assumptions!$B$12,MIN(AD24+$Q24*$V24,Assumptions!$B$14)*Assumptions!$B$13),0)</f>
        <v>0</v>
      </c>
      <c r="AH24" s="249">
        <f>IF(AND(AD24&gt;0,$M24="Non-Saudi"),Assumptions!$B$25,0)</f>
        <v>910.41666666666663</v>
      </c>
      <c r="AI24" s="249">
        <f t="shared" si="5"/>
        <v>10250</v>
      </c>
      <c r="AJ24" s="249">
        <f t="shared" si="6"/>
        <v>13320</v>
      </c>
      <c r="AK24" s="249">
        <f>IF(AND(AJ24&gt;0,$N24&lt;&gt;""),IF((DATE(Assumptions!$B$4,3,28)-$N24)/365.25&lt;=Assumptions!$B$20,(DATE(Assumptions!$B$4,3,28)-$N24)/365.25*Assumptions!$B$18*AJ24,(Assumptions!$B$20*Assumptions!$B$18+((DATE(Assumptions!$B$4,3,28)-$N24)/365.25-Assumptions!$B$20)*Assumptions!$B$19)*AJ24),0)</f>
        <v>160783.61396303901</v>
      </c>
      <c r="AL24" s="249">
        <f>IF(AI24&gt;0,IF($M24="Saudi",MIN(AI24+$Q24*$V24,Assumptions!$B$14)*Assumptions!$B$12,MIN(AI24+$Q24*$V24,Assumptions!$B$14)*Assumptions!$B$13),0)</f>
        <v>0</v>
      </c>
      <c r="AM24" s="249">
        <f>IF(AND(AI24&gt;0,$M24="Non-Saudi"),Assumptions!$B$25,0)</f>
        <v>910.41666666666663</v>
      </c>
      <c r="AN24" s="249">
        <f t="shared" si="7"/>
        <v>10250</v>
      </c>
      <c r="AO24" s="249">
        <f t="shared" si="8"/>
        <v>13320</v>
      </c>
      <c r="AP24" s="249">
        <f>IF(AND(AO24&gt;0,$N24&lt;&gt;""),IF((DATE(Assumptions!$B$4,4,28)-$N24)/365.25&lt;=Assumptions!$B$20,(DATE(Assumptions!$B$4,4,28)-$N24)/365.25*Assumptions!$B$18*AO24,(Assumptions!$B$20*Assumptions!$B$18+((DATE(Assumptions!$B$4,4,28)-$N24)/365.25-Assumptions!$B$20)*Assumptions!$B$19)*AO24),0)</f>
        <v>161914.12731006159</v>
      </c>
      <c r="AQ24" s="249">
        <f>IF(AN24&gt;0,IF($M24="Saudi",MIN(AN24+$Q24*$V24,Assumptions!$B$14)*Assumptions!$B$12,MIN(AN24+$Q24*$V24,Assumptions!$B$14)*Assumptions!$B$13),0)</f>
        <v>0</v>
      </c>
      <c r="AR24" s="249">
        <f>IF(AND(AN24&gt;0,$M24="Non-Saudi"),Assumptions!$B$25,0)</f>
        <v>910.41666666666663</v>
      </c>
      <c r="AS24" s="249">
        <f t="shared" si="9"/>
        <v>10250</v>
      </c>
      <c r="AT24" s="249">
        <f t="shared" si="10"/>
        <v>13320</v>
      </c>
      <c r="AU24" s="249">
        <f>IF(AND(AT24&gt;0,$N24&lt;&gt;""),IF((DATE(Assumptions!$B$4,5,28)-$N24)/365.25&lt;=Assumptions!$B$20,(DATE(Assumptions!$B$4,5,28)-$N24)/365.25*Assumptions!$B$18*AT24,(Assumptions!$B$20*Assumptions!$B$18+((DATE(Assumptions!$B$4,5,28)-$N24)/365.25-Assumptions!$B$20)*Assumptions!$B$19)*AT24),0)</f>
        <v>163008.17248459961</v>
      </c>
      <c r="AV24" s="249">
        <f>IF(AS24&gt;0,IF($M24="Saudi",MIN(AS24+$Q24*$V24,Assumptions!$B$14)*Assumptions!$B$12,MIN(AS24+$Q24*$V24,Assumptions!$B$14)*Assumptions!$B$13),0)</f>
        <v>0</v>
      </c>
      <c r="AW24" s="249">
        <f>IF(AND(AS24&gt;0,$M24="Non-Saudi"),Assumptions!$B$25,0)</f>
        <v>910.41666666666663</v>
      </c>
      <c r="AX24" s="249">
        <f t="shared" si="11"/>
        <v>10250</v>
      </c>
      <c r="AY24" s="249">
        <f t="shared" si="12"/>
        <v>13320</v>
      </c>
      <c r="AZ24" s="249">
        <f>IF(AND(AY24&gt;0,$N24&lt;&gt;""),IF((DATE(Assumptions!$B$4,6,28)-$N24)/365.25&lt;=Assumptions!$B$20,(DATE(Assumptions!$B$4,6,28)-$N24)/365.25*Assumptions!$B$18*AY24,(Assumptions!$B$20*Assumptions!$B$18+((DATE(Assumptions!$B$4,6,28)-$N24)/365.25-Assumptions!$B$20)*Assumptions!$B$19)*AY24),0)</f>
        <v>164138.68583162219</v>
      </c>
      <c r="BA24" s="249">
        <f>IF(AX24&gt;0,IF($M24="Saudi",MIN(AX24+$Q24*$V24,Assumptions!$B$14)*Assumptions!$B$12,MIN(AX24+$Q24*$V24,Assumptions!$B$14)*Assumptions!$B$13),0)</f>
        <v>0</v>
      </c>
      <c r="BB24" s="249">
        <f>IF(AND(AX24&gt;0,$M24="Non-Saudi"),Assumptions!$B$25,0)</f>
        <v>910.41666666666663</v>
      </c>
      <c r="BC24" s="249">
        <f t="shared" si="13"/>
        <v>10250</v>
      </c>
      <c r="BD24" s="249">
        <f t="shared" si="14"/>
        <v>13320</v>
      </c>
      <c r="BE24" s="249">
        <f>IF(AND(BD24&gt;0,$N24&lt;&gt;""),IF((DATE(Assumptions!$B$4,7,28)-$N24)/365.25&lt;=Assumptions!$B$20,(DATE(Assumptions!$B$4,7,28)-$N24)/365.25*Assumptions!$B$18*BD24,(Assumptions!$B$20*Assumptions!$B$18+((DATE(Assumptions!$B$4,7,28)-$N24)/365.25-Assumptions!$B$20)*Assumptions!$B$19)*BD24),0)</f>
        <v>165232.73100616015</v>
      </c>
      <c r="BF24" s="249">
        <f>IF(BC24&gt;0,IF($M24="Saudi",MIN(BC24+$Q24*$V24,Assumptions!$B$14)*Assumptions!$B$12,MIN(BC24+$Q24*$V24,Assumptions!$B$14)*Assumptions!$B$13),0)</f>
        <v>0</v>
      </c>
      <c r="BG24" s="249">
        <f>IF(AND(BC24&gt;0,$M24="Non-Saudi"),Assumptions!$B$25,0)</f>
        <v>910.41666666666663</v>
      </c>
      <c r="BH24" s="249">
        <f t="shared" si="15"/>
        <v>10250</v>
      </c>
      <c r="BI24" s="249">
        <f t="shared" si="16"/>
        <v>13320</v>
      </c>
      <c r="BJ24" s="249">
        <f>IF(AND(BI24&gt;0,$N24&lt;&gt;""),IF((DATE(Assumptions!$B$4,8,28)-$N24)/365.25&lt;=Assumptions!$B$20,(DATE(Assumptions!$B$4,8,28)-$N24)/365.25*Assumptions!$B$18*BI24,(Assumptions!$B$20*Assumptions!$B$18+((DATE(Assumptions!$B$4,8,28)-$N24)/365.25-Assumptions!$B$20)*Assumptions!$B$19)*BI24),0)</f>
        <v>166363.24435318276</v>
      </c>
      <c r="BK24" s="249">
        <f>IF(BH24&gt;0,IF($M24="Saudi",MIN(BH24+$Q24*$V24,Assumptions!$B$14)*Assumptions!$B$12,MIN(BH24+$Q24*$V24,Assumptions!$B$14)*Assumptions!$B$13),0)</f>
        <v>0</v>
      </c>
      <c r="BL24" s="249">
        <f>IF(AND(BH24&gt;0,$M24="Non-Saudi"),Assumptions!$B$25,0)</f>
        <v>910.41666666666663</v>
      </c>
      <c r="BM24" s="249">
        <f>IF(AND($D24="Contrat Local",$N24&lt;&gt;""),IF(AND(9&gt;=Assumptions!$B$5,ISNUMBER($X24),$N24&lt;EDATE(Assumptions!$B$9,-Assumptions!$B$6*12)),($P24+$X24)*$V24,$P24*$V24),0)</f>
        <v>10500</v>
      </c>
      <c r="BN24" s="249">
        <f t="shared" si="17"/>
        <v>13570</v>
      </c>
      <c r="BO24" s="249">
        <f>IF(AND(BN24&gt;0,$N24&lt;&gt;""),IF((DATE(Assumptions!$B$4,9,28)-$N24)/365.25&lt;=Assumptions!$B$20,(DATE(Assumptions!$B$4,9,28)-$N24)/365.25*Assumptions!$B$18*BN24,(Assumptions!$B$20*Assumptions!$B$18+((DATE(Assumptions!$B$4,9,28)-$N24)/365.25-Assumptions!$B$20)*Assumptions!$B$19)*BN24),0)</f>
        <v>170637.40930869267</v>
      </c>
      <c r="BP24" s="249">
        <f>IF(BM24&gt;0,IF($M24="Saudi",MIN(BM24+$Q24*$V24,Assumptions!$B$14)*Assumptions!$B$12,MIN(BM24+$Q24*$V24,Assumptions!$B$14)*Assumptions!$B$13),0)</f>
        <v>0</v>
      </c>
      <c r="BQ24" s="249">
        <f>IF(AND(BM24&gt;0,$M24="Non-Saudi"),Assumptions!$B$25,0)</f>
        <v>910.41666666666663</v>
      </c>
      <c r="BR24" s="249">
        <f>IF(AND($D24="Contrat Local",$N24&lt;&gt;""),IF(AND(10&gt;=Assumptions!$B$5,ISNUMBER($X24),$N24&lt;EDATE(Assumptions!$B$9,-Assumptions!$B$6*12)),($P24+$X24)*$V24,$P24*$V24),0)</f>
        <v>10500</v>
      </c>
      <c r="BS24" s="249">
        <f t="shared" si="18"/>
        <v>13570</v>
      </c>
      <c r="BT24" s="249">
        <f>IF(AND(BS24&gt;0,$N24&lt;&gt;""),IF((DATE(Assumptions!$B$4,10,28)-$N24)/365.25&lt;=Assumptions!$B$20,(DATE(Assumptions!$B$4,10,28)-$N24)/365.25*Assumptions!$B$18*BS24,(Assumptions!$B$20*Assumptions!$B$18+((DATE(Assumptions!$B$4,10,28)-$N24)/365.25-Assumptions!$B$20)*Assumptions!$B$19)*BS24),0)</f>
        <v>171751.98836413416</v>
      </c>
      <c r="BU24" s="249">
        <f>IF(BR24&gt;0,IF($M24="Saudi",MIN(BR24+$Q24*$V24,Assumptions!$B$14)*Assumptions!$B$12,MIN(BR24+$Q24*$V24,Assumptions!$B$14)*Assumptions!$B$13),0)</f>
        <v>0</v>
      </c>
      <c r="BV24" s="249">
        <f>IF(AND(BR24&gt;0,$M24="Non-Saudi"),Assumptions!$B$25,0)</f>
        <v>910.41666666666663</v>
      </c>
      <c r="BW24" s="249">
        <f>IF(AND($D24="Contrat Local",$N24&lt;&gt;""),IF(AND(11&gt;=Assumptions!$B$5,ISNUMBER($X24),$N24&lt;EDATE(Assumptions!$B$9,-Assumptions!$B$6*12)),($P24+$X24)*$V24,$P24*$V24),0)</f>
        <v>10500</v>
      </c>
      <c r="BX24" s="249">
        <f t="shared" si="19"/>
        <v>13570</v>
      </c>
      <c r="BY24" s="249">
        <f>IF(AND(BX24&gt;0,$N24&lt;&gt;""),IF((DATE(Assumptions!$B$4,11,28)-$N24)/365.25&lt;=Assumptions!$B$20,(DATE(Assumptions!$B$4,11,28)-$N24)/365.25*Assumptions!$B$18*BX24,(Assumptions!$B$20*Assumptions!$B$18+((DATE(Assumptions!$B$4,11,28)-$N24)/365.25-Assumptions!$B$20)*Assumptions!$B$19)*BX24),0)</f>
        <v>172903.720054757</v>
      </c>
      <c r="BZ24" s="249">
        <f>IF(BW24&gt;0,IF($M24="Saudi",MIN(BW24+$Q24*$V24,Assumptions!$B$14)*Assumptions!$B$12,MIN(BW24+$Q24*$V24,Assumptions!$B$14)*Assumptions!$B$13),0)</f>
        <v>0</v>
      </c>
      <c r="CA24" s="249">
        <f>IF(AND(BW24&gt;0,$M24="Non-Saudi"),Assumptions!$B$25,0)</f>
        <v>910.41666666666663</v>
      </c>
      <c r="CB24" s="249">
        <f>IF(AND($D24="Contrat Local",$N24&lt;&gt;""),IF(AND(12&gt;=Assumptions!$B$5,ISNUMBER($X24),$N24&lt;EDATE(Assumptions!$B$9,-Assumptions!$B$6*12)),($P24+$X24)*$V24,$P24*$V24),0)</f>
        <v>10500</v>
      </c>
      <c r="CC24" s="249">
        <f t="shared" si="20"/>
        <v>13570</v>
      </c>
      <c r="CD24" s="249">
        <f>IF(AND(CC24&gt;0,$N24&lt;&gt;""),IF((DATE(Assumptions!$B$4,12,28)-$N24)/365.25&lt;=Assumptions!$B$20,(DATE(Assumptions!$B$4,12,28)-$N24)/365.25*Assumptions!$B$18*CC24,(Assumptions!$B$20*Assumptions!$B$18+((DATE(Assumptions!$B$4,12,28)-$N24)/365.25-Assumptions!$B$20)*Assumptions!$B$19)*CC24),0)</f>
        <v>174018.29911019851</v>
      </c>
      <c r="CE24" s="249">
        <f>IF(CB24&gt;0,IF($M24="Saudi",MIN(CB24+$Q24*$V24,Assumptions!$B$14)*Assumptions!$B$12,MIN(CB24+$Q24*$V24,Assumptions!$B$14)*Assumptions!$B$13),0)</f>
        <v>0</v>
      </c>
      <c r="CF24" s="249">
        <f>IF(AND(CB24&gt;0,$M24="Non-Saudi"),Assumptions!$B$25,0)</f>
        <v>910.41666666666663</v>
      </c>
      <c r="CG24" s="249">
        <f t="shared" si="21"/>
        <v>124000</v>
      </c>
      <c r="CH24" s="249">
        <f t="shared" si="22"/>
        <v>160840</v>
      </c>
      <c r="CI24" s="249">
        <f>CD24-IF(AND(Z24&gt;0,$N24&lt;&gt;""),IF((DATE(Assumptions!$B$4-1,12,28)-$N24)/365.25&lt;=Assumptions!$B$20,(DATE(Assumptions!$B$4-1,12,28)-$N24)/365.25*Assumptions!$B$18*Z24,(Assumptions!$B$20*Assumptions!$B$18+((DATE(Assumptions!$B$4-1,12,28)-$N24)/365.25-Assumptions!$B$20)*Assumptions!$B$19)*Z24),0)</f>
        <v>16516.820670773479</v>
      </c>
      <c r="CJ24" s="249">
        <f t="shared" si="23"/>
        <v>0</v>
      </c>
      <c r="CK24" s="249">
        <f t="shared" si="24"/>
        <v>10924.999999999998</v>
      </c>
    </row>
    <row r="25" spans="1:89" x14ac:dyDescent="0.2">
      <c r="A25" s="276">
        <v>21</v>
      </c>
      <c r="B25" s="277" t="s">
        <v>313</v>
      </c>
      <c r="C25" s="277" t="s">
        <v>314</v>
      </c>
      <c r="D25" s="277" t="s">
        <v>250</v>
      </c>
      <c r="E25" s="277" t="s">
        <v>767</v>
      </c>
      <c r="F25" s="277" t="s">
        <v>315</v>
      </c>
      <c r="G25" s="277" t="s">
        <v>303</v>
      </c>
      <c r="H25" s="277" t="s">
        <v>43</v>
      </c>
      <c r="I25" s="287" t="s">
        <v>691</v>
      </c>
      <c r="J25" s="277" t="s">
        <v>65</v>
      </c>
      <c r="K25" s="277" t="s">
        <v>254</v>
      </c>
      <c r="L25" s="277" t="s">
        <v>255</v>
      </c>
      <c r="M25" s="277" t="str">
        <f t="shared" si="0"/>
        <v>Non-Saudi</v>
      </c>
      <c r="N25" s="278">
        <v>44805</v>
      </c>
      <c r="O25" s="279">
        <v>4.3</v>
      </c>
      <c r="P25" s="280">
        <v>8750</v>
      </c>
      <c r="Q25" s="280">
        <v>2500</v>
      </c>
      <c r="R25" s="280">
        <v>500</v>
      </c>
      <c r="S25" s="280"/>
      <c r="T25" s="280">
        <v>1300</v>
      </c>
      <c r="U25" s="280">
        <v>13050</v>
      </c>
      <c r="V25" s="281">
        <v>1</v>
      </c>
      <c r="W25" s="277" t="s">
        <v>259</v>
      </c>
      <c r="X25" s="277">
        <v>250</v>
      </c>
      <c r="Y25" s="249">
        <f t="shared" si="1"/>
        <v>8750</v>
      </c>
      <c r="Z25" s="249">
        <f t="shared" si="2"/>
        <v>13050</v>
      </c>
      <c r="AA25" s="249">
        <f>IF(AND(Z25&gt;0,$N25&lt;&gt;""),IF((DATE(Assumptions!$B$4,1,28)-$N25)/365.25&lt;=Assumptions!$B$20,(DATE(Assumptions!$B$4,1,28)-$N25)/365.25*Assumptions!$B$18*Z25,(Assumptions!$B$20*Assumptions!$B$18+((DATE(Assumptions!$B$4,1,28)-$N25)/365.25-Assumptions!$B$20)*Assumptions!$B$19)*Z25),0)</f>
        <v>22241.273100616017</v>
      </c>
      <c r="AB25" s="249">
        <f>IF(Y25&gt;0,IF($M25="Saudi",MIN(Y25+$Q25*$V25,Assumptions!$B$14)*Assumptions!$B$12,MIN(Y25+$Q25*$V25,Assumptions!$B$14)*Assumptions!$B$13),0)</f>
        <v>0</v>
      </c>
      <c r="AC25" s="249">
        <f>IF(AND(Y25&gt;0,$M25="Non-Saudi"),Assumptions!$B$25,0)</f>
        <v>910.41666666666663</v>
      </c>
      <c r="AD25" s="249">
        <f t="shared" si="3"/>
        <v>8750</v>
      </c>
      <c r="AE25" s="249">
        <f t="shared" si="4"/>
        <v>13050</v>
      </c>
      <c r="AF25" s="249">
        <f>IF(AND(AE25&gt;0,$N25&lt;&gt;""),IF((DATE(Assumptions!$B$4,2,28)-$N25)/365.25&lt;=Assumptions!$B$20,(DATE(Assumptions!$B$4,2,28)-$N25)/365.25*Assumptions!$B$18*AE25,(Assumptions!$B$20*Assumptions!$B$18+((DATE(Assumptions!$B$4,2,28)-$N25)/365.25-Assumptions!$B$20)*Assumptions!$B$19)*AE25),0)</f>
        <v>22795.071868583163</v>
      </c>
      <c r="AG25" s="249">
        <f>IF(AD25&gt;0,IF($M25="Saudi",MIN(AD25+$Q25*$V25,Assumptions!$B$14)*Assumptions!$B$12,MIN(AD25+$Q25*$V25,Assumptions!$B$14)*Assumptions!$B$13),0)</f>
        <v>0</v>
      </c>
      <c r="AH25" s="249">
        <f>IF(AND(AD25&gt;0,$M25="Non-Saudi"),Assumptions!$B$25,0)</f>
        <v>910.41666666666663</v>
      </c>
      <c r="AI25" s="249">
        <f t="shared" si="5"/>
        <v>8750</v>
      </c>
      <c r="AJ25" s="249">
        <f t="shared" si="6"/>
        <v>13050</v>
      </c>
      <c r="AK25" s="249">
        <f>IF(AND(AJ25&gt;0,$N25&lt;&gt;""),IF((DATE(Assumptions!$B$4,3,28)-$N25)/365.25&lt;=Assumptions!$B$20,(DATE(Assumptions!$B$4,3,28)-$N25)/365.25*Assumptions!$B$18*AJ25,(Assumptions!$B$20*Assumptions!$B$18+((DATE(Assumptions!$B$4,3,28)-$N25)/365.25-Assumptions!$B$20)*Assumptions!$B$19)*AJ25),0)</f>
        <v>23295.277207392195</v>
      </c>
      <c r="AL25" s="249">
        <f>IF(AI25&gt;0,IF($M25="Saudi",MIN(AI25+$Q25*$V25,Assumptions!$B$14)*Assumptions!$B$12,MIN(AI25+$Q25*$V25,Assumptions!$B$14)*Assumptions!$B$13),0)</f>
        <v>0</v>
      </c>
      <c r="AM25" s="249">
        <f>IF(AND(AI25&gt;0,$M25="Non-Saudi"),Assumptions!$B$25,0)</f>
        <v>910.41666666666663</v>
      </c>
      <c r="AN25" s="249">
        <f t="shared" si="7"/>
        <v>8750</v>
      </c>
      <c r="AO25" s="249">
        <f t="shared" si="8"/>
        <v>13050</v>
      </c>
      <c r="AP25" s="249">
        <f>IF(AND(AO25&gt;0,$N25&lt;&gt;""),IF((DATE(Assumptions!$B$4,4,28)-$N25)/365.25&lt;=Assumptions!$B$20,(DATE(Assumptions!$B$4,4,28)-$N25)/365.25*Assumptions!$B$18*AO25,(Assumptions!$B$20*Assumptions!$B$18+((DATE(Assumptions!$B$4,4,28)-$N25)/365.25-Assumptions!$B$20)*Assumptions!$B$19)*AO25),0)</f>
        <v>23849.075975359345</v>
      </c>
      <c r="AQ25" s="249">
        <f>IF(AN25&gt;0,IF($M25="Saudi",MIN(AN25+$Q25*$V25,Assumptions!$B$14)*Assumptions!$B$12,MIN(AN25+$Q25*$V25,Assumptions!$B$14)*Assumptions!$B$13),0)</f>
        <v>0</v>
      </c>
      <c r="AR25" s="249">
        <f>IF(AND(AN25&gt;0,$M25="Non-Saudi"),Assumptions!$B$25,0)</f>
        <v>910.41666666666663</v>
      </c>
      <c r="AS25" s="249">
        <f t="shared" si="9"/>
        <v>8750</v>
      </c>
      <c r="AT25" s="249">
        <f t="shared" si="10"/>
        <v>13050</v>
      </c>
      <c r="AU25" s="249">
        <f>IF(AND(AT25&gt;0,$N25&lt;&gt;""),IF((DATE(Assumptions!$B$4,5,28)-$N25)/365.25&lt;=Assumptions!$B$20,(DATE(Assumptions!$B$4,5,28)-$N25)/365.25*Assumptions!$B$18*AT25,(Assumptions!$B$20*Assumptions!$B$18+((DATE(Assumptions!$B$4,5,28)-$N25)/365.25-Assumptions!$B$20)*Assumptions!$B$19)*AT25),0)</f>
        <v>24385.010266940451</v>
      </c>
      <c r="AV25" s="249">
        <f>IF(AS25&gt;0,IF($M25="Saudi",MIN(AS25+$Q25*$V25,Assumptions!$B$14)*Assumptions!$B$12,MIN(AS25+$Q25*$V25,Assumptions!$B$14)*Assumptions!$B$13),0)</f>
        <v>0</v>
      </c>
      <c r="AW25" s="249">
        <f>IF(AND(AS25&gt;0,$M25="Non-Saudi"),Assumptions!$B$25,0)</f>
        <v>910.41666666666663</v>
      </c>
      <c r="AX25" s="249">
        <f t="shared" si="11"/>
        <v>8750</v>
      </c>
      <c r="AY25" s="249">
        <f t="shared" si="12"/>
        <v>13050</v>
      </c>
      <c r="AZ25" s="249">
        <f>IF(AND(AY25&gt;0,$N25&lt;&gt;""),IF((DATE(Assumptions!$B$4,6,28)-$N25)/365.25&lt;=Assumptions!$B$20,(DATE(Assumptions!$B$4,6,28)-$N25)/365.25*Assumptions!$B$18*AY25,(Assumptions!$B$20*Assumptions!$B$18+((DATE(Assumptions!$B$4,6,28)-$N25)/365.25-Assumptions!$B$20)*Assumptions!$B$19)*AY25),0)</f>
        <v>24938.809034907597</v>
      </c>
      <c r="BA25" s="249">
        <f>IF(AX25&gt;0,IF($M25="Saudi",MIN(AX25+$Q25*$V25,Assumptions!$B$14)*Assumptions!$B$12,MIN(AX25+$Q25*$V25,Assumptions!$B$14)*Assumptions!$B$13),0)</f>
        <v>0</v>
      </c>
      <c r="BB25" s="249">
        <f>IF(AND(AX25&gt;0,$M25="Non-Saudi"),Assumptions!$B$25,0)</f>
        <v>910.41666666666663</v>
      </c>
      <c r="BC25" s="249">
        <f t="shared" si="13"/>
        <v>8750</v>
      </c>
      <c r="BD25" s="249">
        <f t="shared" si="14"/>
        <v>13050</v>
      </c>
      <c r="BE25" s="249">
        <f>IF(AND(BD25&gt;0,$N25&lt;&gt;""),IF((DATE(Assumptions!$B$4,7,28)-$N25)/365.25&lt;=Assumptions!$B$20,(DATE(Assumptions!$B$4,7,28)-$N25)/365.25*Assumptions!$B$18*BD25,(Assumptions!$B$20*Assumptions!$B$18+((DATE(Assumptions!$B$4,7,28)-$N25)/365.25-Assumptions!$B$20)*Assumptions!$B$19)*BD25),0)</f>
        <v>25474.743326488704</v>
      </c>
      <c r="BF25" s="249">
        <f>IF(BC25&gt;0,IF($M25="Saudi",MIN(BC25+$Q25*$V25,Assumptions!$B$14)*Assumptions!$B$12,MIN(BC25+$Q25*$V25,Assumptions!$B$14)*Assumptions!$B$13),0)</f>
        <v>0</v>
      </c>
      <c r="BG25" s="249">
        <f>IF(AND(BC25&gt;0,$M25="Non-Saudi"),Assumptions!$B$25,0)</f>
        <v>910.41666666666663</v>
      </c>
      <c r="BH25" s="249">
        <f t="shared" si="15"/>
        <v>8750</v>
      </c>
      <c r="BI25" s="249">
        <f t="shared" si="16"/>
        <v>13050</v>
      </c>
      <c r="BJ25" s="249">
        <f>IF(AND(BI25&gt;0,$N25&lt;&gt;""),IF((DATE(Assumptions!$B$4,8,28)-$N25)/365.25&lt;=Assumptions!$B$20,(DATE(Assumptions!$B$4,8,28)-$N25)/365.25*Assumptions!$B$18*BI25,(Assumptions!$B$20*Assumptions!$B$18+((DATE(Assumptions!$B$4,8,28)-$N25)/365.25-Assumptions!$B$20)*Assumptions!$B$19)*BI25),0)</f>
        <v>26028.542094455854</v>
      </c>
      <c r="BK25" s="249">
        <f>IF(BH25&gt;0,IF($M25="Saudi",MIN(BH25+$Q25*$V25,Assumptions!$B$14)*Assumptions!$B$12,MIN(BH25+$Q25*$V25,Assumptions!$B$14)*Assumptions!$B$13),0)</f>
        <v>0</v>
      </c>
      <c r="BL25" s="249">
        <f>IF(AND(BH25&gt;0,$M25="Non-Saudi"),Assumptions!$B$25,0)</f>
        <v>910.41666666666663</v>
      </c>
      <c r="BM25" s="249">
        <f>IF(AND($D25="Contrat Local",$N25&lt;&gt;""),IF(AND(9&gt;=Assumptions!$B$5,ISNUMBER($X25),$N25&lt;EDATE(Assumptions!$B$9,-Assumptions!$B$6*12)),($P25+$X25)*$V25,$P25*$V25),0)</f>
        <v>9000</v>
      </c>
      <c r="BN25" s="249">
        <f t="shared" si="17"/>
        <v>13300</v>
      </c>
      <c r="BO25" s="249">
        <f>IF(AND(BN25&gt;0,$N25&lt;&gt;""),IF((DATE(Assumptions!$B$4,9,28)-$N25)/365.25&lt;=Assumptions!$B$20,(DATE(Assumptions!$B$4,9,28)-$N25)/365.25*Assumptions!$B$18*BN25,(Assumptions!$B$20*Assumptions!$B$18+((DATE(Assumptions!$B$4,9,28)-$N25)/365.25-Assumptions!$B$20)*Assumptions!$B$19)*BN25),0)</f>
        <v>27091.58110882957</v>
      </c>
      <c r="BP25" s="249">
        <f>IF(BM25&gt;0,IF($M25="Saudi",MIN(BM25+$Q25*$V25,Assumptions!$B$14)*Assumptions!$B$12,MIN(BM25+$Q25*$V25,Assumptions!$B$14)*Assumptions!$B$13),0)</f>
        <v>0</v>
      </c>
      <c r="BQ25" s="249">
        <f>IF(AND(BM25&gt;0,$M25="Non-Saudi"),Assumptions!$B$25,0)</f>
        <v>910.41666666666663</v>
      </c>
      <c r="BR25" s="249">
        <f>IF(AND($D25="Contrat Local",$N25&lt;&gt;""),IF(AND(10&gt;=Assumptions!$B$5,ISNUMBER($X25),$N25&lt;EDATE(Assumptions!$B$9,-Assumptions!$B$6*12)),($P25+$X25)*$V25,$P25*$V25),0)</f>
        <v>9000</v>
      </c>
      <c r="BS25" s="249">
        <f t="shared" si="18"/>
        <v>13300</v>
      </c>
      <c r="BT25" s="249">
        <f>IF(AND(BS25&gt;0,$N25&lt;&gt;""),IF((DATE(Assumptions!$B$4,10,28)-$N25)/365.25&lt;=Assumptions!$B$20,(DATE(Assumptions!$B$4,10,28)-$N25)/365.25*Assumptions!$B$18*BS25,(Assumptions!$B$20*Assumptions!$B$18+((DATE(Assumptions!$B$4,10,28)-$N25)/365.25-Assumptions!$B$20)*Assumptions!$B$19)*BS25),0)</f>
        <v>27637.782340862421</v>
      </c>
      <c r="BU25" s="249">
        <f>IF(BR25&gt;0,IF($M25="Saudi",MIN(BR25+$Q25*$V25,Assumptions!$B$14)*Assumptions!$B$12,MIN(BR25+$Q25*$V25,Assumptions!$B$14)*Assumptions!$B$13),0)</f>
        <v>0</v>
      </c>
      <c r="BV25" s="249">
        <f>IF(AND(BR25&gt;0,$M25="Non-Saudi"),Assumptions!$B$25,0)</f>
        <v>910.41666666666663</v>
      </c>
      <c r="BW25" s="249">
        <f>IF(AND($D25="Contrat Local",$N25&lt;&gt;""),IF(AND(11&gt;=Assumptions!$B$5,ISNUMBER($X25),$N25&lt;EDATE(Assumptions!$B$9,-Assumptions!$B$6*12)),($P25+$X25)*$V25,$P25*$V25),0)</f>
        <v>9000</v>
      </c>
      <c r="BX25" s="249">
        <f t="shared" si="19"/>
        <v>13300</v>
      </c>
      <c r="BY25" s="249">
        <f>IF(AND(BX25&gt;0,$N25&lt;&gt;""),IF((DATE(Assumptions!$B$4,11,28)-$N25)/365.25&lt;=Assumptions!$B$20,(DATE(Assumptions!$B$4,11,28)-$N25)/365.25*Assumptions!$B$18*BX25,(Assumptions!$B$20*Assumptions!$B$18+((DATE(Assumptions!$B$4,11,28)-$N25)/365.25-Assumptions!$B$20)*Assumptions!$B$19)*BX25),0)</f>
        <v>28202.190280629704</v>
      </c>
      <c r="BZ25" s="249">
        <f>IF(BW25&gt;0,IF($M25="Saudi",MIN(BW25+$Q25*$V25,Assumptions!$B$14)*Assumptions!$B$12,MIN(BW25+$Q25*$V25,Assumptions!$B$14)*Assumptions!$B$13),0)</f>
        <v>0</v>
      </c>
      <c r="CA25" s="249">
        <f>IF(AND(BW25&gt;0,$M25="Non-Saudi"),Assumptions!$B$25,0)</f>
        <v>910.41666666666663</v>
      </c>
      <c r="CB25" s="249">
        <f>IF(AND($D25="Contrat Local",$N25&lt;&gt;""),IF(AND(12&gt;=Assumptions!$B$5,ISNUMBER($X25),$N25&lt;EDATE(Assumptions!$B$9,-Assumptions!$B$6*12)),($P25+$X25)*$V25,$P25*$V25),0)</f>
        <v>9000</v>
      </c>
      <c r="CC25" s="249">
        <f t="shared" si="20"/>
        <v>13300</v>
      </c>
      <c r="CD25" s="249">
        <f>IF(AND(CC25&gt;0,$N25&lt;&gt;""),IF((DATE(Assumptions!$B$4,12,28)-$N25)/365.25&lt;=Assumptions!$B$20,(DATE(Assumptions!$B$4,12,28)-$N25)/365.25*Assumptions!$B$18*CC25,(Assumptions!$B$20*Assumptions!$B$18+((DATE(Assumptions!$B$4,12,28)-$N25)/365.25-Assumptions!$B$20)*Assumptions!$B$19)*CC25),0)</f>
        <v>28748.391512662558</v>
      </c>
      <c r="CE25" s="249">
        <f>IF(CB25&gt;0,IF($M25="Saudi",MIN(CB25+$Q25*$V25,Assumptions!$B$14)*Assumptions!$B$12,MIN(CB25+$Q25*$V25,Assumptions!$B$14)*Assumptions!$B$13),0)</f>
        <v>0</v>
      </c>
      <c r="CF25" s="249">
        <f>IF(AND(CB25&gt;0,$M25="Non-Saudi"),Assumptions!$B$25,0)</f>
        <v>910.41666666666663</v>
      </c>
      <c r="CG25" s="249">
        <f t="shared" si="21"/>
        <v>106000</v>
      </c>
      <c r="CH25" s="249">
        <f t="shared" si="22"/>
        <v>157600</v>
      </c>
      <c r="CI25" s="249">
        <f>CD25-IF(AND(Z25&gt;0,$N25&lt;&gt;""),IF((DATE(Assumptions!$B$4-1,12,28)-$N25)/365.25&lt;=Assumptions!$B$20,(DATE(Assumptions!$B$4-1,12,28)-$N25)/365.25*Assumptions!$B$18*Z25,(Assumptions!$B$20*Assumptions!$B$18+((DATE(Assumptions!$B$4-1,12,28)-$N25)/365.25-Assumptions!$B$20)*Assumptions!$B$19)*Z25),0)</f>
        <v>7060.9171800136901</v>
      </c>
      <c r="CJ25" s="249">
        <f t="shared" si="23"/>
        <v>0</v>
      </c>
      <c r="CK25" s="249">
        <f t="shared" si="24"/>
        <v>10924.999999999998</v>
      </c>
    </row>
    <row r="26" spans="1:89" x14ac:dyDescent="0.2">
      <c r="A26" s="276">
        <v>22</v>
      </c>
      <c r="B26" s="277" t="s">
        <v>316</v>
      </c>
      <c r="C26" s="277" t="s">
        <v>317</v>
      </c>
      <c r="D26" s="277" t="s">
        <v>250</v>
      </c>
      <c r="E26" s="277" t="s">
        <v>767</v>
      </c>
      <c r="F26" s="277" t="s">
        <v>315</v>
      </c>
      <c r="G26" s="277" t="s">
        <v>303</v>
      </c>
      <c r="H26" s="277" t="s">
        <v>318</v>
      </c>
      <c r="I26" s="287" t="s">
        <v>691</v>
      </c>
      <c r="J26" s="277" t="s">
        <v>65</v>
      </c>
      <c r="K26" s="277" t="s">
        <v>254</v>
      </c>
      <c r="L26" s="277" t="s">
        <v>255</v>
      </c>
      <c r="M26" s="277" t="str">
        <f t="shared" si="0"/>
        <v>Non-Saudi</v>
      </c>
      <c r="N26" s="278">
        <v>36770</v>
      </c>
      <c r="O26" s="279">
        <v>26.3</v>
      </c>
      <c r="P26" s="280">
        <v>9500</v>
      </c>
      <c r="Q26" s="280">
        <v>2500</v>
      </c>
      <c r="R26" s="280">
        <v>500</v>
      </c>
      <c r="S26" s="280"/>
      <c r="T26" s="280">
        <v>400</v>
      </c>
      <c r="U26" s="280">
        <v>12900</v>
      </c>
      <c r="V26" s="281">
        <v>1</v>
      </c>
      <c r="W26" s="277" t="s">
        <v>256</v>
      </c>
      <c r="X26" s="277" t="s">
        <v>319</v>
      </c>
      <c r="Y26" s="249">
        <f t="shared" si="1"/>
        <v>9500</v>
      </c>
      <c r="Z26" s="249">
        <f t="shared" si="2"/>
        <v>12900</v>
      </c>
      <c r="AA26" s="249">
        <f>IF(AND(Z26&gt;0,$N26&lt;&gt;""),IF((DATE(Assumptions!$B$4,1,28)-$N26)/365.25&lt;=Assumptions!$B$20,(DATE(Assumptions!$B$4,1,28)-$N26)/365.25*Assumptions!$B$18*Z26,(Assumptions!$B$20*Assumptions!$B$18+((DATE(Assumptions!$B$4,1,28)-$N26)/365.25-Assumptions!$B$20)*Assumptions!$B$19)*Z26),0)</f>
        <v>295503.59342915809</v>
      </c>
      <c r="AB26" s="249">
        <f>IF(Y26&gt;0,IF($M26="Saudi",MIN(Y26+$Q26*$V26,Assumptions!$B$14)*Assumptions!$B$12,MIN(Y26+$Q26*$V26,Assumptions!$B$14)*Assumptions!$B$13),0)</f>
        <v>0</v>
      </c>
      <c r="AC26" s="249">
        <f>IF(AND(Y26&gt;0,$M26="Non-Saudi"),Assumptions!$B$25,0)</f>
        <v>910.41666666666663</v>
      </c>
      <c r="AD26" s="249">
        <f t="shared" si="3"/>
        <v>9500</v>
      </c>
      <c r="AE26" s="249">
        <f t="shared" si="4"/>
        <v>12900</v>
      </c>
      <c r="AF26" s="249">
        <f>IF(AND(AE26&gt;0,$N26&lt;&gt;""),IF((DATE(Assumptions!$B$4,2,28)-$N26)/365.25&lt;=Assumptions!$B$20,(DATE(Assumptions!$B$4,2,28)-$N26)/365.25*Assumptions!$B$18*AE26,(Assumptions!$B$20*Assumptions!$B$18+((DATE(Assumptions!$B$4,2,28)-$N26)/365.25-Assumptions!$B$20)*Assumptions!$B$19)*AE26),0)</f>
        <v>296598.45995893225</v>
      </c>
      <c r="AG26" s="249">
        <f>IF(AD26&gt;0,IF($M26="Saudi",MIN(AD26+$Q26*$V26,Assumptions!$B$14)*Assumptions!$B$12,MIN(AD26+$Q26*$V26,Assumptions!$B$14)*Assumptions!$B$13),0)</f>
        <v>0</v>
      </c>
      <c r="AH26" s="249">
        <f>IF(AND(AD26&gt;0,$M26="Non-Saudi"),Assumptions!$B$25,0)</f>
        <v>910.41666666666663</v>
      </c>
      <c r="AI26" s="249">
        <f t="shared" si="5"/>
        <v>9500</v>
      </c>
      <c r="AJ26" s="249">
        <f t="shared" si="6"/>
        <v>12900</v>
      </c>
      <c r="AK26" s="249">
        <f>IF(AND(AJ26&gt;0,$N26&lt;&gt;""),IF((DATE(Assumptions!$B$4,3,28)-$N26)/365.25&lt;=Assumptions!$B$20,(DATE(Assumptions!$B$4,3,28)-$N26)/365.25*Assumptions!$B$18*AJ26,(Assumptions!$B$20*Assumptions!$B$18+((DATE(Assumptions!$B$4,3,28)-$N26)/365.25-Assumptions!$B$20)*Assumptions!$B$19)*AJ26),0)</f>
        <v>297587.37166324438</v>
      </c>
      <c r="AL26" s="249">
        <f>IF(AI26&gt;0,IF($M26="Saudi",MIN(AI26+$Q26*$V26,Assumptions!$B$14)*Assumptions!$B$12,MIN(AI26+$Q26*$V26,Assumptions!$B$14)*Assumptions!$B$13),0)</f>
        <v>0</v>
      </c>
      <c r="AM26" s="249">
        <f>IF(AND(AI26&gt;0,$M26="Non-Saudi"),Assumptions!$B$25,0)</f>
        <v>910.41666666666663</v>
      </c>
      <c r="AN26" s="249">
        <f t="shared" si="7"/>
        <v>9500</v>
      </c>
      <c r="AO26" s="249">
        <f t="shared" si="8"/>
        <v>12900</v>
      </c>
      <c r="AP26" s="249">
        <f>IF(AND(AO26&gt;0,$N26&lt;&gt;""),IF((DATE(Assumptions!$B$4,4,28)-$N26)/365.25&lt;=Assumptions!$B$20,(DATE(Assumptions!$B$4,4,28)-$N26)/365.25*Assumptions!$B$18*AO26,(Assumptions!$B$20*Assumptions!$B$18+((DATE(Assumptions!$B$4,4,28)-$N26)/365.25-Assumptions!$B$20)*Assumptions!$B$19)*AO26),0)</f>
        <v>298682.23819301848</v>
      </c>
      <c r="AQ26" s="249">
        <f>IF(AN26&gt;0,IF($M26="Saudi",MIN(AN26+$Q26*$V26,Assumptions!$B$14)*Assumptions!$B$12,MIN(AN26+$Q26*$V26,Assumptions!$B$14)*Assumptions!$B$13),0)</f>
        <v>0</v>
      </c>
      <c r="AR26" s="249">
        <f>IF(AND(AN26&gt;0,$M26="Non-Saudi"),Assumptions!$B$25,0)</f>
        <v>910.41666666666663</v>
      </c>
      <c r="AS26" s="249">
        <f t="shared" si="9"/>
        <v>9500</v>
      </c>
      <c r="AT26" s="249">
        <f t="shared" si="10"/>
        <v>12900</v>
      </c>
      <c r="AU26" s="249">
        <f>IF(AND(AT26&gt;0,$N26&lt;&gt;""),IF((DATE(Assumptions!$B$4,5,28)-$N26)/365.25&lt;=Assumptions!$B$20,(DATE(Assumptions!$B$4,5,28)-$N26)/365.25*Assumptions!$B$18*AT26,(Assumptions!$B$20*Assumptions!$B$18+((DATE(Assumptions!$B$4,5,28)-$N26)/365.25-Assumptions!$B$20)*Assumptions!$B$19)*AT26),0)</f>
        <v>299741.78644763859</v>
      </c>
      <c r="AV26" s="249">
        <f>IF(AS26&gt;0,IF($M26="Saudi",MIN(AS26+$Q26*$V26,Assumptions!$B$14)*Assumptions!$B$12,MIN(AS26+$Q26*$V26,Assumptions!$B$14)*Assumptions!$B$13),0)</f>
        <v>0</v>
      </c>
      <c r="AW26" s="249">
        <f>IF(AND(AS26&gt;0,$M26="Non-Saudi"),Assumptions!$B$25,0)</f>
        <v>910.41666666666663</v>
      </c>
      <c r="AX26" s="249">
        <f t="shared" si="11"/>
        <v>9500</v>
      </c>
      <c r="AY26" s="249">
        <f t="shared" si="12"/>
        <v>12900</v>
      </c>
      <c r="AZ26" s="249">
        <f>IF(AND(AY26&gt;0,$N26&lt;&gt;""),IF((DATE(Assumptions!$B$4,6,28)-$N26)/365.25&lt;=Assumptions!$B$20,(DATE(Assumptions!$B$4,6,28)-$N26)/365.25*Assumptions!$B$18*AY26,(Assumptions!$B$20*Assumptions!$B$18+((DATE(Assumptions!$B$4,6,28)-$N26)/365.25-Assumptions!$B$20)*Assumptions!$B$19)*AY26),0)</f>
        <v>300836.65297741274</v>
      </c>
      <c r="BA26" s="249">
        <f>IF(AX26&gt;0,IF($M26="Saudi",MIN(AX26+$Q26*$V26,Assumptions!$B$14)*Assumptions!$B$12,MIN(AX26+$Q26*$V26,Assumptions!$B$14)*Assumptions!$B$13),0)</f>
        <v>0</v>
      </c>
      <c r="BB26" s="249">
        <f>IF(AND(AX26&gt;0,$M26="Non-Saudi"),Assumptions!$B$25,0)</f>
        <v>910.41666666666663</v>
      </c>
      <c r="BC26" s="249">
        <f t="shared" si="13"/>
        <v>9500</v>
      </c>
      <c r="BD26" s="249">
        <f t="shared" si="14"/>
        <v>12900</v>
      </c>
      <c r="BE26" s="249">
        <f>IF(AND(BD26&gt;0,$N26&lt;&gt;""),IF((DATE(Assumptions!$B$4,7,28)-$N26)/365.25&lt;=Assumptions!$B$20,(DATE(Assumptions!$B$4,7,28)-$N26)/365.25*Assumptions!$B$18*BD26,(Assumptions!$B$20*Assumptions!$B$18+((DATE(Assumptions!$B$4,7,28)-$N26)/365.25-Assumptions!$B$20)*Assumptions!$B$19)*BD26),0)</f>
        <v>301896.20123203285</v>
      </c>
      <c r="BF26" s="249">
        <f>IF(BC26&gt;0,IF($M26="Saudi",MIN(BC26+$Q26*$V26,Assumptions!$B$14)*Assumptions!$B$12,MIN(BC26+$Q26*$V26,Assumptions!$B$14)*Assumptions!$B$13),0)</f>
        <v>0</v>
      </c>
      <c r="BG26" s="249">
        <f>IF(AND(BC26&gt;0,$M26="Non-Saudi"),Assumptions!$B$25,0)</f>
        <v>910.41666666666663</v>
      </c>
      <c r="BH26" s="249">
        <f t="shared" si="15"/>
        <v>9500</v>
      </c>
      <c r="BI26" s="249">
        <f t="shared" si="16"/>
        <v>12900</v>
      </c>
      <c r="BJ26" s="249">
        <f>IF(AND(BI26&gt;0,$N26&lt;&gt;""),IF((DATE(Assumptions!$B$4,8,28)-$N26)/365.25&lt;=Assumptions!$B$20,(DATE(Assumptions!$B$4,8,28)-$N26)/365.25*Assumptions!$B$18*BI26,(Assumptions!$B$20*Assumptions!$B$18+((DATE(Assumptions!$B$4,8,28)-$N26)/365.25-Assumptions!$B$20)*Assumptions!$B$19)*BI26),0)</f>
        <v>302991.06776180695</v>
      </c>
      <c r="BK26" s="249">
        <f>IF(BH26&gt;0,IF($M26="Saudi",MIN(BH26+$Q26*$V26,Assumptions!$B$14)*Assumptions!$B$12,MIN(BH26+$Q26*$V26,Assumptions!$B$14)*Assumptions!$B$13),0)</f>
        <v>0</v>
      </c>
      <c r="BL26" s="249">
        <f>IF(AND(BH26&gt;0,$M26="Non-Saudi"),Assumptions!$B$25,0)</f>
        <v>910.41666666666663</v>
      </c>
      <c r="BM26" s="249">
        <f>IF(AND($D26="Contrat Local",$N26&lt;&gt;""),IF(AND(9&gt;=Assumptions!$B$5,ISNUMBER($X26),$N26&lt;EDATE(Assumptions!$B$9,-Assumptions!$B$6*12)),($P26+$X26)*$V26,$P26*$V26),0)</f>
        <v>9500</v>
      </c>
      <c r="BN26" s="249">
        <f t="shared" si="17"/>
        <v>12900</v>
      </c>
      <c r="BO26" s="249">
        <f>IF(AND(BN26&gt;0,$N26&lt;&gt;""),IF((DATE(Assumptions!$B$4,9,28)-$N26)/365.25&lt;=Assumptions!$B$20,(DATE(Assumptions!$B$4,9,28)-$N26)/365.25*Assumptions!$B$18*BN26,(Assumptions!$B$20*Assumptions!$B$18+((DATE(Assumptions!$B$4,9,28)-$N26)/365.25-Assumptions!$B$20)*Assumptions!$B$19)*BN26),0)</f>
        <v>304085.9342915811</v>
      </c>
      <c r="BP26" s="249">
        <f>IF(BM26&gt;0,IF($M26="Saudi",MIN(BM26+$Q26*$V26,Assumptions!$B$14)*Assumptions!$B$12,MIN(BM26+$Q26*$V26,Assumptions!$B$14)*Assumptions!$B$13),0)</f>
        <v>0</v>
      </c>
      <c r="BQ26" s="249">
        <f>IF(AND(BM26&gt;0,$M26="Non-Saudi"),Assumptions!$B$25,0)</f>
        <v>910.41666666666663</v>
      </c>
      <c r="BR26" s="249">
        <f>IF(AND($D26="Contrat Local",$N26&lt;&gt;""),IF(AND(10&gt;=Assumptions!$B$5,ISNUMBER($X26),$N26&lt;EDATE(Assumptions!$B$9,-Assumptions!$B$6*12)),($P26+$X26)*$V26,$P26*$V26),0)</f>
        <v>9500</v>
      </c>
      <c r="BS26" s="249">
        <f t="shared" si="18"/>
        <v>12900</v>
      </c>
      <c r="BT26" s="249">
        <f>IF(AND(BS26&gt;0,$N26&lt;&gt;""),IF((DATE(Assumptions!$B$4,10,28)-$N26)/365.25&lt;=Assumptions!$B$20,(DATE(Assumptions!$B$4,10,28)-$N26)/365.25*Assumptions!$B$18*BS26,(Assumptions!$B$20*Assumptions!$B$18+((DATE(Assumptions!$B$4,10,28)-$N26)/365.25-Assumptions!$B$20)*Assumptions!$B$19)*BS26),0)</f>
        <v>305145.48254620121</v>
      </c>
      <c r="BU26" s="249">
        <f>IF(BR26&gt;0,IF($M26="Saudi",MIN(BR26+$Q26*$V26,Assumptions!$B$14)*Assumptions!$B$12,MIN(BR26+$Q26*$V26,Assumptions!$B$14)*Assumptions!$B$13),0)</f>
        <v>0</v>
      </c>
      <c r="BV26" s="249">
        <f>IF(AND(BR26&gt;0,$M26="Non-Saudi"),Assumptions!$B$25,0)</f>
        <v>910.41666666666663</v>
      </c>
      <c r="BW26" s="249">
        <f>IF(AND($D26="Contrat Local",$N26&lt;&gt;""),IF(AND(11&gt;=Assumptions!$B$5,ISNUMBER($X26),$N26&lt;EDATE(Assumptions!$B$9,-Assumptions!$B$6*12)),($P26+$X26)*$V26,$P26*$V26),0)</f>
        <v>9500</v>
      </c>
      <c r="BX26" s="249">
        <f t="shared" si="19"/>
        <v>12900</v>
      </c>
      <c r="BY26" s="249">
        <f>IF(AND(BX26&gt;0,$N26&lt;&gt;""),IF((DATE(Assumptions!$B$4,11,28)-$N26)/365.25&lt;=Assumptions!$B$20,(DATE(Assumptions!$B$4,11,28)-$N26)/365.25*Assumptions!$B$18*BX26,(Assumptions!$B$20*Assumptions!$B$18+((DATE(Assumptions!$B$4,11,28)-$N26)/365.25-Assumptions!$B$20)*Assumptions!$B$19)*BX26),0)</f>
        <v>306240.34907597536</v>
      </c>
      <c r="BZ26" s="249">
        <f>IF(BW26&gt;0,IF($M26="Saudi",MIN(BW26+$Q26*$V26,Assumptions!$B$14)*Assumptions!$B$12,MIN(BW26+$Q26*$V26,Assumptions!$B$14)*Assumptions!$B$13),0)</f>
        <v>0</v>
      </c>
      <c r="CA26" s="249">
        <f>IF(AND(BW26&gt;0,$M26="Non-Saudi"),Assumptions!$B$25,0)</f>
        <v>910.41666666666663</v>
      </c>
      <c r="CB26" s="249">
        <f>IF(AND($D26="Contrat Local",$N26&lt;&gt;""),IF(AND(12&gt;=Assumptions!$B$5,ISNUMBER($X26),$N26&lt;EDATE(Assumptions!$B$9,-Assumptions!$B$6*12)),($P26+$X26)*$V26,$P26*$V26),0)</f>
        <v>9500</v>
      </c>
      <c r="CC26" s="249">
        <f t="shared" si="20"/>
        <v>12900</v>
      </c>
      <c r="CD26" s="249">
        <f>IF(AND(CC26&gt;0,$N26&lt;&gt;""),IF((DATE(Assumptions!$B$4,12,28)-$N26)/365.25&lt;=Assumptions!$B$20,(DATE(Assumptions!$B$4,12,28)-$N26)/365.25*Assumptions!$B$18*CC26,(Assumptions!$B$20*Assumptions!$B$18+((DATE(Assumptions!$B$4,12,28)-$N26)/365.25-Assumptions!$B$20)*Assumptions!$B$19)*CC26),0)</f>
        <v>307299.89733059547</v>
      </c>
      <c r="CE26" s="249">
        <f>IF(CB26&gt;0,IF($M26="Saudi",MIN(CB26+$Q26*$V26,Assumptions!$B$14)*Assumptions!$B$12,MIN(CB26+$Q26*$V26,Assumptions!$B$14)*Assumptions!$B$13),0)</f>
        <v>0</v>
      </c>
      <c r="CF26" s="249">
        <f>IF(AND(CB26&gt;0,$M26="Non-Saudi"),Assumptions!$B$25,0)</f>
        <v>910.41666666666663</v>
      </c>
      <c r="CG26" s="249">
        <f t="shared" si="21"/>
        <v>114000</v>
      </c>
      <c r="CH26" s="249">
        <f t="shared" si="22"/>
        <v>154800</v>
      </c>
      <c r="CI26" s="249">
        <f>CD26-IF(AND(Z26&gt;0,$N26&lt;&gt;""),IF((DATE(Assumptions!$B$4-1,12,28)-$N26)/365.25&lt;=Assumptions!$B$20,(DATE(Assumptions!$B$4-1,12,28)-$N26)/365.25*Assumptions!$B$18*Z26,(Assumptions!$B$20*Assumptions!$B$18+((DATE(Assumptions!$B$4-1,12,28)-$N26)/365.25-Assumptions!$B$20)*Assumptions!$B$19)*Z26),0)</f>
        <v>12891.170431211474</v>
      </c>
      <c r="CJ26" s="249">
        <f t="shared" si="23"/>
        <v>0</v>
      </c>
      <c r="CK26" s="249">
        <f t="shared" si="24"/>
        <v>10924.999999999998</v>
      </c>
    </row>
    <row r="27" spans="1:89" x14ac:dyDescent="0.2">
      <c r="A27" s="270">
        <v>23</v>
      </c>
      <c r="B27" s="271" t="s">
        <v>320</v>
      </c>
      <c r="C27" s="271" t="s">
        <v>321</v>
      </c>
      <c r="D27" s="271" t="s">
        <v>250</v>
      </c>
      <c r="E27" s="271" t="s">
        <v>767</v>
      </c>
      <c r="F27" s="271" t="s">
        <v>322</v>
      </c>
      <c r="G27" s="271" t="s">
        <v>272</v>
      </c>
      <c r="H27" s="271" t="s">
        <v>323</v>
      </c>
      <c r="I27" s="285" t="s">
        <v>690</v>
      </c>
      <c r="J27" s="271"/>
      <c r="K27" s="271" t="s">
        <v>272</v>
      </c>
      <c r="L27" s="271" t="s">
        <v>255</v>
      </c>
      <c r="M27" s="271" t="str">
        <f t="shared" si="0"/>
        <v>Non-Saudi</v>
      </c>
      <c r="N27" s="272">
        <v>45902</v>
      </c>
      <c r="O27" s="273">
        <v>1.3</v>
      </c>
      <c r="P27" s="274">
        <v>7400</v>
      </c>
      <c r="Q27" s="274">
        <v>2500</v>
      </c>
      <c r="R27" s="274">
        <v>500</v>
      </c>
      <c r="S27" s="274"/>
      <c r="T27" s="274"/>
      <c r="U27" s="274">
        <v>10400</v>
      </c>
      <c r="V27" s="275">
        <v>1</v>
      </c>
      <c r="W27" s="271" t="s">
        <v>259</v>
      </c>
      <c r="X27" s="271" t="s">
        <v>268</v>
      </c>
      <c r="Y27" s="249">
        <f t="shared" si="1"/>
        <v>7400</v>
      </c>
      <c r="Z27" s="249">
        <f t="shared" si="2"/>
        <v>10400</v>
      </c>
      <c r="AA27" s="249">
        <f>IF(AND(Z27&gt;0,$N27&lt;&gt;""),IF((DATE(Assumptions!$B$4,1,28)-$N27)/365.25&lt;=Assumptions!$B$20,(DATE(Assumptions!$B$4,1,28)-$N27)/365.25*Assumptions!$B$18*Z27,(Assumptions!$B$20*Assumptions!$B$18+((DATE(Assumptions!$B$4,1,28)-$N27)/365.25-Assumptions!$B$20)*Assumptions!$B$19)*Z27),0)</f>
        <v>2107.0499657768651</v>
      </c>
      <c r="AB27" s="249">
        <f>IF(Y27&gt;0,IF($M27="Saudi",MIN(Y27+$Q27*$V27,Assumptions!$B$14)*Assumptions!$B$12,MIN(Y27+$Q27*$V27,Assumptions!$B$14)*Assumptions!$B$13),0)</f>
        <v>0</v>
      </c>
      <c r="AC27" s="249">
        <f>IF(AND(Y27&gt;0,$M27="Non-Saudi"),Assumptions!$B$25,0)</f>
        <v>910.41666666666663</v>
      </c>
      <c r="AD27" s="249">
        <f t="shared" si="3"/>
        <v>7400</v>
      </c>
      <c r="AE27" s="249">
        <f t="shared" si="4"/>
        <v>10400</v>
      </c>
      <c r="AF27" s="249">
        <f>IF(AND(AE27&gt;0,$N27&lt;&gt;""),IF((DATE(Assumptions!$B$4,2,28)-$N27)/365.25&lt;=Assumptions!$B$20,(DATE(Assumptions!$B$4,2,28)-$N27)/365.25*Assumptions!$B$18*AE27,(Assumptions!$B$20*Assumptions!$B$18+((DATE(Assumptions!$B$4,2,28)-$N27)/365.25-Assumptions!$B$20)*Assumptions!$B$19)*AE27),0)</f>
        <v>2548.3915126625598</v>
      </c>
      <c r="AG27" s="249">
        <f>IF(AD27&gt;0,IF($M27="Saudi",MIN(AD27+$Q27*$V27,Assumptions!$B$14)*Assumptions!$B$12,MIN(AD27+$Q27*$V27,Assumptions!$B$14)*Assumptions!$B$13),0)</f>
        <v>0</v>
      </c>
      <c r="AH27" s="249">
        <f>IF(AND(AD27&gt;0,$M27="Non-Saudi"),Assumptions!$B$25,0)</f>
        <v>910.41666666666663</v>
      </c>
      <c r="AI27" s="249">
        <f t="shared" si="5"/>
        <v>7400</v>
      </c>
      <c r="AJ27" s="249">
        <f t="shared" si="6"/>
        <v>10400</v>
      </c>
      <c r="AK27" s="249">
        <f>IF(AND(AJ27&gt;0,$N27&lt;&gt;""),IF((DATE(Assumptions!$B$4,3,28)-$N27)/365.25&lt;=Assumptions!$B$20,(DATE(Assumptions!$B$4,3,28)-$N27)/365.25*Assumptions!$B$18*AJ27,(Assumptions!$B$20*Assumptions!$B$18+((DATE(Assumptions!$B$4,3,28)-$N27)/365.25-Assumptions!$B$20)*Assumptions!$B$19)*AJ27),0)</f>
        <v>2947.0225872689934</v>
      </c>
      <c r="AL27" s="249">
        <f>IF(AI27&gt;0,IF($M27="Saudi",MIN(AI27+$Q27*$V27,Assumptions!$B$14)*Assumptions!$B$12,MIN(AI27+$Q27*$V27,Assumptions!$B$14)*Assumptions!$B$13),0)</f>
        <v>0</v>
      </c>
      <c r="AM27" s="249">
        <f>IF(AND(AI27&gt;0,$M27="Non-Saudi"),Assumptions!$B$25,0)</f>
        <v>910.41666666666663</v>
      </c>
      <c r="AN27" s="249">
        <f t="shared" si="7"/>
        <v>7400</v>
      </c>
      <c r="AO27" s="249">
        <f t="shared" si="8"/>
        <v>10400</v>
      </c>
      <c r="AP27" s="249">
        <f>IF(AND(AO27&gt;0,$N27&lt;&gt;""),IF((DATE(Assumptions!$B$4,4,28)-$N27)/365.25&lt;=Assumptions!$B$20,(DATE(Assumptions!$B$4,4,28)-$N27)/365.25*Assumptions!$B$18*AO27,(Assumptions!$B$20*Assumptions!$B$18+((DATE(Assumptions!$B$4,4,28)-$N27)/365.25-Assumptions!$B$20)*Assumptions!$B$19)*AO27),0)</f>
        <v>3388.3641341546886</v>
      </c>
      <c r="AQ27" s="249">
        <f>IF(AN27&gt;0,IF($M27="Saudi",MIN(AN27+$Q27*$V27,Assumptions!$B$14)*Assumptions!$B$12,MIN(AN27+$Q27*$V27,Assumptions!$B$14)*Assumptions!$B$13),0)</f>
        <v>0</v>
      </c>
      <c r="AR27" s="249">
        <f>IF(AND(AN27&gt;0,$M27="Non-Saudi"),Assumptions!$B$25,0)</f>
        <v>910.41666666666663</v>
      </c>
      <c r="AS27" s="249">
        <f t="shared" si="9"/>
        <v>7400</v>
      </c>
      <c r="AT27" s="249">
        <f t="shared" si="10"/>
        <v>10400</v>
      </c>
      <c r="AU27" s="249">
        <f>IF(AND(AT27&gt;0,$N27&lt;&gt;""),IF((DATE(Assumptions!$B$4,5,28)-$N27)/365.25&lt;=Assumptions!$B$20,(DATE(Assumptions!$B$4,5,28)-$N27)/365.25*Assumptions!$B$18*AT27,(Assumptions!$B$20*Assumptions!$B$18+((DATE(Assumptions!$B$4,5,28)-$N27)/365.25-Assumptions!$B$20)*Assumptions!$B$19)*AT27),0)</f>
        <v>3815.4688569472964</v>
      </c>
      <c r="AV27" s="249">
        <f>IF(AS27&gt;0,IF($M27="Saudi",MIN(AS27+$Q27*$V27,Assumptions!$B$14)*Assumptions!$B$12,MIN(AS27+$Q27*$V27,Assumptions!$B$14)*Assumptions!$B$13),0)</f>
        <v>0</v>
      </c>
      <c r="AW27" s="249">
        <f>IF(AND(AS27&gt;0,$M27="Non-Saudi"),Assumptions!$B$25,0)</f>
        <v>910.41666666666663</v>
      </c>
      <c r="AX27" s="249">
        <f t="shared" si="11"/>
        <v>7400</v>
      </c>
      <c r="AY27" s="249">
        <f t="shared" si="12"/>
        <v>10400</v>
      </c>
      <c r="AZ27" s="249">
        <f>IF(AND(AY27&gt;0,$N27&lt;&gt;""),IF((DATE(Assumptions!$B$4,6,28)-$N27)/365.25&lt;=Assumptions!$B$20,(DATE(Assumptions!$B$4,6,28)-$N27)/365.25*Assumptions!$B$18*AY27,(Assumptions!$B$20*Assumptions!$B$18+((DATE(Assumptions!$B$4,6,28)-$N27)/365.25-Assumptions!$B$20)*Assumptions!$B$19)*AY27),0)</f>
        <v>4256.8104038329911</v>
      </c>
      <c r="BA27" s="249">
        <f>IF(AX27&gt;0,IF($M27="Saudi",MIN(AX27+$Q27*$V27,Assumptions!$B$14)*Assumptions!$B$12,MIN(AX27+$Q27*$V27,Assumptions!$B$14)*Assumptions!$B$13),0)</f>
        <v>0</v>
      </c>
      <c r="BB27" s="249">
        <f>IF(AND(AX27&gt;0,$M27="Non-Saudi"),Assumptions!$B$25,0)</f>
        <v>910.41666666666663</v>
      </c>
      <c r="BC27" s="249">
        <f t="shared" si="13"/>
        <v>7400</v>
      </c>
      <c r="BD27" s="249">
        <f t="shared" si="14"/>
        <v>10400</v>
      </c>
      <c r="BE27" s="249">
        <f>IF(AND(BD27&gt;0,$N27&lt;&gt;""),IF((DATE(Assumptions!$B$4,7,28)-$N27)/365.25&lt;=Assumptions!$B$20,(DATE(Assumptions!$B$4,7,28)-$N27)/365.25*Assumptions!$B$18*BD27,(Assumptions!$B$20*Assumptions!$B$18+((DATE(Assumptions!$B$4,7,28)-$N27)/365.25-Assumptions!$B$20)*Assumptions!$B$19)*BD27),0)</f>
        <v>4683.9151266255985</v>
      </c>
      <c r="BF27" s="249">
        <f>IF(BC27&gt;0,IF($M27="Saudi",MIN(BC27+$Q27*$V27,Assumptions!$B$14)*Assumptions!$B$12,MIN(BC27+$Q27*$V27,Assumptions!$B$14)*Assumptions!$B$13),0)</f>
        <v>0</v>
      </c>
      <c r="BG27" s="249">
        <f>IF(AND(BC27&gt;0,$M27="Non-Saudi"),Assumptions!$B$25,0)</f>
        <v>910.41666666666663</v>
      </c>
      <c r="BH27" s="249">
        <f t="shared" si="15"/>
        <v>7400</v>
      </c>
      <c r="BI27" s="249">
        <f t="shared" si="16"/>
        <v>10400</v>
      </c>
      <c r="BJ27" s="249">
        <f>IF(AND(BI27&gt;0,$N27&lt;&gt;""),IF((DATE(Assumptions!$B$4,8,28)-$N27)/365.25&lt;=Assumptions!$B$20,(DATE(Assumptions!$B$4,8,28)-$N27)/365.25*Assumptions!$B$18*BI27,(Assumptions!$B$20*Assumptions!$B$18+((DATE(Assumptions!$B$4,8,28)-$N27)/365.25-Assumptions!$B$20)*Assumptions!$B$19)*BI27),0)</f>
        <v>5125.2566735112932</v>
      </c>
      <c r="BK27" s="249">
        <f>IF(BH27&gt;0,IF($M27="Saudi",MIN(BH27+$Q27*$V27,Assumptions!$B$14)*Assumptions!$B$12,MIN(BH27+$Q27*$V27,Assumptions!$B$14)*Assumptions!$B$13),0)</f>
        <v>0</v>
      </c>
      <c r="BL27" s="249">
        <f>IF(AND(BH27&gt;0,$M27="Non-Saudi"),Assumptions!$B$25,0)</f>
        <v>910.41666666666663</v>
      </c>
      <c r="BM27" s="249">
        <f>IF(AND($D27="Contrat Local",$N27&lt;&gt;""),IF(AND(9&gt;=Assumptions!$B$5,ISNUMBER($X27),$N27&lt;EDATE(Assumptions!$B$9,-Assumptions!$B$6*12)),($P27+$X27)*$V27,$P27*$V27),0)</f>
        <v>7400</v>
      </c>
      <c r="BN27" s="249">
        <f t="shared" si="17"/>
        <v>10400</v>
      </c>
      <c r="BO27" s="249">
        <f>IF(AND(BN27&gt;0,$N27&lt;&gt;""),IF((DATE(Assumptions!$B$4,9,28)-$N27)/365.25&lt;=Assumptions!$B$20,(DATE(Assumptions!$B$4,9,28)-$N27)/365.25*Assumptions!$B$18*BN27,(Assumptions!$B$20*Assumptions!$B$18+((DATE(Assumptions!$B$4,9,28)-$N27)/365.25-Assumptions!$B$20)*Assumptions!$B$19)*BN27),0)</f>
        <v>5566.5982203969888</v>
      </c>
      <c r="BP27" s="249">
        <f>IF(BM27&gt;0,IF($M27="Saudi",MIN(BM27+$Q27*$V27,Assumptions!$B$14)*Assumptions!$B$12,MIN(BM27+$Q27*$V27,Assumptions!$B$14)*Assumptions!$B$13),0)</f>
        <v>0</v>
      </c>
      <c r="BQ27" s="249">
        <f>IF(AND(BM27&gt;0,$M27="Non-Saudi"),Assumptions!$B$25,0)</f>
        <v>910.41666666666663</v>
      </c>
      <c r="BR27" s="249">
        <f>IF(AND($D27="Contrat Local",$N27&lt;&gt;""),IF(AND(10&gt;=Assumptions!$B$5,ISNUMBER($X27),$N27&lt;EDATE(Assumptions!$B$9,-Assumptions!$B$6*12)),($P27+$X27)*$V27,$P27*$V27),0)</f>
        <v>7400</v>
      </c>
      <c r="BS27" s="249">
        <f t="shared" si="18"/>
        <v>10400</v>
      </c>
      <c r="BT27" s="249">
        <f>IF(AND(BS27&gt;0,$N27&lt;&gt;""),IF((DATE(Assumptions!$B$4,10,28)-$N27)/365.25&lt;=Assumptions!$B$20,(DATE(Assumptions!$B$4,10,28)-$N27)/365.25*Assumptions!$B$18*BS27,(Assumptions!$B$20*Assumptions!$B$18+((DATE(Assumptions!$B$4,10,28)-$N27)/365.25-Assumptions!$B$20)*Assumptions!$B$19)*BS27),0)</f>
        <v>5993.7029431895953</v>
      </c>
      <c r="BU27" s="249">
        <f>IF(BR27&gt;0,IF($M27="Saudi",MIN(BR27+$Q27*$V27,Assumptions!$B$14)*Assumptions!$B$12,MIN(BR27+$Q27*$V27,Assumptions!$B$14)*Assumptions!$B$13),0)</f>
        <v>0</v>
      </c>
      <c r="BV27" s="249">
        <f>IF(AND(BR27&gt;0,$M27="Non-Saudi"),Assumptions!$B$25,0)</f>
        <v>910.41666666666663</v>
      </c>
      <c r="BW27" s="249">
        <f>IF(AND($D27="Contrat Local",$N27&lt;&gt;""),IF(AND(11&gt;=Assumptions!$B$5,ISNUMBER($X27),$N27&lt;EDATE(Assumptions!$B$9,-Assumptions!$B$6*12)),($P27+$X27)*$V27,$P27*$V27),0)</f>
        <v>7400</v>
      </c>
      <c r="BX27" s="249">
        <f t="shared" si="19"/>
        <v>10400</v>
      </c>
      <c r="BY27" s="249">
        <f>IF(AND(BX27&gt;0,$N27&lt;&gt;""),IF((DATE(Assumptions!$B$4,11,28)-$N27)/365.25&lt;=Assumptions!$B$20,(DATE(Assumptions!$B$4,11,28)-$N27)/365.25*Assumptions!$B$18*BX27,(Assumptions!$B$20*Assumptions!$B$18+((DATE(Assumptions!$B$4,11,28)-$N27)/365.25-Assumptions!$B$20)*Assumptions!$B$19)*BX27),0)</f>
        <v>6435.0444900752909</v>
      </c>
      <c r="BZ27" s="249">
        <f>IF(BW27&gt;0,IF($M27="Saudi",MIN(BW27+$Q27*$V27,Assumptions!$B$14)*Assumptions!$B$12,MIN(BW27+$Q27*$V27,Assumptions!$B$14)*Assumptions!$B$13),0)</f>
        <v>0</v>
      </c>
      <c r="CA27" s="249">
        <f>IF(AND(BW27&gt;0,$M27="Non-Saudi"),Assumptions!$B$25,0)</f>
        <v>910.41666666666663</v>
      </c>
      <c r="CB27" s="249">
        <f>IF(AND($D27="Contrat Local",$N27&lt;&gt;""),IF(AND(12&gt;=Assumptions!$B$5,ISNUMBER($X27),$N27&lt;EDATE(Assumptions!$B$9,-Assumptions!$B$6*12)),($P27+$X27)*$V27,$P27*$V27),0)</f>
        <v>7400</v>
      </c>
      <c r="CC27" s="249">
        <f t="shared" si="20"/>
        <v>10400</v>
      </c>
      <c r="CD27" s="249">
        <f>IF(AND(CC27&gt;0,$N27&lt;&gt;""),IF((DATE(Assumptions!$B$4,12,28)-$N27)/365.25&lt;=Assumptions!$B$20,(DATE(Assumptions!$B$4,12,28)-$N27)/365.25*Assumptions!$B$18*CC27,(Assumptions!$B$20*Assumptions!$B$18+((DATE(Assumptions!$B$4,12,28)-$N27)/365.25-Assumptions!$B$20)*Assumptions!$B$19)*CC27),0)</f>
        <v>6862.1492128678992</v>
      </c>
      <c r="CE27" s="249">
        <f>IF(CB27&gt;0,IF($M27="Saudi",MIN(CB27+$Q27*$V27,Assumptions!$B$14)*Assumptions!$B$12,MIN(CB27+$Q27*$V27,Assumptions!$B$14)*Assumptions!$B$13),0)</f>
        <v>0</v>
      </c>
      <c r="CF27" s="249">
        <f>IF(AND(CB27&gt;0,$M27="Non-Saudi"),Assumptions!$B$25,0)</f>
        <v>910.41666666666663</v>
      </c>
      <c r="CG27" s="249">
        <f t="shared" si="21"/>
        <v>88800</v>
      </c>
      <c r="CH27" s="249">
        <f t="shared" si="22"/>
        <v>124800</v>
      </c>
      <c r="CI27" s="249">
        <f>CD27-IF(AND(Z27&gt;0,$N27&lt;&gt;""),IF((DATE(Assumptions!$B$4-1,12,28)-$N27)/365.25&lt;=Assumptions!$B$20,(DATE(Assumptions!$B$4-1,12,28)-$N27)/365.25*Assumptions!$B$18*Z27,(Assumptions!$B$20*Assumptions!$B$18+((DATE(Assumptions!$B$4-1,12,28)-$N27)/365.25-Assumptions!$B$20)*Assumptions!$B$19)*Z27),0)</f>
        <v>5196.4407939767289</v>
      </c>
      <c r="CJ27" s="249">
        <f t="shared" si="23"/>
        <v>0</v>
      </c>
      <c r="CK27" s="249">
        <f t="shared" si="24"/>
        <v>10924.999999999998</v>
      </c>
    </row>
    <row r="28" spans="1:89" x14ac:dyDescent="0.2">
      <c r="A28" s="276">
        <v>24</v>
      </c>
      <c r="B28" s="277" t="s">
        <v>324</v>
      </c>
      <c r="C28" s="277" t="s">
        <v>325</v>
      </c>
      <c r="D28" s="277" t="s">
        <v>250</v>
      </c>
      <c r="E28" s="277" t="s">
        <v>767</v>
      </c>
      <c r="F28" s="277" t="s">
        <v>302</v>
      </c>
      <c r="G28" s="277" t="s">
        <v>303</v>
      </c>
      <c r="H28" s="277" t="s">
        <v>40</v>
      </c>
      <c r="I28" s="287" t="s">
        <v>691</v>
      </c>
      <c r="J28" s="277" t="s">
        <v>71</v>
      </c>
      <c r="K28" s="277" t="s">
        <v>254</v>
      </c>
      <c r="L28" s="277" t="s">
        <v>255</v>
      </c>
      <c r="M28" s="277" t="str">
        <f t="shared" si="0"/>
        <v>Non-Saudi</v>
      </c>
      <c r="N28" s="278">
        <v>45170</v>
      </c>
      <c r="O28" s="279">
        <v>3.3</v>
      </c>
      <c r="P28" s="280">
        <v>9500</v>
      </c>
      <c r="Q28" s="280">
        <v>2500</v>
      </c>
      <c r="R28" s="280">
        <v>500</v>
      </c>
      <c r="S28" s="280"/>
      <c r="T28" s="280">
        <v>880</v>
      </c>
      <c r="U28" s="280">
        <v>13380</v>
      </c>
      <c r="V28" s="281">
        <v>1</v>
      </c>
      <c r="W28" s="277" t="s">
        <v>256</v>
      </c>
      <c r="X28" s="277">
        <v>250</v>
      </c>
      <c r="Y28" s="249">
        <f t="shared" si="1"/>
        <v>9500</v>
      </c>
      <c r="Z28" s="249">
        <f t="shared" si="2"/>
        <v>13380</v>
      </c>
      <c r="AA28" s="249">
        <f>IF(AND(Z28&gt;0,$N28&lt;&gt;""),IF((DATE(Assumptions!$B$4,1,28)-$N28)/365.25&lt;=Assumptions!$B$20,(DATE(Assumptions!$B$4,1,28)-$N28)/365.25*Assumptions!$B$18*Z28,(Assumptions!$B$20*Assumptions!$B$18+((DATE(Assumptions!$B$4,1,28)-$N28)/365.25-Assumptions!$B$20)*Assumptions!$B$19)*Z28),0)</f>
        <v>16118.275154004106</v>
      </c>
      <c r="AB28" s="249">
        <f>IF(Y28&gt;0,IF($M28="Saudi",MIN(Y28+$Q28*$V28,Assumptions!$B$14)*Assumptions!$B$12,MIN(Y28+$Q28*$V28,Assumptions!$B$14)*Assumptions!$B$13),0)</f>
        <v>0</v>
      </c>
      <c r="AC28" s="249">
        <f>IF(AND(Y28&gt;0,$M28="Non-Saudi"),Assumptions!$B$25,0)</f>
        <v>910.41666666666663</v>
      </c>
      <c r="AD28" s="249">
        <f t="shared" si="3"/>
        <v>9500</v>
      </c>
      <c r="AE28" s="249">
        <f t="shared" si="4"/>
        <v>13380</v>
      </c>
      <c r="AF28" s="249">
        <f>IF(AND(AE28&gt;0,$N28&lt;&gt;""),IF((DATE(Assumptions!$B$4,2,28)-$N28)/365.25&lt;=Assumptions!$B$20,(DATE(Assumptions!$B$4,2,28)-$N28)/365.25*Assumptions!$B$18*AE28,(Assumptions!$B$20*Assumptions!$B$18+((DATE(Assumptions!$B$4,2,28)-$N28)/365.25-Assumptions!$B$20)*Assumptions!$B$19)*AE28),0)</f>
        <v>16686.078028747434</v>
      </c>
      <c r="AG28" s="249">
        <f>IF(AD28&gt;0,IF($M28="Saudi",MIN(AD28+$Q28*$V28,Assumptions!$B$14)*Assumptions!$B$12,MIN(AD28+$Q28*$V28,Assumptions!$B$14)*Assumptions!$B$13),0)</f>
        <v>0</v>
      </c>
      <c r="AH28" s="249">
        <f>IF(AND(AD28&gt;0,$M28="Non-Saudi"),Assumptions!$B$25,0)</f>
        <v>910.41666666666663</v>
      </c>
      <c r="AI28" s="249">
        <f t="shared" si="5"/>
        <v>9500</v>
      </c>
      <c r="AJ28" s="249">
        <f t="shared" si="6"/>
        <v>13380</v>
      </c>
      <c r="AK28" s="249">
        <f>IF(AND(AJ28&gt;0,$N28&lt;&gt;""),IF((DATE(Assumptions!$B$4,3,28)-$N28)/365.25&lt;=Assumptions!$B$20,(DATE(Assumptions!$B$4,3,28)-$N28)/365.25*Assumptions!$B$18*AJ28,(Assumptions!$B$20*Assumptions!$B$18+((DATE(Assumptions!$B$4,3,28)-$N28)/365.25-Assumptions!$B$20)*Assumptions!$B$19)*AJ28),0)</f>
        <v>17198.932238193018</v>
      </c>
      <c r="AL28" s="249">
        <f>IF(AI28&gt;0,IF($M28="Saudi",MIN(AI28+$Q28*$V28,Assumptions!$B$14)*Assumptions!$B$12,MIN(AI28+$Q28*$V28,Assumptions!$B$14)*Assumptions!$B$13),0)</f>
        <v>0</v>
      </c>
      <c r="AM28" s="249">
        <f>IF(AND(AI28&gt;0,$M28="Non-Saudi"),Assumptions!$B$25,0)</f>
        <v>910.41666666666663</v>
      </c>
      <c r="AN28" s="249">
        <f t="shared" si="7"/>
        <v>9500</v>
      </c>
      <c r="AO28" s="249">
        <f t="shared" si="8"/>
        <v>13380</v>
      </c>
      <c r="AP28" s="249">
        <f>IF(AND(AO28&gt;0,$N28&lt;&gt;""),IF((DATE(Assumptions!$B$4,4,28)-$N28)/365.25&lt;=Assumptions!$B$20,(DATE(Assumptions!$B$4,4,28)-$N28)/365.25*Assumptions!$B$18*AO28,(Assumptions!$B$20*Assumptions!$B$18+((DATE(Assumptions!$B$4,4,28)-$N28)/365.25-Assumptions!$B$20)*Assumptions!$B$19)*AO28),0)</f>
        <v>17766.735112936345</v>
      </c>
      <c r="AQ28" s="249">
        <f>IF(AN28&gt;0,IF($M28="Saudi",MIN(AN28+$Q28*$V28,Assumptions!$B$14)*Assumptions!$B$12,MIN(AN28+$Q28*$V28,Assumptions!$B$14)*Assumptions!$B$13),0)</f>
        <v>0</v>
      </c>
      <c r="AR28" s="249">
        <f>IF(AND(AN28&gt;0,$M28="Non-Saudi"),Assumptions!$B$25,0)</f>
        <v>910.41666666666663</v>
      </c>
      <c r="AS28" s="249">
        <f t="shared" si="9"/>
        <v>9500</v>
      </c>
      <c r="AT28" s="249">
        <f t="shared" si="10"/>
        <v>13380</v>
      </c>
      <c r="AU28" s="249">
        <f>IF(AND(AT28&gt;0,$N28&lt;&gt;""),IF((DATE(Assumptions!$B$4,5,28)-$N28)/365.25&lt;=Assumptions!$B$20,(DATE(Assumptions!$B$4,5,28)-$N28)/365.25*Assumptions!$B$18*AT28,(Assumptions!$B$20*Assumptions!$B$18+((DATE(Assumptions!$B$4,5,28)-$N28)/365.25-Assumptions!$B$20)*Assumptions!$B$19)*AT28),0)</f>
        <v>18316.221765913757</v>
      </c>
      <c r="AV28" s="249">
        <f>IF(AS28&gt;0,IF($M28="Saudi",MIN(AS28+$Q28*$V28,Assumptions!$B$14)*Assumptions!$B$12,MIN(AS28+$Q28*$V28,Assumptions!$B$14)*Assumptions!$B$13),0)</f>
        <v>0</v>
      </c>
      <c r="AW28" s="249">
        <f>IF(AND(AS28&gt;0,$M28="Non-Saudi"),Assumptions!$B$25,0)</f>
        <v>910.41666666666663</v>
      </c>
      <c r="AX28" s="249">
        <f t="shared" si="11"/>
        <v>9500</v>
      </c>
      <c r="AY28" s="249">
        <f t="shared" si="12"/>
        <v>13380</v>
      </c>
      <c r="AZ28" s="249">
        <f>IF(AND(AY28&gt;0,$N28&lt;&gt;""),IF((DATE(Assumptions!$B$4,6,28)-$N28)/365.25&lt;=Assumptions!$B$20,(DATE(Assumptions!$B$4,6,28)-$N28)/365.25*Assumptions!$B$18*AY28,(Assumptions!$B$20*Assumptions!$B$18+((DATE(Assumptions!$B$4,6,28)-$N28)/365.25-Assumptions!$B$20)*Assumptions!$B$19)*AY28),0)</f>
        <v>18884.024640657084</v>
      </c>
      <c r="BA28" s="249">
        <f>IF(AX28&gt;0,IF($M28="Saudi",MIN(AX28+$Q28*$V28,Assumptions!$B$14)*Assumptions!$B$12,MIN(AX28+$Q28*$V28,Assumptions!$B$14)*Assumptions!$B$13),0)</f>
        <v>0</v>
      </c>
      <c r="BB28" s="249">
        <f>IF(AND(AX28&gt;0,$M28="Non-Saudi"),Assumptions!$B$25,0)</f>
        <v>910.41666666666663</v>
      </c>
      <c r="BC28" s="249">
        <f t="shared" si="13"/>
        <v>9500</v>
      </c>
      <c r="BD28" s="249">
        <f t="shared" si="14"/>
        <v>13380</v>
      </c>
      <c r="BE28" s="249">
        <f>IF(AND(BD28&gt;0,$N28&lt;&gt;""),IF((DATE(Assumptions!$B$4,7,28)-$N28)/365.25&lt;=Assumptions!$B$20,(DATE(Assumptions!$B$4,7,28)-$N28)/365.25*Assumptions!$B$18*BD28,(Assumptions!$B$20*Assumptions!$B$18+((DATE(Assumptions!$B$4,7,28)-$N28)/365.25-Assumptions!$B$20)*Assumptions!$B$19)*BD28),0)</f>
        <v>19433.511293634496</v>
      </c>
      <c r="BF28" s="249">
        <f>IF(BC28&gt;0,IF($M28="Saudi",MIN(BC28+$Q28*$V28,Assumptions!$B$14)*Assumptions!$B$12,MIN(BC28+$Q28*$V28,Assumptions!$B$14)*Assumptions!$B$13),0)</f>
        <v>0</v>
      </c>
      <c r="BG28" s="249">
        <f>IF(AND(BC28&gt;0,$M28="Non-Saudi"),Assumptions!$B$25,0)</f>
        <v>910.41666666666663</v>
      </c>
      <c r="BH28" s="249">
        <f t="shared" si="15"/>
        <v>9500</v>
      </c>
      <c r="BI28" s="249">
        <f t="shared" si="16"/>
        <v>13380</v>
      </c>
      <c r="BJ28" s="249">
        <f>IF(AND(BI28&gt;0,$N28&lt;&gt;""),IF((DATE(Assumptions!$B$4,8,28)-$N28)/365.25&lt;=Assumptions!$B$20,(DATE(Assumptions!$B$4,8,28)-$N28)/365.25*Assumptions!$B$18*BI28,(Assumptions!$B$20*Assumptions!$B$18+((DATE(Assumptions!$B$4,8,28)-$N28)/365.25-Assumptions!$B$20)*Assumptions!$B$19)*BI28),0)</f>
        <v>20001.314168377823</v>
      </c>
      <c r="BK28" s="249">
        <f>IF(BH28&gt;0,IF($M28="Saudi",MIN(BH28+$Q28*$V28,Assumptions!$B$14)*Assumptions!$B$12,MIN(BH28+$Q28*$V28,Assumptions!$B$14)*Assumptions!$B$13),0)</f>
        <v>0</v>
      </c>
      <c r="BL28" s="249">
        <f>IF(AND(BH28&gt;0,$M28="Non-Saudi"),Assumptions!$B$25,0)</f>
        <v>910.41666666666663</v>
      </c>
      <c r="BM28" s="249">
        <f>IF(AND($D28="Contrat Local",$N28&lt;&gt;""),IF(AND(9&gt;=Assumptions!$B$5,ISNUMBER($X28),$N28&lt;EDATE(Assumptions!$B$9,-Assumptions!$B$6*12)),($P28+$X28)*$V28,$P28*$V28),0)</f>
        <v>9750</v>
      </c>
      <c r="BN28" s="249">
        <f t="shared" si="17"/>
        <v>13630</v>
      </c>
      <c r="BO28" s="249">
        <f>IF(AND(BN28&gt;0,$N28&lt;&gt;""),IF((DATE(Assumptions!$B$4,9,28)-$N28)/365.25&lt;=Assumptions!$B$20,(DATE(Assumptions!$B$4,9,28)-$N28)/365.25*Assumptions!$B$18*BN28,(Assumptions!$B$20*Assumptions!$B$18+((DATE(Assumptions!$B$4,9,28)-$N28)/365.25-Assumptions!$B$20)*Assumptions!$B$19)*BN28),0)</f>
        <v>20953.442847364819</v>
      </c>
      <c r="BP28" s="249">
        <f>IF(BM28&gt;0,IF($M28="Saudi",MIN(BM28+$Q28*$V28,Assumptions!$B$14)*Assumptions!$B$12,MIN(BM28+$Q28*$V28,Assumptions!$B$14)*Assumptions!$B$13),0)</f>
        <v>0</v>
      </c>
      <c r="BQ28" s="249">
        <f>IF(AND(BM28&gt;0,$M28="Non-Saudi"),Assumptions!$B$25,0)</f>
        <v>910.41666666666663</v>
      </c>
      <c r="BR28" s="249">
        <f>IF(AND($D28="Contrat Local",$N28&lt;&gt;""),IF(AND(10&gt;=Assumptions!$B$5,ISNUMBER($X28),$N28&lt;EDATE(Assumptions!$B$9,-Assumptions!$B$6*12)),($P28+$X28)*$V28,$P28*$V28),0)</f>
        <v>9750</v>
      </c>
      <c r="BS28" s="249">
        <f t="shared" si="18"/>
        <v>13630</v>
      </c>
      <c r="BT28" s="249">
        <f>IF(AND(BS28&gt;0,$N28&lt;&gt;""),IF((DATE(Assumptions!$B$4,10,28)-$N28)/365.25&lt;=Assumptions!$B$20,(DATE(Assumptions!$B$4,10,28)-$N28)/365.25*Assumptions!$B$18*BS28,(Assumptions!$B$20*Assumptions!$B$18+((DATE(Assumptions!$B$4,10,28)-$N28)/365.25-Assumptions!$B$20)*Assumptions!$B$19)*BS28),0)</f>
        <v>21513.196440793978</v>
      </c>
      <c r="BU28" s="249">
        <f>IF(BR28&gt;0,IF($M28="Saudi",MIN(BR28+$Q28*$V28,Assumptions!$B$14)*Assumptions!$B$12,MIN(BR28+$Q28*$V28,Assumptions!$B$14)*Assumptions!$B$13),0)</f>
        <v>0</v>
      </c>
      <c r="BV28" s="249">
        <f>IF(AND(BR28&gt;0,$M28="Non-Saudi"),Assumptions!$B$25,0)</f>
        <v>910.41666666666663</v>
      </c>
      <c r="BW28" s="249">
        <f>IF(AND($D28="Contrat Local",$N28&lt;&gt;""),IF(AND(11&gt;=Assumptions!$B$5,ISNUMBER($X28),$N28&lt;EDATE(Assumptions!$B$9,-Assumptions!$B$6*12)),($P28+$X28)*$V28,$P28*$V28),0)</f>
        <v>9750</v>
      </c>
      <c r="BX28" s="249">
        <f t="shared" si="19"/>
        <v>13630</v>
      </c>
      <c r="BY28" s="249">
        <f>IF(AND(BX28&gt;0,$N28&lt;&gt;""),IF((DATE(Assumptions!$B$4,11,28)-$N28)/365.25&lt;=Assumptions!$B$20,(DATE(Assumptions!$B$4,11,28)-$N28)/365.25*Assumptions!$B$18*BX28,(Assumptions!$B$20*Assumptions!$B$18+((DATE(Assumptions!$B$4,11,28)-$N28)/365.25-Assumptions!$B$20)*Assumptions!$B$19)*BX28),0)</f>
        <v>22091.608487337438</v>
      </c>
      <c r="BZ28" s="249">
        <f>IF(BW28&gt;0,IF($M28="Saudi",MIN(BW28+$Q28*$V28,Assumptions!$B$14)*Assumptions!$B$12,MIN(BW28+$Q28*$V28,Assumptions!$B$14)*Assumptions!$B$13),0)</f>
        <v>0</v>
      </c>
      <c r="CA28" s="249">
        <f>IF(AND(BW28&gt;0,$M28="Non-Saudi"),Assumptions!$B$25,0)</f>
        <v>910.41666666666663</v>
      </c>
      <c r="CB28" s="249">
        <f>IF(AND($D28="Contrat Local",$N28&lt;&gt;""),IF(AND(12&gt;=Assumptions!$B$5,ISNUMBER($X28),$N28&lt;EDATE(Assumptions!$B$9,-Assumptions!$B$6*12)),($P28+$X28)*$V28,$P28*$V28),0)</f>
        <v>9750</v>
      </c>
      <c r="CC28" s="249">
        <f t="shared" si="20"/>
        <v>13630</v>
      </c>
      <c r="CD28" s="249">
        <f>IF(AND(CC28&gt;0,$N28&lt;&gt;""),IF((DATE(Assumptions!$B$4,12,28)-$N28)/365.25&lt;=Assumptions!$B$20,(DATE(Assumptions!$B$4,12,28)-$N28)/365.25*Assumptions!$B$18*CC28,(Assumptions!$B$20*Assumptions!$B$18+((DATE(Assumptions!$B$4,12,28)-$N28)/365.25-Assumptions!$B$20)*Assumptions!$B$19)*CC28),0)</f>
        <v>22651.362080766598</v>
      </c>
      <c r="CE28" s="249">
        <f>IF(CB28&gt;0,IF($M28="Saudi",MIN(CB28+$Q28*$V28,Assumptions!$B$14)*Assumptions!$B$12,MIN(CB28+$Q28*$V28,Assumptions!$B$14)*Assumptions!$B$13),0)</f>
        <v>0</v>
      </c>
      <c r="CF28" s="249">
        <f>IF(AND(CB28&gt;0,$M28="Non-Saudi"),Assumptions!$B$25,0)</f>
        <v>910.41666666666663</v>
      </c>
      <c r="CG28" s="249">
        <f t="shared" si="21"/>
        <v>115000</v>
      </c>
      <c r="CH28" s="249">
        <f t="shared" si="22"/>
        <v>161560</v>
      </c>
      <c r="CI28" s="249">
        <f>CD28-IF(AND(Z28&gt;0,$N28&lt;&gt;""),IF((DATE(Assumptions!$B$4-1,12,28)-$N28)/365.25&lt;=Assumptions!$B$20,(DATE(Assumptions!$B$4-1,12,28)-$N28)/365.25*Assumptions!$B$18*Z28,(Assumptions!$B$20*Assumptions!$B$18+((DATE(Assumptions!$B$4-1,12,28)-$N28)/365.25-Assumptions!$B$20)*Assumptions!$B$19)*Z28),0)</f>
        <v>7100.8898015058166</v>
      </c>
      <c r="CJ28" s="249">
        <f t="shared" si="23"/>
        <v>0</v>
      </c>
      <c r="CK28" s="249">
        <f t="shared" si="24"/>
        <v>10924.999999999998</v>
      </c>
    </row>
    <row r="29" spans="1:89" x14ac:dyDescent="0.2">
      <c r="A29" s="264">
        <v>25</v>
      </c>
      <c r="B29" s="265" t="s">
        <v>326</v>
      </c>
      <c r="C29" s="265" t="s">
        <v>327</v>
      </c>
      <c r="D29" s="265" t="s">
        <v>250</v>
      </c>
      <c r="E29" s="265" t="s">
        <v>767</v>
      </c>
      <c r="F29" s="265" t="s">
        <v>264</v>
      </c>
      <c r="G29" s="265" t="s">
        <v>8</v>
      </c>
      <c r="H29" s="265" t="s">
        <v>265</v>
      </c>
      <c r="I29" s="284" t="s">
        <v>691</v>
      </c>
      <c r="J29" s="265" t="s">
        <v>58</v>
      </c>
      <c r="K29" s="265" t="s">
        <v>8</v>
      </c>
      <c r="L29" s="265" t="s">
        <v>255</v>
      </c>
      <c r="M29" s="265" t="str">
        <f t="shared" si="0"/>
        <v>Non-Saudi</v>
      </c>
      <c r="N29" s="266">
        <v>45536</v>
      </c>
      <c r="O29" s="267">
        <v>2.2999999999999998</v>
      </c>
      <c r="P29" s="268">
        <v>9000</v>
      </c>
      <c r="Q29" s="268">
        <v>2500</v>
      </c>
      <c r="R29" s="268">
        <v>500</v>
      </c>
      <c r="S29" s="268"/>
      <c r="T29" s="268"/>
      <c r="U29" s="268">
        <v>12000</v>
      </c>
      <c r="V29" s="269">
        <v>1</v>
      </c>
      <c r="W29" s="265" t="s">
        <v>256</v>
      </c>
      <c r="X29" s="265">
        <v>250</v>
      </c>
      <c r="Y29" s="249">
        <f t="shared" si="1"/>
        <v>9000</v>
      </c>
      <c r="Z29" s="249">
        <f t="shared" si="2"/>
        <v>12000</v>
      </c>
      <c r="AA29" s="249">
        <f>IF(AND(Z29&gt;0,$N29&lt;&gt;""),IF((DATE(Assumptions!$B$4,1,28)-$N29)/365.25&lt;=Assumptions!$B$20,(DATE(Assumptions!$B$4,1,28)-$N29)/365.25*Assumptions!$B$18*Z29,(Assumptions!$B$20*Assumptions!$B$18+((DATE(Assumptions!$B$4,1,28)-$N29)/365.25-Assumptions!$B$20)*Assumptions!$B$19)*Z29),0)</f>
        <v>8443.5318275154004</v>
      </c>
      <c r="AB29" s="249">
        <f>IF(Y29&gt;0,IF($M29="Saudi",MIN(Y29+$Q29*$V29,Assumptions!$B$14)*Assumptions!$B$12,MIN(Y29+$Q29*$V29,Assumptions!$B$14)*Assumptions!$B$13),0)</f>
        <v>0</v>
      </c>
      <c r="AC29" s="249">
        <f>IF(AND(Y29&gt;0,$M29="Non-Saudi"),Assumptions!$B$25,0)</f>
        <v>910.41666666666663</v>
      </c>
      <c r="AD29" s="249">
        <f t="shared" si="3"/>
        <v>9000</v>
      </c>
      <c r="AE29" s="249">
        <f t="shared" si="4"/>
        <v>12000</v>
      </c>
      <c r="AF29" s="249">
        <f>IF(AND(AE29&gt;0,$N29&lt;&gt;""),IF((DATE(Assumptions!$B$4,2,28)-$N29)/365.25&lt;=Assumptions!$B$20,(DATE(Assumptions!$B$4,2,28)-$N29)/365.25*Assumptions!$B$18*AE29,(Assumptions!$B$20*Assumptions!$B$18+((DATE(Assumptions!$B$4,2,28)-$N29)/365.25-Assumptions!$B$20)*Assumptions!$B$19)*AE29),0)</f>
        <v>8952.7720739219712</v>
      </c>
      <c r="AG29" s="249">
        <f>IF(AD29&gt;0,IF($M29="Saudi",MIN(AD29+$Q29*$V29,Assumptions!$B$14)*Assumptions!$B$12,MIN(AD29+$Q29*$V29,Assumptions!$B$14)*Assumptions!$B$13),0)</f>
        <v>0</v>
      </c>
      <c r="AH29" s="249">
        <f>IF(AND(AD29&gt;0,$M29="Non-Saudi"),Assumptions!$B$25,0)</f>
        <v>910.41666666666663</v>
      </c>
      <c r="AI29" s="249">
        <f t="shared" si="5"/>
        <v>9000</v>
      </c>
      <c r="AJ29" s="249">
        <f t="shared" si="6"/>
        <v>12000</v>
      </c>
      <c r="AK29" s="249">
        <f>IF(AND(AJ29&gt;0,$N29&lt;&gt;""),IF((DATE(Assumptions!$B$4,3,28)-$N29)/365.25&lt;=Assumptions!$B$20,(DATE(Assumptions!$B$4,3,28)-$N29)/365.25*Assumptions!$B$18*AJ29,(Assumptions!$B$20*Assumptions!$B$18+((DATE(Assumptions!$B$4,3,28)-$N29)/365.25-Assumptions!$B$20)*Assumptions!$B$19)*AJ29),0)</f>
        <v>9412.7310061601638</v>
      </c>
      <c r="AL29" s="249">
        <f>IF(AI29&gt;0,IF($M29="Saudi",MIN(AI29+$Q29*$V29,Assumptions!$B$14)*Assumptions!$B$12,MIN(AI29+$Q29*$V29,Assumptions!$B$14)*Assumptions!$B$13),0)</f>
        <v>0</v>
      </c>
      <c r="AM29" s="249">
        <f>IF(AND(AI29&gt;0,$M29="Non-Saudi"),Assumptions!$B$25,0)</f>
        <v>910.41666666666663</v>
      </c>
      <c r="AN29" s="249">
        <f t="shared" si="7"/>
        <v>9000</v>
      </c>
      <c r="AO29" s="249">
        <f t="shared" si="8"/>
        <v>12000</v>
      </c>
      <c r="AP29" s="249">
        <f>IF(AND(AO29&gt;0,$N29&lt;&gt;""),IF((DATE(Assumptions!$B$4,4,28)-$N29)/365.25&lt;=Assumptions!$B$20,(DATE(Assumptions!$B$4,4,28)-$N29)/365.25*Assumptions!$B$18*AO29,(Assumptions!$B$20*Assumptions!$B$18+((DATE(Assumptions!$B$4,4,28)-$N29)/365.25-Assumptions!$B$20)*Assumptions!$B$19)*AO29),0)</f>
        <v>9921.9712525667346</v>
      </c>
      <c r="AQ29" s="249">
        <f>IF(AN29&gt;0,IF($M29="Saudi",MIN(AN29+$Q29*$V29,Assumptions!$B$14)*Assumptions!$B$12,MIN(AN29+$Q29*$V29,Assumptions!$B$14)*Assumptions!$B$13),0)</f>
        <v>0</v>
      </c>
      <c r="AR29" s="249">
        <f>IF(AND(AN29&gt;0,$M29="Non-Saudi"),Assumptions!$B$25,0)</f>
        <v>910.41666666666663</v>
      </c>
      <c r="AS29" s="249">
        <f t="shared" si="9"/>
        <v>9000</v>
      </c>
      <c r="AT29" s="249">
        <f t="shared" si="10"/>
        <v>12000</v>
      </c>
      <c r="AU29" s="249">
        <f>IF(AND(AT29&gt;0,$N29&lt;&gt;""),IF((DATE(Assumptions!$B$4,5,28)-$N29)/365.25&lt;=Assumptions!$B$20,(DATE(Assumptions!$B$4,5,28)-$N29)/365.25*Assumptions!$B$18*AT29,(Assumptions!$B$20*Assumptions!$B$18+((DATE(Assumptions!$B$4,5,28)-$N29)/365.25-Assumptions!$B$20)*Assumptions!$B$19)*AT29),0)</f>
        <v>10414.784394250513</v>
      </c>
      <c r="AV29" s="249">
        <f>IF(AS29&gt;0,IF($M29="Saudi",MIN(AS29+$Q29*$V29,Assumptions!$B$14)*Assumptions!$B$12,MIN(AS29+$Q29*$V29,Assumptions!$B$14)*Assumptions!$B$13),0)</f>
        <v>0</v>
      </c>
      <c r="AW29" s="249">
        <f>IF(AND(AS29&gt;0,$M29="Non-Saudi"),Assumptions!$B$25,0)</f>
        <v>910.41666666666663</v>
      </c>
      <c r="AX29" s="249">
        <f t="shared" si="11"/>
        <v>9000</v>
      </c>
      <c r="AY29" s="249">
        <f t="shared" si="12"/>
        <v>12000</v>
      </c>
      <c r="AZ29" s="249">
        <f>IF(AND(AY29&gt;0,$N29&lt;&gt;""),IF((DATE(Assumptions!$B$4,6,28)-$N29)/365.25&lt;=Assumptions!$B$20,(DATE(Assumptions!$B$4,6,28)-$N29)/365.25*Assumptions!$B$18*AY29,(Assumptions!$B$20*Assumptions!$B$18+((DATE(Assumptions!$B$4,6,28)-$N29)/365.25-Assumptions!$B$20)*Assumptions!$B$19)*AY29),0)</f>
        <v>10924.024640657084</v>
      </c>
      <c r="BA29" s="249">
        <f>IF(AX29&gt;0,IF($M29="Saudi",MIN(AX29+$Q29*$V29,Assumptions!$B$14)*Assumptions!$B$12,MIN(AX29+$Q29*$V29,Assumptions!$B$14)*Assumptions!$B$13),0)</f>
        <v>0</v>
      </c>
      <c r="BB29" s="249">
        <f>IF(AND(AX29&gt;0,$M29="Non-Saudi"),Assumptions!$B$25,0)</f>
        <v>910.41666666666663</v>
      </c>
      <c r="BC29" s="249">
        <f t="shared" si="13"/>
        <v>9000</v>
      </c>
      <c r="BD29" s="249">
        <f t="shared" si="14"/>
        <v>12000</v>
      </c>
      <c r="BE29" s="249">
        <f>IF(AND(BD29&gt;0,$N29&lt;&gt;""),IF((DATE(Assumptions!$B$4,7,28)-$N29)/365.25&lt;=Assumptions!$B$20,(DATE(Assumptions!$B$4,7,28)-$N29)/365.25*Assumptions!$B$18*BD29,(Assumptions!$B$20*Assumptions!$B$18+((DATE(Assumptions!$B$4,7,28)-$N29)/365.25-Assumptions!$B$20)*Assumptions!$B$19)*BD29),0)</f>
        <v>11416.837782340863</v>
      </c>
      <c r="BF29" s="249">
        <f>IF(BC29&gt;0,IF($M29="Saudi",MIN(BC29+$Q29*$V29,Assumptions!$B$14)*Assumptions!$B$12,MIN(BC29+$Q29*$V29,Assumptions!$B$14)*Assumptions!$B$13),0)</f>
        <v>0</v>
      </c>
      <c r="BG29" s="249">
        <f>IF(AND(BC29&gt;0,$M29="Non-Saudi"),Assumptions!$B$25,0)</f>
        <v>910.41666666666663</v>
      </c>
      <c r="BH29" s="249">
        <f t="shared" si="15"/>
        <v>9000</v>
      </c>
      <c r="BI29" s="249">
        <f t="shared" si="16"/>
        <v>12000</v>
      </c>
      <c r="BJ29" s="249">
        <f>IF(AND(BI29&gt;0,$N29&lt;&gt;""),IF((DATE(Assumptions!$B$4,8,28)-$N29)/365.25&lt;=Assumptions!$B$20,(DATE(Assumptions!$B$4,8,28)-$N29)/365.25*Assumptions!$B$18*BI29,(Assumptions!$B$20*Assumptions!$B$18+((DATE(Assumptions!$B$4,8,28)-$N29)/365.25-Assumptions!$B$20)*Assumptions!$B$19)*BI29),0)</f>
        <v>11926.078028747434</v>
      </c>
      <c r="BK29" s="249">
        <f>IF(BH29&gt;0,IF($M29="Saudi",MIN(BH29+$Q29*$V29,Assumptions!$B$14)*Assumptions!$B$12,MIN(BH29+$Q29*$V29,Assumptions!$B$14)*Assumptions!$B$13),0)</f>
        <v>0</v>
      </c>
      <c r="BL29" s="249">
        <f>IF(AND(BH29&gt;0,$M29="Non-Saudi"),Assumptions!$B$25,0)</f>
        <v>910.41666666666663</v>
      </c>
      <c r="BM29" s="249">
        <f>IF(AND($D29="Contrat Local",$N29&lt;&gt;""),IF(AND(9&gt;=Assumptions!$B$5,ISNUMBER($X29),$N29&lt;EDATE(Assumptions!$B$9,-Assumptions!$B$6*12)),($P29+$X29)*$V29,$P29*$V29),0)</f>
        <v>9250</v>
      </c>
      <c r="BN29" s="249">
        <f t="shared" si="17"/>
        <v>12250</v>
      </c>
      <c r="BO29" s="249">
        <f>IF(AND(BN29&gt;0,$N29&lt;&gt;""),IF((DATE(Assumptions!$B$4,9,28)-$N29)/365.25&lt;=Assumptions!$B$20,(DATE(Assumptions!$B$4,9,28)-$N29)/365.25*Assumptions!$B$18*BN29,(Assumptions!$B$20*Assumptions!$B$18+((DATE(Assumptions!$B$4,9,28)-$N29)/365.25-Assumptions!$B$20)*Assumptions!$B$19)*BN29),0)</f>
        <v>12694.387405886378</v>
      </c>
      <c r="BP29" s="249">
        <f>IF(BM29&gt;0,IF($M29="Saudi",MIN(BM29+$Q29*$V29,Assumptions!$B$14)*Assumptions!$B$12,MIN(BM29+$Q29*$V29,Assumptions!$B$14)*Assumptions!$B$13),0)</f>
        <v>0</v>
      </c>
      <c r="BQ29" s="249">
        <f>IF(AND(BM29&gt;0,$M29="Non-Saudi"),Assumptions!$B$25,0)</f>
        <v>910.41666666666663</v>
      </c>
      <c r="BR29" s="249">
        <f>IF(AND($D29="Contrat Local",$N29&lt;&gt;""),IF(AND(10&gt;=Assumptions!$B$5,ISNUMBER($X29),$N29&lt;EDATE(Assumptions!$B$9,-Assumptions!$B$6*12)),($P29+$X29)*$V29,$P29*$V29),0)</f>
        <v>9250</v>
      </c>
      <c r="BS29" s="249">
        <f t="shared" si="18"/>
        <v>12250</v>
      </c>
      <c r="BT29" s="249">
        <f>IF(AND(BS29&gt;0,$N29&lt;&gt;""),IF((DATE(Assumptions!$B$4,10,28)-$N29)/365.25&lt;=Assumptions!$B$20,(DATE(Assumptions!$B$4,10,28)-$N29)/365.25*Assumptions!$B$18*BS29,(Assumptions!$B$20*Assumptions!$B$18+((DATE(Assumptions!$B$4,10,28)-$N29)/365.25-Assumptions!$B$20)*Assumptions!$B$19)*BS29),0)</f>
        <v>13197.467488021903</v>
      </c>
      <c r="BU29" s="249">
        <f>IF(BR29&gt;0,IF($M29="Saudi",MIN(BR29+$Q29*$V29,Assumptions!$B$14)*Assumptions!$B$12,MIN(BR29+$Q29*$V29,Assumptions!$B$14)*Assumptions!$B$13),0)</f>
        <v>0</v>
      </c>
      <c r="BV29" s="249">
        <f>IF(AND(BR29&gt;0,$M29="Non-Saudi"),Assumptions!$B$25,0)</f>
        <v>910.41666666666663</v>
      </c>
      <c r="BW29" s="249">
        <f>IF(AND($D29="Contrat Local",$N29&lt;&gt;""),IF(AND(11&gt;=Assumptions!$B$5,ISNUMBER($X29),$N29&lt;EDATE(Assumptions!$B$9,-Assumptions!$B$6*12)),($P29+$X29)*$V29,$P29*$V29),0)</f>
        <v>9250</v>
      </c>
      <c r="BX29" s="249">
        <f t="shared" si="19"/>
        <v>12250</v>
      </c>
      <c r="BY29" s="249">
        <f>IF(AND(BX29&gt;0,$N29&lt;&gt;""),IF((DATE(Assumptions!$B$4,11,28)-$N29)/365.25&lt;=Assumptions!$B$20,(DATE(Assumptions!$B$4,11,28)-$N29)/365.25*Assumptions!$B$18*BX29,(Assumptions!$B$20*Assumptions!$B$18+((DATE(Assumptions!$B$4,11,28)-$N29)/365.25-Assumptions!$B$20)*Assumptions!$B$19)*BX29),0)</f>
        <v>13717.316906228612</v>
      </c>
      <c r="BZ29" s="249">
        <f>IF(BW29&gt;0,IF($M29="Saudi",MIN(BW29+$Q29*$V29,Assumptions!$B$14)*Assumptions!$B$12,MIN(BW29+$Q29*$V29,Assumptions!$B$14)*Assumptions!$B$13),0)</f>
        <v>0</v>
      </c>
      <c r="CA29" s="249">
        <f>IF(AND(BW29&gt;0,$M29="Non-Saudi"),Assumptions!$B$25,0)</f>
        <v>910.41666666666663</v>
      </c>
      <c r="CB29" s="249">
        <f>IF(AND($D29="Contrat Local",$N29&lt;&gt;""),IF(AND(12&gt;=Assumptions!$B$5,ISNUMBER($X29),$N29&lt;EDATE(Assumptions!$B$9,-Assumptions!$B$6*12)),($P29+$X29)*$V29,$P29*$V29),0)</f>
        <v>9250</v>
      </c>
      <c r="CC29" s="249">
        <f t="shared" si="20"/>
        <v>12250</v>
      </c>
      <c r="CD29" s="249">
        <f>IF(AND(CC29&gt;0,$N29&lt;&gt;""),IF((DATE(Assumptions!$B$4,12,28)-$N29)/365.25&lt;=Assumptions!$B$20,(DATE(Assumptions!$B$4,12,28)-$N29)/365.25*Assumptions!$B$18*CC29,(Assumptions!$B$20*Assumptions!$B$18+((DATE(Assumptions!$B$4,12,28)-$N29)/365.25-Assumptions!$B$20)*Assumptions!$B$19)*CC29),0)</f>
        <v>14220.396988364135</v>
      </c>
      <c r="CE29" s="249">
        <f>IF(CB29&gt;0,IF($M29="Saudi",MIN(CB29+$Q29*$V29,Assumptions!$B$14)*Assumptions!$B$12,MIN(CB29+$Q29*$V29,Assumptions!$B$14)*Assumptions!$B$13),0)</f>
        <v>0</v>
      </c>
      <c r="CF29" s="249">
        <f>IF(AND(CB29&gt;0,$M29="Non-Saudi"),Assumptions!$B$25,0)</f>
        <v>910.41666666666663</v>
      </c>
      <c r="CG29" s="249">
        <f t="shared" si="21"/>
        <v>109000</v>
      </c>
      <c r="CH29" s="249">
        <f t="shared" si="22"/>
        <v>145000</v>
      </c>
      <c r="CI29" s="249">
        <f>CD29-IF(AND(Z29&gt;0,$N29&lt;&gt;""),IF((DATE(Assumptions!$B$4-1,12,28)-$N29)/365.25&lt;=Assumptions!$B$20,(DATE(Assumptions!$B$4-1,12,28)-$N29)/365.25*Assumptions!$B$18*Z29,(Assumptions!$B$20*Assumptions!$B$18+((DATE(Assumptions!$B$4-1,12,28)-$N29)/365.25-Assumptions!$B$20)*Assumptions!$B$19)*Z29),0)</f>
        <v>6286.1054072553052</v>
      </c>
      <c r="CJ29" s="249">
        <f t="shared" si="23"/>
        <v>0</v>
      </c>
      <c r="CK29" s="249">
        <f t="shared" si="24"/>
        <v>10924.999999999998</v>
      </c>
    </row>
    <row r="30" spans="1:89" x14ac:dyDescent="0.2">
      <c r="A30" s="264">
        <v>26</v>
      </c>
      <c r="B30" s="265" t="s">
        <v>328</v>
      </c>
      <c r="C30" s="265" t="s">
        <v>329</v>
      </c>
      <c r="D30" s="265" t="s">
        <v>250</v>
      </c>
      <c r="E30" s="265" t="s">
        <v>767</v>
      </c>
      <c r="F30" s="265" t="s">
        <v>264</v>
      </c>
      <c r="G30" s="265" t="s">
        <v>8</v>
      </c>
      <c r="H30" s="265" t="s">
        <v>265</v>
      </c>
      <c r="I30" s="284" t="s">
        <v>691</v>
      </c>
      <c r="J30" s="265" t="s">
        <v>58</v>
      </c>
      <c r="K30" s="265" t="s">
        <v>8</v>
      </c>
      <c r="L30" s="265" t="s">
        <v>255</v>
      </c>
      <c r="M30" s="265" t="str">
        <f t="shared" si="0"/>
        <v>Non-Saudi</v>
      </c>
      <c r="N30" s="266">
        <v>45170</v>
      </c>
      <c r="O30" s="267">
        <v>3.3</v>
      </c>
      <c r="P30" s="268">
        <v>11000</v>
      </c>
      <c r="Q30" s="268">
        <v>2500</v>
      </c>
      <c r="R30" s="268">
        <v>500</v>
      </c>
      <c r="S30" s="268"/>
      <c r="T30" s="268"/>
      <c r="U30" s="268">
        <v>14000</v>
      </c>
      <c r="V30" s="269">
        <v>1</v>
      </c>
      <c r="W30" s="265" t="s">
        <v>259</v>
      </c>
      <c r="X30" s="265">
        <v>250</v>
      </c>
      <c r="Y30" s="249">
        <f t="shared" si="1"/>
        <v>11000</v>
      </c>
      <c r="Z30" s="249">
        <f t="shared" si="2"/>
        <v>14000</v>
      </c>
      <c r="AA30" s="249">
        <f>IF(AND(Z30&gt;0,$N30&lt;&gt;""),IF((DATE(Assumptions!$B$4,1,28)-$N30)/365.25&lt;=Assumptions!$B$20,(DATE(Assumptions!$B$4,1,28)-$N30)/365.25*Assumptions!$B$18*Z30,(Assumptions!$B$20*Assumptions!$B$18+((DATE(Assumptions!$B$4,1,28)-$N30)/365.25-Assumptions!$B$20)*Assumptions!$B$19)*Z30),0)</f>
        <v>16865.160848733743</v>
      </c>
      <c r="AB30" s="249">
        <f>IF(Y30&gt;0,IF($M30="Saudi",MIN(Y30+$Q30*$V30,Assumptions!$B$14)*Assumptions!$B$12,MIN(Y30+$Q30*$V30,Assumptions!$B$14)*Assumptions!$B$13),0)</f>
        <v>0</v>
      </c>
      <c r="AC30" s="249">
        <f>IF(AND(Y30&gt;0,$M30="Non-Saudi"),Assumptions!$B$25,0)</f>
        <v>910.41666666666663</v>
      </c>
      <c r="AD30" s="249">
        <f t="shared" si="3"/>
        <v>11000</v>
      </c>
      <c r="AE30" s="249">
        <f t="shared" si="4"/>
        <v>14000</v>
      </c>
      <c r="AF30" s="249">
        <f>IF(AND(AE30&gt;0,$N30&lt;&gt;""),IF((DATE(Assumptions!$B$4,2,28)-$N30)/365.25&lt;=Assumptions!$B$20,(DATE(Assumptions!$B$4,2,28)-$N30)/365.25*Assumptions!$B$18*AE30,(Assumptions!$B$20*Assumptions!$B$18+((DATE(Assumptions!$B$4,2,28)-$N30)/365.25-Assumptions!$B$20)*Assumptions!$B$19)*AE30),0)</f>
        <v>17459.274469541411</v>
      </c>
      <c r="AG30" s="249">
        <f>IF(AD30&gt;0,IF($M30="Saudi",MIN(AD30+$Q30*$V30,Assumptions!$B$14)*Assumptions!$B$12,MIN(AD30+$Q30*$V30,Assumptions!$B$14)*Assumptions!$B$13),0)</f>
        <v>0</v>
      </c>
      <c r="AH30" s="249">
        <f>IF(AND(AD30&gt;0,$M30="Non-Saudi"),Assumptions!$B$25,0)</f>
        <v>910.41666666666663</v>
      </c>
      <c r="AI30" s="249">
        <f t="shared" si="5"/>
        <v>11000</v>
      </c>
      <c r="AJ30" s="249">
        <f t="shared" si="6"/>
        <v>14000</v>
      </c>
      <c r="AK30" s="249">
        <f>IF(AND(AJ30&gt;0,$N30&lt;&gt;""),IF((DATE(Assumptions!$B$4,3,28)-$N30)/365.25&lt;=Assumptions!$B$20,(DATE(Assumptions!$B$4,3,28)-$N30)/365.25*Assumptions!$B$18*AJ30,(Assumptions!$B$20*Assumptions!$B$18+((DATE(Assumptions!$B$4,3,28)-$N30)/365.25-Assumptions!$B$20)*Assumptions!$B$19)*AJ30),0)</f>
        <v>17995.893223819301</v>
      </c>
      <c r="AL30" s="249">
        <f>IF(AI30&gt;0,IF($M30="Saudi",MIN(AI30+$Q30*$V30,Assumptions!$B$14)*Assumptions!$B$12,MIN(AI30+$Q30*$V30,Assumptions!$B$14)*Assumptions!$B$13),0)</f>
        <v>0</v>
      </c>
      <c r="AM30" s="249">
        <f>IF(AND(AI30&gt;0,$M30="Non-Saudi"),Assumptions!$B$25,0)</f>
        <v>910.41666666666663</v>
      </c>
      <c r="AN30" s="249">
        <f t="shared" si="7"/>
        <v>11000</v>
      </c>
      <c r="AO30" s="249">
        <f t="shared" si="8"/>
        <v>14000</v>
      </c>
      <c r="AP30" s="249">
        <f>IF(AND(AO30&gt;0,$N30&lt;&gt;""),IF((DATE(Assumptions!$B$4,4,28)-$N30)/365.25&lt;=Assumptions!$B$20,(DATE(Assumptions!$B$4,4,28)-$N30)/365.25*Assumptions!$B$18*AO30,(Assumptions!$B$20*Assumptions!$B$18+((DATE(Assumptions!$B$4,4,28)-$N30)/365.25-Assumptions!$B$20)*Assumptions!$B$19)*AO30),0)</f>
        <v>18590.006844626969</v>
      </c>
      <c r="AQ30" s="249">
        <f>IF(AN30&gt;0,IF($M30="Saudi",MIN(AN30+$Q30*$V30,Assumptions!$B$14)*Assumptions!$B$12,MIN(AN30+$Q30*$V30,Assumptions!$B$14)*Assumptions!$B$13),0)</f>
        <v>0</v>
      </c>
      <c r="AR30" s="249">
        <f>IF(AND(AN30&gt;0,$M30="Non-Saudi"),Assumptions!$B$25,0)</f>
        <v>910.41666666666663</v>
      </c>
      <c r="AS30" s="249">
        <f t="shared" si="9"/>
        <v>11000</v>
      </c>
      <c r="AT30" s="249">
        <f t="shared" si="10"/>
        <v>14000</v>
      </c>
      <c r="AU30" s="249">
        <f>IF(AND(AT30&gt;0,$N30&lt;&gt;""),IF((DATE(Assumptions!$B$4,5,28)-$N30)/365.25&lt;=Assumptions!$B$20,(DATE(Assumptions!$B$4,5,28)-$N30)/365.25*Assumptions!$B$18*AT30,(Assumptions!$B$20*Assumptions!$B$18+((DATE(Assumptions!$B$4,5,28)-$N30)/365.25-Assumptions!$B$20)*Assumptions!$B$19)*AT30),0)</f>
        <v>19164.955509924708</v>
      </c>
      <c r="AV30" s="249">
        <f>IF(AS30&gt;0,IF($M30="Saudi",MIN(AS30+$Q30*$V30,Assumptions!$B$14)*Assumptions!$B$12,MIN(AS30+$Q30*$V30,Assumptions!$B$14)*Assumptions!$B$13),0)</f>
        <v>0</v>
      </c>
      <c r="AW30" s="249">
        <f>IF(AND(AS30&gt;0,$M30="Non-Saudi"),Assumptions!$B$25,0)</f>
        <v>910.41666666666663</v>
      </c>
      <c r="AX30" s="249">
        <f t="shared" si="11"/>
        <v>11000</v>
      </c>
      <c r="AY30" s="249">
        <f t="shared" si="12"/>
        <v>14000</v>
      </c>
      <c r="AZ30" s="249">
        <f>IF(AND(AY30&gt;0,$N30&lt;&gt;""),IF((DATE(Assumptions!$B$4,6,28)-$N30)/365.25&lt;=Assumptions!$B$20,(DATE(Assumptions!$B$4,6,28)-$N30)/365.25*Assumptions!$B$18*AY30,(Assumptions!$B$20*Assumptions!$B$18+((DATE(Assumptions!$B$4,6,28)-$N30)/365.25-Assumptions!$B$20)*Assumptions!$B$19)*AY30),0)</f>
        <v>19759.069130732376</v>
      </c>
      <c r="BA30" s="249">
        <f>IF(AX30&gt;0,IF($M30="Saudi",MIN(AX30+$Q30*$V30,Assumptions!$B$14)*Assumptions!$B$12,MIN(AX30+$Q30*$V30,Assumptions!$B$14)*Assumptions!$B$13),0)</f>
        <v>0</v>
      </c>
      <c r="BB30" s="249">
        <f>IF(AND(AX30&gt;0,$M30="Non-Saudi"),Assumptions!$B$25,0)</f>
        <v>910.41666666666663</v>
      </c>
      <c r="BC30" s="249">
        <f t="shared" si="13"/>
        <v>11000</v>
      </c>
      <c r="BD30" s="249">
        <f t="shared" si="14"/>
        <v>14000</v>
      </c>
      <c r="BE30" s="249">
        <f>IF(AND(BD30&gt;0,$N30&lt;&gt;""),IF((DATE(Assumptions!$B$4,7,28)-$N30)/365.25&lt;=Assumptions!$B$20,(DATE(Assumptions!$B$4,7,28)-$N30)/365.25*Assumptions!$B$18*BD30,(Assumptions!$B$20*Assumptions!$B$18+((DATE(Assumptions!$B$4,7,28)-$N30)/365.25-Assumptions!$B$20)*Assumptions!$B$19)*BD30),0)</f>
        <v>20334.017796030115</v>
      </c>
      <c r="BF30" s="249">
        <f>IF(BC30&gt;0,IF($M30="Saudi",MIN(BC30+$Q30*$V30,Assumptions!$B$14)*Assumptions!$B$12,MIN(BC30+$Q30*$V30,Assumptions!$B$14)*Assumptions!$B$13),0)</f>
        <v>0</v>
      </c>
      <c r="BG30" s="249">
        <f>IF(AND(BC30&gt;0,$M30="Non-Saudi"),Assumptions!$B$25,0)</f>
        <v>910.41666666666663</v>
      </c>
      <c r="BH30" s="249">
        <f t="shared" si="15"/>
        <v>11000</v>
      </c>
      <c r="BI30" s="249">
        <f t="shared" si="16"/>
        <v>14000</v>
      </c>
      <c r="BJ30" s="249">
        <f>IF(AND(BI30&gt;0,$N30&lt;&gt;""),IF((DATE(Assumptions!$B$4,8,28)-$N30)/365.25&lt;=Assumptions!$B$20,(DATE(Assumptions!$B$4,8,28)-$N30)/365.25*Assumptions!$B$18*BI30,(Assumptions!$B$20*Assumptions!$B$18+((DATE(Assumptions!$B$4,8,28)-$N30)/365.25-Assumptions!$B$20)*Assumptions!$B$19)*BI30),0)</f>
        <v>20928.131416837783</v>
      </c>
      <c r="BK30" s="249">
        <f>IF(BH30&gt;0,IF($M30="Saudi",MIN(BH30+$Q30*$V30,Assumptions!$B$14)*Assumptions!$B$12,MIN(BH30+$Q30*$V30,Assumptions!$B$14)*Assumptions!$B$13),0)</f>
        <v>0</v>
      </c>
      <c r="BL30" s="249">
        <f>IF(AND(BH30&gt;0,$M30="Non-Saudi"),Assumptions!$B$25,0)</f>
        <v>910.41666666666663</v>
      </c>
      <c r="BM30" s="249">
        <f>IF(AND($D30="Contrat Local",$N30&lt;&gt;""),IF(AND(9&gt;=Assumptions!$B$5,ISNUMBER($X30),$N30&lt;EDATE(Assumptions!$B$9,-Assumptions!$B$6*12)),($P30+$X30)*$V30,$P30*$V30),0)</f>
        <v>11250</v>
      </c>
      <c r="BN30" s="249">
        <f t="shared" si="17"/>
        <v>14250</v>
      </c>
      <c r="BO30" s="249">
        <f>IF(AND(BN30&gt;0,$N30&lt;&gt;""),IF((DATE(Assumptions!$B$4,9,28)-$N30)/365.25&lt;=Assumptions!$B$20,(DATE(Assumptions!$B$4,9,28)-$N30)/365.25*Assumptions!$B$18*BN30,(Assumptions!$B$20*Assumptions!$B$18+((DATE(Assumptions!$B$4,9,28)-$N30)/365.25-Assumptions!$B$20)*Assumptions!$B$19)*BN30),0)</f>
        <v>21906.570841889119</v>
      </c>
      <c r="BP30" s="249">
        <f>IF(BM30&gt;0,IF($M30="Saudi",MIN(BM30+$Q30*$V30,Assumptions!$B$14)*Assumptions!$B$12,MIN(BM30+$Q30*$V30,Assumptions!$B$14)*Assumptions!$B$13),0)</f>
        <v>0</v>
      </c>
      <c r="BQ30" s="249">
        <f>IF(AND(BM30&gt;0,$M30="Non-Saudi"),Assumptions!$B$25,0)</f>
        <v>910.41666666666663</v>
      </c>
      <c r="BR30" s="249">
        <f>IF(AND($D30="Contrat Local",$N30&lt;&gt;""),IF(AND(10&gt;=Assumptions!$B$5,ISNUMBER($X30),$N30&lt;EDATE(Assumptions!$B$9,-Assumptions!$B$6*12)),($P30+$X30)*$V30,$P30*$V30),0)</f>
        <v>11250</v>
      </c>
      <c r="BS30" s="249">
        <f t="shared" si="18"/>
        <v>14250</v>
      </c>
      <c r="BT30" s="249">
        <f>IF(AND(BS30&gt;0,$N30&lt;&gt;""),IF((DATE(Assumptions!$B$4,10,28)-$N30)/365.25&lt;=Assumptions!$B$20,(DATE(Assumptions!$B$4,10,28)-$N30)/365.25*Assumptions!$B$18*BS30,(Assumptions!$B$20*Assumptions!$B$18+((DATE(Assumptions!$B$4,10,28)-$N30)/365.25-Assumptions!$B$20)*Assumptions!$B$19)*BS30),0)</f>
        <v>22491.786447638606</v>
      </c>
      <c r="BU30" s="249">
        <f>IF(BR30&gt;0,IF($M30="Saudi",MIN(BR30+$Q30*$V30,Assumptions!$B$14)*Assumptions!$B$12,MIN(BR30+$Q30*$V30,Assumptions!$B$14)*Assumptions!$B$13),0)</f>
        <v>0</v>
      </c>
      <c r="BV30" s="249">
        <f>IF(AND(BR30&gt;0,$M30="Non-Saudi"),Assumptions!$B$25,0)</f>
        <v>910.41666666666663</v>
      </c>
      <c r="BW30" s="249">
        <f>IF(AND($D30="Contrat Local",$N30&lt;&gt;""),IF(AND(11&gt;=Assumptions!$B$5,ISNUMBER($X30),$N30&lt;EDATE(Assumptions!$B$9,-Assumptions!$B$6*12)),($P30+$X30)*$V30,$P30*$V30),0)</f>
        <v>11250</v>
      </c>
      <c r="BX30" s="249">
        <f t="shared" si="19"/>
        <v>14250</v>
      </c>
      <c r="BY30" s="249">
        <f>IF(AND(BX30&gt;0,$N30&lt;&gt;""),IF((DATE(Assumptions!$B$4,11,28)-$N30)/365.25&lt;=Assumptions!$B$20,(DATE(Assumptions!$B$4,11,28)-$N30)/365.25*Assumptions!$B$18*BX30,(Assumptions!$B$20*Assumptions!$B$18+((DATE(Assumptions!$B$4,11,28)-$N30)/365.25-Assumptions!$B$20)*Assumptions!$B$19)*BX30),0)</f>
        <v>23096.509240246407</v>
      </c>
      <c r="BZ30" s="249">
        <f>IF(BW30&gt;0,IF($M30="Saudi",MIN(BW30+$Q30*$V30,Assumptions!$B$14)*Assumptions!$B$12,MIN(BW30+$Q30*$V30,Assumptions!$B$14)*Assumptions!$B$13),0)</f>
        <v>0</v>
      </c>
      <c r="CA30" s="249">
        <f>IF(AND(BW30&gt;0,$M30="Non-Saudi"),Assumptions!$B$25,0)</f>
        <v>910.41666666666663</v>
      </c>
      <c r="CB30" s="249">
        <f>IF(AND($D30="Contrat Local",$N30&lt;&gt;""),IF(AND(12&gt;=Assumptions!$B$5,ISNUMBER($X30),$N30&lt;EDATE(Assumptions!$B$9,-Assumptions!$B$6*12)),($P30+$X30)*$V30,$P30*$V30),0)</f>
        <v>11250</v>
      </c>
      <c r="CC30" s="249">
        <f t="shared" si="20"/>
        <v>14250</v>
      </c>
      <c r="CD30" s="249">
        <f>IF(AND(CC30&gt;0,$N30&lt;&gt;""),IF((DATE(Assumptions!$B$4,12,28)-$N30)/365.25&lt;=Assumptions!$B$20,(DATE(Assumptions!$B$4,12,28)-$N30)/365.25*Assumptions!$B$18*CC30,(Assumptions!$B$20*Assumptions!$B$18+((DATE(Assumptions!$B$4,12,28)-$N30)/365.25-Assumptions!$B$20)*Assumptions!$B$19)*CC30),0)</f>
        <v>23681.724845995894</v>
      </c>
      <c r="CE30" s="249">
        <f>IF(CB30&gt;0,IF($M30="Saudi",MIN(CB30+$Q30*$V30,Assumptions!$B$14)*Assumptions!$B$12,MIN(CB30+$Q30*$V30,Assumptions!$B$14)*Assumptions!$B$13),0)</f>
        <v>0</v>
      </c>
      <c r="CF30" s="249">
        <f>IF(AND(CB30&gt;0,$M30="Non-Saudi"),Assumptions!$B$25,0)</f>
        <v>910.41666666666663</v>
      </c>
      <c r="CG30" s="249">
        <f t="shared" si="21"/>
        <v>133000</v>
      </c>
      <c r="CH30" s="249">
        <f t="shared" si="22"/>
        <v>169000</v>
      </c>
      <c r="CI30" s="249">
        <f>CD30-IF(AND(Z30&gt;0,$N30&lt;&gt;""),IF((DATE(Assumptions!$B$4-1,12,28)-$N30)/365.25&lt;=Assumptions!$B$20,(DATE(Assumptions!$B$4-1,12,28)-$N30)/365.25*Assumptions!$B$18*Z30,(Assumptions!$B$20*Assumptions!$B$18+((DATE(Assumptions!$B$4-1,12,28)-$N30)/365.25-Assumptions!$B$20)*Assumptions!$B$19)*Z30),0)</f>
        <v>7410.6776180698162</v>
      </c>
      <c r="CJ30" s="249">
        <f t="shared" si="23"/>
        <v>0</v>
      </c>
      <c r="CK30" s="249">
        <f t="shared" si="24"/>
        <v>10924.999999999998</v>
      </c>
    </row>
    <row r="31" spans="1:89" x14ac:dyDescent="0.2">
      <c r="A31" s="276">
        <v>27</v>
      </c>
      <c r="B31" s="277" t="s">
        <v>330</v>
      </c>
      <c r="C31" s="277" t="s">
        <v>331</v>
      </c>
      <c r="D31" s="277" t="s">
        <v>250</v>
      </c>
      <c r="E31" s="277" t="s">
        <v>767</v>
      </c>
      <c r="F31" s="277" t="s">
        <v>332</v>
      </c>
      <c r="G31" s="277" t="s">
        <v>303</v>
      </c>
      <c r="H31" s="277" t="s">
        <v>42</v>
      </c>
      <c r="I31" s="287" t="s">
        <v>691</v>
      </c>
      <c r="J31" s="277" t="s">
        <v>85</v>
      </c>
      <c r="K31" s="277" t="s">
        <v>254</v>
      </c>
      <c r="L31" s="277" t="s">
        <v>255</v>
      </c>
      <c r="M31" s="277" t="str">
        <f t="shared" si="0"/>
        <v>Non-Saudi</v>
      </c>
      <c r="N31" s="278">
        <v>44805</v>
      </c>
      <c r="O31" s="279">
        <v>4.3</v>
      </c>
      <c r="P31" s="280">
        <v>8750</v>
      </c>
      <c r="Q31" s="280">
        <v>2500</v>
      </c>
      <c r="R31" s="280">
        <v>500</v>
      </c>
      <c r="S31" s="280"/>
      <c r="T31" s="280">
        <v>500</v>
      </c>
      <c r="U31" s="280">
        <v>12250</v>
      </c>
      <c r="V31" s="281">
        <v>1</v>
      </c>
      <c r="W31" s="277" t="s">
        <v>256</v>
      </c>
      <c r="X31" s="277">
        <v>250</v>
      </c>
      <c r="Y31" s="249">
        <f t="shared" si="1"/>
        <v>8750</v>
      </c>
      <c r="Z31" s="249">
        <f t="shared" si="2"/>
        <v>12250</v>
      </c>
      <c r="AA31" s="249">
        <f>IF(AND(Z31&gt;0,$N31&lt;&gt;""),IF((DATE(Assumptions!$B$4,1,28)-$N31)/365.25&lt;=Assumptions!$B$20,(DATE(Assumptions!$B$4,1,28)-$N31)/365.25*Assumptions!$B$18*Z31,(Assumptions!$B$20*Assumptions!$B$18+((DATE(Assumptions!$B$4,1,28)-$N31)/365.25-Assumptions!$B$20)*Assumptions!$B$19)*Z31),0)</f>
        <v>20877.82340862423</v>
      </c>
      <c r="AB31" s="249">
        <f>IF(Y31&gt;0,IF($M31="Saudi",MIN(Y31+$Q31*$V31,Assumptions!$B$14)*Assumptions!$B$12,MIN(Y31+$Q31*$V31,Assumptions!$B$14)*Assumptions!$B$13),0)</f>
        <v>0</v>
      </c>
      <c r="AC31" s="249">
        <f>IF(AND(Y31&gt;0,$M31="Non-Saudi"),Assumptions!$B$25,0)</f>
        <v>910.41666666666663</v>
      </c>
      <c r="AD31" s="249">
        <f t="shared" si="3"/>
        <v>8750</v>
      </c>
      <c r="AE31" s="249">
        <f t="shared" si="4"/>
        <v>12250</v>
      </c>
      <c r="AF31" s="249">
        <f>IF(AND(AE31&gt;0,$N31&lt;&gt;""),IF((DATE(Assumptions!$B$4,2,28)-$N31)/365.25&lt;=Assumptions!$B$20,(DATE(Assumptions!$B$4,2,28)-$N31)/365.25*Assumptions!$B$18*AE31,(Assumptions!$B$20*Assumptions!$B$18+((DATE(Assumptions!$B$4,2,28)-$N31)/365.25-Assumptions!$B$20)*Assumptions!$B$19)*AE31),0)</f>
        <v>21397.672826830938</v>
      </c>
      <c r="AG31" s="249">
        <f>IF(AD31&gt;0,IF($M31="Saudi",MIN(AD31+$Q31*$V31,Assumptions!$B$14)*Assumptions!$B$12,MIN(AD31+$Q31*$V31,Assumptions!$B$14)*Assumptions!$B$13),0)</f>
        <v>0</v>
      </c>
      <c r="AH31" s="249">
        <f>IF(AND(AD31&gt;0,$M31="Non-Saudi"),Assumptions!$B$25,0)</f>
        <v>910.41666666666663</v>
      </c>
      <c r="AI31" s="249">
        <f t="shared" si="5"/>
        <v>8750</v>
      </c>
      <c r="AJ31" s="249">
        <f t="shared" si="6"/>
        <v>12250</v>
      </c>
      <c r="AK31" s="249">
        <f>IF(AND(AJ31&gt;0,$N31&lt;&gt;""),IF((DATE(Assumptions!$B$4,3,28)-$N31)/365.25&lt;=Assumptions!$B$20,(DATE(Assumptions!$B$4,3,28)-$N31)/365.25*Assumptions!$B$18*AJ31,(Assumptions!$B$20*Assumptions!$B$18+((DATE(Assumptions!$B$4,3,28)-$N31)/365.25-Assumptions!$B$20)*Assumptions!$B$19)*AJ31),0)</f>
        <v>21867.214236824093</v>
      </c>
      <c r="AL31" s="249">
        <f>IF(AI31&gt;0,IF($M31="Saudi",MIN(AI31+$Q31*$V31,Assumptions!$B$14)*Assumptions!$B$12,MIN(AI31+$Q31*$V31,Assumptions!$B$14)*Assumptions!$B$13),0)</f>
        <v>0</v>
      </c>
      <c r="AM31" s="249">
        <f>IF(AND(AI31&gt;0,$M31="Non-Saudi"),Assumptions!$B$25,0)</f>
        <v>910.41666666666663</v>
      </c>
      <c r="AN31" s="249">
        <f t="shared" si="7"/>
        <v>8750</v>
      </c>
      <c r="AO31" s="249">
        <f t="shared" si="8"/>
        <v>12250</v>
      </c>
      <c r="AP31" s="249">
        <f>IF(AND(AO31&gt;0,$N31&lt;&gt;""),IF((DATE(Assumptions!$B$4,4,28)-$N31)/365.25&lt;=Assumptions!$B$20,(DATE(Assumptions!$B$4,4,28)-$N31)/365.25*Assumptions!$B$18*AO31,(Assumptions!$B$20*Assumptions!$B$18+((DATE(Assumptions!$B$4,4,28)-$N31)/365.25-Assumptions!$B$20)*Assumptions!$B$19)*AO31),0)</f>
        <v>22387.063655030801</v>
      </c>
      <c r="AQ31" s="249">
        <f>IF(AN31&gt;0,IF($M31="Saudi",MIN(AN31+$Q31*$V31,Assumptions!$B$14)*Assumptions!$B$12,MIN(AN31+$Q31*$V31,Assumptions!$B$14)*Assumptions!$B$13),0)</f>
        <v>0</v>
      </c>
      <c r="AR31" s="249">
        <f>IF(AND(AN31&gt;0,$M31="Non-Saudi"),Assumptions!$B$25,0)</f>
        <v>910.41666666666663</v>
      </c>
      <c r="AS31" s="249">
        <f t="shared" si="9"/>
        <v>8750</v>
      </c>
      <c r="AT31" s="249">
        <f t="shared" si="10"/>
        <v>12250</v>
      </c>
      <c r="AU31" s="249">
        <f>IF(AND(AT31&gt;0,$N31&lt;&gt;""),IF((DATE(Assumptions!$B$4,5,28)-$N31)/365.25&lt;=Assumptions!$B$20,(DATE(Assumptions!$B$4,5,28)-$N31)/365.25*Assumptions!$B$18*AT31,(Assumptions!$B$20*Assumptions!$B$18+((DATE(Assumptions!$B$4,5,28)-$N31)/365.25-Assumptions!$B$20)*Assumptions!$B$19)*AT31),0)</f>
        <v>22890.143737166323</v>
      </c>
      <c r="AV31" s="249">
        <f>IF(AS31&gt;0,IF($M31="Saudi",MIN(AS31+$Q31*$V31,Assumptions!$B$14)*Assumptions!$B$12,MIN(AS31+$Q31*$V31,Assumptions!$B$14)*Assumptions!$B$13),0)</f>
        <v>0</v>
      </c>
      <c r="AW31" s="249">
        <f>IF(AND(AS31&gt;0,$M31="Non-Saudi"),Assumptions!$B$25,0)</f>
        <v>910.41666666666663</v>
      </c>
      <c r="AX31" s="249">
        <f t="shared" si="11"/>
        <v>8750</v>
      </c>
      <c r="AY31" s="249">
        <f t="shared" si="12"/>
        <v>12250</v>
      </c>
      <c r="AZ31" s="249">
        <f>IF(AND(AY31&gt;0,$N31&lt;&gt;""),IF((DATE(Assumptions!$B$4,6,28)-$N31)/365.25&lt;=Assumptions!$B$20,(DATE(Assumptions!$B$4,6,28)-$N31)/365.25*Assumptions!$B$18*AY31,(Assumptions!$B$20*Assumptions!$B$18+((DATE(Assumptions!$B$4,6,28)-$N31)/365.25-Assumptions!$B$20)*Assumptions!$B$19)*AY31),0)</f>
        <v>23409.993155373031</v>
      </c>
      <c r="BA31" s="249">
        <f>IF(AX31&gt;0,IF($M31="Saudi",MIN(AX31+$Q31*$V31,Assumptions!$B$14)*Assumptions!$B$12,MIN(AX31+$Q31*$V31,Assumptions!$B$14)*Assumptions!$B$13),0)</f>
        <v>0</v>
      </c>
      <c r="BB31" s="249">
        <f>IF(AND(AX31&gt;0,$M31="Non-Saudi"),Assumptions!$B$25,0)</f>
        <v>910.41666666666663</v>
      </c>
      <c r="BC31" s="249">
        <f t="shared" si="13"/>
        <v>8750</v>
      </c>
      <c r="BD31" s="249">
        <f t="shared" si="14"/>
        <v>12250</v>
      </c>
      <c r="BE31" s="249">
        <f>IF(AND(BD31&gt;0,$N31&lt;&gt;""),IF((DATE(Assumptions!$B$4,7,28)-$N31)/365.25&lt;=Assumptions!$B$20,(DATE(Assumptions!$B$4,7,28)-$N31)/365.25*Assumptions!$B$18*BD31,(Assumptions!$B$20*Assumptions!$B$18+((DATE(Assumptions!$B$4,7,28)-$N31)/365.25-Assumptions!$B$20)*Assumptions!$B$19)*BD31),0)</f>
        <v>23913.073237508554</v>
      </c>
      <c r="BF31" s="249">
        <f>IF(BC31&gt;0,IF($M31="Saudi",MIN(BC31+$Q31*$V31,Assumptions!$B$14)*Assumptions!$B$12,MIN(BC31+$Q31*$V31,Assumptions!$B$14)*Assumptions!$B$13),0)</f>
        <v>0</v>
      </c>
      <c r="BG31" s="249">
        <f>IF(AND(BC31&gt;0,$M31="Non-Saudi"),Assumptions!$B$25,0)</f>
        <v>910.41666666666663</v>
      </c>
      <c r="BH31" s="249">
        <f t="shared" si="15"/>
        <v>8750</v>
      </c>
      <c r="BI31" s="249">
        <f t="shared" si="16"/>
        <v>12250</v>
      </c>
      <c r="BJ31" s="249">
        <f>IF(AND(BI31&gt;0,$N31&lt;&gt;""),IF((DATE(Assumptions!$B$4,8,28)-$N31)/365.25&lt;=Assumptions!$B$20,(DATE(Assumptions!$B$4,8,28)-$N31)/365.25*Assumptions!$B$18*BI31,(Assumptions!$B$20*Assumptions!$B$18+((DATE(Assumptions!$B$4,8,28)-$N31)/365.25-Assumptions!$B$20)*Assumptions!$B$19)*BI31),0)</f>
        <v>24432.922655715265</v>
      </c>
      <c r="BK31" s="249">
        <f>IF(BH31&gt;0,IF($M31="Saudi",MIN(BH31+$Q31*$V31,Assumptions!$B$14)*Assumptions!$B$12,MIN(BH31+$Q31*$V31,Assumptions!$B$14)*Assumptions!$B$13),0)</f>
        <v>0</v>
      </c>
      <c r="BL31" s="249">
        <f>IF(AND(BH31&gt;0,$M31="Non-Saudi"),Assumptions!$B$25,0)</f>
        <v>910.41666666666663</v>
      </c>
      <c r="BM31" s="249">
        <f>IF(AND($D31="Contrat Local",$N31&lt;&gt;""),IF(AND(9&gt;=Assumptions!$B$5,ISNUMBER($X31),$N31&lt;EDATE(Assumptions!$B$9,-Assumptions!$B$6*12)),($P31+$X31)*$V31,$P31*$V31),0)</f>
        <v>9000</v>
      </c>
      <c r="BN31" s="249">
        <f t="shared" si="17"/>
        <v>12500</v>
      </c>
      <c r="BO31" s="249">
        <f>IF(AND(BN31&gt;0,$N31&lt;&gt;""),IF((DATE(Assumptions!$B$4,9,28)-$N31)/365.25&lt;=Assumptions!$B$20,(DATE(Assumptions!$B$4,9,28)-$N31)/365.25*Assumptions!$B$18*BN31,(Assumptions!$B$20*Assumptions!$B$18+((DATE(Assumptions!$B$4,9,28)-$N31)/365.25-Assumptions!$B$20)*Assumptions!$B$19)*BN31),0)</f>
        <v>25462.01232032854</v>
      </c>
      <c r="BP31" s="249">
        <f>IF(BM31&gt;0,IF($M31="Saudi",MIN(BM31+$Q31*$V31,Assumptions!$B$14)*Assumptions!$B$12,MIN(BM31+$Q31*$V31,Assumptions!$B$14)*Assumptions!$B$13),0)</f>
        <v>0</v>
      </c>
      <c r="BQ31" s="249">
        <f>IF(AND(BM31&gt;0,$M31="Non-Saudi"),Assumptions!$B$25,0)</f>
        <v>910.41666666666663</v>
      </c>
      <c r="BR31" s="249">
        <f>IF(AND($D31="Contrat Local",$N31&lt;&gt;""),IF(AND(10&gt;=Assumptions!$B$5,ISNUMBER($X31),$N31&lt;EDATE(Assumptions!$B$9,-Assumptions!$B$6*12)),($P31+$X31)*$V31,$P31*$V31),0)</f>
        <v>9000</v>
      </c>
      <c r="BS31" s="249">
        <f t="shared" si="18"/>
        <v>12500</v>
      </c>
      <c r="BT31" s="249">
        <f>IF(AND(BS31&gt;0,$N31&lt;&gt;""),IF((DATE(Assumptions!$B$4,10,28)-$N31)/365.25&lt;=Assumptions!$B$20,(DATE(Assumptions!$B$4,10,28)-$N31)/365.25*Assumptions!$B$18*BS31,(Assumptions!$B$20*Assumptions!$B$18+((DATE(Assumptions!$B$4,10,28)-$N31)/365.25-Assumptions!$B$20)*Assumptions!$B$19)*BS31),0)</f>
        <v>25975.35934291581</v>
      </c>
      <c r="BU31" s="249">
        <f>IF(BR31&gt;0,IF($M31="Saudi",MIN(BR31+$Q31*$V31,Assumptions!$B$14)*Assumptions!$B$12,MIN(BR31+$Q31*$V31,Assumptions!$B$14)*Assumptions!$B$13),0)</f>
        <v>0</v>
      </c>
      <c r="BV31" s="249">
        <f>IF(AND(BR31&gt;0,$M31="Non-Saudi"),Assumptions!$B$25,0)</f>
        <v>910.41666666666663</v>
      </c>
      <c r="BW31" s="249">
        <f>IF(AND($D31="Contrat Local",$N31&lt;&gt;""),IF(AND(11&gt;=Assumptions!$B$5,ISNUMBER($X31),$N31&lt;EDATE(Assumptions!$B$9,-Assumptions!$B$6*12)),($P31+$X31)*$V31,$P31*$V31),0)</f>
        <v>9000</v>
      </c>
      <c r="BX31" s="249">
        <f t="shared" si="19"/>
        <v>12500</v>
      </c>
      <c r="BY31" s="249">
        <f>IF(AND(BX31&gt;0,$N31&lt;&gt;""),IF((DATE(Assumptions!$B$4,11,28)-$N31)/365.25&lt;=Assumptions!$B$20,(DATE(Assumptions!$B$4,11,28)-$N31)/365.25*Assumptions!$B$18*BX31,(Assumptions!$B$20*Assumptions!$B$18+((DATE(Assumptions!$B$4,11,28)-$N31)/365.25-Assumptions!$B$20)*Assumptions!$B$19)*BX31),0)</f>
        <v>26505.817932922655</v>
      </c>
      <c r="BZ31" s="249">
        <f>IF(BW31&gt;0,IF($M31="Saudi",MIN(BW31+$Q31*$V31,Assumptions!$B$14)*Assumptions!$B$12,MIN(BW31+$Q31*$V31,Assumptions!$B$14)*Assumptions!$B$13),0)</f>
        <v>0</v>
      </c>
      <c r="CA31" s="249">
        <f>IF(AND(BW31&gt;0,$M31="Non-Saudi"),Assumptions!$B$25,0)</f>
        <v>910.41666666666663</v>
      </c>
      <c r="CB31" s="249">
        <f>IF(AND($D31="Contrat Local",$N31&lt;&gt;""),IF(AND(12&gt;=Assumptions!$B$5,ISNUMBER($X31),$N31&lt;EDATE(Assumptions!$B$9,-Assumptions!$B$6*12)),($P31+$X31)*$V31,$P31*$V31),0)</f>
        <v>9000</v>
      </c>
      <c r="CC31" s="249">
        <f t="shared" si="20"/>
        <v>12500</v>
      </c>
      <c r="CD31" s="249">
        <f>IF(AND(CC31&gt;0,$N31&lt;&gt;""),IF((DATE(Assumptions!$B$4,12,28)-$N31)/365.25&lt;=Assumptions!$B$20,(DATE(Assumptions!$B$4,12,28)-$N31)/365.25*Assumptions!$B$18*CC31,(Assumptions!$B$20*Assumptions!$B$18+((DATE(Assumptions!$B$4,12,28)-$N31)/365.25-Assumptions!$B$20)*Assumptions!$B$19)*CC31),0)</f>
        <v>27019.164955509921</v>
      </c>
      <c r="CE31" s="249">
        <f>IF(CB31&gt;0,IF($M31="Saudi",MIN(CB31+$Q31*$V31,Assumptions!$B$14)*Assumptions!$B$12,MIN(CB31+$Q31*$V31,Assumptions!$B$14)*Assumptions!$B$13),0)</f>
        <v>0</v>
      </c>
      <c r="CF31" s="249">
        <f>IF(AND(CB31&gt;0,$M31="Non-Saudi"),Assumptions!$B$25,0)</f>
        <v>910.41666666666663</v>
      </c>
      <c r="CG31" s="249">
        <f t="shared" si="21"/>
        <v>106000</v>
      </c>
      <c r="CH31" s="249">
        <f t="shared" si="22"/>
        <v>148000</v>
      </c>
      <c r="CI31" s="249">
        <f>CD31-IF(AND(Z31&gt;0,$N31&lt;&gt;""),IF((DATE(Assumptions!$B$4-1,12,28)-$N31)/365.25&lt;=Assumptions!$B$20,(DATE(Assumptions!$B$4-1,12,28)-$N31)/365.25*Assumptions!$B$18*Z31,(Assumptions!$B$20*Assumptions!$B$18+((DATE(Assumptions!$B$4-1,12,28)-$N31)/365.25-Assumptions!$B$20)*Assumptions!$B$19)*Z31),0)</f>
        <v>6661.190965092399</v>
      </c>
      <c r="CJ31" s="249">
        <f t="shared" si="23"/>
        <v>0</v>
      </c>
      <c r="CK31" s="249">
        <f t="shared" si="24"/>
        <v>10924.999999999998</v>
      </c>
    </row>
    <row r="32" spans="1:89" x14ac:dyDescent="0.2">
      <c r="A32" s="276">
        <v>28</v>
      </c>
      <c r="B32" s="277" t="s">
        <v>333</v>
      </c>
      <c r="C32" s="277" t="s">
        <v>334</v>
      </c>
      <c r="D32" s="277" t="s">
        <v>250</v>
      </c>
      <c r="E32" s="277" t="s">
        <v>767</v>
      </c>
      <c r="F32" s="277" t="s">
        <v>302</v>
      </c>
      <c r="G32" s="277" t="s">
        <v>303</v>
      </c>
      <c r="H32" s="277" t="s">
        <v>696</v>
      </c>
      <c r="I32" s="287" t="s">
        <v>691</v>
      </c>
      <c r="J32" s="299" t="s">
        <v>695</v>
      </c>
      <c r="K32" s="277" t="s">
        <v>254</v>
      </c>
      <c r="L32" s="277" t="s">
        <v>255</v>
      </c>
      <c r="M32" s="277" t="str">
        <f t="shared" si="0"/>
        <v>Non-Saudi</v>
      </c>
      <c r="N32" s="278">
        <v>45901</v>
      </c>
      <c r="O32" s="279">
        <v>1.3</v>
      </c>
      <c r="P32" s="280">
        <v>7200</v>
      </c>
      <c r="Q32" s="280">
        <v>2250</v>
      </c>
      <c r="R32" s="280">
        <v>450</v>
      </c>
      <c r="S32" s="280"/>
      <c r="T32" s="280"/>
      <c r="U32" s="280">
        <v>9900</v>
      </c>
      <c r="V32" s="281">
        <v>0.9</v>
      </c>
      <c r="W32" s="277" t="s">
        <v>256</v>
      </c>
      <c r="X32" s="277" t="s">
        <v>268</v>
      </c>
      <c r="Y32" s="249">
        <f t="shared" si="1"/>
        <v>6480</v>
      </c>
      <c r="Z32" s="249">
        <f t="shared" si="2"/>
        <v>8910</v>
      </c>
      <c r="AA32" s="249">
        <f>IF(AND(Z32&gt;0,$N32&lt;&gt;""),IF((DATE(Assumptions!$B$4,1,28)-$N32)/365.25&lt;=Assumptions!$B$20,(DATE(Assumptions!$B$4,1,28)-$N32)/365.25*Assumptions!$B$18*Z32,(Assumptions!$B$20*Assumptions!$B$18+((DATE(Assumptions!$B$4,1,28)-$N32)/365.25-Assumptions!$B$20)*Assumptions!$B$19)*Z32),0)</f>
        <v>1817.3716632443532</v>
      </c>
      <c r="AB32" s="249">
        <f>IF(Y32&gt;0,IF($M32="Saudi",MIN(Y32+$Q32*$V32,Assumptions!$B$14)*Assumptions!$B$12,MIN(Y32+$Q32*$V32,Assumptions!$B$14)*Assumptions!$B$13),0)</f>
        <v>0</v>
      </c>
      <c r="AC32" s="249">
        <f>IF(AND(Y32&gt;0,$M32="Non-Saudi"),Assumptions!$B$25,0)</f>
        <v>910.41666666666663</v>
      </c>
      <c r="AD32" s="249">
        <f t="shared" si="3"/>
        <v>6480</v>
      </c>
      <c r="AE32" s="249">
        <f t="shared" si="4"/>
        <v>8910</v>
      </c>
      <c r="AF32" s="249">
        <f>IF(AND(AE32&gt;0,$N32&lt;&gt;""),IF((DATE(Assumptions!$B$4,2,28)-$N32)/365.25&lt;=Assumptions!$B$20,(DATE(Assumptions!$B$4,2,28)-$N32)/365.25*Assumptions!$B$18*AE32,(Assumptions!$B$20*Assumptions!$B$18+((DATE(Assumptions!$B$4,2,28)-$N32)/365.25-Assumptions!$B$20)*Assumptions!$B$19)*AE32),0)</f>
        <v>2195.4825462012318</v>
      </c>
      <c r="AG32" s="249">
        <f>IF(AD32&gt;0,IF($M32="Saudi",MIN(AD32+$Q32*$V32,Assumptions!$B$14)*Assumptions!$B$12,MIN(AD32+$Q32*$V32,Assumptions!$B$14)*Assumptions!$B$13),0)</f>
        <v>0</v>
      </c>
      <c r="AH32" s="249">
        <f>IF(AND(AD32&gt;0,$M32="Non-Saudi"),Assumptions!$B$25,0)</f>
        <v>910.41666666666663</v>
      </c>
      <c r="AI32" s="249">
        <f t="shared" si="5"/>
        <v>6480</v>
      </c>
      <c r="AJ32" s="249">
        <f t="shared" si="6"/>
        <v>8910</v>
      </c>
      <c r="AK32" s="249">
        <f>IF(AND(AJ32&gt;0,$N32&lt;&gt;""),IF((DATE(Assumptions!$B$4,3,28)-$N32)/365.25&lt;=Assumptions!$B$20,(DATE(Assumptions!$B$4,3,28)-$N32)/365.25*Assumptions!$B$18*AJ32,(Assumptions!$B$20*Assumptions!$B$18+((DATE(Assumptions!$B$4,3,28)-$N32)/365.25-Assumptions!$B$20)*Assumptions!$B$19)*AJ32),0)</f>
        <v>2537.0020533880906</v>
      </c>
      <c r="AL32" s="249">
        <f>IF(AI32&gt;0,IF($M32="Saudi",MIN(AI32+$Q32*$V32,Assumptions!$B$14)*Assumptions!$B$12,MIN(AI32+$Q32*$V32,Assumptions!$B$14)*Assumptions!$B$13),0)</f>
        <v>0</v>
      </c>
      <c r="AM32" s="249">
        <f>IF(AND(AI32&gt;0,$M32="Non-Saudi"),Assumptions!$B$25,0)</f>
        <v>910.41666666666663</v>
      </c>
      <c r="AN32" s="249">
        <f t="shared" si="7"/>
        <v>6480</v>
      </c>
      <c r="AO32" s="249">
        <f t="shared" si="8"/>
        <v>8910</v>
      </c>
      <c r="AP32" s="249">
        <f>IF(AND(AO32&gt;0,$N32&lt;&gt;""),IF((DATE(Assumptions!$B$4,4,28)-$N32)/365.25&lt;=Assumptions!$B$20,(DATE(Assumptions!$B$4,4,28)-$N32)/365.25*Assumptions!$B$18*AO32,(Assumptions!$B$20*Assumptions!$B$18+((DATE(Assumptions!$B$4,4,28)-$N32)/365.25-Assumptions!$B$20)*Assumptions!$B$19)*AO32),0)</f>
        <v>2915.1129363449691</v>
      </c>
      <c r="AQ32" s="249">
        <f>IF(AN32&gt;0,IF($M32="Saudi",MIN(AN32+$Q32*$V32,Assumptions!$B$14)*Assumptions!$B$12,MIN(AN32+$Q32*$V32,Assumptions!$B$14)*Assumptions!$B$13),0)</f>
        <v>0</v>
      </c>
      <c r="AR32" s="249">
        <f>IF(AND(AN32&gt;0,$M32="Non-Saudi"),Assumptions!$B$25,0)</f>
        <v>910.41666666666663</v>
      </c>
      <c r="AS32" s="249">
        <f t="shared" si="9"/>
        <v>6480</v>
      </c>
      <c r="AT32" s="249">
        <f t="shared" si="10"/>
        <v>8910</v>
      </c>
      <c r="AU32" s="249">
        <f>IF(AND(AT32&gt;0,$N32&lt;&gt;""),IF((DATE(Assumptions!$B$4,5,28)-$N32)/365.25&lt;=Assumptions!$B$20,(DATE(Assumptions!$B$4,5,28)-$N32)/365.25*Assumptions!$B$18*AT32,(Assumptions!$B$20*Assumptions!$B$18+((DATE(Assumptions!$B$4,5,28)-$N32)/365.25-Assumptions!$B$20)*Assumptions!$B$19)*AT32),0)</f>
        <v>3281.0266940451747</v>
      </c>
      <c r="AV32" s="249">
        <f>IF(AS32&gt;0,IF($M32="Saudi",MIN(AS32+$Q32*$V32,Assumptions!$B$14)*Assumptions!$B$12,MIN(AS32+$Q32*$V32,Assumptions!$B$14)*Assumptions!$B$13),0)</f>
        <v>0</v>
      </c>
      <c r="AW32" s="249">
        <f>IF(AND(AS32&gt;0,$M32="Non-Saudi"),Assumptions!$B$25,0)</f>
        <v>910.41666666666663</v>
      </c>
      <c r="AX32" s="249">
        <f t="shared" si="11"/>
        <v>6480</v>
      </c>
      <c r="AY32" s="249">
        <f t="shared" si="12"/>
        <v>8910</v>
      </c>
      <c r="AZ32" s="249">
        <f>IF(AND(AY32&gt;0,$N32&lt;&gt;""),IF((DATE(Assumptions!$B$4,6,28)-$N32)/365.25&lt;=Assumptions!$B$20,(DATE(Assumptions!$B$4,6,28)-$N32)/365.25*Assumptions!$B$18*AY32,(Assumptions!$B$20*Assumptions!$B$18+((DATE(Assumptions!$B$4,6,28)-$N32)/365.25-Assumptions!$B$20)*Assumptions!$B$19)*AY32),0)</f>
        <v>3659.1375770020531</v>
      </c>
      <c r="BA32" s="249">
        <f>IF(AX32&gt;0,IF($M32="Saudi",MIN(AX32+$Q32*$V32,Assumptions!$B$14)*Assumptions!$B$12,MIN(AX32+$Q32*$V32,Assumptions!$B$14)*Assumptions!$B$13),0)</f>
        <v>0</v>
      </c>
      <c r="BB32" s="249">
        <f>IF(AND(AX32&gt;0,$M32="Non-Saudi"),Assumptions!$B$25,0)</f>
        <v>910.41666666666663</v>
      </c>
      <c r="BC32" s="249">
        <f t="shared" si="13"/>
        <v>6480</v>
      </c>
      <c r="BD32" s="249">
        <f t="shared" si="14"/>
        <v>8910</v>
      </c>
      <c r="BE32" s="249">
        <f>IF(AND(BD32&gt;0,$N32&lt;&gt;""),IF((DATE(Assumptions!$B$4,7,28)-$N32)/365.25&lt;=Assumptions!$B$20,(DATE(Assumptions!$B$4,7,28)-$N32)/365.25*Assumptions!$B$18*BD32,(Assumptions!$B$20*Assumptions!$B$18+((DATE(Assumptions!$B$4,7,28)-$N32)/365.25-Assumptions!$B$20)*Assumptions!$B$19)*BD32),0)</f>
        <v>4025.0513347022584</v>
      </c>
      <c r="BF32" s="249">
        <f>IF(BC32&gt;0,IF($M32="Saudi",MIN(BC32+$Q32*$V32,Assumptions!$B$14)*Assumptions!$B$12,MIN(BC32+$Q32*$V32,Assumptions!$B$14)*Assumptions!$B$13),0)</f>
        <v>0</v>
      </c>
      <c r="BG32" s="249">
        <f>IF(AND(BC32&gt;0,$M32="Non-Saudi"),Assumptions!$B$25,0)</f>
        <v>910.41666666666663</v>
      </c>
      <c r="BH32" s="249">
        <f t="shared" si="15"/>
        <v>6480</v>
      </c>
      <c r="BI32" s="249">
        <f t="shared" si="16"/>
        <v>8910</v>
      </c>
      <c r="BJ32" s="249">
        <f>IF(AND(BI32&gt;0,$N32&lt;&gt;""),IF((DATE(Assumptions!$B$4,8,28)-$N32)/365.25&lt;=Assumptions!$B$20,(DATE(Assumptions!$B$4,8,28)-$N32)/365.25*Assumptions!$B$18*BI32,(Assumptions!$B$20*Assumptions!$B$18+((DATE(Assumptions!$B$4,8,28)-$N32)/365.25-Assumptions!$B$20)*Assumptions!$B$19)*BI32),0)</f>
        <v>4403.1622176591382</v>
      </c>
      <c r="BK32" s="249">
        <f>IF(BH32&gt;0,IF($M32="Saudi",MIN(BH32+$Q32*$V32,Assumptions!$B$14)*Assumptions!$B$12,MIN(BH32+$Q32*$V32,Assumptions!$B$14)*Assumptions!$B$13),0)</f>
        <v>0</v>
      </c>
      <c r="BL32" s="249">
        <f>IF(AND(BH32&gt;0,$M32="Non-Saudi"),Assumptions!$B$25,0)</f>
        <v>910.41666666666663</v>
      </c>
      <c r="BM32" s="249">
        <f>IF(AND($D32="Contrat Local",$N32&lt;&gt;""),IF(AND(9&gt;=Assumptions!$B$5,ISNUMBER($X32),$N32&lt;EDATE(Assumptions!$B$9,-Assumptions!$B$6*12)),($P32+$X32)*$V32,$P32*$V32),0)</f>
        <v>6480</v>
      </c>
      <c r="BN32" s="249">
        <f t="shared" si="17"/>
        <v>8910</v>
      </c>
      <c r="BO32" s="249">
        <f>IF(AND(BN32&gt;0,$N32&lt;&gt;""),IF((DATE(Assumptions!$B$4,9,28)-$N32)/365.25&lt;=Assumptions!$B$20,(DATE(Assumptions!$B$4,9,28)-$N32)/365.25*Assumptions!$B$18*BN32,(Assumptions!$B$20*Assumptions!$B$18+((DATE(Assumptions!$B$4,9,28)-$N32)/365.25-Assumptions!$B$20)*Assumptions!$B$19)*BN32),0)</f>
        <v>4781.2731006160166</v>
      </c>
      <c r="BP32" s="249">
        <f>IF(BM32&gt;0,IF($M32="Saudi",MIN(BM32+$Q32*$V32,Assumptions!$B$14)*Assumptions!$B$12,MIN(BM32+$Q32*$V32,Assumptions!$B$14)*Assumptions!$B$13),0)</f>
        <v>0</v>
      </c>
      <c r="BQ32" s="249">
        <f>IF(AND(BM32&gt;0,$M32="Non-Saudi"),Assumptions!$B$25,0)</f>
        <v>910.41666666666663</v>
      </c>
      <c r="BR32" s="249">
        <f>IF(AND($D32="Contrat Local",$N32&lt;&gt;""),IF(AND(10&gt;=Assumptions!$B$5,ISNUMBER($X32),$N32&lt;EDATE(Assumptions!$B$9,-Assumptions!$B$6*12)),($P32+$X32)*$V32,$P32*$V32),0)</f>
        <v>6480</v>
      </c>
      <c r="BS32" s="249">
        <f t="shared" si="18"/>
        <v>8910</v>
      </c>
      <c r="BT32" s="249">
        <f>IF(AND(BS32&gt;0,$N32&lt;&gt;""),IF((DATE(Assumptions!$B$4,10,28)-$N32)/365.25&lt;=Assumptions!$B$20,(DATE(Assumptions!$B$4,10,28)-$N32)/365.25*Assumptions!$B$18*BS32,(Assumptions!$B$20*Assumptions!$B$18+((DATE(Assumptions!$B$4,10,28)-$N32)/365.25-Assumptions!$B$20)*Assumptions!$B$19)*BS32),0)</f>
        <v>5147.1868583162222</v>
      </c>
      <c r="BU32" s="249">
        <f>IF(BR32&gt;0,IF($M32="Saudi",MIN(BR32+$Q32*$V32,Assumptions!$B$14)*Assumptions!$B$12,MIN(BR32+$Q32*$V32,Assumptions!$B$14)*Assumptions!$B$13),0)</f>
        <v>0</v>
      </c>
      <c r="BV32" s="249">
        <f>IF(AND(BR32&gt;0,$M32="Non-Saudi"),Assumptions!$B$25,0)</f>
        <v>910.41666666666663</v>
      </c>
      <c r="BW32" s="249">
        <f>IF(AND($D32="Contrat Local",$N32&lt;&gt;""),IF(AND(11&gt;=Assumptions!$B$5,ISNUMBER($X32),$N32&lt;EDATE(Assumptions!$B$9,-Assumptions!$B$6*12)),($P32+$X32)*$V32,$P32*$V32),0)</f>
        <v>6480</v>
      </c>
      <c r="BX32" s="249">
        <f t="shared" si="19"/>
        <v>8910</v>
      </c>
      <c r="BY32" s="249">
        <f>IF(AND(BX32&gt;0,$N32&lt;&gt;""),IF((DATE(Assumptions!$B$4,11,28)-$N32)/365.25&lt;=Assumptions!$B$20,(DATE(Assumptions!$B$4,11,28)-$N32)/365.25*Assumptions!$B$18*BX32,(Assumptions!$B$20*Assumptions!$B$18+((DATE(Assumptions!$B$4,11,28)-$N32)/365.25-Assumptions!$B$20)*Assumptions!$B$19)*BX32),0)</f>
        <v>5525.2977412731007</v>
      </c>
      <c r="BZ32" s="249">
        <f>IF(BW32&gt;0,IF($M32="Saudi",MIN(BW32+$Q32*$V32,Assumptions!$B$14)*Assumptions!$B$12,MIN(BW32+$Q32*$V32,Assumptions!$B$14)*Assumptions!$B$13),0)</f>
        <v>0</v>
      </c>
      <c r="CA32" s="249">
        <f>IF(AND(BW32&gt;0,$M32="Non-Saudi"),Assumptions!$B$25,0)</f>
        <v>910.41666666666663</v>
      </c>
      <c r="CB32" s="249">
        <f>IF(AND($D32="Contrat Local",$N32&lt;&gt;""),IF(AND(12&gt;=Assumptions!$B$5,ISNUMBER($X32),$N32&lt;EDATE(Assumptions!$B$9,-Assumptions!$B$6*12)),($P32+$X32)*$V32,$P32*$V32),0)</f>
        <v>6480</v>
      </c>
      <c r="CC32" s="249">
        <f t="shared" si="20"/>
        <v>8910</v>
      </c>
      <c r="CD32" s="249">
        <f>IF(AND(CC32&gt;0,$N32&lt;&gt;""),IF((DATE(Assumptions!$B$4,12,28)-$N32)/365.25&lt;=Assumptions!$B$20,(DATE(Assumptions!$B$4,12,28)-$N32)/365.25*Assumptions!$B$18*CC32,(Assumptions!$B$20*Assumptions!$B$18+((DATE(Assumptions!$B$4,12,28)-$N32)/365.25-Assumptions!$B$20)*Assumptions!$B$19)*CC32),0)</f>
        <v>5891.2114989733063</v>
      </c>
      <c r="CE32" s="249">
        <f>IF(CB32&gt;0,IF($M32="Saudi",MIN(CB32+$Q32*$V32,Assumptions!$B$14)*Assumptions!$B$12,MIN(CB32+$Q32*$V32,Assumptions!$B$14)*Assumptions!$B$13),0)</f>
        <v>0</v>
      </c>
      <c r="CF32" s="249">
        <f>IF(AND(CB32&gt;0,$M32="Non-Saudi"),Assumptions!$B$25,0)</f>
        <v>910.41666666666663</v>
      </c>
      <c r="CG32" s="249">
        <f t="shared" si="21"/>
        <v>77760</v>
      </c>
      <c r="CH32" s="249">
        <f t="shared" si="22"/>
        <v>106920</v>
      </c>
      <c r="CI32" s="249">
        <f>CD32-IF(AND(Z32&gt;0,$N32&lt;&gt;""),IF((DATE(Assumptions!$B$4-1,12,28)-$N32)/365.25&lt;=Assumptions!$B$20,(DATE(Assumptions!$B$4-1,12,28)-$N32)/365.25*Assumptions!$B$18*Z32,(Assumptions!$B$20*Assumptions!$B$18+((DATE(Assumptions!$B$4-1,12,28)-$N32)/365.25-Assumptions!$B$20)*Assumptions!$B$19)*Z32),0)</f>
        <v>4451.9507186858318</v>
      </c>
      <c r="CJ32" s="249">
        <f t="shared" si="23"/>
        <v>0</v>
      </c>
      <c r="CK32" s="249">
        <f t="shared" si="24"/>
        <v>10924.999999999998</v>
      </c>
    </row>
    <row r="33" spans="1:89" x14ac:dyDescent="0.2">
      <c r="A33" s="276">
        <v>30</v>
      </c>
      <c r="B33" s="277" t="s">
        <v>336</v>
      </c>
      <c r="C33" s="277" t="s">
        <v>337</v>
      </c>
      <c r="D33" s="277" t="s">
        <v>250</v>
      </c>
      <c r="E33" s="277" t="s">
        <v>767</v>
      </c>
      <c r="F33" s="277" t="s">
        <v>302</v>
      </c>
      <c r="G33" s="277" t="s">
        <v>303</v>
      </c>
      <c r="H33" s="277" t="s">
        <v>338</v>
      </c>
      <c r="I33" s="287" t="s">
        <v>691</v>
      </c>
      <c r="J33" s="277" t="s">
        <v>81</v>
      </c>
      <c r="K33" s="277" t="s">
        <v>254</v>
      </c>
      <c r="L33" s="277" t="s">
        <v>255</v>
      </c>
      <c r="M33" s="277" t="str">
        <f t="shared" si="0"/>
        <v>Non-Saudi</v>
      </c>
      <c r="N33" s="278">
        <v>44075</v>
      </c>
      <c r="O33" s="279">
        <v>6.3</v>
      </c>
      <c r="P33" s="280">
        <v>9250</v>
      </c>
      <c r="Q33" s="280">
        <v>2500</v>
      </c>
      <c r="R33" s="280">
        <v>500</v>
      </c>
      <c r="S33" s="280"/>
      <c r="T33" s="280"/>
      <c r="U33" s="280">
        <v>12250</v>
      </c>
      <c r="V33" s="281">
        <v>1</v>
      </c>
      <c r="W33" s="277" t="s">
        <v>259</v>
      </c>
      <c r="X33" s="277">
        <v>250</v>
      </c>
      <c r="Y33" s="249">
        <f t="shared" si="1"/>
        <v>9250</v>
      </c>
      <c r="Z33" s="249">
        <f t="shared" si="2"/>
        <v>12250</v>
      </c>
      <c r="AA33" s="249">
        <f>IF(AND(Z33&gt;0,$N33&lt;&gt;""),IF((DATE(Assumptions!$B$4,1,28)-$N33)/365.25&lt;=Assumptions!$B$20,(DATE(Assumptions!$B$4,1,28)-$N33)/365.25*Assumptions!$B$18*Z33,(Assumptions!$B$20*Assumptions!$B$18+((DATE(Assumptions!$B$4,1,28)-$N33)/365.25-Assumptions!$B$20)*Assumptions!$B$19)*Z33),0)</f>
        <v>35613.877481177275</v>
      </c>
      <c r="AB33" s="249">
        <f>IF(Y33&gt;0,IF($M33="Saudi",MIN(Y33+$Q33*$V33,Assumptions!$B$14)*Assumptions!$B$12,MIN(Y33+$Q33*$V33,Assumptions!$B$14)*Assumptions!$B$13),0)</f>
        <v>0</v>
      </c>
      <c r="AC33" s="249">
        <f>IF(AND(Y33&gt;0,$M33="Non-Saudi"),Assumptions!$B$25,0)</f>
        <v>910.41666666666663</v>
      </c>
      <c r="AD33" s="249">
        <f t="shared" si="3"/>
        <v>9250</v>
      </c>
      <c r="AE33" s="249">
        <f t="shared" si="4"/>
        <v>12250</v>
      </c>
      <c r="AF33" s="249">
        <f>IF(AND(AE33&gt;0,$N33&lt;&gt;""),IF((DATE(Assumptions!$B$4,2,28)-$N33)/365.25&lt;=Assumptions!$B$20,(DATE(Assumptions!$B$4,2,28)-$N33)/365.25*Assumptions!$B$18*AE33,(Assumptions!$B$20*Assumptions!$B$18+((DATE(Assumptions!$B$4,2,28)-$N33)/365.25-Assumptions!$B$20)*Assumptions!$B$19)*AE33),0)</f>
        <v>36653.576317590698</v>
      </c>
      <c r="AG33" s="249">
        <f>IF(AD33&gt;0,IF($M33="Saudi",MIN(AD33+$Q33*$V33,Assumptions!$B$14)*Assumptions!$B$12,MIN(AD33+$Q33*$V33,Assumptions!$B$14)*Assumptions!$B$13),0)</f>
        <v>0</v>
      </c>
      <c r="AH33" s="249">
        <f>IF(AND(AD33&gt;0,$M33="Non-Saudi"),Assumptions!$B$25,0)</f>
        <v>910.41666666666663</v>
      </c>
      <c r="AI33" s="249">
        <f t="shared" si="5"/>
        <v>9250</v>
      </c>
      <c r="AJ33" s="249">
        <f t="shared" si="6"/>
        <v>12250</v>
      </c>
      <c r="AK33" s="249">
        <f>IF(AND(AJ33&gt;0,$N33&lt;&gt;""),IF((DATE(Assumptions!$B$4,3,28)-$N33)/365.25&lt;=Assumptions!$B$20,(DATE(Assumptions!$B$4,3,28)-$N33)/365.25*Assumptions!$B$18*AJ33,(Assumptions!$B$20*Assumptions!$B$18+((DATE(Assumptions!$B$4,3,28)-$N33)/365.25-Assumptions!$B$20)*Assumptions!$B$19)*AJ33),0)</f>
        <v>37592.659137577008</v>
      </c>
      <c r="AL33" s="249">
        <f>IF(AI33&gt;0,IF($M33="Saudi",MIN(AI33+$Q33*$V33,Assumptions!$B$14)*Assumptions!$B$12,MIN(AI33+$Q33*$V33,Assumptions!$B$14)*Assumptions!$B$13),0)</f>
        <v>0</v>
      </c>
      <c r="AM33" s="249">
        <f>IF(AND(AI33&gt;0,$M33="Non-Saudi"),Assumptions!$B$25,0)</f>
        <v>910.41666666666663</v>
      </c>
      <c r="AN33" s="249">
        <f t="shared" si="7"/>
        <v>9250</v>
      </c>
      <c r="AO33" s="249">
        <f t="shared" si="8"/>
        <v>12250</v>
      </c>
      <c r="AP33" s="249">
        <f>IF(AND(AO33&gt;0,$N33&lt;&gt;""),IF((DATE(Assumptions!$B$4,4,28)-$N33)/365.25&lt;=Assumptions!$B$20,(DATE(Assumptions!$B$4,4,28)-$N33)/365.25*Assumptions!$B$18*AO33,(Assumptions!$B$20*Assumptions!$B$18+((DATE(Assumptions!$B$4,4,28)-$N33)/365.25-Assumptions!$B$20)*Assumptions!$B$19)*AO33),0)</f>
        <v>38632.357973990423</v>
      </c>
      <c r="AQ33" s="249">
        <f>IF(AN33&gt;0,IF($M33="Saudi",MIN(AN33+$Q33*$V33,Assumptions!$B$14)*Assumptions!$B$12,MIN(AN33+$Q33*$V33,Assumptions!$B$14)*Assumptions!$B$13),0)</f>
        <v>0</v>
      </c>
      <c r="AR33" s="249">
        <f>IF(AND(AN33&gt;0,$M33="Non-Saudi"),Assumptions!$B$25,0)</f>
        <v>910.41666666666663</v>
      </c>
      <c r="AS33" s="249">
        <f t="shared" si="9"/>
        <v>9250</v>
      </c>
      <c r="AT33" s="249">
        <f t="shared" si="10"/>
        <v>12250</v>
      </c>
      <c r="AU33" s="249">
        <f>IF(AND(AT33&gt;0,$N33&lt;&gt;""),IF((DATE(Assumptions!$B$4,5,28)-$N33)/365.25&lt;=Assumptions!$B$20,(DATE(Assumptions!$B$4,5,28)-$N33)/365.25*Assumptions!$B$18*AT33,(Assumptions!$B$20*Assumptions!$B$18+((DATE(Assumptions!$B$4,5,28)-$N33)/365.25-Assumptions!$B$20)*Assumptions!$B$19)*AT33),0)</f>
        <v>39638.518138261468</v>
      </c>
      <c r="AV33" s="249">
        <f>IF(AS33&gt;0,IF($M33="Saudi",MIN(AS33+$Q33*$V33,Assumptions!$B$14)*Assumptions!$B$12,MIN(AS33+$Q33*$V33,Assumptions!$B$14)*Assumptions!$B$13),0)</f>
        <v>0</v>
      </c>
      <c r="AW33" s="249">
        <f>IF(AND(AS33&gt;0,$M33="Non-Saudi"),Assumptions!$B$25,0)</f>
        <v>910.41666666666663</v>
      </c>
      <c r="AX33" s="249">
        <f t="shared" si="11"/>
        <v>9250</v>
      </c>
      <c r="AY33" s="249">
        <f t="shared" si="12"/>
        <v>12250</v>
      </c>
      <c r="AZ33" s="249">
        <f>IF(AND(AY33&gt;0,$N33&lt;&gt;""),IF((DATE(Assumptions!$B$4,6,28)-$N33)/365.25&lt;=Assumptions!$B$20,(DATE(Assumptions!$B$4,6,28)-$N33)/365.25*Assumptions!$B$18*AY33,(Assumptions!$B$20*Assumptions!$B$18+((DATE(Assumptions!$B$4,6,28)-$N33)/365.25-Assumptions!$B$20)*Assumptions!$B$19)*AY33),0)</f>
        <v>40678.216974674877</v>
      </c>
      <c r="BA33" s="249">
        <f>IF(AX33&gt;0,IF($M33="Saudi",MIN(AX33+$Q33*$V33,Assumptions!$B$14)*Assumptions!$B$12,MIN(AX33+$Q33*$V33,Assumptions!$B$14)*Assumptions!$B$13),0)</f>
        <v>0</v>
      </c>
      <c r="BB33" s="249">
        <f>IF(AND(AX33&gt;0,$M33="Non-Saudi"),Assumptions!$B$25,0)</f>
        <v>910.41666666666663</v>
      </c>
      <c r="BC33" s="249">
        <f t="shared" si="13"/>
        <v>9250</v>
      </c>
      <c r="BD33" s="249">
        <f t="shared" si="14"/>
        <v>12250</v>
      </c>
      <c r="BE33" s="249">
        <f>IF(AND(BD33&gt;0,$N33&lt;&gt;""),IF((DATE(Assumptions!$B$4,7,28)-$N33)/365.25&lt;=Assumptions!$B$20,(DATE(Assumptions!$B$4,7,28)-$N33)/365.25*Assumptions!$B$18*BD33,(Assumptions!$B$20*Assumptions!$B$18+((DATE(Assumptions!$B$4,7,28)-$N33)/365.25-Assumptions!$B$20)*Assumptions!$B$19)*BD33),0)</f>
        <v>41684.377138945929</v>
      </c>
      <c r="BF33" s="249">
        <f>IF(BC33&gt;0,IF($M33="Saudi",MIN(BC33+$Q33*$V33,Assumptions!$B$14)*Assumptions!$B$12,MIN(BC33+$Q33*$V33,Assumptions!$B$14)*Assumptions!$B$13),0)</f>
        <v>0</v>
      </c>
      <c r="BG33" s="249">
        <f>IF(AND(BC33&gt;0,$M33="Non-Saudi"),Assumptions!$B$25,0)</f>
        <v>910.41666666666663</v>
      </c>
      <c r="BH33" s="249">
        <f t="shared" si="15"/>
        <v>9250</v>
      </c>
      <c r="BI33" s="249">
        <f t="shared" si="16"/>
        <v>12250</v>
      </c>
      <c r="BJ33" s="249">
        <f>IF(AND(BI33&gt;0,$N33&lt;&gt;""),IF((DATE(Assumptions!$B$4,8,28)-$N33)/365.25&lt;=Assumptions!$B$20,(DATE(Assumptions!$B$4,8,28)-$N33)/365.25*Assumptions!$B$18*BI33,(Assumptions!$B$20*Assumptions!$B$18+((DATE(Assumptions!$B$4,8,28)-$N33)/365.25-Assumptions!$B$20)*Assumptions!$B$19)*BI33),0)</f>
        <v>42724.075975359337</v>
      </c>
      <c r="BK33" s="249">
        <f>IF(BH33&gt;0,IF($M33="Saudi",MIN(BH33+$Q33*$V33,Assumptions!$B$14)*Assumptions!$B$12,MIN(BH33+$Q33*$V33,Assumptions!$B$14)*Assumptions!$B$13),0)</f>
        <v>0</v>
      </c>
      <c r="BL33" s="249">
        <f>IF(AND(BH33&gt;0,$M33="Non-Saudi"),Assumptions!$B$25,0)</f>
        <v>910.41666666666663</v>
      </c>
      <c r="BM33" s="249">
        <f>IF(AND($D33="Contrat Local",$N33&lt;&gt;""),IF(AND(9&gt;=Assumptions!$B$5,ISNUMBER($X33),$N33&lt;EDATE(Assumptions!$B$9,-Assumptions!$B$6*12)),($P33+$X33)*$V33,$P33*$V33),0)</f>
        <v>9500</v>
      </c>
      <c r="BN33" s="249">
        <f t="shared" si="17"/>
        <v>12500</v>
      </c>
      <c r="BO33" s="249">
        <f>IF(AND(BN33&gt;0,$N33&lt;&gt;""),IF((DATE(Assumptions!$B$4,9,28)-$N33)/365.25&lt;=Assumptions!$B$20,(DATE(Assumptions!$B$4,9,28)-$N33)/365.25*Assumptions!$B$18*BN33,(Assumptions!$B$20*Assumptions!$B$18+((DATE(Assumptions!$B$4,9,28)-$N33)/365.25-Assumptions!$B$20)*Assumptions!$B$19)*BN33),0)</f>
        <v>44656.913073237505</v>
      </c>
      <c r="BP33" s="249">
        <f>IF(BM33&gt;0,IF($M33="Saudi",MIN(BM33+$Q33*$V33,Assumptions!$B$14)*Assumptions!$B$12,MIN(BM33+$Q33*$V33,Assumptions!$B$14)*Assumptions!$B$13),0)</f>
        <v>0</v>
      </c>
      <c r="BQ33" s="249">
        <f>IF(AND(BM33&gt;0,$M33="Non-Saudi"),Assumptions!$B$25,0)</f>
        <v>910.41666666666663</v>
      </c>
      <c r="BR33" s="249">
        <f>IF(AND($D33="Contrat Local",$N33&lt;&gt;""),IF(AND(10&gt;=Assumptions!$B$5,ISNUMBER($X33),$N33&lt;EDATE(Assumptions!$B$9,-Assumptions!$B$6*12)),($P33+$X33)*$V33,$P33*$V33),0)</f>
        <v>9500</v>
      </c>
      <c r="BS33" s="249">
        <f t="shared" si="18"/>
        <v>12500</v>
      </c>
      <c r="BT33" s="249">
        <f>IF(AND(BS33&gt;0,$N33&lt;&gt;""),IF((DATE(Assumptions!$B$4,10,28)-$N33)/365.25&lt;=Assumptions!$B$20,(DATE(Assumptions!$B$4,10,28)-$N33)/365.25*Assumptions!$B$18*BS33,(Assumptions!$B$20*Assumptions!$B$18+((DATE(Assumptions!$B$4,10,28)-$N33)/365.25-Assumptions!$B$20)*Assumptions!$B$19)*BS33),0)</f>
        <v>45683.607118412052</v>
      </c>
      <c r="BU33" s="249">
        <f>IF(BR33&gt;0,IF($M33="Saudi",MIN(BR33+$Q33*$V33,Assumptions!$B$14)*Assumptions!$B$12,MIN(BR33+$Q33*$V33,Assumptions!$B$14)*Assumptions!$B$13),0)</f>
        <v>0</v>
      </c>
      <c r="BV33" s="249">
        <f>IF(AND(BR33&gt;0,$M33="Non-Saudi"),Assumptions!$B$25,0)</f>
        <v>910.41666666666663</v>
      </c>
      <c r="BW33" s="249">
        <f>IF(AND($D33="Contrat Local",$N33&lt;&gt;""),IF(AND(11&gt;=Assumptions!$B$5,ISNUMBER($X33),$N33&lt;EDATE(Assumptions!$B$9,-Assumptions!$B$6*12)),($P33+$X33)*$V33,$P33*$V33),0)</f>
        <v>9500</v>
      </c>
      <c r="BX33" s="249">
        <f t="shared" si="19"/>
        <v>12500</v>
      </c>
      <c r="BY33" s="249">
        <f>IF(AND(BX33&gt;0,$N33&lt;&gt;""),IF((DATE(Assumptions!$B$4,11,28)-$N33)/365.25&lt;=Assumptions!$B$20,(DATE(Assumptions!$B$4,11,28)-$N33)/365.25*Assumptions!$B$18*BX33,(Assumptions!$B$20*Assumptions!$B$18+((DATE(Assumptions!$B$4,11,28)-$N33)/365.25-Assumptions!$B$20)*Assumptions!$B$19)*BX33),0)</f>
        <v>46744.524298425735</v>
      </c>
      <c r="BZ33" s="249">
        <f>IF(BW33&gt;0,IF($M33="Saudi",MIN(BW33+$Q33*$V33,Assumptions!$B$14)*Assumptions!$B$12,MIN(BW33+$Q33*$V33,Assumptions!$B$14)*Assumptions!$B$13),0)</f>
        <v>0</v>
      </c>
      <c r="CA33" s="249">
        <f>IF(AND(BW33&gt;0,$M33="Non-Saudi"),Assumptions!$B$25,0)</f>
        <v>910.41666666666663</v>
      </c>
      <c r="CB33" s="249">
        <f>IF(AND($D33="Contrat Local",$N33&lt;&gt;""),IF(AND(12&gt;=Assumptions!$B$5,ISNUMBER($X33),$N33&lt;EDATE(Assumptions!$B$9,-Assumptions!$B$6*12)),($P33+$X33)*$V33,$P33*$V33),0)</f>
        <v>9500</v>
      </c>
      <c r="CC33" s="249">
        <f t="shared" si="20"/>
        <v>12500</v>
      </c>
      <c r="CD33" s="249">
        <f>IF(AND(CC33&gt;0,$N33&lt;&gt;""),IF((DATE(Assumptions!$B$4,12,28)-$N33)/365.25&lt;=Assumptions!$B$20,(DATE(Assumptions!$B$4,12,28)-$N33)/365.25*Assumptions!$B$18*CC33,(Assumptions!$B$20*Assumptions!$B$18+((DATE(Assumptions!$B$4,12,28)-$N33)/365.25-Assumptions!$B$20)*Assumptions!$B$19)*CC33),0)</f>
        <v>47771.218343600274</v>
      </c>
      <c r="CE33" s="249">
        <f>IF(CB33&gt;0,IF($M33="Saudi",MIN(CB33+$Q33*$V33,Assumptions!$B$14)*Assumptions!$B$12,MIN(CB33+$Q33*$V33,Assumptions!$B$14)*Assumptions!$B$13),0)</f>
        <v>0</v>
      </c>
      <c r="CF33" s="249">
        <f>IF(AND(CB33&gt;0,$M33="Non-Saudi"),Assumptions!$B$25,0)</f>
        <v>910.41666666666663</v>
      </c>
      <c r="CG33" s="249">
        <f t="shared" si="21"/>
        <v>112000</v>
      </c>
      <c r="CH33" s="249">
        <f t="shared" si="22"/>
        <v>148000</v>
      </c>
      <c r="CI33" s="249">
        <f>CD33-IF(AND(Z33&gt;0,$N33&lt;&gt;""),IF((DATE(Assumptions!$B$4-1,12,28)-$N33)/365.25&lt;=Assumptions!$B$20,(DATE(Assumptions!$B$4-1,12,28)-$N33)/365.25*Assumptions!$B$18*Z33,(Assumptions!$B$20*Assumptions!$B$18+((DATE(Assumptions!$B$4-1,12,28)-$N33)/365.25-Assumptions!$B$20)*Assumptions!$B$19)*Z33),0)</f>
        <v>13197.039698836415</v>
      </c>
      <c r="CJ33" s="249">
        <f t="shared" si="23"/>
        <v>0</v>
      </c>
      <c r="CK33" s="249">
        <f t="shared" si="24"/>
        <v>10924.999999999998</v>
      </c>
    </row>
    <row r="34" spans="1:89" x14ac:dyDescent="0.2">
      <c r="A34" s="276">
        <v>31</v>
      </c>
      <c r="B34" s="277" t="s">
        <v>339</v>
      </c>
      <c r="C34" s="277" t="s">
        <v>340</v>
      </c>
      <c r="D34" s="277" t="s">
        <v>250</v>
      </c>
      <c r="E34" s="277" t="s">
        <v>767</v>
      </c>
      <c r="F34" s="277" t="s">
        <v>302</v>
      </c>
      <c r="G34" s="277" t="s">
        <v>303</v>
      </c>
      <c r="H34" s="277" t="s">
        <v>341</v>
      </c>
      <c r="I34" s="287" t="s">
        <v>691</v>
      </c>
      <c r="J34" s="277" t="s">
        <v>104</v>
      </c>
      <c r="K34" s="277" t="s">
        <v>254</v>
      </c>
      <c r="L34" s="277" t="s">
        <v>255</v>
      </c>
      <c r="M34" s="277" t="str">
        <f t="shared" si="0"/>
        <v>Non-Saudi</v>
      </c>
      <c r="N34" s="278">
        <v>44440</v>
      </c>
      <c r="O34" s="279">
        <v>5.3</v>
      </c>
      <c r="P34" s="280">
        <v>9000</v>
      </c>
      <c r="Q34" s="280">
        <v>2500</v>
      </c>
      <c r="R34" s="280">
        <v>500</v>
      </c>
      <c r="S34" s="280"/>
      <c r="T34" s="280">
        <v>1080</v>
      </c>
      <c r="U34" s="280">
        <v>13080</v>
      </c>
      <c r="V34" s="281">
        <v>1</v>
      </c>
      <c r="W34" s="277" t="s">
        <v>256</v>
      </c>
      <c r="X34" s="277">
        <v>250</v>
      </c>
      <c r="Y34" s="249">
        <f t="shared" si="1"/>
        <v>9000</v>
      </c>
      <c r="Z34" s="249">
        <f t="shared" si="2"/>
        <v>13080</v>
      </c>
      <c r="AA34" s="249">
        <f>IF(AND(Z34&gt;0,$N34&lt;&gt;""),IF((DATE(Assumptions!$B$4,1,28)-$N34)/365.25&lt;=Assumptions!$B$20,(DATE(Assumptions!$B$4,1,28)-$N34)/365.25*Assumptions!$B$18*Z34,(Assumptions!$B$20*Assumptions!$B$18+((DATE(Assumptions!$B$4,1,28)-$N34)/365.25-Assumptions!$B$20)*Assumptions!$B$19)*Z34),0)</f>
        <v>28827.926078028751</v>
      </c>
      <c r="AB34" s="249">
        <f>IF(Y34&gt;0,IF($M34="Saudi",MIN(Y34+$Q34*$V34,Assumptions!$B$14)*Assumptions!$B$12,MIN(Y34+$Q34*$V34,Assumptions!$B$14)*Assumptions!$B$13),0)</f>
        <v>0</v>
      </c>
      <c r="AC34" s="249">
        <f>IF(AND(Y34&gt;0,$M34="Non-Saudi"),Assumptions!$B$25,0)</f>
        <v>910.41666666666663</v>
      </c>
      <c r="AD34" s="249">
        <f t="shared" si="3"/>
        <v>9000</v>
      </c>
      <c r="AE34" s="249">
        <f t="shared" si="4"/>
        <v>13080</v>
      </c>
      <c r="AF34" s="249">
        <f>IF(AND(AE34&gt;0,$N34&lt;&gt;""),IF((DATE(Assumptions!$B$4,2,28)-$N34)/365.25&lt;=Assumptions!$B$20,(DATE(Assumptions!$B$4,2,28)-$N34)/365.25*Assumptions!$B$18*AE34,(Assumptions!$B$20*Assumptions!$B$18+((DATE(Assumptions!$B$4,2,28)-$N34)/365.25-Assumptions!$B$20)*Assumptions!$B$19)*AE34),0)</f>
        <v>29382.997946611911</v>
      </c>
      <c r="AG34" s="249">
        <f>IF(AD34&gt;0,IF($M34="Saudi",MIN(AD34+$Q34*$V34,Assumptions!$B$14)*Assumptions!$B$12,MIN(AD34+$Q34*$V34,Assumptions!$B$14)*Assumptions!$B$13),0)</f>
        <v>0</v>
      </c>
      <c r="AH34" s="249">
        <f>IF(AND(AD34&gt;0,$M34="Non-Saudi"),Assumptions!$B$25,0)</f>
        <v>910.41666666666663</v>
      </c>
      <c r="AI34" s="249">
        <f t="shared" si="5"/>
        <v>9000</v>
      </c>
      <c r="AJ34" s="249">
        <f t="shared" si="6"/>
        <v>13080</v>
      </c>
      <c r="AK34" s="249">
        <f>IF(AND(AJ34&gt;0,$N34&lt;&gt;""),IF((DATE(Assumptions!$B$4,3,28)-$N34)/365.25&lt;=Assumptions!$B$20,(DATE(Assumptions!$B$4,3,28)-$N34)/365.25*Assumptions!$B$18*AJ34,(Assumptions!$B$20*Assumptions!$B$18+((DATE(Assumptions!$B$4,3,28)-$N34)/365.25-Assumptions!$B$20)*Assumptions!$B$19)*AJ34),0)</f>
        <v>29884.35318275154</v>
      </c>
      <c r="AL34" s="249">
        <f>IF(AI34&gt;0,IF($M34="Saudi",MIN(AI34+$Q34*$V34,Assumptions!$B$14)*Assumptions!$B$12,MIN(AI34+$Q34*$V34,Assumptions!$B$14)*Assumptions!$B$13),0)</f>
        <v>0</v>
      </c>
      <c r="AM34" s="249">
        <f>IF(AND(AI34&gt;0,$M34="Non-Saudi"),Assumptions!$B$25,0)</f>
        <v>910.41666666666663</v>
      </c>
      <c r="AN34" s="249">
        <f t="shared" si="7"/>
        <v>9000</v>
      </c>
      <c r="AO34" s="249">
        <f t="shared" si="8"/>
        <v>13080</v>
      </c>
      <c r="AP34" s="249">
        <f>IF(AND(AO34&gt;0,$N34&lt;&gt;""),IF((DATE(Assumptions!$B$4,4,28)-$N34)/365.25&lt;=Assumptions!$B$20,(DATE(Assumptions!$B$4,4,28)-$N34)/365.25*Assumptions!$B$18*AO34,(Assumptions!$B$20*Assumptions!$B$18+((DATE(Assumptions!$B$4,4,28)-$N34)/365.25-Assumptions!$B$20)*Assumptions!$B$19)*AO34),0)</f>
        <v>30439.425051334703</v>
      </c>
      <c r="AQ34" s="249">
        <f>IF(AN34&gt;0,IF($M34="Saudi",MIN(AN34+$Q34*$V34,Assumptions!$B$14)*Assumptions!$B$12,MIN(AN34+$Q34*$V34,Assumptions!$B$14)*Assumptions!$B$13),0)</f>
        <v>0</v>
      </c>
      <c r="AR34" s="249">
        <f>IF(AND(AN34&gt;0,$M34="Non-Saudi"),Assumptions!$B$25,0)</f>
        <v>910.41666666666663</v>
      </c>
      <c r="AS34" s="249">
        <f t="shared" si="9"/>
        <v>9000</v>
      </c>
      <c r="AT34" s="249">
        <f t="shared" si="10"/>
        <v>13080</v>
      </c>
      <c r="AU34" s="249">
        <f>IF(AND(AT34&gt;0,$N34&lt;&gt;""),IF((DATE(Assumptions!$B$4,5,28)-$N34)/365.25&lt;=Assumptions!$B$20,(DATE(Assumptions!$B$4,5,28)-$N34)/365.25*Assumptions!$B$18*AT34,(Assumptions!$B$20*Assumptions!$B$18+((DATE(Assumptions!$B$4,5,28)-$N34)/365.25-Assumptions!$B$20)*Assumptions!$B$19)*AT34),0)</f>
        <v>30976.591375770018</v>
      </c>
      <c r="AV34" s="249">
        <f>IF(AS34&gt;0,IF($M34="Saudi",MIN(AS34+$Q34*$V34,Assumptions!$B$14)*Assumptions!$B$12,MIN(AS34+$Q34*$V34,Assumptions!$B$14)*Assumptions!$B$13),0)</f>
        <v>0</v>
      </c>
      <c r="AW34" s="249">
        <f>IF(AND(AS34&gt;0,$M34="Non-Saudi"),Assumptions!$B$25,0)</f>
        <v>910.41666666666663</v>
      </c>
      <c r="AX34" s="249">
        <f t="shared" si="11"/>
        <v>9000</v>
      </c>
      <c r="AY34" s="249">
        <f t="shared" si="12"/>
        <v>13080</v>
      </c>
      <c r="AZ34" s="249">
        <f>IF(AND(AY34&gt;0,$N34&lt;&gt;""),IF((DATE(Assumptions!$B$4,6,28)-$N34)/365.25&lt;=Assumptions!$B$20,(DATE(Assumptions!$B$4,6,28)-$N34)/365.25*Assumptions!$B$18*AY34,(Assumptions!$B$20*Assumptions!$B$18+((DATE(Assumptions!$B$4,6,28)-$N34)/365.25-Assumptions!$B$20)*Assumptions!$B$19)*AY34),0)</f>
        <v>31531.663244353182</v>
      </c>
      <c r="BA34" s="249">
        <f>IF(AX34&gt;0,IF($M34="Saudi",MIN(AX34+$Q34*$V34,Assumptions!$B$14)*Assumptions!$B$12,MIN(AX34+$Q34*$V34,Assumptions!$B$14)*Assumptions!$B$13),0)</f>
        <v>0</v>
      </c>
      <c r="BB34" s="249">
        <f>IF(AND(AX34&gt;0,$M34="Non-Saudi"),Assumptions!$B$25,0)</f>
        <v>910.41666666666663</v>
      </c>
      <c r="BC34" s="249">
        <f t="shared" si="13"/>
        <v>9000</v>
      </c>
      <c r="BD34" s="249">
        <f t="shared" si="14"/>
        <v>13080</v>
      </c>
      <c r="BE34" s="249">
        <f>IF(AND(BD34&gt;0,$N34&lt;&gt;""),IF((DATE(Assumptions!$B$4,7,28)-$N34)/365.25&lt;=Assumptions!$B$20,(DATE(Assumptions!$B$4,7,28)-$N34)/365.25*Assumptions!$B$18*BD34,(Assumptions!$B$20*Assumptions!$B$18+((DATE(Assumptions!$B$4,7,28)-$N34)/365.25-Assumptions!$B$20)*Assumptions!$B$19)*BD34),0)</f>
        <v>32068.8295687885</v>
      </c>
      <c r="BF34" s="249">
        <f>IF(BC34&gt;0,IF($M34="Saudi",MIN(BC34+$Q34*$V34,Assumptions!$B$14)*Assumptions!$B$12,MIN(BC34+$Q34*$V34,Assumptions!$B$14)*Assumptions!$B$13),0)</f>
        <v>0</v>
      </c>
      <c r="BG34" s="249">
        <f>IF(AND(BC34&gt;0,$M34="Non-Saudi"),Assumptions!$B$25,0)</f>
        <v>910.41666666666663</v>
      </c>
      <c r="BH34" s="249">
        <f t="shared" si="15"/>
        <v>9000</v>
      </c>
      <c r="BI34" s="249">
        <f t="shared" si="16"/>
        <v>13080</v>
      </c>
      <c r="BJ34" s="249">
        <f>IF(AND(BI34&gt;0,$N34&lt;&gt;""),IF((DATE(Assumptions!$B$4,8,28)-$N34)/365.25&lt;=Assumptions!$B$20,(DATE(Assumptions!$B$4,8,28)-$N34)/365.25*Assumptions!$B$18*BI34,(Assumptions!$B$20*Assumptions!$B$18+((DATE(Assumptions!$B$4,8,28)-$N34)/365.25-Assumptions!$B$20)*Assumptions!$B$19)*BI34),0)</f>
        <v>32623.901437371667</v>
      </c>
      <c r="BK34" s="249">
        <f>IF(BH34&gt;0,IF($M34="Saudi",MIN(BH34+$Q34*$V34,Assumptions!$B$14)*Assumptions!$B$12,MIN(BH34+$Q34*$V34,Assumptions!$B$14)*Assumptions!$B$13),0)</f>
        <v>0</v>
      </c>
      <c r="BL34" s="249">
        <f>IF(AND(BH34&gt;0,$M34="Non-Saudi"),Assumptions!$B$25,0)</f>
        <v>910.41666666666663</v>
      </c>
      <c r="BM34" s="249">
        <f>IF(AND($D34="Contrat Local",$N34&lt;&gt;""),IF(AND(9&gt;=Assumptions!$B$5,ISNUMBER($X34),$N34&lt;EDATE(Assumptions!$B$9,-Assumptions!$B$6*12)),($P34+$X34)*$V34,$P34*$V34),0)</f>
        <v>9250</v>
      </c>
      <c r="BN34" s="249">
        <f t="shared" si="17"/>
        <v>13330</v>
      </c>
      <c r="BO34" s="249">
        <f>IF(AND(BN34&gt;0,$N34&lt;&gt;""),IF((DATE(Assumptions!$B$4,9,28)-$N34)/365.25&lt;=Assumptions!$B$20,(DATE(Assumptions!$B$4,9,28)-$N34)/365.25*Assumptions!$B$18*BN34,(Assumptions!$B$20*Assumptions!$B$18+((DATE(Assumptions!$B$4,9,28)-$N34)/365.25-Assumptions!$B$20)*Assumptions!$B$19)*BN34),0)</f>
        <v>34301.255989048601</v>
      </c>
      <c r="BP34" s="249">
        <f>IF(BM34&gt;0,IF($M34="Saudi",MIN(BM34+$Q34*$V34,Assumptions!$B$14)*Assumptions!$B$12,MIN(BM34+$Q34*$V34,Assumptions!$B$14)*Assumptions!$B$13),0)</f>
        <v>0</v>
      </c>
      <c r="BQ34" s="249">
        <f>IF(AND(BM34&gt;0,$M34="Non-Saudi"),Assumptions!$B$25,0)</f>
        <v>910.41666666666663</v>
      </c>
      <c r="BR34" s="249">
        <f>IF(AND($D34="Contrat Local",$N34&lt;&gt;""),IF(AND(10&gt;=Assumptions!$B$5,ISNUMBER($X34),$N34&lt;EDATE(Assumptions!$B$9,-Assumptions!$B$6*12)),($P34+$X34)*$V34,$P34*$V34),0)</f>
        <v>9250</v>
      </c>
      <c r="BS34" s="249">
        <f t="shared" si="18"/>
        <v>13330</v>
      </c>
      <c r="BT34" s="249">
        <f>IF(AND(BS34&gt;0,$N34&lt;&gt;""),IF((DATE(Assumptions!$B$4,10,28)-$N34)/365.25&lt;=Assumptions!$B$20,(DATE(Assumptions!$B$4,10,28)-$N34)/365.25*Assumptions!$B$18*BS34,(Assumptions!$B$20*Assumptions!$B$18+((DATE(Assumptions!$B$4,10,28)-$N34)/365.25-Assumptions!$B$20)*Assumptions!$B$19)*BS34),0)</f>
        <v>35396.122518822725</v>
      </c>
      <c r="BU34" s="249">
        <f>IF(BR34&gt;0,IF($M34="Saudi",MIN(BR34+$Q34*$V34,Assumptions!$B$14)*Assumptions!$B$12,MIN(BR34+$Q34*$V34,Assumptions!$B$14)*Assumptions!$B$13),0)</f>
        <v>0</v>
      </c>
      <c r="BV34" s="249">
        <f>IF(AND(BR34&gt;0,$M34="Non-Saudi"),Assumptions!$B$25,0)</f>
        <v>910.41666666666663</v>
      </c>
      <c r="BW34" s="249">
        <f>IF(AND($D34="Contrat Local",$N34&lt;&gt;""),IF(AND(11&gt;=Assumptions!$B$5,ISNUMBER($X34),$N34&lt;EDATE(Assumptions!$B$9,-Assumptions!$B$6*12)),($P34+$X34)*$V34,$P34*$V34),0)</f>
        <v>9250</v>
      </c>
      <c r="BX34" s="249">
        <f t="shared" si="19"/>
        <v>13330</v>
      </c>
      <c r="BY34" s="249">
        <f>IF(AND(BX34&gt;0,$N34&lt;&gt;""),IF((DATE(Assumptions!$B$4,11,28)-$N34)/365.25&lt;=Assumptions!$B$20,(DATE(Assumptions!$B$4,11,28)-$N34)/365.25*Assumptions!$B$18*BX34,(Assumptions!$B$20*Assumptions!$B$18+((DATE(Assumptions!$B$4,11,28)-$N34)/365.25-Assumptions!$B$20)*Assumptions!$B$19)*BX34),0)</f>
        <v>36527.484599589319</v>
      </c>
      <c r="BZ34" s="249">
        <f>IF(BW34&gt;0,IF($M34="Saudi",MIN(BW34+$Q34*$V34,Assumptions!$B$14)*Assumptions!$B$12,MIN(BW34+$Q34*$V34,Assumptions!$B$14)*Assumptions!$B$13),0)</f>
        <v>0</v>
      </c>
      <c r="CA34" s="249">
        <f>IF(AND(BW34&gt;0,$M34="Non-Saudi"),Assumptions!$B$25,0)</f>
        <v>910.41666666666663</v>
      </c>
      <c r="CB34" s="249">
        <f>IF(AND($D34="Contrat Local",$N34&lt;&gt;""),IF(AND(12&gt;=Assumptions!$B$5,ISNUMBER($X34),$N34&lt;EDATE(Assumptions!$B$9,-Assumptions!$B$6*12)),($P34+$X34)*$V34,$P34*$V34),0)</f>
        <v>9250</v>
      </c>
      <c r="CC34" s="249">
        <f t="shared" si="20"/>
        <v>13330</v>
      </c>
      <c r="CD34" s="249">
        <f>IF(AND(CC34&gt;0,$N34&lt;&gt;""),IF((DATE(Assumptions!$B$4,12,28)-$N34)/365.25&lt;=Assumptions!$B$20,(DATE(Assumptions!$B$4,12,28)-$N34)/365.25*Assumptions!$B$18*CC34,(Assumptions!$B$20*Assumptions!$B$18+((DATE(Assumptions!$B$4,12,28)-$N34)/365.25-Assumptions!$B$20)*Assumptions!$B$19)*CC34),0)</f>
        <v>37622.351129363451</v>
      </c>
      <c r="CE34" s="249">
        <f>IF(CB34&gt;0,IF($M34="Saudi",MIN(CB34+$Q34*$V34,Assumptions!$B$14)*Assumptions!$B$12,MIN(CB34+$Q34*$V34,Assumptions!$B$14)*Assumptions!$B$13),0)</f>
        <v>0</v>
      </c>
      <c r="CF34" s="249">
        <f>IF(AND(CB34&gt;0,$M34="Non-Saudi"),Assumptions!$B$25,0)</f>
        <v>910.41666666666663</v>
      </c>
      <c r="CG34" s="249">
        <f t="shared" si="21"/>
        <v>109000</v>
      </c>
      <c r="CH34" s="249">
        <f t="shared" si="22"/>
        <v>157960</v>
      </c>
      <c r="CI34" s="249">
        <f>CD34-IF(AND(Z34&gt;0,$N34&lt;&gt;""),IF((DATE(Assumptions!$B$4-1,12,28)-$N34)/365.25&lt;=Assumptions!$B$20,(DATE(Assumptions!$B$4-1,12,28)-$N34)/365.25*Assumptions!$B$18*Z34,(Assumptions!$B$20*Assumptions!$B$18+((DATE(Assumptions!$B$4-1,12,28)-$N34)/365.25-Assumptions!$B$20)*Assumptions!$B$19)*Z34),0)</f>
        <v>9349.4969199178668</v>
      </c>
      <c r="CJ34" s="249">
        <f t="shared" si="23"/>
        <v>0</v>
      </c>
      <c r="CK34" s="249">
        <f t="shared" si="24"/>
        <v>10924.999999999998</v>
      </c>
    </row>
    <row r="35" spans="1:89" x14ac:dyDescent="0.2">
      <c r="A35" s="258">
        <v>32</v>
      </c>
      <c r="B35" s="259" t="s">
        <v>342</v>
      </c>
      <c r="C35" s="259" t="s">
        <v>343</v>
      </c>
      <c r="D35" s="259" t="s">
        <v>250</v>
      </c>
      <c r="E35" s="259" t="s">
        <v>767</v>
      </c>
      <c r="F35" s="259" t="s">
        <v>344</v>
      </c>
      <c r="G35" s="259" t="s">
        <v>4</v>
      </c>
      <c r="H35" s="259" t="s">
        <v>120</v>
      </c>
      <c r="I35" s="288" t="s">
        <v>691</v>
      </c>
      <c r="J35" s="259" t="s">
        <v>344</v>
      </c>
      <c r="K35" s="259" t="s">
        <v>4</v>
      </c>
      <c r="L35" s="259" t="s">
        <v>255</v>
      </c>
      <c r="M35" s="259" t="str">
        <f t="shared" si="0"/>
        <v>Non-Saudi</v>
      </c>
      <c r="N35" s="260">
        <v>42979</v>
      </c>
      <c r="O35" s="261">
        <v>9.3000000000000007</v>
      </c>
      <c r="P35" s="262">
        <v>7200</v>
      </c>
      <c r="Q35" s="262">
        <v>2500</v>
      </c>
      <c r="R35" s="262">
        <v>500</v>
      </c>
      <c r="S35" s="262"/>
      <c r="T35" s="262"/>
      <c r="U35" s="262">
        <v>10200</v>
      </c>
      <c r="V35" s="263">
        <v>1</v>
      </c>
      <c r="W35" s="259" t="s">
        <v>259</v>
      </c>
      <c r="X35" s="259">
        <v>200</v>
      </c>
      <c r="Y35" s="249">
        <f t="shared" si="1"/>
        <v>7200</v>
      </c>
      <c r="Z35" s="249">
        <f t="shared" si="2"/>
        <v>10200</v>
      </c>
      <c r="AA35" s="249">
        <f>IF(AND(Z35&gt;0,$N35&lt;&gt;""),IF((DATE(Assumptions!$B$4,1,28)-$N35)/365.25&lt;=Assumptions!$B$20,(DATE(Assumptions!$B$4,1,28)-$N35)/365.25*Assumptions!$B$18*Z35,(Assumptions!$B$20*Assumptions!$B$18+((DATE(Assumptions!$B$4,1,28)-$N35)/365.25-Assumptions!$B$20)*Assumptions!$B$19)*Z35),0)</f>
        <v>60260.985626283364</v>
      </c>
      <c r="AB35" s="249">
        <f>IF(Y35&gt;0,IF($M35="Saudi",MIN(Y35+$Q35*$V35,Assumptions!$B$14)*Assumptions!$B$12,MIN(Y35+$Q35*$V35,Assumptions!$B$14)*Assumptions!$B$13),0)</f>
        <v>0</v>
      </c>
      <c r="AC35" s="249">
        <f>IF(AND(Y35&gt;0,$M35="Non-Saudi"),Assumptions!$B$25,0)</f>
        <v>910.41666666666663</v>
      </c>
      <c r="AD35" s="249">
        <f t="shared" si="3"/>
        <v>7200</v>
      </c>
      <c r="AE35" s="249">
        <f t="shared" si="4"/>
        <v>10200</v>
      </c>
      <c r="AF35" s="249">
        <f>IF(AND(AE35&gt;0,$N35&lt;&gt;""),IF((DATE(Assumptions!$B$4,2,28)-$N35)/365.25&lt;=Assumptions!$B$20,(DATE(Assumptions!$B$4,2,28)-$N35)/365.25*Assumptions!$B$18*AE35,(Assumptions!$B$20*Assumptions!$B$18+((DATE(Assumptions!$B$4,2,28)-$N35)/365.25-Assumptions!$B$20)*Assumptions!$B$19)*AE35),0)</f>
        <v>61126.694045174532</v>
      </c>
      <c r="AG35" s="249">
        <f>IF(AD35&gt;0,IF($M35="Saudi",MIN(AD35+$Q35*$V35,Assumptions!$B$14)*Assumptions!$B$12,MIN(AD35+$Q35*$V35,Assumptions!$B$14)*Assumptions!$B$13),0)</f>
        <v>0</v>
      </c>
      <c r="AH35" s="249">
        <f>IF(AND(AD35&gt;0,$M35="Non-Saudi"),Assumptions!$B$25,0)</f>
        <v>910.41666666666663</v>
      </c>
      <c r="AI35" s="249">
        <f t="shared" si="5"/>
        <v>7200</v>
      </c>
      <c r="AJ35" s="249">
        <f t="shared" si="6"/>
        <v>10200</v>
      </c>
      <c r="AK35" s="249">
        <f>IF(AND(AJ35&gt;0,$N35&lt;&gt;""),IF((DATE(Assumptions!$B$4,3,28)-$N35)/365.25&lt;=Assumptions!$B$20,(DATE(Assumptions!$B$4,3,28)-$N35)/365.25*Assumptions!$B$18*AJ35,(Assumptions!$B$20*Assumptions!$B$18+((DATE(Assumptions!$B$4,3,28)-$N35)/365.25-Assumptions!$B$20)*Assumptions!$B$19)*AJ35),0)</f>
        <v>61908.624229979469</v>
      </c>
      <c r="AL35" s="249">
        <f>IF(AI35&gt;0,IF($M35="Saudi",MIN(AI35+$Q35*$V35,Assumptions!$B$14)*Assumptions!$B$12,MIN(AI35+$Q35*$V35,Assumptions!$B$14)*Assumptions!$B$13),0)</f>
        <v>0</v>
      </c>
      <c r="AM35" s="249">
        <f>IF(AND(AI35&gt;0,$M35="Non-Saudi"),Assumptions!$B$25,0)</f>
        <v>910.41666666666663</v>
      </c>
      <c r="AN35" s="249">
        <f t="shared" si="7"/>
        <v>7200</v>
      </c>
      <c r="AO35" s="249">
        <f t="shared" si="8"/>
        <v>10200</v>
      </c>
      <c r="AP35" s="249">
        <f>IF(AND(AO35&gt;0,$N35&lt;&gt;""),IF((DATE(Assumptions!$B$4,4,28)-$N35)/365.25&lt;=Assumptions!$B$20,(DATE(Assumptions!$B$4,4,28)-$N35)/365.25*Assumptions!$B$18*AO35,(Assumptions!$B$20*Assumptions!$B$18+((DATE(Assumptions!$B$4,4,28)-$N35)/365.25-Assumptions!$B$20)*Assumptions!$B$19)*AO35),0)</f>
        <v>62774.332648870637</v>
      </c>
      <c r="AQ35" s="249">
        <f>IF(AN35&gt;0,IF($M35="Saudi",MIN(AN35+$Q35*$V35,Assumptions!$B$14)*Assumptions!$B$12,MIN(AN35+$Q35*$V35,Assumptions!$B$14)*Assumptions!$B$13),0)</f>
        <v>0</v>
      </c>
      <c r="AR35" s="249">
        <f>IF(AND(AN35&gt;0,$M35="Non-Saudi"),Assumptions!$B$25,0)</f>
        <v>910.41666666666663</v>
      </c>
      <c r="AS35" s="249">
        <f t="shared" si="9"/>
        <v>7200</v>
      </c>
      <c r="AT35" s="249">
        <f t="shared" si="10"/>
        <v>10200</v>
      </c>
      <c r="AU35" s="249">
        <f>IF(AND(AT35&gt;0,$N35&lt;&gt;""),IF((DATE(Assumptions!$B$4,5,28)-$N35)/365.25&lt;=Assumptions!$B$20,(DATE(Assumptions!$B$4,5,28)-$N35)/365.25*Assumptions!$B$18*AT35,(Assumptions!$B$20*Assumptions!$B$18+((DATE(Assumptions!$B$4,5,28)-$N35)/365.25-Assumptions!$B$20)*Assumptions!$B$19)*AT35),0)</f>
        <v>63612.114989733069</v>
      </c>
      <c r="AV35" s="249">
        <f>IF(AS35&gt;0,IF($M35="Saudi",MIN(AS35+$Q35*$V35,Assumptions!$B$14)*Assumptions!$B$12,MIN(AS35+$Q35*$V35,Assumptions!$B$14)*Assumptions!$B$13),0)</f>
        <v>0</v>
      </c>
      <c r="AW35" s="249">
        <f>IF(AND(AS35&gt;0,$M35="Non-Saudi"),Assumptions!$B$25,0)</f>
        <v>910.41666666666663</v>
      </c>
      <c r="AX35" s="249">
        <f t="shared" si="11"/>
        <v>7200</v>
      </c>
      <c r="AY35" s="249">
        <f t="shared" si="12"/>
        <v>10200</v>
      </c>
      <c r="AZ35" s="249">
        <f>IF(AND(AY35&gt;0,$N35&lt;&gt;""),IF((DATE(Assumptions!$B$4,6,28)-$N35)/365.25&lt;=Assumptions!$B$20,(DATE(Assumptions!$B$4,6,28)-$N35)/365.25*Assumptions!$B$18*AY35,(Assumptions!$B$20*Assumptions!$B$18+((DATE(Assumptions!$B$4,6,28)-$N35)/365.25-Assumptions!$B$20)*Assumptions!$B$19)*AY35),0)</f>
        <v>64477.823408624237</v>
      </c>
      <c r="BA35" s="249">
        <f>IF(AX35&gt;0,IF($M35="Saudi",MIN(AX35+$Q35*$V35,Assumptions!$B$14)*Assumptions!$B$12,MIN(AX35+$Q35*$V35,Assumptions!$B$14)*Assumptions!$B$13),0)</f>
        <v>0</v>
      </c>
      <c r="BB35" s="249">
        <f>IF(AND(AX35&gt;0,$M35="Non-Saudi"),Assumptions!$B$25,0)</f>
        <v>910.41666666666663</v>
      </c>
      <c r="BC35" s="249">
        <f t="shared" si="13"/>
        <v>7200</v>
      </c>
      <c r="BD35" s="249">
        <f t="shared" si="14"/>
        <v>10200</v>
      </c>
      <c r="BE35" s="249">
        <f>IF(AND(BD35&gt;0,$N35&lt;&gt;""),IF((DATE(Assumptions!$B$4,7,28)-$N35)/365.25&lt;=Assumptions!$B$20,(DATE(Assumptions!$B$4,7,28)-$N35)/365.25*Assumptions!$B$18*BD35,(Assumptions!$B$20*Assumptions!$B$18+((DATE(Assumptions!$B$4,7,28)-$N35)/365.25-Assumptions!$B$20)*Assumptions!$B$19)*BD35),0)</f>
        <v>65315.605749486647</v>
      </c>
      <c r="BF35" s="249">
        <f>IF(BC35&gt;0,IF($M35="Saudi",MIN(BC35+$Q35*$V35,Assumptions!$B$14)*Assumptions!$B$12,MIN(BC35+$Q35*$V35,Assumptions!$B$14)*Assumptions!$B$13),0)</f>
        <v>0</v>
      </c>
      <c r="BG35" s="249">
        <f>IF(AND(BC35&gt;0,$M35="Non-Saudi"),Assumptions!$B$25,0)</f>
        <v>910.41666666666663</v>
      </c>
      <c r="BH35" s="249">
        <f t="shared" si="15"/>
        <v>7200</v>
      </c>
      <c r="BI35" s="249">
        <f t="shared" si="16"/>
        <v>10200</v>
      </c>
      <c r="BJ35" s="249">
        <f>IF(AND(BI35&gt;0,$N35&lt;&gt;""),IF((DATE(Assumptions!$B$4,8,28)-$N35)/365.25&lt;=Assumptions!$B$20,(DATE(Assumptions!$B$4,8,28)-$N35)/365.25*Assumptions!$B$18*BI35,(Assumptions!$B$20*Assumptions!$B$18+((DATE(Assumptions!$B$4,8,28)-$N35)/365.25-Assumptions!$B$20)*Assumptions!$B$19)*BI35),0)</f>
        <v>66181.314168377823</v>
      </c>
      <c r="BK35" s="249">
        <f>IF(BH35&gt;0,IF($M35="Saudi",MIN(BH35+$Q35*$V35,Assumptions!$B$14)*Assumptions!$B$12,MIN(BH35+$Q35*$V35,Assumptions!$B$14)*Assumptions!$B$13),0)</f>
        <v>0</v>
      </c>
      <c r="BL35" s="249">
        <f>IF(AND(BH35&gt;0,$M35="Non-Saudi"),Assumptions!$B$25,0)</f>
        <v>910.41666666666663</v>
      </c>
      <c r="BM35" s="249">
        <f>IF(AND($D35="Contrat Local",$N35&lt;&gt;""),IF(AND(9&gt;=Assumptions!$B$5,ISNUMBER($X35),$N35&lt;EDATE(Assumptions!$B$9,-Assumptions!$B$6*12)),($P35+$X35)*$V35,$P35*$V35),0)</f>
        <v>7400</v>
      </c>
      <c r="BN35" s="249">
        <f t="shared" si="17"/>
        <v>10400</v>
      </c>
      <c r="BO35" s="249">
        <f>IF(AND(BN35&gt;0,$N35&lt;&gt;""),IF((DATE(Assumptions!$B$4,9,28)-$N35)/365.25&lt;=Assumptions!$B$20,(DATE(Assumptions!$B$4,9,28)-$N35)/365.25*Assumptions!$B$18*BN35,(Assumptions!$B$20*Assumptions!$B$18+((DATE(Assumptions!$B$4,9,28)-$N35)/365.25-Assumptions!$B$20)*Assumptions!$B$19)*BN35),0)</f>
        <v>68361.670088980143</v>
      </c>
      <c r="BP35" s="249">
        <f>IF(BM35&gt;0,IF($M35="Saudi",MIN(BM35+$Q35*$V35,Assumptions!$B$14)*Assumptions!$B$12,MIN(BM35+$Q35*$V35,Assumptions!$B$14)*Assumptions!$B$13),0)</f>
        <v>0</v>
      </c>
      <c r="BQ35" s="249">
        <f>IF(AND(BM35&gt;0,$M35="Non-Saudi"),Assumptions!$B$25,0)</f>
        <v>910.41666666666663</v>
      </c>
      <c r="BR35" s="249">
        <f>IF(AND($D35="Contrat Local",$N35&lt;&gt;""),IF(AND(10&gt;=Assumptions!$B$5,ISNUMBER($X35),$N35&lt;EDATE(Assumptions!$B$9,-Assumptions!$B$6*12)),($P35+$X35)*$V35,$P35*$V35),0)</f>
        <v>7400</v>
      </c>
      <c r="BS35" s="249">
        <f t="shared" si="18"/>
        <v>10400</v>
      </c>
      <c r="BT35" s="249">
        <f>IF(AND(BS35&gt;0,$N35&lt;&gt;""),IF((DATE(Assumptions!$B$4,10,28)-$N35)/365.25&lt;=Assumptions!$B$20,(DATE(Assumptions!$B$4,10,28)-$N35)/365.25*Assumptions!$B$18*BS35,(Assumptions!$B$20*Assumptions!$B$18+((DATE(Assumptions!$B$4,10,28)-$N35)/365.25-Assumptions!$B$20)*Assumptions!$B$19)*BS35),0)</f>
        <v>69215.879534565363</v>
      </c>
      <c r="BU35" s="249">
        <f>IF(BR35&gt;0,IF($M35="Saudi",MIN(BR35+$Q35*$V35,Assumptions!$B$14)*Assumptions!$B$12,MIN(BR35+$Q35*$V35,Assumptions!$B$14)*Assumptions!$B$13),0)</f>
        <v>0</v>
      </c>
      <c r="BV35" s="249">
        <f>IF(AND(BR35&gt;0,$M35="Non-Saudi"),Assumptions!$B$25,0)</f>
        <v>910.41666666666663</v>
      </c>
      <c r="BW35" s="249">
        <f>IF(AND($D35="Contrat Local",$N35&lt;&gt;""),IF(AND(11&gt;=Assumptions!$B$5,ISNUMBER($X35),$N35&lt;EDATE(Assumptions!$B$9,-Assumptions!$B$6*12)),($P35+$X35)*$V35,$P35*$V35),0)</f>
        <v>7400</v>
      </c>
      <c r="BX35" s="249">
        <f t="shared" si="19"/>
        <v>10400</v>
      </c>
      <c r="BY35" s="249">
        <f>IF(AND(BX35&gt;0,$N35&lt;&gt;""),IF((DATE(Assumptions!$B$4,11,28)-$N35)/365.25&lt;=Assumptions!$B$20,(DATE(Assumptions!$B$4,11,28)-$N35)/365.25*Assumptions!$B$18*BX35,(Assumptions!$B$20*Assumptions!$B$18+((DATE(Assumptions!$B$4,11,28)-$N35)/365.25-Assumptions!$B$20)*Assumptions!$B$19)*BX35),0)</f>
        <v>70098.56262833676</v>
      </c>
      <c r="BZ35" s="249">
        <f>IF(BW35&gt;0,IF($M35="Saudi",MIN(BW35+$Q35*$V35,Assumptions!$B$14)*Assumptions!$B$12,MIN(BW35+$Q35*$V35,Assumptions!$B$14)*Assumptions!$B$13),0)</f>
        <v>0</v>
      </c>
      <c r="CA35" s="249">
        <f>IF(AND(BW35&gt;0,$M35="Non-Saudi"),Assumptions!$B$25,0)</f>
        <v>910.41666666666663</v>
      </c>
      <c r="CB35" s="249">
        <f>IF(AND($D35="Contrat Local",$N35&lt;&gt;""),IF(AND(12&gt;=Assumptions!$B$5,ISNUMBER($X35),$N35&lt;EDATE(Assumptions!$B$9,-Assumptions!$B$6*12)),($P35+$X35)*$V35,$P35*$V35),0)</f>
        <v>7400</v>
      </c>
      <c r="CC35" s="249">
        <f t="shared" si="20"/>
        <v>10400</v>
      </c>
      <c r="CD35" s="249">
        <f>IF(AND(CC35&gt;0,$N35&lt;&gt;""),IF((DATE(Assumptions!$B$4,12,28)-$N35)/365.25&lt;=Assumptions!$B$20,(DATE(Assumptions!$B$4,12,28)-$N35)/365.25*Assumptions!$B$18*CC35,(Assumptions!$B$20*Assumptions!$B$18+((DATE(Assumptions!$B$4,12,28)-$N35)/365.25-Assumptions!$B$20)*Assumptions!$B$19)*CC35),0)</f>
        <v>70952.77207392198</v>
      </c>
      <c r="CE35" s="249">
        <f>IF(CB35&gt;0,IF($M35="Saudi",MIN(CB35+$Q35*$V35,Assumptions!$B$14)*Assumptions!$B$12,MIN(CB35+$Q35*$V35,Assumptions!$B$14)*Assumptions!$B$13),0)</f>
        <v>0</v>
      </c>
      <c r="CF35" s="249">
        <f>IF(AND(CB35&gt;0,$M35="Non-Saudi"),Assumptions!$B$25,0)</f>
        <v>910.41666666666663</v>
      </c>
      <c r="CG35" s="249">
        <f t="shared" si="21"/>
        <v>87200</v>
      </c>
      <c r="CH35" s="249">
        <f t="shared" si="22"/>
        <v>123200</v>
      </c>
      <c r="CI35" s="249">
        <f>CD35-IF(AND(Z35&gt;0,$N35&lt;&gt;""),IF((DATE(Assumptions!$B$4-1,12,28)-$N35)/365.25&lt;=Assumptions!$B$20,(DATE(Assumptions!$B$4-1,12,28)-$N35)/365.25*Assumptions!$B$18*Z35,(Assumptions!$B$20*Assumptions!$B$18+((DATE(Assumptions!$B$4-1,12,28)-$N35)/365.25-Assumptions!$B$20)*Assumptions!$B$19)*Z35),0)</f>
        <v>11557.494866529785</v>
      </c>
      <c r="CJ35" s="249">
        <f t="shared" si="23"/>
        <v>0</v>
      </c>
      <c r="CK35" s="249">
        <f t="shared" si="24"/>
        <v>10924.999999999998</v>
      </c>
    </row>
    <row r="36" spans="1:89" x14ac:dyDescent="0.2">
      <c r="A36" s="276">
        <v>33</v>
      </c>
      <c r="B36" s="277" t="s">
        <v>345</v>
      </c>
      <c r="C36" s="277" t="s">
        <v>346</v>
      </c>
      <c r="D36" s="277" t="s">
        <v>250</v>
      </c>
      <c r="E36" s="277" t="s">
        <v>767</v>
      </c>
      <c r="F36" s="277" t="s">
        <v>302</v>
      </c>
      <c r="G36" s="277" t="s">
        <v>303</v>
      </c>
      <c r="H36" s="277" t="s">
        <v>307</v>
      </c>
      <c r="I36" s="287" t="s">
        <v>691</v>
      </c>
      <c r="J36" s="286" t="s">
        <v>307</v>
      </c>
      <c r="K36" s="277" t="s">
        <v>254</v>
      </c>
      <c r="L36" s="277" t="s">
        <v>255</v>
      </c>
      <c r="M36" s="277" t="str">
        <f t="shared" si="0"/>
        <v>Non-Saudi</v>
      </c>
      <c r="N36" s="278">
        <v>45901</v>
      </c>
      <c r="O36" s="279">
        <v>1.3</v>
      </c>
      <c r="P36" s="280">
        <v>8250</v>
      </c>
      <c r="Q36" s="280">
        <v>2500</v>
      </c>
      <c r="R36" s="280">
        <v>500</v>
      </c>
      <c r="S36" s="280"/>
      <c r="T36" s="280"/>
      <c r="U36" s="280">
        <v>11250</v>
      </c>
      <c r="V36" s="281">
        <v>1</v>
      </c>
      <c r="W36" s="277" t="s">
        <v>259</v>
      </c>
      <c r="X36" s="277" t="s">
        <v>268</v>
      </c>
      <c r="Y36" s="249">
        <f t="shared" si="1"/>
        <v>8250</v>
      </c>
      <c r="Z36" s="249">
        <f t="shared" si="2"/>
        <v>11250</v>
      </c>
      <c r="AA36" s="249">
        <f>IF(AND(Z36&gt;0,$N36&lt;&gt;""),IF((DATE(Assumptions!$B$4,1,28)-$N36)/365.25&lt;=Assumptions!$B$20,(DATE(Assumptions!$B$4,1,28)-$N36)/365.25*Assumptions!$B$18*Z36,(Assumptions!$B$20*Assumptions!$B$18+((DATE(Assumptions!$B$4,1,28)-$N36)/365.25-Assumptions!$B$20)*Assumptions!$B$19)*Z36),0)</f>
        <v>2294.6611909650924</v>
      </c>
      <c r="AB36" s="249">
        <f>IF(Y36&gt;0,IF($M36="Saudi",MIN(Y36+$Q36*$V36,Assumptions!$B$14)*Assumptions!$B$12,MIN(Y36+$Q36*$V36,Assumptions!$B$14)*Assumptions!$B$13),0)</f>
        <v>0</v>
      </c>
      <c r="AC36" s="249">
        <f>IF(AND(Y36&gt;0,$M36="Non-Saudi"),Assumptions!$B$25,0)</f>
        <v>910.41666666666663</v>
      </c>
      <c r="AD36" s="249">
        <f t="shared" si="3"/>
        <v>8250</v>
      </c>
      <c r="AE36" s="249">
        <f t="shared" si="4"/>
        <v>11250</v>
      </c>
      <c r="AF36" s="249">
        <f>IF(AND(AE36&gt;0,$N36&lt;&gt;""),IF((DATE(Assumptions!$B$4,2,28)-$N36)/365.25&lt;=Assumptions!$B$20,(DATE(Assumptions!$B$4,2,28)-$N36)/365.25*Assumptions!$B$18*AE36,(Assumptions!$B$20*Assumptions!$B$18+((DATE(Assumptions!$B$4,2,28)-$N36)/365.25-Assumptions!$B$20)*Assumptions!$B$19)*AE36),0)</f>
        <v>2772.0739219712523</v>
      </c>
      <c r="AG36" s="249">
        <f>IF(AD36&gt;0,IF($M36="Saudi",MIN(AD36+$Q36*$V36,Assumptions!$B$14)*Assumptions!$B$12,MIN(AD36+$Q36*$V36,Assumptions!$B$14)*Assumptions!$B$13),0)</f>
        <v>0</v>
      </c>
      <c r="AH36" s="249">
        <f>IF(AND(AD36&gt;0,$M36="Non-Saudi"),Assumptions!$B$25,0)</f>
        <v>910.41666666666663</v>
      </c>
      <c r="AI36" s="249">
        <f t="shared" si="5"/>
        <v>8250</v>
      </c>
      <c r="AJ36" s="249">
        <f t="shared" si="6"/>
        <v>11250</v>
      </c>
      <c r="AK36" s="249">
        <f>IF(AND(AJ36&gt;0,$N36&lt;&gt;""),IF((DATE(Assumptions!$B$4,3,28)-$N36)/365.25&lt;=Assumptions!$B$20,(DATE(Assumptions!$B$4,3,28)-$N36)/365.25*Assumptions!$B$18*AJ36,(Assumptions!$B$20*Assumptions!$B$18+((DATE(Assumptions!$B$4,3,28)-$N36)/365.25-Assumptions!$B$20)*Assumptions!$B$19)*AJ36),0)</f>
        <v>3203.2854209445586</v>
      </c>
      <c r="AL36" s="249">
        <f>IF(AI36&gt;0,IF($M36="Saudi",MIN(AI36+$Q36*$V36,Assumptions!$B$14)*Assumptions!$B$12,MIN(AI36+$Q36*$V36,Assumptions!$B$14)*Assumptions!$B$13),0)</f>
        <v>0</v>
      </c>
      <c r="AM36" s="249">
        <f>IF(AND(AI36&gt;0,$M36="Non-Saudi"),Assumptions!$B$25,0)</f>
        <v>910.41666666666663</v>
      </c>
      <c r="AN36" s="249">
        <f t="shared" si="7"/>
        <v>8250</v>
      </c>
      <c r="AO36" s="249">
        <f t="shared" si="8"/>
        <v>11250</v>
      </c>
      <c r="AP36" s="249">
        <f>IF(AND(AO36&gt;0,$N36&lt;&gt;""),IF((DATE(Assumptions!$B$4,4,28)-$N36)/365.25&lt;=Assumptions!$B$20,(DATE(Assumptions!$B$4,4,28)-$N36)/365.25*Assumptions!$B$18*AO36,(Assumptions!$B$20*Assumptions!$B$18+((DATE(Assumptions!$B$4,4,28)-$N36)/365.25-Assumptions!$B$20)*Assumptions!$B$19)*AO36),0)</f>
        <v>3680.6981519507185</v>
      </c>
      <c r="AQ36" s="249">
        <f>IF(AN36&gt;0,IF($M36="Saudi",MIN(AN36+$Q36*$V36,Assumptions!$B$14)*Assumptions!$B$12,MIN(AN36+$Q36*$V36,Assumptions!$B$14)*Assumptions!$B$13),0)</f>
        <v>0</v>
      </c>
      <c r="AR36" s="249">
        <f>IF(AND(AN36&gt;0,$M36="Non-Saudi"),Assumptions!$B$25,0)</f>
        <v>910.41666666666663</v>
      </c>
      <c r="AS36" s="249">
        <f t="shared" si="9"/>
        <v>8250</v>
      </c>
      <c r="AT36" s="249">
        <f t="shared" si="10"/>
        <v>11250</v>
      </c>
      <c r="AU36" s="249">
        <f>IF(AND(AT36&gt;0,$N36&lt;&gt;""),IF((DATE(Assumptions!$B$4,5,28)-$N36)/365.25&lt;=Assumptions!$B$20,(DATE(Assumptions!$B$4,5,28)-$N36)/365.25*Assumptions!$B$18*AT36,(Assumptions!$B$20*Assumptions!$B$18+((DATE(Assumptions!$B$4,5,28)-$N36)/365.25-Assumptions!$B$20)*Assumptions!$B$19)*AT36),0)</f>
        <v>4142.710472279261</v>
      </c>
      <c r="AV36" s="249">
        <f>IF(AS36&gt;0,IF($M36="Saudi",MIN(AS36+$Q36*$V36,Assumptions!$B$14)*Assumptions!$B$12,MIN(AS36+$Q36*$V36,Assumptions!$B$14)*Assumptions!$B$13),0)</f>
        <v>0</v>
      </c>
      <c r="AW36" s="249">
        <f>IF(AND(AS36&gt;0,$M36="Non-Saudi"),Assumptions!$B$25,0)</f>
        <v>910.41666666666663</v>
      </c>
      <c r="AX36" s="249">
        <f t="shared" si="11"/>
        <v>8250</v>
      </c>
      <c r="AY36" s="249">
        <f t="shared" si="12"/>
        <v>11250</v>
      </c>
      <c r="AZ36" s="249">
        <f>IF(AND(AY36&gt;0,$N36&lt;&gt;""),IF((DATE(Assumptions!$B$4,6,28)-$N36)/365.25&lt;=Assumptions!$B$20,(DATE(Assumptions!$B$4,6,28)-$N36)/365.25*Assumptions!$B$18*AY36,(Assumptions!$B$20*Assumptions!$B$18+((DATE(Assumptions!$B$4,6,28)-$N36)/365.25-Assumptions!$B$20)*Assumptions!$B$19)*AY36),0)</f>
        <v>4620.1232032854205</v>
      </c>
      <c r="BA36" s="249">
        <f>IF(AX36&gt;0,IF($M36="Saudi",MIN(AX36+$Q36*$V36,Assumptions!$B$14)*Assumptions!$B$12,MIN(AX36+$Q36*$V36,Assumptions!$B$14)*Assumptions!$B$13),0)</f>
        <v>0</v>
      </c>
      <c r="BB36" s="249">
        <f>IF(AND(AX36&gt;0,$M36="Non-Saudi"),Assumptions!$B$25,0)</f>
        <v>910.41666666666663</v>
      </c>
      <c r="BC36" s="249">
        <f t="shared" si="13"/>
        <v>8250</v>
      </c>
      <c r="BD36" s="249">
        <f t="shared" si="14"/>
        <v>11250</v>
      </c>
      <c r="BE36" s="249">
        <f>IF(AND(BD36&gt;0,$N36&lt;&gt;""),IF((DATE(Assumptions!$B$4,7,28)-$N36)/365.25&lt;=Assumptions!$B$20,(DATE(Assumptions!$B$4,7,28)-$N36)/365.25*Assumptions!$B$18*BD36,(Assumptions!$B$20*Assumptions!$B$18+((DATE(Assumptions!$B$4,7,28)-$N36)/365.25-Assumptions!$B$20)*Assumptions!$B$19)*BD36),0)</f>
        <v>5082.1355236139625</v>
      </c>
      <c r="BF36" s="249">
        <f>IF(BC36&gt;0,IF($M36="Saudi",MIN(BC36+$Q36*$V36,Assumptions!$B$14)*Assumptions!$B$12,MIN(BC36+$Q36*$V36,Assumptions!$B$14)*Assumptions!$B$13),0)</f>
        <v>0</v>
      </c>
      <c r="BG36" s="249">
        <f>IF(AND(BC36&gt;0,$M36="Non-Saudi"),Assumptions!$B$25,0)</f>
        <v>910.41666666666663</v>
      </c>
      <c r="BH36" s="249">
        <f t="shared" si="15"/>
        <v>8250</v>
      </c>
      <c r="BI36" s="249">
        <f t="shared" si="16"/>
        <v>11250</v>
      </c>
      <c r="BJ36" s="249">
        <f>IF(AND(BI36&gt;0,$N36&lt;&gt;""),IF((DATE(Assumptions!$B$4,8,28)-$N36)/365.25&lt;=Assumptions!$B$20,(DATE(Assumptions!$B$4,8,28)-$N36)/365.25*Assumptions!$B$18*BI36,(Assumptions!$B$20*Assumptions!$B$18+((DATE(Assumptions!$B$4,8,28)-$N36)/365.25-Assumptions!$B$20)*Assumptions!$B$19)*BI36),0)</f>
        <v>5559.5482546201238</v>
      </c>
      <c r="BK36" s="249">
        <f>IF(BH36&gt;0,IF($M36="Saudi",MIN(BH36+$Q36*$V36,Assumptions!$B$14)*Assumptions!$B$12,MIN(BH36+$Q36*$V36,Assumptions!$B$14)*Assumptions!$B$13),0)</f>
        <v>0</v>
      </c>
      <c r="BL36" s="249">
        <f>IF(AND(BH36&gt;0,$M36="Non-Saudi"),Assumptions!$B$25,0)</f>
        <v>910.41666666666663</v>
      </c>
      <c r="BM36" s="249">
        <f>IF(AND($D36="Contrat Local",$N36&lt;&gt;""),IF(AND(9&gt;=Assumptions!$B$5,ISNUMBER($X36),$N36&lt;EDATE(Assumptions!$B$9,-Assumptions!$B$6*12)),($P36+$X36)*$V36,$P36*$V36),0)</f>
        <v>8250</v>
      </c>
      <c r="BN36" s="249">
        <f t="shared" si="17"/>
        <v>11250</v>
      </c>
      <c r="BO36" s="249">
        <f>IF(AND(BN36&gt;0,$N36&lt;&gt;""),IF((DATE(Assumptions!$B$4,9,28)-$N36)/365.25&lt;=Assumptions!$B$20,(DATE(Assumptions!$B$4,9,28)-$N36)/365.25*Assumptions!$B$18*BN36,(Assumptions!$B$20*Assumptions!$B$18+((DATE(Assumptions!$B$4,9,28)-$N36)/365.25-Assumptions!$B$20)*Assumptions!$B$19)*BN36),0)</f>
        <v>6036.9609856262832</v>
      </c>
      <c r="BP36" s="249">
        <f>IF(BM36&gt;0,IF($M36="Saudi",MIN(BM36+$Q36*$V36,Assumptions!$B$14)*Assumptions!$B$12,MIN(BM36+$Q36*$V36,Assumptions!$B$14)*Assumptions!$B$13),0)</f>
        <v>0</v>
      </c>
      <c r="BQ36" s="249">
        <f>IF(AND(BM36&gt;0,$M36="Non-Saudi"),Assumptions!$B$25,0)</f>
        <v>910.41666666666663</v>
      </c>
      <c r="BR36" s="249">
        <f>IF(AND($D36="Contrat Local",$N36&lt;&gt;""),IF(AND(10&gt;=Assumptions!$B$5,ISNUMBER($X36),$N36&lt;EDATE(Assumptions!$B$9,-Assumptions!$B$6*12)),($P36+$X36)*$V36,$P36*$V36),0)</f>
        <v>8250</v>
      </c>
      <c r="BS36" s="249">
        <f t="shared" si="18"/>
        <v>11250</v>
      </c>
      <c r="BT36" s="249">
        <f>IF(AND(BS36&gt;0,$N36&lt;&gt;""),IF((DATE(Assumptions!$B$4,10,28)-$N36)/365.25&lt;=Assumptions!$B$20,(DATE(Assumptions!$B$4,10,28)-$N36)/365.25*Assumptions!$B$18*BS36,(Assumptions!$B$20*Assumptions!$B$18+((DATE(Assumptions!$B$4,10,28)-$N36)/365.25-Assumptions!$B$20)*Assumptions!$B$19)*BS36),0)</f>
        <v>6498.9733059548262</v>
      </c>
      <c r="BU36" s="249">
        <f>IF(BR36&gt;0,IF($M36="Saudi",MIN(BR36+$Q36*$V36,Assumptions!$B$14)*Assumptions!$B$12,MIN(BR36+$Q36*$V36,Assumptions!$B$14)*Assumptions!$B$13),0)</f>
        <v>0</v>
      </c>
      <c r="BV36" s="249">
        <f>IF(AND(BR36&gt;0,$M36="Non-Saudi"),Assumptions!$B$25,0)</f>
        <v>910.41666666666663</v>
      </c>
      <c r="BW36" s="249">
        <f>IF(AND($D36="Contrat Local",$N36&lt;&gt;""),IF(AND(11&gt;=Assumptions!$B$5,ISNUMBER($X36),$N36&lt;EDATE(Assumptions!$B$9,-Assumptions!$B$6*12)),($P36+$X36)*$V36,$P36*$V36),0)</f>
        <v>8250</v>
      </c>
      <c r="BX36" s="249">
        <f t="shared" si="19"/>
        <v>11250</v>
      </c>
      <c r="BY36" s="249">
        <f>IF(AND(BX36&gt;0,$N36&lt;&gt;""),IF((DATE(Assumptions!$B$4,11,28)-$N36)/365.25&lt;=Assumptions!$B$20,(DATE(Assumptions!$B$4,11,28)-$N36)/365.25*Assumptions!$B$18*BX36,(Assumptions!$B$20*Assumptions!$B$18+((DATE(Assumptions!$B$4,11,28)-$N36)/365.25-Assumptions!$B$20)*Assumptions!$B$19)*BX36),0)</f>
        <v>6976.3860369609856</v>
      </c>
      <c r="BZ36" s="249">
        <f>IF(BW36&gt;0,IF($M36="Saudi",MIN(BW36+$Q36*$V36,Assumptions!$B$14)*Assumptions!$B$12,MIN(BW36+$Q36*$V36,Assumptions!$B$14)*Assumptions!$B$13),0)</f>
        <v>0</v>
      </c>
      <c r="CA36" s="249">
        <f>IF(AND(BW36&gt;0,$M36="Non-Saudi"),Assumptions!$B$25,0)</f>
        <v>910.41666666666663</v>
      </c>
      <c r="CB36" s="249">
        <f>IF(AND($D36="Contrat Local",$N36&lt;&gt;""),IF(AND(12&gt;=Assumptions!$B$5,ISNUMBER($X36),$N36&lt;EDATE(Assumptions!$B$9,-Assumptions!$B$6*12)),($P36+$X36)*$V36,$P36*$V36),0)</f>
        <v>8250</v>
      </c>
      <c r="CC36" s="249">
        <f t="shared" si="20"/>
        <v>11250</v>
      </c>
      <c r="CD36" s="249">
        <f>IF(AND(CC36&gt;0,$N36&lt;&gt;""),IF((DATE(Assumptions!$B$4,12,28)-$N36)/365.25&lt;=Assumptions!$B$20,(DATE(Assumptions!$B$4,12,28)-$N36)/365.25*Assumptions!$B$18*CC36,(Assumptions!$B$20*Assumptions!$B$18+((DATE(Assumptions!$B$4,12,28)-$N36)/365.25-Assumptions!$B$20)*Assumptions!$B$19)*CC36),0)</f>
        <v>7438.3983572895277</v>
      </c>
      <c r="CE36" s="249">
        <f>IF(CB36&gt;0,IF($M36="Saudi",MIN(CB36+$Q36*$V36,Assumptions!$B$14)*Assumptions!$B$12,MIN(CB36+$Q36*$V36,Assumptions!$B$14)*Assumptions!$B$13),0)</f>
        <v>0</v>
      </c>
      <c r="CF36" s="249">
        <f>IF(AND(CB36&gt;0,$M36="Non-Saudi"),Assumptions!$B$25,0)</f>
        <v>910.41666666666663</v>
      </c>
      <c r="CG36" s="249">
        <f t="shared" si="21"/>
        <v>99000</v>
      </c>
      <c r="CH36" s="249">
        <f t="shared" si="22"/>
        <v>135000</v>
      </c>
      <c r="CI36" s="249">
        <f>CD36-IF(AND(Z36&gt;0,$N36&lt;&gt;""),IF((DATE(Assumptions!$B$4-1,12,28)-$N36)/365.25&lt;=Assumptions!$B$20,(DATE(Assumptions!$B$4-1,12,28)-$N36)/365.25*Assumptions!$B$18*Z36,(Assumptions!$B$20*Assumptions!$B$18+((DATE(Assumptions!$B$4-1,12,28)-$N36)/365.25-Assumptions!$B$20)*Assumptions!$B$19)*Z36),0)</f>
        <v>5621.1498973305952</v>
      </c>
      <c r="CJ36" s="249">
        <f t="shared" si="23"/>
        <v>0</v>
      </c>
      <c r="CK36" s="249">
        <f t="shared" si="24"/>
        <v>10924.999999999998</v>
      </c>
    </row>
    <row r="37" spans="1:89" x14ac:dyDescent="0.2">
      <c r="A37" s="276">
        <v>34</v>
      </c>
      <c r="B37" s="277" t="s">
        <v>347</v>
      </c>
      <c r="C37" s="277" t="s">
        <v>348</v>
      </c>
      <c r="D37" s="277" t="s">
        <v>250</v>
      </c>
      <c r="E37" s="277" t="s">
        <v>767</v>
      </c>
      <c r="F37" s="277" t="s">
        <v>302</v>
      </c>
      <c r="G37" s="277" t="s">
        <v>303</v>
      </c>
      <c r="H37" s="277" t="s">
        <v>349</v>
      </c>
      <c r="I37" s="287" t="s">
        <v>691</v>
      </c>
      <c r="J37" s="277" t="s">
        <v>73</v>
      </c>
      <c r="K37" s="277" t="s">
        <v>254</v>
      </c>
      <c r="L37" s="277" t="s">
        <v>255</v>
      </c>
      <c r="M37" s="277" t="str">
        <f t="shared" ref="M37:M68" si="25">IF(D37="Titulaire EN","",IF(OR(B37="AL OSSAIMI AL OTAIBI",B37="ALAMRI"),"Saudi","Non-Saudi"))</f>
        <v>Non-Saudi</v>
      </c>
      <c r="N37" s="278">
        <v>43344</v>
      </c>
      <c r="O37" s="279">
        <v>8.3000000000000007</v>
      </c>
      <c r="P37" s="280">
        <v>10000</v>
      </c>
      <c r="Q37" s="280">
        <v>2500</v>
      </c>
      <c r="R37" s="280">
        <v>500</v>
      </c>
      <c r="S37" s="280"/>
      <c r="T37" s="280">
        <v>1300</v>
      </c>
      <c r="U37" s="280">
        <v>14300</v>
      </c>
      <c r="V37" s="281">
        <v>1</v>
      </c>
      <c r="W37" s="277" t="s">
        <v>259</v>
      </c>
      <c r="X37" s="277">
        <v>250</v>
      </c>
      <c r="Y37" s="249">
        <f t="shared" si="1"/>
        <v>10000</v>
      </c>
      <c r="Z37" s="249">
        <f t="shared" si="2"/>
        <v>14300</v>
      </c>
      <c r="AA37" s="249">
        <f>IF(AND(Z37&gt;0,$N37&lt;&gt;""),IF((DATE(Assumptions!$B$4,1,28)-$N37)/365.25&lt;=Assumptions!$B$20,(DATE(Assumptions!$B$4,1,28)-$N37)/365.25*Assumptions!$B$18*Z37,(Assumptions!$B$20*Assumptions!$B$18+((DATE(Assumptions!$B$4,1,28)-$N37)/365.25-Assumptions!$B$20)*Assumptions!$B$19)*Z37),0)</f>
        <v>70193.326488706371</v>
      </c>
      <c r="AB37" s="249">
        <f>IF(Y37&gt;0,IF($M37="Saudi",MIN(Y37+$Q37*$V37,Assumptions!$B$14)*Assumptions!$B$12,MIN(Y37+$Q37*$V37,Assumptions!$B$14)*Assumptions!$B$13),0)</f>
        <v>0</v>
      </c>
      <c r="AC37" s="249">
        <f>IF(AND(Y37&gt;0,$M37="Non-Saudi"),Assumptions!$B$25,0)</f>
        <v>910.41666666666663</v>
      </c>
      <c r="AD37" s="249">
        <f t="shared" si="3"/>
        <v>10000</v>
      </c>
      <c r="AE37" s="249">
        <f t="shared" si="4"/>
        <v>14300</v>
      </c>
      <c r="AF37" s="249">
        <f>IF(AND(AE37&gt;0,$N37&lt;&gt;""),IF((DATE(Assumptions!$B$4,2,28)-$N37)/365.25&lt;=Assumptions!$B$20,(DATE(Assumptions!$B$4,2,28)-$N37)/365.25*Assumptions!$B$18*AE37,(Assumptions!$B$20*Assumptions!$B$18+((DATE(Assumptions!$B$4,2,28)-$N37)/365.25-Assumptions!$B$20)*Assumptions!$B$19)*AE37),0)</f>
        <v>71407.015742642019</v>
      </c>
      <c r="AG37" s="249">
        <f>IF(AD37&gt;0,IF($M37="Saudi",MIN(AD37+$Q37*$V37,Assumptions!$B$14)*Assumptions!$B$12,MIN(AD37+$Q37*$V37,Assumptions!$B$14)*Assumptions!$B$13),0)</f>
        <v>0</v>
      </c>
      <c r="AH37" s="249">
        <f>IF(AND(AD37&gt;0,$M37="Non-Saudi"),Assumptions!$B$25,0)</f>
        <v>910.41666666666663</v>
      </c>
      <c r="AI37" s="249">
        <f t="shared" si="5"/>
        <v>10000</v>
      </c>
      <c r="AJ37" s="249">
        <f t="shared" si="6"/>
        <v>14300</v>
      </c>
      <c r="AK37" s="249">
        <f>IF(AND(AJ37&gt;0,$N37&lt;&gt;""),IF((DATE(Assumptions!$B$4,3,28)-$N37)/365.25&lt;=Assumptions!$B$20,(DATE(Assumptions!$B$4,3,28)-$N37)/365.25*Assumptions!$B$18*AJ37,(Assumptions!$B$20*Assumptions!$B$18+((DATE(Assumptions!$B$4,3,28)-$N37)/365.25-Assumptions!$B$20)*Assumptions!$B$19)*AJ37),0)</f>
        <v>72503.251197809717</v>
      </c>
      <c r="AL37" s="249">
        <f>IF(AI37&gt;0,IF($M37="Saudi",MIN(AI37+$Q37*$V37,Assumptions!$B$14)*Assumptions!$B$12,MIN(AI37+$Q37*$V37,Assumptions!$B$14)*Assumptions!$B$13),0)</f>
        <v>0</v>
      </c>
      <c r="AM37" s="249">
        <f>IF(AND(AI37&gt;0,$M37="Non-Saudi"),Assumptions!$B$25,0)</f>
        <v>910.41666666666663</v>
      </c>
      <c r="AN37" s="249">
        <f t="shared" si="7"/>
        <v>10000</v>
      </c>
      <c r="AO37" s="249">
        <f t="shared" si="8"/>
        <v>14300</v>
      </c>
      <c r="AP37" s="249">
        <f>IF(AND(AO37&gt;0,$N37&lt;&gt;""),IF((DATE(Assumptions!$B$4,4,28)-$N37)/365.25&lt;=Assumptions!$B$20,(DATE(Assumptions!$B$4,4,28)-$N37)/365.25*Assumptions!$B$18*AO37,(Assumptions!$B$20*Assumptions!$B$18+((DATE(Assumptions!$B$4,4,28)-$N37)/365.25-Assumptions!$B$20)*Assumptions!$B$19)*AO37),0)</f>
        <v>73716.94045174538</v>
      </c>
      <c r="AQ37" s="249">
        <f>IF(AN37&gt;0,IF($M37="Saudi",MIN(AN37+$Q37*$V37,Assumptions!$B$14)*Assumptions!$B$12,MIN(AN37+$Q37*$V37,Assumptions!$B$14)*Assumptions!$B$13),0)</f>
        <v>0</v>
      </c>
      <c r="AR37" s="249">
        <f>IF(AND(AN37&gt;0,$M37="Non-Saudi"),Assumptions!$B$25,0)</f>
        <v>910.41666666666663</v>
      </c>
      <c r="AS37" s="249">
        <f t="shared" si="9"/>
        <v>10000</v>
      </c>
      <c r="AT37" s="249">
        <f t="shared" si="10"/>
        <v>14300</v>
      </c>
      <c r="AU37" s="249">
        <f>IF(AND(AT37&gt;0,$N37&lt;&gt;""),IF((DATE(Assumptions!$B$4,5,28)-$N37)/365.25&lt;=Assumptions!$B$20,(DATE(Assumptions!$B$4,5,28)-$N37)/365.25*Assumptions!$B$18*AT37,(Assumptions!$B$20*Assumptions!$B$18+((DATE(Assumptions!$B$4,5,28)-$N37)/365.25-Assumptions!$B$20)*Assumptions!$B$19)*AT37),0)</f>
        <v>74891.478439425046</v>
      </c>
      <c r="AV37" s="249">
        <f>IF(AS37&gt;0,IF($M37="Saudi",MIN(AS37+$Q37*$V37,Assumptions!$B$14)*Assumptions!$B$12,MIN(AS37+$Q37*$V37,Assumptions!$B$14)*Assumptions!$B$13),0)</f>
        <v>0</v>
      </c>
      <c r="AW37" s="249">
        <f>IF(AND(AS37&gt;0,$M37="Non-Saudi"),Assumptions!$B$25,0)</f>
        <v>910.41666666666663</v>
      </c>
      <c r="AX37" s="249">
        <f t="shared" si="11"/>
        <v>10000</v>
      </c>
      <c r="AY37" s="249">
        <f t="shared" si="12"/>
        <v>14300</v>
      </c>
      <c r="AZ37" s="249">
        <f>IF(AND(AY37&gt;0,$N37&lt;&gt;""),IF((DATE(Assumptions!$B$4,6,28)-$N37)/365.25&lt;=Assumptions!$B$20,(DATE(Assumptions!$B$4,6,28)-$N37)/365.25*Assumptions!$B$18*AY37,(Assumptions!$B$20*Assumptions!$B$18+((DATE(Assumptions!$B$4,6,28)-$N37)/365.25-Assumptions!$B$20)*Assumptions!$B$19)*AY37),0)</f>
        <v>76105.167693360723</v>
      </c>
      <c r="BA37" s="249">
        <f>IF(AX37&gt;0,IF($M37="Saudi",MIN(AX37+$Q37*$V37,Assumptions!$B$14)*Assumptions!$B$12,MIN(AX37+$Q37*$V37,Assumptions!$B$14)*Assumptions!$B$13),0)</f>
        <v>0</v>
      </c>
      <c r="BB37" s="249">
        <f>IF(AND(AX37&gt;0,$M37="Non-Saudi"),Assumptions!$B$25,0)</f>
        <v>910.41666666666663</v>
      </c>
      <c r="BC37" s="249">
        <f t="shared" si="13"/>
        <v>10000</v>
      </c>
      <c r="BD37" s="249">
        <f t="shared" si="14"/>
        <v>14300</v>
      </c>
      <c r="BE37" s="249">
        <f>IF(AND(BD37&gt;0,$N37&lt;&gt;""),IF((DATE(Assumptions!$B$4,7,28)-$N37)/365.25&lt;=Assumptions!$B$20,(DATE(Assumptions!$B$4,7,28)-$N37)/365.25*Assumptions!$B$18*BD37,(Assumptions!$B$20*Assumptions!$B$18+((DATE(Assumptions!$B$4,7,28)-$N37)/365.25-Assumptions!$B$20)*Assumptions!$B$19)*BD37),0)</f>
        <v>77279.705681040388</v>
      </c>
      <c r="BF37" s="249">
        <f>IF(BC37&gt;0,IF($M37="Saudi",MIN(BC37+$Q37*$V37,Assumptions!$B$14)*Assumptions!$B$12,MIN(BC37+$Q37*$V37,Assumptions!$B$14)*Assumptions!$B$13),0)</f>
        <v>0</v>
      </c>
      <c r="BG37" s="249">
        <f>IF(AND(BC37&gt;0,$M37="Non-Saudi"),Assumptions!$B$25,0)</f>
        <v>910.41666666666663</v>
      </c>
      <c r="BH37" s="249">
        <f t="shared" si="15"/>
        <v>10000</v>
      </c>
      <c r="BI37" s="249">
        <f t="shared" si="16"/>
        <v>14300</v>
      </c>
      <c r="BJ37" s="249">
        <f>IF(AND(BI37&gt;0,$N37&lt;&gt;""),IF((DATE(Assumptions!$B$4,8,28)-$N37)/365.25&lt;=Assumptions!$B$20,(DATE(Assumptions!$B$4,8,28)-$N37)/365.25*Assumptions!$B$18*BI37,(Assumptions!$B$20*Assumptions!$B$18+((DATE(Assumptions!$B$4,8,28)-$N37)/365.25-Assumptions!$B$20)*Assumptions!$B$19)*BI37),0)</f>
        <v>78493.394934976051</v>
      </c>
      <c r="BK37" s="249">
        <f>IF(BH37&gt;0,IF($M37="Saudi",MIN(BH37+$Q37*$V37,Assumptions!$B$14)*Assumptions!$B$12,MIN(BH37+$Q37*$V37,Assumptions!$B$14)*Assumptions!$B$13),0)</f>
        <v>0</v>
      </c>
      <c r="BL37" s="249">
        <f>IF(AND(BH37&gt;0,$M37="Non-Saudi"),Assumptions!$B$25,0)</f>
        <v>910.41666666666663</v>
      </c>
      <c r="BM37" s="249">
        <f>IF(AND($D37="Contrat Local",$N37&lt;&gt;""),IF(AND(9&gt;=Assumptions!$B$5,ISNUMBER($X37),$N37&lt;EDATE(Assumptions!$B$9,-Assumptions!$B$6*12)),($P37+$X37)*$V37,$P37*$V37),0)</f>
        <v>10250</v>
      </c>
      <c r="BN37" s="249">
        <f t="shared" si="17"/>
        <v>14550</v>
      </c>
      <c r="BO37" s="249">
        <f>IF(AND(BN37&gt;0,$N37&lt;&gt;""),IF((DATE(Assumptions!$B$4,9,28)-$N37)/365.25&lt;=Assumptions!$B$20,(DATE(Assumptions!$B$4,9,28)-$N37)/365.25*Assumptions!$B$18*BN37,(Assumptions!$B$20*Assumptions!$B$18+((DATE(Assumptions!$B$4,9,28)-$N37)/365.25-Assumptions!$B$20)*Assumptions!$B$19)*BN37),0)</f>
        <v>81100.564681724849</v>
      </c>
      <c r="BP37" s="249">
        <f>IF(BM37&gt;0,IF($M37="Saudi",MIN(BM37+$Q37*$V37,Assumptions!$B$14)*Assumptions!$B$12,MIN(BM37+$Q37*$V37,Assumptions!$B$14)*Assumptions!$B$13),0)</f>
        <v>0</v>
      </c>
      <c r="BQ37" s="249">
        <f>IF(AND(BM37&gt;0,$M37="Non-Saudi"),Assumptions!$B$25,0)</f>
        <v>910.41666666666663</v>
      </c>
      <c r="BR37" s="249">
        <f>IF(AND($D37="Contrat Local",$N37&lt;&gt;""),IF(AND(10&gt;=Assumptions!$B$5,ISNUMBER($X37),$N37&lt;EDATE(Assumptions!$B$9,-Assumptions!$B$6*12)),($P37+$X37)*$V37,$P37*$V37),0)</f>
        <v>10250</v>
      </c>
      <c r="BS37" s="249">
        <f t="shared" si="18"/>
        <v>14550</v>
      </c>
      <c r="BT37" s="249">
        <f>IF(AND(BS37&gt;0,$N37&lt;&gt;""),IF((DATE(Assumptions!$B$4,10,28)-$N37)/365.25&lt;=Assumptions!$B$20,(DATE(Assumptions!$B$4,10,28)-$N37)/365.25*Assumptions!$B$18*BS37,(Assumptions!$B$20*Assumptions!$B$18+((DATE(Assumptions!$B$4,10,28)-$N37)/365.25-Assumptions!$B$20)*Assumptions!$B$19)*BS37),0)</f>
        <v>82295.636550308016</v>
      </c>
      <c r="BU37" s="249">
        <f>IF(BR37&gt;0,IF($M37="Saudi",MIN(BR37+$Q37*$V37,Assumptions!$B$14)*Assumptions!$B$12,MIN(BR37+$Q37*$V37,Assumptions!$B$14)*Assumptions!$B$13),0)</f>
        <v>0</v>
      </c>
      <c r="BV37" s="249">
        <f>IF(AND(BR37&gt;0,$M37="Non-Saudi"),Assumptions!$B$25,0)</f>
        <v>910.41666666666663</v>
      </c>
      <c r="BW37" s="249">
        <f>IF(AND($D37="Contrat Local",$N37&lt;&gt;""),IF(AND(11&gt;=Assumptions!$B$5,ISNUMBER($X37),$N37&lt;EDATE(Assumptions!$B$9,-Assumptions!$B$6*12)),($P37+$X37)*$V37,$P37*$V37),0)</f>
        <v>10250</v>
      </c>
      <c r="BX37" s="249">
        <f t="shared" si="19"/>
        <v>14550</v>
      </c>
      <c r="BY37" s="249">
        <f>IF(AND(BX37&gt;0,$N37&lt;&gt;""),IF((DATE(Assumptions!$B$4,11,28)-$N37)/365.25&lt;=Assumptions!$B$20,(DATE(Assumptions!$B$4,11,28)-$N37)/365.25*Assumptions!$B$18*BX37,(Assumptions!$B$20*Assumptions!$B$18+((DATE(Assumptions!$B$4,11,28)-$N37)/365.25-Assumptions!$B$20)*Assumptions!$B$19)*BX37),0)</f>
        <v>83530.544147843946</v>
      </c>
      <c r="BZ37" s="249">
        <f>IF(BW37&gt;0,IF($M37="Saudi",MIN(BW37+$Q37*$V37,Assumptions!$B$14)*Assumptions!$B$12,MIN(BW37+$Q37*$V37,Assumptions!$B$14)*Assumptions!$B$13),0)</f>
        <v>0</v>
      </c>
      <c r="CA37" s="249">
        <f>IF(AND(BW37&gt;0,$M37="Non-Saudi"),Assumptions!$B$25,0)</f>
        <v>910.41666666666663</v>
      </c>
      <c r="CB37" s="249">
        <f>IF(AND($D37="Contrat Local",$N37&lt;&gt;""),IF(AND(12&gt;=Assumptions!$B$5,ISNUMBER($X37),$N37&lt;EDATE(Assumptions!$B$9,-Assumptions!$B$6*12)),($P37+$X37)*$V37,$P37*$V37),0)</f>
        <v>10250</v>
      </c>
      <c r="CC37" s="249">
        <f t="shared" si="20"/>
        <v>14550</v>
      </c>
      <c r="CD37" s="249">
        <f>IF(AND(CC37&gt;0,$N37&lt;&gt;""),IF((DATE(Assumptions!$B$4,12,28)-$N37)/365.25&lt;=Assumptions!$B$20,(DATE(Assumptions!$B$4,12,28)-$N37)/365.25*Assumptions!$B$18*CC37,(Assumptions!$B$20*Assumptions!$B$18+((DATE(Assumptions!$B$4,12,28)-$N37)/365.25-Assumptions!$B$20)*Assumptions!$B$19)*CC37),0)</f>
        <v>84725.616016427099</v>
      </c>
      <c r="CE37" s="249">
        <f>IF(CB37&gt;0,IF($M37="Saudi",MIN(CB37+$Q37*$V37,Assumptions!$B$14)*Assumptions!$B$12,MIN(CB37+$Q37*$V37,Assumptions!$B$14)*Assumptions!$B$13),0)</f>
        <v>0</v>
      </c>
      <c r="CF37" s="249">
        <f>IF(AND(CB37&gt;0,$M37="Non-Saudi"),Assumptions!$B$25,0)</f>
        <v>910.41666666666663</v>
      </c>
      <c r="CG37" s="249">
        <f t="shared" si="21"/>
        <v>121000</v>
      </c>
      <c r="CH37" s="249">
        <f t="shared" si="22"/>
        <v>172600</v>
      </c>
      <c r="CI37" s="249">
        <f>CD37-IF(AND(Z37&gt;0,$N37&lt;&gt;""),IF((DATE(Assumptions!$B$4-1,12,28)-$N37)/365.25&lt;=Assumptions!$B$20,(DATE(Assumptions!$B$4-1,12,28)-$N37)/365.25*Assumptions!$B$18*Z37,(Assumptions!$B$20*Assumptions!$B$18+((DATE(Assumptions!$B$4-1,12,28)-$N37)/365.25-Assumptions!$B$20)*Assumptions!$B$19)*Z37),0)</f>
        <v>15745.978781656391</v>
      </c>
      <c r="CJ37" s="249">
        <f t="shared" si="23"/>
        <v>0</v>
      </c>
      <c r="CK37" s="249">
        <f t="shared" si="24"/>
        <v>10924.999999999998</v>
      </c>
    </row>
    <row r="38" spans="1:89" x14ac:dyDescent="0.2">
      <c r="A38" s="252">
        <v>35</v>
      </c>
      <c r="B38" s="253" t="s">
        <v>350</v>
      </c>
      <c r="C38" s="253" t="s">
        <v>351</v>
      </c>
      <c r="D38" s="253" t="s">
        <v>250</v>
      </c>
      <c r="E38" s="253" t="s">
        <v>767</v>
      </c>
      <c r="F38" s="253" t="s">
        <v>352</v>
      </c>
      <c r="G38" s="253" t="s">
        <v>252</v>
      </c>
      <c r="H38" s="253" t="s">
        <v>353</v>
      </c>
      <c r="I38" s="282" t="s">
        <v>690</v>
      </c>
      <c r="J38" s="253"/>
      <c r="K38" s="253" t="s">
        <v>252</v>
      </c>
      <c r="L38" s="253" t="s">
        <v>255</v>
      </c>
      <c r="M38" s="253" t="str">
        <f t="shared" si="25"/>
        <v>Non-Saudi</v>
      </c>
      <c r="N38" s="254">
        <v>44805</v>
      </c>
      <c r="O38" s="255">
        <v>4.3</v>
      </c>
      <c r="P38" s="256">
        <v>11750</v>
      </c>
      <c r="Q38" s="256">
        <v>2500</v>
      </c>
      <c r="R38" s="256">
        <v>500</v>
      </c>
      <c r="S38" s="256"/>
      <c r="T38" s="256"/>
      <c r="U38" s="256">
        <v>14750</v>
      </c>
      <c r="V38" s="257">
        <v>1</v>
      </c>
      <c r="W38" s="253" t="s">
        <v>259</v>
      </c>
      <c r="X38" s="253">
        <v>250</v>
      </c>
      <c r="Y38" s="249">
        <f t="shared" si="1"/>
        <v>11750</v>
      </c>
      <c r="Z38" s="249">
        <f t="shared" si="2"/>
        <v>14750</v>
      </c>
      <c r="AA38" s="249">
        <f>IF(AND(Z38&gt;0,$N38&lt;&gt;""),IF((DATE(Assumptions!$B$4,1,28)-$N38)/365.25&lt;=Assumptions!$B$20,(DATE(Assumptions!$B$4,1,28)-$N38)/365.25*Assumptions!$B$18*Z38,(Assumptions!$B$20*Assumptions!$B$18+((DATE(Assumptions!$B$4,1,28)-$N38)/365.25-Assumptions!$B$20)*Assumptions!$B$19)*Z38),0)</f>
        <v>25138.603696098562</v>
      </c>
      <c r="AB38" s="249">
        <f>IF(Y38&gt;0,IF($M38="Saudi",MIN(Y38+$Q38*$V38,Assumptions!$B$14)*Assumptions!$B$12,MIN(Y38+$Q38*$V38,Assumptions!$B$14)*Assumptions!$B$13),0)</f>
        <v>0</v>
      </c>
      <c r="AC38" s="249">
        <f>IF(AND(Y38&gt;0,$M38="Non-Saudi"),Assumptions!$B$25,0)</f>
        <v>910.41666666666663</v>
      </c>
      <c r="AD38" s="249">
        <f t="shared" si="3"/>
        <v>11750</v>
      </c>
      <c r="AE38" s="249">
        <f t="shared" si="4"/>
        <v>14750</v>
      </c>
      <c r="AF38" s="249">
        <f>IF(AND(AE38&gt;0,$N38&lt;&gt;""),IF((DATE(Assumptions!$B$4,2,28)-$N38)/365.25&lt;=Assumptions!$B$20,(DATE(Assumptions!$B$4,2,28)-$N38)/365.25*Assumptions!$B$18*AE38,(Assumptions!$B$20*Assumptions!$B$18+((DATE(Assumptions!$B$4,2,28)-$N38)/365.25-Assumptions!$B$20)*Assumptions!$B$19)*AE38),0)</f>
        <v>25764.544832306638</v>
      </c>
      <c r="AG38" s="249">
        <f>IF(AD38&gt;0,IF($M38="Saudi",MIN(AD38+$Q38*$V38,Assumptions!$B$14)*Assumptions!$B$12,MIN(AD38+$Q38*$V38,Assumptions!$B$14)*Assumptions!$B$13),0)</f>
        <v>0</v>
      </c>
      <c r="AH38" s="249">
        <f>IF(AND(AD38&gt;0,$M38="Non-Saudi"),Assumptions!$B$25,0)</f>
        <v>910.41666666666663</v>
      </c>
      <c r="AI38" s="249">
        <f t="shared" si="5"/>
        <v>11750</v>
      </c>
      <c r="AJ38" s="249">
        <f t="shared" si="6"/>
        <v>14750</v>
      </c>
      <c r="AK38" s="249">
        <f>IF(AND(AJ38&gt;0,$N38&lt;&gt;""),IF((DATE(Assumptions!$B$4,3,28)-$N38)/365.25&lt;=Assumptions!$B$20,(DATE(Assumptions!$B$4,3,28)-$N38)/365.25*Assumptions!$B$18*AJ38,(Assumptions!$B$20*Assumptions!$B$18+((DATE(Assumptions!$B$4,3,28)-$N38)/365.25-Assumptions!$B$20)*Assumptions!$B$19)*AJ38),0)</f>
        <v>26329.911019849416</v>
      </c>
      <c r="AL38" s="249">
        <f>IF(AI38&gt;0,IF($M38="Saudi",MIN(AI38+$Q38*$V38,Assumptions!$B$14)*Assumptions!$B$12,MIN(AI38+$Q38*$V38,Assumptions!$B$14)*Assumptions!$B$13),0)</f>
        <v>0</v>
      </c>
      <c r="AM38" s="249">
        <f>IF(AND(AI38&gt;0,$M38="Non-Saudi"),Assumptions!$B$25,0)</f>
        <v>910.41666666666663</v>
      </c>
      <c r="AN38" s="249">
        <f t="shared" si="7"/>
        <v>11750</v>
      </c>
      <c r="AO38" s="249">
        <f t="shared" si="8"/>
        <v>14750</v>
      </c>
      <c r="AP38" s="249">
        <f>IF(AND(AO38&gt;0,$N38&lt;&gt;""),IF((DATE(Assumptions!$B$4,4,28)-$N38)/365.25&lt;=Assumptions!$B$20,(DATE(Assumptions!$B$4,4,28)-$N38)/365.25*Assumptions!$B$18*AO38,(Assumptions!$B$20*Assumptions!$B$18+((DATE(Assumptions!$B$4,4,28)-$N38)/365.25-Assumptions!$B$20)*Assumptions!$B$19)*AO38),0)</f>
        <v>26955.852156057495</v>
      </c>
      <c r="AQ38" s="249">
        <f>IF(AN38&gt;0,IF($M38="Saudi",MIN(AN38+$Q38*$V38,Assumptions!$B$14)*Assumptions!$B$12,MIN(AN38+$Q38*$V38,Assumptions!$B$14)*Assumptions!$B$13),0)</f>
        <v>0</v>
      </c>
      <c r="AR38" s="249">
        <f>IF(AND(AN38&gt;0,$M38="Non-Saudi"),Assumptions!$B$25,0)</f>
        <v>910.41666666666663</v>
      </c>
      <c r="AS38" s="249">
        <f t="shared" si="9"/>
        <v>11750</v>
      </c>
      <c r="AT38" s="249">
        <f t="shared" si="10"/>
        <v>14750</v>
      </c>
      <c r="AU38" s="249">
        <f>IF(AND(AT38&gt;0,$N38&lt;&gt;""),IF((DATE(Assumptions!$B$4,5,28)-$N38)/365.25&lt;=Assumptions!$B$20,(DATE(Assumptions!$B$4,5,28)-$N38)/365.25*Assumptions!$B$18*AT38,(Assumptions!$B$20*Assumptions!$B$18+((DATE(Assumptions!$B$4,5,28)-$N38)/365.25-Assumptions!$B$20)*Assumptions!$B$19)*AT38),0)</f>
        <v>27561.601642710473</v>
      </c>
      <c r="AV38" s="249">
        <f>IF(AS38&gt;0,IF($M38="Saudi",MIN(AS38+$Q38*$V38,Assumptions!$B$14)*Assumptions!$B$12,MIN(AS38+$Q38*$V38,Assumptions!$B$14)*Assumptions!$B$13),0)</f>
        <v>0</v>
      </c>
      <c r="AW38" s="249">
        <f>IF(AND(AS38&gt;0,$M38="Non-Saudi"),Assumptions!$B$25,0)</f>
        <v>910.41666666666663</v>
      </c>
      <c r="AX38" s="249">
        <f t="shared" si="11"/>
        <v>11750</v>
      </c>
      <c r="AY38" s="249">
        <f t="shared" si="12"/>
        <v>14750</v>
      </c>
      <c r="AZ38" s="249">
        <f>IF(AND(AY38&gt;0,$N38&lt;&gt;""),IF((DATE(Assumptions!$B$4,6,28)-$N38)/365.25&lt;=Assumptions!$B$20,(DATE(Assumptions!$B$4,6,28)-$N38)/365.25*Assumptions!$B$18*AY38,(Assumptions!$B$20*Assumptions!$B$18+((DATE(Assumptions!$B$4,6,28)-$N38)/365.25-Assumptions!$B$20)*Assumptions!$B$19)*AY38),0)</f>
        <v>28187.542778918549</v>
      </c>
      <c r="BA38" s="249">
        <f>IF(AX38&gt;0,IF($M38="Saudi",MIN(AX38+$Q38*$V38,Assumptions!$B$14)*Assumptions!$B$12,MIN(AX38+$Q38*$V38,Assumptions!$B$14)*Assumptions!$B$13),0)</f>
        <v>0</v>
      </c>
      <c r="BB38" s="249">
        <f>IF(AND(AX38&gt;0,$M38="Non-Saudi"),Assumptions!$B$25,0)</f>
        <v>910.41666666666663</v>
      </c>
      <c r="BC38" s="249">
        <f t="shared" si="13"/>
        <v>11750</v>
      </c>
      <c r="BD38" s="249">
        <f t="shared" si="14"/>
        <v>14750</v>
      </c>
      <c r="BE38" s="249">
        <f>IF(AND(BD38&gt;0,$N38&lt;&gt;""),IF((DATE(Assumptions!$B$4,7,28)-$N38)/365.25&lt;=Assumptions!$B$20,(DATE(Assumptions!$B$4,7,28)-$N38)/365.25*Assumptions!$B$18*BD38,(Assumptions!$B$20*Assumptions!$B$18+((DATE(Assumptions!$B$4,7,28)-$N38)/365.25-Assumptions!$B$20)*Assumptions!$B$19)*BD38),0)</f>
        <v>28793.292265571527</v>
      </c>
      <c r="BF38" s="249">
        <f>IF(BC38&gt;0,IF($M38="Saudi",MIN(BC38+$Q38*$V38,Assumptions!$B$14)*Assumptions!$B$12,MIN(BC38+$Q38*$V38,Assumptions!$B$14)*Assumptions!$B$13),0)</f>
        <v>0</v>
      </c>
      <c r="BG38" s="249">
        <f>IF(AND(BC38&gt;0,$M38="Non-Saudi"),Assumptions!$B$25,0)</f>
        <v>910.41666666666663</v>
      </c>
      <c r="BH38" s="249">
        <f t="shared" si="15"/>
        <v>11750</v>
      </c>
      <c r="BI38" s="249">
        <f t="shared" si="16"/>
        <v>14750</v>
      </c>
      <c r="BJ38" s="249">
        <f>IF(AND(BI38&gt;0,$N38&lt;&gt;""),IF((DATE(Assumptions!$B$4,8,28)-$N38)/365.25&lt;=Assumptions!$B$20,(DATE(Assumptions!$B$4,8,28)-$N38)/365.25*Assumptions!$B$18*BI38,(Assumptions!$B$20*Assumptions!$B$18+((DATE(Assumptions!$B$4,8,28)-$N38)/365.25-Assumptions!$B$20)*Assumptions!$B$19)*BI38),0)</f>
        <v>29419.233401779606</v>
      </c>
      <c r="BK38" s="249">
        <f>IF(BH38&gt;0,IF($M38="Saudi",MIN(BH38+$Q38*$V38,Assumptions!$B$14)*Assumptions!$B$12,MIN(BH38+$Q38*$V38,Assumptions!$B$14)*Assumptions!$B$13),0)</f>
        <v>0</v>
      </c>
      <c r="BL38" s="249">
        <f>IF(AND(BH38&gt;0,$M38="Non-Saudi"),Assumptions!$B$25,0)</f>
        <v>910.41666666666663</v>
      </c>
      <c r="BM38" s="249">
        <f>IF(AND($D38="Contrat Local",$N38&lt;&gt;""),IF(AND(9&gt;=Assumptions!$B$5,ISNUMBER($X38),$N38&lt;EDATE(Assumptions!$B$9,-Assumptions!$B$6*12)),($P38+$X38)*$V38,$P38*$V38),0)</f>
        <v>12000</v>
      </c>
      <c r="BN38" s="249">
        <f t="shared" si="17"/>
        <v>15000</v>
      </c>
      <c r="BO38" s="249">
        <f>IF(AND(BN38&gt;0,$N38&lt;&gt;""),IF((DATE(Assumptions!$B$4,9,28)-$N38)/365.25&lt;=Assumptions!$B$20,(DATE(Assumptions!$B$4,9,28)-$N38)/365.25*Assumptions!$B$18*BN38,(Assumptions!$B$20*Assumptions!$B$18+((DATE(Assumptions!$B$4,9,28)-$N38)/365.25-Assumptions!$B$20)*Assumptions!$B$19)*BN38),0)</f>
        <v>30554.414784394252</v>
      </c>
      <c r="BP38" s="249">
        <f>IF(BM38&gt;0,IF($M38="Saudi",MIN(BM38+$Q38*$V38,Assumptions!$B$14)*Assumptions!$B$12,MIN(BM38+$Q38*$V38,Assumptions!$B$14)*Assumptions!$B$13),0)</f>
        <v>0</v>
      </c>
      <c r="BQ38" s="249">
        <f>IF(AND(BM38&gt;0,$M38="Non-Saudi"),Assumptions!$B$25,0)</f>
        <v>910.41666666666663</v>
      </c>
      <c r="BR38" s="249">
        <f>IF(AND($D38="Contrat Local",$N38&lt;&gt;""),IF(AND(10&gt;=Assumptions!$B$5,ISNUMBER($X38),$N38&lt;EDATE(Assumptions!$B$9,-Assumptions!$B$6*12)),($P38+$X38)*$V38,$P38*$V38),0)</f>
        <v>12000</v>
      </c>
      <c r="BS38" s="249">
        <f t="shared" si="18"/>
        <v>15000</v>
      </c>
      <c r="BT38" s="249">
        <f>IF(AND(BS38&gt;0,$N38&lt;&gt;""),IF((DATE(Assumptions!$B$4,10,28)-$N38)/365.25&lt;=Assumptions!$B$20,(DATE(Assumptions!$B$4,10,28)-$N38)/365.25*Assumptions!$B$18*BS38,(Assumptions!$B$20*Assumptions!$B$18+((DATE(Assumptions!$B$4,10,28)-$N38)/365.25-Assumptions!$B$20)*Assumptions!$B$19)*BS38),0)</f>
        <v>31170.431211498973</v>
      </c>
      <c r="BU38" s="249">
        <f>IF(BR38&gt;0,IF($M38="Saudi",MIN(BR38+$Q38*$V38,Assumptions!$B$14)*Assumptions!$B$12,MIN(BR38+$Q38*$V38,Assumptions!$B$14)*Assumptions!$B$13),0)</f>
        <v>0</v>
      </c>
      <c r="BV38" s="249">
        <f>IF(AND(BR38&gt;0,$M38="Non-Saudi"),Assumptions!$B$25,0)</f>
        <v>910.41666666666663</v>
      </c>
      <c r="BW38" s="249">
        <f>IF(AND($D38="Contrat Local",$N38&lt;&gt;""),IF(AND(11&gt;=Assumptions!$B$5,ISNUMBER($X38),$N38&lt;EDATE(Assumptions!$B$9,-Assumptions!$B$6*12)),($P38+$X38)*$V38,$P38*$V38),0)</f>
        <v>12000</v>
      </c>
      <c r="BX38" s="249">
        <f t="shared" si="19"/>
        <v>15000</v>
      </c>
      <c r="BY38" s="249">
        <f>IF(AND(BX38&gt;0,$N38&lt;&gt;""),IF((DATE(Assumptions!$B$4,11,28)-$N38)/365.25&lt;=Assumptions!$B$20,(DATE(Assumptions!$B$4,11,28)-$N38)/365.25*Assumptions!$B$18*BX38,(Assumptions!$B$20*Assumptions!$B$18+((DATE(Assumptions!$B$4,11,28)-$N38)/365.25-Assumptions!$B$20)*Assumptions!$B$19)*BX38),0)</f>
        <v>31806.981519507186</v>
      </c>
      <c r="BZ38" s="249">
        <f>IF(BW38&gt;0,IF($M38="Saudi",MIN(BW38+$Q38*$V38,Assumptions!$B$14)*Assumptions!$B$12,MIN(BW38+$Q38*$V38,Assumptions!$B$14)*Assumptions!$B$13),0)</f>
        <v>0</v>
      </c>
      <c r="CA38" s="249">
        <f>IF(AND(BW38&gt;0,$M38="Non-Saudi"),Assumptions!$B$25,0)</f>
        <v>910.41666666666663</v>
      </c>
      <c r="CB38" s="249">
        <f>IF(AND($D38="Contrat Local",$N38&lt;&gt;""),IF(AND(12&gt;=Assumptions!$B$5,ISNUMBER($X38),$N38&lt;EDATE(Assumptions!$B$9,-Assumptions!$B$6*12)),($P38+$X38)*$V38,$P38*$V38),0)</f>
        <v>12000</v>
      </c>
      <c r="CC38" s="249">
        <f t="shared" si="20"/>
        <v>15000</v>
      </c>
      <c r="CD38" s="249">
        <f>IF(AND(CC38&gt;0,$N38&lt;&gt;""),IF((DATE(Assumptions!$B$4,12,28)-$N38)/365.25&lt;=Assumptions!$B$20,(DATE(Assumptions!$B$4,12,28)-$N38)/365.25*Assumptions!$B$18*CC38,(Assumptions!$B$20*Assumptions!$B$18+((DATE(Assumptions!$B$4,12,28)-$N38)/365.25-Assumptions!$B$20)*Assumptions!$B$19)*CC38),0)</f>
        <v>32422.997946611908</v>
      </c>
      <c r="CE38" s="249">
        <f>IF(CB38&gt;0,IF($M38="Saudi",MIN(CB38+$Q38*$V38,Assumptions!$B$14)*Assumptions!$B$12,MIN(CB38+$Q38*$V38,Assumptions!$B$14)*Assumptions!$B$13),0)</f>
        <v>0</v>
      </c>
      <c r="CF38" s="249">
        <f>IF(AND(CB38&gt;0,$M38="Non-Saudi"),Assumptions!$B$25,0)</f>
        <v>910.41666666666663</v>
      </c>
      <c r="CG38" s="249">
        <f t="shared" si="21"/>
        <v>142000</v>
      </c>
      <c r="CH38" s="249">
        <f t="shared" si="22"/>
        <v>178000</v>
      </c>
      <c r="CI38" s="249">
        <f>CD38-IF(AND(Z38&gt;0,$N38&lt;&gt;""),IF((DATE(Assumptions!$B$4-1,12,28)-$N38)/365.25&lt;=Assumptions!$B$20,(DATE(Assumptions!$B$4-1,12,28)-$N38)/365.25*Assumptions!$B$18*Z38,(Assumptions!$B$20*Assumptions!$B$18+((DATE(Assumptions!$B$4-1,12,28)-$N38)/365.25-Assumptions!$B$20)*Assumptions!$B$19)*Z38),0)</f>
        <v>7910.3353867214246</v>
      </c>
      <c r="CJ38" s="249">
        <f t="shared" si="23"/>
        <v>0</v>
      </c>
      <c r="CK38" s="249">
        <f t="shared" si="24"/>
        <v>10924.999999999998</v>
      </c>
    </row>
    <row r="39" spans="1:89" x14ac:dyDescent="0.2">
      <c r="A39" s="252">
        <v>36</v>
      </c>
      <c r="B39" s="253" t="s">
        <v>354</v>
      </c>
      <c r="C39" s="253" t="s">
        <v>355</v>
      </c>
      <c r="D39" s="253" t="s">
        <v>250</v>
      </c>
      <c r="E39" s="253" t="s">
        <v>767</v>
      </c>
      <c r="F39" s="253" t="s">
        <v>251</v>
      </c>
      <c r="G39" s="253" t="s">
        <v>252</v>
      </c>
      <c r="H39" s="253" t="s">
        <v>253</v>
      </c>
      <c r="I39" s="282" t="s">
        <v>690</v>
      </c>
      <c r="J39" s="253"/>
      <c r="K39" s="253" t="s">
        <v>252</v>
      </c>
      <c r="L39" s="253" t="s">
        <v>255</v>
      </c>
      <c r="M39" s="253" t="str">
        <f t="shared" si="25"/>
        <v>Non-Saudi</v>
      </c>
      <c r="N39" s="254">
        <v>45536</v>
      </c>
      <c r="O39" s="255">
        <v>2.2999999999999998</v>
      </c>
      <c r="P39" s="256">
        <v>7600</v>
      </c>
      <c r="Q39" s="256">
        <v>2500</v>
      </c>
      <c r="R39" s="256">
        <v>500</v>
      </c>
      <c r="S39" s="256"/>
      <c r="T39" s="256"/>
      <c r="U39" s="256">
        <v>10600</v>
      </c>
      <c r="V39" s="257">
        <v>1</v>
      </c>
      <c r="W39" s="253" t="s">
        <v>259</v>
      </c>
      <c r="X39" s="253">
        <v>200</v>
      </c>
      <c r="Y39" s="249">
        <f t="shared" si="1"/>
        <v>7600</v>
      </c>
      <c r="Z39" s="249">
        <f t="shared" si="2"/>
        <v>10600</v>
      </c>
      <c r="AA39" s="249">
        <f>IF(AND(Z39&gt;0,$N39&lt;&gt;""),IF((DATE(Assumptions!$B$4,1,28)-$N39)/365.25&lt;=Assumptions!$B$20,(DATE(Assumptions!$B$4,1,28)-$N39)/365.25*Assumptions!$B$18*Z39,(Assumptions!$B$20*Assumptions!$B$18+((DATE(Assumptions!$B$4,1,28)-$N39)/365.25-Assumptions!$B$20)*Assumptions!$B$19)*Z39),0)</f>
        <v>7458.45311430527</v>
      </c>
      <c r="AB39" s="249">
        <f>IF(Y39&gt;0,IF($M39="Saudi",MIN(Y39+$Q39*$V39,Assumptions!$B$14)*Assumptions!$B$12,MIN(Y39+$Q39*$V39,Assumptions!$B$14)*Assumptions!$B$13),0)</f>
        <v>0</v>
      </c>
      <c r="AC39" s="249">
        <f>IF(AND(Y39&gt;0,$M39="Non-Saudi"),Assumptions!$B$25,0)</f>
        <v>910.41666666666663</v>
      </c>
      <c r="AD39" s="249">
        <f t="shared" si="3"/>
        <v>7600</v>
      </c>
      <c r="AE39" s="249">
        <f t="shared" si="4"/>
        <v>10600</v>
      </c>
      <c r="AF39" s="249">
        <f>IF(AND(AE39&gt;0,$N39&lt;&gt;""),IF((DATE(Assumptions!$B$4,2,28)-$N39)/365.25&lt;=Assumptions!$B$20,(DATE(Assumptions!$B$4,2,28)-$N39)/365.25*Assumptions!$B$18*AE39,(Assumptions!$B$20*Assumptions!$B$18+((DATE(Assumptions!$B$4,2,28)-$N39)/365.25-Assumptions!$B$20)*Assumptions!$B$19)*AE39),0)</f>
        <v>7908.2819986310742</v>
      </c>
      <c r="AG39" s="249">
        <f>IF(AD39&gt;0,IF($M39="Saudi",MIN(AD39+$Q39*$V39,Assumptions!$B$14)*Assumptions!$B$12,MIN(AD39+$Q39*$V39,Assumptions!$B$14)*Assumptions!$B$13),0)</f>
        <v>0</v>
      </c>
      <c r="AH39" s="249">
        <f>IF(AND(AD39&gt;0,$M39="Non-Saudi"),Assumptions!$B$25,0)</f>
        <v>910.41666666666663</v>
      </c>
      <c r="AI39" s="249">
        <f t="shared" si="5"/>
        <v>7600</v>
      </c>
      <c r="AJ39" s="249">
        <f t="shared" si="6"/>
        <v>10600</v>
      </c>
      <c r="AK39" s="249">
        <f>IF(AND(AJ39&gt;0,$N39&lt;&gt;""),IF((DATE(Assumptions!$B$4,3,28)-$N39)/365.25&lt;=Assumptions!$B$20,(DATE(Assumptions!$B$4,3,28)-$N39)/365.25*Assumptions!$B$18*AJ39,(Assumptions!$B$20*Assumptions!$B$18+((DATE(Assumptions!$B$4,3,28)-$N39)/365.25-Assumptions!$B$20)*Assumptions!$B$19)*AJ39),0)</f>
        <v>8314.579055441478</v>
      </c>
      <c r="AL39" s="249">
        <f>IF(AI39&gt;0,IF($M39="Saudi",MIN(AI39+$Q39*$V39,Assumptions!$B$14)*Assumptions!$B$12,MIN(AI39+$Q39*$V39,Assumptions!$B$14)*Assumptions!$B$13),0)</f>
        <v>0</v>
      </c>
      <c r="AM39" s="249">
        <f>IF(AND(AI39&gt;0,$M39="Non-Saudi"),Assumptions!$B$25,0)</f>
        <v>910.41666666666663</v>
      </c>
      <c r="AN39" s="249">
        <f t="shared" si="7"/>
        <v>7600</v>
      </c>
      <c r="AO39" s="249">
        <f t="shared" si="8"/>
        <v>10600</v>
      </c>
      <c r="AP39" s="249">
        <f>IF(AND(AO39&gt;0,$N39&lt;&gt;""),IF((DATE(Assumptions!$B$4,4,28)-$N39)/365.25&lt;=Assumptions!$B$20,(DATE(Assumptions!$B$4,4,28)-$N39)/365.25*Assumptions!$B$18*AO39,(Assumptions!$B$20*Assumptions!$B$18+((DATE(Assumptions!$B$4,4,28)-$N39)/365.25-Assumptions!$B$20)*Assumptions!$B$19)*AO39),0)</f>
        <v>8764.4079397672831</v>
      </c>
      <c r="AQ39" s="249">
        <f>IF(AN39&gt;0,IF($M39="Saudi",MIN(AN39+$Q39*$V39,Assumptions!$B$14)*Assumptions!$B$12,MIN(AN39+$Q39*$V39,Assumptions!$B$14)*Assumptions!$B$13),0)</f>
        <v>0</v>
      </c>
      <c r="AR39" s="249">
        <f>IF(AND(AN39&gt;0,$M39="Non-Saudi"),Assumptions!$B$25,0)</f>
        <v>910.41666666666663</v>
      </c>
      <c r="AS39" s="249">
        <f t="shared" si="9"/>
        <v>7600</v>
      </c>
      <c r="AT39" s="249">
        <f t="shared" si="10"/>
        <v>10600</v>
      </c>
      <c r="AU39" s="249">
        <f>IF(AND(AT39&gt;0,$N39&lt;&gt;""),IF((DATE(Assumptions!$B$4,5,28)-$N39)/365.25&lt;=Assumptions!$B$20,(DATE(Assumptions!$B$4,5,28)-$N39)/365.25*Assumptions!$B$18*AT39,(Assumptions!$B$20*Assumptions!$B$18+((DATE(Assumptions!$B$4,5,28)-$N39)/365.25-Assumptions!$B$20)*Assumptions!$B$19)*AT39),0)</f>
        <v>9199.7262149212856</v>
      </c>
      <c r="AV39" s="249">
        <f>IF(AS39&gt;0,IF($M39="Saudi",MIN(AS39+$Q39*$V39,Assumptions!$B$14)*Assumptions!$B$12,MIN(AS39+$Q39*$V39,Assumptions!$B$14)*Assumptions!$B$13),0)</f>
        <v>0</v>
      </c>
      <c r="AW39" s="249">
        <f>IF(AND(AS39&gt;0,$M39="Non-Saudi"),Assumptions!$B$25,0)</f>
        <v>910.41666666666663</v>
      </c>
      <c r="AX39" s="249">
        <f t="shared" si="11"/>
        <v>7600</v>
      </c>
      <c r="AY39" s="249">
        <f t="shared" si="12"/>
        <v>10600</v>
      </c>
      <c r="AZ39" s="249">
        <f>IF(AND(AY39&gt;0,$N39&lt;&gt;""),IF((DATE(Assumptions!$B$4,6,28)-$N39)/365.25&lt;=Assumptions!$B$20,(DATE(Assumptions!$B$4,6,28)-$N39)/365.25*Assumptions!$B$18*AY39,(Assumptions!$B$20*Assumptions!$B$18+((DATE(Assumptions!$B$4,6,28)-$N39)/365.25-Assumptions!$B$20)*Assumptions!$B$19)*AY39),0)</f>
        <v>9649.5550992470908</v>
      </c>
      <c r="BA39" s="249">
        <f>IF(AX39&gt;0,IF($M39="Saudi",MIN(AX39+$Q39*$V39,Assumptions!$B$14)*Assumptions!$B$12,MIN(AX39+$Q39*$V39,Assumptions!$B$14)*Assumptions!$B$13),0)</f>
        <v>0</v>
      </c>
      <c r="BB39" s="249">
        <f>IF(AND(AX39&gt;0,$M39="Non-Saudi"),Assumptions!$B$25,0)</f>
        <v>910.41666666666663</v>
      </c>
      <c r="BC39" s="249">
        <f t="shared" si="13"/>
        <v>7600</v>
      </c>
      <c r="BD39" s="249">
        <f t="shared" si="14"/>
        <v>10600</v>
      </c>
      <c r="BE39" s="249">
        <f>IF(AND(BD39&gt;0,$N39&lt;&gt;""),IF((DATE(Assumptions!$B$4,7,28)-$N39)/365.25&lt;=Assumptions!$B$20,(DATE(Assumptions!$B$4,7,28)-$N39)/365.25*Assumptions!$B$18*BD39,(Assumptions!$B$20*Assumptions!$B$18+((DATE(Assumptions!$B$4,7,28)-$N39)/365.25-Assumptions!$B$20)*Assumptions!$B$19)*BD39),0)</f>
        <v>10084.873374401095</v>
      </c>
      <c r="BF39" s="249">
        <f>IF(BC39&gt;0,IF($M39="Saudi",MIN(BC39+$Q39*$V39,Assumptions!$B$14)*Assumptions!$B$12,MIN(BC39+$Q39*$V39,Assumptions!$B$14)*Assumptions!$B$13),0)</f>
        <v>0</v>
      </c>
      <c r="BG39" s="249">
        <f>IF(AND(BC39&gt;0,$M39="Non-Saudi"),Assumptions!$B$25,0)</f>
        <v>910.41666666666663</v>
      </c>
      <c r="BH39" s="249">
        <f t="shared" si="15"/>
        <v>7600</v>
      </c>
      <c r="BI39" s="249">
        <f t="shared" si="16"/>
        <v>10600</v>
      </c>
      <c r="BJ39" s="249">
        <f>IF(AND(BI39&gt;0,$N39&lt;&gt;""),IF((DATE(Assumptions!$B$4,8,28)-$N39)/365.25&lt;=Assumptions!$B$20,(DATE(Assumptions!$B$4,8,28)-$N39)/365.25*Assumptions!$B$18*BI39,(Assumptions!$B$20*Assumptions!$B$18+((DATE(Assumptions!$B$4,8,28)-$N39)/365.25-Assumptions!$B$20)*Assumptions!$B$19)*BI39),0)</f>
        <v>10534.702258726898</v>
      </c>
      <c r="BK39" s="249">
        <f>IF(BH39&gt;0,IF($M39="Saudi",MIN(BH39+$Q39*$V39,Assumptions!$B$14)*Assumptions!$B$12,MIN(BH39+$Q39*$V39,Assumptions!$B$14)*Assumptions!$B$13),0)</f>
        <v>0</v>
      </c>
      <c r="BL39" s="249">
        <f>IF(AND(BH39&gt;0,$M39="Non-Saudi"),Assumptions!$B$25,0)</f>
        <v>910.41666666666663</v>
      </c>
      <c r="BM39" s="249">
        <f>IF(AND($D39="Contrat Local",$N39&lt;&gt;""),IF(AND(9&gt;=Assumptions!$B$5,ISNUMBER($X39),$N39&lt;EDATE(Assumptions!$B$9,-Assumptions!$B$6*12)),($P39+$X39)*$V39,$P39*$V39),0)</f>
        <v>7800</v>
      </c>
      <c r="BN39" s="249">
        <f t="shared" si="17"/>
        <v>10800</v>
      </c>
      <c r="BO39" s="249">
        <f>IF(AND(BN39&gt;0,$N39&lt;&gt;""),IF((DATE(Assumptions!$B$4,9,28)-$N39)/365.25&lt;=Assumptions!$B$20,(DATE(Assumptions!$B$4,9,28)-$N39)/365.25*Assumptions!$B$18*BN39,(Assumptions!$B$20*Assumptions!$B$18+((DATE(Assumptions!$B$4,9,28)-$N39)/365.25-Assumptions!$B$20)*Assumptions!$B$19)*BN39),0)</f>
        <v>11191.786447638604</v>
      </c>
      <c r="BP39" s="249">
        <f>IF(BM39&gt;0,IF($M39="Saudi",MIN(BM39+$Q39*$V39,Assumptions!$B$14)*Assumptions!$B$12,MIN(BM39+$Q39*$V39,Assumptions!$B$14)*Assumptions!$B$13),0)</f>
        <v>0</v>
      </c>
      <c r="BQ39" s="249">
        <f>IF(AND(BM39&gt;0,$M39="Non-Saudi"),Assumptions!$B$25,0)</f>
        <v>910.41666666666663</v>
      </c>
      <c r="BR39" s="249">
        <f>IF(AND($D39="Contrat Local",$N39&lt;&gt;""),IF(AND(10&gt;=Assumptions!$B$5,ISNUMBER($X39),$N39&lt;EDATE(Assumptions!$B$9,-Assumptions!$B$6*12)),($P39+$X39)*$V39,$P39*$V39),0)</f>
        <v>7800</v>
      </c>
      <c r="BS39" s="249">
        <f t="shared" si="18"/>
        <v>10800</v>
      </c>
      <c r="BT39" s="249">
        <f>IF(AND(BS39&gt;0,$N39&lt;&gt;""),IF((DATE(Assumptions!$B$4,10,28)-$N39)/365.25&lt;=Assumptions!$B$20,(DATE(Assumptions!$B$4,10,28)-$N39)/365.25*Assumptions!$B$18*BS39,(Assumptions!$B$20*Assumptions!$B$18+((DATE(Assumptions!$B$4,10,28)-$N39)/365.25-Assumptions!$B$20)*Assumptions!$B$19)*BS39),0)</f>
        <v>11635.318275154004</v>
      </c>
      <c r="BU39" s="249">
        <f>IF(BR39&gt;0,IF($M39="Saudi",MIN(BR39+$Q39*$V39,Assumptions!$B$14)*Assumptions!$B$12,MIN(BR39+$Q39*$V39,Assumptions!$B$14)*Assumptions!$B$13),0)</f>
        <v>0</v>
      </c>
      <c r="BV39" s="249">
        <f>IF(AND(BR39&gt;0,$M39="Non-Saudi"),Assumptions!$B$25,0)</f>
        <v>910.41666666666663</v>
      </c>
      <c r="BW39" s="249">
        <f>IF(AND($D39="Contrat Local",$N39&lt;&gt;""),IF(AND(11&gt;=Assumptions!$B$5,ISNUMBER($X39),$N39&lt;EDATE(Assumptions!$B$9,-Assumptions!$B$6*12)),($P39+$X39)*$V39,$P39*$V39),0)</f>
        <v>7800</v>
      </c>
      <c r="BX39" s="249">
        <f t="shared" si="19"/>
        <v>10800</v>
      </c>
      <c r="BY39" s="249">
        <f>IF(AND(BX39&gt;0,$N39&lt;&gt;""),IF((DATE(Assumptions!$B$4,11,28)-$N39)/365.25&lt;=Assumptions!$B$20,(DATE(Assumptions!$B$4,11,28)-$N39)/365.25*Assumptions!$B$18*BX39,(Assumptions!$B$20*Assumptions!$B$18+((DATE(Assumptions!$B$4,11,28)-$N39)/365.25-Assumptions!$B$20)*Assumptions!$B$19)*BX39),0)</f>
        <v>12093.634496919918</v>
      </c>
      <c r="BZ39" s="249">
        <f>IF(BW39&gt;0,IF($M39="Saudi",MIN(BW39+$Q39*$V39,Assumptions!$B$14)*Assumptions!$B$12,MIN(BW39+$Q39*$V39,Assumptions!$B$14)*Assumptions!$B$13),0)</f>
        <v>0</v>
      </c>
      <c r="CA39" s="249">
        <f>IF(AND(BW39&gt;0,$M39="Non-Saudi"),Assumptions!$B$25,0)</f>
        <v>910.41666666666663</v>
      </c>
      <c r="CB39" s="249">
        <f>IF(AND($D39="Contrat Local",$N39&lt;&gt;""),IF(AND(12&gt;=Assumptions!$B$5,ISNUMBER($X39),$N39&lt;EDATE(Assumptions!$B$9,-Assumptions!$B$6*12)),($P39+$X39)*$V39,$P39*$V39),0)</f>
        <v>7800</v>
      </c>
      <c r="CC39" s="249">
        <f t="shared" si="20"/>
        <v>10800</v>
      </c>
      <c r="CD39" s="249">
        <f>IF(AND(CC39&gt;0,$N39&lt;&gt;""),IF((DATE(Assumptions!$B$4,12,28)-$N39)/365.25&lt;=Assumptions!$B$20,(DATE(Assumptions!$B$4,12,28)-$N39)/365.25*Assumptions!$B$18*CC39,(Assumptions!$B$20*Assumptions!$B$18+((DATE(Assumptions!$B$4,12,28)-$N39)/365.25-Assumptions!$B$20)*Assumptions!$B$19)*CC39),0)</f>
        <v>12537.166324435319</v>
      </c>
      <c r="CE39" s="249">
        <f>IF(CB39&gt;0,IF($M39="Saudi",MIN(CB39+$Q39*$V39,Assumptions!$B$14)*Assumptions!$B$12,MIN(CB39+$Q39*$V39,Assumptions!$B$14)*Assumptions!$B$13),0)</f>
        <v>0</v>
      </c>
      <c r="CF39" s="249">
        <f>IF(AND(CB39&gt;0,$M39="Non-Saudi"),Assumptions!$B$25,0)</f>
        <v>910.41666666666663</v>
      </c>
      <c r="CG39" s="249">
        <f t="shared" si="21"/>
        <v>92000</v>
      </c>
      <c r="CH39" s="249">
        <f t="shared" si="22"/>
        <v>128000</v>
      </c>
      <c r="CI39" s="249">
        <f>CD39-IF(AND(Z39&gt;0,$N39&lt;&gt;""),IF((DATE(Assumptions!$B$4-1,12,28)-$N39)/365.25&lt;=Assumptions!$B$20,(DATE(Assumptions!$B$4-1,12,28)-$N39)/365.25*Assumptions!$B$18*Z39,(Assumptions!$B$20*Assumptions!$B$18+((DATE(Assumptions!$B$4-1,12,28)-$N39)/365.25-Assumptions!$B$20)*Assumptions!$B$19)*Z39),0)</f>
        <v>5528.5420944558518</v>
      </c>
      <c r="CJ39" s="249">
        <f t="shared" si="23"/>
        <v>0</v>
      </c>
      <c r="CK39" s="249">
        <f t="shared" si="24"/>
        <v>10924.999999999998</v>
      </c>
    </row>
    <row r="40" spans="1:89" x14ac:dyDescent="0.2">
      <c r="A40" s="276">
        <v>37</v>
      </c>
      <c r="B40" s="277" t="s">
        <v>356</v>
      </c>
      <c r="C40" s="277" t="s">
        <v>357</v>
      </c>
      <c r="D40" s="277" t="s">
        <v>250</v>
      </c>
      <c r="E40" s="277" t="s">
        <v>767</v>
      </c>
      <c r="F40" s="277" t="s">
        <v>302</v>
      </c>
      <c r="G40" s="277" t="s">
        <v>303</v>
      </c>
      <c r="H40" s="277" t="s">
        <v>341</v>
      </c>
      <c r="I40" s="287" t="s">
        <v>691</v>
      </c>
      <c r="J40" s="277" t="s">
        <v>104</v>
      </c>
      <c r="K40" s="277" t="s">
        <v>254</v>
      </c>
      <c r="L40" s="277" t="s">
        <v>255</v>
      </c>
      <c r="M40" s="277" t="str">
        <f t="shared" si="25"/>
        <v>Non-Saudi</v>
      </c>
      <c r="N40" s="278">
        <v>45536</v>
      </c>
      <c r="O40" s="279">
        <v>2.2999999999999998</v>
      </c>
      <c r="P40" s="280">
        <v>10000</v>
      </c>
      <c r="Q40" s="280">
        <v>2500</v>
      </c>
      <c r="R40" s="280">
        <v>500</v>
      </c>
      <c r="S40" s="280"/>
      <c r="T40" s="280">
        <v>900</v>
      </c>
      <c r="U40" s="280">
        <v>13900</v>
      </c>
      <c r="V40" s="281">
        <v>1</v>
      </c>
      <c r="W40" s="277" t="s">
        <v>259</v>
      </c>
      <c r="X40" s="277">
        <v>250</v>
      </c>
      <c r="Y40" s="249">
        <f t="shared" si="1"/>
        <v>10000</v>
      </c>
      <c r="Z40" s="249">
        <f t="shared" si="2"/>
        <v>13900</v>
      </c>
      <c r="AA40" s="249">
        <f>IF(AND(Z40&gt;0,$N40&lt;&gt;""),IF((DATE(Assumptions!$B$4,1,28)-$N40)/365.25&lt;=Assumptions!$B$20,(DATE(Assumptions!$B$4,1,28)-$N40)/365.25*Assumptions!$B$18*Z40,(Assumptions!$B$20*Assumptions!$B$18+((DATE(Assumptions!$B$4,1,28)-$N40)/365.25-Assumptions!$B$20)*Assumptions!$B$19)*Z40),0)</f>
        <v>9780.4243668720046</v>
      </c>
      <c r="AB40" s="249">
        <f>IF(Y40&gt;0,IF($M40="Saudi",MIN(Y40+$Q40*$V40,Assumptions!$B$14)*Assumptions!$B$12,MIN(Y40+$Q40*$V40,Assumptions!$B$14)*Assumptions!$B$13),0)</f>
        <v>0</v>
      </c>
      <c r="AC40" s="249">
        <f>IF(AND(Y40&gt;0,$M40="Non-Saudi"),Assumptions!$B$25,0)</f>
        <v>910.41666666666663</v>
      </c>
      <c r="AD40" s="249">
        <f t="shared" si="3"/>
        <v>10000</v>
      </c>
      <c r="AE40" s="249">
        <f t="shared" si="4"/>
        <v>13900</v>
      </c>
      <c r="AF40" s="249">
        <f>IF(AND(AE40&gt;0,$N40&lt;&gt;""),IF((DATE(Assumptions!$B$4,2,28)-$N40)/365.25&lt;=Assumptions!$B$20,(DATE(Assumptions!$B$4,2,28)-$N40)/365.25*Assumptions!$B$18*AE40,(Assumptions!$B$20*Assumptions!$B$18+((DATE(Assumptions!$B$4,2,28)-$N40)/365.25-Assumptions!$B$20)*Assumptions!$B$19)*AE40),0)</f>
        <v>10370.294318959617</v>
      </c>
      <c r="AG40" s="249">
        <f>IF(AD40&gt;0,IF($M40="Saudi",MIN(AD40+$Q40*$V40,Assumptions!$B$14)*Assumptions!$B$12,MIN(AD40+$Q40*$V40,Assumptions!$B$14)*Assumptions!$B$13),0)</f>
        <v>0</v>
      </c>
      <c r="AH40" s="249">
        <f>IF(AND(AD40&gt;0,$M40="Non-Saudi"),Assumptions!$B$25,0)</f>
        <v>910.41666666666663</v>
      </c>
      <c r="AI40" s="249">
        <f t="shared" si="5"/>
        <v>10000</v>
      </c>
      <c r="AJ40" s="249">
        <f t="shared" si="6"/>
        <v>13900</v>
      </c>
      <c r="AK40" s="249">
        <f>IF(AND(AJ40&gt;0,$N40&lt;&gt;""),IF((DATE(Assumptions!$B$4,3,28)-$N40)/365.25&lt;=Assumptions!$B$20,(DATE(Assumptions!$B$4,3,28)-$N40)/365.25*Assumptions!$B$18*AJ40,(Assumptions!$B$20*Assumptions!$B$18+((DATE(Assumptions!$B$4,3,28)-$N40)/365.25-Assumptions!$B$20)*Assumptions!$B$19)*AJ40),0)</f>
        <v>10903.080082135522</v>
      </c>
      <c r="AL40" s="249">
        <f>IF(AI40&gt;0,IF($M40="Saudi",MIN(AI40+$Q40*$V40,Assumptions!$B$14)*Assumptions!$B$12,MIN(AI40+$Q40*$V40,Assumptions!$B$14)*Assumptions!$B$13),0)</f>
        <v>0</v>
      </c>
      <c r="AM40" s="249">
        <f>IF(AND(AI40&gt;0,$M40="Non-Saudi"),Assumptions!$B$25,0)</f>
        <v>910.41666666666663</v>
      </c>
      <c r="AN40" s="249">
        <f t="shared" si="7"/>
        <v>10000</v>
      </c>
      <c r="AO40" s="249">
        <f t="shared" si="8"/>
        <v>13900</v>
      </c>
      <c r="AP40" s="249">
        <f>IF(AND(AO40&gt;0,$N40&lt;&gt;""),IF((DATE(Assumptions!$B$4,4,28)-$N40)/365.25&lt;=Assumptions!$B$20,(DATE(Assumptions!$B$4,4,28)-$N40)/365.25*Assumptions!$B$18*AO40,(Assumptions!$B$20*Assumptions!$B$18+((DATE(Assumptions!$B$4,4,28)-$N40)/365.25-Assumptions!$B$20)*Assumptions!$B$19)*AO40),0)</f>
        <v>11492.950034223135</v>
      </c>
      <c r="AQ40" s="249">
        <f>IF(AN40&gt;0,IF($M40="Saudi",MIN(AN40+$Q40*$V40,Assumptions!$B$14)*Assumptions!$B$12,MIN(AN40+$Q40*$V40,Assumptions!$B$14)*Assumptions!$B$13),0)</f>
        <v>0</v>
      </c>
      <c r="AR40" s="249">
        <f>IF(AND(AN40&gt;0,$M40="Non-Saudi"),Assumptions!$B$25,0)</f>
        <v>910.41666666666663</v>
      </c>
      <c r="AS40" s="249">
        <f t="shared" si="9"/>
        <v>10000</v>
      </c>
      <c r="AT40" s="249">
        <f t="shared" si="10"/>
        <v>13900</v>
      </c>
      <c r="AU40" s="249">
        <f>IF(AND(AT40&gt;0,$N40&lt;&gt;""),IF((DATE(Assumptions!$B$4,5,28)-$N40)/365.25&lt;=Assumptions!$B$20,(DATE(Assumptions!$B$4,5,28)-$N40)/365.25*Assumptions!$B$18*AT40,(Assumptions!$B$20*Assumptions!$B$18+((DATE(Assumptions!$B$4,5,28)-$N40)/365.25-Assumptions!$B$20)*Assumptions!$B$19)*AT40),0)</f>
        <v>12063.791923340177</v>
      </c>
      <c r="AV40" s="249">
        <f>IF(AS40&gt;0,IF($M40="Saudi",MIN(AS40+$Q40*$V40,Assumptions!$B$14)*Assumptions!$B$12,MIN(AS40+$Q40*$V40,Assumptions!$B$14)*Assumptions!$B$13),0)</f>
        <v>0</v>
      </c>
      <c r="AW40" s="249">
        <f>IF(AND(AS40&gt;0,$M40="Non-Saudi"),Assumptions!$B$25,0)</f>
        <v>910.41666666666663</v>
      </c>
      <c r="AX40" s="249">
        <f t="shared" si="11"/>
        <v>10000</v>
      </c>
      <c r="AY40" s="249">
        <f t="shared" si="12"/>
        <v>13900</v>
      </c>
      <c r="AZ40" s="249">
        <f>IF(AND(AY40&gt;0,$N40&lt;&gt;""),IF((DATE(Assumptions!$B$4,6,28)-$N40)/365.25&lt;=Assumptions!$B$20,(DATE(Assumptions!$B$4,6,28)-$N40)/365.25*Assumptions!$B$18*AY40,(Assumptions!$B$20*Assumptions!$B$18+((DATE(Assumptions!$B$4,6,28)-$N40)/365.25-Assumptions!$B$20)*Assumptions!$B$19)*AY40),0)</f>
        <v>12653.66187542779</v>
      </c>
      <c r="BA40" s="249">
        <f>IF(AX40&gt;0,IF($M40="Saudi",MIN(AX40+$Q40*$V40,Assumptions!$B$14)*Assumptions!$B$12,MIN(AX40+$Q40*$V40,Assumptions!$B$14)*Assumptions!$B$13),0)</f>
        <v>0</v>
      </c>
      <c r="BB40" s="249">
        <f>IF(AND(AX40&gt;0,$M40="Non-Saudi"),Assumptions!$B$25,0)</f>
        <v>910.41666666666663</v>
      </c>
      <c r="BC40" s="249">
        <f t="shared" si="13"/>
        <v>10000</v>
      </c>
      <c r="BD40" s="249">
        <f t="shared" si="14"/>
        <v>13900</v>
      </c>
      <c r="BE40" s="249">
        <f>IF(AND(BD40&gt;0,$N40&lt;&gt;""),IF((DATE(Assumptions!$B$4,7,28)-$N40)/365.25&lt;=Assumptions!$B$20,(DATE(Assumptions!$B$4,7,28)-$N40)/365.25*Assumptions!$B$18*BD40,(Assumptions!$B$20*Assumptions!$B$18+((DATE(Assumptions!$B$4,7,28)-$N40)/365.25-Assumptions!$B$20)*Assumptions!$B$19)*BD40),0)</f>
        <v>13224.503764544832</v>
      </c>
      <c r="BF40" s="249">
        <f>IF(BC40&gt;0,IF($M40="Saudi",MIN(BC40+$Q40*$V40,Assumptions!$B$14)*Assumptions!$B$12,MIN(BC40+$Q40*$V40,Assumptions!$B$14)*Assumptions!$B$13),0)</f>
        <v>0</v>
      </c>
      <c r="BG40" s="249">
        <f>IF(AND(BC40&gt;0,$M40="Non-Saudi"),Assumptions!$B$25,0)</f>
        <v>910.41666666666663</v>
      </c>
      <c r="BH40" s="249">
        <f t="shared" si="15"/>
        <v>10000</v>
      </c>
      <c r="BI40" s="249">
        <f t="shared" si="16"/>
        <v>13900</v>
      </c>
      <c r="BJ40" s="249">
        <f>IF(AND(BI40&gt;0,$N40&lt;&gt;""),IF((DATE(Assumptions!$B$4,8,28)-$N40)/365.25&lt;=Assumptions!$B$20,(DATE(Assumptions!$B$4,8,28)-$N40)/365.25*Assumptions!$B$18*BI40,(Assumptions!$B$20*Assumptions!$B$18+((DATE(Assumptions!$B$4,8,28)-$N40)/365.25-Assumptions!$B$20)*Assumptions!$B$19)*BI40),0)</f>
        <v>13814.373716632443</v>
      </c>
      <c r="BK40" s="249">
        <f>IF(BH40&gt;0,IF($M40="Saudi",MIN(BH40+$Q40*$V40,Assumptions!$B$14)*Assumptions!$B$12,MIN(BH40+$Q40*$V40,Assumptions!$B$14)*Assumptions!$B$13),0)</f>
        <v>0</v>
      </c>
      <c r="BL40" s="249">
        <f>IF(AND(BH40&gt;0,$M40="Non-Saudi"),Assumptions!$B$25,0)</f>
        <v>910.41666666666663</v>
      </c>
      <c r="BM40" s="249">
        <f>IF(AND($D40="Contrat Local",$N40&lt;&gt;""),IF(AND(9&gt;=Assumptions!$B$5,ISNUMBER($X40),$N40&lt;EDATE(Assumptions!$B$9,-Assumptions!$B$6*12)),($P40+$X40)*$V40,$P40*$V40),0)</f>
        <v>10250</v>
      </c>
      <c r="BN40" s="249">
        <f t="shared" si="17"/>
        <v>14150</v>
      </c>
      <c r="BO40" s="249">
        <f>IF(AND(BN40&gt;0,$N40&lt;&gt;""),IF((DATE(Assumptions!$B$4,9,28)-$N40)/365.25&lt;=Assumptions!$B$20,(DATE(Assumptions!$B$4,9,28)-$N40)/365.25*Assumptions!$B$18*BN40,(Assumptions!$B$20*Assumptions!$B$18+((DATE(Assumptions!$B$4,9,28)-$N40)/365.25-Assumptions!$B$20)*Assumptions!$B$19)*BN40),0)</f>
        <v>14663.312799452429</v>
      </c>
      <c r="BP40" s="249">
        <f>IF(BM40&gt;0,IF($M40="Saudi",MIN(BM40+$Q40*$V40,Assumptions!$B$14)*Assumptions!$B$12,MIN(BM40+$Q40*$V40,Assumptions!$B$14)*Assumptions!$B$13),0)</f>
        <v>0</v>
      </c>
      <c r="BQ40" s="249">
        <f>IF(AND(BM40&gt;0,$M40="Non-Saudi"),Assumptions!$B$25,0)</f>
        <v>910.41666666666663</v>
      </c>
      <c r="BR40" s="249">
        <f>IF(AND($D40="Contrat Local",$N40&lt;&gt;""),IF(AND(10&gt;=Assumptions!$B$5,ISNUMBER($X40),$N40&lt;EDATE(Assumptions!$B$9,-Assumptions!$B$6*12)),($P40+$X40)*$V40,$P40*$V40),0)</f>
        <v>10250</v>
      </c>
      <c r="BS40" s="249">
        <f t="shared" si="18"/>
        <v>14150</v>
      </c>
      <c r="BT40" s="249">
        <f>IF(AND(BS40&gt;0,$N40&lt;&gt;""),IF((DATE(Assumptions!$B$4,10,28)-$N40)/365.25&lt;=Assumptions!$B$20,(DATE(Assumptions!$B$4,10,28)-$N40)/365.25*Assumptions!$B$18*BS40,(Assumptions!$B$20*Assumptions!$B$18+((DATE(Assumptions!$B$4,10,28)-$N40)/365.25-Assumptions!$B$20)*Assumptions!$B$19)*BS40),0)</f>
        <v>15244.421629021217</v>
      </c>
      <c r="BU40" s="249">
        <f>IF(BR40&gt;0,IF($M40="Saudi",MIN(BR40+$Q40*$V40,Assumptions!$B$14)*Assumptions!$B$12,MIN(BR40+$Q40*$V40,Assumptions!$B$14)*Assumptions!$B$13),0)</f>
        <v>0</v>
      </c>
      <c r="BV40" s="249">
        <f>IF(AND(BR40&gt;0,$M40="Non-Saudi"),Assumptions!$B$25,0)</f>
        <v>910.41666666666663</v>
      </c>
      <c r="BW40" s="249">
        <f>IF(AND($D40="Contrat Local",$N40&lt;&gt;""),IF(AND(11&gt;=Assumptions!$B$5,ISNUMBER($X40),$N40&lt;EDATE(Assumptions!$B$9,-Assumptions!$B$6*12)),($P40+$X40)*$V40,$P40*$V40),0)</f>
        <v>10250</v>
      </c>
      <c r="BX40" s="249">
        <f t="shared" si="19"/>
        <v>14150</v>
      </c>
      <c r="BY40" s="249">
        <f>IF(AND(BX40&gt;0,$N40&lt;&gt;""),IF((DATE(Assumptions!$B$4,11,28)-$N40)/365.25&lt;=Assumptions!$B$20,(DATE(Assumptions!$B$4,11,28)-$N40)/365.25*Assumptions!$B$18*BX40,(Assumptions!$B$20*Assumptions!$B$18+((DATE(Assumptions!$B$4,11,28)-$N40)/365.25-Assumptions!$B$20)*Assumptions!$B$19)*BX40),0)</f>
        <v>15844.900752908969</v>
      </c>
      <c r="BZ40" s="249">
        <f>IF(BW40&gt;0,IF($M40="Saudi",MIN(BW40+$Q40*$V40,Assumptions!$B$14)*Assumptions!$B$12,MIN(BW40+$Q40*$V40,Assumptions!$B$14)*Assumptions!$B$13),0)</f>
        <v>0</v>
      </c>
      <c r="CA40" s="249">
        <f>IF(AND(BW40&gt;0,$M40="Non-Saudi"),Assumptions!$B$25,0)</f>
        <v>910.41666666666663</v>
      </c>
      <c r="CB40" s="249">
        <f>IF(AND($D40="Contrat Local",$N40&lt;&gt;""),IF(AND(12&gt;=Assumptions!$B$5,ISNUMBER($X40),$N40&lt;EDATE(Assumptions!$B$9,-Assumptions!$B$6*12)),($P40+$X40)*$V40,$P40*$V40),0)</f>
        <v>10250</v>
      </c>
      <c r="CC40" s="249">
        <f t="shared" si="20"/>
        <v>14150</v>
      </c>
      <c r="CD40" s="249">
        <f>IF(AND(CC40&gt;0,$N40&lt;&gt;""),IF((DATE(Assumptions!$B$4,12,28)-$N40)/365.25&lt;=Assumptions!$B$20,(DATE(Assumptions!$B$4,12,28)-$N40)/365.25*Assumptions!$B$18*CC40,(Assumptions!$B$20*Assumptions!$B$18+((DATE(Assumptions!$B$4,12,28)-$N40)/365.25-Assumptions!$B$20)*Assumptions!$B$19)*CC40),0)</f>
        <v>16426.009582477756</v>
      </c>
      <c r="CE40" s="249">
        <f>IF(CB40&gt;0,IF($M40="Saudi",MIN(CB40+$Q40*$V40,Assumptions!$B$14)*Assumptions!$B$12,MIN(CB40+$Q40*$V40,Assumptions!$B$14)*Assumptions!$B$13),0)</f>
        <v>0</v>
      </c>
      <c r="CF40" s="249">
        <f>IF(AND(CB40&gt;0,$M40="Non-Saudi"),Assumptions!$B$25,0)</f>
        <v>910.41666666666663</v>
      </c>
      <c r="CG40" s="249">
        <f t="shared" si="21"/>
        <v>121000</v>
      </c>
      <c r="CH40" s="249">
        <f t="shared" si="22"/>
        <v>167800</v>
      </c>
      <c r="CI40" s="249">
        <f>CD40-IF(AND(Z40&gt;0,$N40&lt;&gt;""),IF((DATE(Assumptions!$B$4-1,12,28)-$N40)/365.25&lt;=Assumptions!$B$20,(DATE(Assumptions!$B$4-1,12,28)-$N40)/365.25*Assumptions!$B$18*Z40,(Assumptions!$B$20*Assumptions!$B$18+((DATE(Assumptions!$B$4-1,12,28)-$N40)/365.25-Assumptions!$B$20)*Assumptions!$B$19)*Z40),0)</f>
        <v>7235.4551676933625</v>
      </c>
      <c r="CJ40" s="249">
        <f t="shared" si="23"/>
        <v>0</v>
      </c>
      <c r="CK40" s="249">
        <f t="shared" si="24"/>
        <v>10924.999999999998</v>
      </c>
    </row>
    <row r="41" spans="1:89" x14ac:dyDescent="0.2">
      <c r="A41" s="264">
        <v>38</v>
      </c>
      <c r="B41" s="265" t="s">
        <v>358</v>
      </c>
      <c r="C41" s="265" t="s">
        <v>329</v>
      </c>
      <c r="D41" s="265" t="s">
        <v>250</v>
      </c>
      <c r="E41" s="265" t="s">
        <v>767</v>
      </c>
      <c r="F41" s="265" t="s">
        <v>264</v>
      </c>
      <c r="G41" s="265" t="s">
        <v>8</v>
      </c>
      <c r="H41" s="265" t="s">
        <v>265</v>
      </c>
      <c r="I41" s="284" t="s">
        <v>691</v>
      </c>
      <c r="J41" s="265" t="s">
        <v>58</v>
      </c>
      <c r="K41" s="265" t="s">
        <v>8</v>
      </c>
      <c r="L41" s="265" t="s">
        <v>255</v>
      </c>
      <c r="M41" s="265" t="str">
        <f t="shared" si="25"/>
        <v>Non-Saudi</v>
      </c>
      <c r="N41" s="266">
        <v>43709</v>
      </c>
      <c r="O41" s="267">
        <v>7.3</v>
      </c>
      <c r="P41" s="268">
        <v>9500</v>
      </c>
      <c r="Q41" s="268">
        <v>2500</v>
      </c>
      <c r="R41" s="268">
        <v>500</v>
      </c>
      <c r="S41" s="268"/>
      <c r="T41" s="268"/>
      <c r="U41" s="268">
        <v>12500</v>
      </c>
      <c r="V41" s="269">
        <v>1</v>
      </c>
      <c r="W41" s="265" t="s">
        <v>259</v>
      </c>
      <c r="X41" s="265">
        <v>250</v>
      </c>
      <c r="Y41" s="249">
        <f t="shared" si="1"/>
        <v>9500</v>
      </c>
      <c r="Z41" s="249">
        <f t="shared" si="2"/>
        <v>12500</v>
      </c>
      <c r="AA41" s="249">
        <f>IF(AND(Z41&gt;0,$N41&lt;&gt;""),IF((DATE(Assumptions!$B$4,1,28)-$N41)/365.25&lt;=Assumptions!$B$20,(DATE(Assumptions!$B$4,1,28)-$N41)/365.25*Assumptions!$B$18*Z41,(Assumptions!$B$20*Assumptions!$B$18+((DATE(Assumptions!$B$4,1,28)-$N41)/365.25-Assumptions!$B$20)*Assumptions!$B$19)*Z41),0)</f>
        <v>48866.358658453115</v>
      </c>
      <c r="AB41" s="249">
        <f>IF(Y41&gt;0,IF($M41="Saudi",MIN(Y41+$Q41*$V41,Assumptions!$B$14)*Assumptions!$B$12,MIN(Y41+$Q41*$V41,Assumptions!$B$14)*Assumptions!$B$13),0)</f>
        <v>0</v>
      </c>
      <c r="AC41" s="249">
        <f>IF(AND(Y41&gt;0,$M41="Non-Saudi"),Assumptions!$B$25,0)</f>
        <v>910.41666666666663</v>
      </c>
      <c r="AD41" s="249">
        <f t="shared" si="3"/>
        <v>9500</v>
      </c>
      <c r="AE41" s="249">
        <f t="shared" si="4"/>
        <v>12500</v>
      </c>
      <c r="AF41" s="249">
        <f>IF(AND(AE41&gt;0,$N41&lt;&gt;""),IF((DATE(Assumptions!$B$4,2,28)-$N41)/365.25&lt;=Assumptions!$B$20,(DATE(Assumptions!$B$4,2,28)-$N41)/365.25*Assumptions!$B$18*AE41,(Assumptions!$B$20*Assumptions!$B$18+((DATE(Assumptions!$B$4,2,28)-$N41)/365.25-Assumptions!$B$20)*Assumptions!$B$19)*AE41),0)</f>
        <v>49927.275838466798</v>
      </c>
      <c r="AG41" s="249">
        <f>IF(AD41&gt;0,IF($M41="Saudi",MIN(AD41+$Q41*$V41,Assumptions!$B$14)*Assumptions!$B$12,MIN(AD41+$Q41*$V41,Assumptions!$B$14)*Assumptions!$B$13),0)</f>
        <v>0</v>
      </c>
      <c r="AH41" s="249">
        <f>IF(AND(AD41&gt;0,$M41="Non-Saudi"),Assumptions!$B$25,0)</f>
        <v>910.41666666666663</v>
      </c>
      <c r="AI41" s="249">
        <f t="shared" si="5"/>
        <v>9500</v>
      </c>
      <c r="AJ41" s="249">
        <f t="shared" si="6"/>
        <v>12500</v>
      </c>
      <c r="AK41" s="249">
        <f>IF(AND(AJ41&gt;0,$N41&lt;&gt;""),IF((DATE(Assumptions!$B$4,3,28)-$N41)/365.25&lt;=Assumptions!$B$20,(DATE(Assumptions!$B$4,3,28)-$N41)/365.25*Assumptions!$B$18*AJ41,(Assumptions!$B$20*Assumptions!$B$18+((DATE(Assumptions!$B$4,3,28)-$N41)/365.25-Assumptions!$B$20)*Assumptions!$B$19)*AJ41),0)</f>
        <v>50885.523613963036</v>
      </c>
      <c r="AL41" s="249">
        <f>IF(AI41&gt;0,IF($M41="Saudi",MIN(AI41+$Q41*$V41,Assumptions!$B$14)*Assumptions!$B$12,MIN(AI41+$Q41*$V41,Assumptions!$B$14)*Assumptions!$B$13),0)</f>
        <v>0</v>
      </c>
      <c r="AM41" s="249">
        <f>IF(AND(AI41&gt;0,$M41="Non-Saudi"),Assumptions!$B$25,0)</f>
        <v>910.41666666666663</v>
      </c>
      <c r="AN41" s="249">
        <f t="shared" si="7"/>
        <v>9500</v>
      </c>
      <c r="AO41" s="249">
        <f t="shared" si="8"/>
        <v>12500</v>
      </c>
      <c r="AP41" s="249">
        <f>IF(AND(AO41&gt;0,$N41&lt;&gt;""),IF((DATE(Assumptions!$B$4,4,28)-$N41)/365.25&lt;=Assumptions!$B$20,(DATE(Assumptions!$B$4,4,28)-$N41)/365.25*Assumptions!$B$18*AO41,(Assumptions!$B$20*Assumptions!$B$18+((DATE(Assumptions!$B$4,4,28)-$N41)/365.25-Assumptions!$B$20)*Assumptions!$B$19)*AO41),0)</f>
        <v>51946.440793976733</v>
      </c>
      <c r="AQ41" s="249">
        <f>IF(AN41&gt;0,IF($M41="Saudi",MIN(AN41+$Q41*$V41,Assumptions!$B$14)*Assumptions!$B$12,MIN(AN41+$Q41*$V41,Assumptions!$B$14)*Assumptions!$B$13),0)</f>
        <v>0</v>
      </c>
      <c r="AR41" s="249">
        <f>IF(AND(AN41&gt;0,$M41="Non-Saudi"),Assumptions!$B$25,0)</f>
        <v>910.41666666666663</v>
      </c>
      <c r="AS41" s="249">
        <f t="shared" si="9"/>
        <v>9500</v>
      </c>
      <c r="AT41" s="249">
        <f t="shared" si="10"/>
        <v>12500</v>
      </c>
      <c r="AU41" s="249">
        <f>IF(AND(AT41&gt;0,$N41&lt;&gt;""),IF((DATE(Assumptions!$B$4,5,28)-$N41)/365.25&lt;=Assumptions!$B$20,(DATE(Assumptions!$B$4,5,28)-$N41)/365.25*Assumptions!$B$18*AT41,(Assumptions!$B$20*Assumptions!$B$18+((DATE(Assumptions!$B$4,5,28)-$N41)/365.25-Assumptions!$B$20)*Assumptions!$B$19)*AT41),0)</f>
        <v>52973.134839151273</v>
      </c>
      <c r="AV41" s="249">
        <f>IF(AS41&gt;0,IF($M41="Saudi",MIN(AS41+$Q41*$V41,Assumptions!$B$14)*Assumptions!$B$12,MIN(AS41+$Q41*$V41,Assumptions!$B$14)*Assumptions!$B$13),0)</f>
        <v>0</v>
      </c>
      <c r="AW41" s="249">
        <f>IF(AND(AS41&gt;0,$M41="Non-Saudi"),Assumptions!$B$25,0)</f>
        <v>910.41666666666663</v>
      </c>
      <c r="AX41" s="249">
        <f t="shared" si="11"/>
        <v>9500</v>
      </c>
      <c r="AY41" s="249">
        <f t="shared" si="12"/>
        <v>12500</v>
      </c>
      <c r="AZ41" s="249">
        <f>IF(AND(AY41&gt;0,$N41&lt;&gt;""),IF((DATE(Assumptions!$B$4,6,28)-$N41)/365.25&lt;=Assumptions!$B$20,(DATE(Assumptions!$B$4,6,28)-$N41)/365.25*Assumptions!$B$18*AY41,(Assumptions!$B$20*Assumptions!$B$18+((DATE(Assumptions!$B$4,6,28)-$N41)/365.25-Assumptions!$B$20)*Assumptions!$B$19)*AY41),0)</f>
        <v>54034.052019164956</v>
      </c>
      <c r="BA41" s="249">
        <f>IF(AX41&gt;0,IF($M41="Saudi",MIN(AX41+$Q41*$V41,Assumptions!$B$14)*Assumptions!$B$12,MIN(AX41+$Q41*$V41,Assumptions!$B$14)*Assumptions!$B$13),0)</f>
        <v>0</v>
      </c>
      <c r="BB41" s="249">
        <f>IF(AND(AX41&gt;0,$M41="Non-Saudi"),Assumptions!$B$25,0)</f>
        <v>910.41666666666663</v>
      </c>
      <c r="BC41" s="249">
        <f t="shared" si="13"/>
        <v>9500</v>
      </c>
      <c r="BD41" s="249">
        <f t="shared" si="14"/>
        <v>12500</v>
      </c>
      <c r="BE41" s="249">
        <f>IF(AND(BD41&gt;0,$N41&lt;&gt;""),IF((DATE(Assumptions!$B$4,7,28)-$N41)/365.25&lt;=Assumptions!$B$20,(DATE(Assumptions!$B$4,7,28)-$N41)/365.25*Assumptions!$B$18*BD41,(Assumptions!$B$20*Assumptions!$B$18+((DATE(Assumptions!$B$4,7,28)-$N41)/365.25-Assumptions!$B$20)*Assumptions!$B$19)*BD41),0)</f>
        <v>55060.746064339495</v>
      </c>
      <c r="BF41" s="249">
        <f>IF(BC41&gt;0,IF($M41="Saudi",MIN(BC41+$Q41*$V41,Assumptions!$B$14)*Assumptions!$B$12,MIN(BC41+$Q41*$V41,Assumptions!$B$14)*Assumptions!$B$13),0)</f>
        <v>0</v>
      </c>
      <c r="BG41" s="249">
        <f>IF(AND(BC41&gt;0,$M41="Non-Saudi"),Assumptions!$B$25,0)</f>
        <v>910.41666666666663</v>
      </c>
      <c r="BH41" s="249">
        <f t="shared" si="15"/>
        <v>9500</v>
      </c>
      <c r="BI41" s="249">
        <f t="shared" si="16"/>
        <v>12500</v>
      </c>
      <c r="BJ41" s="249">
        <f>IF(AND(BI41&gt;0,$N41&lt;&gt;""),IF((DATE(Assumptions!$B$4,8,28)-$N41)/365.25&lt;=Assumptions!$B$20,(DATE(Assumptions!$B$4,8,28)-$N41)/365.25*Assumptions!$B$18*BI41,(Assumptions!$B$20*Assumptions!$B$18+((DATE(Assumptions!$B$4,8,28)-$N41)/365.25-Assumptions!$B$20)*Assumptions!$B$19)*BI41),0)</f>
        <v>56121.663244353178</v>
      </c>
      <c r="BK41" s="249">
        <f>IF(BH41&gt;0,IF($M41="Saudi",MIN(BH41+$Q41*$V41,Assumptions!$B$14)*Assumptions!$B$12,MIN(BH41+$Q41*$V41,Assumptions!$B$14)*Assumptions!$B$13),0)</f>
        <v>0</v>
      </c>
      <c r="BL41" s="249">
        <f>IF(AND(BH41&gt;0,$M41="Non-Saudi"),Assumptions!$B$25,0)</f>
        <v>910.41666666666663</v>
      </c>
      <c r="BM41" s="249">
        <f>IF(AND($D41="Contrat Local",$N41&lt;&gt;""),IF(AND(9&gt;=Assumptions!$B$5,ISNUMBER($X41),$N41&lt;EDATE(Assumptions!$B$9,-Assumptions!$B$6*12)),($P41+$X41)*$V41,$P41*$V41),0)</f>
        <v>9750</v>
      </c>
      <c r="BN41" s="249">
        <f t="shared" si="17"/>
        <v>12750</v>
      </c>
      <c r="BO41" s="249">
        <f>IF(AND(BN41&gt;0,$N41&lt;&gt;""),IF((DATE(Assumptions!$B$4,9,28)-$N41)/365.25&lt;=Assumptions!$B$20,(DATE(Assumptions!$B$4,9,28)-$N41)/365.25*Assumptions!$B$18*BN41,(Assumptions!$B$20*Assumptions!$B$18+((DATE(Assumptions!$B$4,9,28)-$N41)/365.25-Assumptions!$B$20)*Assumptions!$B$19)*BN41),0)</f>
        <v>58326.232032854205</v>
      </c>
      <c r="BP41" s="249">
        <f>IF(BM41&gt;0,IF($M41="Saudi",MIN(BM41+$Q41*$V41,Assumptions!$B$14)*Assumptions!$B$12,MIN(BM41+$Q41*$V41,Assumptions!$B$14)*Assumptions!$B$13),0)</f>
        <v>0</v>
      </c>
      <c r="BQ41" s="249">
        <f>IF(AND(BM41&gt;0,$M41="Non-Saudi"),Assumptions!$B$25,0)</f>
        <v>910.41666666666663</v>
      </c>
      <c r="BR41" s="249">
        <f>IF(AND($D41="Contrat Local",$N41&lt;&gt;""),IF(AND(10&gt;=Assumptions!$B$5,ISNUMBER($X41),$N41&lt;EDATE(Assumptions!$B$9,-Assumptions!$B$6*12)),($P41+$X41)*$V41,$P41*$V41),0)</f>
        <v>9750</v>
      </c>
      <c r="BS41" s="249">
        <f t="shared" si="18"/>
        <v>12750</v>
      </c>
      <c r="BT41" s="249">
        <f>IF(AND(BS41&gt;0,$N41&lt;&gt;""),IF((DATE(Assumptions!$B$4,10,28)-$N41)/365.25&lt;=Assumptions!$B$20,(DATE(Assumptions!$B$4,10,28)-$N41)/365.25*Assumptions!$B$18*BS41,(Assumptions!$B$20*Assumptions!$B$18+((DATE(Assumptions!$B$4,10,28)-$N41)/365.25-Assumptions!$B$20)*Assumptions!$B$19)*BS41),0)</f>
        <v>59373.459958932232</v>
      </c>
      <c r="BU41" s="249">
        <f>IF(BR41&gt;0,IF($M41="Saudi",MIN(BR41+$Q41*$V41,Assumptions!$B$14)*Assumptions!$B$12,MIN(BR41+$Q41*$V41,Assumptions!$B$14)*Assumptions!$B$13),0)</f>
        <v>0</v>
      </c>
      <c r="BV41" s="249">
        <f>IF(AND(BR41&gt;0,$M41="Non-Saudi"),Assumptions!$B$25,0)</f>
        <v>910.41666666666663</v>
      </c>
      <c r="BW41" s="249">
        <f>IF(AND($D41="Contrat Local",$N41&lt;&gt;""),IF(AND(11&gt;=Assumptions!$B$5,ISNUMBER($X41),$N41&lt;EDATE(Assumptions!$B$9,-Assumptions!$B$6*12)),($P41+$X41)*$V41,$P41*$V41),0)</f>
        <v>9750</v>
      </c>
      <c r="BX41" s="249">
        <f t="shared" si="19"/>
        <v>12750</v>
      </c>
      <c r="BY41" s="249">
        <f>IF(AND(BX41&gt;0,$N41&lt;&gt;""),IF((DATE(Assumptions!$B$4,11,28)-$N41)/365.25&lt;=Assumptions!$B$20,(DATE(Assumptions!$B$4,11,28)-$N41)/365.25*Assumptions!$B$18*BX41,(Assumptions!$B$20*Assumptions!$B$18+((DATE(Assumptions!$B$4,11,28)-$N41)/365.25-Assumptions!$B$20)*Assumptions!$B$19)*BX41),0)</f>
        <v>60455.595482546203</v>
      </c>
      <c r="BZ41" s="249">
        <f>IF(BW41&gt;0,IF($M41="Saudi",MIN(BW41+$Q41*$V41,Assumptions!$B$14)*Assumptions!$B$12,MIN(BW41+$Q41*$V41,Assumptions!$B$14)*Assumptions!$B$13),0)</f>
        <v>0</v>
      </c>
      <c r="CA41" s="249">
        <f>IF(AND(BW41&gt;0,$M41="Non-Saudi"),Assumptions!$B$25,0)</f>
        <v>910.41666666666663</v>
      </c>
      <c r="CB41" s="249">
        <f>IF(AND($D41="Contrat Local",$N41&lt;&gt;""),IF(AND(12&gt;=Assumptions!$B$5,ISNUMBER($X41),$N41&lt;EDATE(Assumptions!$B$9,-Assumptions!$B$6*12)),($P41+$X41)*$V41,$P41*$V41),0)</f>
        <v>9750</v>
      </c>
      <c r="CC41" s="249">
        <f t="shared" si="20"/>
        <v>12750</v>
      </c>
      <c r="CD41" s="249">
        <f>IF(AND(CC41&gt;0,$N41&lt;&gt;""),IF((DATE(Assumptions!$B$4,12,28)-$N41)/365.25&lt;=Assumptions!$B$20,(DATE(Assumptions!$B$4,12,28)-$N41)/365.25*Assumptions!$B$18*CC41,(Assumptions!$B$20*Assumptions!$B$18+((DATE(Assumptions!$B$4,12,28)-$N41)/365.25-Assumptions!$B$20)*Assumptions!$B$19)*CC41),0)</f>
        <v>61502.82340862423</v>
      </c>
      <c r="CE41" s="249">
        <f>IF(CB41&gt;0,IF($M41="Saudi",MIN(CB41+$Q41*$V41,Assumptions!$B$14)*Assumptions!$B$12,MIN(CB41+$Q41*$V41,Assumptions!$B$14)*Assumptions!$B$13),0)</f>
        <v>0</v>
      </c>
      <c r="CF41" s="249">
        <f>IF(AND(CB41&gt;0,$M41="Non-Saudi"),Assumptions!$B$25,0)</f>
        <v>910.41666666666663</v>
      </c>
      <c r="CG41" s="249">
        <f t="shared" si="21"/>
        <v>115000</v>
      </c>
      <c r="CH41" s="249">
        <f t="shared" si="22"/>
        <v>151000</v>
      </c>
      <c r="CI41" s="249">
        <f>CD41-IF(AND(Z41&gt;0,$N41&lt;&gt;""),IF((DATE(Assumptions!$B$4-1,12,28)-$N41)/365.25&lt;=Assumptions!$B$20,(DATE(Assumptions!$B$4-1,12,28)-$N41)/365.25*Assumptions!$B$18*Z41,(Assumptions!$B$20*Assumptions!$B$18+((DATE(Assumptions!$B$4-1,12,28)-$N41)/365.25-Assumptions!$B$20)*Assumptions!$B$19)*Z41),0)</f>
        <v>13697.381930184805</v>
      </c>
      <c r="CJ41" s="249">
        <f t="shared" si="23"/>
        <v>0</v>
      </c>
      <c r="CK41" s="249">
        <f t="shared" si="24"/>
        <v>10924.999999999998</v>
      </c>
    </row>
    <row r="42" spans="1:89" x14ac:dyDescent="0.2">
      <c r="A42" s="258">
        <v>39</v>
      </c>
      <c r="B42" s="259" t="s">
        <v>359</v>
      </c>
      <c r="C42" s="259" t="s">
        <v>360</v>
      </c>
      <c r="D42" s="259" t="s">
        <v>250</v>
      </c>
      <c r="E42" s="259" t="s">
        <v>767</v>
      </c>
      <c r="F42" s="259" t="s">
        <v>344</v>
      </c>
      <c r="G42" s="259" t="s">
        <v>4</v>
      </c>
      <c r="H42" s="259" t="s">
        <v>120</v>
      </c>
      <c r="I42" s="288" t="s">
        <v>691</v>
      </c>
      <c r="J42" s="259" t="s">
        <v>344</v>
      </c>
      <c r="K42" s="259" t="s">
        <v>4</v>
      </c>
      <c r="L42" s="259" t="s">
        <v>255</v>
      </c>
      <c r="M42" s="259" t="str">
        <f t="shared" si="25"/>
        <v>Non-Saudi</v>
      </c>
      <c r="N42" s="260">
        <v>45170</v>
      </c>
      <c r="O42" s="261">
        <v>3.3</v>
      </c>
      <c r="P42" s="262">
        <v>6200</v>
      </c>
      <c r="Q42" s="262">
        <v>2500</v>
      </c>
      <c r="R42" s="262">
        <v>500</v>
      </c>
      <c r="S42" s="262"/>
      <c r="T42" s="262"/>
      <c r="U42" s="262">
        <v>9200</v>
      </c>
      <c r="V42" s="263">
        <v>1</v>
      </c>
      <c r="W42" s="259" t="s">
        <v>256</v>
      </c>
      <c r="X42" s="259">
        <v>200</v>
      </c>
      <c r="Y42" s="249">
        <f t="shared" si="1"/>
        <v>6200</v>
      </c>
      <c r="Z42" s="249">
        <f t="shared" si="2"/>
        <v>9200</v>
      </c>
      <c r="AA42" s="249">
        <f>IF(AND(Z42&gt;0,$N42&lt;&gt;""),IF((DATE(Assumptions!$B$4,1,28)-$N42)/365.25&lt;=Assumptions!$B$20,(DATE(Assumptions!$B$4,1,28)-$N42)/365.25*Assumptions!$B$18*Z42,(Assumptions!$B$20*Assumptions!$B$18+((DATE(Assumptions!$B$4,1,28)-$N42)/365.25-Assumptions!$B$20)*Assumptions!$B$19)*Z42),0)</f>
        <v>11082.819986310746</v>
      </c>
      <c r="AB42" s="249">
        <f>IF(Y42&gt;0,IF($M42="Saudi",MIN(Y42+$Q42*$V42,Assumptions!$B$14)*Assumptions!$B$12,MIN(Y42+$Q42*$V42,Assumptions!$B$14)*Assumptions!$B$13),0)</f>
        <v>0</v>
      </c>
      <c r="AC42" s="249">
        <f>IF(AND(Y42&gt;0,$M42="Non-Saudi"),Assumptions!$B$25,0)</f>
        <v>910.41666666666663</v>
      </c>
      <c r="AD42" s="249">
        <f t="shared" si="3"/>
        <v>6200</v>
      </c>
      <c r="AE42" s="249">
        <f t="shared" si="4"/>
        <v>9200</v>
      </c>
      <c r="AF42" s="249">
        <f>IF(AND(AE42&gt;0,$N42&lt;&gt;""),IF((DATE(Assumptions!$B$4,2,28)-$N42)/365.25&lt;=Assumptions!$B$20,(DATE(Assumptions!$B$4,2,28)-$N42)/365.25*Assumptions!$B$18*AE42,(Assumptions!$B$20*Assumptions!$B$18+((DATE(Assumptions!$B$4,2,28)-$N42)/365.25-Assumptions!$B$20)*Assumptions!$B$19)*AE42),0)</f>
        <v>11473.237508555785</v>
      </c>
      <c r="AG42" s="249">
        <f>IF(AD42&gt;0,IF($M42="Saudi",MIN(AD42+$Q42*$V42,Assumptions!$B$14)*Assumptions!$B$12,MIN(AD42+$Q42*$V42,Assumptions!$B$14)*Assumptions!$B$13),0)</f>
        <v>0</v>
      </c>
      <c r="AH42" s="249">
        <f>IF(AND(AD42&gt;0,$M42="Non-Saudi"),Assumptions!$B$25,0)</f>
        <v>910.41666666666663</v>
      </c>
      <c r="AI42" s="249">
        <f t="shared" si="5"/>
        <v>6200</v>
      </c>
      <c r="AJ42" s="249">
        <f t="shared" si="6"/>
        <v>9200</v>
      </c>
      <c r="AK42" s="249">
        <f>IF(AND(AJ42&gt;0,$N42&lt;&gt;""),IF((DATE(Assumptions!$B$4,3,28)-$N42)/365.25&lt;=Assumptions!$B$20,(DATE(Assumptions!$B$4,3,28)-$N42)/365.25*Assumptions!$B$18*AJ42,(Assumptions!$B$20*Assumptions!$B$18+((DATE(Assumptions!$B$4,3,28)-$N42)/365.25-Assumptions!$B$20)*Assumptions!$B$19)*AJ42),0)</f>
        <v>11825.872689938398</v>
      </c>
      <c r="AL42" s="249">
        <f>IF(AI42&gt;0,IF($M42="Saudi",MIN(AI42+$Q42*$V42,Assumptions!$B$14)*Assumptions!$B$12,MIN(AI42+$Q42*$V42,Assumptions!$B$14)*Assumptions!$B$13),0)</f>
        <v>0</v>
      </c>
      <c r="AM42" s="249">
        <f>IF(AND(AI42&gt;0,$M42="Non-Saudi"),Assumptions!$B$25,0)</f>
        <v>910.41666666666663</v>
      </c>
      <c r="AN42" s="249">
        <f t="shared" si="7"/>
        <v>6200</v>
      </c>
      <c r="AO42" s="249">
        <f t="shared" si="8"/>
        <v>9200</v>
      </c>
      <c r="AP42" s="249">
        <f>IF(AND(AO42&gt;0,$N42&lt;&gt;""),IF((DATE(Assumptions!$B$4,4,28)-$N42)/365.25&lt;=Assumptions!$B$20,(DATE(Assumptions!$B$4,4,28)-$N42)/365.25*Assumptions!$B$18*AO42,(Assumptions!$B$20*Assumptions!$B$18+((DATE(Assumptions!$B$4,4,28)-$N42)/365.25-Assumptions!$B$20)*Assumptions!$B$19)*AO42),0)</f>
        <v>12216.290212183436</v>
      </c>
      <c r="AQ42" s="249">
        <f>IF(AN42&gt;0,IF($M42="Saudi",MIN(AN42+$Q42*$V42,Assumptions!$B$14)*Assumptions!$B$12,MIN(AN42+$Q42*$V42,Assumptions!$B$14)*Assumptions!$B$13),0)</f>
        <v>0</v>
      </c>
      <c r="AR42" s="249">
        <f>IF(AND(AN42&gt;0,$M42="Non-Saudi"),Assumptions!$B$25,0)</f>
        <v>910.41666666666663</v>
      </c>
      <c r="AS42" s="249">
        <f t="shared" si="9"/>
        <v>6200</v>
      </c>
      <c r="AT42" s="249">
        <f t="shared" si="10"/>
        <v>9200</v>
      </c>
      <c r="AU42" s="249">
        <f>IF(AND(AT42&gt;0,$N42&lt;&gt;""),IF((DATE(Assumptions!$B$4,5,28)-$N42)/365.25&lt;=Assumptions!$B$20,(DATE(Assumptions!$B$4,5,28)-$N42)/365.25*Assumptions!$B$18*AT42,(Assumptions!$B$20*Assumptions!$B$18+((DATE(Assumptions!$B$4,5,28)-$N42)/365.25-Assumptions!$B$20)*Assumptions!$B$19)*AT42),0)</f>
        <v>12594.113620807666</v>
      </c>
      <c r="AV42" s="249">
        <f>IF(AS42&gt;0,IF($M42="Saudi",MIN(AS42+$Q42*$V42,Assumptions!$B$14)*Assumptions!$B$12,MIN(AS42+$Q42*$V42,Assumptions!$B$14)*Assumptions!$B$13),0)</f>
        <v>0</v>
      </c>
      <c r="AW42" s="249">
        <f>IF(AND(AS42&gt;0,$M42="Non-Saudi"),Assumptions!$B$25,0)</f>
        <v>910.41666666666663</v>
      </c>
      <c r="AX42" s="249">
        <f t="shared" si="11"/>
        <v>6200</v>
      </c>
      <c r="AY42" s="249">
        <f t="shared" si="12"/>
        <v>9200</v>
      </c>
      <c r="AZ42" s="249">
        <f>IF(AND(AY42&gt;0,$N42&lt;&gt;""),IF((DATE(Assumptions!$B$4,6,28)-$N42)/365.25&lt;=Assumptions!$B$20,(DATE(Assumptions!$B$4,6,28)-$N42)/365.25*Assumptions!$B$18*AY42,(Assumptions!$B$20*Assumptions!$B$18+((DATE(Assumptions!$B$4,6,28)-$N42)/365.25-Assumptions!$B$20)*Assumptions!$B$19)*AY42),0)</f>
        <v>12984.531143052704</v>
      </c>
      <c r="BA42" s="249">
        <f>IF(AX42&gt;0,IF($M42="Saudi",MIN(AX42+$Q42*$V42,Assumptions!$B$14)*Assumptions!$B$12,MIN(AX42+$Q42*$V42,Assumptions!$B$14)*Assumptions!$B$13),0)</f>
        <v>0</v>
      </c>
      <c r="BB42" s="249">
        <f>IF(AND(AX42&gt;0,$M42="Non-Saudi"),Assumptions!$B$25,0)</f>
        <v>910.41666666666663</v>
      </c>
      <c r="BC42" s="249">
        <f t="shared" si="13"/>
        <v>6200</v>
      </c>
      <c r="BD42" s="249">
        <f t="shared" si="14"/>
        <v>9200</v>
      </c>
      <c r="BE42" s="249">
        <f>IF(AND(BD42&gt;0,$N42&lt;&gt;""),IF((DATE(Assumptions!$B$4,7,28)-$N42)/365.25&lt;=Assumptions!$B$20,(DATE(Assumptions!$B$4,7,28)-$N42)/365.25*Assumptions!$B$18*BD42,(Assumptions!$B$20*Assumptions!$B$18+((DATE(Assumptions!$B$4,7,28)-$N42)/365.25-Assumptions!$B$20)*Assumptions!$B$19)*BD42),0)</f>
        <v>13362.354551676934</v>
      </c>
      <c r="BF42" s="249">
        <f>IF(BC42&gt;0,IF($M42="Saudi",MIN(BC42+$Q42*$V42,Assumptions!$B$14)*Assumptions!$B$12,MIN(BC42+$Q42*$V42,Assumptions!$B$14)*Assumptions!$B$13),0)</f>
        <v>0</v>
      </c>
      <c r="BG42" s="249">
        <f>IF(AND(BC42&gt;0,$M42="Non-Saudi"),Assumptions!$B$25,0)</f>
        <v>910.41666666666663</v>
      </c>
      <c r="BH42" s="249">
        <f t="shared" si="15"/>
        <v>6200</v>
      </c>
      <c r="BI42" s="249">
        <f t="shared" si="16"/>
        <v>9200</v>
      </c>
      <c r="BJ42" s="249">
        <f>IF(AND(BI42&gt;0,$N42&lt;&gt;""),IF((DATE(Assumptions!$B$4,8,28)-$N42)/365.25&lt;=Assumptions!$B$20,(DATE(Assumptions!$B$4,8,28)-$N42)/365.25*Assumptions!$B$18*BI42,(Assumptions!$B$20*Assumptions!$B$18+((DATE(Assumptions!$B$4,8,28)-$N42)/365.25-Assumptions!$B$20)*Assumptions!$B$19)*BI42),0)</f>
        <v>13752.772073921971</v>
      </c>
      <c r="BK42" s="249">
        <f>IF(BH42&gt;0,IF($M42="Saudi",MIN(BH42+$Q42*$V42,Assumptions!$B$14)*Assumptions!$B$12,MIN(BH42+$Q42*$V42,Assumptions!$B$14)*Assumptions!$B$13),0)</f>
        <v>0</v>
      </c>
      <c r="BL42" s="249">
        <f>IF(AND(BH42&gt;0,$M42="Non-Saudi"),Assumptions!$B$25,0)</f>
        <v>910.41666666666663</v>
      </c>
      <c r="BM42" s="249">
        <f>IF(AND($D42="Contrat Local",$N42&lt;&gt;""),IF(AND(9&gt;=Assumptions!$B$5,ISNUMBER($X42),$N42&lt;EDATE(Assumptions!$B$9,-Assumptions!$B$6*12)),($P42+$X42)*$V42,$P42*$V42),0)</f>
        <v>6400</v>
      </c>
      <c r="BN42" s="249">
        <f t="shared" si="17"/>
        <v>9400</v>
      </c>
      <c r="BO42" s="249">
        <f>IF(AND(BN42&gt;0,$N42&lt;&gt;""),IF((DATE(Assumptions!$B$4,9,28)-$N42)/365.25&lt;=Assumptions!$B$20,(DATE(Assumptions!$B$4,9,28)-$N42)/365.25*Assumptions!$B$18*BN42,(Assumptions!$B$20*Assumptions!$B$18+((DATE(Assumptions!$B$4,9,28)-$N42)/365.25-Assumptions!$B$20)*Assumptions!$B$19)*BN42),0)</f>
        <v>14450.650239561945</v>
      </c>
      <c r="BP42" s="249">
        <f>IF(BM42&gt;0,IF($M42="Saudi",MIN(BM42+$Q42*$V42,Assumptions!$B$14)*Assumptions!$B$12,MIN(BM42+$Q42*$V42,Assumptions!$B$14)*Assumptions!$B$13),0)</f>
        <v>0</v>
      </c>
      <c r="BQ42" s="249">
        <f>IF(AND(BM42&gt;0,$M42="Non-Saudi"),Assumptions!$B$25,0)</f>
        <v>910.41666666666663</v>
      </c>
      <c r="BR42" s="249">
        <f>IF(AND($D42="Contrat Local",$N42&lt;&gt;""),IF(AND(10&gt;=Assumptions!$B$5,ISNUMBER($X42),$N42&lt;EDATE(Assumptions!$B$9,-Assumptions!$B$6*12)),($P42+$X42)*$V42,$P42*$V42),0)</f>
        <v>6400</v>
      </c>
      <c r="BS42" s="249">
        <f t="shared" si="18"/>
        <v>9400</v>
      </c>
      <c r="BT42" s="249">
        <f>IF(AND(BS42&gt;0,$N42&lt;&gt;""),IF((DATE(Assumptions!$B$4,10,28)-$N42)/365.25&lt;=Assumptions!$B$20,(DATE(Assumptions!$B$4,10,28)-$N42)/365.25*Assumptions!$B$18*BS42,(Assumptions!$B$20*Assumptions!$B$18+((DATE(Assumptions!$B$4,10,28)-$N42)/365.25-Assumptions!$B$20)*Assumptions!$B$19)*BS42),0)</f>
        <v>14836.687200547571</v>
      </c>
      <c r="BU42" s="249">
        <f>IF(BR42&gt;0,IF($M42="Saudi",MIN(BR42+$Q42*$V42,Assumptions!$B$14)*Assumptions!$B$12,MIN(BR42+$Q42*$V42,Assumptions!$B$14)*Assumptions!$B$13),0)</f>
        <v>0</v>
      </c>
      <c r="BV42" s="249">
        <f>IF(AND(BR42&gt;0,$M42="Non-Saudi"),Assumptions!$B$25,0)</f>
        <v>910.41666666666663</v>
      </c>
      <c r="BW42" s="249">
        <f>IF(AND($D42="Contrat Local",$N42&lt;&gt;""),IF(AND(11&gt;=Assumptions!$B$5,ISNUMBER($X42),$N42&lt;EDATE(Assumptions!$B$9,-Assumptions!$B$6*12)),($P42+$X42)*$V42,$P42*$V42),0)</f>
        <v>6400</v>
      </c>
      <c r="BX42" s="249">
        <f t="shared" si="19"/>
        <v>9400</v>
      </c>
      <c r="BY42" s="249">
        <f>IF(AND(BX42&gt;0,$N42&lt;&gt;""),IF((DATE(Assumptions!$B$4,11,28)-$N42)/365.25&lt;=Assumptions!$B$20,(DATE(Assumptions!$B$4,11,28)-$N42)/365.25*Assumptions!$B$18*BX42,(Assumptions!$B$20*Assumptions!$B$18+((DATE(Assumptions!$B$4,11,28)-$N42)/365.25-Assumptions!$B$20)*Assumptions!$B$19)*BX42),0)</f>
        <v>15235.592060232717</v>
      </c>
      <c r="BZ42" s="249">
        <f>IF(BW42&gt;0,IF($M42="Saudi",MIN(BW42+$Q42*$V42,Assumptions!$B$14)*Assumptions!$B$12,MIN(BW42+$Q42*$V42,Assumptions!$B$14)*Assumptions!$B$13),0)</f>
        <v>0</v>
      </c>
      <c r="CA42" s="249">
        <f>IF(AND(BW42&gt;0,$M42="Non-Saudi"),Assumptions!$B$25,0)</f>
        <v>910.41666666666663</v>
      </c>
      <c r="CB42" s="249">
        <f>IF(AND($D42="Contrat Local",$N42&lt;&gt;""),IF(AND(12&gt;=Assumptions!$B$5,ISNUMBER($X42),$N42&lt;EDATE(Assumptions!$B$9,-Assumptions!$B$6*12)),($P42+$X42)*$V42,$P42*$V42),0)</f>
        <v>6400</v>
      </c>
      <c r="CC42" s="249">
        <f t="shared" si="20"/>
        <v>9400</v>
      </c>
      <c r="CD42" s="249">
        <f>IF(AND(CC42&gt;0,$N42&lt;&gt;""),IF((DATE(Assumptions!$B$4,12,28)-$N42)/365.25&lt;=Assumptions!$B$20,(DATE(Assumptions!$B$4,12,28)-$N42)/365.25*Assumptions!$B$18*CC42,(Assumptions!$B$20*Assumptions!$B$18+((DATE(Assumptions!$B$4,12,28)-$N42)/365.25-Assumptions!$B$20)*Assumptions!$B$19)*CC42),0)</f>
        <v>15621.629021218343</v>
      </c>
      <c r="CE42" s="249">
        <f>IF(CB42&gt;0,IF($M42="Saudi",MIN(CB42+$Q42*$V42,Assumptions!$B$14)*Assumptions!$B$12,MIN(CB42+$Q42*$V42,Assumptions!$B$14)*Assumptions!$B$13),0)</f>
        <v>0</v>
      </c>
      <c r="CF42" s="249">
        <f>IF(AND(CB42&gt;0,$M42="Non-Saudi"),Assumptions!$B$25,0)</f>
        <v>910.41666666666663</v>
      </c>
      <c r="CG42" s="249">
        <f t="shared" si="21"/>
        <v>75200</v>
      </c>
      <c r="CH42" s="249">
        <f t="shared" si="22"/>
        <v>111200</v>
      </c>
      <c r="CI42" s="249">
        <f>CD42-IF(AND(Z42&gt;0,$N42&lt;&gt;""),IF((DATE(Assumptions!$B$4-1,12,28)-$N42)/365.25&lt;=Assumptions!$B$20,(DATE(Assumptions!$B$4-1,12,28)-$N42)/365.25*Assumptions!$B$18*Z42,(Assumptions!$B$20*Assumptions!$B$18+((DATE(Assumptions!$B$4-1,12,28)-$N42)/365.25-Assumptions!$B$20)*Assumptions!$B$19)*Z42),0)</f>
        <v>4929.226557152635</v>
      </c>
      <c r="CJ42" s="249">
        <f t="shared" si="23"/>
        <v>0</v>
      </c>
      <c r="CK42" s="249">
        <f t="shared" si="24"/>
        <v>10924.999999999998</v>
      </c>
    </row>
    <row r="43" spans="1:89" x14ac:dyDescent="0.2">
      <c r="A43" s="258">
        <v>40</v>
      </c>
      <c r="B43" s="259" t="s">
        <v>361</v>
      </c>
      <c r="C43" s="259" t="s">
        <v>362</v>
      </c>
      <c r="D43" s="259" t="s">
        <v>250</v>
      </c>
      <c r="E43" s="259" t="s">
        <v>767</v>
      </c>
      <c r="F43" s="259" t="s">
        <v>344</v>
      </c>
      <c r="G43" s="259" t="s">
        <v>4</v>
      </c>
      <c r="H43" s="259" t="s">
        <v>120</v>
      </c>
      <c r="I43" s="288" t="s">
        <v>691</v>
      </c>
      <c r="J43" s="259" t="s">
        <v>344</v>
      </c>
      <c r="K43" s="259" t="s">
        <v>4</v>
      </c>
      <c r="L43" s="259" t="s">
        <v>255</v>
      </c>
      <c r="M43" s="259" t="str">
        <f t="shared" si="25"/>
        <v>Non-Saudi</v>
      </c>
      <c r="N43" s="260">
        <v>42614</v>
      </c>
      <c r="O43" s="261">
        <v>10.3</v>
      </c>
      <c r="P43" s="262">
        <v>8500</v>
      </c>
      <c r="Q43" s="262">
        <v>2500</v>
      </c>
      <c r="R43" s="262">
        <v>500</v>
      </c>
      <c r="S43" s="262"/>
      <c r="T43" s="262"/>
      <c r="U43" s="262">
        <v>11500</v>
      </c>
      <c r="V43" s="263">
        <v>1</v>
      </c>
      <c r="W43" s="259" t="s">
        <v>256</v>
      </c>
      <c r="X43" s="259">
        <v>250</v>
      </c>
      <c r="Y43" s="249">
        <f t="shared" si="1"/>
        <v>8500</v>
      </c>
      <c r="Z43" s="249">
        <f t="shared" si="2"/>
        <v>11500</v>
      </c>
      <c r="AA43" s="249">
        <f>IF(AND(Z43&gt;0,$N43&lt;&gt;""),IF((DATE(Assumptions!$B$4,1,28)-$N43)/365.25&lt;=Assumptions!$B$20,(DATE(Assumptions!$B$4,1,28)-$N43)/365.25*Assumptions!$B$18*Z43,(Assumptions!$B$20*Assumptions!$B$18+((DATE(Assumptions!$B$4,1,28)-$N43)/365.25-Assumptions!$B$20)*Assumptions!$B$19)*Z43),0)</f>
        <v>79433.436002737857</v>
      </c>
      <c r="AB43" s="249">
        <f>IF(Y43&gt;0,IF($M43="Saudi",MIN(Y43+$Q43*$V43,Assumptions!$B$14)*Assumptions!$B$12,MIN(Y43+$Q43*$V43,Assumptions!$B$14)*Assumptions!$B$13),0)</f>
        <v>0</v>
      </c>
      <c r="AC43" s="249">
        <f>IF(AND(Y43&gt;0,$M43="Non-Saudi"),Assumptions!$B$25,0)</f>
        <v>910.41666666666663</v>
      </c>
      <c r="AD43" s="249">
        <f t="shared" si="3"/>
        <v>8500</v>
      </c>
      <c r="AE43" s="249">
        <f t="shared" si="4"/>
        <v>11500</v>
      </c>
      <c r="AF43" s="249">
        <f>IF(AND(AE43&gt;0,$N43&lt;&gt;""),IF((DATE(Assumptions!$B$4,2,28)-$N43)/365.25&lt;=Assumptions!$B$20,(DATE(Assumptions!$B$4,2,28)-$N43)/365.25*Assumptions!$B$18*AE43,(Assumptions!$B$20*Assumptions!$B$18+((DATE(Assumptions!$B$4,2,28)-$N43)/365.25-Assumptions!$B$20)*Assumptions!$B$19)*AE43),0)</f>
        <v>80409.479808350443</v>
      </c>
      <c r="AG43" s="249">
        <f>IF(AD43&gt;0,IF($M43="Saudi",MIN(AD43+$Q43*$V43,Assumptions!$B$14)*Assumptions!$B$12,MIN(AD43+$Q43*$V43,Assumptions!$B$14)*Assumptions!$B$13),0)</f>
        <v>0</v>
      </c>
      <c r="AH43" s="249">
        <f>IF(AND(AD43&gt;0,$M43="Non-Saudi"),Assumptions!$B$25,0)</f>
        <v>910.41666666666663</v>
      </c>
      <c r="AI43" s="249">
        <f t="shared" si="5"/>
        <v>8500</v>
      </c>
      <c r="AJ43" s="249">
        <f t="shared" si="6"/>
        <v>11500</v>
      </c>
      <c r="AK43" s="249">
        <f>IF(AND(AJ43&gt;0,$N43&lt;&gt;""),IF((DATE(Assumptions!$B$4,3,28)-$N43)/365.25&lt;=Assumptions!$B$20,(DATE(Assumptions!$B$4,3,28)-$N43)/365.25*Assumptions!$B$18*AJ43,(Assumptions!$B$20*Assumptions!$B$18+((DATE(Assumptions!$B$4,3,28)-$N43)/365.25-Assumptions!$B$20)*Assumptions!$B$19)*AJ43),0)</f>
        <v>81291.067761806975</v>
      </c>
      <c r="AL43" s="249">
        <f>IF(AI43&gt;0,IF($M43="Saudi",MIN(AI43+$Q43*$V43,Assumptions!$B$14)*Assumptions!$B$12,MIN(AI43+$Q43*$V43,Assumptions!$B$14)*Assumptions!$B$13),0)</f>
        <v>0</v>
      </c>
      <c r="AM43" s="249">
        <f>IF(AND(AI43&gt;0,$M43="Non-Saudi"),Assumptions!$B$25,0)</f>
        <v>910.41666666666663</v>
      </c>
      <c r="AN43" s="249">
        <f t="shared" si="7"/>
        <v>8500</v>
      </c>
      <c r="AO43" s="249">
        <f t="shared" si="8"/>
        <v>11500</v>
      </c>
      <c r="AP43" s="249">
        <f>IF(AND(AO43&gt;0,$N43&lt;&gt;""),IF((DATE(Assumptions!$B$4,4,28)-$N43)/365.25&lt;=Assumptions!$B$20,(DATE(Assumptions!$B$4,4,28)-$N43)/365.25*Assumptions!$B$18*AO43,(Assumptions!$B$20*Assumptions!$B$18+((DATE(Assumptions!$B$4,4,28)-$N43)/365.25-Assumptions!$B$20)*Assumptions!$B$19)*AO43),0)</f>
        <v>82267.111567419575</v>
      </c>
      <c r="AQ43" s="249">
        <f>IF(AN43&gt;0,IF($M43="Saudi",MIN(AN43+$Q43*$V43,Assumptions!$B$14)*Assumptions!$B$12,MIN(AN43+$Q43*$V43,Assumptions!$B$14)*Assumptions!$B$13),0)</f>
        <v>0</v>
      </c>
      <c r="AR43" s="249">
        <f>IF(AND(AN43&gt;0,$M43="Non-Saudi"),Assumptions!$B$25,0)</f>
        <v>910.41666666666663</v>
      </c>
      <c r="AS43" s="249">
        <f t="shared" si="9"/>
        <v>8500</v>
      </c>
      <c r="AT43" s="249">
        <f t="shared" si="10"/>
        <v>11500</v>
      </c>
      <c r="AU43" s="249">
        <f>IF(AND(AT43&gt;0,$N43&lt;&gt;""),IF((DATE(Assumptions!$B$4,5,28)-$N43)/365.25&lt;=Assumptions!$B$20,(DATE(Assumptions!$B$4,5,28)-$N43)/365.25*Assumptions!$B$18*AT43,(Assumptions!$B$20*Assumptions!$B$18+((DATE(Assumptions!$B$4,5,28)-$N43)/365.25-Assumptions!$B$20)*Assumptions!$B$19)*AT43),0)</f>
        <v>83211.670088980158</v>
      </c>
      <c r="AV43" s="249">
        <f>IF(AS43&gt;0,IF($M43="Saudi",MIN(AS43+$Q43*$V43,Assumptions!$B$14)*Assumptions!$B$12,MIN(AS43+$Q43*$V43,Assumptions!$B$14)*Assumptions!$B$13),0)</f>
        <v>0</v>
      </c>
      <c r="AW43" s="249">
        <f>IF(AND(AS43&gt;0,$M43="Non-Saudi"),Assumptions!$B$25,0)</f>
        <v>910.41666666666663</v>
      </c>
      <c r="AX43" s="249">
        <f t="shared" si="11"/>
        <v>8500</v>
      </c>
      <c r="AY43" s="249">
        <f t="shared" si="12"/>
        <v>11500</v>
      </c>
      <c r="AZ43" s="249">
        <f>IF(AND(AY43&gt;0,$N43&lt;&gt;""),IF((DATE(Assumptions!$B$4,6,28)-$N43)/365.25&lt;=Assumptions!$B$20,(DATE(Assumptions!$B$4,6,28)-$N43)/365.25*Assumptions!$B$18*AY43,(Assumptions!$B$20*Assumptions!$B$18+((DATE(Assumptions!$B$4,6,28)-$N43)/365.25-Assumptions!$B$20)*Assumptions!$B$19)*AY43),0)</f>
        <v>84187.713894592744</v>
      </c>
      <c r="BA43" s="249">
        <f>IF(AX43&gt;0,IF($M43="Saudi",MIN(AX43+$Q43*$V43,Assumptions!$B$14)*Assumptions!$B$12,MIN(AX43+$Q43*$V43,Assumptions!$B$14)*Assumptions!$B$13),0)</f>
        <v>0</v>
      </c>
      <c r="BB43" s="249">
        <f>IF(AND(AX43&gt;0,$M43="Non-Saudi"),Assumptions!$B$25,0)</f>
        <v>910.41666666666663</v>
      </c>
      <c r="BC43" s="249">
        <f t="shared" si="13"/>
        <v>8500</v>
      </c>
      <c r="BD43" s="249">
        <f t="shared" si="14"/>
        <v>11500</v>
      </c>
      <c r="BE43" s="249">
        <f>IF(AND(BD43&gt;0,$N43&lt;&gt;""),IF((DATE(Assumptions!$B$4,7,28)-$N43)/365.25&lt;=Assumptions!$B$20,(DATE(Assumptions!$B$4,7,28)-$N43)/365.25*Assumptions!$B$18*BD43,(Assumptions!$B$20*Assumptions!$B$18+((DATE(Assumptions!$B$4,7,28)-$N43)/365.25-Assumptions!$B$20)*Assumptions!$B$19)*BD43),0)</f>
        <v>85132.272416153326</v>
      </c>
      <c r="BF43" s="249">
        <f>IF(BC43&gt;0,IF($M43="Saudi",MIN(BC43+$Q43*$V43,Assumptions!$B$14)*Assumptions!$B$12,MIN(BC43+$Q43*$V43,Assumptions!$B$14)*Assumptions!$B$13),0)</f>
        <v>0</v>
      </c>
      <c r="BG43" s="249">
        <f>IF(AND(BC43&gt;0,$M43="Non-Saudi"),Assumptions!$B$25,0)</f>
        <v>910.41666666666663</v>
      </c>
      <c r="BH43" s="249">
        <f t="shared" si="15"/>
        <v>8500</v>
      </c>
      <c r="BI43" s="249">
        <f t="shared" si="16"/>
        <v>11500</v>
      </c>
      <c r="BJ43" s="249">
        <f>IF(AND(BI43&gt;0,$N43&lt;&gt;""),IF((DATE(Assumptions!$B$4,8,28)-$N43)/365.25&lt;=Assumptions!$B$20,(DATE(Assumptions!$B$4,8,28)-$N43)/365.25*Assumptions!$B$18*BI43,(Assumptions!$B$20*Assumptions!$B$18+((DATE(Assumptions!$B$4,8,28)-$N43)/365.25-Assumptions!$B$20)*Assumptions!$B$19)*BI43),0)</f>
        <v>86108.316221765926</v>
      </c>
      <c r="BK43" s="249">
        <f>IF(BH43&gt;0,IF($M43="Saudi",MIN(BH43+$Q43*$V43,Assumptions!$B$14)*Assumptions!$B$12,MIN(BH43+$Q43*$V43,Assumptions!$B$14)*Assumptions!$B$13),0)</f>
        <v>0</v>
      </c>
      <c r="BL43" s="249">
        <f>IF(AND(BH43&gt;0,$M43="Non-Saudi"),Assumptions!$B$25,0)</f>
        <v>910.41666666666663</v>
      </c>
      <c r="BM43" s="249">
        <f>IF(AND($D43="Contrat Local",$N43&lt;&gt;""),IF(AND(9&gt;=Assumptions!$B$5,ISNUMBER($X43),$N43&lt;EDATE(Assumptions!$B$9,-Assumptions!$B$6*12)),($P43+$X43)*$V43,$P43*$V43),0)</f>
        <v>8750</v>
      </c>
      <c r="BN43" s="249">
        <f t="shared" si="17"/>
        <v>11750</v>
      </c>
      <c r="BO43" s="249">
        <f>IF(AND(BN43&gt;0,$N43&lt;&gt;""),IF((DATE(Assumptions!$B$4,9,28)-$N43)/365.25&lt;=Assumptions!$B$20,(DATE(Assumptions!$B$4,9,28)-$N43)/365.25*Assumptions!$B$18*BN43,(Assumptions!$B$20*Assumptions!$B$18+((DATE(Assumptions!$B$4,9,28)-$N43)/365.25-Assumptions!$B$20)*Assumptions!$B$19)*BN43),0)</f>
        <v>88977.498288843257</v>
      </c>
      <c r="BP43" s="249">
        <f>IF(BM43&gt;0,IF($M43="Saudi",MIN(BM43+$Q43*$V43,Assumptions!$B$14)*Assumptions!$B$12,MIN(BM43+$Q43*$V43,Assumptions!$B$14)*Assumptions!$B$13),0)</f>
        <v>0</v>
      </c>
      <c r="BQ43" s="249">
        <f>IF(AND(BM43&gt;0,$M43="Non-Saudi"),Assumptions!$B$25,0)</f>
        <v>910.41666666666663</v>
      </c>
      <c r="BR43" s="249">
        <f>IF(AND($D43="Contrat Local",$N43&lt;&gt;""),IF(AND(10&gt;=Assumptions!$B$5,ISNUMBER($X43),$N43&lt;EDATE(Assumptions!$B$9,-Assumptions!$B$6*12)),($P43+$X43)*$V43,$P43*$V43),0)</f>
        <v>8750</v>
      </c>
      <c r="BS43" s="249">
        <f t="shared" si="18"/>
        <v>11750</v>
      </c>
      <c r="BT43" s="249">
        <f>IF(AND(BS43&gt;0,$N43&lt;&gt;""),IF((DATE(Assumptions!$B$4,10,28)-$N43)/365.25&lt;=Assumptions!$B$20,(DATE(Assumptions!$B$4,10,28)-$N43)/365.25*Assumptions!$B$18*BS43,(Assumptions!$B$20*Assumptions!$B$18+((DATE(Assumptions!$B$4,10,28)-$N43)/365.25-Assumptions!$B$20)*Assumptions!$B$19)*BS43),0)</f>
        <v>89942.590691307312</v>
      </c>
      <c r="BU43" s="249">
        <f>IF(BR43&gt;0,IF($M43="Saudi",MIN(BR43+$Q43*$V43,Assumptions!$B$14)*Assumptions!$B$12,MIN(BR43+$Q43*$V43,Assumptions!$B$14)*Assumptions!$B$13),0)</f>
        <v>0</v>
      </c>
      <c r="BV43" s="249">
        <f>IF(AND(BR43&gt;0,$M43="Non-Saudi"),Assumptions!$B$25,0)</f>
        <v>910.41666666666663</v>
      </c>
      <c r="BW43" s="249">
        <f>IF(AND($D43="Contrat Local",$N43&lt;&gt;""),IF(AND(11&gt;=Assumptions!$B$5,ISNUMBER($X43),$N43&lt;EDATE(Assumptions!$B$9,-Assumptions!$B$6*12)),($P43+$X43)*$V43,$P43*$V43),0)</f>
        <v>8750</v>
      </c>
      <c r="BX43" s="249">
        <f t="shared" si="19"/>
        <v>11750</v>
      </c>
      <c r="BY43" s="249">
        <f>IF(AND(BX43&gt;0,$N43&lt;&gt;""),IF((DATE(Assumptions!$B$4,11,28)-$N43)/365.25&lt;=Assumptions!$B$20,(DATE(Assumptions!$B$4,11,28)-$N43)/365.25*Assumptions!$B$18*BX43,(Assumptions!$B$20*Assumptions!$B$18+((DATE(Assumptions!$B$4,11,28)-$N43)/365.25-Assumptions!$B$20)*Assumptions!$B$19)*BX43),0)</f>
        <v>90939.85284052018</v>
      </c>
      <c r="BZ43" s="249">
        <f>IF(BW43&gt;0,IF($M43="Saudi",MIN(BW43+$Q43*$V43,Assumptions!$B$14)*Assumptions!$B$12,MIN(BW43+$Q43*$V43,Assumptions!$B$14)*Assumptions!$B$13),0)</f>
        <v>0</v>
      </c>
      <c r="CA43" s="249">
        <f>IF(AND(BW43&gt;0,$M43="Non-Saudi"),Assumptions!$B$25,0)</f>
        <v>910.41666666666663</v>
      </c>
      <c r="CB43" s="249">
        <f>IF(AND($D43="Contrat Local",$N43&lt;&gt;""),IF(AND(12&gt;=Assumptions!$B$5,ISNUMBER($X43),$N43&lt;EDATE(Assumptions!$B$9,-Assumptions!$B$6*12)),($P43+$X43)*$V43,$P43*$V43),0)</f>
        <v>8750</v>
      </c>
      <c r="CC43" s="249">
        <f t="shared" si="20"/>
        <v>11750</v>
      </c>
      <c r="CD43" s="249">
        <f>IF(AND(CC43&gt;0,$N43&lt;&gt;""),IF((DATE(Assumptions!$B$4,12,28)-$N43)/365.25&lt;=Assumptions!$B$20,(DATE(Assumptions!$B$4,12,28)-$N43)/365.25*Assumptions!$B$18*CC43,(Assumptions!$B$20*Assumptions!$B$18+((DATE(Assumptions!$B$4,12,28)-$N43)/365.25-Assumptions!$B$20)*Assumptions!$B$19)*CC43),0)</f>
        <v>91904.945242984264</v>
      </c>
      <c r="CE43" s="249">
        <f>IF(CB43&gt;0,IF($M43="Saudi",MIN(CB43+$Q43*$V43,Assumptions!$B$14)*Assumptions!$B$12,MIN(CB43+$Q43*$V43,Assumptions!$B$14)*Assumptions!$B$13),0)</f>
        <v>0</v>
      </c>
      <c r="CF43" s="249">
        <f>IF(AND(CB43&gt;0,$M43="Non-Saudi"),Assumptions!$B$25,0)</f>
        <v>910.41666666666663</v>
      </c>
      <c r="CG43" s="249">
        <f t="shared" si="21"/>
        <v>103000</v>
      </c>
      <c r="CH43" s="249">
        <f t="shared" si="22"/>
        <v>139000</v>
      </c>
      <c r="CI43" s="249">
        <f>CD43-IF(AND(Z43&gt;0,$N43&lt;&gt;""),IF((DATE(Assumptions!$B$4-1,12,28)-$N43)/365.25&lt;=Assumptions!$B$20,(DATE(Assumptions!$B$4-1,12,28)-$N43)/365.25*Assumptions!$B$18*Z43,(Assumptions!$B$20*Assumptions!$B$18+((DATE(Assumptions!$B$4-1,12,28)-$N43)/365.25-Assumptions!$B$20)*Assumptions!$B$19)*Z43),0)</f>
        <v>13447.553045858993</v>
      </c>
      <c r="CJ43" s="249">
        <f t="shared" si="23"/>
        <v>0</v>
      </c>
      <c r="CK43" s="249">
        <f t="shared" si="24"/>
        <v>10924.999999999998</v>
      </c>
    </row>
    <row r="44" spans="1:89" x14ac:dyDescent="0.2">
      <c r="A44" s="258">
        <v>41</v>
      </c>
      <c r="B44" s="259" t="s">
        <v>363</v>
      </c>
      <c r="C44" s="259" t="s">
        <v>364</v>
      </c>
      <c r="D44" s="259" t="s">
        <v>250</v>
      </c>
      <c r="E44" s="259" t="s">
        <v>767</v>
      </c>
      <c r="F44" s="259" t="s">
        <v>264</v>
      </c>
      <c r="G44" s="259" t="s">
        <v>8</v>
      </c>
      <c r="H44" s="259" t="s">
        <v>265</v>
      </c>
      <c r="I44" s="283" t="s">
        <v>691</v>
      </c>
      <c r="J44" s="259" t="s">
        <v>58</v>
      </c>
      <c r="K44" s="259" t="s">
        <v>4</v>
      </c>
      <c r="L44" s="259" t="s">
        <v>255</v>
      </c>
      <c r="M44" s="259" t="str">
        <f t="shared" si="25"/>
        <v>Non-Saudi</v>
      </c>
      <c r="N44" s="260">
        <v>44805</v>
      </c>
      <c r="O44" s="261">
        <v>4.3</v>
      </c>
      <c r="P44" s="262">
        <v>9000</v>
      </c>
      <c r="Q44" s="262">
        <v>2500</v>
      </c>
      <c r="R44" s="262">
        <v>500</v>
      </c>
      <c r="S44" s="262"/>
      <c r="T44" s="262"/>
      <c r="U44" s="262">
        <v>12000</v>
      </c>
      <c r="V44" s="263">
        <v>1</v>
      </c>
      <c r="W44" s="259" t="s">
        <v>259</v>
      </c>
      <c r="X44" s="259">
        <v>250</v>
      </c>
      <c r="Y44" s="249">
        <f t="shared" si="1"/>
        <v>9000</v>
      </c>
      <c r="Z44" s="249">
        <f t="shared" si="2"/>
        <v>12000</v>
      </c>
      <c r="AA44" s="249">
        <f>IF(AND(Z44&gt;0,$N44&lt;&gt;""),IF((DATE(Assumptions!$B$4,1,28)-$N44)/365.25&lt;=Assumptions!$B$20,(DATE(Assumptions!$B$4,1,28)-$N44)/365.25*Assumptions!$B$18*Z44,(Assumptions!$B$20*Assumptions!$B$18+((DATE(Assumptions!$B$4,1,28)-$N44)/365.25-Assumptions!$B$20)*Assumptions!$B$19)*Z44),0)</f>
        <v>20451.745379876797</v>
      </c>
      <c r="AB44" s="249">
        <f>IF(Y44&gt;0,IF($M44="Saudi",MIN(Y44+$Q44*$V44,Assumptions!$B$14)*Assumptions!$B$12,MIN(Y44+$Q44*$V44,Assumptions!$B$14)*Assumptions!$B$13),0)</f>
        <v>0</v>
      </c>
      <c r="AC44" s="249">
        <f>IF(AND(Y44&gt;0,$M44="Non-Saudi"),Assumptions!$B$25,0)</f>
        <v>910.41666666666663</v>
      </c>
      <c r="AD44" s="249">
        <f t="shared" si="3"/>
        <v>9000</v>
      </c>
      <c r="AE44" s="249">
        <f t="shared" si="4"/>
        <v>12000</v>
      </c>
      <c r="AF44" s="249">
        <f>IF(AND(AE44&gt;0,$N44&lt;&gt;""),IF((DATE(Assumptions!$B$4,2,28)-$N44)/365.25&lt;=Assumptions!$B$20,(DATE(Assumptions!$B$4,2,28)-$N44)/365.25*Assumptions!$B$18*AE44,(Assumptions!$B$20*Assumptions!$B$18+((DATE(Assumptions!$B$4,2,28)-$N44)/365.25-Assumptions!$B$20)*Assumptions!$B$19)*AE44),0)</f>
        <v>20960.985626283367</v>
      </c>
      <c r="AG44" s="249">
        <f>IF(AD44&gt;0,IF($M44="Saudi",MIN(AD44+$Q44*$V44,Assumptions!$B$14)*Assumptions!$B$12,MIN(AD44+$Q44*$V44,Assumptions!$B$14)*Assumptions!$B$13),0)</f>
        <v>0</v>
      </c>
      <c r="AH44" s="249">
        <f>IF(AND(AD44&gt;0,$M44="Non-Saudi"),Assumptions!$B$25,0)</f>
        <v>910.41666666666663</v>
      </c>
      <c r="AI44" s="249">
        <f t="shared" si="5"/>
        <v>9000</v>
      </c>
      <c r="AJ44" s="249">
        <f t="shared" si="6"/>
        <v>12000</v>
      </c>
      <c r="AK44" s="249">
        <f>IF(AND(AJ44&gt;0,$N44&lt;&gt;""),IF((DATE(Assumptions!$B$4,3,28)-$N44)/365.25&lt;=Assumptions!$B$20,(DATE(Assumptions!$B$4,3,28)-$N44)/365.25*Assumptions!$B$18*AJ44,(Assumptions!$B$20*Assumptions!$B$18+((DATE(Assumptions!$B$4,3,28)-$N44)/365.25-Assumptions!$B$20)*Assumptions!$B$19)*AJ44),0)</f>
        <v>21420.944558521562</v>
      </c>
      <c r="AL44" s="249">
        <f>IF(AI44&gt;0,IF($M44="Saudi",MIN(AI44+$Q44*$V44,Assumptions!$B$14)*Assumptions!$B$12,MIN(AI44+$Q44*$V44,Assumptions!$B$14)*Assumptions!$B$13),0)</f>
        <v>0</v>
      </c>
      <c r="AM44" s="249">
        <f>IF(AND(AI44&gt;0,$M44="Non-Saudi"),Assumptions!$B$25,0)</f>
        <v>910.41666666666663</v>
      </c>
      <c r="AN44" s="249">
        <f t="shared" si="7"/>
        <v>9000</v>
      </c>
      <c r="AO44" s="249">
        <f t="shared" si="8"/>
        <v>12000</v>
      </c>
      <c r="AP44" s="249">
        <f>IF(AND(AO44&gt;0,$N44&lt;&gt;""),IF((DATE(Assumptions!$B$4,4,28)-$N44)/365.25&lt;=Assumptions!$B$20,(DATE(Assumptions!$B$4,4,28)-$N44)/365.25*Assumptions!$B$18*AO44,(Assumptions!$B$20*Assumptions!$B$18+((DATE(Assumptions!$B$4,4,28)-$N44)/365.25-Assumptions!$B$20)*Assumptions!$B$19)*AO44),0)</f>
        <v>21930.184804928133</v>
      </c>
      <c r="AQ44" s="249">
        <f>IF(AN44&gt;0,IF($M44="Saudi",MIN(AN44+$Q44*$V44,Assumptions!$B$14)*Assumptions!$B$12,MIN(AN44+$Q44*$V44,Assumptions!$B$14)*Assumptions!$B$13),0)</f>
        <v>0</v>
      </c>
      <c r="AR44" s="249">
        <f>IF(AND(AN44&gt;0,$M44="Non-Saudi"),Assumptions!$B$25,0)</f>
        <v>910.41666666666663</v>
      </c>
      <c r="AS44" s="249">
        <f t="shared" si="9"/>
        <v>9000</v>
      </c>
      <c r="AT44" s="249">
        <f t="shared" si="10"/>
        <v>12000</v>
      </c>
      <c r="AU44" s="249">
        <f>IF(AND(AT44&gt;0,$N44&lt;&gt;""),IF((DATE(Assumptions!$B$4,5,28)-$N44)/365.25&lt;=Assumptions!$B$20,(DATE(Assumptions!$B$4,5,28)-$N44)/365.25*Assumptions!$B$18*AT44,(Assumptions!$B$20*Assumptions!$B$18+((DATE(Assumptions!$B$4,5,28)-$N44)/365.25-Assumptions!$B$20)*Assumptions!$B$19)*AT44),0)</f>
        <v>22422.997946611911</v>
      </c>
      <c r="AV44" s="249">
        <f>IF(AS44&gt;0,IF($M44="Saudi",MIN(AS44+$Q44*$V44,Assumptions!$B$14)*Assumptions!$B$12,MIN(AS44+$Q44*$V44,Assumptions!$B$14)*Assumptions!$B$13),0)</f>
        <v>0</v>
      </c>
      <c r="AW44" s="249">
        <f>IF(AND(AS44&gt;0,$M44="Non-Saudi"),Assumptions!$B$25,0)</f>
        <v>910.41666666666663</v>
      </c>
      <c r="AX44" s="249">
        <f t="shared" si="11"/>
        <v>9000</v>
      </c>
      <c r="AY44" s="249">
        <f t="shared" si="12"/>
        <v>12000</v>
      </c>
      <c r="AZ44" s="249">
        <f>IF(AND(AY44&gt;0,$N44&lt;&gt;""),IF((DATE(Assumptions!$B$4,6,28)-$N44)/365.25&lt;=Assumptions!$B$20,(DATE(Assumptions!$B$4,6,28)-$N44)/365.25*Assumptions!$B$18*AY44,(Assumptions!$B$20*Assumptions!$B$18+((DATE(Assumptions!$B$4,6,28)-$N44)/365.25-Assumptions!$B$20)*Assumptions!$B$19)*AY44),0)</f>
        <v>22932.238193018482</v>
      </c>
      <c r="BA44" s="249">
        <f>IF(AX44&gt;0,IF($M44="Saudi",MIN(AX44+$Q44*$V44,Assumptions!$B$14)*Assumptions!$B$12,MIN(AX44+$Q44*$V44,Assumptions!$B$14)*Assumptions!$B$13),0)</f>
        <v>0</v>
      </c>
      <c r="BB44" s="249">
        <f>IF(AND(AX44&gt;0,$M44="Non-Saudi"),Assumptions!$B$25,0)</f>
        <v>910.41666666666663</v>
      </c>
      <c r="BC44" s="249">
        <f t="shared" si="13"/>
        <v>9000</v>
      </c>
      <c r="BD44" s="249">
        <f t="shared" si="14"/>
        <v>12000</v>
      </c>
      <c r="BE44" s="249">
        <f>IF(AND(BD44&gt;0,$N44&lt;&gt;""),IF((DATE(Assumptions!$B$4,7,28)-$N44)/365.25&lt;=Assumptions!$B$20,(DATE(Assumptions!$B$4,7,28)-$N44)/365.25*Assumptions!$B$18*BD44,(Assumptions!$B$20*Assumptions!$B$18+((DATE(Assumptions!$B$4,7,28)-$N44)/365.25-Assumptions!$B$20)*Assumptions!$B$19)*BD44),0)</f>
        <v>23425.051334702257</v>
      </c>
      <c r="BF44" s="249">
        <f>IF(BC44&gt;0,IF($M44="Saudi",MIN(BC44+$Q44*$V44,Assumptions!$B$14)*Assumptions!$B$12,MIN(BC44+$Q44*$V44,Assumptions!$B$14)*Assumptions!$B$13),0)</f>
        <v>0</v>
      </c>
      <c r="BG44" s="249">
        <f>IF(AND(BC44&gt;0,$M44="Non-Saudi"),Assumptions!$B$25,0)</f>
        <v>910.41666666666663</v>
      </c>
      <c r="BH44" s="249">
        <f t="shared" si="15"/>
        <v>9000</v>
      </c>
      <c r="BI44" s="249">
        <f t="shared" si="16"/>
        <v>12000</v>
      </c>
      <c r="BJ44" s="249">
        <f>IF(AND(BI44&gt;0,$N44&lt;&gt;""),IF((DATE(Assumptions!$B$4,8,28)-$N44)/365.25&lt;=Assumptions!$B$20,(DATE(Assumptions!$B$4,8,28)-$N44)/365.25*Assumptions!$B$18*BI44,(Assumptions!$B$20*Assumptions!$B$18+((DATE(Assumptions!$B$4,8,28)-$N44)/365.25-Assumptions!$B$20)*Assumptions!$B$19)*BI44),0)</f>
        <v>23934.291581108831</v>
      </c>
      <c r="BK44" s="249">
        <f>IF(BH44&gt;0,IF($M44="Saudi",MIN(BH44+$Q44*$V44,Assumptions!$B$14)*Assumptions!$B$12,MIN(BH44+$Q44*$V44,Assumptions!$B$14)*Assumptions!$B$13),0)</f>
        <v>0</v>
      </c>
      <c r="BL44" s="249">
        <f>IF(AND(BH44&gt;0,$M44="Non-Saudi"),Assumptions!$B$25,0)</f>
        <v>910.41666666666663</v>
      </c>
      <c r="BM44" s="249">
        <f>IF(AND($D44="Contrat Local",$N44&lt;&gt;""),IF(AND(9&gt;=Assumptions!$B$5,ISNUMBER($X44),$N44&lt;EDATE(Assumptions!$B$9,-Assumptions!$B$6*12)),($P44+$X44)*$V44,$P44*$V44),0)</f>
        <v>9250</v>
      </c>
      <c r="BN44" s="249">
        <f t="shared" si="17"/>
        <v>12250</v>
      </c>
      <c r="BO44" s="249">
        <f>IF(AND(BN44&gt;0,$N44&lt;&gt;""),IF((DATE(Assumptions!$B$4,9,28)-$N44)/365.25&lt;=Assumptions!$B$20,(DATE(Assumptions!$B$4,9,28)-$N44)/365.25*Assumptions!$B$18*BN44,(Assumptions!$B$20*Assumptions!$B$18+((DATE(Assumptions!$B$4,9,28)-$N44)/365.25-Assumptions!$B$20)*Assumptions!$B$19)*BN44),0)</f>
        <v>24952.772073921969</v>
      </c>
      <c r="BP44" s="249">
        <f>IF(BM44&gt;0,IF($M44="Saudi",MIN(BM44+$Q44*$V44,Assumptions!$B$14)*Assumptions!$B$12,MIN(BM44+$Q44*$V44,Assumptions!$B$14)*Assumptions!$B$13),0)</f>
        <v>0</v>
      </c>
      <c r="BQ44" s="249">
        <f>IF(AND(BM44&gt;0,$M44="Non-Saudi"),Assumptions!$B$25,0)</f>
        <v>910.41666666666663</v>
      </c>
      <c r="BR44" s="249">
        <f>IF(AND($D44="Contrat Local",$N44&lt;&gt;""),IF(AND(10&gt;=Assumptions!$B$5,ISNUMBER($X44),$N44&lt;EDATE(Assumptions!$B$9,-Assumptions!$B$6*12)),($P44+$X44)*$V44,$P44*$V44),0)</f>
        <v>9250</v>
      </c>
      <c r="BS44" s="249">
        <f t="shared" si="18"/>
        <v>12250</v>
      </c>
      <c r="BT44" s="249">
        <f>IF(AND(BS44&gt;0,$N44&lt;&gt;""),IF((DATE(Assumptions!$B$4,10,28)-$N44)/365.25&lt;=Assumptions!$B$20,(DATE(Assumptions!$B$4,10,28)-$N44)/365.25*Assumptions!$B$18*BS44,(Assumptions!$B$20*Assumptions!$B$18+((DATE(Assumptions!$B$4,10,28)-$N44)/365.25-Assumptions!$B$20)*Assumptions!$B$19)*BS44),0)</f>
        <v>25455.852156057495</v>
      </c>
      <c r="BU44" s="249">
        <f>IF(BR44&gt;0,IF($M44="Saudi",MIN(BR44+$Q44*$V44,Assumptions!$B$14)*Assumptions!$B$12,MIN(BR44+$Q44*$V44,Assumptions!$B$14)*Assumptions!$B$13),0)</f>
        <v>0</v>
      </c>
      <c r="BV44" s="249">
        <f>IF(AND(BR44&gt;0,$M44="Non-Saudi"),Assumptions!$B$25,0)</f>
        <v>910.41666666666663</v>
      </c>
      <c r="BW44" s="249">
        <f>IF(AND($D44="Contrat Local",$N44&lt;&gt;""),IF(AND(11&gt;=Assumptions!$B$5,ISNUMBER($X44),$N44&lt;EDATE(Assumptions!$B$9,-Assumptions!$B$6*12)),($P44+$X44)*$V44,$P44*$V44),0)</f>
        <v>9250</v>
      </c>
      <c r="BX44" s="249">
        <f t="shared" si="19"/>
        <v>12250</v>
      </c>
      <c r="BY44" s="249">
        <f>IF(AND(BX44&gt;0,$N44&lt;&gt;""),IF((DATE(Assumptions!$B$4,11,28)-$N44)/365.25&lt;=Assumptions!$B$20,(DATE(Assumptions!$B$4,11,28)-$N44)/365.25*Assumptions!$B$18*BX44,(Assumptions!$B$20*Assumptions!$B$18+((DATE(Assumptions!$B$4,11,28)-$N44)/365.25-Assumptions!$B$20)*Assumptions!$B$19)*BX44),0)</f>
        <v>25975.7015742642</v>
      </c>
      <c r="BZ44" s="249">
        <f>IF(BW44&gt;0,IF($M44="Saudi",MIN(BW44+$Q44*$V44,Assumptions!$B$14)*Assumptions!$B$12,MIN(BW44+$Q44*$V44,Assumptions!$B$14)*Assumptions!$B$13),0)</f>
        <v>0</v>
      </c>
      <c r="CA44" s="249">
        <f>IF(AND(BW44&gt;0,$M44="Non-Saudi"),Assumptions!$B$25,0)</f>
        <v>910.41666666666663</v>
      </c>
      <c r="CB44" s="249">
        <f>IF(AND($D44="Contrat Local",$N44&lt;&gt;""),IF(AND(12&gt;=Assumptions!$B$5,ISNUMBER($X44),$N44&lt;EDATE(Assumptions!$B$9,-Assumptions!$B$6*12)),($P44+$X44)*$V44,$P44*$V44),0)</f>
        <v>9250</v>
      </c>
      <c r="CC44" s="249">
        <f t="shared" si="20"/>
        <v>12250</v>
      </c>
      <c r="CD44" s="249">
        <f>IF(AND(CC44&gt;0,$N44&lt;&gt;""),IF((DATE(Assumptions!$B$4,12,28)-$N44)/365.25&lt;=Assumptions!$B$20,(DATE(Assumptions!$B$4,12,28)-$N44)/365.25*Assumptions!$B$18*CC44,(Assumptions!$B$20*Assumptions!$B$18+((DATE(Assumptions!$B$4,12,28)-$N44)/365.25-Assumptions!$B$20)*Assumptions!$B$19)*CC44),0)</f>
        <v>26478.781656399722</v>
      </c>
      <c r="CE44" s="249">
        <f>IF(CB44&gt;0,IF($M44="Saudi",MIN(CB44+$Q44*$V44,Assumptions!$B$14)*Assumptions!$B$12,MIN(CB44+$Q44*$V44,Assumptions!$B$14)*Assumptions!$B$13),0)</f>
        <v>0</v>
      </c>
      <c r="CF44" s="249">
        <f>IF(AND(CB44&gt;0,$M44="Non-Saudi"),Assumptions!$B$25,0)</f>
        <v>910.41666666666663</v>
      </c>
      <c r="CG44" s="249">
        <f t="shared" si="21"/>
        <v>109000</v>
      </c>
      <c r="CH44" s="249">
        <f t="shared" si="22"/>
        <v>145000</v>
      </c>
      <c r="CI44" s="249">
        <f>CD44-IF(AND(Z44&gt;0,$N44&lt;&gt;""),IF((DATE(Assumptions!$B$4-1,12,28)-$N44)/365.25&lt;=Assumptions!$B$20,(DATE(Assumptions!$B$4-1,12,28)-$N44)/365.25*Assumptions!$B$18*Z44,(Assumptions!$B$20*Assumptions!$B$18+((DATE(Assumptions!$B$4-1,12,28)-$N44)/365.25-Assumptions!$B$20)*Assumptions!$B$19)*Z44),0)</f>
        <v>6536.2765229294964</v>
      </c>
      <c r="CJ44" s="249">
        <f t="shared" si="23"/>
        <v>0</v>
      </c>
      <c r="CK44" s="249">
        <f t="shared" si="24"/>
        <v>10924.999999999998</v>
      </c>
    </row>
    <row r="45" spans="1:89" x14ac:dyDescent="0.2">
      <c r="A45" s="270">
        <v>42</v>
      </c>
      <c r="B45" s="271" t="s">
        <v>365</v>
      </c>
      <c r="C45" s="271" t="s">
        <v>366</v>
      </c>
      <c r="D45" s="271" t="s">
        <v>250</v>
      </c>
      <c r="E45" s="271" t="s">
        <v>767</v>
      </c>
      <c r="F45" s="271" t="s">
        <v>367</v>
      </c>
      <c r="G45" s="271" t="s">
        <v>272</v>
      </c>
      <c r="H45" s="271" t="s">
        <v>368</v>
      </c>
      <c r="I45" s="285" t="s">
        <v>690</v>
      </c>
      <c r="J45" s="271"/>
      <c r="K45" s="271" t="s">
        <v>272</v>
      </c>
      <c r="L45" s="271" t="s">
        <v>255</v>
      </c>
      <c r="M45" s="271" t="str">
        <f t="shared" si="25"/>
        <v>Non-Saudi</v>
      </c>
      <c r="N45" s="272">
        <v>45908</v>
      </c>
      <c r="O45" s="273">
        <v>1.3</v>
      </c>
      <c r="P45" s="274">
        <v>7400</v>
      </c>
      <c r="Q45" s="274">
        <v>2500</v>
      </c>
      <c r="R45" s="274">
        <v>500</v>
      </c>
      <c r="S45" s="274"/>
      <c r="T45" s="274"/>
      <c r="U45" s="274">
        <v>10400</v>
      </c>
      <c r="V45" s="275">
        <v>1</v>
      </c>
      <c r="W45" s="271" t="s">
        <v>256</v>
      </c>
      <c r="X45" s="271" t="s">
        <v>268</v>
      </c>
      <c r="Y45" s="249">
        <f t="shared" si="1"/>
        <v>7400</v>
      </c>
      <c r="Z45" s="249">
        <f t="shared" si="2"/>
        <v>10400</v>
      </c>
      <c r="AA45" s="249">
        <f>IF(AND(Z45&gt;0,$N45&lt;&gt;""),IF((DATE(Assumptions!$B$4,1,28)-$N45)/365.25&lt;=Assumptions!$B$20,(DATE(Assumptions!$B$4,1,28)-$N45)/365.25*Assumptions!$B$18*Z45,(Assumptions!$B$20*Assumptions!$B$18+((DATE(Assumptions!$B$4,1,28)-$N45)/365.25-Assumptions!$B$20)*Assumptions!$B$19)*Z45),0)</f>
        <v>2021.6290212183437</v>
      </c>
      <c r="AB45" s="249">
        <f>IF(Y45&gt;0,IF($M45="Saudi",MIN(Y45+$Q45*$V45,Assumptions!$B$14)*Assumptions!$B$12,MIN(Y45+$Q45*$V45,Assumptions!$B$14)*Assumptions!$B$13),0)</f>
        <v>0</v>
      </c>
      <c r="AC45" s="249">
        <f>IF(AND(Y45&gt;0,$M45="Non-Saudi"),Assumptions!$B$25,0)</f>
        <v>910.41666666666663</v>
      </c>
      <c r="AD45" s="249">
        <f t="shared" si="3"/>
        <v>7400</v>
      </c>
      <c r="AE45" s="249">
        <f t="shared" si="4"/>
        <v>10400</v>
      </c>
      <c r="AF45" s="249">
        <f>IF(AND(AE45&gt;0,$N45&lt;&gt;""),IF((DATE(Assumptions!$B$4,2,28)-$N45)/365.25&lt;=Assumptions!$B$20,(DATE(Assumptions!$B$4,2,28)-$N45)/365.25*Assumptions!$B$18*AE45,(Assumptions!$B$20*Assumptions!$B$18+((DATE(Assumptions!$B$4,2,28)-$N45)/365.25-Assumptions!$B$20)*Assumptions!$B$19)*AE45),0)</f>
        <v>2462.9705681040382</v>
      </c>
      <c r="AG45" s="249">
        <f>IF(AD45&gt;0,IF($M45="Saudi",MIN(AD45+$Q45*$V45,Assumptions!$B$14)*Assumptions!$B$12,MIN(AD45+$Q45*$V45,Assumptions!$B$14)*Assumptions!$B$13),0)</f>
        <v>0</v>
      </c>
      <c r="AH45" s="249">
        <f>IF(AND(AD45&gt;0,$M45="Non-Saudi"),Assumptions!$B$25,0)</f>
        <v>910.41666666666663</v>
      </c>
      <c r="AI45" s="249">
        <f t="shared" si="5"/>
        <v>7400</v>
      </c>
      <c r="AJ45" s="249">
        <f t="shared" si="6"/>
        <v>10400</v>
      </c>
      <c r="AK45" s="249">
        <f>IF(AND(AJ45&gt;0,$N45&lt;&gt;""),IF((DATE(Assumptions!$B$4,3,28)-$N45)/365.25&lt;=Assumptions!$B$20,(DATE(Assumptions!$B$4,3,28)-$N45)/365.25*Assumptions!$B$18*AJ45,(Assumptions!$B$20*Assumptions!$B$18+((DATE(Assumptions!$B$4,3,28)-$N45)/365.25-Assumptions!$B$20)*Assumptions!$B$19)*AJ45),0)</f>
        <v>2861.6016427104723</v>
      </c>
      <c r="AL45" s="249">
        <f>IF(AI45&gt;0,IF($M45="Saudi",MIN(AI45+$Q45*$V45,Assumptions!$B$14)*Assumptions!$B$12,MIN(AI45+$Q45*$V45,Assumptions!$B$14)*Assumptions!$B$13),0)</f>
        <v>0</v>
      </c>
      <c r="AM45" s="249">
        <f>IF(AND(AI45&gt;0,$M45="Non-Saudi"),Assumptions!$B$25,0)</f>
        <v>910.41666666666663</v>
      </c>
      <c r="AN45" s="249">
        <f t="shared" si="7"/>
        <v>7400</v>
      </c>
      <c r="AO45" s="249">
        <f t="shared" si="8"/>
        <v>10400</v>
      </c>
      <c r="AP45" s="249">
        <f>IF(AND(AO45&gt;0,$N45&lt;&gt;""),IF((DATE(Assumptions!$B$4,4,28)-$N45)/365.25&lt;=Assumptions!$B$20,(DATE(Assumptions!$B$4,4,28)-$N45)/365.25*Assumptions!$B$18*AO45,(Assumptions!$B$20*Assumptions!$B$18+((DATE(Assumptions!$B$4,4,28)-$N45)/365.25-Assumptions!$B$20)*Assumptions!$B$19)*AO45),0)</f>
        <v>3302.943189596167</v>
      </c>
      <c r="AQ45" s="249">
        <f>IF(AN45&gt;0,IF($M45="Saudi",MIN(AN45+$Q45*$V45,Assumptions!$B$14)*Assumptions!$B$12,MIN(AN45+$Q45*$V45,Assumptions!$B$14)*Assumptions!$B$13),0)</f>
        <v>0</v>
      </c>
      <c r="AR45" s="249">
        <f>IF(AND(AN45&gt;0,$M45="Non-Saudi"),Assumptions!$B$25,0)</f>
        <v>910.41666666666663</v>
      </c>
      <c r="AS45" s="249">
        <f t="shared" si="9"/>
        <v>7400</v>
      </c>
      <c r="AT45" s="249">
        <f t="shared" si="10"/>
        <v>10400</v>
      </c>
      <c r="AU45" s="249">
        <f>IF(AND(AT45&gt;0,$N45&lt;&gt;""),IF((DATE(Assumptions!$B$4,5,28)-$N45)/365.25&lt;=Assumptions!$B$20,(DATE(Assumptions!$B$4,5,28)-$N45)/365.25*Assumptions!$B$18*AT45,(Assumptions!$B$20*Assumptions!$B$18+((DATE(Assumptions!$B$4,5,28)-$N45)/365.25-Assumptions!$B$20)*Assumptions!$B$19)*AT45),0)</f>
        <v>3730.0479123887749</v>
      </c>
      <c r="AV45" s="249">
        <f>IF(AS45&gt;0,IF($M45="Saudi",MIN(AS45+$Q45*$V45,Assumptions!$B$14)*Assumptions!$B$12,MIN(AS45+$Q45*$V45,Assumptions!$B$14)*Assumptions!$B$13),0)</f>
        <v>0</v>
      </c>
      <c r="AW45" s="249">
        <f>IF(AND(AS45&gt;0,$M45="Non-Saudi"),Assumptions!$B$25,0)</f>
        <v>910.41666666666663</v>
      </c>
      <c r="AX45" s="249">
        <f t="shared" si="11"/>
        <v>7400</v>
      </c>
      <c r="AY45" s="249">
        <f t="shared" si="12"/>
        <v>10400</v>
      </c>
      <c r="AZ45" s="249">
        <f>IF(AND(AY45&gt;0,$N45&lt;&gt;""),IF((DATE(Assumptions!$B$4,6,28)-$N45)/365.25&lt;=Assumptions!$B$20,(DATE(Assumptions!$B$4,6,28)-$N45)/365.25*Assumptions!$B$18*AY45,(Assumptions!$B$20*Assumptions!$B$18+((DATE(Assumptions!$B$4,6,28)-$N45)/365.25-Assumptions!$B$20)*Assumptions!$B$19)*AY45),0)</f>
        <v>4171.3894592744691</v>
      </c>
      <c r="BA45" s="249">
        <f>IF(AX45&gt;0,IF($M45="Saudi",MIN(AX45+$Q45*$V45,Assumptions!$B$14)*Assumptions!$B$12,MIN(AX45+$Q45*$V45,Assumptions!$B$14)*Assumptions!$B$13),0)</f>
        <v>0</v>
      </c>
      <c r="BB45" s="249">
        <f>IF(AND(AX45&gt;0,$M45="Non-Saudi"),Assumptions!$B$25,0)</f>
        <v>910.41666666666663</v>
      </c>
      <c r="BC45" s="249">
        <f t="shared" si="13"/>
        <v>7400</v>
      </c>
      <c r="BD45" s="249">
        <f t="shared" si="14"/>
        <v>10400</v>
      </c>
      <c r="BE45" s="249">
        <f>IF(AND(BD45&gt;0,$N45&lt;&gt;""),IF((DATE(Assumptions!$B$4,7,28)-$N45)/365.25&lt;=Assumptions!$B$20,(DATE(Assumptions!$B$4,7,28)-$N45)/365.25*Assumptions!$B$18*BD45,(Assumptions!$B$20*Assumptions!$B$18+((DATE(Assumptions!$B$4,7,28)-$N45)/365.25-Assumptions!$B$20)*Assumptions!$B$19)*BD45),0)</f>
        <v>4598.4941820670774</v>
      </c>
      <c r="BF45" s="249">
        <f>IF(BC45&gt;0,IF($M45="Saudi",MIN(BC45+$Q45*$V45,Assumptions!$B$14)*Assumptions!$B$12,MIN(BC45+$Q45*$V45,Assumptions!$B$14)*Assumptions!$B$13),0)</f>
        <v>0</v>
      </c>
      <c r="BG45" s="249">
        <f>IF(AND(BC45&gt;0,$M45="Non-Saudi"),Assumptions!$B$25,0)</f>
        <v>910.41666666666663</v>
      </c>
      <c r="BH45" s="249">
        <f t="shared" si="15"/>
        <v>7400</v>
      </c>
      <c r="BI45" s="249">
        <f t="shared" si="16"/>
        <v>10400</v>
      </c>
      <c r="BJ45" s="249">
        <f>IF(AND(BI45&gt;0,$N45&lt;&gt;""),IF((DATE(Assumptions!$B$4,8,28)-$N45)/365.25&lt;=Assumptions!$B$20,(DATE(Assumptions!$B$4,8,28)-$N45)/365.25*Assumptions!$B$18*BI45,(Assumptions!$B$20*Assumptions!$B$18+((DATE(Assumptions!$B$4,8,28)-$N45)/365.25-Assumptions!$B$20)*Assumptions!$B$19)*BI45),0)</f>
        <v>5039.8357289527721</v>
      </c>
      <c r="BK45" s="249">
        <f>IF(BH45&gt;0,IF($M45="Saudi",MIN(BH45+$Q45*$V45,Assumptions!$B$14)*Assumptions!$B$12,MIN(BH45+$Q45*$V45,Assumptions!$B$14)*Assumptions!$B$13),0)</f>
        <v>0</v>
      </c>
      <c r="BL45" s="249">
        <f>IF(AND(BH45&gt;0,$M45="Non-Saudi"),Assumptions!$B$25,0)</f>
        <v>910.41666666666663</v>
      </c>
      <c r="BM45" s="249">
        <f>IF(AND($D45="Contrat Local",$N45&lt;&gt;""),IF(AND(9&gt;=Assumptions!$B$5,ISNUMBER($X45),$N45&lt;EDATE(Assumptions!$B$9,-Assumptions!$B$6*12)),($P45+$X45)*$V45,$P45*$V45),0)</f>
        <v>7400</v>
      </c>
      <c r="BN45" s="249">
        <f t="shared" si="17"/>
        <v>10400</v>
      </c>
      <c r="BO45" s="249">
        <f>IF(AND(BN45&gt;0,$N45&lt;&gt;""),IF((DATE(Assumptions!$B$4,9,28)-$N45)/365.25&lt;=Assumptions!$B$20,(DATE(Assumptions!$B$4,9,28)-$N45)/365.25*Assumptions!$B$18*BN45,(Assumptions!$B$20*Assumptions!$B$18+((DATE(Assumptions!$B$4,9,28)-$N45)/365.25-Assumptions!$B$20)*Assumptions!$B$19)*BN45),0)</f>
        <v>5481.1772758384668</v>
      </c>
      <c r="BP45" s="249">
        <f>IF(BM45&gt;0,IF($M45="Saudi",MIN(BM45+$Q45*$V45,Assumptions!$B$14)*Assumptions!$B$12,MIN(BM45+$Q45*$V45,Assumptions!$B$14)*Assumptions!$B$13),0)</f>
        <v>0</v>
      </c>
      <c r="BQ45" s="249">
        <f>IF(AND(BM45&gt;0,$M45="Non-Saudi"),Assumptions!$B$25,0)</f>
        <v>910.41666666666663</v>
      </c>
      <c r="BR45" s="249">
        <f>IF(AND($D45="Contrat Local",$N45&lt;&gt;""),IF(AND(10&gt;=Assumptions!$B$5,ISNUMBER($X45),$N45&lt;EDATE(Assumptions!$B$9,-Assumptions!$B$6*12)),($P45+$X45)*$V45,$P45*$V45),0)</f>
        <v>7400</v>
      </c>
      <c r="BS45" s="249">
        <f t="shared" si="18"/>
        <v>10400</v>
      </c>
      <c r="BT45" s="249">
        <f>IF(AND(BS45&gt;0,$N45&lt;&gt;""),IF((DATE(Assumptions!$B$4,10,28)-$N45)/365.25&lt;=Assumptions!$B$20,(DATE(Assumptions!$B$4,10,28)-$N45)/365.25*Assumptions!$B$18*BS45,(Assumptions!$B$20*Assumptions!$B$18+((DATE(Assumptions!$B$4,10,28)-$N45)/365.25-Assumptions!$B$20)*Assumptions!$B$19)*BS45),0)</f>
        <v>5908.2819986310742</v>
      </c>
      <c r="BU45" s="249">
        <f>IF(BR45&gt;0,IF($M45="Saudi",MIN(BR45+$Q45*$V45,Assumptions!$B$14)*Assumptions!$B$12,MIN(BR45+$Q45*$V45,Assumptions!$B$14)*Assumptions!$B$13),0)</f>
        <v>0</v>
      </c>
      <c r="BV45" s="249">
        <f>IF(AND(BR45&gt;0,$M45="Non-Saudi"),Assumptions!$B$25,0)</f>
        <v>910.41666666666663</v>
      </c>
      <c r="BW45" s="249">
        <f>IF(AND($D45="Contrat Local",$N45&lt;&gt;""),IF(AND(11&gt;=Assumptions!$B$5,ISNUMBER($X45),$N45&lt;EDATE(Assumptions!$B$9,-Assumptions!$B$6*12)),($P45+$X45)*$V45,$P45*$V45),0)</f>
        <v>7400</v>
      </c>
      <c r="BX45" s="249">
        <f t="shared" si="19"/>
        <v>10400</v>
      </c>
      <c r="BY45" s="249">
        <f>IF(AND(BX45&gt;0,$N45&lt;&gt;""),IF((DATE(Assumptions!$B$4,11,28)-$N45)/365.25&lt;=Assumptions!$B$20,(DATE(Assumptions!$B$4,11,28)-$N45)/365.25*Assumptions!$B$18*BX45,(Assumptions!$B$20*Assumptions!$B$18+((DATE(Assumptions!$B$4,11,28)-$N45)/365.25-Assumptions!$B$20)*Assumptions!$B$19)*BX45),0)</f>
        <v>6349.6235455167689</v>
      </c>
      <c r="BZ45" s="249">
        <f>IF(BW45&gt;0,IF($M45="Saudi",MIN(BW45+$Q45*$V45,Assumptions!$B$14)*Assumptions!$B$12,MIN(BW45+$Q45*$V45,Assumptions!$B$14)*Assumptions!$B$13),0)</f>
        <v>0</v>
      </c>
      <c r="CA45" s="249">
        <f>IF(AND(BW45&gt;0,$M45="Non-Saudi"),Assumptions!$B$25,0)</f>
        <v>910.41666666666663</v>
      </c>
      <c r="CB45" s="249">
        <f>IF(AND($D45="Contrat Local",$N45&lt;&gt;""),IF(AND(12&gt;=Assumptions!$B$5,ISNUMBER($X45),$N45&lt;EDATE(Assumptions!$B$9,-Assumptions!$B$6*12)),($P45+$X45)*$V45,$P45*$V45),0)</f>
        <v>7400</v>
      </c>
      <c r="CC45" s="249">
        <f t="shared" si="20"/>
        <v>10400</v>
      </c>
      <c r="CD45" s="249">
        <f>IF(AND(CC45&gt;0,$N45&lt;&gt;""),IF((DATE(Assumptions!$B$4,12,28)-$N45)/365.25&lt;=Assumptions!$B$20,(DATE(Assumptions!$B$4,12,28)-$N45)/365.25*Assumptions!$B$18*CC45,(Assumptions!$B$20*Assumptions!$B$18+((DATE(Assumptions!$B$4,12,28)-$N45)/365.25-Assumptions!$B$20)*Assumptions!$B$19)*CC45),0)</f>
        <v>6776.7282683093772</v>
      </c>
      <c r="CE45" s="249">
        <f>IF(CB45&gt;0,IF($M45="Saudi",MIN(CB45+$Q45*$V45,Assumptions!$B$14)*Assumptions!$B$12,MIN(CB45+$Q45*$V45,Assumptions!$B$14)*Assumptions!$B$13),0)</f>
        <v>0</v>
      </c>
      <c r="CF45" s="249">
        <f>IF(AND(CB45&gt;0,$M45="Non-Saudi"),Assumptions!$B$25,0)</f>
        <v>910.41666666666663</v>
      </c>
      <c r="CG45" s="249">
        <f t="shared" si="21"/>
        <v>88800</v>
      </c>
      <c r="CH45" s="249">
        <f t="shared" si="22"/>
        <v>124800</v>
      </c>
      <c r="CI45" s="249">
        <f>CD45-IF(AND(Z45&gt;0,$N45&lt;&gt;""),IF((DATE(Assumptions!$B$4-1,12,28)-$N45)/365.25&lt;=Assumptions!$B$20,(DATE(Assumptions!$B$4-1,12,28)-$N45)/365.25*Assumptions!$B$18*Z45,(Assumptions!$B$20*Assumptions!$B$18+((DATE(Assumptions!$B$4-1,12,28)-$N45)/365.25-Assumptions!$B$20)*Assumptions!$B$19)*Z45),0)</f>
        <v>5196.4407939767279</v>
      </c>
      <c r="CJ45" s="249">
        <f t="shared" si="23"/>
        <v>0</v>
      </c>
      <c r="CK45" s="249">
        <f t="shared" si="24"/>
        <v>10924.999999999998</v>
      </c>
    </row>
    <row r="46" spans="1:89" x14ac:dyDescent="0.2">
      <c r="A46" s="276">
        <v>43</v>
      </c>
      <c r="B46" s="277" t="s">
        <v>369</v>
      </c>
      <c r="C46" s="277" t="s">
        <v>370</v>
      </c>
      <c r="D46" s="277" t="s">
        <v>250</v>
      </c>
      <c r="E46" s="277" t="s">
        <v>767</v>
      </c>
      <c r="F46" s="277" t="s">
        <v>315</v>
      </c>
      <c r="G46" s="277" t="s">
        <v>303</v>
      </c>
      <c r="H46" s="277" t="s">
        <v>371</v>
      </c>
      <c r="I46" s="287" t="s">
        <v>691</v>
      </c>
      <c r="J46" s="277" t="s">
        <v>227</v>
      </c>
      <c r="K46" s="277" t="s">
        <v>254</v>
      </c>
      <c r="L46" s="277" t="s">
        <v>255</v>
      </c>
      <c r="M46" s="277" t="str">
        <f t="shared" si="25"/>
        <v>Non-Saudi</v>
      </c>
      <c r="N46" s="278">
        <v>44805</v>
      </c>
      <c r="O46" s="279">
        <v>4.3</v>
      </c>
      <c r="P46" s="280">
        <v>8000</v>
      </c>
      <c r="Q46" s="280">
        <v>2500</v>
      </c>
      <c r="R46" s="280">
        <v>500</v>
      </c>
      <c r="S46" s="280"/>
      <c r="T46" s="280">
        <v>900</v>
      </c>
      <c r="U46" s="280">
        <v>11900</v>
      </c>
      <c r="V46" s="281">
        <v>1</v>
      </c>
      <c r="W46" s="277" t="s">
        <v>259</v>
      </c>
      <c r="X46" s="277">
        <v>200</v>
      </c>
      <c r="Y46" s="249">
        <f t="shared" si="1"/>
        <v>8000</v>
      </c>
      <c r="Z46" s="249">
        <f t="shared" si="2"/>
        <v>11900</v>
      </c>
      <c r="AA46" s="249">
        <f>IF(AND(Z46&gt;0,$N46&lt;&gt;""),IF((DATE(Assumptions!$B$4,1,28)-$N46)/365.25&lt;=Assumptions!$B$20,(DATE(Assumptions!$B$4,1,28)-$N46)/365.25*Assumptions!$B$18*Z46,(Assumptions!$B$20*Assumptions!$B$18+((DATE(Assumptions!$B$4,1,28)-$N46)/365.25-Assumptions!$B$20)*Assumptions!$B$19)*Z46),0)</f>
        <v>20281.314168377823</v>
      </c>
      <c r="AB46" s="249">
        <f>IF(Y46&gt;0,IF($M46="Saudi",MIN(Y46+$Q46*$V46,Assumptions!$B$14)*Assumptions!$B$12,MIN(Y46+$Q46*$V46,Assumptions!$B$14)*Assumptions!$B$13),0)</f>
        <v>0</v>
      </c>
      <c r="AC46" s="249">
        <f>IF(AND(Y46&gt;0,$M46="Non-Saudi"),Assumptions!$B$25,0)</f>
        <v>910.41666666666663</v>
      </c>
      <c r="AD46" s="249">
        <f t="shared" si="3"/>
        <v>8000</v>
      </c>
      <c r="AE46" s="249">
        <f t="shared" si="4"/>
        <v>11900</v>
      </c>
      <c r="AF46" s="249">
        <f>IF(AND(AE46&gt;0,$N46&lt;&gt;""),IF((DATE(Assumptions!$B$4,2,28)-$N46)/365.25&lt;=Assumptions!$B$20,(DATE(Assumptions!$B$4,2,28)-$N46)/365.25*Assumptions!$B$18*AE46,(Assumptions!$B$20*Assumptions!$B$18+((DATE(Assumptions!$B$4,2,28)-$N46)/365.25-Assumptions!$B$20)*Assumptions!$B$19)*AE46),0)</f>
        <v>20786.31074606434</v>
      </c>
      <c r="AG46" s="249">
        <f>IF(AD46&gt;0,IF($M46="Saudi",MIN(AD46+$Q46*$V46,Assumptions!$B$14)*Assumptions!$B$12,MIN(AD46+$Q46*$V46,Assumptions!$B$14)*Assumptions!$B$13),0)</f>
        <v>0</v>
      </c>
      <c r="AH46" s="249">
        <f>IF(AND(AD46&gt;0,$M46="Non-Saudi"),Assumptions!$B$25,0)</f>
        <v>910.41666666666663</v>
      </c>
      <c r="AI46" s="249">
        <f t="shared" si="5"/>
        <v>8000</v>
      </c>
      <c r="AJ46" s="249">
        <f t="shared" si="6"/>
        <v>11900</v>
      </c>
      <c r="AK46" s="249">
        <f>IF(AND(AJ46&gt;0,$N46&lt;&gt;""),IF((DATE(Assumptions!$B$4,3,28)-$N46)/365.25&lt;=Assumptions!$B$20,(DATE(Assumptions!$B$4,3,28)-$N46)/365.25*Assumptions!$B$18*AJ46,(Assumptions!$B$20*Assumptions!$B$18+((DATE(Assumptions!$B$4,3,28)-$N46)/365.25-Assumptions!$B$20)*Assumptions!$B$19)*AJ46),0)</f>
        <v>21242.436687200548</v>
      </c>
      <c r="AL46" s="249">
        <f>IF(AI46&gt;0,IF($M46="Saudi",MIN(AI46+$Q46*$V46,Assumptions!$B$14)*Assumptions!$B$12,MIN(AI46+$Q46*$V46,Assumptions!$B$14)*Assumptions!$B$13),0)</f>
        <v>0</v>
      </c>
      <c r="AM46" s="249">
        <f>IF(AND(AI46&gt;0,$M46="Non-Saudi"),Assumptions!$B$25,0)</f>
        <v>910.41666666666663</v>
      </c>
      <c r="AN46" s="249">
        <f t="shared" si="7"/>
        <v>8000</v>
      </c>
      <c r="AO46" s="249">
        <f t="shared" si="8"/>
        <v>11900</v>
      </c>
      <c r="AP46" s="249">
        <f>IF(AND(AO46&gt;0,$N46&lt;&gt;""),IF((DATE(Assumptions!$B$4,4,28)-$N46)/365.25&lt;=Assumptions!$B$20,(DATE(Assumptions!$B$4,4,28)-$N46)/365.25*Assumptions!$B$18*AO46,(Assumptions!$B$20*Assumptions!$B$18+((DATE(Assumptions!$B$4,4,28)-$N46)/365.25-Assumptions!$B$20)*Assumptions!$B$19)*AO46),0)</f>
        <v>21747.433264887066</v>
      </c>
      <c r="AQ46" s="249">
        <f>IF(AN46&gt;0,IF($M46="Saudi",MIN(AN46+$Q46*$V46,Assumptions!$B$14)*Assumptions!$B$12,MIN(AN46+$Q46*$V46,Assumptions!$B$14)*Assumptions!$B$13),0)</f>
        <v>0</v>
      </c>
      <c r="AR46" s="249">
        <f>IF(AND(AN46&gt;0,$M46="Non-Saudi"),Assumptions!$B$25,0)</f>
        <v>910.41666666666663</v>
      </c>
      <c r="AS46" s="249">
        <f t="shared" si="9"/>
        <v>8000</v>
      </c>
      <c r="AT46" s="249">
        <f t="shared" si="10"/>
        <v>11900</v>
      </c>
      <c r="AU46" s="249">
        <f>IF(AND(AT46&gt;0,$N46&lt;&gt;""),IF((DATE(Assumptions!$B$4,5,28)-$N46)/365.25&lt;=Assumptions!$B$20,(DATE(Assumptions!$B$4,5,28)-$N46)/365.25*Assumptions!$B$18*AT46,(Assumptions!$B$20*Assumptions!$B$18+((DATE(Assumptions!$B$4,5,28)-$N46)/365.25-Assumptions!$B$20)*Assumptions!$B$19)*AT46),0)</f>
        <v>22236.139630390146</v>
      </c>
      <c r="AV46" s="249">
        <f>IF(AS46&gt;0,IF($M46="Saudi",MIN(AS46+$Q46*$V46,Assumptions!$B$14)*Assumptions!$B$12,MIN(AS46+$Q46*$V46,Assumptions!$B$14)*Assumptions!$B$13),0)</f>
        <v>0</v>
      </c>
      <c r="AW46" s="249">
        <f>IF(AND(AS46&gt;0,$M46="Non-Saudi"),Assumptions!$B$25,0)</f>
        <v>910.41666666666663</v>
      </c>
      <c r="AX46" s="249">
        <f t="shared" si="11"/>
        <v>8000</v>
      </c>
      <c r="AY46" s="249">
        <f t="shared" si="12"/>
        <v>11900</v>
      </c>
      <c r="AZ46" s="249">
        <f>IF(AND(AY46&gt;0,$N46&lt;&gt;""),IF((DATE(Assumptions!$B$4,6,28)-$N46)/365.25&lt;=Assumptions!$B$20,(DATE(Assumptions!$B$4,6,28)-$N46)/365.25*Assumptions!$B$18*AY46,(Assumptions!$B$20*Assumptions!$B$18+((DATE(Assumptions!$B$4,6,28)-$N46)/365.25-Assumptions!$B$20)*Assumptions!$B$19)*AY46),0)</f>
        <v>22741.136208076659</v>
      </c>
      <c r="BA46" s="249">
        <f>IF(AX46&gt;0,IF($M46="Saudi",MIN(AX46+$Q46*$V46,Assumptions!$B$14)*Assumptions!$B$12,MIN(AX46+$Q46*$V46,Assumptions!$B$14)*Assumptions!$B$13),0)</f>
        <v>0</v>
      </c>
      <c r="BB46" s="249">
        <f>IF(AND(AX46&gt;0,$M46="Non-Saudi"),Assumptions!$B$25,0)</f>
        <v>910.41666666666663</v>
      </c>
      <c r="BC46" s="249">
        <f t="shared" si="13"/>
        <v>8000</v>
      </c>
      <c r="BD46" s="249">
        <f t="shared" si="14"/>
        <v>11900</v>
      </c>
      <c r="BE46" s="249">
        <f>IF(AND(BD46&gt;0,$N46&lt;&gt;""),IF((DATE(Assumptions!$B$4,7,28)-$N46)/365.25&lt;=Assumptions!$B$20,(DATE(Assumptions!$B$4,7,28)-$N46)/365.25*Assumptions!$B$18*BD46,(Assumptions!$B$20*Assumptions!$B$18+((DATE(Assumptions!$B$4,7,28)-$N46)/365.25-Assumptions!$B$20)*Assumptions!$B$19)*BD46),0)</f>
        <v>23229.842573579739</v>
      </c>
      <c r="BF46" s="249">
        <f>IF(BC46&gt;0,IF($M46="Saudi",MIN(BC46+$Q46*$V46,Assumptions!$B$14)*Assumptions!$B$12,MIN(BC46+$Q46*$V46,Assumptions!$B$14)*Assumptions!$B$13),0)</f>
        <v>0</v>
      </c>
      <c r="BG46" s="249">
        <f>IF(AND(BC46&gt;0,$M46="Non-Saudi"),Assumptions!$B$25,0)</f>
        <v>910.41666666666663</v>
      </c>
      <c r="BH46" s="249">
        <f t="shared" si="15"/>
        <v>8000</v>
      </c>
      <c r="BI46" s="249">
        <f t="shared" si="16"/>
        <v>11900</v>
      </c>
      <c r="BJ46" s="249">
        <f>IF(AND(BI46&gt;0,$N46&lt;&gt;""),IF((DATE(Assumptions!$B$4,8,28)-$N46)/365.25&lt;=Assumptions!$B$20,(DATE(Assumptions!$B$4,8,28)-$N46)/365.25*Assumptions!$B$18*BI46,(Assumptions!$B$20*Assumptions!$B$18+((DATE(Assumptions!$B$4,8,28)-$N46)/365.25-Assumptions!$B$20)*Assumptions!$B$19)*BI46),0)</f>
        <v>23734.839151266257</v>
      </c>
      <c r="BK46" s="249">
        <f>IF(BH46&gt;0,IF($M46="Saudi",MIN(BH46+$Q46*$V46,Assumptions!$B$14)*Assumptions!$B$12,MIN(BH46+$Q46*$V46,Assumptions!$B$14)*Assumptions!$B$13),0)</f>
        <v>0</v>
      </c>
      <c r="BL46" s="249">
        <f>IF(AND(BH46&gt;0,$M46="Non-Saudi"),Assumptions!$B$25,0)</f>
        <v>910.41666666666663</v>
      </c>
      <c r="BM46" s="249">
        <f>IF(AND($D46="Contrat Local",$N46&lt;&gt;""),IF(AND(9&gt;=Assumptions!$B$5,ISNUMBER($X46),$N46&lt;EDATE(Assumptions!$B$9,-Assumptions!$B$6*12)),($P46+$X46)*$V46,$P46*$V46),0)</f>
        <v>8200</v>
      </c>
      <c r="BN46" s="249">
        <f t="shared" si="17"/>
        <v>12100</v>
      </c>
      <c r="BO46" s="249">
        <f>IF(AND(BN46&gt;0,$N46&lt;&gt;""),IF((DATE(Assumptions!$B$4,9,28)-$N46)/365.25&lt;=Assumptions!$B$20,(DATE(Assumptions!$B$4,9,28)-$N46)/365.25*Assumptions!$B$18*BN46,(Assumptions!$B$20*Assumptions!$B$18+((DATE(Assumptions!$B$4,9,28)-$N46)/365.25-Assumptions!$B$20)*Assumptions!$B$19)*BN46),0)</f>
        <v>24647.227926078027</v>
      </c>
      <c r="BP46" s="249">
        <f>IF(BM46&gt;0,IF($M46="Saudi",MIN(BM46+$Q46*$V46,Assumptions!$B$14)*Assumptions!$B$12,MIN(BM46+$Q46*$V46,Assumptions!$B$14)*Assumptions!$B$13),0)</f>
        <v>0</v>
      </c>
      <c r="BQ46" s="249">
        <f>IF(AND(BM46&gt;0,$M46="Non-Saudi"),Assumptions!$B$25,0)</f>
        <v>910.41666666666663</v>
      </c>
      <c r="BR46" s="249">
        <f>IF(AND($D46="Contrat Local",$N46&lt;&gt;""),IF(AND(10&gt;=Assumptions!$B$5,ISNUMBER($X46),$N46&lt;EDATE(Assumptions!$B$9,-Assumptions!$B$6*12)),($P46+$X46)*$V46,$P46*$V46),0)</f>
        <v>8200</v>
      </c>
      <c r="BS46" s="249">
        <f t="shared" si="18"/>
        <v>12100</v>
      </c>
      <c r="BT46" s="249">
        <f>IF(AND(BS46&gt;0,$N46&lt;&gt;""),IF((DATE(Assumptions!$B$4,10,28)-$N46)/365.25&lt;=Assumptions!$B$20,(DATE(Assumptions!$B$4,10,28)-$N46)/365.25*Assumptions!$B$18*BS46,(Assumptions!$B$20*Assumptions!$B$18+((DATE(Assumptions!$B$4,10,28)-$N46)/365.25-Assumptions!$B$20)*Assumptions!$B$19)*BS46),0)</f>
        <v>25144.147843942505</v>
      </c>
      <c r="BU46" s="249">
        <f>IF(BR46&gt;0,IF($M46="Saudi",MIN(BR46+$Q46*$V46,Assumptions!$B$14)*Assumptions!$B$12,MIN(BR46+$Q46*$V46,Assumptions!$B$14)*Assumptions!$B$13),0)</f>
        <v>0</v>
      </c>
      <c r="BV46" s="249">
        <f>IF(AND(BR46&gt;0,$M46="Non-Saudi"),Assumptions!$B$25,0)</f>
        <v>910.41666666666663</v>
      </c>
      <c r="BW46" s="249">
        <f>IF(AND($D46="Contrat Local",$N46&lt;&gt;""),IF(AND(11&gt;=Assumptions!$B$5,ISNUMBER($X46),$N46&lt;EDATE(Assumptions!$B$9,-Assumptions!$B$6*12)),($P46+$X46)*$V46,$P46*$V46),0)</f>
        <v>8200</v>
      </c>
      <c r="BX46" s="249">
        <f t="shared" si="19"/>
        <v>12100</v>
      </c>
      <c r="BY46" s="249">
        <f>IF(AND(BX46&gt;0,$N46&lt;&gt;""),IF((DATE(Assumptions!$B$4,11,28)-$N46)/365.25&lt;=Assumptions!$B$20,(DATE(Assumptions!$B$4,11,28)-$N46)/365.25*Assumptions!$B$18*BX46,(Assumptions!$B$20*Assumptions!$B$18+((DATE(Assumptions!$B$4,11,28)-$N46)/365.25-Assumptions!$B$20)*Assumptions!$B$19)*BX46),0)</f>
        <v>25657.631759069129</v>
      </c>
      <c r="BZ46" s="249">
        <f>IF(BW46&gt;0,IF($M46="Saudi",MIN(BW46+$Q46*$V46,Assumptions!$B$14)*Assumptions!$B$12,MIN(BW46+$Q46*$V46,Assumptions!$B$14)*Assumptions!$B$13),0)</f>
        <v>0</v>
      </c>
      <c r="CA46" s="249">
        <f>IF(AND(BW46&gt;0,$M46="Non-Saudi"),Assumptions!$B$25,0)</f>
        <v>910.41666666666663</v>
      </c>
      <c r="CB46" s="249">
        <f>IF(AND($D46="Contrat Local",$N46&lt;&gt;""),IF(AND(12&gt;=Assumptions!$B$5,ISNUMBER($X46),$N46&lt;EDATE(Assumptions!$B$9,-Assumptions!$B$6*12)),($P46+$X46)*$V46,$P46*$V46),0)</f>
        <v>8200</v>
      </c>
      <c r="CC46" s="249">
        <f t="shared" si="20"/>
        <v>12100</v>
      </c>
      <c r="CD46" s="249">
        <f>IF(AND(CC46&gt;0,$N46&lt;&gt;""),IF((DATE(Assumptions!$B$4,12,28)-$N46)/365.25&lt;=Assumptions!$B$20,(DATE(Assumptions!$B$4,12,28)-$N46)/365.25*Assumptions!$B$18*CC46,(Assumptions!$B$20*Assumptions!$B$18+((DATE(Assumptions!$B$4,12,28)-$N46)/365.25-Assumptions!$B$20)*Assumptions!$B$19)*CC46),0)</f>
        <v>26154.551676933606</v>
      </c>
      <c r="CE46" s="249">
        <f>IF(CB46&gt;0,IF($M46="Saudi",MIN(CB46+$Q46*$V46,Assumptions!$B$14)*Assumptions!$B$12,MIN(CB46+$Q46*$V46,Assumptions!$B$14)*Assumptions!$B$13),0)</f>
        <v>0</v>
      </c>
      <c r="CF46" s="249">
        <f>IF(AND(CB46&gt;0,$M46="Non-Saudi"),Assumptions!$B$25,0)</f>
        <v>910.41666666666663</v>
      </c>
      <c r="CG46" s="249">
        <f t="shared" si="21"/>
        <v>96800</v>
      </c>
      <c r="CH46" s="249">
        <f t="shared" si="22"/>
        <v>143600</v>
      </c>
      <c r="CI46" s="249">
        <f>CD46-IF(AND(Z46&gt;0,$N46&lt;&gt;""),IF((DATE(Assumptions!$B$4-1,12,28)-$N46)/365.25&lt;=Assumptions!$B$20,(DATE(Assumptions!$B$4-1,12,28)-$N46)/365.25*Assumptions!$B$18*Z46,(Assumptions!$B$20*Assumptions!$B$18+((DATE(Assumptions!$B$4-1,12,28)-$N46)/365.25-Assumptions!$B$20)*Assumptions!$B$19)*Z46),0)</f>
        <v>6378.2340862423007</v>
      </c>
      <c r="CJ46" s="249">
        <f t="shared" si="23"/>
        <v>0</v>
      </c>
      <c r="CK46" s="249">
        <f t="shared" si="24"/>
        <v>10924.999999999998</v>
      </c>
    </row>
    <row r="47" spans="1:89" x14ac:dyDescent="0.2">
      <c r="A47" s="276">
        <v>44</v>
      </c>
      <c r="B47" s="277" t="s">
        <v>372</v>
      </c>
      <c r="C47" s="277" t="s">
        <v>373</v>
      </c>
      <c r="D47" s="277" t="s">
        <v>250</v>
      </c>
      <c r="E47" s="277" t="s">
        <v>767</v>
      </c>
      <c r="F47" s="277" t="s">
        <v>332</v>
      </c>
      <c r="G47" s="277" t="s">
        <v>303</v>
      </c>
      <c r="H47" s="277" t="s">
        <v>42</v>
      </c>
      <c r="I47" s="287" t="s">
        <v>691</v>
      </c>
      <c r="J47" s="277" t="s">
        <v>85</v>
      </c>
      <c r="K47" s="277" t="s">
        <v>254</v>
      </c>
      <c r="L47" s="277" t="s">
        <v>255</v>
      </c>
      <c r="M47" s="277" t="str">
        <f t="shared" si="25"/>
        <v>Non-Saudi</v>
      </c>
      <c r="N47" s="278">
        <v>42979</v>
      </c>
      <c r="O47" s="279">
        <v>9.3000000000000007</v>
      </c>
      <c r="P47" s="280">
        <v>12250</v>
      </c>
      <c r="Q47" s="280">
        <v>2500</v>
      </c>
      <c r="R47" s="280">
        <v>500</v>
      </c>
      <c r="S47" s="280"/>
      <c r="T47" s="280"/>
      <c r="U47" s="280">
        <v>15250</v>
      </c>
      <c r="V47" s="281">
        <v>1</v>
      </c>
      <c r="W47" s="277" t="s">
        <v>259</v>
      </c>
      <c r="X47" s="277">
        <v>250</v>
      </c>
      <c r="Y47" s="249">
        <f t="shared" si="1"/>
        <v>12250</v>
      </c>
      <c r="Z47" s="249">
        <f t="shared" si="2"/>
        <v>15250</v>
      </c>
      <c r="AA47" s="249">
        <f>IF(AND(Z47&gt;0,$N47&lt;&gt;""),IF((DATE(Assumptions!$B$4,1,28)-$N47)/365.25&lt;=Assumptions!$B$20,(DATE(Assumptions!$B$4,1,28)-$N47)/365.25*Assumptions!$B$18*Z47,(Assumptions!$B$20*Assumptions!$B$18+((DATE(Assumptions!$B$4,1,28)-$N47)/365.25-Assumptions!$B$20)*Assumptions!$B$19)*Z47),0)</f>
        <v>90096.081451060905</v>
      </c>
      <c r="AB47" s="249">
        <f>IF(Y47&gt;0,IF($M47="Saudi",MIN(Y47+$Q47*$V47,Assumptions!$B$14)*Assumptions!$B$12,MIN(Y47+$Q47*$V47,Assumptions!$B$14)*Assumptions!$B$13),0)</f>
        <v>0</v>
      </c>
      <c r="AC47" s="249">
        <f>IF(AND(Y47&gt;0,$M47="Non-Saudi"),Assumptions!$B$25,0)</f>
        <v>910.41666666666663</v>
      </c>
      <c r="AD47" s="249">
        <f t="shared" si="3"/>
        <v>12250</v>
      </c>
      <c r="AE47" s="249">
        <f t="shared" si="4"/>
        <v>15250</v>
      </c>
      <c r="AF47" s="249">
        <f>IF(AND(AE47&gt;0,$N47&lt;&gt;""),IF((DATE(Assumptions!$B$4,2,28)-$N47)/365.25&lt;=Assumptions!$B$20,(DATE(Assumptions!$B$4,2,28)-$N47)/365.25*Assumptions!$B$18*AE47,(Assumptions!$B$20*Assumptions!$B$18+((DATE(Assumptions!$B$4,2,28)-$N47)/365.25-Assumptions!$B$20)*Assumptions!$B$19)*AE47),0)</f>
        <v>91390.400410677612</v>
      </c>
      <c r="AG47" s="249">
        <f>IF(AD47&gt;0,IF($M47="Saudi",MIN(AD47+$Q47*$V47,Assumptions!$B$14)*Assumptions!$B$12,MIN(AD47+$Q47*$V47,Assumptions!$B$14)*Assumptions!$B$13),0)</f>
        <v>0</v>
      </c>
      <c r="AH47" s="249">
        <f>IF(AND(AD47&gt;0,$M47="Non-Saudi"),Assumptions!$B$25,0)</f>
        <v>910.41666666666663</v>
      </c>
      <c r="AI47" s="249">
        <f t="shared" si="5"/>
        <v>12250</v>
      </c>
      <c r="AJ47" s="249">
        <f t="shared" si="6"/>
        <v>15250</v>
      </c>
      <c r="AK47" s="249">
        <f>IF(AND(AJ47&gt;0,$N47&lt;&gt;""),IF((DATE(Assumptions!$B$4,3,28)-$N47)/365.25&lt;=Assumptions!$B$20,(DATE(Assumptions!$B$4,3,28)-$N47)/365.25*Assumptions!$B$18*AJ47,(Assumptions!$B$20*Assumptions!$B$18+((DATE(Assumptions!$B$4,3,28)-$N47)/365.25-Assumptions!$B$20)*Assumptions!$B$19)*AJ47),0)</f>
        <v>92559.462696783026</v>
      </c>
      <c r="AL47" s="249">
        <f>IF(AI47&gt;0,IF($M47="Saudi",MIN(AI47+$Q47*$V47,Assumptions!$B$14)*Assumptions!$B$12,MIN(AI47+$Q47*$V47,Assumptions!$B$14)*Assumptions!$B$13),0)</f>
        <v>0</v>
      </c>
      <c r="AM47" s="249">
        <f>IF(AND(AI47&gt;0,$M47="Non-Saudi"),Assumptions!$B$25,0)</f>
        <v>910.41666666666663</v>
      </c>
      <c r="AN47" s="249">
        <f t="shared" si="7"/>
        <v>12250</v>
      </c>
      <c r="AO47" s="249">
        <f t="shared" si="8"/>
        <v>15250</v>
      </c>
      <c r="AP47" s="249">
        <f>IF(AND(AO47&gt;0,$N47&lt;&gt;""),IF((DATE(Assumptions!$B$4,4,28)-$N47)/365.25&lt;=Assumptions!$B$20,(DATE(Assumptions!$B$4,4,28)-$N47)/365.25*Assumptions!$B$18*AO47,(Assumptions!$B$20*Assumptions!$B$18+((DATE(Assumptions!$B$4,4,28)-$N47)/365.25-Assumptions!$B$20)*Assumptions!$B$19)*AO47),0)</f>
        <v>93853.781656399733</v>
      </c>
      <c r="AQ47" s="249">
        <f>IF(AN47&gt;0,IF($M47="Saudi",MIN(AN47+$Q47*$V47,Assumptions!$B$14)*Assumptions!$B$12,MIN(AN47+$Q47*$V47,Assumptions!$B$14)*Assumptions!$B$13),0)</f>
        <v>0</v>
      </c>
      <c r="AR47" s="249">
        <f>IF(AND(AN47&gt;0,$M47="Non-Saudi"),Assumptions!$B$25,0)</f>
        <v>910.41666666666663</v>
      </c>
      <c r="AS47" s="249">
        <f t="shared" si="9"/>
        <v>12250</v>
      </c>
      <c r="AT47" s="249">
        <f t="shared" si="10"/>
        <v>15250</v>
      </c>
      <c r="AU47" s="249">
        <f>IF(AND(AT47&gt;0,$N47&lt;&gt;""),IF((DATE(Assumptions!$B$4,5,28)-$N47)/365.25&lt;=Assumptions!$B$20,(DATE(Assumptions!$B$4,5,28)-$N47)/365.25*Assumptions!$B$18*AT47,(Assumptions!$B$20*Assumptions!$B$18+((DATE(Assumptions!$B$4,5,28)-$N47)/365.25-Assumptions!$B$20)*Assumptions!$B$19)*AT47),0)</f>
        <v>95106.348391512671</v>
      </c>
      <c r="AV47" s="249">
        <f>IF(AS47&gt;0,IF($M47="Saudi",MIN(AS47+$Q47*$V47,Assumptions!$B$14)*Assumptions!$B$12,MIN(AS47+$Q47*$V47,Assumptions!$B$14)*Assumptions!$B$13),0)</f>
        <v>0</v>
      </c>
      <c r="AW47" s="249">
        <f>IF(AND(AS47&gt;0,$M47="Non-Saudi"),Assumptions!$B$25,0)</f>
        <v>910.41666666666663</v>
      </c>
      <c r="AX47" s="249">
        <f t="shared" si="11"/>
        <v>12250</v>
      </c>
      <c r="AY47" s="249">
        <f t="shared" si="12"/>
        <v>15250</v>
      </c>
      <c r="AZ47" s="249">
        <f>IF(AND(AY47&gt;0,$N47&lt;&gt;""),IF((DATE(Assumptions!$B$4,6,28)-$N47)/365.25&lt;=Assumptions!$B$20,(DATE(Assumptions!$B$4,6,28)-$N47)/365.25*Assumptions!$B$18*AY47,(Assumptions!$B$20*Assumptions!$B$18+((DATE(Assumptions!$B$4,6,28)-$N47)/365.25-Assumptions!$B$20)*Assumptions!$B$19)*AY47),0)</f>
        <v>96400.667351129377</v>
      </c>
      <c r="BA47" s="249">
        <f>IF(AX47&gt;0,IF($M47="Saudi",MIN(AX47+$Q47*$V47,Assumptions!$B$14)*Assumptions!$B$12,MIN(AX47+$Q47*$V47,Assumptions!$B$14)*Assumptions!$B$13),0)</f>
        <v>0</v>
      </c>
      <c r="BB47" s="249">
        <f>IF(AND(AX47&gt;0,$M47="Non-Saudi"),Assumptions!$B$25,0)</f>
        <v>910.41666666666663</v>
      </c>
      <c r="BC47" s="249">
        <f t="shared" si="13"/>
        <v>12250</v>
      </c>
      <c r="BD47" s="249">
        <f t="shared" si="14"/>
        <v>15250</v>
      </c>
      <c r="BE47" s="249">
        <f>IF(AND(BD47&gt;0,$N47&lt;&gt;""),IF((DATE(Assumptions!$B$4,7,28)-$N47)/365.25&lt;=Assumptions!$B$20,(DATE(Assumptions!$B$4,7,28)-$N47)/365.25*Assumptions!$B$18*BD47,(Assumptions!$B$20*Assumptions!$B$18+((DATE(Assumptions!$B$4,7,28)-$N47)/365.25-Assumptions!$B$20)*Assumptions!$B$19)*BD47),0)</f>
        <v>97653.234086242301</v>
      </c>
      <c r="BF47" s="249">
        <f>IF(BC47&gt;0,IF($M47="Saudi",MIN(BC47+$Q47*$V47,Assumptions!$B$14)*Assumptions!$B$12,MIN(BC47+$Q47*$V47,Assumptions!$B$14)*Assumptions!$B$13),0)</f>
        <v>0</v>
      </c>
      <c r="BG47" s="249">
        <f>IF(AND(BC47&gt;0,$M47="Non-Saudi"),Assumptions!$B$25,0)</f>
        <v>910.41666666666663</v>
      </c>
      <c r="BH47" s="249">
        <f t="shared" si="15"/>
        <v>12250</v>
      </c>
      <c r="BI47" s="249">
        <f t="shared" si="16"/>
        <v>15250</v>
      </c>
      <c r="BJ47" s="249">
        <f>IF(AND(BI47&gt;0,$N47&lt;&gt;""),IF((DATE(Assumptions!$B$4,8,28)-$N47)/365.25&lt;=Assumptions!$B$20,(DATE(Assumptions!$B$4,8,28)-$N47)/365.25*Assumptions!$B$18*BI47,(Assumptions!$B$20*Assumptions!$B$18+((DATE(Assumptions!$B$4,8,28)-$N47)/365.25-Assumptions!$B$20)*Assumptions!$B$19)*BI47),0)</f>
        <v>98947.553045858993</v>
      </c>
      <c r="BK47" s="249">
        <f>IF(BH47&gt;0,IF($M47="Saudi",MIN(BH47+$Q47*$V47,Assumptions!$B$14)*Assumptions!$B$12,MIN(BH47+$Q47*$V47,Assumptions!$B$14)*Assumptions!$B$13),0)</f>
        <v>0</v>
      </c>
      <c r="BL47" s="249">
        <f>IF(AND(BH47&gt;0,$M47="Non-Saudi"),Assumptions!$B$25,0)</f>
        <v>910.41666666666663</v>
      </c>
      <c r="BM47" s="249">
        <f>IF(AND($D47="Contrat Local",$N47&lt;&gt;""),IF(AND(9&gt;=Assumptions!$B$5,ISNUMBER($X47),$N47&lt;EDATE(Assumptions!$B$9,-Assumptions!$B$6*12)),($P47+$X47)*$V47,$P47*$V47),0)</f>
        <v>12500</v>
      </c>
      <c r="BN47" s="249">
        <f t="shared" si="17"/>
        <v>15500</v>
      </c>
      <c r="BO47" s="249">
        <f>IF(AND(BN47&gt;0,$N47&lt;&gt;""),IF((DATE(Assumptions!$B$4,9,28)-$N47)/365.25&lt;=Assumptions!$B$20,(DATE(Assumptions!$B$4,9,28)-$N47)/365.25*Assumptions!$B$18*BN47,(Assumptions!$B$20*Assumptions!$B$18+((DATE(Assumptions!$B$4,9,28)-$N47)/365.25-Assumptions!$B$20)*Assumptions!$B$19)*BN47),0)</f>
        <v>101885.18138261464</v>
      </c>
      <c r="BP47" s="249">
        <f>IF(BM47&gt;0,IF($M47="Saudi",MIN(BM47+$Q47*$V47,Assumptions!$B$14)*Assumptions!$B$12,MIN(BM47+$Q47*$V47,Assumptions!$B$14)*Assumptions!$B$13),0)</f>
        <v>0</v>
      </c>
      <c r="BQ47" s="249">
        <f>IF(AND(BM47&gt;0,$M47="Non-Saudi"),Assumptions!$B$25,0)</f>
        <v>910.41666666666663</v>
      </c>
      <c r="BR47" s="249">
        <f>IF(AND($D47="Contrat Local",$N47&lt;&gt;""),IF(AND(10&gt;=Assumptions!$B$5,ISNUMBER($X47),$N47&lt;EDATE(Assumptions!$B$9,-Assumptions!$B$6*12)),($P47+$X47)*$V47,$P47*$V47),0)</f>
        <v>12500</v>
      </c>
      <c r="BS47" s="249">
        <f t="shared" si="18"/>
        <v>15500</v>
      </c>
      <c r="BT47" s="249">
        <f>IF(AND(BS47&gt;0,$N47&lt;&gt;""),IF((DATE(Assumptions!$B$4,10,28)-$N47)/365.25&lt;=Assumptions!$B$20,(DATE(Assumptions!$B$4,10,28)-$N47)/365.25*Assumptions!$B$18*BS47,(Assumptions!$B$20*Assumptions!$B$18+((DATE(Assumptions!$B$4,10,28)-$N47)/365.25-Assumptions!$B$20)*Assumptions!$B$19)*BS47),0)</f>
        <v>103158.28199863108</v>
      </c>
      <c r="BU47" s="249">
        <f>IF(BR47&gt;0,IF($M47="Saudi",MIN(BR47+$Q47*$V47,Assumptions!$B$14)*Assumptions!$B$12,MIN(BR47+$Q47*$V47,Assumptions!$B$14)*Assumptions!$B$13),0)</f>
        <v>0</v>
      </c>
      <c r="BV47" s="249">
        <f>IF(AND(BR47&gt;0,$M47="Non-Saudi"),Assumptions!$B$25,0)</f>
        <v>910.41666666666663</v>
      </c>
      <c r="BW47" s="249">
        <f>IF(AND($D47="Contrat Local",$N47&lt;&gt;""),IF(AND(11&gt;=Assumptions!$B$5,ISNUMBER($X47),$N47&lt;EDATE(Assumptions!$B$9,-Assumptions!$B$6*12)),($P47+$X47)*$V47,$P47*$V47),0)</f>
        <v>12500</v>
      </c>
      <c r="BX47" s="249">
        <f t="shared" si="19"/>
        <v>15500</v>
      </c>
      <c r="BY47" s="249">
        <f>IF(AND(BX47&gt;0,$N47&lt;&gt;""),IF((DATE(Assumptions!$B$4,11,28)-$N47)/365.25&lt;=Assumptions!$B$20,(DATE(Assumptions!$B$4,11,28)-$N47)/365.25*Assumptions!$B$18*BX47,(Assumptions!$B$20*Assumptions!$B$18+((DATE(Assumptions!$B$4,11,28)-$N47)/365.25-Assumptions!$B$20)*Assumptions!$B$19)*BX47),0)</f>
        <v>104473.81930184805</v>
      </c>
      <c r="BZ47" s="249">
        <f>IF(BW47&gt;0,IF($M47="Saudi",MIN(BW47+$Q47*$V47,Assumptions!$B$14)*Assumptions!$B$12,MIN(BW47+$Q47*$V47,Assumptions!$B$14)*Assumptions!$B$13),0)</f>
        <v>0</v>
      </c>
      <c r="CA47" s="249">
        <f>IF(AND(BW47&gt;0,$M47="Non-Saudi"),Assumptions!$B$25,0)</f>
        <v>910.41666666666663</v>
      </c>
      <c r="CB47" s="249">
        <f>IF(AND($D47="Contrat Local",$N47&lt;&gt;""),IF(AND(12&gt;=Assumptions!$B$5,ISNUMBER($X47),$N47&lt;EDATE(Assumptions!$B$9,-Assumptions!$B$6*12)),($P47+$X47)*$V47,$P47*$V47),0)</f>
        <v>12500</v>
      </c>
      <c r="CC47" s="249">
        <f t="shared" si="20"/>
        <v>15500</v>
      </c>
      <c r="CD47" s="249">
        <f>IF(AND(CC47&gt;0,$N47&lt;&gt;""),IF((DATE(Assumptions!$B$4,12,28)-$N47)/365.25&lt;=Assumptions!$B$20,(DATE(Assumptions!$B$4,12,28)-$N47)/365.25*Assumptions!$B$18*CC47,(Assumptions!$B$20*Assumptions!$B$18+((DATE(Assumptions!$B$4,12,28)-$N47)/365.25-Assumptions!$B$20)*Assumptions!$B$19)*CC47),0)</f>
        <v>105746.91991786449</v>
      </c>
      <c r="CE47" s="249">
        <f>IF(CB47&gt;0,IF($M47="Saudi",MIN(CB47+$Q47*$V47,Assumptions!$B$14)*Assumptions!$B$12,MIN(CB47+$Q47*$V47,Assumptions!$B$14)*Assumptions!$B$13),0)</f>
        <v>0</v>
      </c>
      <c r="CF47" s="249">
        <f>IF(AND(CB47&gt;0,$M47="Non-Saudi"),Assumptions!$B$25,0)</f>
        <v>910.41666666666663</v>
      </c>
      <c r="CG47" s="249">
        <f t="shared" si="21"/>
        <v>148000</v>
      </c>
      <c r="CH47" s="249">
        <f t="shared" si="22"/>
        <v>184000</v>
      </c>
      <c r="CI47" s="249">
        <f>CD47-IF(AND(Z47&gt;0,$N47&lt;&gt;""),IF((DATE(Assumptions!$B$4-1,12,28)-$N47)/365.25&lt;=Assumptions!$B$20,(DATE(Assumptions!$B$4-1,12,28)-$N47)/365.25*Assumptions!$B$18*Z47,(Assumptions!$B$20*Assumptions!$B$18+((DATE(Assumptions!$B$4-1,12,28)-$N47)/365.25-Assumptions!$B$20)*Assumptions!$B$19)*Z47),0)</f>
        <v>16945.157426420279</v>
      </c>
      <c r="CJ47" s="249">
        <f t="shared" si="23"/>
        <v>0</v>
      </c>
      <c r="CK47" s="249">
        <f t="shared" si="24"/>
        <v>10924.999999999998</v>
      </c>
    </row>
    <row r="48" spans="1:89" x14ac:dyDescent="0.2">
      <c r="A48" s="276">
        <v>45</v>
      </c>
      <c r="B48" s="277" t="s">
        <v>374</v>
      </c>
      <c r="C48" s="277" t="s">
        <v>375</v>
      </c>
      <c r="D48" s="277" t="s">
        <v>250</v>
      </c>
      <c r="E48" s="277" t="s">
        <v>767</v>
      </c>
      <c r="F48" s="277" t="s">
        <v>315</v>
      </c>
      <c r="G48" s="277" t="s">
        <v>303</v>
      </c>
      <c r="H48" s="277" t="s">
        <v>44</v>
      </c>
      <c r="I48" s="287" t="s">
        <v>691</v>
      </c>
      <c r="J48" s="277" t="s">
        <v>68</v>
      </c>
      <c r="K48" s="277" t="s">
        <v>254</v>
      </c>
      <c r="L48" s="277" t="s">
        <v>255</v>
      </c>
      <c r="M48" s="277" t="str">
        <f t="shared" si="25"/>
        <v>Non-Saudi</v>
      </c>
      <c r="N48" s="278">
        <v>45194</v>
      </c>
      <c r="O48" s="279">
        <v>3.3</v>
      </c>
      <c r="P48" s="280">
        <v>7400</v>
      </c>
      <c r="Q48" s="280">
        <v>2500</v>
      </c>
      <c r="R48" s="280">
        <v>500</v>
      </c>
      <c r="S48" s="280"/>
      <c r="T48" s="280"/>
      <c r="U48" s="280">
        <v>10400</v>
      </c>
      <c r="V48" s="281">
        <v>1</v>
      </c>
      <c r="W48" s="277" t="s">
        <v>256</v>
      </c>
      <c r="X48" s="277">
        <v>200</v>
      </c>
      <c r="Y48" s="249">
        <f t="shared" si="1"/>
        <v>7400</v>
      </c>
      <c r="Z48" s="249">
        <f t="shared" si="2"/>
        <v>10400</v>
      </c>
      <c r="AA48" s="249">
        <f>IF(AND(Z48&gt;0,$N48&lt;&gt;""),IF((DATE(Assumptions!$B$4,1,28)-$N48)/365.25&lt;=Assumptions!$B$20,(DATE(Assumptions!$B$4,1,28)-$N48)/365.25*Assumptions!$B$18*Z48,(Assumptions!$B$20*Assumptions!$B$18+((DATE(Assumptions!$B$4,1,28)-$N48)/365.25-Assumptions!$B$20)*Assumptions!$B$19)*Z48),0)</f>
        <v>12186.721423682407</v>
      </c>
      <c r="AB48" s="249">
        <f>IF(Y48&gt;0,IF($M48="Saudi",MIN(Y48+$Q48*$V48,Assumptions!$B$14)*Assumptions!$B$12,MIN(Y48+$Q48*$V48,Assumptions!$B$14)*Assumptions!$B$13),0)</f>
        <v>0</v>
      </c>
      <c r="AC48" s="249">
        <f>IF(AND(Y48&gt;0,$M48="Non-Saudi"),Assumptions!$B$25,0)</f>
        <v>910.41666666666663</v>
      </c>
      <c r="AD48" s="249">
        <f t="shared" si="3"/>
        <v>7400</v>
      </c>
      <c r="AE48" s="249">
        <f t="shared" si="4"/>
        <v>10400</v>
      </c>
      <c r="AF48" s="249">
        <f>IF(AND(AE48&gt;0,$N48&lt;&gt;""),IF((DATE(Assumptions!$B$4,2,28)-$N48)/365.25&lt;=Assumptions!$B$20,(DATE(Assumptions!$B$4,2,28)-$N48)/365.25*Assumptions!$B$18*AE48,(Assumptions!$B$20*Assumptions!$B$18+((DATE(Assumptions!$B$4,2,28)-$N48)/365.25-Assumptions!$B$20)*Assumptions!$B$19)*AE48),0)</f>
        <v>12628.062970568104</v>
      </c>
      <c r="AG48" s="249">
        <f>IF(AD48&gt;0,IF($M48="Saudi",MIN(AD48+$Q48*$V48,Assumptions!$B$14)*Assumptions!$B$12,MIN(AD48+$Q48*$V48,Assumptions!$B$14)*Assumptions!$B$13),0)</f>
        <v>0</v>
      </c>
      <c r="AH48" s="249">
        <f>IF(AND(AD48&gt;0,$M48="Non-Saudi"),Assumptions!$B$25,0)</f>
        <v>910.41666666666663</v>
      </c>
      <c r="AI48" s="249">
        <f t="shared" si="5"/>
        <v>7400</v>
      </c>
      <c r="AJ48" s="249">
        <f t="shared" si="6"/>
        <v>10400</v>
      </c>
      <c r="AK48" s="249">
        <f>IF(AND(AJ48&gt;0,$N48&lt;&gt;""),IF((DATE(Assumptions!$B$4,3,28)-$N48)/365.25&lt;=Assumptions!$B$20,(DATE(Assumptions!$B$4,3,28)-$N48)/365.25*Assumptions!$B$18*AJ48,(Assumptions!$B$20*Assumptions!$B$18+((DATE(Assumptions!$B$4,3,28)-$N48)/365.25-Assumptions!$B$20)*Assumptions!$B$19)*AJ48),0)</f>
        <v>13026.694045174538</v>
      </c>
      <c r="AL48" s="249">
        <f>IF(AI48&gt;0,IF($M48="Saudi",MIN(AI48+$Q48*$V48,Assumptions!$B$14)*Assumptions!$B$12,MIN(AI48+$Q48*$V48,Assumptions!$B$14)*Assumptions!$B$13),0)</f>
        <v>0</v>
      </c>
      <c r="AM48" s="249">
        <f>IF(AND(AI48&gt;0,$M48="Non-Saudi"),Assumptions!$B$25,0)</f>
        <v>910.41666666666663</v>
      </c>
      <c r="AN48" s="249">
        <f t="shared" si="7"/>
        <v>7400</v>
      </c>
      <c r="AO48" s="249">
        <f t="shared" si="8"/>
        <v>10400</v>
      </c>
      <c r="AP48" s="249">
        <f>IF(AND(AO48&gt;0,$N48&lt;&gt;""),IF((DATE(Assumptions!$B$4,4,28)-$N48)/365.25&lt;=Assumptions!$B$20,(DATE(Assumptions!$B$4,4,28)-$N48)/365.25*Assumptions!$B$18*AO48,(Assumptions!$B$20*Assumptions!$B$18+((DATE(Assumptions!$B$4,4,28)-$N48)/365.25-Assumptions!$B$20)*Assumptions!$B$19)*AO48),0)</f>
        <v>13468.035592060232</v>
      </c>
      <c r="AQ48" s="249">
        <f>IF(AN48&gt;0,IF($M48="Saudi",MIN(AN48+$Q48*$V48,Assumptions!$B$14)*Assumptions!$B$12,MIN(AN48+$Q48*$V48,Assumptions!$B$14)*Assumptions!$B$13),0)</f>
        <v>0</v>
      </c>
      <c r="AR48" s="249">
        <f>IF(AND(AN48&gt;0,$M48="Non-Saudi"),Assumptions!$B$25,0)</f>
        <v>910.41666666666663</v>
      </c>
      <c r="AS48" s="249">
        <f t="shared" si="9"/>
        <v>7400</v>
      </c>
      <c r="AT48" s="249">
        <f t="shared" si="10"/>
        <v>10400</v>
      </c>
      <c r="AU48" s="249">
        <f>IF(AND(AT48&gt;0,$N48&lt;&gt;""),IF((DATE(Assumptions!$B$4,5,28)-$N48)/365.25&lt;=Assumptions!$B$20,(DATE(Assumptions!$B$4,5,28)-$N48)/365.25*Assumptions!$B$18*AT48,(Assumptions!$B$20*Assumptions!$B$18+((DATE(Assumptions!$B$4,5,28)-$N48)/365.25-Assumptions!$B$20)*Assumptions!$B$19)*AT48),0)</f>
        <v>13895.140314852839</v>
      </c>
      <c r="AV48" s="249">
        <f>IF(AS48&gt;0,IF($M48="Saudi",MIN(AS48+$Q48*$V48,Assumptions!$B$14)*Assumptions!$B$12,MIN(AS48+$Q48*$V48,Assumptions!$B$14)*Assumptions!$B$13),0)</f>
        <v>0</v>
      </c>
      <c r="AW48" s="249">
        <f>IF(AND(AS48&gt;0,$M48="Non-Saudi"),Assumptions!$B$25,0)</f>
        <v>910.41666666666663</v>
      </c>
      <c r="AX48" s="249">
        <f t="shared" si="11"/>
        <v>7400</v>
      </c>
      <c r="AY48" s="249">
        <f t="shared" si="12"/>
        <v>10400</v>
      </c>
      <c r="AZ48" s="249">
        <f>IF(AND(AY48&gt;0,$N48&lt;&gt;""),IF((DATE(Assumptions!$B$4,6,28)-$N48)/365.25&lt;=Assumptions!$B$20,(DATE(Assumptions!$B$4,6,28)-$N48)/365.25*Assumptions!$B$18*AY48,(Assumptions!$B$20*Assumptions!$B$18+((DATE(Assumptions!$B$4,6,28)-$N48)/365.25-Assumptions!$B$20)*Assumptions!$B$19)*AY48),0)</f>
        <v>14336.481861738535</v>
      </c>
      <c r="BA48" s="249">
        <f>IF(AX48&gt;0,IF($M48="Saudi",MIN(AX48+$Q48*$V48,Assumptions!$B$14)*Assumptions!$B$12,MIN(AX48+$Q48*$V48,Assumptions!$B$14)*Assumptions!$B$13),0)</f>
        <v>0</v>
      </c>
      <c r="BB48" s="249">
        <f>IF(AND(AX48&gt;0,$M48="Non-Saudi"),Assumptions!$B$25,0)</f>
        <v>910.41666666666663</v>
      </c>
      <c r="BC48" s="249">
        <f t="shared" si="13"/>
        <v>7400</v>
      </c>
      <c r="BD48" s="249">
        <f t="shared" si="14"/>
        <v>10400</v>
      </c>
      <c r="BE48" s="249">
        <f>IF(AND(BD48&gt;0,$N48&lt;&gt;""),IF((DATE(Assumptions!$B$4,7,28)-$N48)/365.25&lt;=Assumptions!$B$20,(DATE(Assumptions!$B$4,7,28)-$N48)/365.25*Assumptions!$B$18*BD48,(Assumptions!$B$20*Assumptions!$B$18+((DATE(Assumptions!$B$4,7,28)-$N48)/365.25-Assumptions!$B$20)*Assumptions!$B$19)*BD48),0)</f>
        <v>14763.586584531144</v>
      </c>
      <c r="BF48" s="249">
        <f>IF(BC48&gt;0,IF($M48="Saudi",MIN(BC48+$Q48*$V48,Assumptions!$B$14)*Assumptions!$B$12,MIN(BC48+$Q48*$V48,Assumptions!$B$14)*Assumptions!$B$13),0)</f>
        <v>0</v>
      </c>
      <c r="BG48" s="249">
        <f>IF(AND(BC48&gt;0,$M48="Non-Saudi"),Assumptions!$B$25,0)</f>
        <v>910.41666666666663</v>
      </c>
      <c r="BH48" s="249">
        <f t="shared" si="15"/>
        <v>7400</v>
      </c>
      <c r="BI48" s="249">
        <f t="shared" si="16"/>
        <v>10400</v>
      </c>
      <c r="BJ48" s="249">
        <f>IF(AND(BI48&gt;0,$N48&lt;&gt;""),IF((DATE(Assumptions!$B$4,8,28)-$N48)/365.25&lt;=Assumptions!$B$20,(DATE(Assumptions!$B$4,8,28)-$N48)/365.25*Assumptions!$B$18*BI48,(Assumptions!$B$20*Assumptions!$B$18+((DATE(Assumptions!$B$4,8,28)-$N48)/365.25-Assumptions!$B$20)*Assumptions!$B$19)*BI48),0)</f>
        <v>15204.928131416837</v>
      </c>
      <c r="BK48" s="249">
        <f>IF(BH48&gt;0,IF($M48="Saudi",MIN(BH48+$Q48*$V48,Assumptions!$B$14)*Assumptions!$B$12,MIN(BH48+$Q48*$V48,Assumptions!$B$14)*Assumptions!$B$13),0)</f>
        <v>0</v>
      </c>
      <c r="BL48" s="249">
        <f>IF(AND(BH48&gt;0,$M48="Non-Saudi"),Assumptions!$B$25,0)</f>
        <v>910.41666666666663</v>
      </c>
      <c r="BM48" s="249">
        <f>IF(AND($D48="Contrat Local",$N48&lt;&gt;""),IF(AND(9&gt;=Assumptions!$B$5,ISNUMBER($X48),$N48&lt;EDATE(Assumptions!$B$9,-Assumptions!$B$6*12)),($P48+$X48)*$V48,$P48*$V48),0)</f>
        <v>7600</v>
      </c>
      <c r="BN48" s="249">
        <f t="shared" si="17"/>
        <v>10600</v>
      </c>
      <c r="BO48" s="249">
        <f>IF(AND(BN48&gt;0,$N48&lt;&gt;""),IF((DATE(Assumptions!$B$4,9,28)-$N48)/365.25&lt;=Assumptions!$B$20,(DATE(Assumptions!$B$4,9,28)-$N48)/365.25*Assumptions!$B$18*BN48,(Assumptions!$B$20*Assumptions!$B$18+((DATE(Assumptions!$B$4,9,28)-$N48)/365.25-Assumptions!$B$20)*Assumptions!$B$19)*BN48),0)</f>
        <v>15947.159479808352</v>
      </c>
      <c r="BP48" s="249">
        <f>IF(BM48&gt;0,IF($M48="Saudi",MIN(BM48+$Q48*$V48,Assumptions!$B$14)*Assumptions!$B$12,MIN(BM48+$Q48*$V48,Assumptions!$B$14)*Assumptions!$B$13),0)</f>
        <v>0</v>
      </c>
      <c r="BQ48" s="249">
        <f>IF(AND(BM48&gt;0,$M48="Non-Saudi"),Assumptions!$B$25,0)</f>
        <v>910.41666666666663</v>
      </c>
      <c r="BR48" s="249">
        <f>IF(AND($D48="Contrat Local",$N48&lt;&gt;""),IF(AND(10&gt;=Assumptions!$B$5,ISNUMBER($X48),$N48&lt;EDATE(Assumptions!$B$9,-Assumptions!$B$6*12)),($P48+$X48)*$V48,$P48*$V48),0)</f>
        <v>7600</v>
      </c>
      <c r="BS48" s="249">
        <f t="shared" si="18"/>
        <v>10600</v>
      </c>
      <c r="BT48" s="249">
        <f>IF(AND(BS48&gt;0,$N48&lt;&gt;""),IF((DATE(Assumptions!$B$4,10,28)-$N48)/365.25&lt;=Assumptions!$B$20,(DATE(Assumptions!$B$4,10,28)-$N48)/365.25*Assumptions!$B$18*BS48,(Assumptions!$B$20*Assumptions!$B$18+((DATE(Assumptions!$B$4,10,28)-$N48)/365.25-Assumptions!$B$20)*Assumptions!$B$19)*BS48),0)</f>
        <v>16382.477754962354</v>
      </c>
      <c r="BU48" s="249">
        <f>IF(BR48&gt;0,IF($M48="Saudi",MIN(BR48+$Q48*$V48,Assumptions!$B$14)*Assumptions!$B$12,MIN(BR48+$Q48*$V48,Assumptions!$B$14)*Assumptions!$B$13),0)</f>
        <v>0</v>
      </c>
      <c r="BV48" s="249">
        <f>IF(AND(BR48&gt;0,$M48="Non-Saudi"),Assumptions!$B$25,0)</f>
        <v>910.41666666666663</v>
      </c>
      <c r="BW48" s="249">
        <f>IF(AND($D48="Contrat Local",$N48&lt;&gt;""),IF(AND(11&gt;=Assumptions!$B$5,ISNUMBER($X48),$N48&lt;EDATE(Assumptions!$B$9,-Assumptions!$B$6*12)),($P48+$X48)*$V48,$P48*$V48),0)</f>
        <v>7600</v>
      </c>
      <c r="BX48" s="249">
        <f t="shared" si="19"/>
        <v>10600</v>
      </c>
      <c r="BY48" s="249">
        <f>IF(AND(BX48&gt;0,$N48&lt;&gt;""),IF((DATE(Assumptions!$B$4,11,28)-$N48)/365.25&lt;=Assumptions!$B$20,(DATE(Assumptions!$B$4,11,28)-$N48)/365.25*Assumptions!$B$18*BX48,(Assumptions!$B$20*Assumptions!$B$18+((DATE(Assumptions!$B$4,11,28)-$N48)/365.25-Assumptions!$B$20)*Assumptions!$B$19)*BX48),0)</f>
        <v>16832.306639288159</v>
      </c>
      <c r="BZ48" s="249">
        <f>IF(BW48&gt;0,IF($M48="Saudi",MIN(BW48+$Q48*$V48,Assumptions!$B$14)*Assumptions!$B$12,MIN(BW48+$Q48*$V48,Assumptions!$B$14)*Assumptions!$B$13),0)</f>
        <v>0</v>
      </c>
      <c r="CA48" s="249">
        <f>IF(AND(BW48&gt;0,$M48="Non-Saudi"),Assumptions!$B$25,0)</f>
        <v>910.41666666666663</v>
      </c>
      <c r="CB48" s="249">
        <f>IF(AND($D48="Contrat Local",$N48&lt;&gt;""),IF(AND(12&gt;=Assumptions!$B$5,ISNUMBER($X48),$N48&lt;EDATE(Assumptions!$B$9,-Assumptions!$B$6*12)),($P48+$X48)*$V48,$P48*$V48),0)</f>
        <v>7600</v>
      </c>
      <c r="CC48" s="249">
        <f t="shared" si="20"/>
        <v>10600</v>
      </c>
      <c r="CD48" s="249">
        <f>IF(AND(CC48&gt;0,$N48&lt;&gt;""),IF((DATE(Assumptions!$B$4,12,28)-$N48)/365.25&lt;=Assumptions!$B$20,(DATE(Assumptions!$B$4,12,28)-$N48)/365.25*Assumptions!$B$18*CC48,(Assumptions!$B$20*Assumptions!$B$18+((DATE(Assumptions!$B$4,12,28)-$N48)/365.25-Assumptions!$B$20)*Assumptions!$B$19)*CC48),0)</f>
        <v>17267.624914442164</v>
      </c>
      <c r="CE48" s="249">
        <f>IF(CB48&gt;0,IF($M48="Saudi",MIN(CB48+$Q48*$V48,Assumptions!$B$14)*Assumptions!$B$12,MIN(CB48+$Q48*$V48,Assumptions!$B$14)*Assumptions!$B$13),0)</f>
        <v>0</v>
      </c>
      <c r="CF48" s="249">
        <f>IF(AND(CB48&gt;0,$M48="Non-Saudi"),Assumptions!$B$25,0)</f>
        <v>910.41666666666663</v>
      </c>
      <c r="CG48" s="249">
        <f t="shared" si="21"/>
        <v>89600</v>
      </c>
      <c r="CH48" s="249">
        <f t="shared" si="22"/>
        <v>125600</v>
      </c>
      <c r="CI48" s="249">
        <f>CD48-IF(AND(Z48&gt;0,$N48&lt;&gt;""),IF((DATE(Assumptions!$B$4-1,12,28)-$N48)/365.25&lt;=Assumptions!$B$20,(DATE(Assumptions!$B$4-1,12,28)-$N48)/365.25*Assumptions!$B$18*Z48,(Assumptions!$B$20*Assumptions!$B$18+((DATE(Assumptions!$B$4-1,12,28)-$N48)/365.25-Assumptions!$B$20)*Assumptions!$B$19)*Z48),0)</f>
        <v>5522.245037645449</v>
      </c>
      <c r="CJ48" s="249">
        <f t="shared" si="23"/>
        <v>0</v>
      </c>
      <c r="CK48" s="249">
        <f t="shared" si="24"/>
        <v>10924.999999999998</v>
      </c>
    </row>
    <row r="49" spans="1:89" x14ac:dyDescent="0.2">
      <c r="A49" s="264">
        <v>46</v>
      </c>
      <c r="B49" s="265" t="s">
        <v>376</v>
      </c>
      <c r="C49" s="265" t="s">
        <v>377</v>
      </c>
      <c r="D49" s="265" t="s">
        <v>250</v>
      </c>
      <c r="E49" s="265" t="s">
        <v>767</v>
      </c>
      <c r="F49" s="265" t="s">
        <v>264</v>
      </c>
      <c r="G49" s="265" t="s">
        <v>8</v>
      </c>
      <c r="H49" s="265" t="s">
        <v>265</v>
      </c>
      <c r="I49" s="284" t="s">
        <v>691</v>
      </c>
      <c r="J49" s="265" t="s">
        <v>58</v>
      </c>
      <c r="K49" s="265" t="s">
        <v>8</v>
      </c>
      <c r="L49" s="265" t="s">
        <v>255</v>
      </c>
      <c r="M49" s="265" t="str">
        <f t="shared" si="25"/>
        <v>Non-Saudi</v>
      </c>
      <c r="N49" s="266">
        <v>45170</v>
      </c>
      <c r="O49" s="267">
        <v>3.3</v>
      </c>
      <c r="P49" s="268">
        <v>9000</v>
      </c>
      <c r="Q49" s="268">
        <v>2500</v>
      </c>
      <c r="R49" s="268">
        <v>500</v>
      </c>
      <c r="S49" s="268"/>
      <c r="T49" s="268"/>
      <c r="U49" s="268">
        <v>12000</v>
      </c>
      <c r="V49" s="269">
        <v>1</v>
      </c>
      <c r="W49" s="265" t="s">
        <v>256</v>
      </c>
      <c r="X49" s="265">
        <v>250</v>
      </c>
      <c r="Y49" s="249">
        <f t="shared" si="1"/>
        <v>9000</v>
      </c>
      <c r="Z49" s="249">
        <f t="shared" si="2"/>
        <v>12000</v>
      </c>
      <c r="AA49" s="249">
        <f>IF(AND(Z49&gt;0,$N49&lt;&gt;""),IF((DATE(Assumptions!$B$4,1,28)-$N49)/365.25&lt;=Assumptions!$B$20,(DATE(Assumptions!$B$4,1,28)-$N49)/365.25*Assumptions!$B$18*Z49,(Assumptions!$B$20*Assumptions!$B$18+((DATE(Assumptions!$B$4,1,28)-$N49)/365.25-Assumptions!$B$20)*Assumptions!$B$19)*Z49),0)</f>
        <v>14455.852156057494</v>
      </c>
      <c r="AB49" s="249">
        <f>IF(Y49&gt;0,IF($M49="Saudi",MIN(Y49+$Q49*$V49,Assumptions!$B$14)*Assumptions!$B$12,MIN(Y49+$Q49*$V49,Assumptions!$B$14)*Assumptions!$B$13),0)</f>
        <v>0</v>
      </c>
      <c r="AC49" s="249">
        <f>IF(AND(Y49&gt;0,$M49="Non-Saudi"),Assumptions!$B$25,0)</f>
        <v>910.41666666666663</v>
      </c>
      <c r="AD49" s="249">
        <f t="shared" si="3"/>
        <v>9000</v>
      </c>
      <c r="AE49" s="249">
        <f t="shared" si="4"/>
        <v>12000</v>
      </c>
      <c r="AF49" s="249">
        <f>IF(AND(AE49&gt;0,$N49&lt;&gt;""),IF((DATE(Assumptions!$B$4,2,28)-$N49)/365.25&lt;=Assumptions!$B$20,(DATE(Assumptions!$B$4,2,28)-$N49)/365.25*Assumptions!$B$18*AE49,(Assumptions!$B$20*Assumptions!$B$18+((DATE(Assumptions!$B$4,2,28)-$N49)/365.25-Assumptions!$B$20)*Assumptions!$B$19)*AE49),0)</f>
        <v>14965.092402464066</v>
      </c>
      <c r="AG49" s="249">
        <f>IF(AD49&gt;0,IF($M49="Saudi",MIN(AD49+$Q49*$V49,Assumptions!$B$14)*Assumptions!$B$12,MIN(AD49+$Q49*$V49,Assumptions!$B$14)*Assumptions!$B$13),0)</f>
        <v>0</v>
      </c>
      <c r="AH49" s="249">
        <f>IF(AND(AD49&gt;0,$M49="Non-Saudi"),Assumptions!$B$25,0)</f>
        <v>910.41666666666663</v>
      </c>
      <c r="AI49" s="249">
        <f t="shared" si="5"/>
        <v>9000</v>
      </c>
      <c r="AJ49" s="249">
        <f t="shared" si="6"/>
        <v>12000</v>
      </c>
      <c r="AK49" s="249">
        <f>IF(AND(AJ49&gt;0,$N49&lt;&gt;""),IF((DATE(Assumptions!$B$4,3,28)-$N49)/365.25&lt;=Assumptions!$B$20,(DATE(Assumptions!$B$4,3,28)-$N49)/365.25*Assumptions!$B$18*AJ49,(Assumptions!$B$20*Assumptions!$B$18+((DATE(Assumptions!$B$4,3,28)-$N49)/365.25-Assumptions!$B$20)*Assumptions!$B$19)*AJ49),0)</f>
        <v>15425.051334702259</v>
      </c>
      <c r="AL49" s="249">
        <f>IF(AI49&gt;0,IF($M49="Saudi",MIN(AI49+$Q49*$V49,Assumptions!$B$14)*Assumptions!$B$12,MIN(AI49+$Q49*$V49,Assumptions!$B$14)*Assumptions!$B$13),0)</f>
        <v>0</v>
      </c>
      <c r="AM49" s="249">
        <f>IF(AND(AI49&gt;0,$M49="Non-Saudi"),Assumptions!$B$25,0)</f>
        <v>910.41666666666663</v>
      </c>
      <c r="AN49" s="249">
        <f t="shared" si="7"/>
        <v>9000</v>
      </c>
      <c r="AO49" s="249">
        <f t="shared" si="8"/>
        <v>12000</v>
      </c>
      <c r="AP49" s="249">
        <f>IF(AND(AO49&gt;0,$N49&lt;&gt;""),IF((DATE(Assumptions!$B$4,4,28)-$N49)/365.25&lt;=Assumptions!$B$20,(DATE(Assumptions!$B$4,4,28)-$N49)/365.25*Assumptions!$B$18*AO49,(Assumptions!$B$20*Assumptions!$B$18+((DATE(Assumptions!$B$4,4,28)-$N49)/365.25-Assumptions!$B$20)*Assumptions!$B$19)*AO49),0)</f>
        <v>15934.29158110883</v>
      </c>
      <c r="AQ49" s="249">
        <f>IF(AN49&gt;0,IF($M49="Saudi",MIN(AN49+$Q49*$V49,Assumptions!$B$14)*Assumptions!$B$12,MIN(AN49+$Q49*$V49,Assumptions!$B$14)*Assumptions!$B$13),0)</f>
        <v>0</v>
      </c>
      <c r="AR49" s="249">
        <f>IF(AND(AN49&gt;0,$M49="Non-Saudi"),Assumptions!$B$25,0)</f>
        <v>910.41666666666663</v>
      </c>
      <c r="AS49" s="249">
        <f t="shared" si="9"/>
        <v>9000</v>
      </c>
      <c r="AT49" s="249">
        <f t="shared" si="10"/>
        <v>12000</v>
      </c>
      <c r="AU49" s="249">
        <f>IF(AND(AT49&gt;0,$N49&lt;&gt;""),IF((DATE(Assumptions!$B$4,5,28)-$N49)/365.25&lt;=Assumptions!$B$20,(DATE(Assumptions!$B$4,5,28)-$N49)/365.25*Assumptions!$B$18*AT49,(Assumptions!$B$20*Assumptions!$B$18+((DATE(Assumptions!$B$4,5,28)-$N49)/365.25-Assumptions!$B$20)*Assumptions!$B$19)*AT49),0)</f>
        <v>16427.104722792606</v>
      </c>
      <c r="AV49" s="249">
        <f>IF(AS49&gt;0,IF($M49="Saudi",MIN(AS49+$Q49*$V49,Assumptions!$B$14)*Assumptions!$B$12,MIN(AS49+$Q49*$V49,Assumptions!$B$14)*Assumptions!$B$13),0)</f>
        <v>0</v>
      </c>
      <c r="AW49" s="249">
        <f>IF(AND(AS49&gt;0,$M49="Non-Saudi"),Assumptions!$B$25,0)</f>
        <v>910.41666666666663</v>
      </c>
      <c r="AX49" s="249">
        <f t="shared" si="11"/>
        <v>9000</v>
      </c>
      <c r="AY49" s="249">
        <f t="shared" si="12"/>
        <v>12000</v>
      </c>
      <c r="AZ49" s="249">
        <f>IF(AND(AY49&gt;0,$N49&lt;&gt;""),IF((DATE(Assumptions!$B$4,6,28)-$N49)/365.25&lt;=Assumptions!$B$20,(DATE(Assumptions!$B$4,6,28)-$N49)/365.25*Assumptions!$B$18*AY49,(Assumptions!$B$20*Assumptions!$B$18+((DATE(Assumptions!$B$4,6,28)-$N49)/365.25-Assumptions!$B$20)*Assumptions!$B$19)*AY49),0)</f>
        <v>16936.344969199181</v>
      </c>
      <c r="BA49" s="249">
        <f>IF(AX49&gt;0,IF($M49="Saudi",MIN(AX49+$Q49*$V49,Assumptions!$B$14)*Assumptions!$B$12,MIN(AX49+$Q49*$V49,Assumptions!$B$14)*Assumptions!$B$13),0)</f>
        <v>0</v>
      </c>
      <c r="BB49" s="249">
        <f>IF(AND(AX49&gt;0,$M49="Non-Saudi"),Assumptions!$B$25,0)</f>
        <v>910.41666666666663</v>
      </c>
      <c r="BC49" s="249">
        <f t="shared" si="13"/>
        <v>9000</v>
      </c>
      <c r="BD49" s="249">
        <f t="shared" si="14"/>
        <v>12000</v>
      </c>
      <c r="BE49" s="249">
        <f>IF(AND(BD49&gt;0,$N49&lt;&gt;""),IF((DATE(Assumptions!$B$4,7,28)-$N49)/365.25&lt;=Assumptions!$B$20,(DATE(Assumptions!$B$4,7,28)-$N49)/365.25*Assumptions!$B$18*BD49,(Assumptions!$B$20*Assumptions!$B$18+((DATE(Assumptions!$B$4,7,28)-$N49)/365.25-Assumptions!$B$20)*Assumptions!$B$19)*BD49),0)</f>
        <v>17429.158110882956</v>
      </c>
      <c r="BF49" s="249">
        <f>IF(BC49&gt;0,IF($M49="Saudi",MIN(BC49+$Q49*$V49,Assumptions!$B$14)*Assumptions!$B$12,MIN(BC49+$Q49*$V49,Assumptions!$B$14)*Assumptions!$B$13),0)</f>
        <v>0</v>
      </c>
      <c r="BG49" s="249">
        <f>IF(AND(BC49&gt;0,$M49="Non-Saudi"),Assumptions!$B$25,0)</f>
        <v>910.41666666666663</v>
      </c>
      <c r="BH49" s="249">
        <f t="shared" si="15"/>
        <v>9000</v>
      </c>
      <c r="BI49" s="249">
        <f t="shared" si="16"/>
        <v>12000</v>
      </c>
      <c r="BJ49" s="249">
        <f>IF(AND(BI49&gt;0,$N49&lt;&gt;""),IF((DATE(Assumptions!$B$4,8,28)-$N49)/365.25&lt;=Assumptions!$B$20,(DATE(Assumptions!$B$4,8,28)-$N49)/365.25*Assumptions!$B$18*BI49,(Assumptions!$B$20*Assumptions!$B$18+((DATE(Assumptions!$B$4,8,28)-$N49)/365.25-Assumptions!$B$20)*Assumptions!$B$19)*BI49),0)</f>
        <v>17938.398357289527</v>
      </c>
      <c r="BK49" s="249">
        <f>IF(BH49&gt;0,IF($M49="Saudi",MIN(BH49+$Q49*$V49,Assumptions!$B$14)*Assumptions!$B$12,MIN(BH49+$Q49*$V49,Assumptions!$B$14)*Assumptions!$B$13),0)</f>
        <v>0</v>
      </c>
      <c r="BL49" s="249">
        <f>IF(AND(BH49&gt;0,$M49="Non-Saudi"),Assumptions!$B$25,0)</f>
        <v>910.41666666666663</v>
      </c>
      <c r="BM49" s="249">
        <f>IF(AND($D49="Contrat Local",$N49&lt;&gt;""),IF(AND(9&gt;=Assumptions!$B$5,ISNUMBER($X49),$N49&lt;EDATE(Assumptions!$B$9,-Assumptions!$B$6*12)),($P49+$X49)*$V49,$P49*$V49),0)</f>
        <v>9250</v>
      </c>
      <c r="BN49" s="249">
        <f t="shared" si="17"/>
        <v>12250</v>
      </c>
      <c r="BO49" s="249">
        <f>IF(AND(BN49&gt;0,$N49&lt;&gt;""),IF((DATE(Assumptions!$B$4,9,28)-$N49)/365.25&lt;=Assumptions!$B$20,(DATE(Assumptions!$B$4,9,28)-$N49)/365.25*Assumptions!$B$18*BN49,(Assumptions!$B$20*Assumptions!$B$18+((DATE(Assumptions!$B$4,9,28)-$N49)/365.25-Assumptions!$B$20)*Assumptions!$B$19)*BN49),0)</f>
        <v>18831.964407939769</v>
      </c>
      <c r="BP49" s="249">
        <f>IF(BM49&gt;0,IF($M49="Saudi",MIN(BM49+$Q49*$V49,Assumptions!$B$14)*Assumptions!$B$12,MIN(BM49+$Q49*$V49,Assumptions!$B$14)*Assumptions!$B$13),0)</f>
        <v>0</v>
      </c>
      <c r="BQ49" s="249">
        <f>IF(AND(BM49&gt;0,$M49="Non-Saudi"),Assumptions!$B$25,0)</f>
        <v>910.41666666666663</v>
      </c>
      <c r="BR49" s="249">
        <f>IF(AND($D49="Contrat Local",$N49&lt;&gt;""),IF(AND(10&gt;=Assumptions!$B$5,ISNUMBER($X49),$N49&lt;EDATE(Assumptions!$B$9,-Assumptions!$B$6*12)),($P49+$X49)*$V49,$P49*$V49),0)</f>
        <v>9250</v>
      </c>
      <c r="BS49" s="249">
        <f t="shared" si="18"/>
        <v>12250</v>
      </c>
      <c r="BT49" s="249">
        <f>IF(AND(BS49&gt;0,$N49&lt;&gt;""),IF((DATE(Assumptions!$B$4,10,28)-$N49)/365.25&lt;=Assumptions!$B$20,(DATE(Assumptions!$B$4,10,28)-$N49)/365.25*Assumptions!$B$18*BS49,(Assumptions!$B$20*Assumptions!$B$18+((DATE(Assumptions!$B$4,10,28)-$N49)/365.25-Assumptions!$B$20)*Assumptions!$B$19)*BS49),0)</f>
        <v>19335.044490075292</v>
      </c>
      <c r="BU49" s="249">
        <f>IF(BR49&gt;0,IF($M49="Saudi",MIN(BR49+$Q49*$V49,Assumptions!$B$14)*Assumptions!$B$12,MIN(BR49+$Q49*$V49,Assumptions!$B$14)*Assumptions!$B$13),0)</f>
        <v>0</v>
      </c>
      <c r="BV49" s="249">
        <f>IF(AND(BR49&gt;0,$M49="Non-Saudi"),Assumptions!$B$25,0)</f>
        <v>910.41666666666663</v>
      </c>
      <c r="BW49" s="249">
        <f>IF(AND($D49="Contrat Local",$N49&lt;&gt;""),IF(AND(11&gt;=Assumptions!$B$5,ISNUMBER($X49),$N49&lt;EDATE(Assumptions!$B$9,-Assumptions!$B$6*12)),($P49+$X49)*$V49,$P49*$V49),0)</f>
        <v>9250</v>
      </c>
      <c r="BX49" s="249">
        <f t="shared" si="19"/>
        <v>12250</v>
      </c>
      <c r="BY49" s="249">
        <f>IF(AND(BX49&gt;0,$N49&lt;&gt;""),IF((DATE(Assumptions!$B$4,11,28)-$N49)/365.25&lt;=Assumptions!$B$20,(DATE(Assumptions!$B$4,11,28)-$N49)/365.25*Assumptions!$B$18*BX49,(Assumptions!$B$20*Assumptions!$B$18+((DATE(Assumptions!$B$4,11,28)-$N49)/365.25-Assumptions!$B$20)*Assumptions!$B$19)*BX49),0)</f>
        <v>19854.893908282</v>
      </c>
      <c r="BZ49" s="249">
        <f>IF(BW49&gt;0,IF($M49="Saudi",MIN(BW49+$Q49*$V49,Assumptions!$B$14)*Assumptions!$B$12,MIN(BW49+$Q49*$V49,Assumptions!$B$14)*Assumptions!$B$13),0)</f>
        <v>0</v>
      </c>
      <c r="CA49" s="249">
        <f>IF(AND(BW49&gt;0,$M49="Non-Saudi"),Assumptions!$B$25,0)</f>
        <v>910.41666666666663</v>
      </c>
      <c r="CB49" s="249">
        <f>IF(AND($D49="Contrat Local",$N49&lt;&gt;""),IF(AND(12&gt;=Assumptions!$B$5,ISNUMBER($X49),$N49&lt;EDATE(Assumptions!$B$9,-Assumptions!$B$6*12)),($P49+$X49)*$V49,$P49*$V49),0)</f>
        <v>9250</v>
      </c>
      <c r="CC49" s="249">
        <f t="shared" si="20"/>
        <v>12250</v>
      </c>
      <c r="CD49" s="249">
        <f>IF(AND(CC49&gt;0,$N49&lt;&gt;""),IF((DATE(Assumptions!$B$4,12,28)-$N49)/365.25&lt;=Assumptions!$B$20,(DATE(Assumptions!$B$4,12,28)-$N49)/365.25*Assumptions!$B$18*CC49,(Assumptions!$B$20*Assumptions!$B$18+((DATE(Assumptions!$B$4,12,28)-$N49)/365.25-Assumptions!$B$20)*Assumptions!$B$19)*CC49),0)</f>
        <v>20357.973990417522</v>
      </c>
      <c r="CE49" s="249">
        <f>IF(CB49&gt;0,IF($M49="Saudi",MIN(CB49+$Q49*$V49,Assumptions!$B$14)*Assumptions!$B$12,MIN(CB49+$Q49*$V49,Assumptions!$B$14)*Assumptions!$B$13),0)</f>
        <v>0</v>
      </c>
      <c r="CF49" s="249">
        <f>IF(AND(CB49&gt;0,$M49="Non-Saudi"),Assumptions!$B$25,0)</f>
        <v>910.41666666666663</v>
      </c>
      <c r="CG49" s="249">
        <f t="shared" si="21"/>
        <v>109000</v>
      </c>
      <c r="CH49" s="249">
        <f t="shared" si="22"/>
        <v>145000</v>
      </c>
      <c r="CI49" s="249">
        <f>CD49-IF(AND(Z49&gt;0,$N49&lt;&gt;""),IF((DATE(Assumptions!$B$4-1,12,28)-$N49)/365.25&lt;=Assumptions!$B$20,(DATE(Assumptions!$B$4-1,12,28)-$N49)/365.25*Assumptions!$B$18*Z49,(Assumptions!$B$20*Assumptions!$B$18+((DATE(Assumptions!$B$4-1,12,28)-$N49)/365.25-Assumptions!$B$20)*Assumptions!$B$19)*Z49),0)</f>
        <v>6411.3620807665975</v>
      </c>
      <c r="CJ49" s="249">
        <f t="shared" si="23"/>
        <v>0</v>
      </c>
      <c r="CK49" s="249">
        <f t="shared" si="24"/>
        <v>10924.999999999998</v>
      </c>
    </row>
    <row r="50" spans="1:89" x14ac:dyDescent="0.2">
      <c r="A50" s="276">
        <v>47</v>
      </c>
      <c r="B50" s="277" t="s">
        <v>378</v>
      </c>
      <c r="C50" s="277" t="s">
        <v>379</v>
      </c>
      <c r="D50" s="277" t="s">
        <v>250</v>
      </c>
      <c r="E50" s="277" t="s">
        <v>767</v>
      </c>
      <c r="F50" s="277" t="s">
        <v>302</v>
      </c>
      <c r="G50" s="277" t="s">
        <v>303</v>
      </c>
      <c r="H50" s="277" t="s">
        <v>349</v>
      </c>
      <c r="I50" s="287" t="s">
        <v>691</v>
      </c>
      <c r="J50" s="277" t="s">
        <v>73</v>
      </c>
      <c r="K50" s="277" t="s">
        <v>254</v>
      </c>
      <c r="L50" s="277" t="s">
        <v>255</v>
      </c>
      <c r="M50" s="277" t="str">
        <f t="shared" si="25"/>
        <v>Non-Saudi</v>
      </c>
      <c r="N50" s="278">
        <v>44440</v>
      </c>
      <c r="O50" s="279">
        <v>5.3</v>
      </c>
      <c r="P50" s="280">
        <v>9000</v>
      </c>
      <c r="Q50" s="280">
        <v>2500</v>
      </c>
      <c r="R50" s="280">
        <v>500</v>
      </c>
      <c r="S50" s="280"/>
      <c r="T50" s="280">
        <v>1860</v>
      </c>
      <c r="U50" s="280">
        <v>13860</v>
      </c>
      <c r="V50" s="281">
        <v>1</v>
      </c>
      <c r="W50" s="277" t="s">
        <v>256</v>
      </c>
      <c r="X50" s="277">
        <v>250</v>
      </c>
      <c r="Y50" s="249">
        <f t="shared" si="1"/>
        <v>9000</v>
      </c>
      <c r="Z50" s="249">
        <f t="shared" si="2"/>
        <v>13860</v>
      </c>
      <c r="AA50" s="249">
        <f>IF(AND(Z50&gt;0,$N50&lt;&gt;""),IF((DATE(Assumptions!$B$4,1,28)-$N50)/365.25&lt;=Assumptions!$B$20,(DATE(Assumptions!$B$4,1,28)-$N50)/365.25*Assumptions!$B$18*Z50,(Assumptions!$B$20*Assumptions!$B$18+((DATE(Assumptions!$B$4,1,28)-$N50)/365.25-Assumptions!$B$20)*Assumptions!$B$19)*Z50),0)</f>
        <v>30547.022587268995</v>
      </c>
      <c r="AB50" s="249">
        <f>IF(Y50&gt;0,IF($M50="Saudi",MIN(Y50+$Q50*$V50,Assumptions!$B$14)*Assumptions!$B$12,MIN(Y50+$Q50*$V50,Assumptions!$B$14)*Assumptions!$B$13),0)</f>
        <v>0</v>
      </c>
      <c r="AC50" s="249">
        <f>IF(AND(Y50&gt;0,$M50="Non-Saudi"),Assumptions!$B$25,0)</f>
        <v>910.41666666666663</v>
      </c>
      <c r="AD50" s="249">
        <f t="shared" si="3"/>
        <v>9000</v>
      </c>
      <c r="AE50" s="249">
        <f t="shared" si="4"/>
        <v>13860</v>
      </c>
      <c r="AF50" s="249">
        <f>IF(AND(AE50&gt;0,$N50&lt;&gt;""),IF((DATE(Assumptions!$B$4,2,28)-$N50)/365.25&lt;=Assumptions!$B$20,(DATE(Assumptions!$B$4,2,28)-$N50)/365.25*Assumptions!$B$18*AE50,(Assumptions!$B$20*Assumptions!$B$18+((DATE(Assumptions!$B$4,2,28)-$N50)/365.25-Assumptions!$B$20)*Assumptions!$B$19)*AE50),0)</f>
        <v>31135.195071868584</v>
      </c>
      <c r="AG50" s="249">
        <f>IF(AD50&gt;0,IF($M50="Saudi",MIN(AD50+$Q50*$V50,Assumptions!$B$14)*Assumptions!$B$12,MIN(AD50+$Q50*$V50,Assumptions!$B$14)*Assumptions!$B$13),0)</f>
        <v>0</v>
      </c>
      <c r="AH50" s="249">
        <f>IF(AND(AD50&gt;0,$M50="Non-Saudi"),Assumptions!$B$25,0)</f>
        <v>910.41666666666663</v>
      </c>
      <c r="AI50" s="249">
        <f t="shared" si="5"/>
        <v>9000</v>
      </c>
      <c r="AJ50" s="249">
        <f t="shared" si="6"/>
        <v>13860</v>
      </c>
      <c r="AK50" s="249">
        <f>IF(AND(AJ50&gt;0,$N50&lt;&gt;""),IF((DATE(Assumptions!$B$4,3,28)-$N50)/365.25&lt;=Assumptions!$B$20,(DATE(Assumptions!$B$4,3,28)-$N50)/365.25*Assumptions!$B$18*AJ50,(Assumptions!$B$20*Assumptions!$B$18+((DATE(Assumptions!$B$4,3,28)-$N50)/365.25-Assumptions!$B$20)*Assumptions!$B$19)*AJ50),0)</f>
        <v>31666.447638603699</v>
      </c>
      <c r="AL50" s="249">
        <f>IF(AI50&gt;0,IF($M50="Saudi",MIN(AI50+$Q50*$V50,Assumptions!$B$14)*Assumptions!$B$12,MIN(AI50+$Q50*$V50,Assumptions!$B$14)*Assumptions!$B$13),0)</f>
        <v>0</v>
      </c>
      <c r="AM50" s="249">
        <f>IF(AND(AI50&gt;0,$M50="Non-Saudi"),Assumptions!$B$25,0)</f>
        <v>910.41666666666663</v>
      </c>
      <c r="AN50" s="249">
        <f t="shared" si="7"/>
        <v>9000</v>
      </c>
      <c r="AO50" s="249">
        <f t="shared" si="8"/>
        <v>13860</v>
      </c>
      <c r="AP50" s="249">
        <f>IF(AND(AO50&gt;0,$N50&lt;&gt;""),IF((DATE(Assumptions!$B$4,4,28)-$N50)/365.25&lt;=Assumptions!$B$20,(DATE(Assumptions!$B$4,4,28)-$N50)/365.25*Assumptions!$B$18*AO50,(Assumptions!$B$20*Assumptions!$B$18+((DATE(Assumptions!$B$4,4,28)-$N50)/365.25-Assumptions!$B$20)*Assumptions!$B$19)*AO50),0)</f>
        <v>32254.620123203287</v>
      </c>
      <c r="AQ50" s="249">
        <f>IF(AN50&gt;0,IF($M50="Saudi",MIN(AN50+$Q50*$V50,Assumptions!$B$14)*Assumptions!$B$12,MIN(AN50+$Q50*$V50,Assumptions!$B$14)*Assumptions!$B$13),0)</f>
        <v>0</v>
      </c>
      <c r="AR50" s="249">
        <f>IF(AND(AN50&gt;0,$M50="Non-Saudi"),Assumptions!$B$25,0)</f>
        <v>910.41666666666663</v>
      </c>
      <c r="AS50" s="249">
        <f t="shared" si="9"/>
        <v>9000</v>
      </c>
      <c r="AT50" s="249">
        <f t="shared" si="10"/>
        <v>13860</v>
      </c>
      <c r="AU50" s="249">
        <f>IF(AND(AT50&gt;0,$N50&lt;&gt;""),IF((DATE(Assumptions!$B$4,5,28)-$N50)/365.25&lt;=Assumptions!$B$20,(DATE(Assumptions!$B$4,5,28)-$N50)/365.25*Assumptions!$B$18*AT50,(Assumptions!$B$20*Assumptions!$B$18+((DATE(Assumptions!$B$4,5,28)-$N50)/365.25-Assumptions!$B$20)*Assumptions!$B$19)*AT50),0)</f>
        <v>32823.819301848045</v>
      </c>
      <c r="AV50" s="249">
        <f>IF(AS50&gt;0,IF($M50="Saudi",MIN(AS50+$Q50*$V50,Assumptions!$B$14)*Assumptions!$B$12,MIN(AS50+$Q50*$V50,Assumptions!$B$14)*Assumptions!$B$13),0)</f>
        <v>0</v>
      </c>
      <c r="AW50" s="249">
        <f>IF(AND(AS50&gt;0,$M50="Non-Saudi"),Assumptions!$B$25,0)</f>
        <v>910.41666666666663</v>
      </c>
      <c r="AX50" s="249">
        <f t="shared" si="11"/>
        <v>9000</v>
      </c>
      <c r="AY50" s="249">
        <f t="shared" si="12"/>
        <v>13860</v>
      </c>
      <c r="AZ50" s="249">
        <f>IF(AND(AY50&gt;0,$N50&lt;&gt;""),IF((DATE(Assumptions!$B$4,6,28)-$N50)/365.25&lt;=Assumptions!$B$20,(DATE(Assumptions!$B$4,6,28)-$N50)/365.25*Assumptions!$B$18*AY50,(Assumptions!$B$20*Assumptions!$B$18+((DATE(Assumptions!$B$4,6,28)-$N50)/365.25-Assumptions!$B$20)*Assumptions!$B$19)*AY50),0)</f>
        <v>33411.991786447637</v>
      </c>
      <c r="BA50" s="249">
        <f>IF(AX50&gt;0,IF($M50="Saudi",MIN(AX50+$Q50*$V50,Assumptions!$B$14)*Assumptions!$B$12,MIN(AX50+$Q50*$V50,Assumptions!$B$14)*Assumptions!$B$13),0)</f>
        <v>0</v>
      </c>
      <c r="BB50" s="249">
        <f>IF(AND(AX50&gt;0,$M50="Non-Saudi"),Assumptions!$B$25,0)</f>
        <v>910.41666666666663</v>
      </c>
      <c r="BC50" s="249">
        <f t="shared" si="13"/>
        <v>9000</v>
      </c>
      <c r="BD50" s="249">
        <f t="shared" si="14"/>
        <v>13860</v>
      </c>
      <c r="BE50" s="249">
        <f>IF(AND(BD50&gt;0,$N50&lt;&gt;""),IF((DATE(Assumptions!$B$4,7,28)-$N50)/365.25&lt;=Assumptions!$B$20,(DATE(Assumptions!$B$4,7,28)-$N50)/365.25*Assumptions!$B$18*BD50,(Assumptions!$B$20*Assumptions!$B$18+((DATE(Assumptions!$B$4,7,28)-$N50)/365.25-Assumptions!$B$20)*Assumptions!$B$19)*BD50),0)</f>
        <v>33981.190965092399</v>
      </c>
      <c r="BF50" s="249">
        <f>IF(BC50&gt;0,IF($M50="Saudi",MIN(BC50+$Q50*$V50,Assumptions!$B$14)*Assumptions!$B$12,MIN(BC50+$Q50*$V50,Assumptions!$B$14)*Assumptions!$B$13),0)</f>
        <v>0</v>
      </c>
      <c r="BG50" s="249">
        <f>IF(AND(BC50&gt;0,$M50="Non-Saudi"),Assumptions!$B$25,0)</f>
        <v>910.41666666666663</v>
      </c>
      <c r="BH50" s="249">
        <f t="shared" si="15"/>
        <v>9000</v>
      </c>
      <c r="BI50" s="249">
        <f t="shared" si="16"/>
        <v>13860</v>
      </c>
      <c r="BJ50" s="249">
        <f>IF(AND(BI50&gt;0,$N50&lt;&gt;""),IF((DATE(Assumptions!$B$4,8,28)-$N50)/365.25&lt;=Assumptions!$B$20,(DATE(Assumptions!$B$4,8,28)-$N50)/365.25*Assumptions!$B$18*BI50,(Assumptions!$B$20*Assumptions!$B$18+((DATE(Assumptions!$B$4,8,28)-$N50)/365.25-Assumptions!$B$20)*Assumptions!$B$19)*BI50),0)</f>
        <v>34569.363449691991</v>
      </c>
      <c r="BK50" s="249">
        <f>IF(BH50&gt;0,IF($M50="Saudi",MIN(BH50+$Q50*$V50,Assumptions!$B$14)*Assumptions!$B$12,MIN(BH50+$Q50*$V50,Assumptions!$B$14)*Assumptions!$B$13),0)</f>
        <v>0</v>
      </c>
      <c r="BL50" s="249">
        <f>IF(AND(BH50&gt;0,$M50="Non-Saudi"),Assumptions!$B$25,0)</f>
        <v>910.41666666666663</v>
      </c>
      <c r="BM50" s="249">
        <f>IF(AND($D50="Contrat Local",$N50&lt;&gt;""),IF(AND(9&gt;=Assumptions!$B$5,ISNUMBER($X50),$N50&lt;EDATE(Assumptions!$B$9,-Assumptions!$B$6*12)),($P50+$X50)*$V50,$P50*$V50),0)</f>
        <v>9250</v>
      </c>
      <c r="BN50" s="249">
        <f t="shared" si="17"/>
        <v>14110</v>
      </c>
      <c r="BO50" s="249">
        <f>IF(AND(BN50&gt;0,$N50&lt;&gt;""),IF((DATE(Assumptions!$B$4,9,28)-$N50)/365.25&lt;=Assumptions!$B$20,(DATE(Assumptions!$B$4,9,28)-$N50)/365.25*Assumptions!$B$18*BN50,(Assumptions!$B$20*Assumptions!$B$18+((DATE(Assumptions!$B$4,9,28)-$N50)/365.25-Assumptions!$B$20)*Assumptions!$B$19)*BN50),0)</f>
        <v>36308.381245722114</v>
      </c>
      <c r="BP50" s="249">
        <f>IF(BM50&gt;0,IF($M50="Saudi",MIN(BM50+$Q50*$V50,Assumptions!$B$14)*Assumptions!$B$12,MIN(BM50+$Q50*$V50,Assumptions!$B$14)*Assumptions!$B$13),0)</f>
        <v>0</v>
      </c>
      <c r="BQ50" s="249">
        <f>IF(AND(BM50&gt;0,$M50="Non-Saudi"),Assumptions!$B$25,0)</f>
        <v>910.41666666666663</v>
      </c>
      <c r="BR50" s="249">
        <f>IF(AND($D50="Contrat Local",$N50&lt;&gt;""),IF(AND(10&gt;=Assumptions!$B$5,ISNUMBER($X50),$N50&lt;EDATE(Assumptions!$B$9,-Assumptions!$B$6*12)),($P50+$X50)*$V50,$P50*$V50),0)</f>
        <v>9250</v>
      </c>
      <c r="BS50" s="249">
        <f t="shared" si="18"/>
        <v>14110</v>
      </c>
      <c r="BT50" s="249">
        <f>IF(AND(BS50&gt;0,$N50&lt;&gt;""),IF((DATE(Assumptions!$B$4,10,28)-$N50)/365.25&lt;=Assumptions!$B$20,(DATE(Assumptions!$B$4,10,28)-$N50)/365.25*Assumptions!$B$18*BS50,(Assumptions!$B$20*Assumptions!$B$18+((DATE(Assumptions!$B$4,10,28)-$N50)/365.25-Assumptions!$B$20)*Assumptions!$B$19)*BS50),0)</f>
        <v>37467.313483915132</v>
      </c>
      <c r="BU50" s="249">
        <f>IF(BR50&gt;0,IF($M50="Saudi",MIN(BR50+$Q50*$V50,Assumptions!$B$14)*Assumptions!$B$12,MIN(BR50+$Q50*$V50,Assumptions!$B$14)*Assumptions!$B$13),0)</f>
        <v>0</v>
      </c>
      <c r="BV50" s="249">
        <f>IF(AND(BR50&gt;0,$M50="Non-Saudi"),Assumptions!$B$25,0)</f>
        <v>910.41666666666663</v>
      </c>
      <c r="BW50" s="249">
        <f>IF(AND($D50="Contrat Local",$N50&lt;&gt;""),IF(AND(11&gt;=Assumptions!$B$5,ISNUMBER($X50),$N50&lt;EDATE(Assumptions!$B$9,-Assumptions!$B$6*12)),($P50+$X50)*$V50,$P50*$V50),0)</f>
        <v>9250</v>
      </c>
      <c r="BX50" s="249">
        <f t="shared" si="19"/>
        <v>14110</v>
      </c>
      <c r="BY50" s="249">
        <f>IF(AND(BX50&gt;0,$N50&lt;&gt;""),IF((DATE(Assumptions!$B$4,11,28)-$N50)/365.25&lt;=Assumptions!$B$20,(DATE(Assumptions!$B$4,11,28)-$N50)/365.25*Assumptions!$B$18*BX50,(Assumptions!$B$20*Assumptions!$B$18+((DATE(Assumptions!$B$4,11,28)-$N50)/365.25-Assumptions!$B$20)*Assumptions!$B$19)*BX50),0)</f>
        <v>38664.876796714576</v>
      </c>
      <c r="BZ50" s="249">
        <f>IF(BW50&gt;0,IF($M50="Saudi",MIN(BW50+$Q50*$V50,Assumptions!$B$14)*Assumptions!$B$12,MIN(BW50+$Q50*$V50,Assumptions!$B$14)*Assumptions!$B$13),0)</f>
        <v>0</v>
      </c>
      <c r="CA50" s="249">
        <f>IF(AND(BW50&gt;0,$M50="Non-Saudi"),Assumptions!$B$25,0)</f>
        <v>910.41666666666663</v>
      </c>
      <c r="CB50" s="249">
        <f>IF(AND($D50="Contrat Local",$N50&lt;&gt;""),IF(AND(12&gt;=Assumptions!$B$5,ISNUMBER($X50),$N50&lt;EDATE(Assumptions!$B$9,-Assumptions!$B$6*12)),($P50+$X50)*$V50,$P50*$V50),0)</f>
        <v>9250</v>
      </c>
      <c r="CC50" s="249">
        <f t="shared" si="20"/>
        <v>14110</v>
      </c>
      <c r="CD50" s="249">
        <f>IF(AND(CC50&gt;0,$N50&lt;&gt;""),IF((DATE(Assumptions!$B$4,12,28)-$N50)/365.25&lt;=Assumptions!$B$20,(DATE(Assumptions!$B$4,12,28)-$N50)/365.25*Assumptions!$B$18*CC50,(Assumptions!$B$20*Assumptions!$B$18+((DATE(Assumptions!$B$4,12,28)-$N50)/365.25-Assumptions!$B$20)*Assumptions!$B$19)*CC50),0)</f>
        <v>39823.809034907594</v>
      </c>
      <c r="CE50" s="249">
        <f>IF(CB50&gt;0,IF($M50="Saudi",MIN(CB50+$Q50*$V50,Assumptions!$B$14)*Assumptions!$B$12,MIN(CB50+$Q50*$V50,Assumptions!$B$14)*Assumptions!$B$13),0)</f>
        <v>0</v>
      </c>
      <c r="CF50" s="249">
        <f>IF(AND(CB50&gt;0,$M50="Non-Saudi"),Assumptions!$B$25,0)</f>
        <v>910.41666666666663</v>
      </c>
      <c r="CG50" s="249">
        <f t="shared" si="21"/>
        <v>109000</v>
      </c>
      <c r="CH50" s="249">
        <f t="shared" si="22"/>
        <v>167320</v>
      </c>
      <c r="CI50" s="249">
        <f>CD50-IF(AND(Z50&gt;0,$N50&lt;&gt;""),IF((DATE(Assumptions!$B$4-1,12,28)-$N50)/365.25&lt;=Assumptions!$B$20,(DATE(Assumptions!$B$4-1,12,28)-$N50)/365.25*Assumptions!$B$18*Z50,(Assumptions!$B$20*Assumptions!$B$18+((DATE(Assumptions!$B$4-1,12,28)-$N50)/365.25-Assumptions!$B$20)*Assumptions!$B$19)*Z50),0)</f>
        <v>9864.9589322381908</v>
      </c>
      <c r="CJ50" s="249">
        <f t="shared" si="23"/>
        <v>0</v>
      </c>
      <c r="CK50" s="249">
        <f t="shared" si="24"/>
        <v>10924.999999999998</v>
      </c>
    </row>
    <row r="51" spans="1:89" x14ac:dyDescent="0.2">
      <c r="A51" s="252">
        <v>48</v>
      </c>
      <c r="B51" s="253" t="s">
        <v>380</v>
      </c>
      <c r="C51" s="253" t="s">
        <v>381</v>
      </c>
      <c r="D51" s="253" t="s">
        <v>250</v>
      </c>
      <c r="E51" s="253" t="s">
        <v>767</v>
      </c>
      <c r="F51" s="253" t="s">
        <v>251</v>
      </c>
      <c r="G51" s="253" t="s">
        <v>252</v>
      </c>
      <c r="H51" s="253" t="s">
        <v>253</v>
      </c>
      <c r="I51" s="282" t="s">
        <v>690</v>
      </c>
      <c r="J51" s="253"/>
      <c r="K51" s="253" t="s">
        <v>252</v>
      </c>
      <c r="L51" s="253" t="s">
        <v>255</v>
      </c>
      <c r="M51" s="253" t="str">
        <f t="shared" si="25"/>
        <v>Non-Saudi</v>
      </c>
      <c r="N51" s="254">
        <v>45536</v>
      </c>
      <c r="O51" s="255">
        <v>2.2999999999999998</v>
      </c>
      <c r="P51" s="256">
        <v>7200</v>
      </c>
      <c r="Q51" s="256">
        <v>2500</v>
      </c>
      <c r="R51" s="256">
        <v>500</v>
      </c>
      <c r="S51" s="256"/>
      <c r="T51" s="256"/>
      <c r="U51" s="256">
        <v>10200</v>
      </c>
      <c r="V51" s="257">
        <v>1</v>
      </c>
      <c r="W51" s="253" t="s">
        <v>259</v>
      </c>
      <c r="X51" s="253">
        <v>200</v>
      </c>
      <c r="Y51" s="249">
        <f t="shared" si="1"/>
        <v>7200</v>
      </c>
      <c r="Z51" s="249">
        <f t="shared" si="2"/>
        <v>10200</v>
      </c>
      <c r="AA51" s="249">
        <f>IF(AND(Z51&gt;0,$N51&lt;&gt;""),IF((DATE(Assumptions!$B$4,1,28)-$N51)/365.25&lt;=Assumptions!$B$20,(DATE(Assumptions!$B$4,1,28)-$N51)/365.25*Assumptions!$B$18*Z51,(Assumptions!$B$20*Assumptions!$B$18+((DATE(Assumptions!$B$4,1,28)-$N51)/365.25-Assumptions!$B$20)*Assumptions!$B$19)*Z51),0)</f>
        <v>7177.0020533880897</v>
      </c>
      <c r="AB51" s="249">
        <f>IF(Y51&gt;0,IF($M51="Saudi",MIN(Y51+$Q51*$V51,Assumptions!$B$14)*Assumptions!$B$12,MIN(Y51+$Q51*$V51,Assumptions!$B$14)*Assumptions!$B$13),0)</f>
        <v>0</v>
      </c>
      <c r="AC51" s="249">
        <f>IF(AND(Y51&gt;0,$M51="Non-Saudi"),Assumptions!$B$25,0)</f>
        <v>910.41666666666663</v>
      </c>
      <c r="AD51" s="249">
        <f t="shared" si="3"/>
        <v>7200</v>
      </c>
      <c r="AE51" s="249">
        <f t="shared" si="4"/>
        <v>10200</v>
      </c>
      <c r="AF51" s="249">
        <f>IF(AND(AE51&gt;0,$N51&lt;&gt;""),IF((DATE(Assumptions!$B$4,2,28)-$N51)/365.25&lt;=Assumptions!$B$20,(DATE(Assumptions!$B$4,2,28)-$N51)/365.25*Assumptions!$B$18*AE51,(Assumptions!$B$20*Assumptions!$B$18+((DATE(Assumptions!$B$4,2,28)-$N51)/365.25-Assumptions!$B$20)*Assumptions!$B$19)*AE51),0)</f>
        <v>7609.8562628336758</v>
      </c>
      <c r="AG51" s="249">
        <f>IF(AD51&gt;0,IF($M51="Saudi",MIN(AD51+$Q51*$V51,Assumptions!$B$14)*Assumptions!$B$12,MIN(AD51+$Q51*$V51,Assumptions!$B$14)*Assumptions!$B$13),0)</f>
        <v>0</v>
      </c>
      <c r="AH51" s="249">
        <f>IF(AND(AD51&gt;0,$M51="Non-Saudi"),Assumptions!$B$25,0)</f>
        <v>910.41666666666663</v>
      </c>
      <c r="AI51" s="249">
        <f t="shared" si="5"/>
        <v>7200</v>
      </c>
      <c r="AJ51" s="249">
        <f t="shared" si="6"/>
        <v>10200</v>
      </c>
      <c r="AK51" s="249">
        <f>IF(AND(AJ51&gt;0,$N51&lt;&gt;""),IF((DATE(Assumptions!$B$4,3,28)-$N51)/365.25&lt;=Assumptions!$B$20,(DATE(Assumptions!$B$4,3,28)-$N51)/365.25*Assumptions!$B$18*AJ51,(Assumptions!$B$20*Assumptions!$B$18+((DATE(Assumptions!$B$4,3,28)-$N51)/365.25-Assumptions!$B$20)*Assumptions!$B$19)*AJ51),0)</f>
        <v>8000.8213552361394</v>
      </c>
      <c r="AL51" s="249">
        <f>IF(AI51&gt;0,IF($M51="Saudi",MIN(AI51+$Q51*$V51,Assumptions!$B$14)*Assumptions!$B$12,MIN(AI51+$Q51*$V51,Assumptions!$B$14)*Assumptions!$B$13),0)</f>
        <v>0</v>
      </c>
      <c r="AM51" s="249">
        <f>IF(AND(AI51&gt;0,$M51="Non-Saudi"),Assumptions!$B$25,0)</f>
        <v>910.41666666666663</v>
      </c>
      <c r="AN51" s="249">
        <f t="shared" si="7"/>
        <v>7200</v>
      </c>
      <c r="AO51" s="249">
        <f t="shared" si="8"/>
        <v>10200</v>
      </c>
      <c r="AP51" s="249">
        <f>IF(AND(AO51&gt;0,$N51&lt;&gt;""),IF((DATE(Assumptions!$B$4,4,28)-$N51)/365.25&lt;=Assumptions!$B$20,(DATE(Assumptions!$B$4,4,28)-$N51)/365.25*Assumptions!$B$18*AO51,(Assumptions!$B$20*Assumptions!$B$18+((DATE(Assumptions!$B$4,4,28)-$N51)/365.25-Assumptions!$B$20)*Assumptions!$B$19)*AO51),0)</f>
        <v>8433.6755646817255</v>
      </c>
      <c r="AQ51" s="249">
        <f>IF(AN51&gt;0,IF($M51="Saudi",MIN(AN51+$Q51*$V51,Assumptions!$B$14)*Assumptions!$B$12,MIN(AN51+$Q51*$V51,Assumptions!$B$14)*Assumptions!$B$13),0)</f>
        <v>0</v>
      </c>
      <c r="AR51" s="249">
        <f>IF(AND(AN51&gt;0,$M51="Non-Saudi"),Assumptions!$B$25,0)</f>
        <v>910.41666666666663</v>
      </c>
      <c r="AS51" s="249">
        <f t="shared" si="9"/>
        <v>7200</v>
      </c>
      <c r="AT51" s="249">
        <f t="shared" si="10"/>
        <v>10200</v>
      </c>
      <c r="AU51" s="249">
        <f>IF(AND(AT51&gt;0,$N51&lt;&gt;""),IF((DATE(Assumptions!$B$4,5,28)-$N51)/365.25&lt;=Assumptions!$B$20,(DATE(Assumptions!$B$4,5,28)-$N51)/365.25*Assumptions!$B$18*AT51,(Assumptions!$B$20*Assumptions!$B$18+((DATE(Assumptions!$B$4,5,28)-$N51)/365.25-Assumptions!$B$20)*Assumptions!$B$19)*AT51),0)</f>
        <v>8852.5667351129359</v>
      </c>
      <c r="AV51" s="249">
        <f>IF(AS51&gt;0,IF($M51="Saudi",MIN(AS51+$Q51*$V51,Assumptions!$B$14)*Assumptions!$B$12,MIN(AS51+$Q51*$V51,Assumptions!$B$14)*Assumptions!$B$13),0)</f>
        <v>0</v>
      </c>
      <c r="AW51" s="249">
        <f>IF(AND(AS51&gt;0,$M51="Non-Saudi"),Assumptions!$B$25,0)</f>
        <v>910.41666666666663</v>
      </c>
      <c r="AX51" s="249">
        <f t="shared" si="11"/>
        <v>7200</v>
      </c>
      <c r="AY51" s="249">
        <f t="shared" si="12"/>
        <v>10200</v>
      </c>
      <c r="AZ51" s="249">
        <f>IF(AND(AY51&gt;0,$N51&lt;&gt;""),IF((DATE(Assumptions!$B$4,6,28)-$N51)/365.25&lt;=Assumptions!$B$20,(DATE(Assumptions!$B$4,6,28)-$N51)/365.25*Assumptions!$B$18*AY51,(Assumptions!$B$20*Assumptions!$B$18+((DATE(Assumptions!$B$4,6,28)-$N51)/365.25-Assumptions!$B$20)*Assumptions!$B$19)*AY51),0)</f>
        <v>9285.420944558522</v>
      </c>
      <c r="BA51" s="249">
        <f>IF(AX51&gt;0,IF($M51="Saudi",MIN(AX51+$Q51*$V51,Assumptions!$B$14)*Assumptions!$B$12,MIN(AX51+$Q51*$V51,Assumptions!$B$14)*Assumptions!$B$13),0)</f>
        <v>0</v>
      </c>
      <c r="BB51" s="249">
        <f>IF(AND(AX51&gt;0,$M51="Non-Saudi"),Assumptions!$B$25,0)</f>
        <v>910.41666666666663</v>
      </c>
      <c r="BC51" s="249">
        <f t="shared" si="13"/>
        <v>7200</v>
      </c>
      <c r="BD51" s="249">
        <f t="shared" si="14"/>
        <v>10200</v>
      </c>
      <c r="BE51" s="249">
        <f>IF(AND(BD51&gt;0,$N51&lt;&gt;""),IF((DATE(Assumptions!$B$4,7,28)-$N51)/365.25&lt;=Assumptions!$B$20,(DATE(Assumptions!$B$4,7,28)-$N51)/365.25*Assumptions!$B$18*BD51,(Assumptions!$B$20*Assumptions!$B$18+((DATE(Assumptions!$B$4,7,28)-$N51)/365.25-Assumptions!$B$20)*Assumptions!$B$19)*BD51),0)</f>
        <v>9704.3121149897343</v>
      </c>
      <c r="BF51" s="249">
        <f>IF(BC51&gt;0,IF($M51="Saudi",MIN(BC51+$Q51*$V51,Assumptions!$B$14)*Assumptions!$B$12,MIN(BC51+$Q51*$V51,Assumptions!$B$14)*Assumptions!$B$13),0)</f>
        <v>0</v>
      </c>
      <c r="BG51" s="249">
        <f>IF(AND(BC51&gt;0,$M51="Non-Saudi"),Assumptions!$B$25,0)</f>
        <v>910.41666666666663</v>
      </c>
      <c r="BH51" s="249">
        <f t="shared" si="15"/>
        <v>7200</v>
      </c>
      <c r="BI51" s="249">
        <f t="shared" si="16"/>
        <v>10200</v>
      </c>
      <c r="BJ51" s="249">
        <f>IF(AND(BI51&gt;0,$N51&lt;&gt;""),IF((DATE(Assumptions!$B$4,8,28)-$N51)/365.25&lt;=Assumptions!$B$20,(DATE(Assumptions!$B$4,8,28)-$N51)/365.25*Assumptions!$B$18*BI51,(Assumptions!$B$20*Assumptions!$B$18+((DATE(Assumptions!$B$4,8,28)-$N51)/365.25-Assumptions!$B$20)*Assumptions!$B$19)*BI51),0)</f>
        <v>10137.166324435319</v>
      </c>
      <c r="BK51" s="249">
        <f>IF(BH51&gt;0,IF($M51="Saudi",MIN(BH51+$Q51*$V51,Assumptions!$B$14)*Assumptions!$B$12,MIN(BH51+$Q51*$V51,Assumptions!$B$14)*Assumptions!$B$13),0)</f>
        <v>0</v>
      </c>
      <c r="BL51" s="249">
        <f>IF(AND(BH51&gt;0,$M51="Non-Saudi"),Assumptions!$B$25,0)</f>
        <v>910.41666666666663</v>
      </c>
      <c r="BM51" s="249">
        <f>IF(AND($D51="Contrat Local",$N51&lt;&gt;""),IF(AND(9&gt;=Assumptions!$B$5,ISNUMBER($X51),$N51&lt;EDATE(Assumptions!$B$9,-Assumptions!$B$6*12)),($P51+$X51)*$V51,$P51*$V51),0)</f>
        <v>7400</v>
      </c>
      <c r="BN51" s="249">
        <f t="shared" si="17"/>
        <v>10400</v>
      </c>
      <c r="BO51" s="249">
        <f>IF(AND(BN51&gt;0,$N51&lt;&gt;""),IF((DATE(Assumptions!$B$4,9,28)-$N51)/365.25&lt;=Assumptions!$B$20,(DATE(Assumptions!$B$4,9,28)-$N51)/365.25*Assumptions!$B$18*BN51,(Assumptions!$B$20*Assumptions!$B$18+((DATE(Assumptions!$B$4,9,28)-$N51)/365.25-Assumptions!$B$20)*Assumptions!$B$19)*BN51),0)</f>
        <v>10777.275838466803</v>
      </c>
      <c r="BP51" s="249">
        <f>IF(BM51&gt;0,IF($M51="Saudi",MIN(BM51+$Q51*$V51,Assumptions!$B$14)*Assumptions!$B$12,MIN(BM51+$Q51*$V51,Assumptions!$B$14)*Assumptions!$B$13),0)</f>
        <v>0</v>
      </c>
      <c r="BQ51" s="249">
        <f>IF(AND(BM51&gt;0,$M51="Non-Saudi"),Assumptions!$B$25,0)</f>
        <v>910.41666666666663</v>
      </c>
      <c r="BR51" s="249">
        <f>IF(AND($D51="Contrat Local",$N51&lt;&gt;""),IF(AND(10&gt;=Assumptions!$B$5,ISNUMBER($X51),$N51&lt;EDATE(Assumptions!$B$9,-Assumptions!$B$6*12)),($P51+$X51)*$V51,$P51*$V51),0)</f>
        <v>7400</v>
      </c>
      <c r="BS51" s="249">
        <f t="shared" si="18"/>
        <v>10400</v>
      </c>
      <c r="BT51" s="249">
        <f>IF(AND(BS51&gt;0,$N51&lt;&gt;""),IF((DATE(Assumptions!$B$4,10,28)-$N51)/365.25&lt;=Assumptions!$B$20,(DATE(Assumptions!$B$4,10,28)-$N51)/365.25*Assumptions!$B$18*BS51,(Assumptions!$B$20*Assumptions!$B$18+((DATE(Assumptions!$B$4,10,28)-$N51)/365.25-Assumptions!$B$20)*Assumptions!$B$19)*BS51),0)</f>
        <v>11204.380561259411</v>
      </c>
      <c r="BU51" s="249">
        <f>IF(BR51&gt;0,IF($M51="Saudi",MIN(BR51+$Q51*$V51,Assumptions!$B$14)*Assumptions!$B$12,MIN(BR51+$Q51*$V51,Assumptions!$B$14)*Assumptions!$B$13),0)</f>
        <v>0</v>
      </c>
      <c r="BV51" s="249">
        <f>IF(AND(BR51&gt;0,$M51="Non-Saudi"),Assumptions!$B$25,0)</f>
        <v>910.41666666666663</v>
      </c>
      <c r="BW51" s="249">
        <f>IF(AND($D51="Contrat Local",$N51&lt;&gt;""),IF(AND(11&gt;=Assumptions!$B$5,ISNUMBER($X51),$N51&lt;EDATE(Assumptions!$B$9,-Assumptions!$B$6*12)),($P51+$X51)*$V51,$P51*$V51),0)</f>
        <v>7400</v>
      </c>
      <c r="BX51" s="249">
        <f t="shared" si="19"/>
        <v>10400</v>
      </c>
      <c r="BY51" s="249">
        <f>IF(AND(BX51&gt;0,$N51&lt;&gt;""),IF((DATE(Assumptions!$B$4,11,28)-$N51)/365.25&lt;=Assumptions!$B$20,(DATE(Assumptions!$B$4,11,28)-$N51)/365.25*Assumptions!$B$18*BX51,(Assumptions!$B$20*Assumptions!$B$18+((DATE(Assumptions!$B$4,11,28)-$N51)/365.25-Assumptions!$B$20)*Assumptions!$B$19)*BX51),0)</f>
        <v>11645.722108145106</v>
      </c>
      <c r="BZ51" s="249">
        <f>IF(BW51&gt;0,IF($M51="Saudi",MIN(BW51+$Q51*$V51,Assumptions!$B$14)*Assumptions!$B$12,MIN(BW51+$Q51*$V51,Assumptions!$B$14)*Assumptions!$B$13),0)</f>
        <v>0</v>
      </c>
      <c r="CA51" s="249">
        <f>IF(AND(BW51&gt;0,$M51="Non-Saudi"),Assumptions!$B$25,0)</f>
        <v>910.41666666666663</v>
      </c>
      <c r="CB51" s="249">
        <f>IF(AND($D51="Contrat Local",$N51&lt;&gt;""),IF(AND(12&gt;=Assumptions!$B$5,ISNUMBER($X51),$N51&lt;EDATE(Assumptions!$B$9,-Assumptions!$B$6*12)),($P51+$X51)*$V51,$P51*$V51),0)</f>
        <v>7400</v>
      </c>
      <c r="CC51" s="249">
        <f t="shared" si="20"/>
        <v>10400</v>
      </c>
      <c r="CD51" s="249">
        <f>IF(AND(CC51&gt;0,$N51&lt;&gt;""),IF((DATE(Assumptions!$B$4,12,28)-$N51)/365.25&lt;=Assumptions!$B$20,(DATE(Assumptions!$B$4,12,28)-$N51)/365.25*Assumptions!$B$18*CC51,(Assumptions!$B$20*Assumptions!$B$18+((DATE(Assumptions!$B$4,12,28)-$N51)/365.25-Assumptions!$B$20)*Assumptions!$B$19)*CC51),0)</f>
        <v>12072.826830937714</v>
      </c>
      <c r="CE51" s="249">
        <f>IF(CB51&gt;0,IF($M51="Saudi",MIN(CB51+$Q51*$V51,Assumptions!$B$14)*Assumptions!$B$12,MIN(CB51+$Q51*$V51,Assumptions!$B$14)*Assumptions!$B$13),0)</f>
        <v>0</v>
      </c>
      <c r="CF51" s="249">
        <f>IF(AND(CB51&gt;0,$M51="Non-Saudi"),Assumptions!$B$25,0)</f>
        <v>910.41666666666663</v>
      </c>
      <c r="CG51" s="249">
        <f t="shared" si="21"/>
        <v>87200</v>
      </c>
      <c r="CH51" s="249">
        <f t="shared" si="22"/>
        <v>123200</v>
      </c>
      <c r="CI51" s="249">
        <f>CD51-IF(AND(Z51&gt;0,$N51&lt;&gt;""),IF((DATE(Assumptions!$B$4-1,12,28)-$N51)/365.25&lt;=Assumptions!$B$20,(DATE(Assumptions!$B$4-1,12,28)-$N51)/365.25*Assumptions!$B$18*Z51,(Assumptions!$B$20*Assumptions!$B$18+((DATE(Assumptions!$B$4-1,12,28)-$N51)/365.25-Assumptions!$B$20)*Assumptions!$B$19)*Z51),0)</f>
        <v>5328.678986995209</v>
      </c>
      <c r="CJ51" s="249">
        <f t="shared" si="23"/>
        <v>0</v>
      </c>
      <c r="CK51" s="249">
        <f t="shared" si="24"/>
        <v>10924.999999999998</v>
      </c>
    </row>
    <row r="52" spans="1:89" x14ac:dyDescent="0.2">
      <c r="A52" s="264">
        <v>49</v>
      </c>
      <c r="B52" s="265" t="s">
        <v>382</v>
      </c>
      <c r="C52" s="265" t="s">
        <v>383</v>
      </c>
      <c r="D52" s="265" t="s">
        <v>250</v>
      </c>
      <c r="E52" s="265" t="s">
        <v>767</v>
      </c>
      <c r="F52" s="265" t="s">
        <v>302</v>
      </c>
      <c r="G52" s="265" t="s">
        <v>8</v>
      </c>
      <c r="H52" s="265" t="s">
        <v>265</v>
      </c>
      <c r="I52" s="284" t="s">
        <v>691</v>
      </c>
      <c r="J52" s="265" t="s">
        <v>58</v>
      </c>
      <c r="K52" s="265" t="s">
        <v>8</v>
      </c>
      <c r="L52" s="265" t="s">
        <v>255</v>
      </c>
      <c r="M52" s="265" t="str">
        <f t="shared" si="25"/>
        <v>Non-Saudi</v>
      </c>
      <c r="N52" s="266">
        <v>44805</v>
      </c>
      <c r="O52" s="267">
        <v>4.3</v>
      </c>
      <c r="P52" s="268">
        <v>8750</v>
      </c>
      <c r="Q52" s="268">
        <v>2500</v>
      </c>
      <c r="R52" s="268">
        <v>500</v>
      </c>
      <c r="S52" s="268"/>
      <c r="T52" s="268"/>
      <c r="U52" s="268">
        <v>11750</v>
      </c>
      <c r="V52" s="269">
        <v>1</v>
      </c>
      <c r="W52" s="265" t="s">
        <v>259</v>
      </c>
      <c r="X52" s="265">
        <v>250</v>
      </c>
      <c r="Y52" s="249">
        <f t="shared" si="1"/>
        <v>8750</v>
      </c>
      <c r="Z52" s="249">
        <f t="shared" si="2"/>
        <v>11750</v>
      </c>
      <c r="AA52" s="249">
        <f>IF(AND(Z52&gt;0,$N52&lt;&gt;""),IF((DATE(Assumptions!$B$4,1,28)-$N52)/365.25&lt;=Assumptions!$B$20,(DATE(Assumptions!$B$4,1,28)-$N52)/365.25*Assumptions!$B$18*Z52,(Assumptions!$B$20*Assumptions!$B$18+((DATE(Assumptions!$B$4,1,28)-$N52)/365.25-Assumptions!$B$20)*Assumptions!$B$19)*Z52),0)</f>
        <v>20025.667351129363</v>
      </c>
      <c r="AB52" s="249">
        <f>IF(Y52&gt;0,IF($M52="Saudi",MIN(Y52+$Q52*$V52,Assumptions!$B$14)*Assumptions!$B$12,MIN(Y52+$Q52*$V52,Assumptions!$B$14)*Assumptions!$B$13),0)</f>
        <v>0</v>
      </c>
      <c r="AC52" s="249">
        <f>IF(AND(Y52&gt;0,$M52="Non-Saudi"),Assumptions!$B$25,0)</f>
        <v>910.41666666666663</v>
      </c>
      <c r="AD52" s="249">
        <f t="shared" si="3"/>
        <v>8750</v>
      </c>
      <c r="AE52" s="249">
        <f t="shared" si="4"/>
        <v>11750</v>
      </c>
      <c r="AF52" s="249">
        <f>IF(AND(AE52&gt;0,$N52&lt;&gt;""),IF((DATE(Assumptions!$B$4,2,28)-$N52)/365.25&lt;=Assumptions!$B$20,(DATE(Assumptions!$B$4,2,28)-$N52)/365.25*Assumptions!$B$18*AE52,(Assumptions!$B$20*Assumptions!$B$18+((DATE(Assumptions!$B$4,2,28)-$N52)/365.25-Assumptions!$B$20)*Assumptions!$B$19)*AE52),0)</f>
        <v>20524.298425735797</v>
      </c>
      <c r="AG52" s="249">
        <f>IF(AD52&gt;0,IF($M52="Saudi",MIN(AD52+$Q52*$V52,Assumptions!$B$14)*Assumptions!$B$12,MIN(AD52+$Q52*$V52,Assumptions!$B$14)*Assumptions!$B$13),0)</f>
        <v>0</v>
      </c>
      <c r="AH52" s="249">
        <f>IF(AND(AD52&gt;0,$M52="Non-Saudi"),Assumptions!$B$25,0)</f>
        <v>910.41666666666663</v>
      </c>
      <c r="AI52" s="249">
        <f t="shared" si="5"/>
        <v>8750</v>
      </c>
      <c r="AJ52" s="249">
        <f t="shared" si="6"/>
        <v>11750</v>
      </c>
      <c r="AK52" s="249">
        <f>IF(AND(AJ52&gt;0,$N52&lt;&gt;""),IF((DATE(Assumptions!$B$4,3,28)-$N52)/365.25&lt;=Assumptions!$B$20,(DATE(Assumptions!$B$4,3,28)-$N52)/365.25*Assumptions!$B$18*AJ52,(Assumptions!$B$20*Assumptions!$B$18+((DATE(Assumptions!$B$4,3,28)-$N52)/365.25-Assumptions!$B$20)*Assumptions!$B$19)*AJ52),0)</f>
        <v>20974.674880219027</v>
      </c>
      <c r="AL52" s="249">
        <f>IF(AI52&gt;0,IF($M52="Saudi",MIN(AI52+$Q52*$V52,Assumptions!$B$14)*Assumptions!$B$12,MIN(AI52+$Q52*$V52,Assumptions!$B$14)*Assumptions!$B$13),0)</f>
        <v>0</v>
      </c>
      <c r="AM52" s="249">
        <f>IF(AND(AI52&gt;0,$M52="Non-Saudi"),Assumptions!$B$25,0)</f>
        <v>910.41666666666663</v>
      </c>
      <c r="AN52" s="249">
        <f t="shared" si="7"/>
        <v>8750</v>
      </c>
      <c r="AO52" s="249">
        <f t="shared" si="8"/>
        <v>11750</v>
      </c>
      <c r="AP52" s="249">
        <f>IF(AND(AO52&gt;0,$N52&lt;&gt;""),IF((DATE(Assumptions!$B$4,4,28)-$N52)/365.25&lt;=Assumptions!$B$20,(DATE(Assumptions!$B$4,4,28)-$N52)/365.25*Assumptions!$B$18*AO52,(Assumptions!$B$20*Assumptions!$B$18+((DATE(Assumptions!$B$4,4,28)-$N52)/365.25-Assumptions!$B$20)*Assumptions!$B$19)*AO52),0)</f>
        <v>21473.305954825464</v>
      </c>
      <c r="AQ52" s="249">
        <f>IF(AN52&gt;0,IF($M52="Saudi",MIN(AN52+$Q52*$V52,Assumptions!$B$14)*Assumptions!$B$12,MIN(AN52+$Q52*$V52,Assumptions!$B$14)*Assumptions!$B$13),0)</f>
        <v>0</v>
      </c>
      <c r="AR52" s="249">
        <f>IF(AND(AN52&gt;0,$M52="Non-Saudi"),Assumptions!$B$25,0)</f>
        <v>910.41666666666663</v>
      </c>
      <c r="AS52" s="249">
        <f t="shared" si="9"/>
        <v>8750</v>
      </c>
      <c r="AT52" s="249">
        <f t="shared" si="10"/>
        <v>11750</v>
      </c>
      <c r="AU52" s="249">
        <f>IF(AND(AT52&gt;0,$N52&lt;&gt;""),IF((DATE(Assumptions!$B$4,5,28)-$N52)/365.25&lt;=Assumptions!$B$20,(DATE(Assumptions!$B$4,5,28)-$N52)/365.25*Assumptions!$B$18*AT52,(Assumptions!$B$20*Assumptions!$B$18+((DATE(Assumptions!$B$4,5,28)-$N52)/365.25-Assumptions!$B$20)*Assumptions!$B$19)*AT52),0)</f>
        <v>21955.852156057495</v>
      </c>
      <c r="AV52" s="249">
        <f>IF(AS52&gt;0,IF($M52="Saudi",MIN(AS52+$Q52*$V52,Assumptions!$B$14)*Assumptions!$B$12,MIN(AS52+$Q52*$V52,Assumptions!$B$14)*Assumptions!$B$13),0)</f>
        <v>0</v>
      </c>
      <c r="AW52" s="249">
        <f>IF(AND(AS52&gt;0,$M52="Non-Saudi"),Assumptions!$B$25,0)</f>
        <v>910.41666666666663</v>
      </c>
      <c r="AX52" s="249">
        <f t="shared" si="11"/>
        <v>8750</v>
      </c>
      <c r="AY52" s="249">
        <f t="shared" si="12"/>
        <v>11750</v>
      </c>
      <c r="AZ52" s="249">
        <f>IF(AND(AY52&gt;0,$N52&lt;&gt;""),IF((DATE(Assumptions!$B$4,6,28)-$N52)/365.25&lt;=Assumptions!$B$20,(DATE(Assumptions!$B$4,6,28)-$N52)/365.25*Assumptions!$B$18*AY52,(Assumptions!$B$20*Assumptions!$B$18+((DATE(Assumptions!$B$4,6,28)-$N52)/365.25-Assumptions!$B$20)*Assumptions!$B$19)*AY52),0)</f>
        <v>22454.483230663929</v>
      </c>
      <c r="BA52" s="249">
        <f>IF(AX52&gt;0,IF($M52="Saudi",MIN(AX52+$Q52*$V52,Assumptions!$B$14)*Assumptions!$B$12,MIN(AX52+$Q52*$V52,Assumptions!$B$14)*Assumptions!$B$13),0)</f>
        <v>0</v>
      </c>
      <c r="BB52" s="249">
        <f>IF(AND(AX52&gt;0,$M52="Non-Saudi"),Assumptions!$B$25,0)</f>
        <v>910.41666666666663</v>
      </c>
      <c r="BC52" s="249">
        <f t="shared" si="13"/>
        <v>8750</v>
      </c>
      <c r="BD52" s="249">
        <f t="shared" si="14"/>
        <v>11750</v>
      </c>
      <c r="BE52" s="249">
        <f>IF(AND(BD52&gt;0,$N52&lt;&gt;""),IF((DATE(Assumptions!$B$4,7,28)-$N52)/365.25&lt;=Assumptions!$B$20,(DATE(Assumptions!$B$4,7,28)-$N52)/365.25*Assumptions!$B$18*BD52,(Assumptions!$B$20*Assumptions!$B$18+((DATE(Assumptions!$B$4,7,28)-$N52)/365.25-Assumptions!$B$20)*Assumptions!$B$19)*BD52),0)</f>
        <v>22937.02943189596</v>
      </c>
      <c r="BF52" s="249">
        <f>IF(BC52&gt;0,IF($M52="Saudi",MIN(BC52+$Q52*$V52,Assumptions!$B$14)*Assumptions!$B$12,MIN(BC52+$Q52*$V52,Assumptions!$B$14)*Assumptions!$B$13),0)</f>
        <v>0</v>
      </c>
      <c r="BG52" s="249">
        <f>IF(AND(BC52&gt;0,$M52="Non-Saudi"),Assumptions!$B$25,0)</f>
        <v>910.41666666666663</v>
      </c>
      <c r="BH52" s="249">
        <f t="shared" si="15"/>
        <v>8750</v>
      </c>
      <c r="BI52" s="249">
        <f t="shared" si="16"/>
        <v>11750</v>
      </c>
      <c r="BJ52" s="249">
        <f>IF(AND(BI52&gt;0,$N52&lt;&gt;""),IF((DATE(Assumptions!$B$4,8,28)-$N52)/365.25&lt;=Assumptions!$B$20,(DATE(Assumptions!$B$4,8,28)-$N52)/365.25*Assumptions!$B$18*BI52,(Assumptions!$B$20*Assumptions!$B$18+((DATE(Assumptions!$B$4,8,28)-$N52)/365.25-Assumptions!$B$20)*Assumptions!$B$19)*BI52),0)</f>
        <v>23435.660506502398</v>
      </c>
      <c r="BK52" s="249">
        <f>IF(BH52&gt;0,IF($M52="Saudi",MIN(BH52+$Q52*$V52,Assumptions!$B$14)*Assumptions!$B$12,MIN(BH52+$Q52*$V52,Assumptions!$B$14)*Assumptions!$B$13),0)</f>
        <v>0</v>
      </c>
      <c r="BL52" s="249">
        <f>IF(AND(BH52&gt;0,$M52="Non-Saudi"),Assumptions!$B$25,0)</f>
        <v>910.41666666666663</v>
      </c>
      <c r="BM52" s="249">
        <f>IF(AND($D52="Contrat Local",$N52&lt;&gt;""),IF(AND(9&gt;=Assumptions!$B$5,ISNUMBER($X52),$N52&lt;EDATE(Assumptions!$B$9,-Assumptions!$B$6*12)),($P52+$X52)*$V52,$P52*$V52),0)</f>
        <v>9000</v>
      </c>
      <c r="BN52" s="249">
        <f t="shared" si="17"/>
        <v>12000</v>
      </c>
      <c r="BO52" s="249">
        <f>IF(AND(BN52&gt;0,$N52&lt;&gt;""),IF((DATE(Assumptions!$B$4,9,28)-$N52)/365.25&lt;=Assumptions!$B$20,(DATE(Assumptions!$B$4,9,28)-$N52)/365.25*Assumptions!$B$18*BN52,(Assumptions!$B$20*Assumptions!$B$18+((DATE(Assumptions!$B$4,9,28)-$N52)/365.25-Assumptions!$B$20)*Assumptions!$B$19)*BN52),0)</f>
        <v>24443.531827515399</v>
      </c>
      <c r="BP52" s="249">
        <f>IF(BM52&gt;0,IF($M52="Saudi",MIN(BM52+$Q52*$V52,Assumptions!$B$14)*Assumptions!$B$12,MIN(BM52+$Q52*$V52,Assumptions!$B$14)*Assumptions!$B$13),0)</f>
        <v>0</v>
      </c>
      <c r="BQ52" s="249">
        <f>IF(AND(BM52&gt;0,$M52="Non-Saudi"),Assumptions!$B$25,0)</f>
        <v>910.41666666666663</v>
      </c>
      <c r="BR52" s="249">
        <f>IF(AND($D52="Contrat Local",$N52&lt;&gt;""),IF(AND(10&gt;=Assumptions!$B$5,ISNUMBER($X52),$N52&lt;EDATE(Assumptions!$B$9,-Assumptions!$B$6*12)),($P52+$X52)*$V52,$P52*$V52),0)</f>
        <v>9000</v>
      </c>
      <c r="BS52" s="249">
        <f t="shared" si="18"/>
        <v>12000</v>
      </c>
      <c r="BT52" s="249">
        <f>IF(AND(BS52&gt;0,$N52&lt;&gt;""),IF((DATE(Assumptions!$B$4,10,28)-$N52)/365.25&lt;=Assumptions!$B$20,(DATE(Assumptions!$B$4,10,28)-$N52)/365.25*Assumptions!$B$18*BS52,(Assumptions!$B$20*Assumptions!$B$18+((DATE(Assumptions!$B$4,10,28)-$N52)/365.25-Assumptions!$B$20)*Assumptions!$B$19)*BS52),0)</f>
        <v>24936.344969199177</v>
      </c>
      <c r="BU52" s="249">
        <f>IF(BR52&gt;0,IF($M52="Saudi",MIN(BR52+$Q52*$V52,Assumptions!$B$14)*Assumptions!$B$12,MIN(BR52+$Q52*$V52,Assumptions!$B$14)*Assumptions!$B$13),0)</f>
        <v>0</v>
      </c>
      <c r="BV52" s="249">
        <f>IF(AND(BR52&gt;0,$M52="Non-Saudi"),Assumptions!$B$25,0)</f>
        <v>910.41666666666663</v>
      </c>
      <c r="BW52" s="249">
        <f>IF(AND($D52="Contrat Local",$N52&lt;&gt;""),IF(AND(11&gt;=Assumptions!$B$5,ISNUMBER($X52),$N52&lt;EDATE(Assumptions!$B$9,-Assumptions!$B$6*12)),($P52+$X52)*$V52,$P52*$V52),0)</f>
        <v>9000</v>
      </c>
      <c r="BX52" s="249">
        <f t="shared" si="19"/>
        <v>12000</v>
      </c>
      <c r="BY52" s="249">
        <f>IF(AND(BX52&gt;0,$N52&lt;&gt;""),IF((DATE(Assumptions!$B$4,11,28)-$N52)/365.25&lt;=Assumptions!$B$20,(DATE(Assumptions!$B$4,11,28)-$N52)/365.25*Assumptions!$B$18*BX52,(Assumptions!$B$20*Assumptions!$B$18+((DATE(Assumptions!$B$4,11,28)-$N52)/365.25-Assumptions!$B$20)*Assumptions!$B$19)*BX52),0)</f>
        <v>25445.585215605748</v>
      </c>
      <c r="BZ52" s="249">
        <f>IF(BW52&gt;0,IF($M52="Saudi",MIN(BW52+$Q52*$V52,Assumptions!$B$14)*Assumptions!$B$12,MIN(BW52+$Q52*$V52,Assumptions!$B$14)*Assumptions!$B$13),0)</f>
        <v>0</v>
      </c>
      <c r="CA52" s="249">
        <f>IF(AND(BW52&gt;0,$M52="Non-Saudi"),Assumptions!$B$25,0)</f>
        <v>910.41666666666663</v>
      </c>
      <c r="CB52" s="249">
        <f>IF(AND($D52="Contrat Local",$N52&lt;&gt;""),IF(AND(12&gt;=Assumptions!$B$5,ISNUMBER($X52),$N52&lt;EDATE(Assumptions!$B$9,-Assumptions!$B$6*12)),($P52+$X52)*$V52,$P52*$V52),0)</f>
        <v>9000</v>
      </c>
      <c r="CC52" s="249">
        <f t="shared" si="20"/>
        <v>12000</v>
      </c>
      <c r="CD52" s="249">
        <f>IF(AND(CC52&gt;0,$N52&lt;&gt;""),IF((DATE(Assumptions!$B$4,12,28)-$N52)/365.25&lt;=Assumptions!$B$20,(DATE(Assumptions!$B$4,12,28)-$N52)/365.25*Assumptions!$B$18*CC52,(Assumptions!$B$20*Assumptions!$B$18+((DATE(Assumptions!$B$4,12,28)-$N52)/365.25-Assumptions!$B$20)*Assumptions!$B$19)*CC52),0)</f>
        <v>25938.398357289527</v>
      </c>
      <c r="CE52" s="249">
        <f>IF(CB52&gt;0,IF($M52="Saudi",MIN(CB52+$Q52*$V52,Assumptions!$B$14)*Assumptions!$B$12,MIN(CB52+$Q52*$V52,Assumptions!$B$14)*Assumptions!$B$13),0)</f>
        <v>0</v>
      </c>
      <c r="CF52" s="249">
        <f>IF(AND(CB52&gt;0,$M52="Non-Saudi"),Assumptions!$B$25,0)</f>
        <v>910.41666666666663</v>
      </c>
      <c r="CG52" s="249">
        <f t="shared" si="21"/>
        <v>106000</v>
      </c>
      <c r="CH52" s="249">
        <f t="shared" si="22"/>
        <v>142000</v>
      </c>
      <c r="CI52" s="249">
        <f>CD52-IF(AND(Z52&gt;0,$N52&lt;&gt;""),IF((DATE(Assumptions!$B$4-1,12,28)-$N52)/365.25&lt;=Assumptions!$B$20,(DATE(Assumptions!$B$4-1,12,28)-$N52)/365.25*Assumptions!$B$18*Z52,(Assumptions!$B$20*Assumptions!$B$18+((DATE(Assumptions!$B$4-1,12,28)-$N52)/365.25-Assumptions!$B$20)*Assumptions!$B$19)*Z52),0)</f>
        <v>6411.3620807665975</v>
      </c>
      <c r="CJ52" s="249">
        <f t="shared" si="23"/>
        <v>0</v>
      </c>
      <c r="CK52" s="249">
        <f t="shared" si="24"/>
        <v>10924.999999999998</v>
      </c>
    </row>
    <row r="53" spans="1:89" x14ac:dyDescent="0.2">
      <c r="A53" s="276">
        <v>50</v>
      </c>
      <c r="B53" s="277" t="s">
        <v>384</v>
      </c>
      <c r="C53" s="277" t="s">
        <v>385</v>
      </c>
      <c r="D53" s="277" t="s">
        <v>250</v>
      </c>
      <c r="E53" s="277" t="s">
        <v>767</v>
      </c>
      <c r="F53" s="277" t="s">
        <v>315</v>
      </c>
      <c r="G53" s="277" t="s">
        <v>303</v>
      </c>
      <c r="H53" s="277" t="s">
        <v>371</v>
      </c>
      <c r="I53" s="287" t="s">
        <v>691</v>
      </c>
      <c r="J53" s="277" t="s">
        <v>227</v>
      </c>
      <c r="K53" s="277" t="s">
        <v>254</v>
      </c>
      <c r="L53" s="277" t="s">
        <v>255</v>
      </c>
      <c r="M53" s="277" t="str">
        <f t="shared" si="25"/>
        <v>Non-Saudi</v>
      </c>
      <c r="N53" s="278">
        <v>43054</v>
      </c>
      <c r="O53" s="279">
        <v>9.1</v>
      </c>
      <c r="P53" s="280">
        <v>9250</v>
      </c>
      <c r="Q53" s="280">
        <v>2500</v>
      </c>
      <c r="R53" s="280">
        <v>500</v>
      </c>
      <c r="S53" s="280"/>
      <c r="T53" s="280">
        <v>1100</v>
      </c>
      <c r="U53" s="280">
        <v>13350</v>
      </c>
      <c r="V53" s="281">
        <v>1</v>
      </c>
      <c r="W53" s="277" t="s">
        <v>259</v>
      </c>
      <c r="X53" s="277">
        <v>250</v>
      </c>
      <c r="Y53" s="249">
        <f t="shared" si="1"/>
        <v>9250</v>
      </c>
      <c r="Z53" s="249">
        <f t="shared" si="2"/>
        <v>13350</v>
      </c>
      <c r="AA53" s="249">
        <f>IF(AND(Z53&gt;0,$N53&lt;&gt;""),IF((DATE(Assumptions!$B$4,1,28)-$N53)/365.25&lt;=Assumptions!$B$20,(DATE(Assumptions!$B$4,1,28)-$N53)/365.25*Assumptions!$B$18*Z53,(Assumptions!$B$20*Assumptions!$B$18+((DATE(Assumptions!$B$4,1,28)-$N53)/365.25-Assumptions!$B$20)*Assumptions!$B$19)*Z53),0)</f>
        <v>76129.72279260779</v>
      </c>
      <c r="AB53" s="249">
        <f>IF(Y53&gt;0,IF($M53="Saudi",MIN(Y53+$Q53*$V53,Assumptions!$B$14)*Assumptions!$B$12,MIN(Y53+$Q53*$V53,Assumptions!$B$14)*Assumptions!$B$13),0)</f>
        <v>0</v>
      </c>
      <c r="AC53" s="249">
        <f>IF(AND(Y53&gt;0,$M53="Non-Saudi"),Assumptions!$B$25,0)</f>
        <v>910.41666666666663</v>
      </c>
      <c r="AD53" s="249">
        <f t="shared" si="3"/>
        <v>9250</v>
      </c>
      <c r="AE53" s="249">
        <f t="shared" si="4"/>
        <v>13350</v>
      </c>
      <c r="AF53" s="249">
        <f>IF(AND(AE53&gt;0,$N53&lt;&gt;""),IF((DATE(Assumptions!$B$4,2,28)-$N53)/365.25&lt;=Assumptions!$B$20,(DATE(Assumptions!$B$4,2,28)-$N53)/365.25*Assumptions!$B$18*AE53,(Assumptions!$B$20*Assumptions!$B$18+((DATE(Assumptions!$B$4,2,28)-$N53)/365.25-Assumptions!$B$20)*Assumptions!$B$19)*AE53),0)</f>
        <v>77262.78234086241</v>
      </c>
      <c r="AG53" s="249">
        <f>IF(AD53&gt;0,IF($M53="Saudi",MIN(AD53+$Q53*$V53,Assumptions!$B$14)*Assumptions!$B$12,MIN(AD53+$Q53*$V53,Assumptions!$B$14)*Assumptions!$B$13),0)</f>
        <v>0</v>
      </c>
      <c r="AH53" s="249">
        <f>IF(AND(AD53&gt;0,$M53="Non-Saudi"),Assumptions!$B$25,0)</f>
        <v>910.41666666666663</v>
      </c>
      <c r="AI53" s="249">
        <f t="shared" si="5"/>
        <v>9250</v>
      </c>
      <c r="AJ53" s="249">
        <f t="shared" si="6"/>
        <v>13350</v>
      </c>
      <c r="AK53" s="249">
        <f>IF(AND(AJ53&gt;0,$N53&lt;&gt;""),IF((DATE(Assumptions!$B$4,3,28)-$N53)/365.25&lt;=Assumptions!$B$20,(DATE(Assumptions!$B$4,3,28)-$N53)/365.25*Assumptions!$B$18*AJ53,(Assumptions!$B$20*Assumptions!$B$18+((DATE(Assumptions!$B$4,3,28)-$N53)/365.25-Assumptions!$B$20)*Assumptions!$B$19)*AJ53),0)</f>
        <v>78286.190965092406</v>
      </c>
      <c r="AL53" s="249">
        <f>IF(AI53&gt;0,IF($M53="Saudi",MIN(AI53+$Q53*$V53,Assumptions!$B$14)*Assumptions!$B$12,MIN(AI53+$Q53*$V53,Assumptions!$B$14)*Assumptions!$B$13),0)</f>
        <v>0</v>
      </c>
      <c r="AM53" s="249">
        <f>IF(AND(AI53&gt;0,$M53="Non-Saudi"),Assumptions!$B$25,0)</f>
        <v>910.41666666666663</v>
      </c>
      <c r="AN53" s="249">
        <f t="shared" si="7"/>
        <v>9250</v>
      </c>
      <c r="AO53" s="249">
        <f t="shared" si="8"/>
        <v>13350</v>
      </c>
      <c r="AP53" s="249">
        <f>IF(AND(AO53&gt;0,$N53&lt;&gt;""),IF((DATE(Assumptions!$B$4,4,28)-$N53)/365.25&lt;=Assumptions!$B$20,(DATE(Assumptions!$B$4,4,28)-$N53)/365.25*Assumptions!$B$18*AO53,(Assumptions!$B$20*Assumptions!$B$18+((DATE(Assumptions!$B$4,4,28)-$N53)/365.25-Assumptions!$B$20)*Assumptions!$B$19)*AO53),0)</f>
        <v>79419.250513347026</v>
      </c>
      <c r="AQ53" s="249">
        <f>IF(AN53&gt;0,IF($M53="Saudi",MIN(AN53+$Q53*$V53,Assumptions!$B$14)*Assumptions!$B$12,MIN(AN53+$Q53*$V53,Assumptions!$B$14)*Assumptions!$B$13),0)</f>
        <v>0</v>
      </c>
      <c r="AR53" s="249">
        <f>IF(AND(AN53&gt;0,$M53="Non-Saudi"),Assumptions!$B$25,0)</f>
        <v>910.41666666666663</v>
      </c>
      <c r="AS53" s="249">
        <f t="shared" si="9"/>
        <v>9250</v>
      </c>
      <c r="AT53" s="249">
        <f t="shared" si="10"/>
        <v>13350</v>
      </c>
      <c r="AU53" s="249">
        <f>IF(AND(AT53&gt;0,$N53&lt;&gt;""),IF((DATE(Assumptions!$B$4,5,28)-$N53)/365.25&lt;=Assumptions!$B$20,(DATE(Assumptions!$B$4,5,28)-$N53)/365.25*Assumptions!$B$18*AT53,(Assumptions!$B$20*Assumptions!$B$18+((DATE(Assumptions!$B$4,5,28)-$N53)/365.25-Assumptions!$B$20)*Assumptions!$B$19)*AT53),0)</f>
        <v>80515.759753593433</v>
      </c>
      <c r="AV53" s="249">
        <f>IF(AS53&gt;0,IF($M53="Saudi",MIN(AS53+$Q53*$V53,Assumptions!$B$14)*Assumptions!$B$12,MIN(AS53+$Q53*$V53,Assumptions!$B$14)*Assumptions!$B$13),0)</f>
        <v>0</v>
      </c>
      <c r="AW53" s="249">
        <f>IF(AND(AS53&gt;0,$M53="Non-Saudi"),Assumptions!$B$25,0)</f>
        <v>910.41666666666663</v>
      </c>
      <c r="AX53" s="249">
        <f t="shared" si="11"/>
        <v>9250</v>
      </c>
      <c r="AY53" s="249">
        <f t="shared" si="12"/>
        <v>13350</v>
      </c>
      <c r="AZ53" s="249">
        <f>IF(AND(AY53&gt;0,$N53&lt;&gt;""),IF((DATE(Assumptions!$B$4,6,28)-$N53)/365.25&lt;=Assumptions!$B$20,(DATE(Assumptions!$B$4,6,28)-$N53)/365.25*Assumptions!$B$18*AY53,(Assumptions!$B$20*Assumptions!$B$18+((DATE(Assumptions!$B$4,6,28)-$N53)/365.25-Assumptions!$B$20)*Assumptions!$B$19)*AY53),0)</f>
        <v>81648.819301848052</v>
      </c>
      <c r="BA53" s="249">
        <f>IF(AX53&gt;0,IF($M53="Saudi",MIN(AX53+$Q53*$V53,Assumptions!$B$14)*Assumptions!$B$12,MIN(AX53+$Q53*$V53,Assumptions!$B$14)*Assumptions!$B$13),0)</f>
        <v>0</v>
      </c>
      <c r="BB53" s="249">
        <f>IF(AND(AX53&gt;0,$M53="Non-Saudi"),Assumptions!$B$25,0)</f>
        <v>910.41666666666663</v>
      </c>
      <c r="BC53" s="249">
        <f t="shared" si="13"/>
        <v>9250</v>
      </c>
      <c r="BD53" s="249">
        <f t="shared" si="14"/>
        <v>13350</v>
      </c>
      <c r="BE53" s="249">
        <f>IF(AND(BD53&gt;0,$N53&lt;&gt;""),IF((DATE(Assumptions!$B$4,7,28)-$N53)/365.25&lt;=Assumptions!$B$20,(DATE(Assumptions!$B$4,7,28)-$N53)/365.25*Assumptions!$B$18*BD53,(Assumptions!$B$20*Assumptions!$B$18+((DATE(Assumptions!$B$4,7,28)-$N53)/365.25-Assumptions!$B$20)*Assumptions!$B$19)*BD53),0)</f>
        <v>82745.328542094445</v>
      </c>
      <c r="BF53" s="249">
        <f>IF(BC53&gt;0,IF($M53="Saudi",MIN(BC53+$Q53*$V53,Assumptions!$B$14)*Assumptions!$B$12,MIN(BC53+$Q53*$V53,Assumptions!$B$14)*Assumptions!$B$13),0)</f>
        <v>0</v>
      </c>
      <c r="BG53" s="249">
        <f>IF(AND(BC53&gt;0,$M53="Non-Saudi"),Assumptions!$B$25,0)</f>
        <v>910.41666666666663</v>
      </c>
      <c r="BH53" s="249">
        <f t="shared" si="15"/>
        <v>9250</v>
      </c>
      <c r="BI53" s="249">
        <f t="shared" si="16"/>
        <v>13350</v>
      </c>
      <c r="BJ53" s="249">
        <f>IF(AND(BI53&gt;0,$N53&lt;&gt;""),IF((DATE(Assumptions!$B$4,8,28)-$N53)/365.25&lt;=Assumptions!$B$20,(DATE(Assumptions!$B$4,8,28)-$N53)/365.25*Assumptions!$B$18*BI53,(Assumptions!$B$20*Assumptions!$B$18+((DATE(Assumptions!$B$4,8,28)-$N53)/365.25-Assumptions!$B$20)*Assumptions!$B$19)*BI53),0)</f>
        <v>83878.388090349064</v>
      </c>
      <c r="BK53" s="249">
        <f>IF(BH53&gt;0,IF($M53="Saudi",MIN(BH53+$Q53*$V53,Assumptions!$B$14)*Assumptions!$B$12,MIN(BH53+$Q53*$V53,Assumptions!$B$14)*Assumptions!$B$13),0)</f>
        <v>0</v>
      </c>
      <c r="BL53" s="249">
        <f>IF(AND(BH53&gt;0,$M53="Non-Saudi"),Assumptions!$B$25,0)</f>
        <v>910.41666666666663</v>
      </c>
      <c r="BM53" s="249">
        <f>IF(AND($D53="Contrat Local",$N53&lt;&gt;""),IF(AND(9&gt;=Assumptions!$B$5,ISNUMBER($X53),$N53&lt;EDATE(Assumptions!$B$9,-Assumptions!$B$6*12)),($P53+$X53)*$V53,$P53*$V53),0)</f>
        <v>9500</v>
      </c>
      <c r="BN53" s="249">
        <f t="shared" si="17"/>
        <v>13600</v>
      </c>
      <c r="BO53" s="249">
        <f>IF(AND(BN53&gt;0,$N53&lt;&gt;""),IF((DATE(Assumptions!$B$4,9,28)-$N53)/365.25&lt;=Assumptions!$B$20,(DATE(Assumptions!$B$4,9,28)-$N53)/365.25*Assumptions!$B$18*BN53,(Assumptions!$B$20*Assumptions!$B$18+((DATE(Assumptions!$B$4,9,28)-$N53)/365.25-Assumptions!$B$20)*Assumptions!$B$19)*BN53),0)</f>
        <v>86603.422313483898</v>
      </c>
      <c r="BP53" s="249">
        <f>IF(BM53&gt;0,IF($M53="Saudi",MIN(BM53+$Q53*$V53,Assumptions!$B$14)*Assumptions!$B$12,MIN(BM53+$Q53*$V53,Assumptions!$B$14)*Assumptions!$B$13),0)</f>
        <v>0</v>
      </c>
      <c r="BQ53" s="249">
        <f>IF(AND(BM53&gt;0,$M53="Non-Saudi"),Assumptions!$B$25,0)</f>
        <v>910.41666666666663</v>
      </c>
      <c r="BR53" s="249">
        <f>IF(AND($D53="Contrat Local",$N53&lt;&gt;""),IF(AND(10&gt;=Assumptions!$B$5,ISNUMBER($X53),$N53&lt;EDATE(Assumptions!$B$9,-Assumptions!$B$6*12)),($P53+$X53)*$V53,$P53*$V53),0)</f>
        <v>9500</v>
      </c>
      <c r="BS53" s="249">
        <f t="shared" si="18"/>
        <v>13600</v>
      </c>
      <c r="BT53" s="249">
        <f>IF(AND(BS53&gt;0,$N53&lt;&gt;""),IF((DATE(Assumptions!$B$4,10,28)-$N53)/365.25&lt;=Assumptions!$B$20,(DATE(Assumptions!$B$4,10,28)-$N53)/365.25*Assumptions!$B$18*BS53,(Assumptions!$B$20*Assumptions!$B$18+((DATE(Assumptions!$B$4,10,28)-$N53)/365.25-Assumptions!$B$20)*Assumptions!$B$19)*BS53),0)</f>
        <v>87720.465434633807</v>
      </c>
      <c r="BU53" s="249">
        <f>IF(BR53&gt;0,IF($M53="Saudi",MIN(BR53+$Q53*$V53,Assumptions!$B$14)*Assumptions!$B$12,MIN(BR53+$Q53*$V53,Assumptions!$B$14)*Assumptions!$B$13),0)</f>
        <v>0</v>
      </c>
      <c r="BV53" s="249">
        <f>IF(AND(BR53&gt;0,$M53="Non-Saudi"),Assumptions!$B$25,0)</f>
        <v>910.41666666666663</v>
      </c>
      <c r="BW53" s="249">
        <f>IF(AND($D53="Contrat Local",$N53&lt;&gt;""),IF(AND(11&gt;=Assumptions!$B$5,ISNUMBER($X53),$N53&lt;EDATE(Assumptions!$B$9,-Assumptions!$B$6*12)),($P53+$X53)*$V53,$P53*$V53),0)</f>
        <v>9500</v>
      </c>
      <c r="BX53" s="249">
        <f t="shared" si="19"/>
        <v>13600</v>
      </c>
      <c r="BY53" s="249">
        <f>IF(AND(BX53&gt;0,$N53&lt;&gt;""),IF((DATE(Assumptions!$B$4,11,28)-$N53)/365.25&lt;=Assumptions!$B$20,(DATE(Assumptions!$B$4,11,28)-$N53)/365.25*Assumptions!$B$18*BX53,(Assumptions!$B$20*Assumptions!$B$18+((DATE(Assumptions!$B$4,11,28)-$N53)/365.25-Assumptions!$B$20)*Assumptions!$B$19)*BX53),0)</f>
        <v>88874.743326488708</v>
      </c>
      <c r="BZ53" s="249">
        <f>IF(BW53&gt;0,IF($M53="Saudi",MIN(BW53+$Q53*$V53,Assumptions!$B$14)*Assumptions!$B$12,MIN(BW53+$Q53*$V53,Assumptions!$B$14)*Assumptions!$B$13),0)</f>
        <v>0</v>
      </c>
      <c r="CA53" s="249">
        <f>IF(AND(BW53&gt;0,$M53="Non-Saudi"),Assumptions!$B$25,0)</f>
        <v>910.41666666666663</v>
      </c>
      <c r="CB53" s="249">
        <f>IF(AND($D53="Contrat Local",$N53&lt;&gt;""),IF(AND(12&gt;=Assumptions!$B$5,ISNUMBER($X53),$N53&lt;EDATE(Assumptions!$B$9,-Assumptions!$B$6*12)),($P53+$X53)*$V53,$P53*$V53),0)</f>
        <v>9500</v>
      </c>
      <c r="CC53" s="249">
        <f t="shared" si="20"/>
        <v>13600</v>
      </c>
      <c r="CD53" s="249">
        <f>IF(AND(CC53&gt;0,$N53&lt;&gt;""),IF((DATE(Assumptions!$B$4,12,28)-$N53)/365.25&lt;=Assumptions!$B$20,(DATE(Assumptions!$B$4,12,28)-$N53)/365.25*Assumptions!$B$18*CC53,(Assumptions!$B$20*Assumptions!$B$18+((DATE(Assumptions!$B$4,12,28)-$N53)/365.25-Assumptions!$B$20)*Assumptions!$B$19)*CC53),0)</f>
        <v>89991.786447638617</v>
      </c>
      <c r="CE53" s="249">
        <f>IF(CB53&gt;0,IF($M53="Saudi",MIN(CB53+$Q53*$V53,Assumptions!$B$14)*Assumptions!$B$12,MIN(CB53+$Q53*$V53,Assumptions!$B$14)*Assumptions!$B$13),0)</f>
        <v>0</v>
      </c>
      <c r="CF53" s="249">
        <f>IF(AND(CB53&gt;0,$M53="Non-Saudi"),Assumptions!$B$25,0)</f>
        <v>910.41666666666663</v>
      </c>
      <c r="CG53" s="249">
        <f t="shared" si="21"/>
        <v>112000</v>
      </c>
      <c r="CH53" s="249">
        <f t="shared" si="22"/>
        <v>161200</v>
      </c>
      <c r="CI53" s="249">
        <f>CD53-IF(AND(Z53&gt;0,$N53&lt;&gt;""),IF((DATE(Assumptions!$B$4-1,12,28)-$N53)/365.25&lt;=Assumptions!$B$20,(DATE(Assumptions!$B$4-1,12,28)-$N53)/365.25*Assumptions!$B$18*Z53,(Assumptions!$B$20*Assumptions!$B$18+((DATE(Assumptions!$B$4-1,12,28)-$N53)/365.25-Assumptions!$B$20)*Assumptions!$B$19)*Z53),0)</f>
        <v>14995.123203285446</v>
      </c>
      <c r="CJ53" s="249">
        <f t="shared" si="23"/>
        <v>0</v>
      </c>
      <c r="CK53" s="249">
        <f t="shared" si="24"/>
        <v>10924.999999999998</v>
      </c>
    </row>
    <row r="54" spans="1:89" x14ac:dyDescent="0.2">
      <c r="A54" s="264">
        <v>51</v>
      </c>
      <c r="B54" s="265" t="s">
        <v>386</v>
      </c>
      <c r="C54" s="265" t="s">
        <v>387</v>
      </c>
      <c r="D54" s="265" t="s">
        <v>250</v>
      </c>
      <c r="E54" s="265" t="s">
        <v>767</v>
      </c>
      <c r="F54" s="265" t="s">
        <v>264</v>
      </c>
      <c r="G54" s="265" t="s">
        <v>8</v>
      </c>
      <c r="H54" s="265" t="s">
        <v>265</v>
      </c>
      <c r="I54" s="284" t="s">
        <v>691</v>
      </c>
      <c r="J54" s="265" t="s">
        <v>58</v>
      </c>
      <c r="K54" s="265" t="s">
        <v>8</v>
      </c>
      <c r="L54" s="265" t="s">
        <v>255</v>
      </c>
      <c r="M54" s="265" t="str">
        <f t="shared" si="25"/>
        <v>Non-Saudi</v>
      </c>
      <c r="N54" s="266">
        <v>44805</v>
      </c>
      <c r="O54" s="267">
        <v>4.3</v>
      </c>
      <c r="P54" s="268">
        <v>8750</v>
      </c>
      <c r="Q54" s="268">
        <v>2500</v>
      </c>
      <c r="R54" s="268">
        <v>500</v>
      </c>
      <c r="S54" s="268"/>
      <c r="T54" s="268"/>
      <c r="U54" s="268">
        <v>11750</v>
      </c>
      <c r="V54" s="269">
        <v>1</v>
      </c>
      <c r="W54" s="265" t="s">
        <v>259</v>
      </c>
      <c r="X54" s="265">
        <v>250</v>
      </c>
      <c r="Y54" s="249">
        <f t="shared" si="1"/>
        <v>8750</v>
      </c>
      <c r="Z54" s="249">
        <f t="shared" si="2"/>
        <v>11750</v>
      </c>
      <c r="AA54" s="249">
        <f>IF(AND(Z54&gt;0,$N54&lt;&gt;""),IF((DATE(Assumptions!$B$4,1,28)-$N54)/365.25&lt;=Assumptions!$B$20,(DATE(Assumptions!$B$4,1,28)-$N54)/365.25*Assumptions!$B$18*Z54,(Assumptions!$B$20*Assumptions!$B$18+((DATE(Assumptions!$B$4,1,28)-$N54)/365.25-Assumptions!$B$20)*Assumptions!$B$19)*Z54),0)</f>
        <v>20025.667351129363</v>
      </c>
      <c r="AB54" s="249">
        <f>IF(Y54&gt;0,IF($M54="Saudi",MIN(Y54+$Q54*$V54,Assumptions!$B$14)*Assumptions!$B$12,MIN(Y54+$Q54*$V54,Assumptions!$B$14)*Assumptions!$B$13),0)</f>
        <v>0</v>
      </c>
      <c r="AC54" s="249">
        <f>IF(AND(Y54&gt;0,$M54="Non-Saudi"),Assumptions!$B$25,0)</f>
        <v>910.41666666666663</v>
      </c>
      <c r="AD54" s="249">
        <f t="shared" si="3"/>
        <v>8750</v>
      </c>
      <c r="AE54" s="249">
        <f t="shared" si="4"/>
        <v>11750</v>
      </c>
      <c r="AF54" s="249">
        <f>IF(AND(AE54&gt;0,$N54&lt;&gt;""),IF((DATE(Assumptions!$B$4,2,28)-$N54)/365.25&lt;=Assumptions!$B$20,(DATE(Assumptions!$B$4,2,28)-$N54)/365.25*Assumptions!$B$18*AE54,(Assumptions!$B$20*Assumptions!$B$18+((DATE(Assumptions!$B$4,2,28)-$N54)/365.25-Assumptions!$B$20)*Assumptions!$B$19)*AE54),0)</f>
        <v>20524.298425735797</v>
      </c>
      <c r="AG54" s="249">
        <f>IF(AD54&gt;0,IF($M54="Saudi",MIN(AD54+$Q54*$V54,Assumptions!$B$14)*Assumptions!$B$12,MIN(AD54+$Q54*$V54,Assumptions!$B$14)*Assumptions!$B$13),0)</f>
        <v>0</v>
      </c>
      <c r="AH54" s="249">
        <f>IF(AND(AD54&gt;0,$M54="Non-Saudi"),Assumptions!$B$25,0)</f>
        <v>910.41666666666663</v>
      </c>
      <c r="AI54" s="249">
        <f t="shared" si="5"/>
        <v>8750</v>
      </c>
      <c r="AJ54" s="249">
        <f t="shared" si="6"/>
        <v>11750</v>
      </c>
      <c r="AK54" s="249">
        <f>IF(AND(AJ54&gt;0,$N54&lt;&gt;""),IF((DATE(Assumptions!$B$4,3,28)-$N54)/365.25&lt;=Assumptions!$B$20,(DATE(Assumptions!$B$4,3,28)-$N54)/365.25*Assumptions!$B$18*AJ54,(Assumptions!$B$20*Assumptions!$B$18+((DATE(Assumptions!$B$4,3,28)-$N54)/365.25-Assumptions!$B$20)*Assumptions!$B$19)*AJ54),0)</f>
        <v>20974.674880219027</v>
      </c>
      <c r="AL54" s="249">
        <f>IF(AI54&gt;0,IF($M54="Saudi",MIN(AI54+$Q54*$V54,Assumptions!$B$14)*Assumptions!$B$12,MIN(AI54+$Q54*$V54,Assumptions!$B$14)*Assumptions!$B$13),0)</f>
        <v>0</v>
      </c>
      <c r="AM54" s="249">
        <f>IF(AND(AI54&gt;0,$M54="Non-Saudi"),Assumptions!$B$25,0)</f>
        <v>910.41666666666663</v>
      </c>
      <c r="AN54" s="249">
        <f t="shared" si="7"/>
        <v>8750</v>
      </c>
      <c r="AO54" s="249">
        <f t="shared" si="8"/>
        <v>11750</v>
      </c>
      <c r="AP54" s="249">
        <f>IF(AND(AO54&gt;0,$N54&lt;&gt;""),IF((DATE(Assumptions!$B$4,4,28)-$N54)/365.25&lt;=Assumptions!$B$20,(DATE(Assumptions!$B$4,4,28)-$N54)/365.25*Assumptions!$B$18*AO54,(Assumptions!$B$20*Assumptions!$B$18+((DATE(Assumptions!$B$4,4,28)-$N54)/365.25-Assumptions!$B$20)*Assumptions!$B$19)*AO54),0)</f>
        <v>21473.305954825464</v>
      </c>
      <c r="AQ54" s="249">
        <f>IF(AN54&gt;0,IF($M54="Saudi",MIN(AN54+$Q54*$V54,Assumptions!$B$14)*Assumptions!$B$12,MIN(AN54+$Q54*$V54,Assumptions!$B$14)*Assumptions!$B$13),0)</f>
        <v>0</v>
      </c>
      <c r="AR54" s="249">
        <f>IF(AND(AN54&gt;0,$M54="Non-Saudi"),Assumptions!$B$25,0)</f>
        <v>910.41666666666663</v>
      </c>
      <c r="AS54" s="249">
        <f t="shared" si="9"/>
        <v>8750</v>
      </c>
      <c r="AT54" s="249">
        <f t="shared" si="10"/>
        <v>11750</v>
      </c>
      <c r="AU54" s="249">
        <f>IF(AND(AT54&gt;0,$N54&lt;&gt;""),IF((DATE(Assumptions!$B$4,5,28)-$N54)/365.25&lt;=Assumptions!$B$20,(DATE(Assumptions!$B$4,5,28)-$N54)/365.25*Assumptions!$B$18*AT54,(Assumptions!$B$20*Assumptions!$B$18+((DATE(Assumptions!$B$4,5,28)-$N54)/365.25-Assumptions!$B$20)*Assumptions!$B$19)*AT54),0)</f>
        <v>21955.852156057495</v>
      </c>
      <c r="AV54" s="249">
        <f>IF(AS54&gt;0,IF($M54="Saudi",MIN(AS54+$Q54*$V54,Assumptions!$B$14)*Assumptions!$B$12,MIN(AS54+$Q54*$V54,Assumptions!$B$14)*Assumptions!$B$13),0)</f>
        <v>0</v>
      </c>
      <c r="AW54" s="249">
        <f>IF(AND(AS54&gt;0,$M54="Non-Saudi"),Assumptions!$B$25,0)</f>
        <v>910.41666666666663</v>
      </c>
      <c r="AX54" s="249">
        <f t="shared" si="11"/>
        <v>8750</v>
      </c>
      <c r="AY54" s="249">
        <f t="shared" si="12"/>
        <v>11750</v>
      </c>
      <c r="AZ54" s="249">
        <f>IF(AND(AY54&gt;0,$N54&lt;&gt;""),IF((DATE(Assumptions!$B$4,6,28)-$N54)/365.25&lt;=Assumptions!$B$20,(DATE(Assumptions!$B$4,6,28)-$N54)/365.25*Assumptions!$B$18*AY54,(Assumptions!$B$20*Assumptions!$B$18+((DATE(Assumptions!$B$4,6,28)-$N54)/365.25-Assumptions!$B$20)*Assumptions!$B$19)*AY54),0)</f>
        <v>22454.483230663929</v>
      </c>
      <c r="BA54" s="249">
        <f>IF(AX54&gt;0,IF($M54="Saudi",MIN(AX54+$Q54*$V54,Assumptions!$B$14)*Assumptions!$B$12,MIN(AX54+$Q54*$V54,Assumptions!$B$14)*Assumptions!$B$13),0)</f>
        <v>0</v>
      </c>
      <c r="BB54" s="249">
        <f>IF(AND(AX54&gt;0,$M54="Non-Saudi"),Assumptions!$B$25,0)</f>
        <v>910.41666666666663</v>
      </c>
      <c r="BC54" s="249">
        <f t="shared" si="13"/>
        <v>8750</v>
      </c>
      <c r="BD54" s="249">
        <f t="shared" si="14"/>
        <v>11750</v>
      </c>
      <c r="BE54" s="249">
        <f>IF(AND(BD54&gt;0,$N54&lt;&gt;""),IF((DATE(Assumptions!$B$4,7,28)-$N54)/365.25&lt;=Assumptions!$B$20,(DATE(Assumptions!$B$4,7,28)-$N54)/365.25*Assumptions!$B$18*BD54,(Assumptions!$B$20*Assumptions!$B$18+((DATE(Assumptions!$B$4,7,28)-$N54)/365.25-Assumptions!$B$20)*Assumptions!$B$19)*BD54),0)</f>
        <v>22937.02943189596</v>
      </c>
      <c r="BF54" s="249">
        <f>IF(BC54&gt;0,IF($M54="Saudi",MIN(BC54+$Q54*$V54,Assumptions!$B$14)*Assumptions!$B$12,MIN(BC54+$Q54*$V54,Assumptions!$B$14)*Assumptions!$B$13),0)</f>
        <v>0</v>
      </c>
      <c r="BG54" s="249">
        <f>IF(AND(BC54&gt;0,$M54="Non-Saudi"),Assumptions!$B$25,0)</f>
        <v>910.41666666666663</v>
      </c>
      <c r="BH54" s="249">
        <f t="shared" si="15"/>
        <v>8750</v>
      </c>
      <c r="BI54" s="249">
        <f t="shared" si="16"/>
        <v>11750</v>
      </c>
      <c r="BJ54" s="249">
        <f>IF(AND(BI54&gt;0,$N54&lt;&gt;""),IF((DATE(Assumptions!$B$4,8,28)-$N54)/365.25&lt;=Assumptions!$B$20,(DATE(Assumptions!$B$4,8,28)-$N54)/365.25*Assumptions!$B$18*BI54,(Assumptions!$B$20*Assumptions!$B$18+((DATE(Assumptions!$B$4,8,28)-$N54)/365.25-Assumptions!$B$20)*Assumptions!$B$19)*BI54),0)</f>
        <v>23435.660506502398</v>
      </c>
      <c r="BK54" s="249">
        <f>IF(BH54&gt;0,IF($M54="Saudi",MIN(BH54+$Q54*$V54,Assumptions!$B$14)*Assumptions!$B$12,MIN(BH54+$Q54*$V54,Assumptions!$B$14)*Assumptions!$B$13),0)</f>
        <v>0</v>
      </c>
      <c r="BL54" s="249">
        <f>IF(AND(BH54&gt;0,$M54="Non-Saudi"),Assumptions!$B$25,0)</f>
        <v>910.41666666666663</v>
      </c>
      <c r="BM54" s="249">
        <f>IF(AND($D54="Contrat Local",$N54&lt;&gt;""),IF(AND(9&gt;=Assumptions!$B$5,ISNUMBER($X54),$N54&lt;EDATE(Assumptions!$B$9,-Assumptions!$B$6*12)),($P54+$X54)*$V54,$P54*$V54),0)</f>
        <v>9000</v>
      </c>
      <c r="BN54" s="249">
        <f t="shared" si="17"/>
        <v>12000</v>
      </c>
      <c r="BO54" s="249">
        <f>IF(AND(BN54&gt;0,$N54&lt;&gt;""),IF((DATE(Assumptions!$B$4,9,28)-$N54)/365.25&lt;=Assumptions!$B$20,(DATE(Assumptions!$B$4,9,28)-$N54)/365.25*Assumptions!$B$18*BN54,(Assumptions!$B$20*Assumptions!$B$18+((DATE(Assumptions!$B$4,9,28)-$N54)/365.25-Assumptions!$B$20)*Assumptions!$B$19)*BN54),0)</f>
        <v>24443.531827515399</v>
      </c>
      <c r="BP54" s="249">
        <f>IF(BM54&gt;0,IF($M54="Saudi",MIN(BM54+$Q54*$V54,Assumptions!$B$14)*Assumptions!$B$12,MIN(BM54+$Q54*$V54,Assumptions!$B$14)*Assumptions!$B$13),0)</f>
        <v>0</v>
      </c>
      <c r="BQ54" s="249">
        <f>IF(AND(BM54&gt;0,$M54="Non-Saudi"),Assumptions!$B$25,0)</f>
        <v>910.41666666666663</v>
      </c>
      <c r="BR54" s="249">
        <f>IF(AND($D54="Contrat Local",$N54&lt;&gt;""),IF(AND(10&gt;=Assumptions!$B$5,ISNUMBER($X54),$N54&lt;EDATE(Assumptions!$B$9,-Assumptions!$B$6*12)),($P54+$X54)*$V54,$P54*$V54),0)</f>
        <v>9000</v>
      </c>
      <c r="BS54" s="249">
        <f t="shared" si="18"/>
        <v>12000</v>
      </c>
      <c r="BT54" s="249">
        <f>IF(AND(BS54&gt;0,$N54&lt;&gt;""),IF((DATE(Assumptions!$B$4,10,28)-$N54)/365.25&lt;=Assumptions!$B$20,(DATE(Assumptions!$B$4,10,28)-$N54)/365.25*Assumptions!$B$18*BS54,(Assumptions!$B$20*Assumptions!$B$18+((DATE(Assumptions!$B$4,10,28)-$N54)/365.25-Assumptions!$B$20)*Assumptions!$B$19)*BS54),0)</f>
        <v>24936.344969199177</v>
      </c>
      <c r="BU54" s="249">
        <f>IF(BR54&gt;0,IF($M54="Saudi",MIN(BR54+$Q54*$V54,Assumptions!$B$14)*Assumptions!$B$12,MIN(BR54+$Q54*$V54,Assumptions!$B$14)*Assumptions!$B$13),0)</f>
        <v>0</v>
      </c>
      <c r="BV54" s="249">
        <f>IF(AND(BR54&gt;0,$M54="Non-Saudi"),Assumptions!$B$25,0)</f>
        <v>910.41666666666663</v>
      </c>
      <c r="BW54" s="249">
        <f>IF(AND($D54="Contrat Local",$N54&lt;&gt;""),IF(AND(11&gt;=Assumptions!$B$5,ISNUMBER($X54),$N54&lt;EDATE(Assumptions!$B$9,-Assumptions!$B$6*12)),($P54+$X54)*$V54,$P54*$V54),0)</f>
        <v>9000</v>
      </c>
      <c r="BX54" s="249">
        <f t="shared" si="19"/>
        <v>12000</v>
      </c>
      <c r="BY54" s="249">
        <f>IF(AND(BX54&gt;0,$N54&lt;&gt;""),IF((DATE(Assumptions!$B$4,11,28)-$N54)/365.25&lt;=Assumptions!$B$20,(DATE(Assumptions!$B$4,11,28)-$N54)/365.25*Assumptions!$B$18*BX54,(Assumptions!$B$20*Assumptions!$B$18+((DATE(Assumptions!$B$4,11,28)-$N54)/365.25-Assumptions!$B$20)*Assumptions!$B$19)*BX54),0)</f>
        <v>25445.585215605748</v>
      </c>
      <c r="BZ54" s="249">
        <f>IF(BW54&gt;0,IF($M54="Saudi",MIN(BW54+$Q54*$V54,Assumptions!$B$14)*Assumptions!$B$12,MIN(BW54+$Q54*$V54,Assumptions!$B$14)*Assumptions!$B$13),0)</f>
        <v>0</v>
      </c>
      <c r="CA54" s="249">
        <f>IF(AND(BW54&gt;0,$M54="Non-Saudi"),Assumptions!$B$25,0)</f>
        <v>910.41666666666663</v>
      </c>
      <c r="CB54" s="249">
        <f>IF(AND($D54="Contrat Local",$N54&lt;&gt;""),IF(AND(12&gt;=Assumptions!$B$5,ISNUMBER($X54),$N54&lt;EDATE(Assumptions!$B$9,-Assumptions!$B$6*12)),($P54+$X54)*$V54,$P54*$V54),0)</f>
        <v>9000</v>
      </c>
      <c r="CC54" s="249">
        <f t="shared" si="20"/>
        <v>12000</v>
      </c>
      <c r="CD54" s="249">
        <f>IF(AND(CC54&gt;0,$N54&lt;&gt;""),IF((DATE(Assumptions!$B$4,12,28)-$N54)/365.25&lt;=Assumptions!$B$20,(DATE(Assumptions!$B$4,12,28)-$N54)/365.25*Assumptions!$B$18*CC54,(Assumptions!$B$20*Assumptions!$B$18+((DATE(Assumptions!$B$4,12,28)-$N54)/365.25-Assumptions!$B$20)*Assumptions!$B$19)*CC54),0)</f>
        <v>25938.398357289527</v>
      </c>
      <c r="CE54" s="249">
        <f>IF(CB54&gt;0,IF($M54="Saudi",MIN(CB54+$Q54*$V54,Assumptions!$B$14)*Assumptions!$B$12,MIN(CB54+$Q54*$V54,Assumptions!$B$14)*Assumptions!$B$13),0)</f>
        <v>0</v>
      </c>
      <c r="CF54" s="249">
        <f>IF(AND(CB54&gt;0,$M54="Non-Saudi"),Assumptions!$B$25,0)</f>
        <v>910.41666666666663</v>
      </c>
      <c r="CG54" s="249">
        <f t="shared" si="21"/>
        <v>106000</v>
      </c>
      <c r="CH54" s="249">
        <f t="shared" si="22"/>
        <v>142000</v>
      </c>
      <c r="CI54" s="249">
        <f>CD54-IF(AND(Z54&gt;0,$N54&lt;&gt;""),IF((DATE(Assumptions!$B$4-1,12,28)-$N54)/365.25&lt;=Assumptions!$B$20,(DATE(Assumptions!$B$4-1,12,28)-$N54)/365.25*Assumptions!$B$18*Z54,(Assumptions!$B$20*Assumptions!$B$18+((DATE(Assumptions!$B$4-1,12,28)-$N54)/365.25-Assumptions!$B$20)*Assumptions!$B$19)*Z54),0)</f>
        <v>6411.3620807665975</v>
      </c>
      <c r="CJ54" s="249">
        <f t="shared" si="23"/>
        <v>0</v>
      </c>
      <c r="CK54" s="249">
        <f t="shared" si="24"/>
        <v>10924.999999999998</v>
      </c>
    </row>
    <row r="55" spans="1:89" x14ac:dyDescent="0.2">
      <c r="A55" s="276">
        <v>52</v>
      </c>
      <c r="B55" s="277" t="s">
        <v>388</v>
      </c>
      <c r="C55" s="277" t="s">
        <v>389</v>
      </c>
      <c r="D55" s="277" t="s">
        <v>250</v>
      </c>
      <c r="E55" s="277" t="s">
        <v>767</v>
      </c>
      <c r="F55" s="277" t="s">
        <v>315</v>
      </c>
      <c r="G55" s="277" t="s">
        <v>303</v>
      </c>
      <c r="H55" s="277" t="s">
        <v>44</v>
      </c>
      <c r="I55" s="287" t="s">
        <v>691</v>
      </c>
      <c r="J55" s="277" t="s">
        <v>68</v>
      </c>
      <c r="K55" s="277" t="s">
        <v>254</v>
      </c>
      <c r="L55" s="277" t="s">
        <v>255</v>
      </c>
      <c r="M55" s="277" t="str">
        <f t="shared" si="25"/>
        <v>Non-Saudi</v>
      </c>
      <c r="N55" s="278">
        <v>41153</v>
      </c>
      <c r="O55" s="279">
        <v>14.3</v>
      </c>
      <c r="P55" s="280">
        <v>10250</v>
      </c>
      <c r="Q55" s="280">
        <v>2500</v>
      </c>
      <c r="R55" s="280">
        <v>500</v>
      </c>
      <c r="S55" s="280"/>
      <c r="T55" s="280"/>
      <c r="U55" s="280">
        <v>13250</v>
      </c>
      <c r="V55" s="281">
        <v>1</v>
      </c>
      <c r="W55" s="277" t="s">
        <v>259</v>
      </c>
      <c r="X55" s="277">
        <v>250</v>
      </c>
      <c r="Y55" s="249">
        <f t="shared" si="1"/>
        <v>10250</v>
      </c>
      <c r="Z55" s="249">
        <f t="shared" si="2"/>
        <v>13250</v>
      </c>
      <c r="AA55" s="249">
        <f>IF(AND(Z55&gt;0,$N55&lt;&gt;""),IF((DATE(Assumptions!$B$4,1,28)-$N55)/365.25&lt;=Assumptions!$B$20,(DATE(Assumptions!$B$4,1,28)-$N55)/365.25*Assumptions!$B$18*Z55,(Assumptions!$B$20*Assumptions!$B$18+((DATE(Assumptions!$B$4,1,28)-$N55)/365.25-Assumptions!$B$20)*Assumptions!$B$19)*Z55),0)</f>
        <v>144521.13278576318</v>
      </c>
      <c r="AB55" s="249">
        <f>IF(Y55&gt;0,IF($M55="Saudi",MIN(Y55+$Q55*$V55,Assumptions!$B$14)*Assumptions!$B$12,MIN(Y55+$Q55*$V55,Assumptions!$B$14)*Assumptions!$B$13),0)</f>
        <v>0</v>
      </c>
      <c r="AC55" s="249">
        <f>IF(AND(Y55&gt;0,$M55="Non-Saudi"),Assumptions!$B$25,0)</f>
        <v>910.41666666666663</v>
      </c>
      <c r="AD55" s="249">
        <f t="shared" si="3"/>
        <v>10250</v>
      </c>
      <c r="AE55" s="249">
        <f t="shared" si="4"/>
        <v>13250</v>
      </c>
      <c r="AF55" s="249">
        <f>IF(AND(AE55&gt;0,$N55&lt;&gt;""),IF((DATE(Assumptions!$B$4,2,28)-$N55)/365.25&lt;=Assumptions!$B$20,(DATE(Assumptions!$B$4,2,28)-$N55)/365.25*Assumptions!$B$18*AE55,(Assumptions!$B$20*Assumptions!$B$18+((DATE(Assumptions!$B$4,2,28)-$N55)/365.25-Assumptions!$B$20)*Assumptions!$B$19)*AE55),0)</f>
        <v>145645.7049965777</v>
      </c>
      <c r="AG55" s="249">
        <f>IF(AD55&gt;0,IF($M55="Saudi",MIN(AD55+$Q55*$V55,Assumptions!$B$14)*Assumptions!$B$12,MIN(AD55+$Q55*$V55,Assumptions!$B$14)*Assumptions!$B$13),0)</f>
        <v>0</v>
      </c>
      <c r="AH55" s="249">
        <f>IF(AND(AD55&gt;0,$M55="Non-Saudi"),Assumptions!$B$25,0)</f>
        <v>910.41666666666663</v>
      </c>
      <c r="AI55" s="249">
        <f t="shared" si="5"/>
        <v>10250</v>
      </c>
      <c r="AJ55" s="249">
        <f t="shared" si="6"/>
        <v>13250</v>
      </c>
      <c r="AK55" s="249">
        <f>IF(AND(AJ55&gt;0,$N55&lt;&gt;""),IF((DATE(Assumptions!$B$4,3,28)-$N55)/365.25&lt;=Assumptions!$B$20,(DATE(Assumptions!$B$4,3,28)-$N55)/365.25*Assumptions!$B$18*AJ55,(Assumptions!$B$20*Assumptions!$B$18+((DATE(Assumptions!$B$4,3,28)-$N55)/365.25-Assumptions!$B$20)*Assumptions!$B$19)*AJ55),0)</f>
        <v>146661.44763860368</v>
      </c>
      <c r="AL55" s="249">
        <f>IF(AI55&gt;0,IF($M55="Saudi",MIN(AI55+$Q55*$V55,Assumptions!$B$14)*Assumptions!$B$12,MIN(AI55+$Q55*$V55,Assumptions!$B$14)*Assumptions!$B$13),0)</f>
        <v>0</v>
      </c>
      <c r="AM55" s="249">
        <f>IF(AND(AI55&gt;0,$M55="Non-Saudi"),Assumptions!$B$25,0)</f>
        <v>910.41666666666663</v>
      </c>
      <c r="AN55" s="249">
        <f t="shared" si="7"/>
        <v>10250</v>
      </c>
      <c r="AO55" s="249">
        <f t="shared" si="8"/>
        <v>13250</v>
      </c>
      <c r="AP55" s="249">
        <f>IF(AND(AO55&gt;0,$N55&lt;&gt;""),IF((DATE(Assumptions!$B$4,4,28)-$N55)/365.25&lt;=Assumptions!$B$20,(DATE(Assumptions!$B$4,4,28)-$N55)/365.25*Assumptions!$B$18*AO55,(Assumptions!$B$20*Assumptions!$B$18+((DATE(Assumptions!$B$4,4,28)-$N55)/365.25-Assumptions!$B$20)*Assumptions!$B$19)*AO55),0)</f>
        <v>147786.0198494182</v>
      </c>
      <c r="AQ55" s="249">
        <f>IF(AN55&gt;0,IF($M55="Saudi",MIN(AN55+$Q55*$V55,Assumptions!$B$14)*Assumptions!$B$12,MIN(AN55+$Q55*$V55,Assumptions!$B$14)*Assumptions!$B$13),0)</f>
        <v>0</v>
      </c>
      <c r="AR55" s="249">
        <f>IF(AND(AN55&gt;0,$M55="Non-Saudi"),Assumptions!$B$25,0)</f>
        <v>910.41666666666663</v>
      </c>
      <c r="AS55" s="249">
        <f t="shared" si="9"/>
        <v>10250</v>
      </c>
      <c r="AT55" s="249">
        <f t="shared" si="10"/>
        <v>13250</v>
      </c>
      <c r="AU55" s="249">
        <f>IF(AND(AT55&gt;0,$N55&lt;&gt;""),IF((DATE(Assumptions!$B$4,5,28)-$N55)/365.25&lt;=Assumptions!$B$20,(DATE(Assumptions!$B$4,5,28)-$N55)/365.25*Assumptions!$B$18*AT55,(Assumptions!$B$20*Assumptions!$B$18+((DATE(Assumptions!$B$4,5,28)-$N55)/365.25-Assumptions!$B$20)*Assumptions!$B$19)*AT55),0)</f>
        <v>148874.31553730322</v>
      </c>
      <c r="AV55" s="249">
        <f>IF(AS55&gt;0,IF($M55="Saudi",MIN(AS55+$Q55*$V55,Assumptions!$B$14)*Assumptions!$B$12,MIN(AS55+$Q55*$V55,Assumptions!$B$14)*Assumptions!$B$13),0)</f>
        <v>0</v>
      </c>
      <c r="AW55" s="249">
        <f>IF(AND(AS55&gt;0,$M55="Non-Saudi"),Assumptions!$B$25,0)</f>
        <v>910.41666666666663</v>
      </c>
      <c r="AX55" s="249">
        <f t="shared" si="11"/>
        <v>10250</v>
      </c>
      <c r="AY55" s="249">
        <f t="shared" si="12"/>
        <v>13250</v>
      </c>
      <c r="AZ55" s="249">
        <f>IF(AND(AY55&gt;0,$N55&lt;&gt;""),IF((DATE(Assumptions!$B$4,6,28)-$N55)/365.25&lt;=Assumptions!$B$20,(DATE(Assumptions!$B$4,6,28)-$N55)/365.25*Assumptions!$B$18*AY55,(Assumptions!$B$20*Assumptions!$B$18+((DATE(Assumptions!$B$4,6,28)-$N55)/365.25-Assumptions!$B$20)*Assumptions!$B$19)*AY55),0)</f>
        <v>149998.88774811773</v>
      </c>
      <c r="BA55" s="249">
        <f>IF(AX55&gt;0,IF($M55="Saudi",MIN(AX55+$Q55*$V55,Assumptions!$B$14)*Assumptions!$B$12,MIN(AX55+$Q55*$V55,Assumptions!$B$14)*Assumptions!$B$13),0)</f>
        <v>0</v>
      </c>
      <c r="BB55" s="249">
        <f>IF(AND(AX55&gt;0,$M55="Non-Saudi"),Assumptions!$B$25,0)</f>
        <v>910.41666666666663</v>
      </c>
      <c r="BC55" s="249">
        <f t="shared" si="13"/>
        <v>10250</v>
      </c>
      <c r="BD55" s="249">
        <f t="shared" si="14"/>
        <v>13250</v>
      </c>
      <c r="BE55" s="249">
        <f>IF(AND(BD55&gt;0,$N55&lt;&gt;""),IF((DATE(Assumptions!$B$4,7,28)-$N55)/365.25&lt;=Assumptions!$B$20,(DATE(Assumptions!$B$4,7,28)-$N55)/365.25*Assumptions!$B$18*BD55,(Assumptions!$B$20*Assumptions!$B$18+((DATE(Assumptions!$B$4,7,28)-$N55)/365.25-Assumptions!$B$20)*Assumptions!$B$19)*BD55),0)</f>
        <v>151087.18343600276</v>
      </c>
      <c r="BF55" s="249">
        <f>IF(BC55&gt;0,IF($M55="Saudi",MIN(BC55+$Q55*$V55,Assumptions!$B$14)*Assumptions!$B$12,MIN(BC55+$Q55*$V55,Assumptions!$B$14)*Assumptions!$B$13),0)</f>
        <v>0</v>
      </c>
      <c r="BG55" s="249">
        <f>IF(AND(BC55&gt;0,$M55="Non-Saudi"),Assumptions!$B$25,0)</f>
        <v>910.41666666666663</v>
      </c>
      <c r="BH55" s="249">
        <f t="shared" si="15"/>
        <v>10250</v>
      </c>
      <c r="BI55" s="249">
        <f t="shared" si="16"/>
        <v>13250</v>
      </c>
      <c r="BJ55" s="249">
        <f>IF(AND(BI55&gt;0,$N55&lt;&gt;""),IF((DATE(Assumptions!$B$4,8,28)-$N55)/365.25&lt;=Assumptions!$B$20,(DATE(Assumptions!$B$4,8,28)-$N55)/365.25*Assumptions!$B$18*BI55,(Assumptions!$B$20*Assumptions!$B$18+((DATE(Assumptions!$B$4,8,28)-$N55)/365.25-Assumptions!$B$20)*Assumptions!$B$19)*BI55),0)</f>
        <v>152211.75564681727</v>
      </c>
      <c r="BK55" s="249">
        <f>IF(BH55&gt;0,IF($M55="Saudi",MIN(BH55+$Q55*$V55,Assumptions!$B$14)*Assumptions!$B$12,MIN(BH55+$Q55*$V55,Assumptions!$B$14)*Assumptions!$B$13),0)</f>
        <v>0</v>
      </c>
      <c r="BL55" s="249">
        <f>IF(AND(BH55&gt;0,$M55="Non-Saudi"),Assumptions!$B$25,0)</f>
        <v>910.41666666666663</v>
      </c>
      <c r="BM55" s="249">
        <f>IF(AND($D55="Contrat Local",$N55&lt;&gt;""),IF(AND(9&gt;=Assumptions!$B$5,ISNUMBER($X55),$N55&lt;EDATE(Assumptions!$B$9,-Assumptions!$B$6*12)),($P55+$X55)*$V55,$P55*$V55),0)</f>
        <v>10500</v>
      </c>
      <c r="BN55" s="249">
        <f t="shared" si="17"/>
        <v>13500</v>
      </c>
      <c r="BO55" s="249">
        <f>IF(AND(BN55&gt;0,$N55&lt;&gt;""),IF((DATE(Assumptions!$B$4,9,28)-$N55)/365.25&lt;=Assumptions!$B$20,(DATE(Assumptions!$B$4,9,28)-$N55)/365.25*Assumptions!$B$18*BN55,(Assumptions!$B$20*Assumptions!$B$18+((DATE(Assumptions!$B$4,9,28)-$N55)/365.25-Assumptions!$B$20)*Assumptions!$B$19)*BN55),0)</f>
        <v>156229.46611909653</v>
      </c>
      <c r="BP55" s="249">
        <f>IF(BM55&gt;0,IF($M55="Saudi",MIN(BM55+$Q55*$V55,Assumptions!$B$14)*Assumptions!$B$12,MIN(BM55+$Q55*$V55,Assumptions!$B$14)*Assumptions!$B$13),0)</f>
        <v>0</v>
      </c>
      <c r="BQ55" s="249">
        <f>IF(AND(BM55&gt;0,$M55="Non-Saudi"),Assumptions!$B$25,0)</f>
        <v>910.41666666666663</v>
      </c>
      <c r="BR55" s="249">
        <f>IF(AND($D55="Contrat Local",$N55&lt;&gt;""),IF(AND(10&gt;=Assumptions!$B$5,ISNUMBER($X55),$N55&lt;EDATE(Assumptions!$B$9,-Assumptions!$B$6*12)),($P55+$X55)*$V55,$P55*$V55),0)</f>
        <v>10500</v>
      </c>
      <c r="BS55" s="249">
        <f t="shared" si="18"/>
        <v>13500</v>
      </c>
      <c r="BT55" s="249">
        <f>IF(AND(BS55&gt;0,$N55&lt;&gt;""),IF((DATE(Assumptions!$B$4,10,28)-$N55)/365.25&lt;=Assumptions!$B$20,(DATE(Assumptions!$B$4,10,28)-$N55)/365.25*Assumptions!$B$18*BS55,(Assumptions!$B$20*Assumptions!$B$18+((DATE(Assumptions!$B$4,10,28)-$N55)/365.25-Assumptions!$B$20)*Assumptions!$B$19)*BS55),0)</f>
        <v>157338.29568788499</v>
      </c>
      <c r="BU55" s="249">
        <f>IF(BR55&gt;0,IF($M55="Saudi",MIN(BR55+$Q55*$V55,Assumptions!$B$14)*Assumptions!$B$12,MIN(BR55+$Q55*$V55,Assumptions!$B$14)*Assumptions!$B$13),0)</f>
        <v>0</v>
      </c>
      <c r="BV55" s="249">
        <f>IF(AND(BR55&gt;0,$M55="Non-Saudi"),Assumptions!$B$25,0)</f>
        <v>910.41666666666663</v>
      </c>
      <c r="BW55" s="249">
        <f>IF(AND($D55="Contrat Local",$N55&lt;&gt;""),IF(AND(11&gt;=Assumptions!$B$5,ISNUMBER($X55),$N55&lt;EDATE(Assumptions!$B$9,-Assumptions!$B$6*12)),($P55+$X55)*$V55,$P55*$V55),0)</f>
        <v>10500</v>
      </c>
      <c r="BX55" s="249">
        <f t="shared" si="19"/>
        <v>13500</v>
      </c>
      <c r="BY55" s="249">
        <f>IF(AND(BX55&gt;0,$N55&lt;&gt;""),IF((DATE(Assumptions!$B$4,11,28)-$N55)/365.25&lt;=Assumptions!$B$20,(DATE(Assumptions!$B$4,11,28)-$N55)/365.25*Assumptions!$B$18*BX55,(Assumptions!$B$20*Assumptions!$B$18+((DATE(Assumptions!$B$4,11,28)-$N55)/365.25-Assumptions!$B$20)*Assumptions!$B$19)*BX55),0)</f>
        <v>158484.08624229979</v>
      </c>
      <c r="BZ55" s="249">
        <f>IF(BW55&gt;0,IF($M55="Saudi",MIN(BW55+$Q55*$V55,Assumptions!$B$14)*Assumptions!$B$12,MIN(BW55+$Q55*$V55,Assumptions!$B$14)*Assumptions!$B$13),0)</f>
        <v>0</v>
      </c>
      <c r="CA55" s="249">
        <f>IF(AND(BW55&gt;0,$M55="Non-Saudi"),Assumptions!$B$25,0)</f>
        <v>910.41666666666663</v>
      </c>
      <c r="CB55" s="249">
        <f>IF(AND($D55="Contrat Local",$N55&lt;&gt;""),IF(AND(12&gt;=Assumptions!$B$5,ISNUMBER($X55),$N55&lt;EDATE(Assumptions!$B$9,-Assumptions!$B$6*12)),($P55+$X55)*$V55,$P55*$V55),0)</f>
        <v>10500</v>
      </c>
      <c r="CC55" s="249">
        <f t="shared" si="20"/>
        <v>13500</v>
      </c>
      <c r="CD55" s="249">
        <f>IF(AND(CC55&gt;0,$N55&lt;&gt;""),IF((DATE(Assumptions!$B$4,12,28)-$N55)/365.25&lt;=Assumptions!$B$20,(DATE(Assumptions!$B$4,12,28)-$N55)/365.25*Assumptions!$B$18*CC55,(Assumptions!$B$20*Assumptions!$B$18+((DATE(Assumptions!$B$4,12,28)-$N55)/365.25-Assumptions!$B$20)*Assumptions!$B$19)*CC55),0)</f>
        <v>159592.91581108829</v>
      </c>
      <c r="CE55" s="249">
        <f>IF(CB55&gt;0,IF($M55="Saudi",MIN(CB55+$Q55*$V55,Assumptions!$B$14)*Assumptions!$B$12,MIN(CB55+$Q55*$V55,Assumptions!$B$14)*Assumptions!$B$13),0)</f>
        <v>0</v>
      </c>
      <c r="CF55" s="249">
        <f>IF(AND(CB55&gt;0,$M55="Non-Saudi"),Assumptions!$B$25,0)</f>
        <v>910.41666666666663</v>
      </c>
      <c r="CG55" s="249">
        <f t="shared" si="21"/>
        <v>124000</v>
      </c>
      <c r="CH55" s="249">
        <f t="shared" si="22"/>
        <v>160000</v>
      </c>
      <c r="CI55" s="249">
        <f>CD55-IF(AND(Z55&gt;0,$N55&lt;&gt;""),IF((DATE(Assumptions!$B$4-1,12,28)-$N55)/365.25&lt;=Assumptions!$B$20,(DATE(Assumptions!$B$4-1,12,28)-$N55)/365.25*Assumptions!$B$18*Z55,(Assumptions!$B$20*Assumptions!$B$18+((DATE(Assumptions!$B$4-1,12,28)-$N55)/365.25-Assumptions!$B$20)*Assumptions!$B$19)*Z55),0)</f>
        <v>16196.355236139614</v>
      </c>
      <c r="CJ55" s="249">
        <f t="shared" si="23"/>
        <v>0</v>
      </c>
      <c r="CK55" s="249">
        <f t="shared" si="24"/>
        <v>10924.999999999998</v>
      </c>
    </row>
    <row r="56" spans="1:89" x14ac:dyDescent="0.2">
      <c r="A56" s="270">
        <v>53</v>
      </c>
      <c r="B56" s="271" t="s">
        <v>390</v>
      </c>
      <c r="C56" s="271" t="s">
        <v>391</v>
      </c>
      <c r="D56" s="271" t="s">
        <v>250</v>
      </c>
      <c r="E56" s="271" t="s">
        <v>767</v>
      </c>
      <c r="F56" s="271" t="s">
        <v>392</v>
      </c>
      <c r="G56" s="271" t="s">
        <v>272</v>
      </c>
      <c r="H56" s="271" t="s">
        <v>368</v>
      </c>
      <c r="I56" s="285" t="s">
        <v>690</v>
      </c>
      <c r="J56" s="271"/>
      <c r="K56" s="271" t="s">
        <v>272</v>
      </c>
      <c r="L56" s="271" t="s">
        <v>255</v>
      </c>
      <c r="M56" s="271" t="str">
        <f t="shared" si="25"/>
        <v>Non-Saudi</v>
      </c>
      <c r="N56" s="272">
        <v>44440</v>
      </c>
      <c r="O56" s="273">
        <v>5.3</v>
      </c>
      <c r="P56" s="274">
        <v>13250</v>
      </c>
      <c r="Q56" s="274">
        <v>2500</v>
      </c>
      <c r="R56" s="274">
        <v>500</v>
      </c>
      <c r="S56" s="274">
        <v>500</v>
      </c>
      <c r="T56" s="274"/>
      <c r="U56" s="274">
        <v>16750</v>
      </c>
      <c r="V56" s="275">
        <v>1</v>
      </c>
      <c r="W56" s="271" t="s">
        <v>256</v>
      </c>
      <c r="X56" s="271">
        <v>250</v>
      </c>
      <c r="Y56" s="249">
        <f t="shared" si="1"/>
        <v>13250</v>
      </c>
      <c r="Z56" s="249">
        <f t="shared" si="2"/>
        <v>16750</v>
      </c>
      <c r="AA56" s="249">
        <f>IF(AND(Z56&gt;0,$N56&lt;&gt;""),IF((DATE(Assumptions!$B$4,1,28)-$N56)/365.25&lt;=Assumptions!$B$20,(DATE(Assumptions!$B$4,1,28)-$N56)/365.25*Assumptions!$B$18*Z56,(Assumptions!$B$20*Assumptions!$B$18+((DATE(Assumptions!$B$4,1,28)-$N56)/365.25-Assumptions!$B$20)*Assumptions!$B$19)*Z56),0)</f>
        <v>36916.495550992477</v>
      </c>
      <c r="AB56" s="249">
        <f>IF(Y56&gt;0,IF($M56="Saudi",MIN(Y56+$Q56*$V56,Assumptions!$B$14)*Assumptions!$B$12,MIN(Y56+$Q56*$V56,Assumptions!$B$14)*Assumptions!$B$13),0)</f>
        <v>0</v>
      </c>
      <c r="AC56" s="249">
        <f>IF(AND(Y56&gt;0,$M56="Non-Saudi"),Assumptions!$B$25,0)</f>
        <v>910.41666666666663</v>
      </c>
      <c r="AD56" s="249">
        <f t="shared" si="3"/>
        <v>13250</v>
      </c>
      <c r="AE56" s="249">
        <f t="shared" si="4"/>
        <v>16750</v>
      </c>
      <c r="AF56" s="249">
        <f>IF(AND(AE56&gt;0,$N56&lt;&gt;""),IF((DATE(Assumptions!$B$4,2,28)-$N56)/365.25&lt;=Assumptions!$B$20,(DATE(Assumptions!$B$4,2,28)-$N56)/365.25*Assumptions!$B$18*AE56,(Assumptions!$B$20*Assumptions!$B$18+((DATE(Assumptions!$B$4,2,28)-$N56)/365.25-Assumptions!$B$20)*Assumptions!$B$19)*AE56),0)</f>
        <v>37627.310061601645</v>
      </c>
      <c r="AG56" s="249">
        <f>IF(AD56&gt;0,IF($M56="Saudi",MIN(AD56+$Q56*$V56,Assumptions!$B$14)*Assumptions!$B$12,MIN(AD56+$Q56*$V56,Assumptions!$B$14)*Assumptions!$B$13),0)</f>
        <v>0</v>
      </c>
      <c r="AH56" s="249">
        <f>IF(AND(AD56&gt;0,$M56="Non-Saudi"),Assumptions!$B$25,0)</f>
        <v>910.41666666666663</v>
      </c>
      <c r="AI56" s="249">
        <f t="shared" si="5"/>
        <v>13250</v>
      </c>
      <c r="AJ56" s="249">
        <f t="shared" si="6"/>
        <v>16750</v>
      </c>
      <c r="AK56" s="249">
        <f>IF(AND(AJ56&gt;0,$N56&lt;&gt;""),IF((DATE(Assumptions!$B$4,3,28)-$N56)/365.25&lt;=Assumptions!$B$20,(DATE(Assumptions!$B$4,3,28)-$N56)/365.25*Assumptions!$B$18*AJ56,(Assumptions!$B$20*Assumptions!$B$18+((DATE(Assumptions!$B$4,3,28)-$N56)/365.25-Assumptions!$B$20)*Assumptions!$B$19)*AJ56),0)</f>
        <v>38269.336071184123</v>
      </c>
      <c r="AL56" s="249">
        <f>IF(AI56&gt;0,IF($M56="Saudi",MIN(AI56+$Q56*$V56,Assumptions!$B$14)*Assumptions!$B$12,MIN(AI56+$Q56*$V56,Assumptions!$B$14)*Assumptions!$B$13),0)</f>
        <v>0</v>
      </c>
      <c r="AM56" s="249">
        <f>IF(AND(AI56&gt;0,$M56="Non-Saudi"),Assumptions!$B$25,0)</f>
        <v>910.41666666666663</v>
      </c>
      <c r="AN56" s="249">
        <f t="shared" si="7"/>
        <v>13250</v>
      </c>
      <c r="AO56" s="249">
        <f t="shared" si="8"/>
        <v>16750</v>
      </c>
      <c r="AP56" s="249">
        <f>IF(AND(AO56&gt;0,$N56&lt;&gt;""),IF((DATE(Assumptions!$B$4,4,28)-$N56)/365.25&lt;=Assumptions!$B$20,(DATE(Assumptions!$B$4,4,28)-$N56)/365.25*Assumptions!$B$18*AO56,(Assumptions!$B$20*Assumptions!$B$18+((DATE(Assumptions!$B$4,4,28)-$N56)/365.25-Assumptions!$B$20)*Assumptions!$B$19)*AO56),0)</f>
        <v>38980.150581793292</v>
      </c>
      <c r="AQ56" s="249">
        <f>IF(AN56&gt;0,IF($M56="Saudi",MIN(AN56+$Q56*$V56,Assumptions!$B$14)*Assumptions!$B$12,MIN(AN56+$Q56*$V56,Assumptions!$B$14)*Assumptions!$B$13),0)</f>
        <v>0</v>
      </c>
      <c r="AR56" s="249">
        <f>IF(AND(AN56&gt;0,$M56="Non-Saudi"),Assumptions!$B$25,0)</f>
        <v>910.41666666666663</v>
      </c>
      <c r="AS56" s="249">
        <f t="shared" si="9"/>
        <v>13250</v>
      </c>
      <c r="AT56" s="249">
        <f t="shared" si="10"/>
        <v>16750</v>
      </c>
      <c r="AU56" s="249">
        <f>IF(AND(AT56&gt;0,$N56&lt;&gt;""),IF((DATE(Assumptions!$B$4,5,28)-$N56)/365.25&lt;=Assumptions!$B$20,(DATE(Assumptions!$B$4,5,28)-$N56)/365.25*Assumptions!$B$18*AT56,(Assumptions!$B$20*Assumptions!$B$18+((DATE(Assumptions!$B$4,5,28)-$N56)/365.25-Assumptions!$B$20)*Assumptions!$B$19)*AT56),0)</f>
        <v>39668.035592060231</v>
      </c>
      <c r="AV56" s="249">
        <f>IF(AS56&gt;0,IF($M56="Saudi",MIN(AS56+$Q56*$V56,Assumptions!$B$14)*Assumptions!$B$12,MIN(AS56+$Q56*$V56,Assumptions!$B$14)*Assumptions!$B$13),0)</f>
        <v>0</v>
      </c>
      <c r="AW56" s="249">
        <f>IF(AND(AS56&gt;0,$M56="Non-Saudi"),Assumptions!$B$25,0)</f>
        <v>910.41666666666663</v>
      </c>
      <c r="AX56" s="249">
        <f t="shared" si="11"/>
        <v>13250</v>
      </c>
      <c r="AY56" s="249">
        <f t="shared" si="12"/>
        <v>16750</v>
      </c>
      <c r="AZ56" s="249">
        <f>IF(AND(AY56&gt;0,$N56&lt;&gt;""),IF((DATE(Assumptions!$B$4,6,28)-$N56)/365.25&lt;=Assumptions!$B$20,(DATE(Assumptions!$B$4,6,28)-$N56)/365.25*Assumptions!$B$18*AY56,(Assumptions!$B$20*Assumptions!$B$18+((DATE(Assumptions!$B$4,6,28)-$N56)/365.25-Assumptions!$B$20)*Assumptions!$B$19)*AY56),0)</f>
        <v>40378.850102669399</v>
      </c>
      <c r="BA56" s="249">
        <f>IF(AX56&gt;0,IF($M56="Saudi",MIN(AX56+$Q56*$V56,Assumptions!$B$14)*Assumptions!$B$12,MIN(AX56+$Q56*$V56,Assumptions!$B$14)*Assumptions!$B$13),0)</f>
        <v>0</v>
      </c>
      <c r="BB56" s="249">
        <f>IF(AND(AX56&gt;0,$M56="Non-Saudi"),Assumptions!$B$25,0)</f>
        <v>910.41666666666663</v>
      </c>
      <c r="BC56" s="249">
        <f t="shared" si="13"/>
        <v>13250</v>
      </c>
      <c r="BD56" s="249">
        <f t="shared" si="14"/>
        <v>16750</v>
      </c>
      <c r="BE56" s="249">
        <f>IF(AND(BD56&gt;0,$N56&lt;&gt;""),IF((DATE(Assumptions!$B$4,7,28)-$N56)/365.25&lt;=Assumptions!$B$20,(DATE(Assumptions!$B$4,7,28)-$N56)/365.25*Assumptions!$B$18*BD56,(Assumptions!$B$20*Assumptions!$B$18+((DATE(Assumptions!$B$4,7,28)-$N56)/365.25-Assumptions!$B$20)*Assumptions!$B$19)*BD56),0)</f>
        <v>41066.735112936345</v>
      </c>
      <c r="BF56" s="249">
        <f>IF(BC56&gt;0,IF($M56="Saudi",MIN(BC56+$Q56*$V56,Assumptions!$B$14)*Assumptions!$B$12,MIN(BC56+$Q56*$V56,Assumptions!$B$14)*Assumptions!$B$13),0)</f>
        <v>0</v>
      </c>
      <c r="BG56" s="249">
        <f>IF(AND(BC56&gt;0,$M56="Non-Saudi"),Assumptions!$B$25,0)</f>
        <v>910.41666666666663</v>
      </c>
      <c r="BH56" s="249">
        <f t="shared" si="15"/>
        <v>13250</v>
      </c>
      <c r="BI56" s="249">
        <f t="shared" si="16"/>
        <v>16750</v>
      </c>
      <c r="BJ56" s="249">
        <f>IF(AND(BI56&gt;0,$N56&lt;&gt;""),IF((DATE(Assumptions!$B$4,8,28)-$N56)/365.25&lt;=Assumptions!$B$20,(DATE(Assumptions!$B$4,8,28)-$N56)/365.25*Assumptions!$B$18*BI56,(Assumptions!$B$20*Assumptions!$B$18+((DATE(Assumptions!$B$4,8,28)-$N56)/365.25-Assumptions!$B$20)*Assumptions!$B$19)*BI56),0)</f>
        <v>41777.549623545521</v>
      </c>
      <c r="BK56" s="249">
        <f>IF(BH56&gt;0,IF($M56="Saudi",MIN(BH56+$Q56*$V56,Assumptions!$B$14)*Assumptions!$B$12,MIN(BH56+$Q56*$V56,Assumptions!$B$14)*Assumptions!$B$13),0)</f>
        <v>0</v>
      </c>
      <c r="BL56" s="249">
        <f>IF(AND(BH56&gt;0,$M56="Non-Saudi"),Assumptions!$B$25,0)</f>
        <v>910.41666666666663</v>
      </c>
      <c r="BM56" s="249">
        <f>IF(AND($D56="Contrat Local",$N56&lt;&gt;""),IF(AND(9&gt;=Assumptions!$B$5,ISNUMBER($X56),$N56&lt;EDATE(Assumptions!$B$9,-Assumptions!$B$6*12)),($P56+$X56)*$V56,$P56*$V56),0)</f>
        <v>13500</v>
      </c>
      <c r="BN56" s="249">
        <f t="shared" si="17"/>
        <v>17000</v>
      </c>
      <c r="BO56" s="249">
        <f>IF(AND(BN56&gt;0,$N56&lt;&gt;""),IF((DATE(Assumptions!$B$4,9,28)-$N56)/365.25&lt;=Assumptions!$B$20,(DATE(Assumptions!$B$4,9,28)-$N56)/365.25*Assumptions!$B$18*BN56,(Assumptions!$B$20*Assumptions!$B$18+((DATE(Assumptions!$B$4,9,28)-$N56)/365.25-Assumptions!$B$20)*Assumptions!$B$19)*BN56),0)</f>
        <v>43745.037645448327</v>
      </c>
      <c r="BP56" s="249">
        <f>IF(BM56&gt;0,IF($M56="Saudi",MIN(BM56+$Q56*$V56,Assumptions!$B$14)*Assumptions!$B$12,MIN(BM56+$Q56*$V56,Assumptions!$B$14)*Assumptions!$B$13),0)</f>
        <v>0</v>
      </c>
      <c r="BQ56" s="249">
        <f>IF(AND(BM56&gt;0,$M56="Non-Saudi"),Assumptions!$B$25,0)</f>
        <v>910.41666666666663</v>
      </c>
      <c r="BR56" s="249">
        <f>IF(AND($D56="Contrat Local",$N56&lt;&gt;""),IF(AND(10&gt;=Assumptions!$B$5,ISNUMBER($X56),$N56&lt;EDATE(Assumptions!$B$9,-Assumptions!$B$6*12)),($P56+$X56)*$V56,$P56*$V56),0)</f>
        <v>13500</v>
      </c>
      <c r="BS56" s="249">
        <f t="shared" si="18"/>
        <v>17000</v>
      </c>
      <c r="BT56" s="249">
        <f>IF(AND(BS56&gt;0,$N56&lt;&gt;""),IF((DATE(Assumptions!$B$4,10,28)-$N56)/365.25&lt;=Assumptions!$B$20,(DATE(Assumptions!$B$4,10,28)-$N56)/365.25*Assumptions!$B$18*BS56,(Assumptions!$B$20*Assumptions!$B$18+((DATE(Assumptions!$B$4,10,28)-$N56)/365.25-Assumptions!$B$20)*Assumptions!$B$19)*BS56),0)</f>
        <v>45141.341546885698</v>
      </c>
      <c r="BU56" s="249">
        <f>IF(BR56&gt;0,IF($M56="Saudi",MIN(BR56+$Q56*$V56,Assumptions!$B$14)*Assumptions!$B$12,MIN(BR56+$Q56*$V56,Assumptions!$B$14)*Assumptions!$B$13),0)</f>
        <v>0</v>
      </c>
      <c r="BV56" s="249">
        <f>IF(AND(BR56&gt;0,$M56="Non-Saudi"),Assumptions!$B$25,0)</f>
        <v>910.41666666666663</v>
      </c>
      <c r="BW56" s="249">
        <f>IF(AND($D56="Contrat Local",$N56&lt;&gt;""),IF(AND(11&gt;=Assumptions!$B$5,ISNUMBER($X56),$N56&lt;EDATE(Assumptions!$B$9,-Assumptions!$B$6*12)),($P56+$X56)*$V56,$P56*$V56),0)</f>
        <v>13500</v>
      </c>
      <c r="BX56" s="249">
        <f t="shared" si="19"/>
        <v>17000</v>
      </c>
      <c r="BY56" s="249">
        <f>IF(AND(BX56&gt;0,$N56&lt;&gt;""),IF((DATE(Assumptions!$B$4,11,28)-$N56)/365.25&lt;=Assumptions!$B$20,(DATE(Assumptions!$B$4,11,28)-$N56)/365.25*Assumptions!$B$18*BX56,(Assumptions!$B$20*Assumptions!$B$18+((DATE(Assumptions!$B$4,11,28)-$N56)/365.25-Assumptions!$B$20)*Assumptions!$B$19)*BX56),0)</f>
        <v>46584.18891170431</v>
      </c>
      <c r="BZ56" s="249">
        <f>IF(BW56&gt;0,IF($M56="Saudi",MIN(BW56+$Q56*$V56,Assumptions!$B$14)*Assumptions!$B$12,MIN(BW56+$Q56*$V56,Assumptions!$B$14)*Assumptions!$B$13),0)</f>
        <v>0</v>
      </c>
      <c r="CA56" s="249">
        <f>IF(AND(BW56&gt;0,$M56="Non-Saudi"),Assumptions!$B$25,0)</f>
        <v>910.41666666666663</v>
      </c>
      <c r="CB56" s="249">
        <f>IF(AND($D56="Contrat Local",$N56&lt;&gt;""),IF(AND(12&gt;=Assumptions!$B$5,ISNUMBER($X56),$N56&lt;EDATE(Assumptions!$B$9,-Assumptions!$B$6*12)),($P56+$X56)*$V56,$P56*$V56),0)</f>
        <v>13500</v>
      </c>
      <c r="CC56" s="249">
        <f t="shared" si="20"/>
        <v>17000</v>
      </c>
      <c r="CD56" s="249">
        <f>IF(AND(CC56&gt;0,$N56&lt;&gt;""),IF((DATE(Assumptions!$B$4,12,28)-$N56)/365.25&lt;=Assumptions!$B$20,(DATE(Assumptions!$B$4,12,28)-$N56)/365.25*Assumptions!$B$18*CC56,(Assumptions!$B$20*Assumptions!$B$18+((DATE(Assumptions!$B$4,12,28)-$N56)/365.25-Assumptions!$B$20)*Assumptions!$B$19)*CC56),0)</f>
        <v>47980.492813141682</v>
      </c>
      <c r="CE56" s="249">
        <f>IF(CB56&gt;0,IF($M56="Saudi",MIN(CB56+$Q56*$V56,Assumptions!$B$14)*Assumptions!$B$12,MIN(CB56+$Q56*$V56,Assumptions!$B$14)*Assumptions!$B$13),0)</f>
        <v>0</v>
      </c>
      <c r="CF56" s="249">
        <f>IF(AND(CB56&gt;0,$M56="Non-Saudi"),Assumptions!$B$25,0)</f>
        <v>910.41666666666663</v>
      </c>
      <c r="CG56" s="249">
        <f t="shared" si="21"/>
        <v>160000</v>
      </c>
      <c r="CH56" s="249">
        <f t="shared" si="22"/>
        <v>202000</v>
      </c>
      <c r="CI56" s="249">
        <f>CD56-IF(AND(Z56&gt;0,$N56&lt;&gt;""),IF((DATE(Assumptions!$B$4-1,12,28)-$N56)/365.25&lt;=Assumptions!$B$20,(DATE(Assumptions!$B$4-1,12,28)-$N56)/365.25*Assumptions!$B$18*Z56,(Assumptions!$B$20*Assumptions!$B$18+((DATE(Assumptions!$B$4-1,12,28)-$N56)/365.25-Assumptions!$B$20)*Assumptions!$B$19)*Z56),0)</f>
        <v>11774.811772758389</v>
      </c>
      <c r="CJ56" s="249">
        <f t="shared" si="23"/>
        <v>0</v>
      </c>
      <c r="CK56" s="249">
        <f t="shared" si="24"/>
        <v>10924.999999999998</v>
      </c>
    </row>
    <row r="57" spans="1:89" x14ac:dyDescent="0.2">
      <c r="A57" s="264">
        <v>54</v>
      </c>
      <c r="B57" s="265" t="s">
        <v>393</v>
      </c>
      <c r="C57" s="265" t="s">
        <v>394</v>
      </c>
      <c r="D57" s="265" t="s">
        <v>250</v>
      </c>
      <c r="E57" s="265" t="s">
        <v>767</v>
      </c>
      <c r="F57" s="265" t="s">
        <v>302</v>
      </c>
      <c r="G57" s="265" t="s">
        <v>8</v>
      </c>
      <c r="H57" s="265" t="s">
        <v>395</v>
      </c>
      <c r="I57" s="284" t="s">
        <v>691</v>
      </c>
      <c r="J57" s="265" t="s">
        <v>58</v>
      </c>
      <c r="K57" s="265" t="s">
        <v>8</v>
      </c>
      <c r="L57" s="265" t="s">
        <v>255</v>
      </c>
      <c r="M57" s="265" t="str">
        <f t="shared" si="25"/>
        <v>Non-Saudi</v>
      </c>
      <c r="N57" s="266">
        <v>45170</v>
      </c>
      <c r="O57" s="267">
        <v>3.3</v>
      </c>
      <c r="P57" s="268">
        <v>10250</v>
      </c>
      <c r="Q57" s="268">
        <v>2500</v>
      </c>
      <c r="R57" s="268">
        <v>500</v>
      </c>
      <c r="S57" s="268"/>
      <c r="T57" s="268"/>
      <c r="U57" s="268">
        <v>13250</v>
      </c>
      <c r="V57" s="269">
        <v>1</v>
      </c>
      <c r="W57" s="265" t="s">
        <v>259</v>
      </c>
      <c r="X57" s="265">
        <v>1250</v>
      </c>
      <c r="Y57" s="249">
        <f t="shared" si="1"/>
        <v>10250</v>
      </c>
      <c r="Z57" s="249">
        <f t="shared" si="2"/>
        <v>13250</v>
      </c>
      <c r="AA57" s="249">
        <f>IF(AND(Z57&gt;0,$N57&lt;&gt;""),IF((DATE(Assumptions!$B$4,1,28)-$N57)/365.25&lt;=Assumptions!$B$20,(DATE(Assumptions!$B$4,1,28)-$N57)/365.25*Assumptions!$B$18*Z57,(Assumptions!$B$20*Assumptions!$B$18+((DATE(Assumptions!$B$4,1,28)-$N57)/365.25-Assumptions!$B$20)*Assumptions!$B$19)*Z57),0)</f>
        <v>15961.67008898015</v>
      </c>
      <c r="AB57" s="249">
        <f>IF(Y57&gt;0,IF($M57="Saudi",MIN(Y57+$Q57*$V57,Assumptions!$B$14)*Assumptions!$B$12,MIN(Y57+$Q57*$V57,Assumptions!$B$14)*Assumptions!$B$13),0)</f>
        <v>0</v>
      </c>
      <c r="AC57" s="249">
        <f>IF(AND(Y57&gt;0,$M57="Non-Saudi"),Assumptions!$B$25,0)</f>
        <v>910.41666666666663</v>
      </c>
      <c r="AD57" s="249">
        <f t="shared" si="3"/>
        <v>10250</v>
      </c>
      <c r="AE57" s="249">
        <f t="shared" si="4"/>
        <v>13250</v>
      </c>
      <c r="AF57" s="249">
        <f>IF(AND(AE57&gt;0,$N57&lt;&gt;""),IF((DATE(Assumptions!$B$4,2,28)-$N57)/365.25&lt;=Assumptions!$B$20,(DATE(Assumptions!$B$4,2,28)-$N57)/365.25*Assumptions!$B$18*AE57,(Assumptions!$B$20*Assumptions!$B$18+((DATE(Assumptions!$B$4,2,28)-$N57)/365.25-Assumptions!$B$20)*Assumptions!$B$19)*AE57),0)</f>
        <v>16523.956194387407</v>
      </c>
      <c r="AG57" s="249">
        <f>IF(AD57&gt;0,IF($M57="Saudi",MIN(AD57+$Q57*$V57,Assumptions!$B$14)*Assumptions!$B$12,MIN(AD57+$Q57*$V57,Assumptions!$B$14)*Assumptions!$B$13),0)</f>
        <v>0</v>
      </c>
      <c r="AH57" s="249">
        <f>IF(AND(AD57&gt;0,$M57="Non-Saudi"),Assumptions!$B$25,0)</f>
        <v>910.41666666666663</v>
      </c>
      <c r="AI57" s="249">
        <f t="shared" si="5"/>
        <v>10250</v>
      </c>
      <c r="AJ57" s="249">
        <f t="shared" si="6"/>
        <v>13250</v>
      </c>
      <c r="AK57" s="249">
        <f>IF(AND(AJ57&gt;0,$N57&lt;&gt;""),IF((DATE(Assumptions!$B$4,3,28)-$N57)/365.25&lt;=Assumptions!$B$20,(DATE(Assumptions!$B$4,3,28)-$N57)/365.25*Assumptions!$B$18*AJ57,(Assumptions!$B$20*Assumptions!$B$18+((DATE(Assumptions!$B$4,3,28)-$N57)/365.25-Assumptions!$B$20)*Assumptions!$B$19)*AJ57),0)</f>
        <v>17031.827515400411</v>
      </c>
      <c r="AL57" s="249">
        <f>IF(AI57&gt;0,IF($M57="Saudi",MIN(AI57+$Q57*$V57,Assumptions!$B$14)*Assumptions!$B$12,MIN(AI57+$Q57*$V57,Assumptions!$B$14)*Assumptions!$B$13),0)</f>
        <v>0</v>
      </c>
      <c r="AM57" s="249">
        <f>IF(AND(AI57&gt;0,$M57="Non-Saudi"),Assumptions!$B$25,0)</f>
        <v>910.41666666666663</v>
      </c>
      <c r="AN57" s="249">
        <f t="shared" si="7"/>
        <v>10250</v>
      </c>
      <c r="AO57" s="249">
        <f t="shared" si="8"/>
        <v>13250</v>
      </c>
      <c r="AP57" s="249">
        <f>IF(AND(AO57&gt;0,$N57&lt;&gt;""),IF((DATE(Assumptions!$B$4,4,28)-$N57)/365.25&lt;=Assumptions!$B$20,(DATE(Assumptions!$B$4,4,28)-$N57)/365.25*Assumptions!$B$18*AO57,(Assumptions!$B$20*Assumptions!$B$18+((DATE(Assumptions!$B$4,4,28)-$N57)/365.25-Assumptions!$B$20)*Assumptions!$B$19)*AO57),0)</f>
        <v>17594.113620807664</v>
      </c>
      <c r="AQ57" s="249">
        <f>IF(AN57&gt;0,IF($M57="Saudi",MIN(AN57+$Q57*$V57,Assumptions!$B$14)*Assumptions!$B$12,MIN(AN57+$Q57*$V57,Assumptions!$B$14)*Assumptions!$B$13),0)</f>
        <v>0</v>
      </c>
      <c r="AR57" s="249">
        <f>IF(AND(AN57&gt;0,$M57="Non-Saudi"),Assumptions!$B$25,0)</f>
        <v>910.41666666666663</v>
      </c>
      <c r="AS57" s="249">
        <f t="shared" si="9"/>
        <v>10250</v>
      </c>
      <c r="AT57" s="249">
        <f t="shared" si="10"/>
        <v>13250</v>
      </c>
      <c r="AU57" s="249">
        <f>IF(AND(AT57&gt;0,$N57&lt;&gt;""),IF((DATE(Assumptions!$B$4,5,28)-$N57)/365.25&lt;=Assumptions!$B$20,(DATE(Assumptions!$B$4,5,28)-$N57)/365.25*Assumptions!$B$18*AT57,(Assumptions!$B$20*Assumptions!$B$18+((DATE(Assumptions!$B$4,5,28)-$N57)/365.25-Assumptions!$B$20)*Assumptions!$B$19)*AT57),0)</f>
        <v>18138.261464750169</v>
      </c>
      <c r="AV57" s="249">
        <f>IF(AS57&gt;0,IF($M57="Saudi",MIN(AS57+$Q57*$V57,Assumptions!$B$14)*Assumptions!$B$12,MIN(AS57+$Q57*$V57,Assumptions!$B$14)*Assumptions!$B$13),0)</f>
        <v>0</v>
      </c>
      <c r="AW57" s="249">
        <f>IF(AND(AS57&gt;0,$M57="Non-Saudi"),Assumptions!$B$25,0)</f>
        <v>910.41666666666663</v>
      </c>
      <c r="AX57" s="249">
        <f t="shared" si="11"/>
        <v>10250</v>
      </c>
      <c r="AY57" s="249">
        <f t="shared" si="12"/>
        <v>13250</v>
      </c>
      <c r="AZ57" s="249">
        <f>IF(AND(AY57&gt;0,$N57&lt;&gt;""),IF((DATE(Assumptions!$B$4,6,28)-$N57)/365.25&lt;=Assumptions!$B$20,(DATE(Assumptions!$B$4,6,28)-$N57)/365.25*Assumptions!$B$18*AY57,(Assumptions!$B$20*Assumptions!$B$18+((DATE(Assumptions!$B$4,6,28)-$N57)/365.25-Assumptions!$B$20)*Assumptions!$B$19)*AY57),0)</f>
        <v>18700.547570157429</v>
      </c>
      <c r="BA57" s="249">
        <f>IF(AX57&gt;0,IF($M57="Saudi",MIN(AX57+$Q57*$V57,Assumptions!$B$14)*Assumptions!$B$12,MIN(AX57+$Q57*$V57,Assumptions!$B$14)*Assumptions!$B$13),0)</f>
        <v>0</v>
      </c>
      <c r="BB57" s="249">
        <f>IF(AND(AX57&gt;0,$M57="Non-Saudi"),Assumptions!$B$25,0)</f>
        <v>910.41666666666663</v>
      </c>
      <c r="BC57" s="249">
        <f t="shared" si="13"/>
        <v>10250</v>
      </c>
      <c r="BD57" s="249">
        <f t="shared" si="14"/>
        <v>13250</v>
      </c>
      <c r="BE57" s="249">
        <f>IF(AND(BD57&gt;0,$N57&lt;&gt;""),IF((DATE(Assumptions!$B$4,7,28)-$N57)/365.25&lt;=Assumptions!$B$20,(DATE(Assumptions!$B$4,7,28)-$N57)/365.25*Assumptions!$B$18*BD57,(Assumptions!$B$20*Assumptions!$B$18+((DATE(Assumptions!$B$4,7,28)-$N57)/365.25-Assumptions!$B$20)*Assumptions!$B$19)*BD57),0)</f>
        <v>19244.695414099933</v>
      </c>
      <c r="BF57" s="249">
        <f>IF(BC57&gt;0,IF($M57="Saudi",MIN(BC57+$Q57*$V57,Assumptions!$B$14)*Assumptions!$B$12,MIN(BC57+$Q57*$V57,Assumptions!$B$14)*Assumptions!$B$13),0)</f>
        <v>0</v>
      </c>
      <c r="BG57" s="249">
        <f>IF(AND(BC57&gt;0,$M57="Non-Saudi"),Assumptions!$B$25,0)</f>
        <v>910.41666666666663</v>
      </c>
      <c r="BH57" s="249">
        <f t="shared" si="15"/>
        <v>10250</v>
      </c>
      <c r="BI57" s="249">
        <f t="shared" si="16"/>
        <v>13250</v>
      </c>
      <c r="BJ57" s="249">
        <f>IF(AND(BI57&gt;0,$N57&lt;&gt;""),IF((DATE(Assumptions!$B$4,8,28)-$N57)/365.25&lt;=Assumptions!$B$20,(DATE(Assumptions!$B$4,8,28)-$N57)/365.25*Assumptions!$B$18*BI57,(Assumptions!$B$20*Assumptions!$B$18+((DATE(Assumptions!$B$4,8,28)-$N57)/365.25-Assumptions!$B$20)*Assumptions!$B$19)*BI57),0)</f>
        <v>19806.981519507186</v>
      </c>
      <c r="BK57" s="249">
        <f>IF(BH57&gt;0,IF($M57="Saudi",MIN(BH57+$Q57*$V57,Assumptions!$B$14)*Assumptions!$B$12,MIN(BH57+$Q57*$V57,Assumptions!$B$14)*Assumptions!$B$13),0)</f>
        <v>0</v>
      </c>
      <c r="BL57" s="249">
        <f>IF(AND(BH57&gt;0,$M57="Non-Saudi"),Assumptions!$B$25,0)</f>
        <v>910.41666666666663</v>
      </c>
      <c r="BM57" s="249">
        <f>IF(AND($D57="Contrat Local",$N57&lt;&gt;""),IF(AND(9&gt;=Assumptions!$B$5,ISNUMBER($X57),$N57&lt;EDATE(Assumptions!$B$9,-Assumptions!$B$6*12)),($P57+$X57)*$V57,$P57*$V57),0)</f>
        <v>11500</v>
      </c>
      <c r="BN57" s="249">
        <f t="shared" si="17"/>
        <v>14500</v>
      </c>
      <c r="BO57" s="249">
        <f>IF(AND(BN57&gt;0,$N57&lt;&gt;""),IF((DATE(Assumptions!$B$4,9,28)-$N57)/365.25&lt;=Assumptions!$B$20,(DATE(Assumptions!$B$4,9,28)-$N57)/365.25*Assumptions!$B$18*BN57,(Assumptions!$B$20*Assumptions!$B$18+((DATE(Assumptions!$B$4,9,28)-$N57)/365.25-Assumptions!$B$20)*Assumptions!$B$19)*BN57),0)</f>
        <v>22290.896646132787</v>
      </c>
      <c r="BP57" s="249">
        <f>IF(BM57&gt;0,IF($M57="Saudi",MIN(BM57+$Q57*$V57,Assumptions!$B$14)*Assumptions!$B$12,MIN(BM57+$Q57*$V57,Assumptions!$B$14)*Assumptions!$B$13),0)</f>
        <v>0</v>
      </c>
      <c r="BQ57" s="249">
        <f>IF(AND(BM57&gt;0,$M57="Non-Saudi"),Assumptions!$B$25,0)</f>
        <v>910.41666666666663</v>
      </c>
      <c r="BR57" s="249">
        <f>IF(AND($D57="Contrat Local",$N57&lt;&gt;""),IF(AND(10&gt;=Assumptions!$B$5,ISNUMBER($X57),$N57&lt;EDATE(Assumptions!$B$9,-Assumptions!$B$6*12)),($P57+$X57)*$V57,$P57*$V57),0)</f>
        <v>11500</v>
      </c>
      <c r="BS57" s="249">
        <f t="shared" si="18"/>
        <v>14500</v>
      </c>
      <c r="BT57" s="249">
        <f>IF(AND(BS57&gt;0,$N57&lt;&gt;""),IF((DATE(Assumptions!$B$4,10,28)-$N57)/365.25&lt;=Assumptions!$B$20,(DATE(Assumptions!$B$4,10,28)-$N57)/365.25*Assumptions!$B$18*BS57,(Assumptions!$B$20*Assumptions!$B$18+((DATE(Assumptions!$B$4,10,28)-$N57)/365.25-Assumptions!$B$20)*Assumptions!$B$19)*BS57),0)</f>
        <v>22886.379192334018</v>
      </c>
      <c r="BU57" s="249">
        <f>IF(BR57&gt;0,IF($M57="Saudi",MIN(BR57+$Q57*$V57,Assumptions!$B$14)*Assumptions!$B$12,MIN(BR57+$Q57*$V57,Assumptions!$B$14)*Assumptions!$B$13),0)</f>
        <v>0</v>
      </c>
      <c r="BV57" s="249">
        <f>IF(AND(BR57&gt;0,$M57="Non-Saudi"),Assumptions!$B$25,0)</f>
        <v>910.41666666666663</v>
      </c>
      <c r="BW57" s="249">
        <f>IF(AND($D57="Contrat Local",$N57&lt;&gt;""),IF(AND(11&gt;=Assumptions!$B$5,ISNUMBER($X57),$N57&lt;EDATE(Assumptions!$B$9,-Assumptions!$B$6*12)),($P57+$X57)*$V57,$P57*$V57),0)</f>
        <v>11500</v>
      </c>
      <c r="BX57" s="249">
        <f t="shared" si="19"/>
        <v>14500</v>
      </c>
      <c r="BY57" s="249">
        <f>IF(AND(BX57&gt;0,$N57&lt;&gt;""),IF((DATE(Assumptions!$B$4,11,28)-$N57)/365.25&lt;=Assumptions!$B$20,(DATE(Assumptions!$B$4,11,28)-$N57)/365.25*Assumptions!$B$18*BX57,(Assumptions!$B$20*Assumptions!$B$18+((DATE(Assumptions!$B$4,11,28)-$N57)/365.25-Assumptions!$B$20)*Assumptions!$B$19)*BX57),0)</f>
        <v>23501.711156741956</v>
      </c>
      <c r="BZ57" s="249">
        <f>IF(BW57&gt;0,IF($M57="Saudi",MIN(BW57+$Q57*$V57,Assumptions!$B$14)*Assumptions!$B$12,MIN(BW57+$Q57*$V57,Assumptions!$B$14)*Assumptions!$B$13),0)</f>
        <v>0</v>
      </c>
      <c r="CA57" s="249">
        <f>IF(AND(BW57&gt;0,$M57="Non-Saudi"),Assumptions!$B$25,0)</f>
        <v>910.41666666666663</v>
      </c>
      <c r="CB57" s="249">
        <f>IF(AND($D57="Contrat Local",$N57&lt;&gt;""),IF(AND(12&gt;=Assumptions!$B$5,ISNUMBER($X57),$N57&lt;EDATE(Assumptions!$B$9,-Assumptions!$B$6*12)),($P57+$X57)*$V57,$P57*$V57),0)</f>
        <v>11500</v>
      </c>
      <c r="CC57" s="249">
        <f t="shared" si="20"/>
        <v>14500</v>
      </c>
      <c r="CD57" s="249">
        <f>IF(AND(CC57&gt;0,$N57&lt;&gt;""),IF((DATE(Assumptions!$B$4,12,28)-$N57)/365.25&lt;=Assumptions!$B$20,(DATE(Assumptions!$B$4,12,28)-$N57)/365.25*Assumptions!$B$18*CC57,(Assumptions!$B$20*Assumptions!$B$18+((DATE(Assumptions!$B$4,12,28)-$N57)/365.25-Assumptions!$B$20)*Assumptions!$B$19)*CC57),0)</f>
        <v>24097.193702943187</v>
      </c>
      <c r="CE57" s="249">
        <f>IF(CB57&gt;0,IF($M57="Saudi",MIN(CB57+$Q57*$V57,Assumptions!$B$14)*Assumptions!$B$12,MIN(CB57+$Q57*$V57,Assumptions!$B$14)*Assumptions!$B$13),0)</f>
        <v>0</v>
      </c>
      <c r="CF57" s="249">
        <f>IF(AND(CB57&gt;0,$M57="Non-Saudi"),Assumptions!$B$25,0)</f>
        <v>910.41666666666663</v>
      </c>
      <c r="CG57" s="249">
        <f t="shared" si="21"/>
        <v>128000</v>
      </c>
      <c r="CH57" s="249">
        <f t="shared" si="22"/>
        <v>164000</v>
      </c>
      <c r="CI57" s="249">
        <f>CD57-IF(AND(Z57&gt;0,$N57&lt;&gt;""),IF((DATE(Assumptions!$B$4-1,12,28)-$N57)/365.25&lt;=Assumptions!$B$20,(DATE(Assumptions!$B$4-1,12,28)-$N57)/365.25*Assumptions!$B$18*Z57,(Assumptions!$B$20*Assumptions!$B$18+((DATE(Assumptions!$B$4-1,12,28)-$N57)/365.25-Assumptions!$B$20)*Assumptions!$B$19)*Z57),0)</f>
        <v>8697.8097193702906</v>
      </c>
      <c r="CJ57" s="249">
        <f t="shared" si="23"/>
        <v>0</v>
      </c>
      <c r="CK57" s="249">
        <f t="shared" si="24"/>
        <v>10924.999999999998</v>
      </c>
    </row>
    <row r="58" spans="1:89" x14ac:dyDescent="0.2">
      <c r="A58" s="276">
        <v>55</v>
      </c>
      <c r="B58" s="277" t="s">
        <v>396</v>
      </c>
      <c r="C58" s="277" t="s">
        <v>397</v>
      </c>
      <c r="D58" s="277" t="s">
        <v>250</v>
      </c>
      <c r="E58" s="277" t="s">
        <v>767</v>
      </c>
      <c r="F58" s="277" t="s">
        <v>302</v>
      </c>
      <c r="G58" s="277" t="s">
        <v>303</v>
      </c>
      <c r="H58" s="277" t="s">
        <v>341</v>
      </c>
      <c r="I58" s="287" t="s">
        <v>691</v>
      </c>
      <c r="J58" s="277" t="s">
        <v>104</v>
      </c>
      <c r="K58" s="277" t="s">
        <v>254</v>
      </c>
      <c r="L58" s="277" t="s">
        <v>255</v>
      </c>
      <c r="M58" s="277" t="str">
        <f t="shared" si="25"/>
        <v>Non-Saudi</v>
      </c>
      <c r="N58" s="278">
        <v>44440</v>
      </c>
      <c r="O58" s="279">
        <v>5.3</v>
      </c>
      <c r="P58" s="280">
        <v>8250</v>
      </c>
      <c r="Q58" s="280">
        <v>2292</v>
      </c>
      <c r="R58" s="280">
        <v>458</v>
      </c>
      <c r="S58" s="280"/>
      <c r="T58" s="280"/>
      <c r="U58" s="280">
        <v>11000</v>
      </c>
      <c r="V58" s="281">
        <v>0.91666666666666696</v>
      </c>
      <c r="W58" s="277" t="s">
        <v>256</v>
      </c>
      <c r="X58" s="277">
        <v>250</v>
      </c>
      <c r="Y58" s="249">
        <f t="shared" si="1"/>
        <v>7562.5000000000027</v>
      </c>
      <c r="Z58" s="249">
        <f t="shared" si="2"/>
        <v>10083.333333333336</v>
      </c>
      <c r="AA58" s="249">
        <f>IF(AND(Z58&gt;0,$N58&lt;&gt;""),IF((DATE(Assumptions!$B$4,1,28)-$N58)/365.25&lt;=Assumptions!$B$20,(DATE(Assumptions!$B$4,1,28)-$N58)/365.25*Assumptions!$B$18*Z58,(Assumptions!$B$20*Assumptions!$B$18+((DATE(Assumptions!$B$4,1,28)-$N58)/365.25-Assumptions!$B$20)*Assumptions!$B$19)*Z58),0)</f>
        <v>22223.362993383533</v>
      </c>
      <c r="AB58" s="249">
        <f>IF(Y58&gt;0,IF($M58="Saudi",MIN(Y58+$Q58*$V58,Assumptions!$B$14)*Assumptions!$B$12,MIN(Y58+$Q58*$V58,Assumptions!$B$14)*Assumptions!$B$13),0)</f>
        <v>0</v>
      </c>
      <c r="AC58" s="249">
        <f>IF(AND(Y58&gt;0,$M58="Non-Saudi"),Assumptions!$B$25,0)</f>
        <v>910.41666666666663</v>
      </c>
      <c r="AD58" s="249">
        <f t="shared" si="3"/>
        <v>7562.5000000000027</v>
      </c>
      <c r="AE58" s="249">
        <f t="shared" si="4"/>
        <v>10083.333333333336</v>
      </c>
      <c r="AF58" s="249">
        <f>IF(AND(AE58&gt;0,$N58&lt;&gt;""),IF((DATE(Assumptions!$B$4,2,28)-$N58)/365.25&lt;=Assumptions!$B$20,(DATE(Assumptions!$B$4,2,28)-$N58)/365.25*Assumptions!$B$18*AE58,(Assumptions!$B$20*Assumptions!$B$18+((DATE(Assumptions!$B$4,2,28)-$N58)/365.25-Assumptions!$B$20)*Assumptions!$B$19)*AE58),0)</f>
        <v>22651.266255989056</v>
      </c>
      <c r="AG58" s="249">
        <f>IF(AD58&gt;0,IF($M58="Saudi",MIN(AD58+$Q58*$V58,Assumptions!$B$14)*Assumptions!$B$12,MIN(AD58+$Q58*$V58,Assumptions!$B$14)*Assumptions!$B$13),0)</f>
        <v>0</v>
      </c>
      <c r="AH58" s="249">
        <f>IF(AND(AD58&gt;0,$M58="Non-Saudi"),Assumptions!$B$25,0)</f>
        <v>910.41666666666663</v>
      </c>
      <c r="AI58" s="249">
        <f t="shared" si="5"/>
        <v>7562.5000000000027</v>
      </c>
      <c r="AJ58" s="249">
        <f t="shared" si="6"/>
        <v>10083.333333333336</v>
      </c>
      <c r="AK58" s="249">
        <f>IF(AND(AJ58&gt;0,$N58&lt;&gt;""),IF((DATE(Assumptions!$B$4,3,28)-$N58)/365.25&lt;=Assumptions!$B$20,(DATE(Assumptions!$B$4,3,28)-$N58)/365.25*Assumptions!$B$18*AJ58,(Assumptions!$B$20*Assumptions!$B$18+((DATE(Assumptions!$B$4,3,28)-$N58)/365.25-Assumptions!$B$20)*Assumptions!$B$19)*AJ58),0)</f>
        <v>23037.759525439204</v>
      </c>
      <c r="AL58" s="249">
        <f>IF(AI58&gt;0,IF($M58="Saudi",MIN(AI58+$Q58*$V58,Assumptions!$B$14)*Assumptions!$B$12,MIN(AI58+$Q58*$V58,Assumptions!$B$14)*Assumptions!$B$13),0)</f>
        <v>0</v>
      </c>
      <c r="AM58" s="249">
        <f>IF(AND(AI58&gt;0,$M58="Non-Saudi"),Assumptions!$B$25,0)</f>
        <v>910.41666666666663</v>
      </c>
      <c r="AN58" s="249">
        <f t="shared" si="7"/>
        <v>7562.5000000000027</v>
      </c>
      <c r="AO58" s="249">
        <f t="shared" si="8"/>
        <v>10083.333333333336</v>
      </c>
      <c r="AP58" s="249">
        <f>IF(AND(AO58&gt;0,$N58&lt;&gt;""),IF((DATE(Assumptions!$B$4,4,28)-$N58)/365.25&lt;=Assumptions!$B$20,(DATE(Assumptions!$B$4,4,28)-$N58)/365.25*Assumptions!$B$18*AO58,(Assumptions!$B$20*Assumptions!$B$18+((DATE(Assumptions!$B$4,4,28)-$N58)/365.25-Assumptions!$B$20)*Assumptions!$B$19)*AO58),0)</f>
        <v>23465.662788044723</v>
      </c>
      <c r="AQ58" s="249">
        <f>IF(AN58&gt;0,IF($M58="Saudi",MIN(AN58+$Q58*$V58,Assumptions!$B$14)*Assumptions!$B$12,MIN(AN58+$Q58*$V58,Assumptions!$B$14)*Assumptions!$B$13),0)</f>
        <v>0</v>
      </c>
      <c r="AR58" s="249">
        <f>IF(AND(AN58&gt;0,$M58="Non-Saudi"),Assumptions!$B$25,0)</f>
        <v>910.41666666666663</v>
      </c>
      <c r="AS58" s="249">
        <f t="shared" si="9"/>
        <v>7562.5000000000027</v>
      </c>
      <c r="AT58" s="249">
        <f t="shared" si="10"/>
        <v>10083.333333333336</v>
      </c>
      <c r="AU58" s="249">
        <f>IF(AND(AT58&gt;0,$N58&lt;&gt;""),IF((DATE(Assumptions!$B$4,5,28)-$N58)/365.25&lt;=Assumptions!$B$20,(DATE(Assumptions!$B$4,5,28)-$N58)/365.25*Assumptions!$B$18*AT58,(Assumptions!$B$20*Assumptions!$B$18+((DATE(Assumptions!$B$4,5,28)-$N58)/365.25-Assumptions!$B$20)*Assumptions!$B$19)*AT58),0)</f>
        <v>23879.762719598453</v>
      </c>
      <c r="AV58" s="249">
        <f>IF(AS58&gt;0,IF($M58="Saudi",MIN(AS58+$Q58*$V58,Assumptions!$B$14)*Assumptions!$B$12,MIN(AS58+$Q58*$V58,Assumptions!$B$14)*Assumptions!$B$13),0)</f>
        <v>0</v>
      </c>
      <c r="AW58" s="249">
        <f>IF(AND(AS58&gt;0,$M58="Non-Saudi"),Assumptions!$B$25,0)</f>
        <v>910.41666666666663</v>
      </c>
      <c r="AX58" s="249">
        <f t="shared" si="11"/>
        <v>7562.5000000000027</v>
      </c>
      <c r="AY58" s="249">
        <f t="shared" si="12"/>
        <v>10083.333333333336</v>
      </c>
      <c r="AZ58" s="249">
        <f>IF(AND(AY58&gt;0,$N58&lt;&gt;""),IF((DATE(Assumptions!$B$4,6,28)-$N58)/365.25&lt;=Assumptions!$B$20,(DATE(Assumptions!$B$4,6,28)-$N58)/365.25*Assumptions!$B$18*AY58,(Assumptions!$B$20*Assumptions!$B$18+((DATE(Assumptions!$B$4,6,28)-$N58)/365.25-Assumptions!$B$20)*Assumptions!$B$19)*AY58),0)</f>
        <v>24307.665982203973</v>
      </c>
      <c r="BA58" s="249">
        <f>IF(AX58&gt;0,IF($M58="Saudi",MIN(AX58+$Q58*$V58,Assumptions!$B$14)*Assumptions!$B$12,MIN(AX58+$Q58*$V58,Assumptions!$B$14)*Assumptions!$B$13),0)</f>
        <v>0</v>
      </c>
      <c r="BB58" s="249">
        <f>IF(AND(AX58&gt;0,$M58="Non-Saudi"),Assumptions!$B$25,0)</f>
        <v>910.41666666666663</v>
      </c>
      <c r="BC58" s="249">
        <f t="shared" si="13"/>
        <v>7562.5000000000027</v>
      </c>
      <c r="BD58" s="249">
        <f t="shared" si="14"/>
        <v>10083.333333333336</v>
      </c>
      <c r="BE58" s="249">
        <f>IF(AND(BD58&gt;0,$N58&lt;&gt;""),IF((DATE(Assumptions!$B$4,7,28)-$N58)/365.25&lt;=Assumptions!$B$20,(DATE(Assumptions!$B$4,7,28)-$N58)/365.25*Assumptions!$B$18*BD58,(Assumptions!$B$20*Assumptions!$B$18+((DATE(Assumptions!$B$4,7,28)-$N58)/365.25-Assumptions!$B$20)*Assumptions!$B$19)*BD58),0)</f>
        <v>24721.765913757703</v>
      </c>
      <c r="BF58" s="249">
        <f>IF(BC58&gt;0,IF($M58="Saudi",MIN(BC58+$Q58*$V58,Assumptions!$B$14)*Assumptions!$B$12,MIN(BC58+$Q58*$V58,Assumptions!$B$14)*Assumptions!$B$13),0)</f>
        <v>0</v>
      </c>
      <c r="BG58" s="249">
        <f>IF(AND(BC58&gt;0,$M58="Non-Saudi"),Assumptions!$B$25,0)</f>
        <v>910.41666666666663</v>
      </c>
      <c r="BH58" s="249">
        <f t="shared" si="15"/>
        <v>7562.5000000000027</v>
      </c>
      <c r="BI58" s="249">
        <f t="shared" si="16"/>
        <v>10083.333333333336</v>
      </c>
      <c r="BJ58" s="249">
        <f>IF(AND(BI58&gt;0,$N58&lt;&gt;""),IF((DATE(Assumptions!$B$4,8,28)-$N58)/365.25&lt;=Assumptions!$B$20,(DATE(Assumptions!$B$4,8,28)-$N58)/365.25*Assumptions!$B$18*BI58,(Assumptions!$B$20*Assumptions!$B$18+((DATE(Assumptions!$B$4,8,28)-$N58)/365.25-Assumptions!$B$20)*Assumptions!$B$19)*BI58),0)</f>
        <v>25149.66917636323</v>
      </c>
      <c r="BK58" s="249">
        <f>IF(BH58&gt;0,IF($M58="Saudi",MIN(BH58+$Q58*$V58,Assumptions!$B$14)*Assumptions!$B$12,MIN(BH58+$Q58*$V58,Assumptions!$B$14)*Assumptions!$B$13),0)</f>
        <v>0</v>
      </c>
      <c r="BL58" s="249">
        <f>IF(AND(BH58&gt;0,$M58="Non-Saudi"),Assumptions!$B$25,0)</f>
        <v>910.41666666666663</v>
      </c>
      <c r="BM58" s="249">
        <f>IF(AND($D58="Contrat Local",$N58&lt;&gt;""),IF(AND(9&gt;=Assumptions!$B$5,ISNUMBER($X58),$N58&lt;EDATE(Assumptions!$B$9,-Assumptions!$B$6*12)),($P58+$X58)*$V58,$P58*$V58),0)</f>
        <v>7791.6666666666688</v>
      </c>
      <c r="BN58" s="249">
        <f t="shared" si="17"/>
        <v>10312.500000000004</v>
      </c>
      <c r="BO58" s="249">
        <f>IF(AND(BN58&gt;0,$N58&lt;&gt;""),IF((DATE(Assumptions!$B$4,9,28)-$N58)/365.25&lt;=Assumptions!$B$20,(DATE(Assumptions!$B$4,9,28)-$N58)/365.25*Assumptions!$B$18*BN58,(Assumptions!$B$20*Assumptions!$B$18+((DATE(Assumptions!$B$4,9,28)-$N58)/365.25-Assumptions!$B$20)*Assumptions!$B$19)*BN58),0)</f>
        <v>26536.511806981533</v>
      </c>
      <c r="BP58" s="249">
        <f>IF(BM58&gt;0,IF($M58="Saudi",MIN(BM58+$Q58*$V58,Assumptions!$B$14)*Assumptions!$B$12,MIN(BM58+$Q58*$V58,Assumptions!$B$14)*Assumptions!$B$13),0)</f>
        <v>0</v>
      </c>
      <c r="BQ58" s="249">
        <f>IF(AND(BM58&gt;0,$M58="Non-Saudi"),Assumptions!$B$25,0)</f>
        <v>910.41666666666663</v>
      </c>
      <c r="BR58" s="249">
        <f>IF(AND($D58="Contrat Local",$N58&lt;&gt;""),IF(AND(10&gt;=Assumptions!$B$5,ISNUMBER($X58),$N58&lt;EDATE(Assumptions!$B$9,-Assumptions!$B$6*12)),($P58+$X58)*$V58,$P58*$V58),0)</f>
        <v>7791.6666666666688</v>
      </c>
      <c r="BS58" s="249">
        <f t="shared" si="18"/>
        <v>10312.500000000004</v>
      </c>
      <c r="BT58" s="249">
        <f>IF(AND(BS58&gt;0,$N58&lt;&gt;""),IF((DATE(Assumptions!$B$4,10,28)-$N58)/365.25&lt;=Assumptions!$B$20,(DATE(Assumptions!$B$4,10,28)-$N58)/365.25*Assumptions!$B$18*BS58,(Assumptions!$B$20*Assumptions!$B$18+((DATE(Assumptions!$B$4,10,28)-$N58)/365.25-Assumptions!$B$20)*Assumptions!$B$19)*BS58),0)</f>
        <v>27383.534394250524</v>
      </c>
      <c r="BU58" s="249">
        <f>IF(BR58&gt;0,IF($M58="Saudi",MIN(BR58+$Q58*$V58,Assumptions!$B$14)*Assumptions!$B$12,MIN(BR58+$Q58*$V58,Assumptions!$B$14)*Assumptions!$B$13),0)</f>
        <v>0</v>
      </c>
      <c r="BV58" s="249">
        <f>IF(AND(BR58&gt;0,$M58="Non-Saudi"),Assumptions!$B$25,0)</f>
        <v>910.41666666666663</v>
      </c>
      <c r="BW58" s="249">
        <f>IF(AND($D58="Contrat Local",$N58&lt;&gt;""),IF(AND(11&gt;=Assumptions!$B$5,ISNUMBER($X58),$N58&lt;EDATE(Assumptions!$B$9,-Assumptions!$B$6*12)),($P58+$X58)*$V58,$P58*$V58),0)</f>
        <v>7791.6666666666688</v>
      </c>
      <c r="BX58" s="249">
        <f t="shared" si="19"/>
        <v>10312.500000000004</v>
      </c>
      <c r="BY58" s="249">
        <f>IF(AND(BX58&gt;0,$N58&lt;&gt;""),IF((DATE(Assumptions!$B$4,11,28)-$N58)/365.25&lt;=Assumptions!$B$20,(DATE(Assumptions!$B$4,11,28)-$N58)/365.25*Assumptions!$B$18*BX58,(Assumptions!$B$20*Assumptions!$B$18+((DATE(Assumptions!$B$4,11,28)-$N58)/365.25-Assumptions!$B$20)*Assumptions!$B$19)*BX58),0)</f>
        <v>28258.791067761817</v>
      </c>
      <c r="BZ58" s="249">
        <f>IF(BW58&gt;0,IF($M58="Saudi",MIN(BW58+$Q58*$V58,Assumptions!$B$14)*Assumptions!$B$12,MIN(BW58+$Q58*$V58,Assumptions!$B$14)*Assumptions!$B$13),0)</f>
        <v>0</v>
      </c>
      <c r="CA58" s="249">
        <f>IF(AND(BW58&gt;0,$M58="Non-Saudi"),Assumptions!$B$25,0)</f>
        <v>910.41666666666663</v>
      </c>
      <c r="CB58" s="249">
        <f>IF(AND($D58="Contrat Local",$N58&lt;&gt;""),IF(AND(12&gt;=Assumptions!$B$5,ISNUMBER($X58),$N58&lt;EDATE(Assumptions!$B$9,-Assumptions!$B$6*12)),($P58+$X58)*$V58,$P58*$V58),0)</f>
        <v>7791.6666666666688</v>
      </c>
      <c r="CC58" s="249">
        <f t="shared" si="20"/>
        <v>10312.500000000004</v>
      </c>
      <c r="CD58" s="249">
        <f>IF(AND(CC58&gt;0,$N58&lt;&gt;""),IF((DATE(Assumptions!$B$4,12,28)-$N58)/365.25&lt;=Assumptions!$B$20,(DATE(Assumptions!$B$4,12,28)-$N58)/365.25*Assumptions!$B$18*CC58,(Assumptions!$B$20*Assumptions!$B$18+((DATE(Assumptions!$B$4,12,28)-$N58)/365.25-Assumptions!$B$20)*Assumptions!$B$19)*CC58),0)</f>
        <v>29105.813655030808</v>
      </c>
      <c r="CE58" s="249">
        <f>IF(CB58&gt;0,IF($M58="Saudi",MIN(CB58+$Q58*$V58,Assumptions!$B$14)*Assumptions!$B$12,MIN(CB58+$Q58*$V58,Assumptions!$B$14)*Assumptions!$B$13),0)</f>
        <v>0</v>
      </c>
      <c r="CF58" s="249">
        <f>IF(AND(CB58&gt;0,$M58="Non-Saudi"),Assumptions!$B$25,0)</f>
        <v>910.41666666666663</v>
      </c>
      <c r="CG58" s="249">
        <f t="shared" si="21"/>
        <v>91666.666666666701</v>
      </c>
      <c r="CH58" s="249">
        <f t="shared" si="22"/>
        <v>121916.66666666669</v>
      </c>
      <c r="CI58" s="249">
        <f>CD58-IF(AND(Z58&gt;0,$N58&lt;&gt;""),IF((DATE(Assumptions!$B$4-1,12,28)-$N58)/365.25&lt;=Assumptions!$B$20,(DATE(Assumptions!$B$4-1,12,28)-$N58)/365.25*Assumptions!$B$18*Z58,(Assumptions!$B$20*Assumptions!$B$18+((DATE(Assumptions!$B$4-1,12,28)-$N58)/365.25-Assumptions!$B$20)*Assumptions!$B$19)*Z58),0)</f>
        <v>7310.3539242527986</v>
      </c>
      <c r="CJ58" s="249">
        <f t="shared" si="23"/>
        <v>0</v>
      </c>
      <c r="CK58" s="249">
        <f t="shared" si="24"/>
        <v>10924.999999999998</v>
      </c>
    </row>
    <row r="59" spans="1:89" x14ac:dyDescent="0.2">
      <c r="A59" s="276">
        <v>56</v>
      </c>
      <c r="B59" s="277" t="s">
        <v>398</v>
      </c>
      <c r="C59" s="277" t="s">
        <v>399</v>
      </c>
      <c r="D59" s="277" t="s">
        <v>250</v>
      </c>
      <c r="E59" s="277" t="s">
        <v>767</v>
      </c>
      <c r="F59" s="277" t="s">
        <v>302</v>
      </c>
      <c r="G59" s="277" t="s">
        <v>303</v>
      </c>
      <c r="H59" s="277" t="s">
        <v>304</v>
      </c>
      <c r="I59" s="287" t="s">
        <v>691</v>
      </c>
      <c r="J59" s="277" t="s">
        <v>101</v>
      </c>
      <c r="K59" s="277" t="s">
        <v>254</v>
      </c>
      <c r="L59" s="277" t="s">
        <v>255</v>
      </c>
      <c r="M59" s="277" t="str">
        <f t="shared" si="25"/>
        <v>Non-Saudi</v>
      </c>
      <c r="N59" s="278">
        <v>44440</v>
      </c>
      <c r="O59" s="279">
        <v>5.3</v>
      </c>
      <c r="P59" s="280">
        <v>10750</v>
      </c>
      <c r="Q59" s="280">
        <v>2500</v>
      </c>
      <c r="R59" s="280">
        <v>500</v>
      </c>
      <c r="S59" s="280"/>
      <c r="T59" s="280">
        <v>900</v>
      </c>
      <c r="U59" s="280">
        <v>14650</v>
      </c>
      <c r="V59" s="281">
        <v>1</v>
      </c>
      <c r="W59" s="277" t="s">
        <v>256</v>
      </c>
      <c r="X59" s="277">
        <v>250</v>
      </c>
      <c r="Y59" s="249">
        <f t="shared" si="1"/>
        <v>10750</v>
      </c>
      <c r="Z59" s="249">
        <f t="shared" si="2"/>
        <v>14650</v>
      </c>
      <c r="AA59" s="249">
        <f>IF(AND(Z59&gt;0,$N59&lt;&gt;""),IF((DATE(Assumptions!$B$4,1,28)-$N59)/365.25&lt;=Assumptions!$B$20,(DATE(Assumptions!$B$4,1,28)-$N59)/365.25*Assumptions!$B$18*Z59,(Assumptions!$B$20*Assumptions!$B$18+((DATE(Assumptions!$B$4,1,28)-$N59)/365.25-Assumptions!$B$20)*Assumptions!$B$19)*Z59),0)</f>
        <v>32288.158795345655</v>
      </c>
      <c r="AB59" s="249">
        <f>IF(Y59&gt;0,IF($M59="Saudi",MIN(Y59+$Q59*$V59,Assumptions!$B$14)*Assumptions!$B$12,MIN(Y59+$Q59*$V59,Assumptions!$B$14)*Assumptions!$B$13),0)</f>
        <v>0</v>
      </c>
      <c r="AC59" s="249">
        <f>IF(AND(Y59&gt;0,$M59="Non-Saudi"),Assumptions!$B$25,0)</f>
        <v>910.41666666666663</v>
      </c>
      <c r="AD59" s="249">
        <f t="shared" si="3"/>
        <v>10750</v>
      </c>
      <c r="AE59" s="249">
        <f t="shared" si="4"/>
        <v>14650</v>
      </c>
      <c r="AF59" s="249">
        <f>IF(AND(AE59&gt;0,$N59&lt;&gt;""),IF((DATE(Assumptions!$B$4,2,28)-$N59)/365.25&lt;=Assumptions!$B$20,(DATE(Assumptions!$B$4,2,28)-$N59)/365.25*Assumptions!$B$18*AE59,(Assumptions!$B$20*Assumptions!$B$18+((DATE(Assumptions!$B$4,2,28)-$N59)/365.25-Assumptions!$B$20)*Assumptions!$B$19)*AE59),0)</f>
        <v>32909.85626283368</v>
      </c>
      <c r="AG59" s="249">
        <f>IF(AD59&gt;0,IF($M59="Saudi",MIN(AD59+$Q59*$V59,Assumptions!$B$14)*Assumptions!$B$12,MIN(AD59+$Q59*$V59,Assumptions!$B$14)*Assumptions!$B$13),0)</f>
        <v>0</v>
      </c>
      <c r="AH59" s="249">
        <f>IF(AND(AD59&gt;0,$M59="Non-Saudi"),Assumptions!$B$25,0)</f>
        <v>910.41666666666663</v>
      </c>
      <c r="AI59" s="249">
        <f t="shared" si="5"/>
        <v>10750</v>
      </c>
      <c r="AJ59" s="249">
        <f t="shared" si="6"/>
        <v>14650</v>
      </c>
      <c r="AK59" s="249">
        <f>IF(AND(AJ59&gt;0,$N59&lt;&gt;""),IF((DATE(Assumptions!$B$4,3,28)-$N59)/365.25&lt;=Assumptions!$B$20,(DATE(Assumptions!$B$4,3,28)-$N59)/365.25*Assumptions!$B$18*AJ59,(Assumptions!$B$20*Assumptions!$B$18+((DATE(Assumptions!$B$4,3,28)-$N59)/365.25-Assumptions!$B$20)*Assumptions!$B$19)*AJ59),0)</f>
        <v>33471.389459274469</v>
      </c>
      <c r="AL59" s="249">
        <f>IF(AI59&gt;0,IF($M59="Saudi",MIN(AI59+$Q59*$V59,Assumptions!$B$14)*Assumptions!$B$12,MIN(AI59+$Q59*$V59,Assumptions!$B$14)*Assumptions!$B$13),0)</f>
        <v>0</v>
      </c>
      <c r="AM59" s="249">
        <f>IF(AND(AI59&gt;0,$M59="Non-Saudi"),Assumptions!$B$25,0)</f>
        <v>910.41666666666663</v>
      </c>
      <c r="AN59" s="249">
        <f t="shared" si="7"/>
        <v>10750</v>
      </c>
      <c r="AO59" s="249">
        <f t="shared" si="8"/>
        <v>14650</v>
      </c>
      <c r="AP59" s="249">
        <f>IF(AND(AO59&gt;0,$N59&lt;&gt;""),IF((DATE(Assumptions!$B$4,4,28)-$N59)/365.25&lt;=Assumptions!$B$20,(DATE(Assumptions!$B$4,4,28)-$N59)/365.25*Assumptions!$B$18*AO59,(Assumptions!$B$20*Assumptions!$B$18+((DATE(Assumptions!$B$4,4,28)-$N59)/365.25-Assumptions!$B$20)*Assumptions!$B$19)*AO59),0)</f>
        <v>34093.086926762495</v>
      </c>
      <c r="AQ59" s="249">
        <f>IF(AN59&gt;0,IF($M59="Saudi",MIN(AN59+$Q59*$V59,Assumptions!$B$14)*Assumptions!$B$12,MIN(AN59+$Q59*$V59,Assumptions!$B$14)*Assumptions!$B$13),0)</f>
        <v>0</v>
      </c>
      <c r="AR59" s="249">
        <f>IF(AND(AN59&gt;0,$M59="Non-Saudi"),Assumptions!$B$25,0)</f>
        <v>910.41666666666663</v>
      </c>
      <c r="AS59" s="249">
        <f t="shared" si="9"/>
        <v>10750</v>
      </c>
      <c r="AT59" s="249">
        <f t="shared" si="10"/>
        <v>14650</v>
      </c>
      <c r="AU59" s="249">
        <f>IF(AND(AT59&gt;0,$N59&lt;&gt;""),IF((DATE(Assumptions!$B$4,5,28)-$N59)/365.25&lt;=Assumptions!$B$20,(DATE(Assumptions!$B$4,5,28)-$N59)/365.25*Assumptions!$B$18*AT59,(Assumptions!$B$20*Assumptions!$B$18+((DATE(Assumptions!$B$4,5,28)-$N59)/365.25-Assumptions!$B$20)*Assumptions!$B$19)*AT59),0)</f>
        <v>34694.72963723477</v>
      </c>
      <c r="AV59" s="249">
        <f>IF(AS59&gt;0,IF($M59="Saudi",MIN(AS59+$Q59*$V59,Assumptions!$B$14)*Assumptions!$B$12,MIN(AS59+$Q59*$V59,Assumptions!$B$14)*Assumptions!$B$13),0)</f>
        <v>0</v>
      </c>
      <c r="AW59" s="249">
        <f>IF(AND(AS59&gt;0,$M59="Non-Saudi"),Assumptions!$B$25,0)</f>
        <v>910.41666666666663</v>
      </c>
      <c r="AX59" s="249">
        <f t="shared" si="11"/>
        <v>10750</v>
      </c>
      <c r="AY59" s="249">
        <f t="shared" si="12"/>
        <v>14650</v>
      </c>
      <c r="AZ59" s="249">
        <f>IF(AND(AY59&gt;0,$N59&lt;&gt;""),IF((DATE(Assumptions!$B$4,6,28)-$N59)/365.25&lt;=Assumptions!$B$20,(DATE(Assumptions!$B$4,6,28)-$N59)/365.25*Assumptions!$B$18*AY59,(Assumptions!$B$20*Assumptions!$B$18+((DATE(Assumptions!$B$4,6,28)-$N59)/365.25-Assumptions!$B$20)*Assumptions!$B$19)*AY59),0)</f>
        <v>35316.427104722788</v>
      </c>
      <c r="BA59" s="249">
        <f>IF(AX59&gt;0,IF($M59="Saudi",MIN(AX59+$Q59*$V59,Assumptions!$B$14)*Assumptions!$B$12,MIN(AX59+$Q59*$V59,Assumptions!$B$14)*Assumptions!$B$13),0)</f>
        <v>0</v>
      </c>
      <c r="BB59" s="249">
        <f>IF(AND(AX59&gt;0,$M59="Non-Saudi"),Assumptions!$B$25,0)</f>
        <v>910.41666666666663</v>
      </c>
      <c r="BC59" s="249">
        <f t="shared" si="13"/>
        <v>10750</v>
      </c>
      <c r="BD59" s="249">
        <f t="shared" si="14"/>
        <v>14650</v>
      </c>
      <c r="BE59" s="249">
        <f>IF(AND(BD59&gt;0,$N59&lt;&gt;""),IF((DATE(Assumptions!$B$4,7,28)-$N59)/365.25&lt;=Assumptions!$B$20,(DATE(Assumptions!$B$4,7,28)-$N59)/365.25*Assumptions!$B$18*BD59,(Assumptions!$B$20*Assumptions!$B$18+((DATE(Assumptions!$B$4,7,28)-$N59)/365.25-Assumptions!$B$20)*Assumptions!$B$19)*BD59),0)</f>
        <v>35918.069815195071</v>
      </c>
      <c r="BF59" s="249">
        <f>IF(BC59&gt;0,IF($M59="Saudi",MIN(BC59+$Q59*$V59,Assumptions!$B$14)*Assumptions!$B$12,MIN(BC59+$Q59*$V59,Assumptions!$B$14)*Assumptions!$B$13),0)</f>
        <v>0</v>
      </c>
      <c r="BG59" s="249">
        <f>IF(AND(BC59&gt;0,$M59="Non-Saudi"),Assumptions!$B$25,0)</f>
        <v>910.41666666666663</v>
      </c>
      <c r="BH59" s="249">
        <f t="shared" si="15"/>
        <v>10750</v>
      </c>
      <c r="BI59" s="249">
        <f t="shared" si="16"/>
        <v>14650</v>
      </c>
      <c r="BJ59" s="249">
        <f>IF(AND(BI59&gt;0,$N59&lt;&gt;""),IF((DATE(Assumptions!$B$4,8,28)-$N59)/365.25&lt;=Assumptions!$B$20,(DATE(Assumptions!$B$4,8,28)-$N59)/365.25*Assumptions!$B$18*BI59,(Assumptions!$B$20*Assumptions!$B$18+((DATE(Assumptions!$B$4,8,28)-$N59)/365.25-Assumptions!$B$20)*Assumptions!$B$19)*BI59),0)</f>
        <v>36539.767282683097</v>
      </c>
      <c r="BK59" s="249">
        <f>IF(BH59&gt;0,IF($M59="Saudi",MIN(BH59+$Q59*$V59,Assumptions!$B$14)*Assumptions!$B$12,MIN(BH59+$Q59*$V59,Assumptions!$B$14)*Assumptions!$B$13),0)</f>
        <v>0</v>
      </c>
      <c r="BL59" s="249">
        <f>IF(AND(BH59&gt;0,$M59="Non-Saudi"),Assumptions!$B$25,0)</f>
        <v>910.41666666666663</v>
      </c>
      <c r="BM59" s="249">
        <f>IF(AND($D59="Contrat Local",$N59&lt;&gt;""),IF(AND(9&gt;=Assumptions!$B$5,ISNUMBER($X59),$N59&lt;EDATE(Assumptions!$B$9,-Assumptions!$B$6*12)),($P59+$X59)*$V59,$P59*$V59),0)</f>
        <v>11000</v>
      </c>
      <c r="BN59" s="249">
        <f t="shared" si="17"/>
        <v>14900</v>
      </c>
      <c r="BO59" s="249">
        <f>IF(AND(BN59&gt;0,$N59&lt;&gt;""),IF((DATE(Assumptions!$B$4,9,28)-$N59)/365.25&lt;=Assumptions!$B$20,(DATE(Assumptions!$B$4,9,28)-$N59)/365.25*Assumptions!$B$18*BN59,(Assumptions!$B$20*Assumptions!$B$18+((DATE(Assumptions!$B$4,9,28)-$N59)/365.25-Assumptions!$B$20)*Assumptions!$B$19)*BN59),0)</f>
        <v>38341.238877481177</v>
      </c>
      <c r="BP59" s="249">
        <f>IF(BM59&gt;0,IF($M59="Saudi",MIN(BM59+$Q59*$V59,Assumptions!$B$14)*Assumptions!$B$12,MIN(BM59+$Q59*$V59,Assumptions!$B$14)*Assumptions!$B$13),0)</f>
        <v>0</v>
      </c>
      <c r="BQ59" s="249">
        <f>IF(AND(BM59&gt;0,$M59="Non-Saudi"),Assumptions!$B$25,0)</f>
        <v>910.41666666666663</v>
      </c>
      <c r="BR59" s="249">
        <f>IF(AND($D59="Contrat Local",$N59&lt;&gt;""),IF(AND(10&gt;=Assumptions!$B$5,ISNUMBER($X59),$N59&lt;EDATE(Assumptions!$B$9,-Assumptions!$B$6*12)),($P59+$X59)*$V59,$P59*$V59),0)</f>
        <v>11000</v>
      </c>
      <c r="BS59" s="249">
        <f t="shared" si="18"/>
        <v>14900</v>
      </c>
      <c r="BT59" s="249">
        <f>IF(AND(BS59&gt;0,$N59&lt;&gt;""),IF((DATE(Assumptions!$B$4,10,28)-$N59)/365.25&lt;=Assumptions!$B$20,(DATE(Assumptions!$B$4,10,28)-$N59)/365.25*Assumptions!$B$18*BS59,(Assumptions!$B$20*Assumptions!$B$18+((DATE(Assumptions!$B$4,10,28)-$N59)/365.25-Assumptions!$B$20)*Assumptions!$B$19)*BS59),0)</f>
        <v>39565.058179329229</v>
      </c>
      <c r="BU59" s="249">
        <f>IF(BR59&gt;0,IF($M59="Saudi",MIN(BR59+$Q59*$V59,Assumptions!$B$14)*Assumptions!$B$12,MIN(BR59+$Q59*$V59,Assumptions!$B$14)*Assumptions!$B$13),0)</f>
        <v>0</v>
      </c>
      <c r="BV59" s="249">
        <f>IF(AND(BR59&gt;0,$M59="Non-Saudi"),Assumptions!$B$25,0)</f>
        <v>910.41666666666663</v>
      </c>
      <c r="BW59" s="249">
        <f>IF(AND($D59="Contrat Local",$N59&lt;&gt;""),IF(AND(11&gt;=Assumptions!$B$5,ISNUMBER($X59),$N59&lt;EDATE(Assumptions!$B$9,-Assumptions!$B$6*12)),($P59+$X59)*$V59,$P59*$V59),0)</f>
        <v>11000</v>
      </c>
      <c r="BX59" s="249">
        <f t="shared" si="19"/>
        <v>14900</v>
      </c>
      <c r="BY59" s="249">
        <f>IF(AND(BX59&gt;0,$N59&lt;&gt;""),IF((DATE(Assumptions!$B$4,11,28)-$N59)/365.25&lt;=Assumptions!$B$20,(DATE(Assumptions!$B$4,11,28)-$N59)/365.25*Assumptions!$B$18*BX59,(Assumptions!$B$20*Assumptions!$B$18+((DATE(Assumptions!$B$4,11,28)-$N59)/365.25-Assumptions!$B$20)*Assumptions!$B$19)*BX59),0)</f>
        <v>40829.671457905541</v>
      </c>
      <c r="BZ59" s="249">
        <f>IF(BW59&gt;0,IF($M59="Saudi",MIN(BW59+$Q59*$V59,Assumptions!$B$14)*Assumptions!$B$12,MIN(BW59+$Q59*$V59,Assumptions!$B$14)*Assumptions!$B$13),0)</f>
        <v>0</v>
      </c>
      <c r="CA59" s="249">
        <f>IF(AND(BW59&gt;0,$M59="Non-Saudi"),Assumptions!$B$25,0)</f>
        <v>910.41666666666663</v>
      </c>
      <c r="CB59" s="249">
        <f>IF(AND($D59="Contrat Local",$N59&lt;&gt;""),IF(AND(12&gt;=Assumptions!$B$5,ISNUMBER($X59),$N59&lt;EDATE(Assumptions!$B$9,-Assumptions!$B$6*12)),($P59+$X59)*$V59,$P59*$V59),0)</f>
        <v>11000</v>
      </c>
      <c r="CC59" s="249">
        <f t="shared" si="20"/>
        <v>14900</v>
      </c>
      <c r="CD59" s="249">
        <f>IF(AND(CC59&gt;0,$N59&lt;&gt;""),IF((DATE(Assumptions!$B$4,12,28)-$N59)/365.25&lt;=Assumptions!$B$20,(DATE(Assumptions!$B$4,12,28)-$N59)/365.25*Assumptions!$B$18*CC59,(Assumptions!$B$20*Assumptions!$B$18+((DATE(Assumptions!$B$4,12,28)-$N59)/365.25-Assumptions!$B$20)*Assumptions!$B$19)*CC59),0)</f>
        <v>42053.490759753593</v>
      </c>
      <c r="CE59" s="249">
        <f>IF(CB59&gt;0,IF($M59="Saudi",MIN(CB59+$Q59*$V59,Assumptions!$B$14)*Assumptions!$B$12,MIN(CB59+$Q59*$V59,Assumptions!$B$14)*Assumptions!$B$13),0)</f>
        <v>0</v>
      </c>
      <c r="CF59" s="249">
        <f>IF(AND(CB59&gt;0,$M59="Non-Saudi"),Assumptions!$B$25,0)</f>
        <v>910.41666666666663</v>
      </c>
      <c r="CG59" s="249">
        <f t="shared" si="21"/>
        <v>130000</v>
      </c>
      <c r="CH59" s="249">
        <f t="shared" si="22"/>
        <v>176800</v>
      </c>
      <c r="CI59" s="249">
        <f>CD59-IF(AND(Z59&gt;0,$N59&lt;&gt;""),IF((DATE(Assumptions!$B$4-1,12,28)-$N59)/365.25&lt;=Assumptions!$B$20,(DATE(Assumptions!$B$4-1,12,28)-$N59)/365.25*Assumptions!$B$18*Z59,(Assumptions!$B$20*Assumptions!$B$18+((DATE(Assumptions!$B$4-1,12,28)-$N59)/365.25-Assumptions!$B$20)*Assumptions!$B$19)*Z59),0)</f>
        <v>10387.029431895964</v>
      </c>
      <c r="CJ59" s="249">
        <f t="shared" si="23"/>
        <v>0</v>
      </c>
      <c r="CK59" s="249">
        <f t="shared" si="24"/>
        <v>10924.999999999998</v>
      </c>
    </row>
    <row r="60" spans="1:89" x14ac:dyDescent="0.2">
      <c r="A60" s="258">
        <v>57</v>
      </c>
      <c r="B60" s="259" t="s">
        <v>400</v>
      </c>
      <c r="C60" s="259" t="s">
        <v>401</v>
      </c>
      <c r="D60" s="259" t="s">
        <v>250</v>
      </c>
      <c r="E60" s="259" t="s">
        <v>767</v>
      </c>
      <c r="F60" s="259" t="s">
        <v>264</v>
      </c>
      <c r="G60" s="259" t="s">
        <v>8</v>
      </c>
      <c r="H60" s="259" t="s">
        <v>265</v>
      </c>
      <c r="I60" s="283" t="s">
        <v>691</v>
      </c>
      <c r="J60" s="259" t="s">
        <v>58</v>
      </c>
      <c r="K60" s="259" t="s">
        <v>4</v>
      </c>
      <c r="L60" s="259" t="s">
        <v>255</v>
      </c>
      <c r="M60" s="259" t="str">
        <f t="shared" si="25"/>
        <v>Non-Saudi</v>
      </c>
      <c r="N60" s="260">
        <v>42248</v>
      </c>
      <c r="O60" s="261">
        <v>11.3</v>
      </c>
      <c r="P60" s="262">
        <v>12000</v>
      </c>
      <c r="Q60" s="262">
        <v>2500</v>
      </c>
      <c r="R60" s="262">
        <v>500</v>
      </c>
      <c r="S60" s="262"/>
      <c r="T60" s="262"/>
      <c r="U60" s="262">
        <v>15000</v>
      </c>
      <c r="V60" s="263">
        <v>1</v>
      </c>
      <c r="W60" s="259" t="s">
        <v>259</v>
      </c>
      <c r="X60" s="259">
        <v>250</v>
      </c>
      <c r="Y60" s="249">
        <f t="shared" si="1"/>
        <v>12000</v>
      </c>
      <c r="Z60" s="249">
        <f t="shared" si="2"/>
        <v>15000</v>
      </c>
      <c r="AA60" s="249">
        <f>IF(AND(Z60&gt;0,$N60&lt;&gt;""),IF((DATE(Assumptions!$B$4,1,28)-$N60)/365.25&lt;=Assumptions!$B$20,(DATE(Assumptions!$B$4,1,28)-$N60)/365.25*Assumptions!$B$18*Z60,(Assumptions!$B$20*Assumptions!$B$18+((DATE(Assumptions!$B$4,1,28)-$N60)/365.25-Assumptions!$B$20)*Assumptions!$B$19)*Z60),0)</f>
        <v>118639.63039014375</v>
      </c>
      <c r="AB60" s="249">
        <f>IF(Y60&gt;0,IF($M60="Saudi",MIN(Y60+$Q60*$V60,Assumptions!$B$14)*Assumptions!$B$12,MIN(Y60+$Q60*$V60,Assumptions!$B$14)*Assumptions!$B$13),0)</f>
        <v>0</v>
      </c>
      <c r="AC60" s="249">
        <f>IF(AND(Y60&gt;0,$M60="Non-Saudi"),Assumptions!$B$25,0)</f>
        <v>910.41666666666663</v>
      </c>
      <c r="AD60" s="249">
        <f t="shared" si="3"/>
        <v>12000</v>
      </c>
      <c r="AE60" s="249">
        <f t="shared" si="4"/>
        <v>15000</v>
      </c>
      <c r="AF60" s="249">
        <f>IF(AND(AE60&gt;0,$N60&lt;&gt;""),IF((DATE(Assumptions!$B$4,2,28)-$N60)/365.25&lt;=Assumptions!$B$20,(DATE(Assumptions!$B$4,2,28)-$N60)/365.25*Assumptions!$B$18*AE60,(Assumptions!$B$20*Assumptions!$B$18+((DATE(Assumptions!$B$4,2,28)-$N60)/365.25-Assumptions!$B$20)*Assumptions!$B$19)*AE60),0)</f>
        <v>119912.73100616017</v>
      </c>
      <c r="AG60" s="249">
        <f>IF(AD60&gt;0,IF($M60="Saudi",MIN(AD60+$Q60*$V60,Assumptions!$B$14)*Assumptions!$B$12,MIN(AD60+$Q60*$V60,Assumptions!$B$14)*Assumptions!$B$13),0)</f>
        <v>0</v>
      </c>
      <c r="AH60" s="249">
        <f>IF(AND(AD60&gt;0,$M60="Non-Saudi"),Assumptions!$B$25,0)</f>
        <v>910.41666666666663</v>
      </c>
      <c r="AI60" s="249">
        <f t="shared" si="5"/>
        <v>12000</v>
      </c>
      <c r="AJ60" s="249">
        <f t="shared" si="6"/>
        <v>15000</v>
      </c>
      <c r="AK60" s="249">
        <f>IF(AND(AJ60&gt;0,$N60&lt;&gt;""),IF((DATE(Assumptions!$B$4,3,28)-$N60)/365.25&lt;=Assumptions!$B$20,(DATE(Assumptions!$B$4,3,28)-$N60)/365.25*Assumptions!$B$18*AJ60,(Assumptions!$B$20*Assumptions!$B$18+((DATE(Assumptions!$B$4,3,28)-$N60)/365.25-Assumptions!$B$20)*Assumptions!$B$19)*AJ60),0)</f>
        <v>121062.62833675565</v>
      </c>
      <c r="AL60" s="249">
        <f>IF(AI60&gt;0,IF($M60="Saudi",MIN(AI60+$Q60*$V60,Assumptions!$B$14)*Assumptions!$B$12,MIN(AI60+$Q60*$V60,Assumptions!$B$14)*Assumptions!$B$13),0)</f>
        <v>0</v>
      </c>
      <c r="AM60" s="249">
        <f>IF(AND(AI60&gt;0,$M60="Non-Saudi"),Assumptions!$B$25,0)</f>
        <v>910.41666666666663</v>
      </c>
      <c r="AN60" s="249">
        <f t="shared" si="7"/>
        <v>12000</v>
      </c>
      <c r="AO60" s="249">
        <f t="shared" si="8"/>
        <v>15000</v>
      </c>
      <c r="AP60" s="249">
        <f>IF(AND(AO60&gt;0,$N60&lt;&gt;""),IF((DATE(Assumptions!$B$4,4,28)-$N60)/365.25&lt;=Assumptions!$B$20,(DATE(Assumptions!$B$4,4,28)-$N60)/365.25*Assumptions!$B$18*AO60,(Assumptions!$B$20*Assumptions!$B$18+((DATE(Assumptions!$B$4,4,28)-$N60)/365.25-Assumptions!$B$20)*Assumptions!$B$19)*AO60),0)</f>
        <v>122335.72895277207</v>
      </c>
      <c r="AQ60" s="249">
        <f>IF(AN60&gt;0,IF($M60="Saudi",MIN(AN60+$Q60*$V60,Assumptions!$B$14)*Assumptions!$B$12,MIN(AN60+$Q60*$V60,Assumptions!$B$14)*Assumptions!$B$13),0)</f>
        <v>0</v>
      </c>
      <c r="AR60" s="249">
        <f>IF(AND(AN60&gt;0,$M60="Non-Saudi"),Assumptions!$B$25,0)</f>
        <v>910.41666666666663</v>
      </c>
      <c r="AS60" s="249">
        <f t="shared" si="9"/>
        <v>12000</v>
      </c>
      <c r="AT60" s="249">
        <f t="shared" si="10"/>
        <v>15000</v>
      </c>
      <c r="AU60" s="249">
        <f>IF(AND(AT60&gt;0,$N60&lt;&gt;""),IF((DATE(Assumptions!$B$4,5,28)-$N60)/365.25&lt;=Assumptions!$B$20,(DATE(Assumptions!$B$4,5,28)-$N60)/365.25*Assumptions!$B$18*AT60,(Assumptions!$B$20*Assumptions!$B$18+((DATE(Assumptions!$B$4,5,28)-$N60)/365.25-Assumptions!$B$20)*Assumptions!$B$19)*AT60),0)</f>
        <v>123567.76180698152</v>
      </c>
      <c r="AV60" s="249">
        <f>IF(AS60&gt;0,IF($M60="Saudi",MIN(AS60+$Q60*$V60,Assumptions!$B$14)*Assumptions!$B$12,MIN(AS60+$Q60*$V60,Assumptions!$B$14)*Assumptions!$B$13),0)</f>
        <v>0</v>
      </c>
      <c r="AW60" s="249">
        <f>IF(AND(AS60&gt;0,$M60="Non-Saudi"),Assumptions!$B$25,0)</f>
        <v>910.41666666666663</v>
      </c>
      <c r="AX60" s="249">
        <f t="shared" si="11"/>
        <v>12000</v>
      </c>
      <c r="AY60" s="249">
        <f t="shared" si="12"/>
        <v>15000</v>
      </c>
      <c r="AZ60" s="249">
        <f>IF(AND(AY60&gt;0,$N60&lt;&gt;""),IF((DATE(Assumptions!$B$4,6,28)-$N60)/365.25&lt;=Assumptions!$B$20,(DATE(Assumptions!$B$4,6,28)-$N60)/365.25*Assumptions!$B$18*AY60,(Assumptions!$B$20*Assumptions!$B$18+((DATE(Assumptions!$B$4,6,28)-$N60)/365.25-Assumptions!$B$20)*Assumptions!$B$19)*AY60),0)</f>
        <v>124840.86242299795</v>
      </c>
      <c r="BA60" s="249">
        <f>IF(AX60&gt;0,IF($M60="Saudi",MIN(AX60+$Q60*$V60,Assumptions!$B$14)*Assumptions!$B$12,MIN(AX60+$Q60*$V60,Assumptions!$B$14)*Assumptions!$B$13),0)</f>
        <v>0</v>
      </c>
      <c r="BB60" s="249">
        <f>IF(AND(AX60&gt;0,$M60="Non-Saudi"),Assumptions!$B$25,0)</f>
        <v>910.41666666666663</v>
      </c>
      <c r="BC60" s="249">
        <f t="shared" si="13"/>
        <v>12000</v>
      </c>
      <c r="BD60" s="249">
        <f t="shared" si="14"/>
        <v>15000</v>
      </c>
      <c r="BE60" s="249">
        <f>IF(AND(BD60&gt;0,$N60&lt;&gt;""),IF((DATE(Assumptions!$B$4,7,28)-$N60)/365.25&lt;=Assumptions!$B$20,(DATE(Assumptions!$B$4,7,28)-$N60)/365.25*Assumptions!$B$18*BD60,(Assumptions!$B$20*Assumptions!$B$18+((DATE(Assumptions!$B$4,7,28)-$N60)/365.25-Assumptions!$B$20)*Assumptions!$B$19)*BD60),0)</f>
        <v>126072.89527720738</v>
      </c>
      <c r="BF60" s="249">
        <f>IF(BC60&gt;0,IF($M60="Saudi",MIN(BC60+$Q60*$V60,Assumptions!$B$14)*Assumptions!$B$12,MIN(BC60+$Q60*$V60,Assumptions!$B$14)*Assumptions!$B$13),0)</f>
        <v>0</v>
      </c>
      <c r="BG60" s="249">
        <f>IF(AND(BC60&gt;0,$M60="Non-Saudi"),Assumptions!$B$25,0)</f>
        <v>910.41666666666663</v>
      </c>
      <c r="BH60" s="249">
        <f t="shared" si="15"/>
        <v>12000</v>
      </c>
      <c r="BI60" s="249">
        <f t="shared" si="16"/>
        <v>15000</v>
      </c>
      <c r="BJ60" s="249">
        <f>IF(AND(BI60&gt;0,$N60&lt;&gt;""),IF((DATE(Assumptions!$B$4,8,28)-$N60)/365.25&lt;=Assumptions!$B$20,(DATE(Assumptions!$B$4,8,28)-$N60)/365.25*Assumptions!$B$18*BI60,(Assumptions!$B$20*Assumptions!$B$18+((DATE(Assumptions!$B$4,8,28)-$N60)/365.25-Assumptions!$B$20)*Assumptions!$B$19)*BI60),0)</f>
        <v>127345.99589322384</v>
      </c>
      <c r="BK60" s="249">
        <f>IF(BH60&gt;0,IF($M60="Saudi",MIN(BH60+$Q60*$V60,Assumptions!$B$14)*Assumptions!$B$12,MIN(BH60+$Q60*$V60,Assumptions!$B$14)*Assumptions!$B$13),0)</f>
        <v>0</v>
      </c>
      <c r="BL60" s="249">
        <f>IF(AND(BH60&gt;0,$M60="Non-Saudi"),Assumptions!$B$25,0)</f>
        <v>910.41666666666663</v>
      </c>
      <c r="BM60" s="249">
        <f>IF(AND($D60="Contrat Local",$N60&lt;&gt;""),IF(AND(9&gt;=Assumptions!$B$5,ISNUMBER($X60),$N60&lt;EDATE(Assumptions!$B$9,-Assumptions!$B$6*12)),($P60+$X60)*$V60,$P60*$V60),0)</f>
        <v>12250</v>
      </c>
      <c r="BN60" s="249">
        <f t="shared" si="17"/>
        <v>15250</v>
      </c>
      <c r="BO60" s="249">
        <f>IF(AND(BN60&gt;0,$N60&lt;&gt;""),IF((DATE(Assumptions!$B$4,9,28)-$N60)/365.25&lt;=Assumptions!$B$20,(DATE(Assumptions!$B$4,9,28)-$N60)/365.25*Assumptions!$B$18*BN60,(Assumptions!$B$20*Assumptions!$B$18+((DATE(Assumptions!$B$4,9,28)-$N60)/365.25-Assumptions!$B$20)*Assumptions!$B$19)*BN60),0)</f>
        <v>130762.74811772759</v>
      </c>
      <c r="BP60" s="249">
        <f>IF(BM60&gt;0,IF($M60="Saudi",MIN(BM60+$Q60*$V60,Assumptions!$B$14)*Assumptions!$B$12,MIN(BM60+$Q60*$V60,Assumptions!$B$14)*Assumptions!$B$13),0)</f>
        <v>0</v>
      </c>
      <c r="BQ60" s="249">
        <f>IF(AND(BM60&gt;0,$M60="Non-Saudi"),Assumptions!$B$25,0)</f>
        <v>910.41666666666663</v>
      </c>
      <c r="BR60" s="249">
        <f>IF(AND($D60="Contrat Local",$N60&lt;&gt;""),IF(AND(10&gt;=Assumptions!$B$5,ISNUMBER($X60),$N60&lt;EDATE(Assumptions!$B$9,-Assumptions!$B$6*12)),($P60+$X60)*$V60,$P60*$V60),0)</f>
        <v>12250</v>
      </c>
      <c r="BS60" s="249">
        <f t="shared" si="18"/>
        <v>15250</v>
      </c>
      <c r="BT60" s="249">
        <f>IF(AND(BS60&gt;0,$N60&lt;&gt;""),IF((DATE(Assumptions!$B$4,10,28)-$N60)/365.25&lt;=Assumptions!$B$20,(DATE(Assumptions!$B$4,10,28)-$N60)/365.25*Assumptions!$B$18*BS60,(Assumptions!$B$20*Assumptions!$B$18+((DATE(Assumptions!$B$4,10,28)-$N60)/365.25-Assumptions!$B$20)*Assumptions!$B$19)*BS60),0)</f>
        <v>132015.31485284053</v>
      </c>
      <c r="BU60" s="249">
        <f>IF(BR60&gt;0,IF($M60="Saudi",MIN(BR60+$Q60*$V60,Assumptions!$B$14)*Assumptions!$B$12,MIN(BR60+$Q60*$V60,Assumptions!$B$14)*Assumptions!$B$13),0)</f>
        <v>0</v>
      </c>
      <c r="BV60" s="249">
        <f>IF(AND(BR60&gt;0,$M60="Non-Saudi"),Assumptions!$B$25,0)</f>
        <v>910.41666666666663</v>
      </c>
      <c r="BW60" s="249">
        <f>IF(AND($D60="Contrat Local",$N60&lt;&gt;""),IF(AND(11&gt;=Assumptions!$B$5,ISNUMBER($X60),$N60&lt;EDATE(Assumptions!$B$9,-Assumptions!$B$6*12)),($P60+$X60)*$V60,$P60*$V60),0)</f>
        <v>12250</v>
      </c>
      <c r="BX60" s="249">
        <f t="shared" si="19"/>
        <v>15250</v>
      </c>
      <c r="BY60" s="249">
        <f>IF(AND(BX60&gt;0,$N60&lt;&gt;""),IF((DATE(Assumptions!$B$4,11,28)-$N60)/365.25&lt;=Assumptions!$B$20,(DATE(Assumptions!$B$4,11,28)-$N60)/365.25*Assumptions!$B$18*BX60,(Assumptions!$B$20*Assumptions!$B$18+((DATE(Assumptions!$B$4,11,28)-$N60)/365.25-Assumptions!$B$20)*Assumptions!$B$19)*BX60),0)</f>
        <v>133309.63381245721</v>
      </c>
      <c r="BZ60" s="249">
        <f>IF(BW60&gt;0,IF($M60="Saudi",MIN(BW60+$Q60*$V60,Assumptions!$B$14)*Assumptions!$B$12,MIN(BW60+$Q60*$V60,Assumptions!$B$14)*Assumptions!$B$13),0)</f>
        <v>0</v>
      </c>
      <c r="CA60" s="249">
        <f>IF(AND(BW60&gt;0,$M60="Non-Saudi"),Assumptions!$B$25,0)</f>
        <v>910.41666666666663</v>
      </c>
      <c r="CB60" s="249">
        <f>IF(AND($D60="Contrat Local",$N60&lt;&gt;""),IF(AND(12&gt;=Assumptions!$B$5,ISNUMBER($X60),$N60&lt;EDATE(Assumptions!$B$9,-Assumptions!$B$6*12)),($P60+$X60)*$V60,$P60*$V60),0)</f>
        <v>12250</v>
      </c>
      <c r="CC60" s="249">
        <f t="shared" si="20"/>
        <v>15250</v>
      </c>
      <c r="CD60" s="249">
        <f>IF(AND(CC60&gt;0,$N60&lt;&gt;""),IF((DATE(Assumptions!$B$4,12,28)-$N60)/365.25&lt;=Assumptions!$B$20,(DATE(Assumptions!$B$4,12,28)-$N60)/365.25*Assumptions!$B$18*CC60,(Assumptions!$B$20*Assumptions!$B$18+((DATE(Assumptions!$B$4,12,28)-$N60)/365.25-Assumptions!$B$20)*Assumptions!$B$19)*CC60),0)</f>
        <v>134562.20054757016</v>
      </c>
      <c r="CE60" s="249">
        <f>IF(CB60&gt;0,IF($M60="Saudi",MIN(CB60+$Q60*$V60,Assumptions!$B$14)*Assumptions!$B$12,MIN(CB60+$Q60*$V60,Assumptions!$B$14)*Assumptions!$B$13),0)</f>
        <v>0</v>
      </c>
      <c r="CF60" s="249">
        <f>IF(AND(CB60&gt;0,$M60="Non-Saudi"),Assumptions!$B$25,0)</f>
        <v>910.41666666666663</v>
      </c>
      <c r="CG60" s="249">
        <f t="shared" si="21"/>
        <v>145000</v>
      </c>
      <c r="CH60" s="249">
        <f t="shared" si="22"/>
        <v>181000</v>
      </c>
      <c r="CI60" s="249">
        <f>CD60-IF(AND(Z60&gt;0,$N60&lt;&gt;""),IF((DATE(Assumptions!$B$4-1,12,28)-$N60)/365.25&lt;=Assumptions!$B$20,(DATE(Assumptions!$B$4-1,12,28)-$N60)/365.25*Assumptions!$B$18*Z60,(Assumptions!$B$20*Assumptions!$B$18+((DATE(Assumptions!$B$4-1,12,28)-$N60)/365.25-Assumptions!$B$20)*Assumptions!$B$19)*Z60),0)</f>
        <v>17195.670773442864</v>
      </c>
      <c r="CJ60" s="249">
        <f t="shared" si="23"/>
        <v>0</v>
      </c>
      <c r="CK60" s="249">
        <f t="shared" si="24"/>
        <v>10924.999999999998</v>
      </c>
    </row>
    <row r="61" spans="1:89" x14ac:dyDescent="0.2">
      <c r="A61" s="258">
        <v>58</v>
      </c>
      <c r="B61" s="259" t="s">
        <v>402</v>
      </c>
      <c r="C61" s="259" t="s">
        <v>403</v>
      </c>
      <c r="D61" s="259" t="s">
        <v>250</v>
      </c>
      <c r="E61" s="259" t="s">
        <v>767</v>
      </c>
      <c r="F61" s="259" t="s">
        <v>264</v>
      </c>
      <c r="G61" s="259" t="s">
        <v>8</v>
      </c>
      <c r="H61" s="259" t="s">
        <v>265</v>
      </c>
      <c r="I61" s="283" t="s">
        <v>691</v>
      </c>
      <c r="J61" s="259" t="s">
        <v>58</v>
      </c>
      <c r="K61" s="259" t="s">
        <v>4</v>
      </c>
      <c r="L61" s="259" t="s">
        <v>255</v>
      </c>
      <c r="M61" s="259" t="str">
        <f t="shared" si="25"/>
        <v>Non-Saudi</v>
      </c>
      <c r="N61" s="260">
        <v>45901</v>
      </c>
      <c r="O61" s="261">
        <v>1.3</v>
      </c>
      <c r="P61" s="262">
        <v>8250</v>
      </c>
      <c r="Q61" s="262">
        <v>2500</v>
      </c>
      <c r="R61" s="262">
        <v>500</v>
      </c>
      <c r="S61" s="262"/>
      <c r="T61" s="262"/>
      <c r="U61" s="262">
        <v>11250</v>
      </c>
      <c r="V61" s="263">
        <v>1</v>
      </c>
      <c r="W61" s="259" t="s">
        <v>256</v>
      </c>
      <c r="X61" s="259" t="s">
        <v>268</v>
      </c>
      <c r="Y61" s="249">
        <f t="shared" si="1"/>
        <v>8250</v>
      </c>
      <c r="Z61" s="249">
        <f t="shared" si="2"/>
        <v>11250</v>
      </c>
      <c r="AA61" s="249">
        <f>IF(AND(Z61&gt;0,$N61&lt;&gt;""),IF((DATE(Assumptions!$B$4,1,28)-$N61)/365.25&lt;=Assumptions!$B$20,(DATE(Assumptions!$B$4,1,28)-$N61)/365.25*Assumptions!$B$18*Z61,(Assumptions!$B$20*Assumptions!$B$18+((DATE(Assumptions!$B$4,1,28)-$N61)/365.25-Assumptions!$B$20)*Assumptions!$B$19)*Z61),0)</f>
        <v>2294.6611909650924</v>
      </c>
      <c r="AB61" s="249">
        <f>IF(Y61&gt;0,IF($M61="Saudi",MIN(Y61+$Q61*$V61,Assumptions!$B$14)*Assumptions!$B$12,MIN(Y61+$Q61*$V61,Assumptions!$B$14)*Assumptions!$B$13),0)</f>
        <v>0</v>
      </c>
      <c r="AC61" s="249">
        <f>IF(AND(Y61&gt;0,$M61="Non-Saudi"),Assumptions!$B$25,0)</f>
        <v>910.41666666666663</v>
      </c>
      <c r="AD61" s="249">
        <f t="shared" si="3"/>
        <v>8250</v>
      </c>
      <c r="AE61" s="249">
        <f t="shared" si="4"/>
        <v>11250</v>
      </c>
      <c r="AF61" s="249">
        <f>IF(AND(AE61&gt;0,$N61&lt;&gt;""),IF((DATE(Assumptions!$B$4,2,28)-$N61)/365.25&lt;=Assumptions!$B$20,(DATE(Assumptions!$B$4,2,28)-$N61)/365.25*Assumptions!$B$18*AE61,(Assumptions!$B$20*Assumptions!$B$18+((DATE(Assumptions!$B$4,2,28)-$N61)/365.25-Assumptions!$B$20)*Assumptions!$B$19)*AE61),0)</f>
        <v>2772.0739219712523</v>
      </c>
      <c r="AG61" s="249">
        <f>IF(AD61&gt;0,IF($M61="Saudi",MIN(AD61+$Q61*$V61,Assumptions!$B$14)*Assumptions!$B$12,MIN(AD61+$Q61*$V61,Assumptions!$B$14)*Assumptions!$B$13),0)</f>
        <v>0</v>
      </c>
      <c r="AH61" s="249">
        <f>IF(AND(AD61&gt;0,$M61="Non-Saudi"),Assumptions!$B$25,0)</f>
        <v>910.41666666666663</v>
      </c>
      <c r="AI61" s="249">
        <f t="shared" si="5"/>
        <v>8250</v>
      </c>
      <c r="AJ61" s="249">
        <f t="shared" si="6"/>
        <v>11250</v>
      </c>
      <c r="AK61" s="249">
        <f>IF(AND(AJ61&gt;0,$N61&lt;&gt;""),IF((DATE(Assumptions!$B$4,3,28)-$N61)/365.25&lt;=Assumptions!$B$20,(DATE(Assumptions!$B$4,3,28)-$N61)/365.25*Assumptions!$B$18*AJ61,(Assumptions!$B$20*Assumptions!$B$18+((DATE(Assumptions!$B$4,3,28)-$N61)/365.25-Assumptions!$B$20)*Assumptions!$B$19)*AJ61),0)</f>
        <v>3203.2854209445586</v>
      </c>
      <c r="AL61" s="249">
        <f>IF(AI61&gt;0,IF($M61="Saudi",MIN(AI61+$Q61*$V61,Assumptions!$B$14)*Assumptions!$B$12,MIN(AI61+$Q61*$V61,Assumptions!$B$14)*Assumptions!$B$13),0)</f>
        <v>0</v>
      </c>
      <c r="AM61" s="249">
        <f>IF(AND(AI61&gt;0,$M61="Non-Saudi"),Assumptions!$B$25,0)</f>
        <v>910.41666666666663</v>
      </c>
      <c r="AN61" s="249">
        <f t="shared" si="7"/>
        <v>8250</v>
      </c>
      <c r="AO61" s="249">
        <f t="shared" si="8"/>
        <v>11250</v>
      </c>
      <c r="AP61" s="249">
        <f>IF(AND(AO61&gt;0,$N61&lt;&gt;""),IF((DATE(Assumptions!$B$4,4,28)-$N61)/365.25&lt;=Assumptions!$B$20,(DATE(Assumptions!$B$4,4,28)-$N61)/365.25*Assumptions!$B$18*AO61,(Assumptions!$B$20*Assumptions!$B$18+((DATE(Assumptions!$B$4,4,28)-$N61)/365.25-Assumptions!$B$20)*Assumptions!$B$19)*AO61),0)</f>
        <v>3680.6981519507185</v>
      </c>
      <c r="AQ61" s="249">
        <f>IF(AN61&gt;0,IF($M61="Saudi",MIN(AN61+$Q61*$V61,Assumptions!$B$14)*Assumptions!$B$12,MIN(AN61+$Q61*$V61,Assumptions!$B$14)*Assumptions!$B$13),0)</f>
        <v>0</v>
      </c>
      <c r="AR61" s="249">
        <f>IF(AND(AN61&gt;0,$M61="Non-Saudi"),Assumptions!$B$25,0)</f>
        <v>910.41666666666663</v>
      </c>
      <c r="AS61" s="249">
        <f t="shared" si="9"/>
        <v>8250</v>
      </c>
      <c r="AT61" s="249">
        <f t="shared" si="10"/>
        <v>11250</v>
      </c>
      <c r="AU61" s="249">
        <f>IF(AND(AT61&gt;0,$N61&lt;&gt;""),IF((DATE(Assumptions!$B$4,5,28)-$N61)/365.25&lt;=Assumptions!$B$20,(DATE(Assumptions!$B$4,5,28)-$N61)/365.25*Assumptions!$B$18*AT61,(Assumptions!$B$20*Assumptions!$B$18+((DATE(Assumptions!$B$4,5,28)-$N61)/365.25-Assumptions!$B$20)*Assumptions!$B$19)*AT61),0)</f>
        <v>4142.710472279261</v>
      </c>
      <c r="AV61" s="249">
        <f>IF(AS61&gt;0,IF($M61="Saudi",MIN(AS61+$Q61*$V61,Assumptions!$B$14)*Assumptions!$B$12,MIN(AS61+$Q61*$V61,Assumptions!$B$14)*Assumptions!$B$13),0)</f>
        <v>0</v>
      </c>
      <c r="AW61" s="249">
        <f>IF(AND(AS61&gt;0,$M61="Non-Saudi"),Assumptions!$B$25,0)</f>
        <v>910.41666666666663</v>
      </c>
      <c r="AX61" s="249">
        <f t="shared" si="11"/>
        <v>8250</v>
      </c>
      <c r="AY61" s="249">
        <f t="shared" si="12"/>
        <v>11250</v>
      </c>
      <c r="AZ61" s="249">
        <f>IF(AND(AY61&gt;0,$N61&lt;&gt;""),IF((DATE(Assumptions!$B$4,6,28)-$N61)/365.25&lt;=Assumptions!$B$20,(DATE(Assumptions!$B$4,6,28)-$N61)/365.25*Assumptions!$B$18*AY61,(Assumptions!$B$20*Assumptions!$B$18+((DATE(Assumptions!$B$4,6,28)-$N61)/365.25-Assumptions!$B$20)*Assumptions!$B$19)*AY61),0)</f>
        <v>4620.1232032854205</v>
      </c>
      <c r="BA61" s="249">
        <f>IF(AX61&gt;0,IF($M61="Saudi",MIN(AX61+$Q61*$V61,Assumptions!$B$14)*Assumptions!$B$12,MIN(AX61+$Q61*$V61,Assumptions!$B$14)*Assumptions!$B$13),0)</f>
        <v>0</v>
      </c>
      <c r="BB61" s="249">
        <f>IF(AND(AX61&gt;0,$M61="Non-Saudi"),Assumptions!$B$25,0)</f>
        <v>910.41666666666663</v>
      </c>
      <c r="BC61" s="249">
        <f t="shared" si="13"/>
        <v>8250</v>
      </c>
      <c r="BD61" s="249">
        <f t="shared" si="14"/>
        <v>11250</v>
      </c>
      <c r="BE61" s="249">
        <f>IF(AND(BD61&gt;0,$N61&lt;&gt;""),IF((DATE(Assumptions!$B$4,7,28)-$N61)/365.25&lt;=Assumptions!$B$20,(DATE(Assumptions!$B$4,7,28)-$N61)/365.25*Assumptions!$B$18*BD61,(Assumptions!$B$20*Assumptions!$B$18+((DATE(Assumptions!$B$4,7,28)-$N61)/365.25-Assumptions!$B$20)*Assumptions!$B$19)*BD61),0)</f>
        <v>5082.1355236139625</v>
      </c>
      <c r="BF61" s="249">
        <f>IF(BC61&gt;0,IF($M61="Saudi",MIN(BC61+$Q61*$V61,Assumptions!$B$14)*Assumptions!$B$12,MIN(BC61+$Q61*$V61,Assumptions!$B$14)*Assumptions!$B$13),0)</f>
        <v>0</v>
      </c>
      <c r="BG61" s="249">
        <f>IF(AND(BC61&gt;0,$M61="Non-Saudi"),Assumptions!$B$25,0)</f>
        <v>910.41666666666663</v>
      </c>
      <c r="BH61" s="249">
        <f t="shared" si="15"/>
        <v>8250</v>
      </c>
      <c r="BI61" s="249">
        <f t="shared" si="16"/>
        <v>11250</v>
      </c>
      <c r="BJ61" s="249">
        <f>IF(AND(BI61&gt;0,$N61&lt;&gt;""),IF((DATE(Assumptions!$B$4,8,28)-$N61)/365.25&lt;=Assumptions!$B$20,(DATE(Assumptions!$B$4,8,28)-$N61)/365.25*Assumptions!$B$18*BI61,(Assumptions!$B$20*Assumptions!$B$18+((DATE(Assumptions!$B$4,8,28)-$N61)/365.25-Assumptions!$B$20)*Assumptions!$B$19)*BI61),0)</f>
        <v>5559.5482546201238</v>
      </c>
      <c r="BK61" s="249">
        <f>IF(BH61&gt;0,IF($M61="Saudi",MIN(BH61+$Q61*$V61,Assumptions!$B$14)*Assumptions!$B$12,MIN(BH61+$Q61*$V61,Assumptions!$B$14)*Assumptions!$B$13),0)</f>
        <v>0</v>
      </c>
      <c r="BL61" s="249">
        <f>IF(AND(BH61&gt;0,$M61="Non-Saudi"),Assumptions!$B$25,0)</f>
        <v>910.41666666666663</v>
      </c>
      <c r="BM61" s="249">
        <f>IF(AND($D61="Contrat Local",$N61&lt;&gt;""),IF(AND(9&gt;=Assumptions!$B$5,ISNUMBER($X61),$N61&lt;EDATE(Assumptions!$B$9,-Assumptions!$B$6*12)),($P61+$X61)*$V61,$P61*$V61),0)</f>
        <v>8250</v>
      </c>
      <c r="BN61" s="249">
        <f t="shared" si="17"/>
        <v>11250</v>
      </c>
      <c r="BO61" s="249">
        <f>IF(AND(BN61&gt;0,$N61&lt;&gt;""),IF((DATE(Assumptions!$B$4,9,28)-$N61)/365.25&lt;=Assumptions!$B$20,(DATE(Assumptions!$B$4,9,28)-$N61)/365.25*Assumptions!$B$18*BN61,(Assumptions!$B$20*Assumptions!$B$18+((DATE(Assumptions!$B$4,9,28)-$N61)/365.25-Assumptions!$B$20)*Assumptions!$B$19)*BN61),0)</f>
        <v>6036.9609856262832</v>
      </c>
      <c r="BP61" s="249">
        <f>IF(BM61&gt;0,IF($M61="Saudi",MIN(BM61+$Q61*$V61,Assumptions!$B$14)*Assumptions!$B$12,MIN(BM61+$Q61*$V61,Assumptions!$B$14)*Assumptions!$B$13),0)</f>
        <v>0</v>
      </c>
      <c r="BQ61" s="249">
        <f>IF(AND(BM61&gt;0,$M61="Non-Saudi"),Assumptions!$B$25,0)</f>
        <v>910.41666666666663</v>
      </c>
      <c r="BR61" s="249">
        <f>IF(AND($D61="Contrat Local",$N61&lt;&gt;""),IF(AND(10&gt;=Assumptions!$B$5,ISNUMBER($X61),$N61&lt;EDATE(Assumptions!$B$9,-Assumptions!$B$6*12)),($P61+$X61)*$V61,$P61*$V61),0)</f>
        <v>8250</v>
      </c>
      <c r="BS61" s="249">
        <f t="shared" si="18"/>
        <v>11250</v>
      </c>
      <c r="BT61" s="249">
        <f>IF(AND(BS61&gt;0,$N61&lt;&gt;""),IF((DATE(Assumptions!$B$4,10,28)-$N61)/365.25&lt;=Assumptions!$B$20,(DATE(Assumptions!$B$4,10,28)-$N61)/365.25*Assumptions!$B$18*BS61,(Assumptions!$B$20*Assumptions!$B$18+((DATE(Assumptions!$B$4,10,28)-$N61)/365.25-Assumptions!$B$20)*Assumptions!$B$19)*BS61),0)</f>
        <v>6498.9733059548262</v>
      </c>
      <c r="BU61" s="249">
        <f>IF(BR61&gt;0,IF($M61="Saudi",MIN(BR61+$Q61*$V61,Assumptions!$B$14)*Assumptions!$B$12,MIN(BR61+$Q61*$V61,Assumptions!$B$14)*Assumptions!$B$13),0)</f>
        <v>0</v>
      </c>
      <c r="BV61" s="249">
        <f>IF(AND(BR61&gt;0,$M61="Non-Saudi"),Assumptions!$B$25,0)</f>
        <v>910.41666666666663</v>
      </c>
      <c r="BW61" s="249">
        <f>IF(AND($D61="Contrat Local",$N61&lt;&gt;""),IF(AND(11&gt;=Assumptions!$B$5,ISNUMBER($X61),$N61&lt;EDATE(Assumptions!$B$9,-Assumptions!$B$6*12)),($P61+$X61)*$V61,$P61*$V61),0)</f>
        <v>8250</v>
      </c>
      <c r="BX61" s="249">
        <f t="shared" si="19"/>
        <v>11250</v>
      </c>
      <c r="BY61" s="249">
        <f>IF(AND(BX61&gt;0,$N61&lt;&gt;""),IF((DATE(Assumptions!$B$4,11,28)-$N61)/365.25&lt;=Assumptions!$B$20,(DATE(Assumptions!$B$4,11,28)-$N61)/365.25*Assumptions!$B$18*BX61,(Assumptions!$B$20*Assumptions!$B$18+((DATE(Assumptions!$B$4,11,28)-$N61)/365.25-Assumptions!$B$20)*Assumptions!$B$19)*BX61),0)</f>
        <v>6976.3860369609856</v>
      </c>
      <c r="BZ61" s="249">
        <f>IF(BW61&gt;0,IF($M61="Saudi",MIN(BW61+$Q61*$V61,Assumptions!$B$14)*Assumptions!$B$12,MIN(BW61+$Q61*$V61,Assumptions!$B$14)*Assumptions!$B$13),0)</f>
        <v>0</v>
      </c>
      <c r="CA61" s="249">
        <f>IF(AND(BW61&gt;0,$M61="Non-Saudi"),Assumptions!$B$25,0)</f>
        <v>910.41666666666663</v>
      </c>
      <c r="CB61" s="249">
        <f>IF(AND($D61="Contrat Local",$N61&lt;&gt;""),IF(AND(12&gt;=Assumptions!$B$5,ISNUMBER($X61),$N61&lt;EDATE(Assumptions!$B$9,-Assumptions!$B$6*12)),($P61+$X61)*$V61,$P61*$V61),0)</f>
        <v>8250</v>
      </c>
      <c r="CC61" s="249">
        <f t="shared" si="20"/>
        <v>11250</v>
      </c>
      <c r="CD61" s="249">
        <f>IF(AND(CC61&gt;0,$N61&lt;&gt;""),IF((DATE(Assumptions!$B$4,12,28)-$N61)/365.25&lt;=Assumptions!$B$20,(DATE(Assumptions!$B$4,12,28)-$N61)/365.25*Assumptions!$B$18*CC61,(Assumptions!$B$20*Assumptions!$B$18+((DATE(Assumptions!$B$4,12,28)-$N61)/365.25-Assumptions!$B$20)*Assumptions!$B$19)*CC61),0)</f>
        <v>7438.3983572895277</v>
      </c>
      <c r="CE61" s="249">
        <f>IF(CB61&gt;0,IF($M61="Saudi",MIN(CB61+$Q61*$V61,Assumptions!$B$14)*Assumptions!$B$12,MIN(CB61+$Q61*$V61,Assumptions!$B$14)*Assumptions!$B$13),0)</f>
        <v>0</v>
      </c>
      <c r="CF61" s="249">
        <f>IF(AND(CB61&gt;0,$M61="Non-Saudi"),Assumptions!$B$25,0)</f>
        <v>910.41666666666663</v>
      </c>
      <c r="CG61" s="249">
        <f t="shared" si="21"/>
        <v>99000</v>
      </c>
      <c r="CH61" s="249">
        <f t="shared" si="22"/>
        <v>135000</v>
      </c>
      <c r="CI61" s="249">
        <f>CD61-IF(AND(Z61&gt;0,$N61&lt;&gt;""),IF((DATE(Assumptions!$B$4-1,12,28)-$N61)/365.25&lt;=Assumptions!$B$20,(DATE(Assumptions!$B$4-1,12,28)-$N61)/365.25*Assumptions!$B$18*Z61,(Assumptions!$B$20*Assumptions!$B$18+((DATE(Assumptions!$B$4-1,12,28)-$N61)/365.25-Assumptions!$B$20)*Assumptions!$B$19)*Z61),0)</f>
        <v>5621.1498973305952</v>
      </c>
      <c r="CJ61" s="249">
        <f t="shared" si="23"/>
        <v>0</v>
      </c>
      <c r="CK61" s="249">
        <f t="shared" si="24"/>
        <v>10924.999999999998</v>
      </c>
    </row>
    <row r="62" spans="1:89" x14ac:dyDescent="0.2">
      <c r="A62" s="264">
        <v>60</v>
      </c>
      <c r="B62" s="265" t="s">
        <v>404</v>
      </c>
      <c r="C62" s="265" t="s">
        <v>405</v>
      </c>
      <c r="D62" s="265" t="s">
        <v>250</v>
      </c>
      <c r="E62" s="265" t="s">
        <v>767</v>
      </c>
      <c r="F62" s="265" t="s">
        <v>264</v>
      </c>
      <c r="G62" s="265" t="s">
        <v>8</v>
      </c>
      <c r="H62" s="265" t="s">
        <v>265</v>
      </c>
      <c r="I62" s="284" t="s">
        <v>691</v>
      </c>
      <c r="J62" s="265" t="s">
        <v>58</v>
      </c>
      <c r="K62" s="265" t="s">
        <v>8</v>
      </c>
      <c r="L62" s="265" t="s">
        <v>255</v>
      </c>
      <c r="M62" s="265" t="str">
        <f t="shared" si="25"/>
        <v>Non-Saudi</v>
      </c>
      <c r="N62" s="266">
        <v>45901</v>
      </c>
      <c r="O62" s="267">
        <v>1.3</v>
      </c>
      <c r="P62" s="268">
        <v>8750</v>
      </c>
      <c r="Q62" s="268">
        <v>2500</v>
      </c>
      <c r="R62" s="268">
        <v>500</v>
      </c>
      <c r="S62" s="268"/>
      <c r="T62" s="268"/>
      <c r="U62" s="268">
        <v>11750</v>
      </c>
      <c r="V62" s="269">
        <v>1</v>
      </c>
      <c r="W62" s="265" t="s">
        <v>259</v>
      </c>
      <c r="X62" s="265" t="s">
        <v>268</v>
      </c>
      <c r="Y62" s="249">
        <f t="shared" si="1"/>
        <v>8750</v>
      </c>
      <c r="Z62" s="249">
        <f t="shared" si="2"/>
        <v>11750</v>
      </c>
      <c r="AA62" s="249">
        <f>IF(AND(Z62&gt;0,$N62&lt;&gt;""),IF((DATE(Assumptions!$B$4,1,28)-$N62)/365.25&lt;=Assumptions!$B$20,(DATE(Assumptions!$B$4,1,28)-$N62)/365.25*Assumptions!$B$18*Z62,(Assumptions!$B$20*Assumptions!$B$18+((DATE(Assumptions!$B$4,1,28)-$N62)/365.25-Assumptions!$B$20)*Assumptions!$B$19)*Z62),0)</f>
        <v>2396.6461327857633</v>
      </c>
      <c r="AB62" s="249">
        <f>IF(Y62&gt;0,IF($M62="Saudi",MIN(Y62+$Q62*$V62,Assumptions!$B$14)*Assumptions!$B$12,MIN(Y62+$Q62*$V62,Assumptions!$B$14)*Assumptions!$B$13),0)</f>
        <v>0</v>
      </c>
      <c r="AC62" s="249">
        <f>IF(AND(Y62&gt;0,$M62="Non-Saudi"),Assumptions!$B$25,0)</f>
        <v>910.41666666666663</v>
      </c>
      <c r="AD62" s="249">
        <f t="shared" si="3"/>
        <v>8750</v>
      </c>
      <c r="AE62" s="249">
        <f t="shared" si="4"/>
        <v>11750</v>
      </c>
      <c r="AF62" s="249">
        <f>IF(AND(AE62&gt;0,$N62&lt;&gt;""),IF((DATE(Assumptions!$B$4,2,28)-$N62)/365.25&lt;=Assumptions!$B$20,(DATE(Assumptions!$B$4,2,28)-$N62)/365.25*Assumptions!$B$18*AE62,(Assumptions!$B$20*Assumptions!$B$18+((DATE(Assumptions!$B$4,2,28)-$N62)/365.25-Assumptions!$B$20)*Assumptions!$B$19)*AE62),0)</f>
        <v>2895.2772073921969</v>
      </c>
      <c r="AG62" s="249">
        <f>IF(AD62&gt;0,IF($M62="Saudi",MIN(AD62+$Q62*$V62,Assumptions!$B$14)*Assumptions!$B$12,MIN(AD62+$Q62*$V62,Assumptions!$B$14)*Assumptions!$B$13),0)</f>
        <v>0</v>
      </c>
      <c r="AH62" s="249">
        <f>IF(AND(AD62&gt;0,$M62="Non-Saudi"),Assumptions!$B$25,0)</f>
        <v>910.41666666666663</v>
      </c>
      <c r="AI62" s="249">
        <f t="shared" si="5"/>
        <v>8750</v>
      </c>
      <c r="AJ62" s="249">
        <f t="shared" si="6"/>
        <v>11750</v>
      </c>
      <c r="AK62" s="249">
        <f>IF(AND(AJ62&gt;0,$N62&lt;&gt;""),IF((DATE(Assumptions!$B$4,3,28)-$N62)/365.25&lt;=Assumptions!$B$20,(DATE(Assumptions!$B$4,3,28)-$N62)/365.25*Assumptions!$B$18*AJ62,(Assumptions!$B$20*Assumptions!$B$18+((DATE(Assumptions!$B$4,3,28)-$N62)/365.25-Assumptions!$B$20)*Assumptions!$B$19)*AJ62),0)</f>
        <v>3345.653661875428</v>
      </c>
      <c r="AL62" s="249">
        <f>IF(AI62&gt;0,IF($M62="Saudi",MIN(AI62+$Q62*$V62,Assumptions!$B$14)*Assumptions!$B$12,MIN(AI62+$Q62*$V62,Assumptions!$B$14)*Assumptions!$B$13),0)</f>
        <v>0</v>
      </c>
      <c r="AM62" s="249">
        <f>IF(AND(AI62&gt;0,$M62="Non-Saudi"),Assumptions!$B$25,0)</f>
        <v>910.41666666666663</v>
      </c>
      <c r="AN62" s="249">
        <f t="shared" si="7"/>
        <v>8750</v>
      </c>
      <c r="AO62" s="249">
        <f t="shared" si="8"/>
        <v>11750</v>
      </c>
      <c r="AP62" s="249">
        <f>IF(AND(AO62&gt;0,$N62&lt;&gt;""),IF((DATE(Assumptions!$B$4,4,28)-$N62)/365.25&lt;=Assumptions!$B$20,(DATE(Assumptions!$B$4,4,28)-$N62)/365.25*Assumptions!$B$18*AO62,(Assumptions!$B$20*Assumptions!$B$18+((DATE(Assumptions!$B$4,4,28)-$N62)/365.25-Assumptions!$B$20)*Assumptions!$B$19)*AO62),0)</f>
        <v>3844.2847364818617</v>
      </c>
      <c r="AQ62" s="249">
        <f>IF(AN62&gt;0,IF($M62="Saudi",MIN(AN62+$Q62*$V62,Assumptions!$B$14)*Assumptions!$B$12,MIN(AN62+$Q62*$V62,Assumptions!$B$14)*Assumptions!$B$13),0)</f>
        <v>0</v>
      </c>
      <c r="AR62" s="249">
        <f>IF(AND(AN62&gt;0,$M62="Non-Saudi"),Assumptions!$B$25,0)</f>
        <v>910.41666666666663</v>
      </c>
      <c r="AS62" s="249">
        <f t="shared" si="9"/>
        <v>8750</v>
      </c>
      <c r="AT62" s="249">
        <f t="shared" si="10"/>
        <v>11750</v>
      </c>
      <c r="AU62" s="249">
        <f>IF(AND(AT62&gt;0,$N62&lt;&gt;""),IF((DATE(Assumptions!$B$4,5,28)-$N62)/365.25&lt;=Assumptions!$B$20,(DATE(Assumptions!$B$4,5,28)-$N62)/365.25*Assumptions!$B$18*AT62,(Assumptions!$B$20*Assumptions!$B$18+((DATE(Assumptions!$B$4,5,28)-$N62)/365.25-Assumptions!$B$20)*Assumptions!$B$19)*AT62),0)</f>
        <v>4326.8309377138949</v>
      </c>
      <c r="AV62" s="249">
        <f>IF(AS62&gt;0,IF($M62="Saudi",MIN(AS62+$Q62*$V62,Assumptions!$B$14)*Assumptions!$B$12,MIN(AS62+$Q62*$V62,Assumptions!$B$14)*Assumptions!$B$13),0)</f>
        <v>0</v>
      </c>
      <c r="AW62" s="249">
        <f>IF(AND(AS62&gt;0,$M62="Non-Saudi"),Assumptions!$B$25,0)</f>
        <v>910.41666666666663</v>
      </c>
      <c r="AX62" s="249">
        <f t="shared" si="11"/>
        <v>8750</v>
      </c>
      <c r="AY62" s="249">
        <f t="shared" si="12"/>
        <v>11750</v>
      </c>
      <c r="AZ62" s="249">
        <f>IF(AND(AY62&gt;0,$N62&lt;&gt;""),IF((DATE(Assumptions!$B$4,6,28)-$N62)/365.25&lt;=Assumptions!$B$20,(DATE(Assumptions!$B$4,6,28)-$N62)/365.25*Assumptions!$B$18*AY62,(Assumptions!$B$20*Assumptions!$B$18+((DATE(Assumptions!$B$4,6,28)-$N62)/365.25-Assumptions!$B$20)*Assumptions!$B$19)*AY62),0)</f>
        <v>4825.4620123203285</v>
      </c>
      <c r="BA62" s="249">
        <f>IF(AX62&gt;0,IF($M62="Saudi",MIN(AX62+$Q62*$V62,Assumptions!$B$14)*Assumptions!$B$12,MIN(AX62+$Q62*$V62,Assumptions!$B$14)*Assumptions!$B$13),0)</f>
        <v>0</v>
      </c>
      <c r="BB62" s="249">
        <f>IF(AND(AX62&gt;0,$M62="Non-Saudi"),Assumptions!$B$25,0)</f>
        <v>910.41666666666663</v>
      </c>
      <c r="BC62" s="249">
        <f t="shared" si="13"/>
        <v>8750</v>
      </c>
      <c r="BD62" s="249">
        <f t="shared" si="14"/>
        <v>11750</v>
      </c>
      <c r="BE62" s="249">
        <f>IF(AND(BD62&gt;0,$N62&lt;&gt;""),IF((DATE(Assumptions!$B$4,7,28)-$N62)/365.25&lt;=Assumptions!$B$20,(DATE(Assumptions!$B$4,7,28)-$N62)/365.25*Assumptions!$B$18*BD62,(Assumptions!$B$20*Assumptions!$B$18+((DATE(Assumptions!$B$4,7,28)-$N62)/365.25-Assumptions!$B$20)*Assumptions!$B$19)*BD62),0)</f>
        <v>5308.0082135523608</v>
      </c>
      <c r="BF62" s="249">
        <f>IF(BC62&gt;0,IF($M62="Saudi",MIN(BC62+$Q62*$V62,Assumptions!$B$14)*Assumptions!$B$12,MIN(BC62+$Q62*$V62,Assumptions!$B$14)*Assumptions!$B$13),0)</f>
        <v>0</v>
      </c>
      <c r="BG62" s="249">
        <f>IF(AND(BC62&gt;0,$M62="Non-Saudi"),Assumptions!$B$25,0)</f>
        <v>910.41666666666663</v>
      </c>
      <c r="BH62" s="249">
        <f t="shared" si="15"/>
        <v>8750</v>
      </c>
      <c r="BI62" s="249">
        <f t="shared" si="16"/>
        <v>11750</v>
      </c>
      <c r="BJ62" s="249">
        <f>IF(AND(BI62&gt;0,$N62&lt;&gt;""),IF((DATE(Assumptions!$B$4,8,28)-$N62)/365.25&lt;=Assumptions!$B$20,(DATE(Assumptions!$B$4,8,28)-$N62)/365.25*Assumptions!$B$18*BI62,(Assumptions!$B$20*Assumptions!$B$18+((DATE(Assumptions!$B$4,8,28)-$N62)/365.25-Assumptions!$B$20)*Assumptions!$B$19)*BI62),0)</f>
        <v>5806.6392881587954</v>
      </c>
      <c r="BK62" s="249">
        <f>IF(BH62&gt;0,IF($M62="Saudi",MIN(BH62+$Q62*$V62,Assumptions!$B$14)*Assumptions!$B$12,MIN(BH62+$Q62*$V62,Assumptions!$B$14)*Assumptions!$B$13),0)</f>
        <v>0</v>
      </c>
      <c r="BL62" s="249">
        <f>IF(AND(BH62&gt;0,$M62="Non-Saudi"),Assumptions!$B$25,0)</f>
        <v>910.41666666666663</v>
      </c>
      <c r="BM62" s="249">
        <f>IF(AND($D62="Contrat Local",$N62&lt;&gt;""),IF(AND(9&gt;=Assumptions!$B$5,ISNUMBER($X62),$N62&lt;EDATE(Assumptions!$B$9,-Assumptions!$B$6*12)),($P62+$X62)*$V62,$P62*$V62),0)</f>
        <v>8750</v>
      </c>
      <c r="BN62" s="249">
        <f t="shared" si="17"/>
        <v>11750</v>
      </c>
      <c r="BO62" s="249">
        <f>IF(AND(BN62&gt;0,$N62&lt;&gt;""),IF((DATE(Assumptions!$B$4,9,28)-$N62)/365.25&lt;=Assumptions!$B$20,(DATE(Assumptions!$B$4,9,28)-$N62)/365.25*Assumptions!$B$18*BN62,(Assumptions!$B$20*Assumptions!$B$18+((DATE(Assumptions!$B$4,9,28)-$N62)/365.25-Assumptions!$B$20)*Assumptions!$B$19)*BN62),0)</f>
        <v>6305.270362765229</v>
      </c>
      <c r="BP62" s="249">
        <f>IF(BM62&gt;0,IF($M62="Saudi",MIN(BM62+$Q62*$V62,Assumptions!$B$14)*Assumptions!$B$12,MIN(BM62+$Q62*$V62,Assumptions!$B$14)*Assumptions!$B$13),0)</f>
        <v>0</v>
      </c>
      <c r="BQ62" s="249">
        <f>IF(AND(BM62&gt;0,$M62="Non-Saudi"),Assumptions!$B$25,0)</f>
        <v>910.41666666666663</v>
      </c>
      <c r="BR62" s="249">
        <f>IF(AND($D62="Contrat Local",$N62&lt;&gt;""),IF(AND(10&gt;=Assumptions!$B$5,ISNUMBER($X62),$N62&lt;EDATE(Assumptions!$B$9,-Assumptions!$B$6*12)),($P62+$X62)*$V62,$P62*$V62),0)</f>
        <v>8750</v>
      </c>
      <c r="BS62" s="249">
        <f t="shared" si="18"/>
        <v>11750</v>
      </c>
      <c r="BT62" s="249">
        <f>IF(AND(BS62&gt;0,$N62&lt;&gt;""),IF((DATE(Assumptions!$B$4,10,28)-$N62)/365.25&lt;=Assumptions!$B$20,(DATE(Assumptions!$B$4,10,28)-$N62)/365.25*Assumptions!$B$18*BS62,(Assumptions!$B$20*Assumptions!$B$18+((DATE(Assumptions!$B$4,10,28)-$N62)/365.25-Assumptions!$B$20)*Assumptions!$B$19)*BS62),0)</f>
        <v>6787.8165639972631</v>
      </c>
      <c r="BU62" s="249">
        <f>IF(BR62&gt;0,IF($M62="Saudi",MIN(BR62+$Q62*$V62,Assumptions!$B$14)*Assumptions!$B$12,MIN(BR62+$Q62*$V62,Assumptions!$B$14)*Assumptions!$B$13),0)</f>
        <v>0</v>
      </c>
      <c r="BV62" s="249">
        <f>IF(AND(BR62&gt;0,$M62="Non-Saudi"),Assumptions!$B$25,0)</f>
        <v>910.41666666666663</v>
      </c>
      <c r="BW62" s="249">
        <f>IF(AND($D62="Contrat Local",$N62&lt;&gt;""),IF(AND(11&gt;=Assumptions!$B$5,ISNUMBER($X62),$N62&lt;EDATE(Assumptions!$B$9,-Assumptions!$B$6*12)),($P62+$X62)*$V62,$P62*$V62),0)</f>
        <v>8750</v>
      </c>
      <c r="BX62" s="249">
        <f t="shared" si="19"/>
        <v>11750</v>
      </c>
      <c r="BY62" s="249">
        <f>IF(AND(BX62&gt;0,$N62&lt;&gt;""),IF((DATE(Assumptions!$B$4,11,28)-$N62)/365.25&lt;=Assumptions!$B$20,(DATE(Assumptions!$B$4,11,28)-$N62)/365.25*Assumptions!$B$18*BX62,(Assumptions!$B$20*Assumptions!$B$18+((DATE(Assumptions!$B$4,11,28)-$N62)/365.25-Assumptions!$B$20)*Assumptions!$B$19)*BX62),0)</f>
        <v>7286.4476386036959</v>
      </c>
      <c r="BZ62" s="249">
        <f>IF(BW62&gt;0,IF($M62="Saudi",MIN(BW62+$Q62*$V62,Assumptions!$B$14)*Assumptions!$B$12,MIN(BW62+$Q62*$V62,Assumptions!$B$14)*Assumptions!$B$13),0)</f>
        <v>0</v>
      </c>
      <c r="CA62" s="249">
        <f>IF(AND(BW62&gt;0,$M62="Non-Saudi"),Assumptions!$B$25,0)</f>
        <v>910.41666666666663</v>
      </c>
      <c r="CB62" s="249">
        <f>IF(AND($D62="Contrat Local",$N62&lt;&gt;""),IF(AND(12&gt;=Assumptions!$B$5,ISNUMBER($X62),$N62&lt;EDATE(Assumptions!$B$9,-Assumptions!$B$6*12)),($P62+$X62)*$V62,$P62*$V62),0)</f>
        <v>8750</v>
      </c>
      <c r="CC62" s="249">
        <f t="shared" si="20"/>
        <v>11750</v>
      </c>
      <c r="CD62" s="249">
        <f>IF(AND(CC62&gt;0,$N62&lt;&gt;""),IF((DATE(Assumptions!$B$4,12,28)-$N62)/365.25&lt;=Assumptions!$B$20,(DATE(Assumptions!$B$4,12,28)-$N62)/365.25*Assumptions!$B$18*CC62,(Assumptions!$B$20*Assumptions!$B$18+((DATE(Assumptions!$B$4,12,28)-$N62)/365.25-Assumptions!$B$20)*Assumptions!$B$19)*CC62),0)</f>
        <v>7768.993839835729</v>
      </c>
      <c r="CE62" s="249">
        <f>IF(CB62&gt;0,IF($M62="Saudi",MIN(CB62+$Q62*$V62,Assumptions!$B$14)*Assumptions!$B$12,MIN(CB62+$Q62*$V62,Assumptions!$B$14)*Assumptions!$B$13),0)</f>
        <v>0</v>
      </c>
      <c r="CF62" s="249">
        <f>IF(AND(CB62&gt;0,$M62="Non-Saudi"),Assumptions!$B$25,0)</f>
        <v>910.41666666666663</v>
      </c>
      <c r="CG62" s="249">
        <f t="shared" si="21"/>
        <v>105000</v>
      </c>
      <c r="CH62" s="249">
        <f t="shared" si="22"/>
        <v>141000</v>
      </c>
      <c r="CI62" s="249">
        <f>CD62-IF(AND(Z62&gt;0,$N62&lt;&gt;""),IF((DATE(Assumptions!$B$4-1,12,28)-$N62)/365.25&lt;=Assumptions!$B$20,(DATE(Assumptions!$B$4-1,12,28)-$N62)/365.25*Assumptions!$B$18*Z62,(Assumptions!$B$20*Assumptions!$B$18+((DATE(Assumptions!$B$4-1,12,28)-$N62)/365.25-Assumptions!$B$20)*Assumptions!$B$19)*Z62),0)</f>
        <v>5870.9787816564003</v>
      </c>
      <c r="CJ62" s="249">
        <f t="shared" si="23"/>
        <v>0</v>
      </c>
      <c r="CK62" s="249">
        <f t="shared" si="24"/>
        <v>10924.999999999998</v>
      </c>
    </row>
    <row r="63" spans="1:89" x14ac:dyDescent="0.2">
      <c r="A63" s="258">
        <v>61</v>
      </c>
      <c r="B63" s="259" t="s">
        <v>406</v>
      </c>
      <c r="C63" s="259" t="s">
        <v>327</v>
      </c>
      <c r="D63" s="259" t="s">
        <v>250</v>
      </c>
      <c r="E63" s="259" t="s">
        <v>767</v>
      </c>
      <c r="F63" s="259" t="s">
        <v>344</v>
      </c>
      <c r="G63" s="259" t="s">
        <v>4</v>
      </c>
      <c r="H63" s="259" t="s">
        <v>120</v>
      </c>
      <c r="I63" s="288" t="s">
        <v>691</v>
      </c>
      <c r="J63" s="259" t="s">
        <v>344</v>
      </c>
      <c r="K63" s="259" t="s">
        <v>4</v>
      </c>
      <c r="L63" s="259" t="s">
        <v>255</v>
      </c>
      <c r="M63" s="259" t="str">
        <f t="shared" si="25"/>
        <v>Non-Saudi</v>
      </c>
      <c r="N63" s="260">
        <v>44440</v>
      </c>
      <c r="O63" s="261">
        <v>5.3</v>
      </c>
      <c r="P63" s="262">
        <v>6800</v>
      </c>
      <c r="Q63" s="262">
        <v>2500</v>
      </c>
      <c r="R63" s="262">
        <v>500</v>
      </c>
      <c r="S63" s="262"/>
      <c r="T63" s="262"/>
      <c r="U63" s="262">
        <v>9800</v>
      </c>
      <c r="V63" s="263">
        <v>1</v>
      </c>
      <c r="W63" s="259" t="s">
        <v>259</v>
      </c>
      <c r="X63" s="259">
        <v>200</v>
      </c>
      <c r="Y63" s="249">
        <f t="shared" si="1"/>
        <v>6800</v>
      </c>
      <c r="Z63" s="249">
        <f t="shared" si="2"/>
        <v>9800</v>
      </c>
      <c r="AA63" s="249">
        <f>IF(AND(Z63&gt;0,$N63&lt;&gt;""),IF((DATE(Assumptions!$B$4,1,28)-$N63)/365.25&lt;=Assumptions!$B$20,(DATE(Assumptions!$B$4,1,28)-$N63)/365.25*Assumptions!$B$18*Z63,(Assumptions!$B$20*Assumptions!$B$18+((DATE(Assumptions!$B$4,1,28)-$N63)/365.25-Assumptions!$B$20)*Assumptions!$B$19)*Z63),0)</f>
        <v>21598.90485968515</v>
      </c>
      <c r="AB63" s="249">
        <f>IF(Y63&gt;0,IF($M63="Saudi",MIN(Y63+$Q63*$V63,Assumptions!$B$14)*Assumptions!$B$12,MIN(Y63+$Q63*$V63,Assumptions!$B$14)*Assumptions!$B$13),0)</f>
        <v>0</v>
      </c>
      <c r="AC63" s="249">
        <f>IF(AND(Y63&gt;0,$M63="Non-Saudi"),Assumptions!$B$25,0)</f>
        <v>910.41666666666663</v>
      </c>
      <c r="AD63" s="249">
        <f t="shared" si="3"/>
        <v>6800</v>
      </c>
      <c r="AE63" s="249">
        <f t="shared" si="4"/>
        <v>9800</v>
      </c>
      <c r="AF63" s="249">
        <f>IF(AND(AE63&gt;0,$N63&lt;&gt;""),IF((DATE(Assumptions!$B$4,2,28)-$N63)/365.25&lt;=Assumptions!$B$20,(DATE(Assumptions!$B$4,2,28)-$N63)/365.25*Assumptions!$B$18*AE63,(Assumptions!$B$20*Assumptions!$B$18+((DATE(Assumptions!$B$4,2,28)-$N63)/365.25-Assumptions!$B$20)*Assumptions!$B$19)*AE63),0)</f>
        <v>22014.784394250513</v>
      </c>
      <c r="AG63" s="249">
        <f>IF(AD63&gt;0,IF($M63="Saudi",MIN(AD63+$Q63*$V63,Assumptions!$B$14)*Assumptions!$B$12,MIN(AD63+$Q63*$V63,Assumptions!$B$14)*Assumptions!$B$13),0)</f>
        <v>0</v>
      </c>
      <c r="AH63" s="249">
        <f>IF(AND(AD63&gt;0,$M63="Non-Saudi"),Assumptions!$B$25,0)</f>
        <v>910.41666666666663</v>
      </c>
      <c r="AI63" s="249">
        <f t="shared" si="5"/>
        <v>6800</v>
      </c>
      <c r="AJ63" s="249">
        <f t="shared" si="6"/>
        <v>9800</v>
      </c>
      <c r="AK63" s="249">
        <f>IF(AND(AJ63&gt;0,$N63&lt;&gt;""),IF((DATE(Assumptions!$B$4,3,28)-$N63)/365.25&lt;=Assumptions!$B$20,(DATE(Assumptions!$B$4,3,28)-$N63)/365.25*Assumptions!$B$18*AJ63,(Assumptions!$B$20*Assumptions!$B$18+((DATE(Assumptions!$B$4,3,28)-$N63)/365.25-Assumptions!$B$20)*Assumptions!$B$19)*AJ63),0)</f>
        <v>22390.417522245039</v>
      </c>
      <c r="AL63" s="249">
        <f>IF(AI63&gt;0,IF($M63="Saudi",MIN(AI63+$Q63*$V63,Assumptions!$B$14)*Assumptions!$B$12,MIN(AI63+$Q63*$V63,Assumptions!$B$14)*Assumptions!$B$13),0)</f>
        <v>0</v>
      </c>
      <c r="AM63" s="249">
        <f>IF(AND(AI63&gt;0,$M63="Non-Saudi"),Assumptions!$B$25,0)</f>
        <v>910.41666666666663</v>
      </c>
      <c r="AN63" s="249">
        <f t="shared" si="7"/>
        <v>6800</v>
      </c>
      <c r="AO63" s="249">
        <f t="shared" si="8"/>
        <v>9800</v>
      </c>
      <c r="AP63" s="249">
        <f>IF(AND(AO63&gt;0,$N63&lt;&gt;""),IF((DATE(Assumptions!$B$4,4,28)-$N63)/365.25&lt;=Assumptions!$B$20,(DATE(Assumptions!$B$4,4,28)-$N63)/365.25*Assumptions!$B$18*AO63,(Assumptions!$B$20*Assumptions!$B$18+((DATE(Assumptions!$B$4,4,28)-$N63)/365.25-Assumptions!$B$20)*Assumptions!$B$19)*AO63),0)</f>
        <v>22806.297056810403</v>
      </c>
      <c r="AQ63" s="249">
        <f>IF(AN63&gt;0,IF($M63="Saudi",MIN(AN63+$Q63*$V63,Assumptions!$B$14)*Assumptions!$B$12,MIN(AN63+$Q63*$V63,Assumptions!$B$14)*Assumptions!$B$13),0)</f>
        <v>0</v>
      </c>
      <c r="AR63" s="249">
        <f>IF(AND(AN63&gt;0,$M63="Non-Saudi"),Assumptions!$B$25,0)</f>
        <v>910.41666666666663</v>
      </c>
      <c r="AS63" s="249">
        <f t="shared" si="9"/>
        <v>6800</v>
      </c>
      <c r="AT63" s="249">
        <f t="shared" si="10"/>
        <v>9800</v>
      </c>
      <c r="AU63" s="249">
        <f>IF(AND(AT63&gt;0,$N63&lt;&gt;""),IF((DATE(Assumptions!$B$4,5,28)-$N63)/365.25&lt;=Assumptions!$B$20,(DATE(Assumptions!$B$4,5,28)-$N63)/365.25*Assumptions!$B$18*AT63,(Assumptions!$B$20*Assumptions!$B$18+((DATE(Assumptions!$B$4,5,28)-$N63)/365.25-Assumptions!$B$20)*Assumptions!$B$19)*AT63),0)</f>
        <v>23208.761122518823</v>
      </c>
      <c r="AV63" s="249">
        <f>IF(AS63&gt;0,IF($M63="Saudi",MIN(AS63+$Q63*$V63,Assumptions!$B$14)*Assumptions!$B$12,MIN(AS63+$Q63*$V63,Assumptions!$B$14)*Assumptions!$B$13),0)</f>
        <v>0</v>
      </c>
      <c r="AW63" s="249">
        <f>IF(AND(AS63&gt;0,$M63="Non-Saudi"),Assumptions!$B$25,0)</f>
        <v>910.41666666666663</v>
      </c>
      <c r="AX63" s="249">
        <f t="shared" si="11"/>
        <v>6800</v>
      </c>
      <c r="AY63" s="249">
        <f t="shared" si="12"/>
        <v>9800</v>
      </c>
      <c r="AZ63" s="249">
        <f>IF(AND(AY63&gt;0,$N63&lt;&gt;""),IF((DATE(Assumptions!$B$4,6,28)-$N63)/365.25&lt;=Assumptions!$B$20,(DATE(Assumptions!$B$4,6,28)-$N63)/365.25*Assumptions!$B$18*AY63,(Assumptions!$B$20*Assumptions!$B$18+((DATE(Assumptions!$B$4,6,28)-$N63)/365.25-Assumptions!$B$20)*Assumptions!$B$19)*AY63),0)</f>
        <v>23624.640657084186</v>
      </c>
      <c r="BA63" s="249">
        <f>IF(AX63&gt;0,IF($M63="Saudi",MIN(AX63+$Q63*$V63,Assumptions!$B$14)*Assumptions!$B$12,MIN(AX63+$Q63*$V63,Assumptions!$B$14)*Assumptions!$B$13),0)</f>
        <v>0</v>
      </c>
      <c r="BB63" s="249">
        <f>IF(AND(AX63&gt;0,$M63="Non-Saudi"),Assumptions!$B$25,0)</f>
        <v>910.41666666666663</v>
      </c>
      <c r="BC63" s="249">
        <f t="shared" si="13"/>
        <v>6800</v>
      </c>
      <c r="BD63" s="249">
        <f t="shared" si="14"/>
        <v>9800</v>
      </c>
      <c r="BE63" s="249">
        <f>IF(AND(BD63&gt;0,$N63&lt;&gt;""),IF((DATE(Assumptions!$B$4,7,28)-$N63)/365.25&lt;=Assumptions!$B$20,(DATE(Assumptions!$B$4,7,28)-$N63)/365.25*Assumptions!$B$18*BD63,(Assumptions!$B$20*Assumptions!$B$18+((DATE(Assumptions!$B$4,7,28)-$N63)/365.25-Assumptions!$B$20)*Assumptions!$B$19)*BD63),0)</f>
        <v>24027.104722792606</v>
      </c>
      <c r="BF63" s="249">
        <f>IF(BC63&gt;0,IF($M63="Saudi",MIN(BC63+$Q63*$V63,Assumptions!$B$14)*Assumptions!$B$12,MIN(BC63+$Q63*$V63,Assumptions!$B$14)*Assumptions!$B$13),0)</f>
        <v>0</v>
      </c>
      <c r="BG63" s="249">
        <f>IF(AND(BC63&gt;0,$M63="Non-Saudi"),Assumptions!$B$25,0)</f>
        <v>910.41666666666663</v>
      </c>
      <c r="BH63" s="249">
        <f t="shared" si="15"/>
        <v>6800</v>
      </c>
      <c r="BI63" s="249">
        <f t="shared" si="16"/>
        <v>9800</v>
      </c>
      <c r="BJ63" s="249">
        <f>IF(AND(BI63&gt;0,$N63&lt;&gt;""),IF((DATE(Assumptions!$B$4,8,28)-$N63)/365.25&lt;=Assumptions!$B$20,(DATE(Assumptions!$B$4,8,28)-$N63)/365.25*Assumptions!$B$18*BI63,(Assumptions!$B$20*Assumptions!$B$18+((DATE(Assumptions!$B$4,8,28)-$N63)/365.25-Assumptions!$B$20)*Assumptions!$B$19)*BI63),0)</f>
        <v>24442.984257357977</v>
      </c>
      <c r="BK63" s="249">
        <f>IF(BH63&gt;0,IF($M63="Saudi",MIN(BH63+$Q63*$V63,Assumptions!$B$14)*Assumptions!$B$12,MIN(BH63+$Q63*$V63,Assumptions!$B$14)*Assumptions!$B$13),0)</f>
        <v>0</v>
      </c>
      <c r="BL63" s="249">
        <f>IF(AND(BH63&gt;0,$M63="Non-Saudi"),Assumptions!$B$25,0)</f>
        <v>910.41666666666663</v>
      </c>
      <c r="BM63" s="249">
        <f>IF(AND($D63="Contrat Local",$N63&lt;&gt;""),IF(AND(9&gt;=Assumptions!$B$5,ISNUMBER($X63),$N63&lt;EDATE(Assumptions!$B$9,-Assumptions!$B$6*12)),($P63+$X63)*$V63,$P63*$V63),0)</f>
        <v>7000</v>
      </c>
      <c r="BN63" s="249">
        <f t="shared" si="17"/>
        <v>10000</v>
      </c>
      <c r="BO63" s="249">
        <f>IF(AND(BN63&gt;0,$N63&lt;&gt;""),IF((DATE(Assumptions!$B$4,9,28)-$N63)/365.25&lt;=Assumptions!$B$20,(DATE(Assumptions!$B$4,9,28)-$N63)/365.25*Assumptions!$B$18*BN63,(Assumptions!$B$20*Assumptions!$B$18+((DATE(Assumptions!$B$4,9,28)-$N63)/365.25-Assumptions!$B$20)*Assumptions!$B$19)*BN63),0)</f>
        <v>25732.37508555784</v>
      </c>
      <c r="BP63" s="249">
        <f>IF(BM63&gt;0,IF($M63="Saudi",MIN(BM63+$Q63*$V63,Assumptions!$B$14)*Assumptions!$B$12,MIN(BM63+$Q63*$V63,Assumptions!$B$14)*Assumptions!$B$13),0)</f>
        <v>0</v>
      </c>
      <c r="BQ63" s="249">
        <f>IF(AND(BM63&gt;0,$M63="Non-Saudi"),Assumptions!$B$25,0)</f>
        <v>910.41666666666663</v>
      </c>
      <c r="BR63" s="249">
        <f>IF(AND($D63="Contrat Local",$N63&lt;&gt;""),IF(AND(10&gt;=Assumptions!$B$5,ISNUMBER($X63),$N63&lt;EDATE(Assumptions!$B$9,-Assumptions!$B$6*12)),($P63+$X63)*$V63,$P63*$V63),0)</f>
        <v>7000</v>
      </c>
      <c r="BS63" s="249">
        <f t="shared" si="18"/>
        <v>10000</v>
      </c>
      <c r="BT63" s="249">
        <f>IF(AND(BS63&gt;0,$N63&lt;&gt;""),IF((DATE(Assumptions!$B$4,10,28)-$N63)/365.25&lt;=Assumptions!$B$20,(DATE(Assumptions!$B$4,10,28)-$N63)/365.25*Assumptions!$B$18*BS63,(Assumptions!$B$20*Assumptions!$B$18+((DATE(Assumptions!$B$4,10,28)-$N63)/365.25-Assumptions!$B$20)*Assumptions!$B$19)*BS63),0)</f>
        <v>26553.730321697469</v>
      </c>
      <c r="BU63" s="249">
        <f>IF(BR63&gt;0,IF($M63="Saudi",MIN(BR63+$Q63*$V63,Assumptions!$B$14)*Assumptions!$B$12,MIN(BR63+$Q63*$V63,Assumptions!$B$14)*Assumptions!$B$13),0)</f>
        <v>0</v>
      </c>
      <c r="BV63" s="249">
        <f>IF(AND(BR63&gt;0,$M63="Non-Saudi"),Assumptions!$B$25,0)</f>
        <v>910.41666666666663</v>
      </c>
      <c r="BW63" s="249">
        <f>IF(AND($D63="Contrat Local",$N63&lt;&gt;""),IF(AND(11&gt;=Assumptions!$B$5,ISNUMBER($X63),$N63&lt;EDATE(Assumptions!$B$9,-Assumptions!$B$6*12)),($P63+$X63)*$V63,$P63*$V63),0)</f>
        <v>7000</v>
      </c>
      <c r="BX63" s="249">
        <f t="shared" si="19"/>
        <v>10000</v>
      </c>
      <c r="BY63" s="249">
        <f>IF(AND(BX63&gt;0,$N63&lt;&gt;""),IF((DATE(Assumptions!$B$4,11,28)-$N63)/365.25&lt;=Assumptions!$B$20,(DATE(Assumptions!$B$4,11,28)-$N63)/365.25*Assumptions!$B$18*BX63,(Assumptions!$B$20*Assumptions!$B$18+((DATE(Assumptions!$B$4,11,28)-$N63)/365.25-Assumptions!$B$20)*Assumptions!$B$19)*BX63),0)</f>
        <v>27402.46406570842</v>
      </c>
      <c r="BZ63" s="249">
        <f>IF(BW63&gt;0,IF($M63="Saudi",MIN(BW63+$Q63*$V63,Assumptions!$B$14)*Assumptions!$B$12,MIN(BW63+$Q63*$V63,Assumptions!$B$14)*Assumptions!$B$13),0)</f>
        <v>0</v>
      </c>
      <c r="CA63" s="249">
        <f>IF(AND(BW63&gt;0,$M63="Non-Saudi"),Assumptions!$B$25,0)</f>
        <v>910.41666666666663</v>
      </c>
      <c r="CB63" s="249">
        <f>IF(AND($D63="Contrat Local",$N63&lt;&gt;""),IF(AND(12&gt;=Assumptions!$B$5,ISNUMBER($X63),$N63&lt;EDATE(Assumptions!$B$9,-Assumptions!$B$6*12)),($P63+$X63)*$V63,$P63*$V63),0)</f>
        <v>7000</v>
      </c>
      <c r="CC63" s="249">
        <f t="shared" si="20"/>
        <v>10000</v>
      </c>
      <c r="CD63" s="249">
        <f>IF(AND(CC63&gt;0,$N63&lt;&gt;""),IF((DATE(Assumptions!$B$4,12,28)-$N63)/365.25&lt;=Assumptions!$B$20,(DATE(Assumptions!$B$4,12,28)-$N63)/365.25*Assumptions!$B$18*CC63,(Assumptions!$B$20*Assumptions!$B$18+((DATE(Assumptions!$B$4,12,28)-$N63)/365.25-Assumptions!$B$20)*Assumptions!$B$19)*CC63),0)</f>
        <v>28223.819301848049</v>
      </c>
      <c r="CE63" s="249">
        <f>IF(CB63&gt;0,IF($M63="Saudi",MIN(CB63+$Q63*$V63,Assumptions!$B$14)*Assumptions!$B$12,MIN(CB63+$Q63*$V63,Assumptions!$B$14)*Assumptions!$B$13),0)</f>
        <v>0</v>
      </c>
      <c r="CF63" s="249">
        <f>IF(AND(CB63&gt;0,$M63="Non-Saudi"),Assumptions!$B$25,0)</f>
        <v>910.41666666666663</v>
      </c>
      <c r="CG63" s="249">
        <f t="shared" si="21"/>
        <v>82400</v>
      </c>
      <c r="CH63" s="249">
        <f t="shared" si="22"/>
        <v>118400</v>
      </c>
      <c r="CI63" s="249">
        <f>CD63-IF(AND(Z63&gt;0,$N63&lt;&gt;""),IF((DATE(Assumptions!$B$4-1,12,28)-$N63)/365.25&lt;=Assumptions!$B$20,(DATE(Assumptions!$B$4-1,12,28)-$N63)/365.25*Assumptions!$B$18*Z63,(Assumptions!$B$20*Assumptions!$B$18+((DATE(Assumptions!$B$4-1,12,28)-$N63)/365.25-Assumptions!$B$20)*Assumptions!$B$19)*Z63),0)</f>
        <v>7040.7939767282696</v>
      </c>
      <c r="CJ63" s="249">
        <f t="shared" si="23"/>
        <v>0</v>
      </c>
      <c r="CK63" s="249">
        <f t="shared" si="24"/>
        <v>10924.999999999998</v>
      </c>
    </row>
    <row r="64" spans="1:89" x14ac:dyDescent="0.2">
      <c r="A64" s="252">
        <v>62</v>
      </c>
      <c r="B64" s="253" t="s">
        <v>407</v>
      </c>
      <c r="C64" s="253" t="s">
        <v>408</v>
      </c>
      <c r="D64" s="253" t="s">
        <v>250</v>
      </c>
      <c r="E64" s="253" t="s">
        <v>767</v>
      </c>
      <c r="F64" s="253" t="s">
        <v>409</v>
      </c>
      <c r="G64" s="253" t="s">
        <v>303</v>
      </c>
      <c r="H64" s="253" t="s">
        <v>253</v>
      </c>
      <c r="I64" s="282" t="s">
        <v>690</v>
      </c>
      <c r="J64" s="253"/>
      <c r="K64" s="253" t="s">
        <v>252</v>
      </c>
      <c r="L64" s="253" t="s">
        <v>255</v>
      </c>
      <c r="M64" s="253" t="str">
        <f t="shared" si="25"/>
        <v>Non-Saudi</v>
      </c>
      <c r="N64" s="254">
        <v>40057</v>
      </c>
      <c r="O64" s="255">
        <v>17.3</v>
      </c>
      <c r="P64" s="256">
        <v>11000</v>
      </c>
      <c r="Q64" s="256">
        <v>2500</v>
      </c>
      <c r="R64" s="256">
        <v>500</v>
      </c>
      <c r="S64" s="256">
        <v>2500</v>
      </c>
      <c r="T64" s="256"/>
      <c r="U64" s="256">
        <v>16500</v>
      </c>
      <c r="V64" s="257">
        <v>1</v>
      </c>
      <c r="W64" s="253" t="s">
        <v>259</v>
      </c>
      <c r="X64" s="253" t="s">
        <v>410</v>
      </c>
      <c r="Y64" s="249">
        <f t="shared" si="1"/>
        <v>11000</v>
      </c>
      <c r="Z64" s="249">
        <f t="shared" si="2"/>
        <v>16500</v>
      </c>
      <c r="AA64" s="249">
        <f>IF(AND(Z64&gt;0,$N64&lt;&gt;""),IF((DATE(Assumptions!$B$4,1,28)-$N64)/365.25&lt;=Assumptions!$B$20,(DATE(Assumptions!$B$4,1,28)-$N64)/365.25*Assumptions!$B$18*Z64,(Assumptions!$B$20*Assumptions!$B$18+((DATE(Assumptions!$B$4,1,28)-$N64)/365.25-Assumptions!$B$20)*Assumptions!$B$19)*Z64),0)</f>
        <v>229481.00616016428</v>
      </c>
      <c r="AB64" s="249">
        <f>IF(Y64&gt;0,IF($M64="Saudi",MIN(Y64+$Q64*$V64,Assumptions!$B$14)*Assumptions!$B$12,MIN(Y64+$Q64*$V64,Assumptions!$B$14)*Assumptions!$B$13),0)</f>
        <v>0</v>
      </c>
      <c r="AC64" s="249">
        <f>IF(AND(Y64&gt;0,$M64="Non-Saudi"),Assumptions!$B$25,0)</f>
        <v>910.41666666666663</v>
      </c>
      <c r="AD64" s="249">
        <f t="shared" si="3"/>
        <v>11000</v>
      </c>
      <c r="AE64" s="249">
        <f t="shared" si="4"/>
        <v>16500</v>
      </c>
      <c r="AF64" s="249">
        <f>IF(AND(AE64&gt;0,$N64&lt;&gt;""),IF((DATE(Assumptions!$B$4,2,28)-$N64)/365.25&lt;=Assumptions!$B$20,(DATE(Assumptions!$B$4,2,28)-$N64)/365.25*Assumptions!$B$18*AE64,(Assumptions!$B$20*Assumptions!$B$18+((DATE(Assumptions!$B$4,2,28)-$N64)/365.25-Assumptions!$B$20)*Assumptions!$B$19)*AE64),0)</f>
        <v>230881.41683778237</v>
      </c>
      <c r="AG64" s="249">
        <f>IF(AD64&gt;0,IF($M64="Saudi",MIN(AD64+$Q64*$V64,Assumptions!$B$14)*Assumptions!$B$12,MIN(AD64+$Q64*$V64,Assumptions!$B$14)*Assumptions!$B$13),0)</f>
        <v>0</v>
      </c>
      <c r="AH64" s="249">
        <f>IF(AND(AD64&gt;0,$M64="Non-Saudi"),Assumptions!$B$25,0)</f>
        <v>910.41666666666663</v>
      </c>
      <c r="AI64" s="249">
        <f t="shared" si="5"/>
        <v>11000</v>
      </c>
      <c r="AJ64" s="249">
        <f t="shared" si="6"/>
        <v>16500</v>
      </c>
      <c r="AK64" s="249">
        <f>IF(AND(AJ64&gt;0,$N64&lt;&gt;""),IF((DATE(Assumptions!$B$4,3,28)-$N64)/365.25&lt;=Assumptions!$B$20,(DATE(Assumptions!$B$4,3,28)-$N64)/365.25*Assumptions!$B$18*AJ64,(Assumptions!$B$20*Assumptions!$B$18+((DATE(Assumptions!$B$4,3,28)-$N64)/365.25-Assumptions!$B$20)*Assumptions!$B$19)*AJ64),0)</f>
        <v>232146.30390143738</v>
      </c>
      <c r="AL64" s="249">
        <f>IF(AI64&gt;0,IF($M64="Saudi",MIN(AI64+$Q64*$V64,Assumptions!$B$14)*Assumptions!$B$12,MIN(AI64+$Q64*$V64,Assumptions!$B$14)*Assumptions!$B$13),0)</f>
        <v>0</v>
      </c>
      <c r="AM64" s="249">
        <f>IF(AND(AI64&gt;0,$M64="Non-Saudi"),Assumptions!$B$25,0)</f>
        <v>910.41666666666663</v>
      </c>
      <c r="AN64" s="249">
        <f t="shared" si="7"/>
        <v>11000</v>
      </c>
      <c r="AO64" s="249">
        <f t="shared" si="8"/>
        <v>16500</v>
      </c>
      <c r="AP64" s="249">
        <f>IF(AND(AO64&gt;0,$N64&lt;&gt;""),IF((DATE(Assumptions!$B$4,4,28)-$N64)/365.25&lt;=Assumptions!$B$20,(DATE(Assumptions!$B$4,4,28)-$N64)/365.25*Assumptions!$B$18*AO64,(Assumptions!$B$20*Assumptions!$B$18+((DATE(Assumptions!$B$4,4,28)-$N64)/365.25-Assumptions!$B$20)*Assumptions!$B$19)*AO64),0)</f>
        <v>233546.71457905544</v>
      </c>
      <c r="AQ64" s="249">
        <f>IF(AN64&gt;0,IF($M64="Saudi",MIN(AN64+$Q64*$V64,Assumptions!$B$14)*Assumptions!$B$12,MIN(AN64+$Q64*$V64,Assumptions!$B$14)*Assumptions!$B$13),0)</f>
        <v>0</v>
      </c>
      <c r="AR64" s="249">
        <f>IF(AND(AN64&gt;0,$M64="Non-Saudi"),Assumptions!$B$25,0)</f>
        <v>910.41666666666663</v>
      </c>
      <c r="AS64" s="249">
        <f t="shared" si="9"/>
        <v>11000</v>
      </c>
      <c r="AT64" s="249">
        <f t="shared" si="10"/>
        <v>16500</v>
      </c>
      <c r="AU64" s="249">
        <f>IF(AND(AT64&gt;0,$N64&lt;&gt;""),IF((DATE(Assumptions!$B$4,5,28)-$N64)/365.25&lt;=Assumptions!$B$20,(DATE(Assumptions!$B$4,5,28)-$N64)/365.25*Assumptions!$B$18*AT64,(Assumptions!$B$20*Assumptions!$B$18+((DATE(Assumptions!$B$4,5,28)-$N64)/365.25-Assumptions!$B$20)*Assumptions!$B$19)*AT64),0)</f>
        <v>234901.95071868584</v>
      </c>
      <c r="AV64" s="249">
        <f>IF(AS64&gt;0,IF($M64="Saudi",MIN(AS64+$Q64*$V64,Assumptions!$B$14)*Assumptions!$B$12,MIN(AS64+$Q64*$V64,Assumptions!$B$14)*Assumptions!$B$13),0)</f>
        <v>0</v>
      </c>
      <c r="AW64" s="249">
        <f>IF(AND(AS64&gt;0,$M64="Non-Saudi"),Assumptions!$B$25,0)</f>
        <v>910.41666666666663</v>
      </c>
      <c r="AX64" s="249">
        <f t="shared" si="11"/>
        <v>11000</v>
      </c>
      <c r="AY64" s="249">
        <f t="shared" si="12"/>
        <v>16500</v>
      </c>
      <c r="AZ64" s="249">
        <f>IF(AND(AY64&gt;0,$N64&lt;&gt;""),IF((DATE(Assumptions!$B$4,6,28)-$N64)/365.25&lt;=Assumptions!$B$20,(DATE(Assumptions!$B$4,6,28)-$N64)/365.25*Assumptions!$B$18*AY64,(Assumptions!$B$20*Assumptions!$B$18+((DATE(Assumptions!$B$4,6,28)-$N64)/365.25-Assumptions!$B$20)*Assumptions!$B$19)*AY64),0)</f>
        <v>236302.36139630392</v>
      </c>
      <c r="BA64" s="249">
        <f>IF(AX64&gt;0,IF($M64="Saudi",MIN(AX64+$Q64*$V64,Assumptions!$B$14)*Assumptions!$B$12,MIN(AX64+$Q64*$V64,Assumptions!$B$14)*Assumptions!$B$13),0)</f>
        <v>0</v>
      </c>
      <c r="BB64" s="249">
        <f>IF(AND(AX64&gt;0,$M64="Non-Saudi"),Assumptions!$B$25,0)</f>
        <v>910.41666666666663</v>
      </c>
      <c r="BC64" s="249">
        <f t="shared" si="13"/>
        <v>11000</v>
      </c>
      <c r="BD64" s="249">
        <f t="shared" si="14"/>
        <v>16500</v>
      </c>
      <c r="BE64" s="249">
        <f>IF(AND(BD64&gt;0,$N64&lt;&gt;""),IF((DATE(Assumptions!$B$4,7,28)-$N64)/365.25&lt;=Assumptions!$B$20,(DATE(Assumptions!$B$4,7,28)-$N64)/365.25*Assumptions!$B$18*BD64,(Assumptions!$B$20*Assumptions!$B$18+((DATE(Assumptions!$B$4,7,28)-$N64)/365.25-Assumptions!$B$20)*Assumptions!$B$19)*BD64),0)</f>
        <v>237657.59753593433</v>
      </c>
      <c r="BF64" s="249">
        <f>IF(BC64&gt;0,IF($M64="Saudi",MIN(BC64+$Q64*$V64,Assumptions!$B$14)*Assumptions!$B$12,MIN(BC64+$Q64*$V64,Assumptions!$B$14)*Assumptions!$B$13),0)</f>
        <v>0</v>
      </c>
      <c r="BG64" s="249">
        <f>IF(AND(BC64&gt;0,$M64="Non-Saudi"),Assumptions!$B$25,0)</f>
        <v>910.41666666666663</v>
      </c>
      <c r="BH64" s="249">
        <f t="shared" si="15"/>
        <v>11000</v>
      </c>
      <c r="BI64" s="249">
        <f t="shared" si="16"/>
        <v>16500</v>
      </c>
      <c r="BJ64" s="249">
        <f>IF(AND(BI64&gt;0,$N64&lt;&gt;""),IF((DATE(Assumptions!$B$4,8,28)-$N64)/365.25&lt;=Assumptions!$B$20,(DATE(Assumptions!$B$4,8,28)-$N64)/365.25*Assumptions!$B$18*BI64,(Assumptions!$B$20*Assumptions!$B$18+((DATE(Assumptions!$B$4,8,28)-$N64)/365.25-Assumptions!$B$20)*Assumptions!$B$19)*BI64),0)</f>
        <v>239058.00821355238</v>
      </c>
      <c r="BK64" s="249">
        <f>IF(BH64&gt;0,IF($M64="Saudi",MIN(BH64+$Q64*$V64,Assumptions!$B$14)*Assumptions!$B$12,MIN(BH64+$Q64*$V64,Assumptions!$B$14)*Assumptions!$B$13),0)</f>
        <v>0</v>
      </c>
      <c r="BL64" s="249">
        <f>IF(AND(BH64&gt;0,$M64="Non-Saudi"),Assumptions!$B$25,0)</f>
        <v>910.41666666666663</v>
      </c>
      <c r="BM64" s="249">
        <f>IF(AND($D64="Contrat Local",$N64&lt;&gt;""),IF(AND(9&gt;=Assumptions!$B$5,ISNUMBER($X64),$N64&lt;EDATE(Assumptions!$B$9,-Assumptions!$B$6*12)),($P64+$X64)*$V64,$P64*$V64),0)</f>
        <v>11000</v>
      </c>
      <c r="BN64" s="249">
        <f t="shared" si="17"/>
        <v>16500</v>
      </c>
      <c r="BO64" s="249">
        <f>IF(AND(BN64&gt;0,$N64&lt;&gt;""),IF((DATE(Assumptions!$B$4,9,28)-$N64)/365.25&lt;=Assumptions!$B$20,(DATE(Assumptions!$B$4,9,28)-$N64)/365.25*Assumptions!$B$18*BN64,(Assumptions!$B$20*Assumptions!$B$18+((DATE(Assumptions!$B$4,9,28)-$N64)/365.25-Assumptions!$B$20)*Assumptions!$B$19)*BN64),0)</f>
        <v>240458.41889117044</v>
      </c>
      <c r="BP64" s="249">
        <f>IF(BM64&gt;0,IF($M64="Saudi",MIN(BM64+$Q64*$V64,Assumptions!$B$14)*Assumptions!$B$12,MIN(BM64+$Q64*$V64,Assumptions!$B$14)*Assumptions!$B$13),0)</f>
        <v>0</v>
      </c>
      <c r="BQ64" s="249">
        <f>IF(AND(BM64&gt;0,$M64="Non-Saudi"),Assumptions!$B$25,0)</f>
        <v>910.41666666666663</v>
      </c>
      <c r="BR64" s="249">
        <f>IF(AND($D64="Contrat Local",$N64&lt;&gt;""),IF(AND(10&gt;=Assumptions!$B$5,ISNUMBER($X64),$N64&lt;EDATE(Assumptions!$B$9,-Assumptions!$B$6*12)),($P64+$X64)*$V64,$P64*$V64),0)</f>
        <v>11000</v>
      </c>
      <c r="BS64" s="249">
        <f t="shared" si="18"/>
        <v>16500</v>
      </c>
      <c r="BT64" s="249">
        <f>IF(AND(BS64&gt;0,$N64&lt;&gt;""),IF((DATE(Assumptions!$B$4,10,28)-$N64)/365.25&lt;=Assumptions!$B$20,(DATE(Assumptions!$B$4,10,28)-$N64)/365.25*Assumptions!$B$18*BS64,(Assumptions!$B$20*Assumptions!$B$18+((DATE(Assumptions!$B$4,10,28)-$N64)/365.25-Assumptions!$B$20)*Assumptions!$B$19)*BS64),0)</f>
        <v>241813.65503080079</v>
      </c>
      <c r="BU64" s="249">
        <f>IF(BR64&gt;0,IF($M64="Saudi",MIN(BR64+$Q64*$V64,Assumptions!$B$14)*Assumptions!$B$12,MIN(BR64+$Q64*$V64,Assumptions!$B$14)*Assumptions!$B$13),0)</f>
        <v>0</v>
      </c>
      <c r="BV64" s="249">
        <f>IF(AND(BR64&gt;0,$M64="Non-Saudi"),Assumptions!$B$25,0)</f>
        <v>910.41666666666663</v>
      </c>
      <c r="BW64" s="249">
        <f>IF(AND($D64="Contrat Local",$N64&lt;&gt;""),IF(AND(11&gt;=Assumptions!$B$5,ISNUMBER($X64),$N64&lt;EDATE(Assumptions!$B$9,-Assumptions!$B$6*12)),($P64+$X64)*$V64,$P64*$V64),0)</f>
        <v>11000</v>
      </c>
      <c r="BX64" s="249">
        <f t="shared" si="19"/>
        <v>16500</v>
      </c>
      <c r="BY64" s="249">
        <f>IF(AND(BX64&gt;0,$N64&lt;&gt;""),IF((DATE(Assumptions!$B$4,11,28)-$N64)/365.25&lt;=Assumptions!$B$20,(DATE(Assumptions!$B$4,11,28)-$N64)/365.25*Assumptions!$B$18*BX64,(Assumptions!$B$20*Assumptions!$B$18+((DATE(Assumptions!$B$4,11,28)-$N64)/365.25-Assumptions!$B$20)*Assumptions!$B$19)*BX64),0)</f>
        <v>243214.06570841893</v>
      </c>
      <c r="BZ64" s="249">
        <f>IF(BW64&gt;0,IF($M64="Saudi",MIN(BW64+$Q64*$V64,Assumptions!$B$14)*Assumptions!$B$12,MIN(BW64+$Q64*$V64,Assumptions!$B$14)*Assumptions!$B$13),0)</f>
        <v>0</v>
      </c>
      <c r="CA64" s="249">
        <f>IF(AND(BW64&gt;0,$M64="Non-Saudi"),Assumptions!$B$25,0)</f>
        <v>910.41666666666663</v>
      </c>
      <c r="CB64" s="249">
        <f>IF(AND($D64="Contrat Local",$N64&lt;&gt;""),IF(AND(12&gt;=Assumptions!$B$5,ISNUMBER($X64),$N64&lt;EDATE(Assumptions!$B$9,-Assumptions!$B$6*12)),($P64+$X64)*$V64,$P64*$V64),0)</f>
        <v>11000</v>
      </c>
      <c r="CC64" s="249">
        <f t="shared" si="20"/>
        <v>16500</v>
      </c>
      <c r="CD64" s="249">
        <f>IF(AND(CC64&gt;0,$N64&lt;&gt;""),IF((DATE(Assumptions!$B$4,12,28)-$N64)/365.25&lt;=Assumptions!$B$20,(DATE(Assumptions!$B$4,12,28)-$N64)/365.25*Assumptions!$B$18*CC64,(Assumptions!$B$20*Assumptions!$B$18+((DATE(Assumptions!$B$4,12,28)-$N64)/365.25-Assumptions!$B$20)*Assumptions!$B$19)*CC64),0)</f>
        <v>244569.30184804928</v>
      </c>
      <c r="CE64" s="249">
        <f>IF(CB64&gt;0,IF($M64="Saudi",MIN(CB64+$Q64*$V64,Assumptions!$B$14)*Assumptions!$B$12,MIN(CB64+$Q64*$V64,Assumptions!$B$14)*Assumptions!$B$13),0)</f>
        <v>0</v>
      </c>
      <c r="CF64" s="249">
        <f>IF(AND(CB64&gt;0,$M64="Non-Saudi"),Assumptions!$B$25,0)</f>
        <v>910.41666666666663</v>
      </c>
      <c r="CG64" s="249">
        <f t="shared" si="21"/>
        <v>132000</v>
      </c>
      <c r="CH64" s="249">
        <f t="shared" si="22"/>
        <v>198000</v>
      </c>
      <c r="CI64" s="249">
        <f>CD64-IF(AND(Z64&gt;0,$N64&lt;&gt;""),IF((DATE(Assumptions!$B$4-1,12,28)-$N64)/365.25&lt;=Assumptions!$B$20,(DATE(Assumptions!$B$4-1,12,28)-$N64)/365.25*Assumptions!$B$18*Z64,(Assumptions!$B$20*Assumptions!$B$18+((DATE(Assumptions!$B$4-1,12,28)-$N64)/365.25-Assumptions!$B$20)*Assumptions!$B$19)*Z64),0)</f>
        <v>16488.706365503051</v>
      </c>
      <c r="CJ64" s="249">
        <f t="shared" si="23"/>
        <v>0</v>
      </c>
      <c r="CK64" s="249">
        <f t="shared" si="24"/>
        <v>10924.999999999998</v>
      </c>
    </row>
    <row r="65" spans="1:89" x14ac:dyDescent="0.2">
      <c r="A65" s="270">
        <v>63</v>
      </c>
      <c r="B65" s="271" t="s">
        <v>411</v>
      </c>
      <c r="C65" s="271" t="s">
        <v>412</v>
      </c>
      <c r="D65" s="271" t="s">
        <v>250</v>
      </c>
      <c r="E65" s="271" t="s">
        <v>767</v>
      </c>
      <c r="F65" s="271" t="s">
        <v>413</v>
      </c>
      <c r="G65" s="271" t="s">
        <v>272</v>
      </c>
      <c r="H65" s="271" t="s">
        <v>414</v>
      </c>
      <c r="I65" s="285" t="s">
        <v>690</v>
      </c>
      <c r="J65" s="271"/>
      <c r="K65" s="271" t="s">
        <v>272</v>
      </c>
      <c r="L65" s="271" t="s">
        <v>255</v>
      </c>
      <c r="M65" s="271" t="str">
        <f t="shared" si="25"/>
        <v>Non-Saudi</v>
      </c>
      <c r="N65" s="272">
        <v>44440</v>
      </c>
      <c r="O65" s="273">
        <v>5.3</v>
      </c>
      <c r="P65" s="274">
        <v>12500</v>
      </c>
      <c r="Q65" s="274">
        <v>2500</v>
      </c>
      <c r="R65" s="274">
        <v>500</v>
      </c>
      <c r="S65" s="274">
        <v>500</v>
      </c>
      <c r="T65" s="274"/>
      <c r="U65" s="274">
        <v>16000</v>
      </c>
      <c r="V65" s="275">
        <v>1</v>
      </c>
      <c r="W65" s="271" t="s">
        <v>256</v>
      </c>
      <c r="X65" s="271" t="s">
        <v>415</v>
      </c>
      <c r="Y65" s="249">
        <f t="shared" si="1"/>
        <v>12500</v>
      </c>
      <c r="Z65" s="249">
        <f t="shared" si="2"/>
        <v>16000</v>
      </c>
      <c r="AA65" s="249">
        <f>IF(AND(Z65&gt;0,$N65&lt;&gt;""),IF((DATE(Assumptions!$B$4,1,28)-$N65)/365.25&lt;=Assumptions!$B$20,(DATE(Assumptions!$B$4,1,28)-$N65)/365.25*Assumptions!$B$18*Z65,(Assumptions!$B$20*Assumptions!$B$18+((DATE(Assumptions!$B$4,1,28)-$N65)/365.25-Assumptions!$B$20)*Assumptions!$B$19)*Z65),0)</f>
        <v>35263.518138261468</v>
      </c>
      <c r="AB65" s="249">
        <f>IF(Y65&gt;0,IF($M65="Saudi",MIN(Y65+$Q65*$V65,Assumptions!$B$14)*Assumptions!$B$12,MIN(Y65+$Q65*$V65,Assumptions!$B$14)*Assumptions!$B$13),0)</f>
        <v>0</v>
      </c>
      <c r="AC65" s="249">
        <f>IF(AND(Y65&gt;0,$M65="Non-Saudi"),Assumptions!$B$25,0)</f>
        <v>910.41666666666663</v>
      </c>
      <c r="AD65" s="249">
        <f t="shared" si="3"/>
        <v>12500</v>
      </c>
      <c r="AE65" s="249">
        <f t="shared" si="4"/>
        <v>16000</v>
      </c>
      <c r="AF65" s="249">
        <f>IF(AND(AE65&gt;0,$N65&lt;&gt;""),IF((DATE(Assumptions!$B$4,2,28)-$N65)/365.25&lt;=Assumptions!$B$20,(DATE(Assumptions!$B$4,2,28)-$N65)/365.25*Assumptions!$B$18*AE65,(Assumptions!$B$20*Assumptions!$B$18+((DATE(Assumptions!$B$4,2,28)-$N65)/365.25-Assumptions!$B$20)*Assumptions!$B$19)*AE65),0)</f>
        <v>35942.505133470229</v>
      </c>
      <c r="AG65" s="249">
        <f>IF(AD65&gt;0,IF($M65="Saudi",MIN(AD65+$Q65*$V65,Assumptions!$B$14)*Assumptions!$B$12,MIN(AD65+$Q65*$V65,Assumptions!$B$14)*Assumptions!$B$13),0)</f>
        <v>0</v>
      </c>
      <c r="AH65" s="249">
        <f>IF(AND(AD65&gt;0,$M65="Non-Saudi"),Assumptions!$B$25,0)</f>
        <v>910.41666666666663</v>
      </c>
      <c r="AI65" s="249">
        <f t="shared" si="5"/>
        <v>12500</v>
      </c>
      <c r="AJ65" s="249">
        <f t="shared" si="6"/>
        <v>16000</v>
      </c>
      <c r="AK65" s="249">
        <f>IF(AND(AJ65&gt;0,$N65&lt;&gt;""),IF((DATE(Assumptions!$B$4,3,28)-$N65)/365.25&lt;=Assumptions!$B$20,(DATE(Assumptions!$B$4,3,28)-$N65)/365.25*Assumptions!$B$18*AJ65,(Assumptions!$B$20*Assumptions!$B$18+((DATE(Assumptions!$B$4,3,28)-$N65)/365.25-Assumptions!$B$20)*Assumptions!$B$19)*AJ65),0)</f>
        <v>36555.783709787815</v>
      </c>
      <c r="AL65" s="249">
        <f>IF(AI65&gt;0,IF($M65="Saudi",MIN(AI65+$Q65*$V65,Assumptions!$B$14)*Assumptions!$B$12,MIN(AI65+$Q65*$V65,Assumptions!$B$14)*Assumptions!$B$13),0)</f>
        <v>0</v>
      </c>
      <c r="AM65" s="249">
        <f>IF(AND(AI65&gt;0,$M65="Non-Saudi"),Assumptions!$B$25,0)</f>
        <v>910.41666666666663</v>
      </c>
      <c r="AN65" s="249">
        <f t="shared" si="7"/>
        <v>12500</v>
      </c>
      <c r="AO65" s="249">
        <f t="shared" si="8"/>
        <v>16000</v>
      </c>
      <c r="AP65" s="249">
        <f>IF(AND(AO65&gt;0,$N65&lt;&gt;""),IF((DATE(Assumptions!$B$4,4,28)-$N65)/365.25&lt;=Assumptions!$B$20,(DATE(Assumptions!$B$4,4,28)-$N65)/365.25*Assumptions!$B$18*AO65,(Assumptions!$B$20*Assumptions!$B$18+((DATE(Assumptions!$B$4,4,28)-$N65)/365.25-Assumptions!$B$20)*Assumptions!$B$19)*AO65),0)</f>
        <v>37234.770704996576</v>
      </c>
      <c r="AQ65" s="249">
        <f>IF(AN65&gt;0,IF($M65="Saudi",MIN(AN65+$Q65*$V65,Assumptions!$B$14)*Assumptions!$B$12,MIN(AN65+$Q65*$V65,Assumptions!$B$14)*Assumptions!$B$13),0)</f>
        <v>0</v>
      </c>
      <c r="AR65" s="249">
        <f>IF(AND(AN65&gt;0,$M65="Non-Saudi"),Assumptions!$B$25,0)</f>
        <v>910.41666666666663</v>
      </c>
      <c r="AS65" s="249">
        <f t="shared" si="9"/>
        <v>12500</v>
      </c>
      <c r="AT65" s="249">
        <f t="shared" si="10"/>
        <v>16000</v>
      </c>
      <c r="AU65" s="249">
        <f>IF(AND(AT65&gt;0,$N65&lt;&gt;""),IF((DATE(Assumptions!$B$4,5,28)-$N65)/365.25&lt;=Assumptions!$B$20,(DATE(Assumptions!$B$4,5,28)-$N65)/365.25*Assumptions!$B$18*AT65,(Assumptions!$B$20*Assumptions!$B$18+((DATE(Assumptions!$B$4,5,28)-$N65)/365.25-Assumptions!$B$20)*Assumptions!$B$19)*AT65),0)</f>
        <v>37891.854893908283</v>
      </c>
      <c r="AV65" s="249">
        <f>IF(AS65&gt;0,IF($M65="Saudi",MIN(AS65+$Q65*$V65,Assumptions!$B$14)*Assumptions!$B$12,MIN(AS65+$Q65*$V65,Assumptions!$B$14)*Assumptions!$B$13),0)</f>
        <v>0</v>
      </c>
      <c r="AW65" s="249">
        <f>IF(AND(AS65&gt;0,$M65="Non-Saudi"),Assumptions!$B$25,0)</f>
        <v>910.41666666666663</v>
      </c>
      <c r="AX65" s="249">
        <f t="shared" si="11"/>
        <v>12500</v>
      </c>
      <c r="AY65" s="249">
        <f t="shared" si="12"/>
        <v>16000</v>
      </c>
      <c r="AZ65" s="249">
        <f>IF(AND(AY65&gt;0,$N65&lt;&gt;""),IF((DATE(Assumptions!$B$4,6,28)-$N65)/365.25&lt;=Assumptions!$B$20,(DATE(Assumptions!$B$4,6,28)-$N65)/365.25*Assumptions!$B$18*AY65,(Assumptions!$B$20*Assumptions!$B$18+((DATE(Assumptions!$B$4,6,28)-$N65)/365.25-Assumptions!$B$20)*Assumptions!$B$19)*AY65),0)</f>
        <v>38570.841889117044</v>
      </c>
      <c r="BA65" s="249">
        <f>IF(AX65&gt;0,IF($M65="Saudi",MIN(AX65+$Q65*$V65,Assumptions!$B$14)*Assumptions!$B$12,MIN(AX65+$Q65*$V65,Assumptions!$B$14)*Assumptions!$B$13),0)</f>
        <v>0</v>
      </c>
      <c r="BB65" s="249">
        <f>IF(AND(AX65&gt;0,$M65="Non-Saudi"),Assumptions!$B$25,0)</f>
        <v>910.41666666666663</v>
      </c>
      <c r="BC65" s="249">
        <f t="shared" si="13"/>
        <v>12500</v>
      </c>
      <c r="BD65" s="249">
        <f t="shared" si="14"/>
        <v>16000</v>
      </c>
      <c r="BE65" s="249">
        <f>IF(AND(BD65&gt;0,$N65&lt;&gt;""),IF((DATE(Assumptions!$B$4,7,28)-$N65)/365.25&lt;=Assumptions!$B$20,(DATE(Assumptions!$B$4,7,28)-$N65)/365.25*Assumptions!$B$18*BD65,(Assumptions!$B$20*Assumptions!$B$18+((DATE(Assumptions!$B$4,7,28)-$N65)/365.25-Assumptions!$B$20)*Assumptions!$B$19)*BD65),0)</f>
        <v>39227.926078028744</v>
      </c>
      <c r="BF65" s="249">
        <f>IF(BC65&gt;0,IF($M65="Saudi",MIN(BC65+$Q65*$V65,Assumptions!$B$14)*Assumptions!$B$12,MIN(BC65+$Q65*$V65,Assumptions!$B$14)*Assumptions!$B$13),0)</f>
        <v>0</v>
      </c>
      <c r="BG65" s="249">
        <f>IF(AND(BC65&gt;0,$M65="Non-Saudi"),Assumptions!$B$25,0)</f>
        <v>910.41666666666663</v>
      </c>
      <c r="BH65" s="249">
        <f t="shared" si="15"/>
        <v>12500</v>
      </c>
      <c r="BI65" s="249">
        <f t="shared" si="16"/>
        <v>16000</v>
      </c>
      <c r="BJ65" s="249">
        <f>IF(AND(BI65&gt;0,$N65&lt;&gt;""),IF((DATE(Assumptions!$B$4,8,28)-$N65)/365.25&lt;=Assumptions!$B$20,(DATE(Assumptions!$B$4,8,28)-$N65)/365.25*Assumptions!$B$18*BI65,(Assumptions!$B$20*Assumptions!$B$18+((DATE(Assumptions!$B$4,8,28)-$N65)/365.25-Assumptions!$B$20)*Assumptions!$B$19)*BI65),0)</f>
        <v>39906.913073237512</v>
      </c>
      <c r="BK65" s="249">
        <f>IF(BH65&gt;0,IF($M65="Saudi",MIN(BH65+$Q65*$V65,Assumptions!$B$14)*Assumptions!$B$12,MIN(BH65+$Q65*$V65,Assumptions!$B$14)*Assumptions!$B$13),0)</f>
        <v>0</v>
      </c>
      <c r="BL65" s="249">
        <f>IF(AND(BH65&gt;0,$M65="Non-Saudi"),Assumptions!$B$25,0)</f>
        <v>910.41666666666663</v>
      </c>
      <c r="BM65" s="249">
        <f>IF(AND($D65="Contrat Local",$N65&lt;&gt;""),IF(AND(9&gt;=Assumptions!$B$5,ISNUMBER($X65),$N65&lt;EDATE(Assumptions!$B$9,-Assumptions!$B$6*12)),($P65+$X65)*$V65,$P65*$V65),0)</f>
        <v>12500</v>
      </c>
      <c r="BN65" s="249">
        <f t="shared" si="17"/>
        <v>16000</v>
      </c>
      <c r="BO65" s="249">
        <f>IF(AND(BN65&gt;0,$N65&lt;&gt;""),IF((DATE(Assumptions!$B$4,9,28)-$N65)/365.25&lt;=Assumptions!$B$20,(DATE(Assumptions!$B$4,9,28)-$N65)/365.25*Assumptions!$B$18*BN65,(Assumptions!$B$20*Assumptions!$B$18+((DATE(Assumptions!$B$4,9,28)-$N65)/365.25-Assumptions!$B$20)*Assumptions!$B$19)*BN65),0)</f>
        <v>41171.80013689254</v>
      </c>
      <c r="BP65" s="249">
        <f>IF(BM65&gt;0,IF($M65="Saudi",MIN(BM65+$Q65*$V65,Assumptions!$B$14)*Assumptions!$B$12,MIN(BM65+$Q65*$V65,Assumptions!$B$14)*Assumptions!$B$13),0)</f>
        <v>0</v>
      </c>
      <c r="BQ65" s="249">
        <f>IF(AND(BM65&gt;0,$M65="Non-Saudi"),Assumptions!$B$25,0)</f>
        <v>910.41666666666663</v>
      </c>
      <c r="BR65" s="249">
        <f>IF(AND($D65="Contrat Local",$N65&lt;&gt;""),IF(AND(10&gt;=Assumptions!$B$5,ISNUMBER($X65),$N65&lt;EDATE(Assumptions!$B$9,-Assumptions!$B$6*12)),($P65+$X65)*$V65,$P65*$V65),0)</f>
        <v>12500</v>
      </c>
      <c r="BS65" s="249">
        <f t="shared" si="18"/>
        <v>16000</v>
      </c>
      <c r="BT65" s="249">
        <f>IF(AND(BS65&gt;0,$N65&lt;&gt;""),IF((DATE(Assumptions!$B$4,10,28)-$N65)/365.25&lt;=Assumptions!$B$20,(DATE(Assumptions!$B$4,10,28)-$N65)/365.25*Assumptions!$B$18*BS65,(Assumptions!$B$20*Assumptions!$B$18+((DATE(Assumptions!$B$4,10,28)-$N65)/365.25-Assumptions!$B$20)*Assumptions!$B$19)*BS65),0)</f>
        <v>42485.968514715947</v>
      </c>
      <c r="BU65" s="249">
        <f>IF(BR65&gt;0,IF($M65="Saudi",MIN(BR65+$Q65*$V65,Assumptions!$B$14)*Assumptions!$B$12,MIN(BR65+$Q65*$V65,Assumptions!$B$14)*Assumptions!$B$13),0)</f>
        <v>0</v>
      </c>
      <c r="BV65" s="249">
        <f>IF(AND(BR65&gt;0,$M65="Non-Saudi"),Assumptions!$B$25,0)</f>
        <v>910.41666666666663</v>
      </c>
      <c r="BW65" s="249">
        <f>IF(AND($D65="Contrat Local",$N65&lt;&gt;""),IF(AND(11&gt;=Assumptions!$B$5,ISNUMBER($X65),$N65&lt;EDATE(Assumptions!$B$9,-Assumptions!$B$6*12)),($P65+$X65)*$V65,$P65*$V65),0)</f>
        <v>12500</v>
      </c>
      <c r="BX65" s="249">
        <f t="shared" si="19"/>
        <v>16000</v>
      </c>
      <c r="BY65" s="249">
        <f>IF(AND(BX65&gt;0,$N65&lt;&gt;""),IF((DATE(Assumptions!$B$4,11,28)-$N65)/365.25&lt;=Assumptions!$B$20,(DATE(Assumptions!$B$4,11,28)-$N65)/365.25*Assumptions!$B$18*BX65,(Assumptions!$B$20*Assumptions!$B$18+((DATE(Assumptions!$B$4,11,28)-$N65)/365.25-Assumptions!$B$20)*Assumptions!$B$19)*BX65),0)</f>
        <v>43843.942505133469</v>
      </c>
      <c r="BZ65" s="249">
        <f>IF(BW65&gt;0,IF($M65="Saudi",MIN(BW65+$Q65*$V65,Assumptions!$B$14)*Assumptions!$B$12,MIN(BW65+$Q65*$V65,Assumptions!$B$14)*Assumptions!$B$13),0)</f>
        <v>0</v>
      </c>
      <c r="CA65" s="249">
        <f>IF(AND(BW65&gt;0,$M65="Non-Saudi"),Assumptions!$B$25,0)</f>
        <v>910.41666666666663</v>
      </c>
      <c r="CB65" s="249">
        <f>IF(AND($D65="Contrat Local",$N65&lt;&gt;""),IF(AND(12&gt;=Assumptions!$B$5,ISNUMBER($X65),$N65&lt;EDATE(Assumptions!$B$9,-Assumptions!$B$6*12)),($P65+$X65)*$V65,$P65*$V65),0)</f>
        <v>12500</v>
      </c>
      <c r="CC65" s="249">
        <f t="shared" si="20"/>
        <v>16000</v>
      </c>
      <c r="CD65" s="249">
        <f>IF(AND(CC65&gt;0,$N65&lt;&gt;""),IF((DATE(Assumptions!$B$4,12,28)-$N65)/365.25&lt;=Assumptions!$B$20,(DATE(Assumptions!$B$4,12,28)-$N65)/365.25*Assumptions!$B$18*CC65,(Assumptions!$B$20*Assumptions!$B$18+((DATE(Assumptions!$B$4,12,28)-$N65)/365.25-Assumptions!$B$20)*Assumptions!$B$19)*CC65),0)</f>
        <v>45158.110882956877</v>
      </c>
      <c r="CE65" s="249">
        <f>IF(CB65&gt;0,IF($M65="Saudi",MIN(CB65+$Q65*$V65,Assumptions!$B$14)*Assumptions!$B$12,MIN(CB65+$Q65*$V65,Assumptions!$B$14)*Assumptions!$B$13),0)</f>
        <v>0</v>
      </c>
      <c r="CF65" s="249">
        <f>IF(AND(CB65&gt;0,$M65="Non-Saudi"),Assumptions!$B$25,0)</f>
        <v>910.41666666666663</v>
      </c>
      <c r="CG65" s="249">
        <f t="shared" si="21"/>
        <v>150000</v>
      </c>
      <c r="CH65" s="249">
        <f t="shared" si="22"/>
        <v>192000</v>
      </c>
      <c r="CI65" s="249">
        <f>CD65-IF(AND(Z65&gt;0,$N65&lt;&gt;""),IF((DATE(Assumptions!$B$4-1,12,28)-$N65)/365.25&lt;=Assumptions!$B$20,(DATE(Assumptions!$B$4-1,12,28)-$N65)/365.25*Assumptions!$B$18*Z65,(Assumptions!$B$20*Assumptions!$B$18+((DATE(Assumptions!$B$4-1,12,28)-$N65)/365.25-Assumptions!$B$20)*Assumptions!$B$19)*Z65),0)</f>
        <v>10573.579739904177</v>
      </c>
      <c r="CJ65" s="249">
        <f t="shared" si="23"/>
        <v>0</v>
      </c>
      <c r="CK65" s="249">
        <f t="shared" si="24"/>
        <v>10924.999999999998</v>
      </c>
    </row>
    <row r="66" spans="1:89" x14ac:dyDescent="0.2">
      <c r="A66" s="276">
        <v>64</v>
      </c>
      <c r="B66" s="277" t="s">
        <v>416</v>
      </c>
      <c r="C66" s="277" t="s">
        <v>417</v>
      </c>
      <c r="D66" s="277" t="s">
        <v>250</v>
      </c>
      <c r="E66" s="277" t="s">
        <v>767</v>
      </c>
      <c r="F66" s="277" t="s">
        <v>302</v>
      </c>
      <c r="G66" s="277" t="s">
        <v>303</v>
      </c>
      <c r="H66" s="277" t="s">
        <v>304</v>
      </c>
      <c r="I66" s="287" t="s">
        <v>691</v>
      </c>
      <c r="J66" s="277" t="s">
        <v>101</v>
      </c>
      <c r="K66" s="277" t="s">
        <v>254</v>
      </c>
      <c r="L66" s="277" t="s">
        <v>255</v>
      </c>
      <c r="M66" s="277" t="str">
        <f t="shared" si="25"/>
        <v>Non-Saudi</v>
      </c>
      <c r="N66" s="278">
        <v>44075</v>
      </c>
      <c r="O66" s="279">
        <v>6.3</v>
      </c>
      <c r="P66" s="280">
        <v>12000</v>
      </c>
      <c r="Q66" s="280">
        <v>2500</v>
      </c>
      <c r="R66" s="280">
        <v>500</v>
      </c>
      <c r="S66" s="280"/>
      <c r="T66" s="280">
        <v>1300</v>
      </c>
      <c r="U66" s="280">
        <v>16300</v>
      </c>
      <c r="V66" s="281">
        <v>1</v>
      </c>
      <c r="W66" s="277" t="s">
        <v>256</v>
      </c>
      <c r="X66" s="277">
        <v>250</v>
      </c>
      <c r="Y66" s="249">
        <f t="shared" si="1"/>
        <v>12000</v>
      </c>
      <c r="Z66" s="249">
        <f t="shared" si="2"/>
        <v>16300</v>
      </c>
      <c r="AA66" s="249">
        <f>IF(AND(Z66&gt;0,$N66&lt;&gt;""),IF((DATE(Assumptions!$B$4,1,28)-$N66)/365.25&lt;=Assumptions!$B$20,(DATE(Assumptions!$B$4,1,28)-$N66)/365.25*Assumptions!$B$18*Z66,(Assumptions!$B$20*Assumptions!$B$18+((DATE(Assumptions!$B$4,1,28)-$N66)/365.25-Assumptions!$B$20)*Assumptions!$B$19)*Z66),0)</f>
        <v>47388.261464750169</v>
      </c>
      <c r="AB66" s="249">
        <f>IF(Y66&gt;0,IF($M66="Saudi",MIN(Y66+$Q66*$V66,Assumptions!$B$14)*Assumptions!$B$12,MIN(Y66+$Q66*$V66,Assumptions!$B$14)*Assumptions!$B$13),0)</f>
        <v>0</v>
      </c>
      <c r="AC66" s="249">
        <f>IF(AND(Y66&gt;0,$M66="Non-Saudi"),Assumptions!$B$25,0)</f>
        <v>910.41666666666663</v>
      </c>
      <c r="AD66" s="249">
        <f t="shared" si="3"/>
        <v>12000</v>
      </c>
      <c r="AE66" s="249">
        <f t="shared" si="4"/>
        <v>16300</v>
      </c>
      <c r="AF66" s="249">
        <f>IF(AND(AE66&gt;0,$N66&lt;&gt;""),IF((DATE(Assumptions!$B$4,2,28)-$N66)/365.25&lt;=Assumptions!$B$20,(DATE(Assumptions!$B$4,2,28)-$N66)/365.25*Assumptions!$B$18*AE66,(Assumptions!$B$20*Assumptions!$B$18+((DATE(Assumptions!$B$4,2,28)-$N66)/365.25-Assumptions!$B$20)*Assumptions!$B$19)*AE66),0)</f>
        <v>48771.697467488026</v>
      </c>
      <c r="AG66" s="249">
        <f>IF(AD66&gt;0,IF($M66="Saudi",MIN(AD66+$Q66*$V66,Assumptions!$B$14)*Assumptions!$B$12,MIN(AD66+$Q66*$V66,Assumptions!$B$14)*Assumptions!$B$13),0)</f>
        <v>0</v>
      </c>
      <c r="AH66" s="249">
        <f>IF(AND(AD66&gt;0,$M66="Non-Saudi"),Assumptions!$B$25,0)</f>
        <v>910.41666666666663</v>
      </c>
      <c r="AI66" s="249">
        <f t="shared" si="5"/>
        <v>12000</v>
      </c>
      <c r="AJ66" s="249">
        <f t="shared" si="6"/>
        <v>16300</v>
      </c>
      <c r="AK66" s="249">
        <f>IF(AND(AJ66&gt;0,$N66&lt;&gt;""),IF((DATE(Assumptions!$B$4,3,28)-$N66)/365.25&lt;=Assumptions!$B$20,(DATE(Assumptions!$B$4,3,28)-$N66)/365.25*Assumptions!$B$18*AJ66,(Assumptions!$B$20*Assumptions!$B$18+((DATE(Assumptions!$B$4,3,28)-$N66)/365.25-Assumptions!$B$20)*Assumptions!$B$19)*AJ66),0)</f>
        <v>50021.252566735122</v>
      </c>
      <c r="AL66" s="249">
        <f>IF(AI66&gt;0,IF($M66="Saudi",MIN(AI66+$Q66*$V66,Assumptions!$B$14)*Assumptions!$B$12,MIN(AI66+$Q66*$V66,Assumptions!$B$14)*Assumptions!$B$13),0)</f>
        <v>0</v>
      </c>
      <c r="AM66" s="249">
        <f>IF(AND(AI66&gt;0,$M66="Non-Saudi"),Assumptions!$B$25,0)</f>
        <v>910.41666666666663</v>
      </c>
      <c r="AN66" s="249">
        <f t="shared" si="7"/>
        <v>12000</v>
      </c>
      <c r="AO66" s="249">
        <f t="shared" si="8"/>
        <v>16300</v>
      </c>
      <c r="AP66" s="249">
        <f>IF(AND(AO66&gt;0,$N66&lt;&gt;""),IF((DATE(Assumptions!$B$4,4,28)-$N66)/365.25&lt;=Assumptions!$B$20,(DATE(Assumptions!$B$4,4,28)-$N66)/365.25*Assumptions!$B$18*AO66,(Assumptions!$B$20*Assumptions!$B$18+((DATE(Assumptions!$B$4,4,28)-$N66)/365.25-Assumptions!$B$20)*Assumptions!$B$19)*AO66),0)</f>
        <v>51404.688569472964</v>
      </c>
      <c r="AQ66" s="249">
        <f>IF(AN66&gt;0,IF($M66="Saudi",MIN(AN66+$Q66*$V66,Assumptions!$B$14)*Assumptions!$B$12,MIN(AN66+$Q66*$V66,Assumptions!$B$14)*Assumptions!$B$13),0)</f>
        <v>0</v>
      </c>
      <c r="AR66" s="249">
        <f>IF(AND(AN66&gt;0,$M66="Non-Saudi"),Assumptions!$B$25,0)</f>
        <v>910.41666666666663</v>
      </c>
      <c r="AS66" s="249">
        <f t="shared" si="9"/>
        <v>12000</v>
      </c>
      <c r="AT66" s="249">
        <f t="shared" si="10"/>
        <v>16300</v>
      </c>
      <c r="AU66" s="249">
        <f>IF(AND(AT66&gt;0,$N66&lt;&gt;""),IF((DATE(Assumptions!$B$4,5,28)-$N66)/365.25&lt;=Assumptions!$B$20,(DATE(Assumptions!$B$4,5,28)-$N66)/365.25*Assumptions!$B$18*AT66,(Assumptions!$B$20*Assumptions!$B$18+((DATE(Assumptions!$B$4,5,28)-$N66)/365.25-Assumptions!$B$20)*Assumptions!$B$19)*AT66),0)</f>
        <v>52743.497604380565</v>
      </c>
      <c r="AV66" s="249">
        <f>IF(AS66&gt;0,IF($M66="Saudi",MIN(AS66+$Q66*$V66,Assumptions!$B$14)*Assumptions!$B$12,MIN(AS66+$Q66*$V66,Assumptions!$B$14)*Assumptions!$B$13),0)</f>
        <v>0</v>
      </c>
      <c r="AW66" s="249">
        <f>IF(AND(AS66&gt;0,$M66="Non-Saudi"),Assumptions!$B$25,0)</f>
        <v>910.41666666666663</v>
      </c>
      <c r="AX66" s="249">
        <f t="shared" si="11"/>
        <v>12000</v>
      </c>
      <c r="AY66" s="249">
        <f t="shared" si="12"/>
        <v>16300</v>
      </c>
      <c r="AZ66" s="249">
        <f>IF(AND(AY66&gt;0,$N66&lt;&gt;""),IF((DATE(Assumptions!$B$4,6,28)-$N66)/365.25&lt;=Assumptions!$B$20,(DATE(Assumptions!$B$4,6,28)-$N66)/365.25*Assumptions!$B$18*AY66,(Assumptions!$B$20*Assumptions!$B$18+((DATE(Assumptions!$B$4,6,28)-$N66)/365.25-Assumptions!$B$20)*Assumptions!$B$19)*AY66),0)</f>
        <v>54126.933607118408</v>
      </c>
      <c r="BA66" s="249">
        <f>IF(AX66&gt;0,IF($M66="Saudi",MIN(AX66+$Q66*$V66,Assumptions!$B$14)*Assumptions!$B$12,MIN(AX66+$Q66*$V66,Assumptions!$B$14)*Assumptions!$B$13),0)</f>
        <v>0</v>
      </c>
      <c r="BB66" s="249">
        <f>IF(AND(AX66&gt;0,$M66="Non-Saudi"),Assumptions!$B$25,0)</f>
        <v>910.41666666666663</v>
      </c>
      <c r="BC66" s="249">
        <f t="shared" si="13"/>
        <v>12000</v>
      </c>
      <c r="BD66" s="249">
        <f t="shared" si="14"/>
        <v>16300</v>
      </c>
      <c r="BE66" s="249">
        <f>IF(AND(BD66&gt;0,$N66&lt;&gt;""),IF((DATE(Assumptions!$B$4,7,28)-$N66)/365.25&lt;=Assumptions!$B$20,(DATE(Assumptions!$B$4,7,28)-$N66)/365.25*Assumptions!$B$18*BD66,(Assumptions!$B$20*Assumptions!$B$18+((DATE(Assumptions!$B$4,7,28)-$N66)/365.25-Assumptions!$B$20)*Assumptions!$B$19)*BD66),0)</f>
        <v>55465.742642026009</v>
      </c>
      <c r="BF66" s="249">
        <f>IF(BC66&gt;0,IF($M66="Saudi",MIN(BC66+$Q66*$V66,Assumptions!$B$14)*Assumptions!$B$12,MIN(BC66+$Q66*$V66,Assumptions!$B$14)*Assumptions!$B$13),0)</f>
        <v>0</v>
      </c>
      <c r="BG66" s="249">
        <f>IF(AND(BC66&gt;0,$M66="Non-Saudi"),Assumptions!$B$25,0)</f>
        <v>910.41666666666663</v>
      </c>
      <c r="BH66" s="249">
        <f t="shared" si="15"/>
        <v>12000</v>
      </c>
      <c r="BI66" s="249">
        <f t="shared" si="16"/>
        <v>16300</v>
      </c>
      <c r="BJ66" s="249">
        <f>IF(AND(BI66&gt;0,$N66&lt;&gt;""),IF((DATE(Assumptions!$B$4,8,28)-$N66)/365.25&lt;=Assumptions!$B$20,(DATE(Assumptions!$B$4,8,28)-$N66)/365.25*Assumptions!$B$18*BI66,(Assumptions!$B$20*Assumptions!$B$18+((DATE(Assumptions!$B$4,8,28)-$N66)/365.25-Assumptions!$B$20)*Assumptions!$B$19)*BI66),0)</f>
        <v>56849.178644763859</v>
      </c>
      <c r="BK66" s="249">
        <f>IF(BH66&gt;0,IF($M66="Saudi",MIN(BH66+$Q66*$V66,Assumptions!$B$14)*Assumptions!$B$12,MIN(BH66+$Q66*$V66,Assumptions!$B$14)*Assumptions!$B$13),0)</f>
        <v>0</v>
      </c>
      <c r="BL66" s="249">
        <f>IF(AND(BH66&gt;0,$M66="Non-Saudi"),Assumptions!$B$25,0)</f>
        <v>910.41666666666663</v>
      </c>
      <c r="BM66" s="249">
        <f>IF(AND($D66="Contrat Local",$N66&lt;&gt;""),IF(AND(9&gt;=Assumptions!$B$5,ISNUMBER($X66),$N66&lt;EDATE(Assumptions!$B$9,-Assumptions!$B$6*12)),($P66+$X66)*$V66,$P66*$V66),0)</f>
        <v>12250</v>
      </c>
      <c r="BN66" s="249">
        <f t="shared" si="17"/>
        <v>16550</v>
      </c>
      <c r="BO66" s="249">
        <f>IF(AND(BN66&gt;0,$N66&lt;&gt;""),IF((DATE(Assumptions!$B$4,9,28)-$N66)/365.25&lt;=Assumptions!$B$20,(DATE(Assumptions!$B$4,9,28)-$N66)/365.25*Assumptions!$B$18*BN66,(Assumptions!$B$20*Assumptions!$B$18+((DATE(Assumptions!$B$4,9,28)-$N66)/365.25-Assumptions!$B$20)*Assumptions!$B$19)*BN66),0)</f>
        <v>59125.752908966453</v>
      </c>
      <c r="BP66" s="249">
        <f>IF(BM66&gt;0,IF($M66="Saudi",MIN(BM66+$Q66*$V66,Assumptions!$B$14)*Assumptions!$B$12,MIN(BM66+$Q66*$V66,Assumptions!$B$14)*Assumptions!$B$13),0)</f>
        <v>0</v>
      </c>
      <c r="BQ66" s="249">
        <f>IF(AND(BM66&gt;0,$M66="Non-Saudi"),Assumptions!$B$25,0)</f>
        <v>910.41666666666663</v>
      </c>
      <c r="BR66" s="249">
        <f>IF(AND($D66="Contrat Local",$N66&lt;&gt;""),IF(AND(10&gt;=Assumptions!$B$5,ISNUMBER($X66),$N66&lt;EDATE(Assumptions!$B$9,-Assumptions!$B$6*12)),($P66+$X66)*$V66,$P66*$V66),0)</f>
        <v>12250</v>
      </c>
      <c r="BS66" s="249">
        <f t="shared" si="18"/>
        <v>16550</v>
      </c>
      <c r="BT66" s="249">
        <f>IF(AND(BS66&gt;0,$N66&lt;&gt;""),IF((DATE(Assumptions!$B$4,10,28)-$N66)/365.25&lt;=Assumptions!$B$20,(DATE(Assumptions!$B$4,10,28)-$N66)/365.25*Assumptions!$B$18*BS66,(Assumptions!$B$20*Assumptions!$B$18+((DATE(Assumptions!$B$4,10,28)-$N66)/365.25-Assumptions!$B$20)*Assumptions!$B$19)*BS66),0)</f>
        <v>60485.095824777556</v>
      </c>
      <c r="BU66" s="249">
        <f>IF(BR66&gt;0,IF($M66="Saudi",MIN(BR66+$Q66*$V66,Assumptions!$B$14)*Assumptions!$B$12,MIN(BR66+$Q66*$V66,Assumptions!$B$14)*Assumptions!$B$13),0)</f>
        <v>0</v>
      </c>
      <c r="BV66" s="249">
        <f>IF(AND(BR66&gt;0,$M66="Non-Saudi"),Assumptions!$B$25,0)</f>
        <v>910.41666666666663</v>
      </c>
      <c r="BW66" s="249">
        <f>IF(AND($D66="Contrat Local",$N66&lt;&gt;""),IF(AND(11&gt;=Assumptions!$B$5,ISNUMBER($X66),$N66&lt;EDATE(Assumptions!$B$9,-Assumptions!$B$6*12)),($P66+$X66)*$V66,$P66*$V66),0)</f>
        <v>12250</v>
      </c>
      <c r="BX66" s="249">
        <f t="shared" si="19"/>
        <v>16550</v>
      </c>
      <c r="BY66" s="249">
        <f>IF(AND(BX66&gt;0,$N66&lt;&gt;""),IF((DATE(Assumptions!$B$4,11,28)-$N66)/365.25&lt;=Assumptions!$B$20,(DATE(Assumptions!$B$4,11,28)-$N66)/365.25*Assumptions!$B$18*BX66,(Assumptions!$B$20*Assumptions!$B$18+((DATE(Assumptions!$B$4,11,28)-$N66)/365.25-Assumptions!$B$20)*Assumptions!$B$19)*BX66),0)</f>
        <v>61889.75017111568</v>
      </c>
      <c r="BZ66" s="249">
        <f>IF(BW66&gt;0,IF($M66="Saudi",MIN(BW66+$Q66*$V66,Assumptions!$B$14)*Assumptions!$B$12,MIN(BW66+$Q66*$V66,Assumptions!$B$14)*Assumptions!$B$13),0)</f>
        <v>0</v>
      </c>
      <c r="CA66" s="249">
        <f>IF(AND(BW66&gt;0,$M66="Non-Saudi"),Assumptions!$B$25,0)</f>
        <v>910.41666666666663</v>
      </c>
      <c r="CB66" s="249">
        <f>IF(AND($D66="Contrat Local",$N66&lt;&gt;""),IF(AND(12&gt;=Assumptions!$B$5,ISNUMBER($X66),$N66&lt;EDATE(Assumptions!$B$9,-Assumptions!$B$6*12)),($P66+$X66)*$V66,$P66*$V66),0)</f>
        <v>12250</v>
      </c>
      <c r="CC66" s="249">
        <f t="shared" si="20"/>
        <v>16550</v>
      </c>
      <c r="CD66" s="249">
        <f>IF(AND(CC66&gt;0,$N66&lt;&gt;""),IF((DATE(Assumptions!$B$4,12,28)-$N66)/365.25&lt;=Assumptions!$B$20,(DATE(Assumptions!$B$4,12,28)-$N66)/365.25*Assumptions!$B$18*CC66,(Assumptions!$B$20*Assumptions!$B$18+((DATE(Assumptions!$B$4,12,28)-$N66)/365.25-Assumptions!$B$20)*Assumptions!$B$19)*CC66),0)</f>
        <v>63249.093086926761</v>
      </c>
      <c r="CE66" s="249">
        <f>IF(CB66&gt;0,IF($M66="Saudi",MIN(CB66+$Q66*$V66,Assumptions!$B$14)*Assumptions!$B$12,MIN(CB66+$Q66*$V66,Assumptions!$B$14)*Assumptions!$B$13),0)</f>
        <v>0</v>
      </c>
      <c r="CF66" s="249">
        <f>IF(AND(CB66&gt;0,$M66="Non-Saudi"),Assumptions!$B$25,0)</f>
        <v>910.41666666666663</v>
      </c>
      <c r="CG66" s="249">
        <f t="shared" si="21"/>
        <v>145000</v>
      </c>
      <c r="CH66" s="249">
        <f t="shared" si="22"/>
        <v>196600</v>
      </c>
      <c r="CI66" s="249">
        <f>CD66-IF(AND(Z66&gt;0,$N66&lt;&gt;""),IF((DATE(Assumptions!$B$4-1,12,28)-$N66)/365.25&lt;=Assumptions!$B$20,(DATE(Assumptions!$B$4-1,12,28)-$N66)/365.25*Assumptions!$B$18*Z66,(Assumptions!$B$20*Assumptions!$B$18+((DATE(Assumptions!$B$4-1,12,28)-$N66)/365.25-Assumptions!$B$20)*Assumptions!$B$19)*Z66),0)</f>
        <v>17244.267624914442</v>
      </c>
      <c r="CJ66" s="249">
        <f t="shared" si="23"/>
        <v>0</v>
      </c>
      <c r="CK66" s="249">
        <f t="shared" si="24"/>
        <v>10924.999999999998</v>
      </c>
    </row>
    <row r="67" spans="1:89" x14ac:dyDescent="0.2">
      <c r="A67" s="264">
        <v>65</v>
      </c>
      <c r="B67" s="265" t="s">
        <v>418</v>
      </c>
      <c r="C67" s="265" t="s">
        <v>419</v>
      </c>
      <c r="D67" s="265" t="s">
        <v>250</v>
      </c>
      <c r="E67" s="265" t="s">
        <v>767</v>
      </c>
      <c r="F67" s="265" t="s">
        <v>264</v>
      </c>
      <c r="G67" s="265" t="s">
        <v>8</v>
      </c>
      <c r="H67" s="265" t="s">
        <v>265</v>
      </c>
      <c r="I67" s="284" t="s">
        <v>691</v>
      </c>
      <c r="J67" s="265" t="s">
        <v>58</v>
      </c>
      <c r="K67" s="265" t="s">
        <v>8</v>
      </c>
      <c r="L67" s="265" t="s">
        <v>255</v>
      </c>
      <c r="M67" s="265" t="str">
        <f t="shared" si="25"/>
        <v>Non-Saudi</v>
      </c>
      <c r="N67" s="266">
        <v>45170</v>
      </c>
      <c r="O67" s="267">
        <v>3.3</v>
      </c>
      <c r="P67" s="268">
        <v>9500</v>
      </c>
      <c r="Q67" s="268">
        <v>2500</v>
      </c>
      <c r="R67" s="268">
        <v>500</v>
      </c>
      <c r="S67" s="268"/>
      <c r="T67" s="268"/>
      <c r="U67" s="268">
        <v>12500</v>
      </c>
      <c r="V67" s="269">
        <v>1</v>
      </c>
      <c r="W67" s="265" t="s">
        <v>256</v>
      </c>
      <c r="X67" s="265">
        <v>250</v>
      </c>
      <c r="Y67" s="249">
        <f t="shared" si="1"/>
        <v>9500</v>
      </c>
      <c r="Z67" s="249">
        <f t="shared" si="2"/>
        <v>12500</v>
      </c>
      <c r="AA67" s="249">
        <f>IF(AND(Z67&gt;0,$N67&lt;&gt;""),IF((DATE(Assumptions!$B$4,1,28)-$N67)/365.25&lt;=Assumptions!$B$20,(DATE(Assumptions!$B$4,1,28)-$N67)/365.25*Assumptions!$B$18*Z67,(Assumptions!$B$20*Assumptions!$B$18+((DATE(Assumptions!$B$4,1,28)-$N67)/365.25-Assumptions!$B$20)*Assumptions!$B$19)*Z67),0)</f>
        <v>15058.179329226556</v>
      </c>
      <c r="AB67" s="249">
        <f>IF(Y67&gt;0,IF($M67="Saudi",MIN(Y67+$Q67*$V67,Assumptions!$B$14)*Assumptions!$B$12,MIN(Y67+$Q67*$V67,Assumptions!$B$14)*Assumptions!$B$13),0)</f>
        <v>0</v>
      </c>
      <c r="AC67" s="249">
        <f>IF(AND(Y67&gt;0,$M67="Non-Saudi"),Assumptions!$B$25,0)</f>
        <v>910.41666666666663</v>
      </c>
      <c r="AD67" s="249">
        <f t="shared" si="3"/>
        <v>9500</v>
      </c>
      <c r="AE67" s="249">
        <f t="shared" si="4"/>
        <v>12500</v>
      </c>
      <c r="AF67" s="249">
        <f>IF(AND(AE67&gt;0,$N67&lt;&gt;""),IF((DATE(Assumptions!$B$4,2,28)-$N67)/365.25&lt;=Assumptions!$B$20,(DATE(Assumptions!$B$4,2,28)-$N67)/365.25*Assumptions!$B$18*AE67,(Assumptions!$B$20*Assumptions!$B$18+((DATE(Assumptions!$B$4,2,28)-$N67)/365.25-Assumptions!$B$20)*Assumptions!$B$19)*AE67),0)</f>
        <v>15588.637919233402</v>
      </c>
      <c r="AG67" s="249">
        <f>IF(AD67&gt;0,IF($M67="Saudi",MIN(AD67+$Q67*$V67,Assumptions!$B$14)*Assumptions!$B$12,MIN(AD67+$Q67*$V67,Assumptions!$B$14)*Assumptions!$B$13),0)</f>
        <v>0</v>
      </c>
      <c r="AH67" s="249">
        <f>IF(AND(AD67&gt;0,$M67="Non-Saudi"),Assumptions!$B$25,0)</f>
        <v>910.41666666666663</v>
      </c>
      <c r="AI67" s="249">
        <f t="shared" si="5"/>
        <v>9500</v>
      </c>
      <c r="AJ67" s="249">
        <f t="shared" si="6"/>
        <v>12500</v>
      </c>
      <c r="AK67" s="249">
        <f>IF(AND(AJ67&gt;0,$N67&lt;&gt;""),IF((DATE(Assumptions!$B$4,3,28)-$N67)/365.25&lt;=Assumptions!$B$20,(DATE(Assumptions!$B$4,3,28)-$N67)/365.25*Assumptions!$B$18*AJ67,(Assumptions!$B$20*Assumptions!$B$18+((DATE(Assumptions!$B$4,3,28)-$N67)/365.25-Assumptions!$B$20)*Assumptions!$B$19)*AJ67),0)</f>
        <v>16067.76180698152</v>
      </c>
      <c r="AL67" s="249">
        <f>IF(AI67&gt;0,IF($M67="Saudi",MIN(AI67+$Q67*$V67,Assumptions!$B$14)*Assumptions!$B$12,MIN(AI67+$Q67*$V67,Assumptions!$B$14)*Assumptions!$B$13),0)</f>
        <v>0</v>
      </c>
      <c r="AM67" s="249">
        <f>IF(AND(AI67&gt;0,$M67="Non-Saudi"),Assumptions!$B$25,0)</f>
        <v>910.41666666666663</v>
      </c>
      <c r="AN67" s="249">
        <f t="shared" si="7"/>
        <v>9500</v>
      </c>
      <c r="AO67" s="249">
        <f t="shared" si="8"/>
        <v>12500</v>
      </c>
      <c r="AP67" s="249">
        <f>IF(AND(AO67&gt;0,$N67&lt;&gt;""),IF((DATE(Assumptions!$B$4,4,28)-$N67)/365.25&lt;=Assumptions!$B$20,(DATE(Assumptions!$B$4,4,28)-$N67)/365.25*Assumptions!$B$18*AO67,(Assumptions!$B$20*Assumptions!$B$18+((DATE(Assumptions!$B$4,4,28)-$N67)/365.25-Assumptions!$B$20)*Assumptions!$B$19)*AO67),0)</f>
        <v>16598.220396988363</v>
      </c>
      <c r="AQ67" s="249">
        <f>IF(AN67&gt;0,IF($M67="Saudi",MIN(AN67+$Q67*$V67,Assumptions!$B$14)*Assumptions!$B$12,MIN(AN67+$Q67*$V67,Assumptions!$B$14)*Assumptions!$B$13),0)</f>
        <v>0</v>
      </c>
      <c r="AR67" s="249">
        <f>IF(AND(AN67&gt;0,$M67="Non-Saudi"),Assumptions!$B$25,0)</f>
        <v>910.41666666666663</v>
      </c>
      <c r="AS67" s="249">
        <f t="shared" si="9"/>
        <v>9500</v>
      </c>
      <c r="AT67" s="249">
        <f t="shared" si="10"/>
        <v>12500</v>
      </c>
      <c r="AU67" s="249">
        <f>IF(AND(AT67&gt;0,$N67&lt;&gt;""),IF((DATE(Assumptions!$B$4,5,28)-$N67)/365.25&lt;=Assumptions!$B$20,(DATE(Assumptions!$B$4,5,28)-$N67)/365.25*Assumptions!$B$18*AT67,(Assumptions!$B$20*Assumptions!$B$18+((DATE(Assumptions!$B$4,5,28)-$N67)/365.25-Assumptions!$B$20)*Assumptions!$B$19)*AT67),0)</f>
        <v>17111.567419575633</v>
      </c>
      <c r="AV67" s="249">
        <f>IF(AS67&gt;0,IF($M67="Saudi",MIN(AS67+$Q67*$V67,Assumptions!$B$14)*Assumptions!$B$12,MIN(AS67+$Q67*$V67,Assumptions!$B$14)*Assumptions!$B$13),0)</f>
        <v>0</v>
      </c>
      <c r="AW67" s="249">
        <f>IF(AND(AS67&gt;0,$M67="Non-Saudi"),Assumptions!$B$25,0)</f>
        <v>910.41666666666663</v>
      </c>
      <c r="AX67" s="249">
        <f t="shared" si="11"/>
        <v>9500</v>
      </c>
      <c r="AY67" s="249">
        <f t="shared" si="12"/>
        <v>12500</v>
      </c>
      <c r="AZ67" s="249">
        <f>IF(AND(AY67&gt;0,$N67&lt;&gt;""),IF((DATE(Assumptions!$B$4,6,28)-$N67)/365.25&lt;=Assumptions!$B$20,(DATE(Assumptions!$B$4,6,28)-$N67)/365.25*Assumptions!$B$18*AY67,(Assumptions!$B$20*Assumptions!$B$18+((DATE(Assumptions!$B$4,6,28)-$N67)/365.25-Assumptions!$B$20)*Assumptions!$B$19)*AY67),0)</f>
        <v>17642.026009582478</v>
      </c>
      <c r="BA67" s="249">
        <f>IF(AX67&gt;0,IF($M67="Saudi",MIN(AX67+$Q67*$V67,Assumptions!$B$14)*Assumptions!$B$12,MIN(AX67+$Q67*$V67,Assumptions!$B$14)*Assumptions!$B$13),0)</f>
        <v>0</v>
      </c>
      <c r="BB67" s="249">
        <f>IF(AND(AX67&gt;0,$M67="Non-Saudi"),Assumptions!$B$25,0)</f>
        <v>910.41666666666663</v>
      </c>
      <c r="BC67" s="249">
        <f t="shared" si="13"/>
        <v>9500</v>
      </c>
      <c r="BD67" s="249">
        <f t="shared" si="14"/>
        <v>12500</v>
      </c>
      <c r="BE67" s="249">
        <f>IF(AND(BD67&gt;0,$N67&lt;&gt;""),IF((DATE(Assumptions!$B$4,7,28)-$N67)/365.25&lt;=Assumptions!$B$20,(DATE(Assumptions!$B$4,7,28)-$N67)/365.25*Assumptions!$B$18*BD67,(Assumptions!$B$20*Assumptions!$B$18+((DATE(Assumptions!$B$4,7,28)-$N67)/365.25-Assumptions!$B$20)*Assumptions!$B$19)*BD67),0)</f>
        <v>18155.373032169748</v>
      </c>
      <c r="BF67" s="249">
        <f>IF(BC67&gt;0,IF($M67="Saudi",MIN(BC67+$Q67*$V67,Assumptions!$B$14)*Assumptions!$B$12,MIN(BC67+$Q67*$V67,Assumptions!$B$14)*Assumptions!$B$13),0)</f>
        <v>0</v>
      </c>
      <c r="BG67" s="249">
        <f>IF(AND(BC67&gt;0,$M67="Non-Saudi"),Assumptions!$B$25,0)</f>
        <v>910.41666666666663</v>
      </c>
      <c r="BH67" s="249">
        <f t="shared" si="15"/>
        <v>9500</v>
      </c>
      <c r="BI67" s="249">
        <f t="shared" si="16"/>
        <v>12500</v>
      </c>
      <c r="BJ67" s="249">
        <f>IF(AND(BI67&gt;0,$N67&lt;&gt;""),IF((DATE(Assumptions!$B$4,8,28)-$N67)/365.25&lt;=Assumptions!$B$20,(DATE(Assumptions!$B$4,8,28)-$N67)/365.25*Assumptions!$B$18*BI67,(Assumptions!$B$20*Assumptions!$B$18+((DATE(Assumptions!$B$4,8,28)-$N67)/365.25-Assumptions!$B$20)*Assumptions!$B$19)*BI67),0)</f>
        <v>18685.831622176589</v>
      </c>
      <c r="BK67" s="249">
        <f>IF(BH67&gt;0,IF($M67="Saudi",MIN(BH67+$Q67*$V67,Assumptions!$B$14)*Assumptions!$B$12,MIN(BH67+$Q67*$V67,Assumptions!$B$14)*Assumptions!$B$13),0)</f>
        <v>0</v>
      </c>
      <c r="BL67" s="249">
        <f>IF(AND(BH67&gt;0,$M67="Non-Saudi"),Assumptions!$B$25,0)</f>
        <v>910.41666666666663</v>
      </c>
      <c r="BM67" s="249">
        <f>IF(AND($D67="Contrat Local",$N67&lt;&gt;""),IF(AND(9&gt;=Assumptions!$B$5,ISNUMBER($X67),$N67&lt;EDATE(Assumptions!$B$9,-Assumptions!$B$6*12)),($P67+$X67)*$V67,$P67*$V67),0)</f>
        <v>9750</v>
      </c>
      <c r="BN67" s="249">
        <f t="shared" si="17"/>
        <v>12750</v>
      </c>
      <c r="BO67" s="249">
        <f>IF(AND(BN67&gt;0,$N67&lt;&gt;""),IF((DATE(Assumptions!$B$4,9,28)-$N67)/365.25&lt;=Assumptions!$B$20,(DATE(Assumptions!$B$4,9,28)-$N67)/365.25*Assumptions!$B$18*BN67,(Assumptions!$B$20*Assumptions!$B$18+((DATE(Assumptions!$B$4,9,28)-$N67)/365.25-Assumptions!$B$20)*Assumptions!$B$19)*BN67),0)</f>
        <v>19600.616016427106</v>
      </c>
      <c r="BP67" s="249">
        <f>IF(BM67&gt;0,IF($M67="Saudi",MIN(BM67+$Q67*$V67,Assumptions!$B$14)*Assumptions!$B$12,MIN(BM67+$Q67*$V67,Assumptions!$B$14)*Assumptions!$B$13),0)</f>
        <v>0</v>
      </c>
      <c r="BQ67" s="249">
        <f>IF(AND(BM67&gt;0,$M67="Non-Saudi"),Assumptions!$B$25,0)</f>
        <v>910.41666666666663</v>
      </c>
      <c r="BR67" s="249">
        <f>IF(AND($D67="Contrat Local",$N67&lt;&gt;""),IF(AND(10&gt;=Assumptions!$B$5,ISNUMBER($X67),$N67&lt;EDATE(Assumptions!$B$9,-Assumptions!$B$6*12)),($P67+$X67)*$V67,$P67*$V67),0)</f>
        <v>9750</v>
      </c>
      <c r="BS67" s="249">
        <f t="shared" si="18"/>
        <v>12750</v>
      </c>
      <c r="BT67" s="249">
        <f>IF(AND(BS67&gt;0,$N67&lt;&gt;""),IF((DATE(Assumptions!$B$4,10,28)-$N67)/365.25&lt;=Assumptions!$B$20,(DATE(Assumptions!$B$4,10,28)-$N67)/365.25*Assumptions!$B$18*BS67,(Assumptions!$B$20*Assumptions!$B$18+((DATE(Assumptions!$B$4,10,28)-$N67)/365.25-Assumptions!$B$20)*Assumptions!$B$19)*BS67),0)</f>
        <v>20124.229979466119</v>
      </c>
      <c r="BU67" s="249">
        <f>IF(BR67&gt;0,IF($M67="Saudi",MIN(BR67+$Q67*$V67,Assumptions!$B$14)*Assumptions!$B$12,MIN(BR67+$Q67*$V67,Assumptions!$B$14)*Assumptions!$B$13),0)</f>
        <v>0</v>
      </c>
      <c r="BV67" s="249">
        <f>IF(AND(BR67&gt;0,$M67="Non-Saudi"),Assumptions!$B$25,0)</f>
        <v>910.41666666666663</v>
      </c>
      <c r="BW67" s="249">
        <f>IF(AND($D67="Contrat Local",$N67&lt;&gt;""),IF(AND(11&gt;=Assumptions!$B$5,ISNUMBER($X67),$N67&lt;EDATE(Assumptions!$B$9,-Assumptions!$B$6*12)),($P67+$X67)*$V67,$P67*$V67),0)</f>
        <v>9750</v>
      </c>
      <c r="BX67" s="249">
        <f t="shared" si="19"/>
        <v>12750</v>
      </c>
      <c r="BY67" s="249">
        <f>IF(AND(BX67&gt;0,$N67&lt;&gt;""),IF((DATE(Assumptions!$B$4,11,28)-$N67)/365.25&lt;=Assumptions!$B$20,(DATE(Assumptions!$B$4,11,28)-$N67)/365.25*Assumptions!$B$18*BX67,(Assumptions!$B$20*Assumptions!$B$18+((DATE(Assumptions!$B$4,11,28)-$N67)/365.25-Assumptions!$B$20)*Assumptions!$B$19)*BX67),0)</f>
        <v>20665.297741273102</v>
      </c>
      <c r="BZ67" s="249">
        <f>IF(BW67&gt;0,IF($M67="Saudi",MIN(BW67+$Q67*$V67,Assumptions!$B$14)*Assumptions!$B$12,MIN(BW67+$Q67*$V67,Assumptions!$B$14)*Assumptions!$B$13),0)</f>
        <v>0</v>
      </c>
      <c r="CA67" s="249">
        <f>IF(AND(BW67&gt;0,$M67="Non-Saudi"),Assumptions!$B$25,0)</f>
        <v>910.41666666666663</v>
      </c>
      <c r="CB67" s="249">
        <f>IF(AND($D67="Contrat Local",$N67&lt;&gt;""),IF(AND(12&gt;=Assumptions!$B$5,ISNUMBER($X67),$N67&lt;EDATE(Assumptions!$B$9,-Assumptions!$B$6*12)),($P67+$X67)*$V67,$P67*$V67),0)</f>
        <v>9750</v>
      </c>
      <c r="CC67" s="249">
        <f t="shared" si="20"/>
        <v>12750</v>
      </c>
      <c r="CD67" s="249">
        <f>IF(AND(CC67&gt;0,$N67&lt;&gt;""),IF((DATE(Assumptions!$B$4,12,28)-$N67)/365.25&lt;=Assumptions!$B$20,(DATE(Assumptions!$B$4,12,28)-$N67)/365.25*Assumptions!$B$18*CC67,(Assumptions!$B$20*Assumptions!$B$18+((DATE(Assumptions!$B$4,12,28)-$N67)/365.25-Assumptions!$B$20)*Assumptions!$B$19)*CC67),0)</f>
        <v>21188.911704312115</v>
      </c>
      <c r="CE67" s="249">
        <f>IF(CB67&gt;0,IF($M67="Saudi",MIN(CB67+$Q67*$V67,Assumptions!$B$14)*Assumptions!$B$12,MIN(CB67+$Q67*$V67,Assumptions!$B$14)*Assumptions!$B$13),0)</f>
        <v>0</v>
      </c>
      <c r="CF67" s="249">
        <f>IF(AND(CB67&gt;0,$M67="Non-Saudi"),Assumptions!$B$25,0)</f>
        <v>910.41666666666663</v>
      </c>
      <c r="CG67" s="249">
        <f t="shared" si="21"/>
        <v>115000</v>
      </c>
      <c r="CH67" s="249">
        <f t="shared" si="22"/>
        <v>151000</v>
      </c>
      <c r="CI67" s="249">
        <f>CD67-IF(AND(Z67&gt;0,$N67&lt;&gt;""),IF((DATE(Assumptions!$B$4-1,12,28)-$N67)/365.25&lt;=Assumptions!$B$20,(DATE(Assumptions!$B$4-1,12,28)-$N67)/365.25*Assumptions!$B$18*Z67,(Assumptions!$B$20*Assumptions!$B$18+((DATE(Assumptions!$B$4-1,12,28)-$N67)/365.25-Assumptions!$B$20)*Assumptions!$B$19)*Z67),0)</f>
        <v>6661.1909650924026</v>
      </c>
      <c r="CJ67" s="249">
        <f t="shared" si="23"/>
        <v>0</v>
      </c>
      <c r="CK67" s="249">
        <f t="shared" si="24"/>
        <v>10924.999999999998</v>
      </c>
    </row>
    <row r="68" spans="1:89" x14ac:dyDescent="0.2">
      <c r="A68" s="258">
        <v>66</v>
      </c>
      <c r="B68" s="259" t="s">
        <v>420</v>
      </c>
      <c r="C68" s="259" t="s">
        <v>421</v>
      </c>
      <c r="D68" s="259" t="s">
        <v>250</v>
      </c>
      <c r="E68" s="259" t="s">
        <v>767</v>
      </c>
      <c r="F68" s="259" t="s">
        <v>344</v>
      </c>
      <c r="G68" s="259" t="s">
        <v>4</v>
      </c>
      <c r="H68" s="259" t="s">
        <v>120</v>
      </c>
      <c r="I68" s="288" t="s">
        <v>691</v>
      </c>
      <c r="J68" s="259" t="s">
        <v>344</v>
      </c>
      <c r="K68" s="259" t="s">
        <v>4</v>
      </c>
      <c r="L68" s="259" t="s">
        <v>255</v>
      </c>
      <c r="M68" s="259" t="str">
        <f t="shared" si="25"/>
        <v>Non-Saudi</v>
      </c>
      <c r="N68" s="260">
        <v>42979</v>
      </c>
      <c r="O68" s="261">
        <v>9.3000000000000007</v>
      </c>
      <c r="P68" s="262">
        <v>7200</v>
      </c>
      <c r="Q68" s="262">
        <v>2500</v>
      </c>
      <c r="R68" s="262">
        <v>500</v>
      </c>
      <c r="S68" s="262"/>
      <c r="T68" s="262"/>
      <c r="U68" s="262">
        <v>10200</v>
      </c>
      <c r="V68" s="263">
        <v>1</v>
      </c>
      <c r="W68" s="259" t="s">
        <v>259</v>
      </c>
      <c r="X68" s="259">
        <v>200</v>
      </c>
      <c r="Y68" s="249">
        <f t="shared" si="1"/>
        <v>7200</v>
      </c>
      <c r="Z68" s="249">
        <f t="shared" si="2"/>
        <v>10200</v>
      </c>
      <c r="AA68" s="249">
        <f>IF(AND(Z68&gt;0,$N68&lt;&gt;""),IF((DATE(Assumptions!$B$4,1,28)-$N68)/365.25&lt;=Assumptions!$B$20,(DATE(Assumptions!$B$4,1,28)-$N68)/365.25*Assumptions!$B$18*Z68,(Assumptions!$B$20*Assumptions!$B$18+((DATE(Assumptions!$B$4,1,28)-$N68)/365.25-Assumptions!$B$20)*Assumptions!$B$19)*Z68),0)</f>
        <v>60260.985626283364</v>
      </c>
      <c r="AB68" s="249">
        <f>IF(Y68&gt;0,IF($M68="Saudi",MIN(Y68+$Q68*$V68,Assumptions!$B$14)*Assumptions!$B$12,MIN(Y68+$Q68*$V68,Assumptions!$B$14)*Assumptions!$B$13),0)</f>
        <v>0</v>
      </c>
      <c r="AC68" s="249">
        <f>IF(AND(Y68&gt;0,$M68="Non-Saudi"),Assumptions!$B$25,0)</f>
        <v>910.41666666666663</v>
      </c>
      <c r="AD68" s="249">
        <f t="shared" si="3"/>
        <v>7200</v>
      </c>
      <c r="AE68" s="249">
        <f t="shared" si="4"/>
        <v>10200</v>
      </c>
      <c r="AF68" s="249">
        <f>IF(AND(AE68&gt;0,$N68&lt;&gt;""),IF((DATE(Assumptions!$B$4,2,28)-$N68)/365.25&lt;=Assumptions!$B$20,(DATE(Assumptions!$B$4,2,28)-$N68)/365.25*Assumptions!$B$18*AE68,(Assumptions!$B$20*Assumptions!$B$18+((DATE(Assumptions!$B$4,2,28)-$N68)/365.25-Assumptions!$B$20)*Assumptions!$B$19)*AE68),0)</f>
        <v>61126.694045174532</v>
      </c>
      <c r="AG68" s="249">
        <f>IF(AD68&gt;0,IF($M68="Saudi",MIN(AD68+$Q68*$V68,Assumptions!$B$14)*Assumptions!$B$12,MIN(AD68+$Q68*$V68,Assumptions!$B$14)*Assumptions!$B$13),0)</f>
        <v>0</v>
      </c>
      <c r="AH68" s="249">
        <f>IF(AND(AD68&gt;0,$M68="Non-Saudi"),Assumptions!$B$25,0)</f>
        <v>910.41666666666663</v>
      </c>
      <c r="AI68" s="249">
        <f t="shared" si="5"/>
        <v>7200</v>
      </c>
      <c r="AJ68" s="249">
        <f t="shared" si="6"/>
        <v>10200</v>
      </c>
      <c r="AK68" s="249">
        <f>IF(AND(AJ68&gt;0,$N68&lt;&gt;""),IF((DATE(Assumptions!$B$4,3,28)-$N68)/365.25&lt;=Assumptions!$B$20,(DATE(Assumptions!$B$4,3,28)-$N68)/365.25*Assumptions!$B$18*AJ68,(Assumptions!$B$20*Assumptions!$B$18+((DATE(Assumptions!$B$4,3,28)-$N68)/365.25-Assumptions!$B$20)*Assumptions!$B$19)*AJ68),0)</f>
        <v>61908.624229979469</v>
      </c>
      <c r="AL68" s="249">
        <f>IF(AI68&gt;0,IF($M68="Saudi",MIN(AI68+$Q68*$V68,Assumptions!$B$14)*Assumptions!$B$12,MIN(AI68+$Q68*$V68,Assumptions!$B$14)*Assumptions!$B$13),0)</f>
        <v>0</v>
      </c>
      <c r="AM68" s="249">
        <f>IF(AND(AI68&gt;0,$M68="Non-Saudi"),Assumptions!$B$25,0)</f>
        <v>910.41666666666663</v>
      </c>
      <c r="AN68" s="249">
        <f t="shared" si="7"/>
        <v>7200</v>
      </c>
      <c r="AO68" s="249">
        <f t="shared" si="8"/>
        <v>10200</v>
      </c>
      <c r="AP68" s="249">
        <f>IF(AND(AO68&gt;0,$N68&lt;&gt;""),IF((DATE(Assumptions!$B$4,4,28)-$N68)/365.25&lt;=Assumptions!$B$20,(DATE(Assumptions!$B$4,4,28)-$N68)/365.25*Assumptions!$B$18*AO68,(Assumptions!$B$20*Assumptions!$B$18+((DATE(Assumptions!$B$4,4,28)-$N68)/365.25-Assumptions!$B$20)*Assumptions!$B$19)*AO68),0)</f>
        <v>62774.332648870637</v>
      </c>
      <c r="AQ68" s="249">
        <f>IF(AN68&gt;0,IF($M68="Saudi",MIN(AN68+$Q68*$V68,Assumptions!$B$14)*Assumptions!$B$12,MIN(AN68+$Q68*$V68,Assumptions!$B$14)*Assumptions!$B$13),0)</f>
        <v>0</v>
      </c>
      <c r="AR68" s="249">
        <f>IF(AND(AN68&gt;0,$M68="Non-Saudi"),Assumptions!$B$25,0)</f>
        <v>910.41666666666663</v>
      </c>
      <c r="AS68" s="249">
        <f t="shared" si="9"/>
        <v>7200</v>
      </c>
      <c r="AT68" s="249">
        <f t="shared" si="10"/>
        <v>10200</v>
      </c>
      <c r="AU68" s="249">
        <f>IF(AND(AT68&gt;0,$N68&lt;&gt;""),IF((DATE(Assumptions!$B$4,5,28)-$N68)/365.25&lt;=Assumptions!$B$20,(DATE(Assumptions!$B$4,5,28)-$N68)/365.25*Assumptions!$B$18*AT68,(Assumptions!$B$20*Assumptions!$B$18+((DATE(Assumptions!$B$4,5,28)-$N68)/365.25-Assumptions!$B$20)*Assumptions!$B$19)*AT68),0)</f>
        <v>63612.114989733069</v>
      </c>
      <c r="AV68" s="249">
        <f>IF(AS68&gt;0,IF($M68="Saudi",MIN(AS68+$Q68*$V68,Assumptions!$B$14)*Assumptions!$B$12,MIN(AS68+$Q68*$V68,Assumptions!$B$14)*Assumptions!$B$13),0)</f>
        <v>0</v>
      </c>
      <c r="AW68" s="249">
        <f>IF(AND(AS68&gt;0,$M68="Non-Saudi"),Assumptions!$B$25,0)</f>
        <v>910.41666666666663</v>
      </c>
      <c r="AX68" s="249">
        <f t="shared" si="11"/>
        <v>7200</v>
      </c>
      <c r="AY68" s="249">
        <f t="shared" si="12"/>
        <v>10200</v>
      </c>
      <c r="AZ68" s="249">
        <f>IF(AND(AY68&gt;0,$N68&lt;&gt;""),IF((DATE(Assumptions!$B$4,6,28)-$N68)/365.25&lt;=Assumptions!$B$20,(DATE(Assumptions!$B$4,6,28)-$N68)/365.25*Assumptions!$B$18*AY68,(Assumptions!$B$20*Assumptions!$B$18+((DATE(Assumptions!$B$4,6,28)-$N68)/365.25-Assumptions!$B$20)*Assumptions!$B$19)*AY68),0)</f>
        <v>64477.823408624237</v>
      </c>
      <c r="BA68" s="249">
        <f>IF(AX68&gt;0,IF($M68="Saudi",MIN(AX68+$Q68*$V68,Assumptions!$B$14)*Assumptions!$B$12,MIN(AX68+$Q68*$V68,Assumptions!$B$14)*Assumptions!$B$13),0)</f>
        <v>0</v>
      </c>
      <c r="BB68" s="249">
        <f>IF(AND(AX68&gt;0,$M68="Non-Saudi"),Assumptions!$B$25,0)</f>
        <v>910.41666666666663</v>
      </c>
      <c r="BC68" s="249">
        <f t="shared" si="13"/>
        <v>7200</v>
      </c>
      <c r="BD68" s="249">
        <f t="shared" si="14"/>
        <v>10200</v>
      </c>
      <c r="BE68" s="249">
        <f>IF(AND(BD68&gt;0,$N68&lt;&gt;""),IF((DATE(Assumptions!$B$4,7,28)-$N68)/365.25&lt;=Assumptions!$B$20,(DATE(Assumptions!$B$4,7,28)-$N68)/365.25*Assumptions!$B$18*BD68,(Assumptions!$B$20*Assumptions!$B$18+((DATE(Assumptions!$B$4,7,28)-$N68)/365.25-Assumptions!$B$20)*Assumptions!$B$19)*BD68),0)</f>
        <v>65315.605749486647</v>
      </c>
      <c r="BF68" s="249">
        <f>IF(BC68&gt;0,IF($M68="Saudi",MIN(BC68+$Q68*$V68,Assumptions!$B$14)*Assumptions!$B$12,MIN(BC68+$Q68*$V68,Assumptions!$B$14)*Assumptions!$B$13),0)</f>
        <v>0</v>
      </c>
      <c r="BG68" s="249">
        <f>IF(AND(BC68&gt;0,$M68="Non-Saudi"),Assumptions!$B$25,0)</f>
        <v>910.41666666666663</v>
      </c>
      <c r="BH68" s="249">
        <f t="shared" si="15"/>
        <v>7200</v>
      </c>
      <c r="BI68" s="249">
        <f t="shared" si="16"/>
        <v>10200</v>
      </c>
      <c r="BJ68" s="249">
        <f>IF(AND(BI68&gt;0,$N68&lt;&gt;""),IF((DATE(Assumptions!$B$4,8,28)-$N68)/365.25&lt;=Assumptions!$B$20,(DATE(Assumptions!$B$4,8,28)-$N68)/365.25*Assumptions!$B$18*BI68,(Assumptions!$B$20*Assumptions!$B$18+((DATE(Assumptions!$B$4,8,28)-$N68)/365.25-Assumptions!$B$20)*Assumptions!$B$19)*BI68),0)</f>
        <v>66181.314168377823</v>
      </c>
      <c r="BK68" s="249">
        <f>IF(BH68&gt;0,IF($M68="Saudi",MIN(BH68+$Q68*$V68,Assumptions!$B$14)*Assumptions!$B$12,MIN(BH68+$Q68*$V68,Assumptions!$B$14)*Assumptions!$B$13),0)</f>
        <v>0</v>
      </c>
      <c r="BL68" s="249">
        <f>IF(AND(BH68&gt;0,$M68="Non-Saudi"),Assumptions!$B$25,0)</f>
        <v>910.41666666666663</v>
      </c>
      <c r="BM68" s="249">
        <f>IF(AND($D68="Contrat Local",$N68&lt;&gt;""),IF(AND(9&gt;=Assumptions!$B$5,ISNUMBER($X68),$N68&lt;EDATE(Assumptions!$B$9,-Assumptions!$B$6*12)),($P68+$X68)*$V68,$P68*$V68),0)</f>
        <v>7400</v>
      </c>
      <c r="BN68" s="249">
        <f t="shared" si="17"/>
        <v>10400</v>
      </c>
      <c r="BO68" s="249">
        <f>IF(AND(BN68&gt;0,$N68&lt;&gt;""),IF((DATE(Assumptions!$B$4,9,28)-$N68)/365.25&lt;=Assumptions!$B$20,(DATE(Assumptions!$B$4,9,28)-$N68)/365.25*Assumptions!$B$18*BN68,(Assumptions!$B$20*Assumptions!$B$18+((DATE(Assumptions!$B$4,9,28)-$N68)/365.25-Assumptions!$B$20)*Assumptions!$B$19)*BN68),0)</f>
        <v>68361.670088980143</v>
      </c>
      <c r="BP68" s="249">
        <f>IF(BM68&gt;0,IF($M68="Saudi",MIN(BM68+$Q68*$V68,Assumptions!$B$14)*Assumptions!$B$12,MIN(BM68+$Q68*$V68,Assumptions!$B$14)*Assumptions!$B$13),0)</f>
        <v>0</v>
      </c>
      <c r="BQ68" s="249">
        <f>IF(AND(BM68&gt;0,$M68="Non-Saudi"),Assumptions!$B$25,0)</f>
        <v>910.41666666666663</v>
      </c>
      <c r="BR68" s="249">
        <f>IF(AND($D68="Contrat Local",$N68&lt;&gt;""),IF(AND(10&gt;=Assumptions!$B$5,ISNUMBER($X68),$N68&lt;EDATE(Assumptions!$B$9,-Assumptions!$B$6*12)),($P68+$X68)*$V68,$P68*$V68),0)</f>
        <v>7400</v>
      </c>
      <c r="BS68" s="249">
        <f t="shared" si="18"/>
        <v>10400</v>
      </c>
      <c r="BT68" s="249">
        <f>IF(AND(BS68&gt;0,$N68&lt;&gt;""),IF((DATE(Assumptions!$B$4,10,28)-$N68)/365.25&lt;=Assumptions!$B$20,(DATE(Assumptions!$B$4,10,28)-$N68)/365.25*Assumptions!$B$18*BS68,(Assumptions!$B$20*Assumptions!$B$18+((DATE(Assumptions!$B$4,10,28)-$N68)/365.25-Assumptions!$B$20)*Assumptions!$B$19)*BS68),0)</f>
        <v>69215.879534565363</v>
      </c>
      <c r="BU68" s="249">
        <f>IF(BR68&gt;0,IF($M68="Saudi",MIN(BR68+$Q68*$V68,Assumptions!$B$14)*Assumptions!$B$12,MIN(BR68+$Q68*$V68,Assumptions!$B$14)*Assumptions!$B$13),0)</f>
        <v>0</v>
      </c>
      <c r="BV68" s="249">
        <f>IF(AND(BR68&gt;0,$M68="Non-Saudi"),Assumptions!$B$25,0)</f>
        <v>910.41666666666663</v>
      </c>
      <c r="BW68" s="249">
        <f>IF(AND($D68="Contrat Local",$N68&lt;&gt;""),IF(AND(11&gt;=Assumptions!$B$5,ISNUMBER($X68),$N68&lt;EDATE(Assumptions!$B$9,-Assumptions!$B$6*12)),($P68+$X68)*$V68,$P68*$V68),0)</f>
        <v>7400</v>
      </c>
      <c r="BX68" s="249">
        <f t="shared" si="19"/>
        <v>10400</v>
      </c>
      <c r="BY68" s="249">
        <f>IF(AND(BX68&gt;0,$N68&lt;&gt;""),IF((DATE(Assumptions!$B$4,11,28)-$N68)/365.25&lt;=Assumptions!$B$20,(DATE(Assumptions!$B$4,11,28)-$N68)/365.25*Assumptions!$B$18*BX68,(Assumptions!$B$20*Assumptions!$B$18+((DATE(Assumptions!$B$4,11,28)-$N68)/365.25-Assumptions!$B$20)*Assumptions!$B$19)*BX68),0)</f>
        <v>70098.56262833676</v>
      </c>
      <c r="BZ68" s="249">
        <f>IF(BW68&gt;0,IF($M68="Saudi",MIN(BW68+$Q68*$V68,Assumptions!$B$14)*Assumptions!$B$12,MIN(BW68+$Q68*$V68,Assumptions!$B$14)*Assumptions!$B$13),0)</f>
        <v>0</v>
      </c>
      <c r="CA68" s="249">
        <f>IF(AND(BW68&gt;0,$M68="Non-Saudi"),Assumptions!$B$25,0)</f>
        <v>910.41666666666663</v>
      </c>
      <c r="CB68" s="249">
        <f>IF(AND($D68="Contrat Local",$N68&lt;&gt;""),IF(AND(12&gt;=Assumptions!$B$5,ISNUMBER($X68),$N68&lt;EDATE(Assumptions!$B$9,-Assumptions!$B$6*12)),($P68+$X68)*$V68,$P68*$V68),0)</f>
        <v>7400</v>
      </c>
      <c r="CC68" s="249">
        <f t="shared" si="20"/>
        <v>10400</v>
      </c>
      <c r="CD68" s="249">
        <f>IF(AND(CC68&gt;0,$N68&lt;&gt;""),IF((DATE(Assumptions!$B$4,12,28)-$N68)/365.25&lt;=Assumptions!$B$20,(DATE(Assumptions!$B$4,12,28)-$N68)/365.25*Assumptions!$B$18*CC68,(Assumptions!$B$20*Assumptions!$B$18+((DATE(Assumptions!$B$4,12,28)-$N68)/365.25-Assumptions!$B$20)*Assumptions!$B$19)*CC68),0)</f>
        <v>70952.77207392198</v>
      </c>
      <c r="CE68" s="249">
        <f>IF(CB68&gt;0,IF($M68="Saudi",MIN(CB68+$Q68*$V68,Assumptions!$B$14)*Assumptions!$B$12,MIN(CB68+$Q68*$V68,Assumptions!$B$14)*Assumptions!$B$13),0)</f>
        <v>0</v>
      </c>
      <c r="CF68" s="249">
        <f>IF(AND(CB68&gt;0,$M68="Non-Saudi"),Assumptions!$B$25,0)</f>
        <v>910.41666666666663</v>
      </c>
      <c r="CG68" s="249">
        <f t="shared" si="21"/>
        <v>87200</v>
      </c>
      <c r="CH68" s="249">
        <f t="shared" si="22"/>
        <v>123200</v>
      </c>
      <c r="CI68" s="249">
        <f>CD68-IF(AND(Z68&gt;0,$N68&lt;&gt;""),IF((DATE(Assumptions!$B$4-1,12,28)-$N68)/365.25&lt;=Assumptions!$B$20,(DATE(Assumptions!$B$4-1,12,28)-$N68)/365.25*Assumptions!$B$18*Z68,(Assumptions!$B$20*Assumptions!$B$18+((DATE(Assumptions!$B$4-1,12,28)-$N68)/365.25-Assumptions!$B$20)*Assumptions!$B$19)*Z68),0)</f>
        <v>11557.494866529785</v>
      </c>
      <c r="CJ68" s="249">
        <f t="shared" si="23"/>
        <v>0</v>
      </c>
      <c r="CK68" s="249">
        <f t="shared" si="24"/>
        <v>10924.999999999998</v>
      </c>
    </row>
    <row r="69" spans="1:89" x14ac:dyDescent="0.2">
      <c r="A69" s="252">
        <v>67</v>
      </c>
      <c r="B69" s="253" t="s">
        <v>422</v>
      </c>
      <c r="C69" s="253" t="s">
        <v>423</v>
      </c>
      <c r="D69" s="253" t="s">
        <v>250</v>
      </c>
      <c r="E69" s="253" t="s">
        <v>767</v>
      </c>
      <c r="F69" s="253" t="s">
        <v>424</v>
      </c>
      <c r="G69" s="253" t="s">
        <v>252</v>
      </c>
      <c r="H69" s="253" t="s">
        <v>425</v>
      </c>
      <c r="I69" s="282" t="s">
        <v>690</v>
      </c>
      <c r="J69" s="253"/>
      <c r="K69" s="253" t="s">
        <v>252</v>
      </c>
      <c r="L69" s="253" t="s">
        <v>255</v>
      </c>
      <c r="M69" s="253" t="str">
        <f t="shared" ref="M69:M100" si="26">IF(D69="Titulaire EN","",IF(OR(B69="AL OSSAIMI AL OTAIBI",B69="ALAMRI"),"Saudi","Non-Saudi"))</f>
        <v>Non-Saudi</v>
      </c>
      <c r="N69" s="254">
        <v>44805</v>
      </c>
      <c r="O69" s="255">
        <v>4.3</v>
      </c>
      <c r="P69" s="256">
        <v>9500</v>
      </c>
      <c r="Q69" s="256">
        <v>2500</v>
      </c>
      <c r="R69" s="256">
        <v>500</v>
      </c>
      <c r="S69" s="256"/>
      <c r="T69" s="256"/>
      <c r="U69" s="256">
        <v>12500</v>
      </c>
      <c r="V69" s="257">
        <v>1</v>
      </c>
      <c r="W69" s="253" t="s">
        <v>259</v>
      </c>
      <c r="X69" s="253">
        <v>250</v>
      </c>
      <c r="Y69" s="249">
        <f t="shared" si="1"/>
        <v>9500</v>
      </c>
      <c r="Z69" s="249">
        <f t="shared" si="2"/>
        <v>12500</v>
      </c>
      <c r="AA69" s="249">
        <f>IF(AND(Z69&gt;0,$N69&lt;&gt;""),IF((DATE(Assumptions!$B$4,1,28)-$N69)/365.25&lt;=Assumptions!$B$20,(DATE(Assumptions!$B$4,1,28)-$N69)/365.25*Assumptions!$B$18*Z69,(Assumptions!$B$20*Assumptions!$B$18+((DATE(Assumptions!$B$4,1,28)-$N69)/365.25-Assumptions!$B$20)*Assumptions!$B$19)*Z69),0)</f>
        <v>21303.901437371664</v>
      </c>
      <c r="AB69" s="249">
        <f>IF(Y69&gt;0,IF($M69="Saudi",MIN(Y69+$Q69*$V69,Assumptions!$B$14)*Assumptions!$B$12,MIN(Y69+$Q69*$V69,Assumptions!$B$14)*Assumptions!$B$13),0)</f>
        <v>0</v>
      </c>
      <c r="AC69" s="249">
        <f>IF(AND(Y69&gt;0,$M69="Non-Saudi"),Assumptions!$B$25,0)</f>
        <v>910.41666666666663</v>
      </c>
      <c r="AD69" s="249">
        <f t="shared" si="3"/>
        <v>9500</v>
      </c>
      <c r="AE69" s="249">
        <f t="shared" si="4"/>
        <v>12500</v>
      </c>
      <c r="AF69" s="249">
        <f>IF(AND(AE69&gt;0,$N69&lt;&gt;""),IF((DATE(Assumptions!$B$4,2,28)-$N69)/365.25&lt;=Assumptions!$B$20,(DATE(Assumptions!$B$4,2,28)-$N69)/365.25*Assumptions!$B$18*AE69,(Assumptions!$B$20*Assumptions!$B$18+((DATE(Assumptions!$B$4,2,28)-$N69)/365.25-Assumptions!$B$20)*Assumptions!$B$19)*AE69),0)</f>
        <v>21834.360027378509</v>
      </c>
      <c r="AG69" s="249">
        <f>IF(AD69&gt;0,IF($M69="Saudi",MIN(AD69+$Q69*$V69,Assumptions!$B$14)*Assumptions!$B$12,MIN(AD69+$Q69*$V69,Assumptions!$B$14)*Assumptions!$B$13),0)</f>
        <v>0</v>
      </c>
      <c r="AH69" s="249">
        <f>IF(AND(AD69&gt;0,$M69="Non-Saudi"),Assumptions!$B$25,0)</f>
        <v>910.41666666666663</v>
      </c>
      <c r="AI69" s="249">
        <f t="shared" si="5"/>
        <v>9500</v>
      </c>
      <c r="AJ69" s="249">
        <f t="shared" si="6"/>
        <v>12500</v>
      </c>
      <c r="AK69" s="249">
        <f>IF(AND(AJ69&gt;0,$N69&lt;&gt;""),IF((DATE(Assumptions!$B$4,3,28)-$N69)/365.25&lt;=Assumptions!$B$20,(DATE(Assumptions!$B$4,3,28)-$N69)/365.25*Assumptions!$B$18*AJ69,(Assumptions!$B$20*Assumptions!$B$18+((DATE(Assumptions!$B$4,3,28)-$N69)/365.25-Assumptions!$B$20)*Assumptions!$B$19)*AJ69),0)</f>
        <v>22313.483915126624</v>
      </c>
      <c r="AL69" s="249">
        <f>IF(AI69&gt;0,IF($M69="Saudi",MIN(AI69+$Q69*$V69,Assumptions!$B$14)*Assumptions!$B$12,MIN(AI69+$Q69*$V69,Assumptions!$B$14)*Assumptions!$B$13),0)</f>
        <v>0</v>
      </c>
      <c r="AM69" s="249">
        <f>IF(AND(AI69&gt;0,$M69="Non-Saudi"),Assumptions!$B$25,0)</f>
        <v>910.41666666666663</v>
      </c>
      <c r="AN69" s="249">
        <f t="shared" si="7"/>
        <v>9500</v>
      </c>
      <c r="AO69" s="249">
        <f t="shared" si="8"/>
        <v>12500</v>
      </c>
      <c r="AP69" s="249">
        <f>IF(AND(AO69&gt;0,$N69&lt;&gt;""),IF((DATE(Assumptions!$B$4,4,28)-$N69)/365.25&lt;=Assumptions!$B$20,(DATE(Assumptions!$B$4,4,28)-$N69)/365.25*Assumptions!$B$18*AO69,(Assumptions!$B$20*Assumptions!$B$18+((DATE(Assumptions!$B$4,4,28)-$N69)/365.25-Assumptions!$B$20)*Assumptions!$B$19)*AO69),0)</f>
        <v>22843.942505133473</v>
      </c>
      <c r="AQ69" s="249">
        <f>IF(AN69&gt;0,IF($M69="Saudi",MIN(AN69+$Q69*$V69,Assumptions!$B$14)*Assumptions!$B$12,MIN(AN69+$Q69*$V69,Assumptions!$B$14)*Assumptions!$B$13),0)</f>
        <v>0</v>
      </c>
      <c r="AR69" s="249">
        <f>IF(AND(AN69&gt;0,$M69="Non-Saudi"),Assumptions!$B$25,0)</f>
        <v>910.41666666666663</v>
      </c>
      <c r="AS69" s="249">
        <f t="shared" si="9"/>
        <v>9500</v>
      </c>
      <c r="AT69" s="249">
        <f t="shared" si="10"/>
        <v>12500</v>
      </c>
      <c r="AU69" s="249">
        <f>IF(AND(AT69&gt;0,$N69&lt;&gt;""),IF((DATE(Assumptions!$B$4,5,28)-$N69)/365.25&lt;=Assumptions!$B$20,(DATE(Assumptions!$B$4,5,28)-$N69)/365.25*Assumptions!$B$18*AT69,(Assumptions!$B$20*Assumptions!$B$18+((DATE(Assumptions!$B$4,5,28)-$N69)/365.25-Assumptions!$B$20)*Assumptions!$B$19)*AT69),0)</f>
        <v>23357.289527720739</v>
      </c>
      <c r="AV69" s="249">
        <f>IF(AS69&gt;0,IF($M69="Saudi",MIN(AS69+$Q69*$V69,Assumptions!$B$14)*Assumptions!$B$12,MIN(AS69+$Q69*$V69,Assumptions!$B$14)*Assumptions!$B$13),0)</f>
        <v>0</v>
      </c>
      <c r="AW69" s="249">
        <f>IF(AND(AS69&gt;0,$M69="Non-Saudi"),Assumptions!$B$25,0)</f>
        <v>910.41666666666663</v>
      </c>
      <c r="AX69" s="249">
        <f t="shared" si="11"/>
        <v>9500</v>
      </c>
      <c r="AY69" s="249">
        <f t="shared" si="12"/>
        <v>12500</v>
      </c>
      <c r="AZ69" s="249">
        <f>IF(AND(AY69&gt;0,$N69&lt;&gt;""),IF((DATE(Assumptions!$B$4,6,28)-$N69)/365.25&lt;=Assumptions!$B$20,(DATE(Assumptions!$B$4,6,28)-$N69)/365.25*Assumptions!$B$18*AY69,(Assumptions!$B$20*Assumptions!$B$18+((DATE(Assumptions!$B$4,6,28)-$N69)/365.25-Assumptions!$B$20)*Assumptions!$B$19)*AY69),0)</f>
        <v>23887.748117727584</v>
      </c>
      <c r="BA69" s="249">
        <f>IF(AX69&gt;0,IF($M69="Saudi",MIN(AX69+$Q69*$V69,Assumptions!$B$14)*Assumptions!$B$12,MIN(AX69+$Q69*$V69,Assumptions!$B$14)*Assumptions!$B$13),0)</f>
        <v>0</v>
      </c>
      <c r="BB69" s="249">
        <f>IF(AND(AX69&gt;0,$M69="Non-Saudi"),Assumptions!$B$25,0)</f>
        <v>910.41666666666663</v>
      </c>
      <c r="BC69" s="249">
        <f t="shared" si="13"/>
        <v>9500</v>
      </c>
      <c r="BD69" s="249">
        <f t="shared" si="14"/>
        <v>12500</v>
      </c>
      <c r="BE69" s="249">
        <f>IF(AND(BD69&gt;0,$N69&lt;&gt;""),IF((DATE(Assumptions!$B$4,7,28)-$N69)/365.25&lt;=Assumptions!$B$20,(DATE(Assumptions!$B$4,7,28)-$N69)/365.25*Assumptions!$B$18*BD69,(Assumptions!$B$20*Assumptions!$B$18+((DATE(Assumptions!$B$4,7,28)-$N69)/365.25-Assumptions!$B$20)*Assumptions!$B$19)*BD69),0)</f>
        <v>24401.09514031485</v>
      </c>
      <c r="BF69" s="249">
        <f>IF(BC69&gt;0,IF($M69="Saudi",MIN(BC69+$Q69*$V69,Assumptions!$B$14)*Assumptions!$B$12,MIN(BC69+$Q69*$V69,Assumptions!$B$14)*Assumptions!$B$13),0)</f>
        <v>0</v>
      </c>
      <c r="BG69" s="249">
        <f>IF(AND(BC69&gt;0,$M69="Non-Saudi"),Assumptions!$B$25,0)</f>
        <v>910.41666666666663</v>
      </c>
      <c r="BH69" s="249">
        <f t="shared" si="15"/>
        <v>9500</v>
      </c>
      <c r="BI69" s="249">
        <f t="shared" si="16"/>
        <v>12500</v>
      </c>
      <c r="BJ69" s="249">
        <f>IF(AND(BI69&gt;0,$N69&lt;&gt;""),IF((DATE(Assumptions!$B$4,8,28)-$N69)/365.25&lt;=Assumptions!$B$20,(DATE(Assumptions!$B$4,8,28)-$N69)/365.25*Assumptions!$B$18*BI69,(Assumptions!$B$20*Assumptions!$B$18+((DATE(Assumptions!$B$4,8,28)-$N69)/365.25-Assumptions!$B$20)*Assumptions!$B$19)*BI69),0)</f>
        <v>24931.553730321699</v>
      </c>
      <c r="BK69" s="249">
        <f>IF(BH69&gt;0,IF($M69="Saudi",MIN(BH69+$Q69*$V69,Assumptions!$B$14)*Assumptions!$B$12,MIN(BH69+$Q69*$V69,Assumptions!$B$14)*Assumptions!$B$13),0)</f>
        <v>0</v>
      </c>
      <c r="BL69" s="249">
        <f>IF(AND(BH69&gt;0,$M69="Non-Saudi"),Assumptions!$B$25,0)</f>
        <v>910.41666666666663</v>
      </c>
      <c r="BM69" s="249">
        <f>IF(AND($D69="Contrat Local",$N69&lt;&gt;""),IF(AND(9&gt;=Assumptions!$B$5,ISNUMBER($X69),$N69&lt;EDATE(Assumptions!$B$9,-Assumptions!$B$6*12)),($P69+$X69)*$V69,$P69*$V69),0)</f>
        <v>9750</v>
      </c>
      <c r="BN69" s="249">
        <f t="shared" si="17"/>
        <v>12750</v>
      </c>
      <c r="BO69" s="249">
        <f>IF(AND(BN69&gt;0,$N69&lt;&gt;""),IF((DATE(Assumptions!$B$4,9,28)-$N69)/365.25&lt;=Assumptions!$B$20,(DATE(Assumptions!$B$4,9,28)-$N69)/365.25*Assumptions!$B$18*BN69,(Assumptions!$B$20*Assumptions!$B$18+((DATE(Assumptions!$B$4,9,28)-$N69)/365.25-Assumptions!$B$20)*Assumptions!$B$19)*BN69),0)</f>
        <v>25971.252566735111</v>
      </c>
      <c r="BP69" s="249">
        <f>IF(BM69&gt;0,IF($M69="Saudi",MIN(BM69+$Q69*$V69,Assumptions!$B$14)*Assumptions!$B$12,MIN(BM69+$Q69*$V69,Assumptions!$B$14)*Assumptions!$B$13),0)</f>
        <v>0</v>
      </c>
      <c r="BQ69" s="249">
        <f>IF(AND(BM69&gt;0,$M69="Non-Saudi"),Assumptions!$B$25,0)</f>
        <v>910.41666666666663</v>
      </c>
      <c r="BR69" s="249">
        <f>IF(AND($D69="Contrat Local",$N69&lt;&gt;""),IF(AND(10&gt;=Assumptions!$B$5,ISNUMBER($X69),$N69&lt;EDATE(Assumptions!$B$9,-Assumptions!$B$6*12)),($P69+$X69)*$V69,$P69*$V69),0)</f>
        <v>9750</v>
      </c>
      <c r="BS69" s="249">
        <f t="shared" si="18"/>
        <v>12750</v>
      </c>
      <c r="BT69" s="249">
        <f>IF(AND(BS69&gt;0,$N69&lt;&gt;""),IF((DATE(Assumptions!$B$4,10,28)-$N69)/365.25&lt;=Assumptions!$B$20,(DATE(Assumptions!$B$4,10,28)-$N69)/365.25*Assumptions!$B$18*BS69,(Assumptions!$B$20*Assumptions!$B$18+((DATE(Assumptions!$B$4,10,28)-$N69)/365.25-Assumptions!$B$20)*Assumptions!$B$19)*BS69),0)</f>
        <v>26494.866529774128</v>
      </c>
      <c r="BU69" s="249">
        <f>IF(BR69&gt;0,IF($M69="Saudi",MIN(BR69+$Q69*$V69,Assumptions!$B$14)*Assumptions!$B$12,MIN(BR69+$Q69*$V69,Assumptions!$B$14)*Assumptions!$B$13),0)</f>
        <v>0</v>
      </c>
      <c r="BV69" s="249">
        <f>IF(AND(BR69&gt;0,$M69="Non-Saudi"),Assumptions!$B$25,0)</f>
        <v>910.41666666666663</v>
      </c>
      <c r="BW69" s="249">
        <f>IF(AND($D69="Contrat Local",$N69&lt;&gt;""),IF(AND(11&gt;=Assumptions!$B$5,ISNUMBER($X69),$N69&lt;EDATE(Assumptions!$B$9,-Assumptions!$B$6*12)),($P69+$X69)*$V69,$P69*$V69),0)</f>
        <v>9750</v>
      </c>
      <c r="BX69" s="249">
        <f t="shared" si="19"/>
        <v>12750</v>
      </c>
      <c r="BY69" s="249">
        <f>IF(AND(BX69&gt;0,$N69&lt;&gt;""),IF((DATE(Assumptions!$B$4,11,28)-$N69)/365.25&lt;=Assumptions!$B$20,(DATE(Assumptions!$B$4,11,28)-$N69)/365.25*Assumptions!$B$18*BX69,(Assumptions!$B$20*Assumptions!$B$18+((DATE(Assumptions!$B$4,11,28)-$N69)/365.25-Assumptions!$B$20)*Assumptions!$B$19)*BX69),0)</f>
        <v>27035.934291581107</v>
      </c>
      <c r="BZ69" s="249">
        <f>IF(BW69&gt;0,IF($M69="Saudi",MIN(BW69+$Q69*$V69,Assumptions!$B$14)*Assumptions!$B$12,MIN(BW69+$Q69*$V69,Assumptions!$B$14)*Assumptions!$B$13),0)</f>
        <v>0</v>
      </c>
      <c r="CA69" s="249">
        <f>IF(AND(BW69&gt;0,$M69="Non-Saudi"),Assumptions!$B$25,0)</f>
        <v>910.41666666666663</v>
      </c>
      <c r="CB69" s="249">
        <f>IF(AND($D69="Contrat Local",$N69&lt;&gt;""),IF(AND(12&gt;=Assumptions!$B$5,ISNUMBER($X69),$N69&lt;EDATE(Assumptions!$B$9,-Assumptions!$B$6*12)),($P69+$X69)*$V69,$P69*$V69),0)</f>
        <v>9750</v>
      </c>
      <c r="CC69" s="249">
        <f t="shared" si="20"/>
        <v>12750</v>
      </c>
      <c r="CD69" s="249">
        <f>IF(AND(CC69&gt;0,$N69&lt;&gt;""),IF((DATE(Assumptions!$B$4,12,28)-$N69)/365.25&lt;=Assumptions!$B$20,(DATE(Assumptions!$B$4,12,28)-$N69)/365.25*Assumptions!$B$18*CC69,(Assumptions!$B$20*Assumptions!$B$18+((DATE(Assumptions!$B$4,12,28)-$N69)/365.25-Assumptions!$B$20)*Assumptions!$B$19)*CC69),0)</f>
        <v>27559.54825462012</v>
      </c>
      <c r="CE69" s="249">
        <f>IF(CB69&gt;0,IF($M69="Saudi",MIN(CB69+$Q69*$V69,Assumptions!$B$14)*Assumptions!$B$12,MIN(CB69+$Q69*$V69,Assumptions!$B$14)*Assumptions!$B$13),0)</f>
        <v>0</v>
      </c>
      <c r="CF69" s="249">
        <f>IF(AND(CB69&gt;0,$M69="Non-Saudi"),Assumptions!$B$25,0)</f>
        <v>910.41666666666663</v>
      </c>
      <c r="CG69" s="249">
        <f t="shared" si="21"/>
        <v>115000</v>
      </c>
      <c r="CH69" s="249">
        <f t="shared" si="22"/>
        <v>151000</v>
      </c>
      <c r="CI69" s="249">
        <f>CD69-IF(AND(Z69&gt;0,$N69&lt;&gt;""),IF((DATE(Assumptions!$B$4-1,12,28)-$N69)/365.25&lt;=Assumptions!$B$20,(DATE(Assumptions!$B$4-1,12,28)-$N69)/365.25*Assumptions!$B$18*Z69,(Assumptions!$B$20*Assumptions!$B$18+((DATE(Assumptions!$B$4-1,12,28)-$N69)/365.25-Assumptions!$B$20)*Assumptions!$B$19)*Z69),0)</f>
        <v>6786.1054072553015</v>
      </c>
      <c r="CJ69" s="249">
        <f t="shared" si="23"/>
        <v>0</v>
      </c>
      <c r="CK69" s="249">
        <f t="shared" si="24"/>
        <v>10924.999999999998</v>
      </c>
    </row>
    <row r="70" spans="1:89" x14ac:dyDescent="0.2">
      <c r="A70" s="264">
        <v>68</v>
      </c>
      <c r="B70" s="265" t="s">
        <v>426</v>
      </c>
      <c r="C70" s="265" t="s">
        <v>427</v>
      </c>
      <c r="D70" s="265" t="s">
        <v>250</v>
      </c>
      <c r="E70" s="265" t="s">
        <v>767</v>
      </c>
      <c r="F70" s="265" t="s">
        <v>281</v>
      </c>
      <c r="G70" s="265" t="s">
        <v>8</v>
      </c>
      <c r="H70" s="265" t="s">
        <v>44</v>
      </c>
      <c r="I70" s="284" t="s">
        <v>691</v>
      </c>
      <c r="J70" s="265" t="s">
        <v>67</v>
      </c>
      <c r="K70" s="265" t="s">
        <v>282</v>
      </c>
      <c r="L70" s="265" t="s">
        <v>255</v>
      </c>
      <c r="M70" s="265" t="str">
        <f t="shared" si="26"/>
        <v>Non-Saudi</v>
      </c>
      <c r="N70" s="266">
        <v>40787</v>
      </c>
      <c r="O70" s="267">
        <v>15.3</v>
      </c>
      <c r="P70" s="268">
        <v>10500</v>
      </c>
      <c r="Q70" s="268">
        <v>2500</v>
      </c>
      <c r="R70" s="268">
        <v>500</v>
      </c>
      <c r="S70" s="268"/>
      <c r="T70" s="268">
        <v>1952</v>
      </c>
      <c r="U70" s="268">
        <v>15452</v>
      </c>
      <c r="V70" s="269">
        <v>1</v>
      </c>
      <c r="W70" s="265" t="s">
        <v>256</v>
      </c>
      <c r="X70" s="265">
        <v>250</v>
      </c>
      <c r="Y70" s="249">
        <f t="shared" ref="Y70:Y133" si="27">IF(AND($D70="Contrat Local",$N70&lt;&gt;""),$P70*$V70,0)</f>
        <v>10500</v>
      </c>
      <c r="Z70" s="249">
        <f t="shared" ref="Z70:Z133" si="28">IF(Y70&gt;0,Y70+($Q70+$R70+IF(ISNUMBER($S70),$S70,0)+IF(ISNUMBER($T70),$T70,0))*$V70,0)</f>
        <v>15452</v>
      </c>
      <c r="AA70" s="249">
        <f>IF(AND(Z70&gt;0,$N70&lt;&gt;""),IF((DATE(Assumptions!$B$4,1,28)-$N70)/365.25&lt;=Assumptions!$B$20,(DATE(Assumptions!$B$4,1,28)-$N70)/365.25*Assumptions!$B$18*Z70,(Assumptions!$B$20*Assumptions!$B$18+((DATE(Assumptions!$B$4,1,28)-$N70)/365.25-Assumptions!$B$20)*Assumptions!$B$19)*Z70),0)</f>
        <v>184022.63791923341</v>
      </c>
      <c r="AB70" s="249">
        <f>IF(Y70&gt;0,IF($M70="Saudi",MIN(Y70+$Q70*$V70,Assumptions!$B$14)*Assumptions!$B$12,MIN(Y70+$Q70*$V70,Assumptions!$B$14)*Assumptions!$B$13),0)</f>
        <v>0</v>
      </c>
      <c r="AC70" s="249">
        <f>IF(AND(Y70&gt;0,$M70="Non-Saudi"),Assumptions!$B$25,0)</f>
        <v>910.41666666666663</v>
      </c>
      <c r="AD70" s="249">
        <f t="shared" ref="AD70:AD133" si="29">IF(AND($D70="Contrat Local",$N70&lt;&gt;""),$P70*$V70,0)</f>
        <v>10500</v>
      </c>
      <c r="AE70" s="249">
        <f t="shared" ref="AE70:AE133" si="30">IF(AD70&gt;0,AD70+($Q70+$R70+IF(ISNUMBER($S70),$S70,0)+IF(ISNUMBER($T70),$T70,0))*$V70,0)</f>
        <v>15452</v>
      </c>
      <c r="AF70" s="249">
        <f>IF(AND(AE70&gt;0,$N70&lt;&gt;""),IF((DATE(Assumptions!$B$4,2,28)-$N70)/365.25&lt;=Assumptions!$B$20,(DATE(Assumptions!$B$4,2,28)-$N70)/365.25*Assumptions!$B$18*AE70,(Assumptions!$B$20*Assumptions!$B$18+((DATE(Assumptions!$B$4,2,28)-$N70)/365.25-Assumptions!$B$20)*Assumptions!$B$19)*AE70),0)</f>
        <v>185334.10130047915</v>
      </c>
      <c r="AG70" s="249">
        <f>IF(AD70&gt;0,IF($M70="Saudi",MIN(AD70+$Q70*$V70,Assumptions!$B$14)*Assumptions!$B$12,MIN(AD70+$Q70*$V70,Assumptions!$B$14)*Assumptions!$B$13),0)</f>
        <v>0</v>
      </c>
      <c r="AH70" s="249">
        <f>IF(AND(AD70&gt;0,$M70="Non-Saudi"),Assumptions!$B$25,0)</f>
        <v>910.41666666666663</v>
      </c>
      <c r="AI70" s="249">
        <f t="shared" ref="AI70:AI133" si="31">IF(AND($D70="Contrat Local",$N70&lt;&gt;""),$P70*$V70,0)</f>
        <v>10500</v>
      </c>
      <c r="AJ70" s="249">
        <f t="shared" ref="AJ70:AJ133" si="32">IF(AI70&gt;0,AI70+($Q70+$R70+IF(ISNUMBER($S70),$S70,0)+IF(ISNUMBER($T70),$T70,0))*$V70,0)</f>
        <v>15452</v>
      </c>
      <c r="AK70" s="249">
        <f>IF(AND(AJ70&gt;0,$N70&lt;&gt;""),IF((DATE(Assumptions!$B$4,3,28)-$N70)/365.25&lt;=Assumptions!$B$20,(DATE(Assumptions!$B$4,3,28)-$N70)/365.25*Assumptions!$B$18*AJ70,(Assumptions!$B$20*Assumptions!$B$18+((DATE(Assumptions!$B$4,3,28)-$N70)/365.25-Assumptions!$B$20)*Assumptions!$B$19)*AJ70),0)</f>
        <v>186518.64887063653</v>
      </c>
      <c r="AL70" s="249">
        <f>IF(AI70&gt;0,IF($M70="Saudi",MIN(AI70+$Q70*$V70,Assumptions!$B$14)*Assumptions!$B$12,MIN(AI70+$Q70*$V70,Assumptions!$B$14)*Assumptions!$B$13),0)</f>
        <v>0</v>
      </c>
      <c r="AM70" s="249">
        <f>IF(AND(AI70&gt;0,$M70="Non-Saudi"),Assumptions!$B$25,0)</f>
        <v>910.41666666666663</v>
      </c>
      <c r="AN70" s="249">
        <f t="shared" ref="AN70:AN133" si="33">IF(AND($D70="Contrat Local",$N70&lt;&gt;""),$P70*$V70,0)</f>
        <v>10500</v>
      </c>
      <c r="AO70" s="249">
        <f t="shared" ref="AO70:AO133" si="34">IF(AN70&gt;0,AN70+($Q70+$R70+IF(ISNUMBER($S70),$S70,0)+IF(ISNUMBER($T70),$T70,0))*$V70,0)</f>
        <v>15452</v>
      </c>
      <c r="AP70" s="249">
        <f>IF(AND(AO70&gt;0,$N70&lt;&gt;""),IF((DATE(Assumptions!$B$4,4,28)-$N70)/365.25&lt;=Assumptions!$B$20,(DATE(Assumptions!$B$4,4,28)-$N70)/365.25*Assumptions!$B$18*AO70,(Assumptions!$B$20*Assumptions!$B$18+((DATE(Assumptions!$B$4,4,28)-$N70)/365.25-Assumptions!$B$20)*Assumptions!$B$19)*AO70),0)</f>
        <v>187830.11225188227</v>
      </c>
      <c r="AQ70" s="249">
        <f>IF(AN70&gt;0,IF($M70="Saudi",MIN(AN70+$Q70*$V70,Assumptions!$B$14)*Assumptions!$B$12,MIN(AN70+$Q70*$V70,Assumptions!$B$14)*Assumptions!$B$13),0)</f>
        <v>0</v>
      </c>
      <c r="AR70" s="249">
        <f>IF(AND(AN70&gt;0,$M70="Non-Saudi"),Assumptions!$B$25,0)</f>
        <v>910.41666666666663</v>
      </c>
      <c r="AS70" s="249">
        <f t="shared" ref="AS70:AS133" si="35">IF(AND($D70="Contrat Local",$N70&lt;&gt;""),$P70*$V70,0)</f>
        <v>10500</v>
      </c>
      <c r="AT70" s="249">
        <f t="shared" ref="AT70:AT133" si="36">IF(AS70&gt;0,AS70+($Q70+$R70+IF(ISNUMBER($S70),$S70,0)+IF(ISNUMBER($T70),$T70,0))*$V70,0)</f>
        <v>15452</v>
      </c>
      <c r="AU70" s="249">
        <f>IF(AND(AT70&gt;0,$N70&lt;&gt;""),IF((DATE(Assumptions!$B$4,5,28)-$N70)/365.25&lt;=Assumptions!$B$20,(DATE(Assumptions!$B$4,5,28)-$N70)/365.25*Assumptions!$B$18*AT70,(Assumptions!$B$20*Assumptions!$B$18+((DATE(Assumptions!$B$4,5,28)-$N70)/365.25-Assumptions!$B$20)*Assumptions!$B$19)*AT70),0)</f>
        <v>189099.27036276524</v>
      </c>
      <c r="AV70" s="249">
        <f>IF(AS70&gt;0,IF($M70="Saudi",MIN(AS70+$Q70*$V70,Assumptions!$B$14)*Assumptions!$B$12,MIN(AS70+$Q70*$V70,Assumptions!$B$14)*Assumptions!$B$13),0)</f>
        <v>0</v>
      </c>
      <c r="AW70" s="249">
        <f>IF(AND(AS70&gt;0,$M70="Non-Saudi"),Assumptions!$B$25,0)</f>
        <v>910.41666666666663</v>
      </c>
      <c r="AX70" s="249">
        <f t="shared" ref="AX70:AX133" si="37">IF(AND($D70="Contrat Local",$N70&lt;&gt;""),$P70*$V70,0)</f>
        <v>10500</v>
      </c>
      <c r="AY70" s="249">
        <f t="shared" ref="AY70:AY133" si="38">IF(AX70&gt;0,AX70+($Q70+$R70+IF(ISNUMBER($S70),$S70,0)+IF(ISNUMBER($T70),$T70,0))*$V70,0)</f>
        <v>15452</v>
      </c>
      <c r="AZ70" s="249">
        <f>IF(AND(AY70&gt;0,$N70&lt;&gt;""),IF((DATE(Assumptions!$B$4,6,28)-$N70)/365.25&lt;=Assumptions!$B$20,(DATE(Assumptions!$B$4,6,28)-$N70)/365.25*Assumptions!$B$18*AY70,(Assumptions!$B$20*Assumptions!$B$18+((DATE(Assumptions!$B$4,6,28)-$N70)/365.25-Assumptions!$B$20)*Assumptions!$B$19)*AY70),0)</f>
        <v>190410.73374401094</v>
      </c>
      <c r="BA70" s="249">
        <f>IF(AX70&gt;0,IF($M70="Saudi",MIN(AX70+$Q70*$V70,Assumptions!$B$14)*Assumptions!$B$12,MIN(AX70+$Q70*$V70,Assumptions!$B$14)*Assumptions!$B$13),0)</f>
        <v>0</v>
      </c>
      <c r="BB70" s="249">
        <f>IF(AND(AX70&gt;0,$M70="Non-Saudi"),Assumptions!$B$25,0)</f>
        <v>910.41666666666663</v>
      </c>
      <c r="BC70" s="249">
        <f t="shared" ref="BC70:BC133" si="39">IF(AND($D70="Contrat Local",$N70&lt;&gt;""),$P70*$V70,0)</f>
        <v>10500</v>
      </c>
      <c r="BD70" s="249">
        <f t="shared" ref="BD70:BD133" si="40">IF(BC70&gt;0,BC70+($Q70+$R70+IF(ISNUMBER($S70),$S70,0)+IF(ISNUMBER($T70),$T70,0))*$V70,0)</f>
        <v>15452</v>
      </c>
      <c r="BE70" s="249">
        <f>IF(AND(BD70&gt;0,$N70&lt;&gt;""),IF((DATE(Assumptions!$B$4,7,28)-$N70)/365.25&lt;=Assumptions!$B$20,(DATE(Assumptions!$B$4,7,28)-$N70)/365.25*Assumptions!$B$18*BD70,(Assumptions!$B$20*Assumptions!$B$18+((DATE(Assumptions!$B$4,7,28)-$N70)/365.25-Assumptions!$B$20)*Assumptions!$B$19)*BD70),0)</f>
        <v>191679.89185489388</v>
      </c>
      <c r="BF70" s="249">
        <f>IF(BC70&gt;0,IF($M70="Saudi",MIN(BC70+$Q70*$V70,Assumptions!$B$14)*Assumptions!$B$12,MIN(BC70+$Q70*$V70,Assumptions!$B$14)*Assumptions!$B$13),0)</f>
        <v>0</v>
      </c>
      <c r="BG70" s="249">
        <f>IF(AND(BC70&gt;0,$M70="Non-Saudi"),Assumptions!$B$25,0)</f>
        <v>910.41666666666663</v>
      </c>
      <c r="BH70" s="249">
        <f t="shared" ref="BH70:BH133" si="41">IF(AND($D70="Contrat Local",$N70&lt;&gt;""),$P70*$V70,0)</f>
        <v>10500</v>
      </c>
      <c r="BI70" s="249">
        <f t="shared" ref="BI70:BI133" si="42">IF(BH70&gt;0,BH70+($Q70+$R70+IF(ISNUMBER($S70),$S70,0)+IF(ISNUMBER($T70),$T70,0))*$V70,0)</f>
        <v>15452</v>
      </c>
      <c r="BJ70" s="249">
        <f>IF(AND(BI70&gt;0,$N70&lt;&gt;""),IF((DATE(Assumptions!$B$4,8,28)-$N70)/365.25&lt;=Assumptions!$B$20,(DATE(Assumptions!$B$4,8,28)-$N70)/365.25*Assumptions!$B$18*BI70,(Assumptions!$B$20*Assumptions!$B$18+((DATE(Assumptions!$B$4,8,28)-$N70)/365.25-Assumptions!$B$20)*Assumptions!$B$19)*BI70),0)</f>
        <v>192991.35523613964</v>
      </c>
      <c r="BK70" s="249">
        <f>IF(BH70&gt;0,IF($M70="Saudi",MIN(BH70+$Q70*$V70,Assumptions!$B$14)*Assumptions!$B$12,MIN(BH70+$Q70*$V70,Assumptions!$B$14)*Assumptions!$B$13),0)</f>
        <v>0</v>
      </c>
      <c r="BL70" s="249">
        <f>IF(AND(BH70&gt;0,$M70="Non-Saudi"),Assumptions!$B$25,0)</f>
        <v>910.41666666666663</v>
      </c>
      <c r="BM70" s="249">
        <f>IF(AND($D70="Contrat Local",$N70&lt;&gt;""),IF(AND(9&gt;=Assumptions!$B$5,ISNUMBER($X70),$N70&lt;EDATE(Assumptions!$B$9,-Assumptions!$B$6*12)),($P70+$X70)*$V70,$P70*$V70),0)</f>
        <v>10750</v>
      </c>
      <c r="BN70" s="249">
        <f t="shared" ref="BN70:BN133" si="43">IF(BM70&gt;0,BM70+($Q70+$R70+IF(ISNUMBER($S70),$S70,0)+IF(ISNUMBER($T70),$T70,0))*$V70,0)</f>
        <v>15702</v>
      </c>
      <c r="BO70" s="249">
        <f>IF(AND(BN70&gt;0,$N70&lt;&gt;""),IF((DATE(Assumptions!$B$4,9,28)-$N70)/365.25&lt;=Assumptions!$B$20,(DATE(Assumptions!$B$4,9,28)-$N70)/365.25*Assumptions!$B$18*BN70,(Assumptions!$B$20*Assumptions!$B$18+((DATE(Assumptions!$B$4,9,28)-$N70)/365.25-Assumptions!$B$20)*Assumptions!$B$19)*BN70),0)</f>
        <v>197446.4702258727</v>
      </c>
      <c r="BP70" s="249">
        <f>IF(BM70&gt;0,IF($M70="Saudi",MIN(BM70+$Q70*$V70,Assumptions!$B$14)*Assumptions!$B$12,MIN(BM70+$Q70*$V70,Assumptions!$B$14)*Assumptions!$B$13),0)</f>
        <v>0</v>
      </c>
      <c r="BQ70" s="249">
        <f>IF(AND(BM70&gt;0,$M70="Non-Saudi"),Assumptions!$B$25,0)</f>
        <v>910.41666666666663</v>
      </c>
      <c r="BR70" s="249">
        <f>IF(AND($D70="Contrat Local",$N70&lt;&gt;""),IF(AND(10&gt;=Assumptions!$B$5,ISNUMBER($X70),$N70&lt;EDATE(Assumptions!$B$9,-Assumptions!$B$6*12)),($P70+$X70)*$V70,$P70*$V70),0)</f>
        <v>10750</v>
      </c>
      <c r="BS70" s="249">
        <f t="shared" ref="BS70:BS133" si="44">IF(BR70&gt;0,BR70+($Q70+$R70+IF(ISNUMBER($S70),$S70,0)+IF(ISNUMBER($T70),$T70,0))*$V70,0)</f>
        <v>15702</v>
      </c>
      <c r="BT70" s="249">
        <f>IF(AND(BS70&gt;0,$N70&lt;&gt;""),IF((DATE(Assumptions!$B$4,10,28)-$N70)/365.25&lt;=Assumptions!$B$20,(DATE(Assumptions!$B$4,10,28)-$N70)/365.25*Assumptions!$B$18*BS70,(Assumptions!$B$20*Assumptions!$B$18+((DATE(Assumptions!$B$4,10,28)-$N70)/365.25-Assumptions!$B$20)*Assumptions!$B$19)*BS70),0)</f>
        <v>198736.16221765912</v>
      </c>
      <c r="BU70" s="249">
        <f>IF(BR70&gt;0,IF($M70="Saudi",MIN(BR70+$Q70*$V70,Assumptions!$B$14)*Assumptions!$B$12,MIN(BR70+$Q70*$V70,Assumptions!$B$14)*Assumptions!$B$13),0)</f>
        <v>0</v>
      </c>
      <c r="BV70" s="249">
        <f>IF(AND(BR70&gt;0,$M70="Non-Saudi"),Assumptions!$B$25,0)</f>
        <v>910.41666666666663</v>
      </c>
      <c r="BW70" s="249">
        <f>IF(AND($D70="Contrat Local",$N70&lt;&gt;""),IF(AND(11&gt;=Assumptions!$B$5,ISNUMBER($X70),$N70&lt;EDATE(Assumptions!$B$9,-Assumptions!$B$6*12)),($P70+$X70)*$V70,$P70*$V70),0)</f>
        <v>10750</v>
      </c>
      <c r="BX70" s="249">
        <f t="shared" ref="BX70:BX133" si="45">IF(BW70&gt;0,BW70+($Q70+$R70+IF(ISNUMBER($S70),$S70,0)+IF(ISNUMBER($T70),$T70,0))*$V70,0)</f>
        <v>15702</v>
      </c>
      <c r="BY70" s="249">
        <f>IF(AND(BX70&gt;0,$N70&lt;&gt;""),IF((DATE(Assumptions!$B$4,11,28)-$N70)/365.25&lt;=Assumptions!$B$20,(DATE(Assumptions!$B$4,11,28)-$N70)/365.25*Assumptions!$B$18*BX70,(Assumptions!$B$20*Assumptions!$B$18+((DATE(Assumptions!$B$4,11,28)-$N70)/365.25-Assumptions!$B$20)*Assumptions!$B$19)*BX70),0)</f>
        <v>200068.84394250513</v>
      </c>
      <c r="BZ70" s="249">
        <f>IF(BW70&gt;0,IF($M70="Saudi",MIN(BW70+$Q70*$V70,Assumptions!$B$14)*Assumptions!$B$12,MIN(BW70+$Q70*$V70,Assumptions!$B$14)*Assumptions!$B$13),0)</f>
        <v>0</v>
      </c>
      <c r="CA70" s="249">
        <f>IF(AND(BW70&gt;0,$M70="Non-Saudi"),Assumptions!$B$25,0)</f>
        <v>910.41666666666663</v>
      </c>
      <c r="CB70" s="249">
        <f>IF(AND($D70="Contrat Local",$N70&lt;&gt;""),IF(AND(12&gt;=Assumptions!$B$5,ISNUMBER($X70),$N70&lt;EDATE(Assumptions!$B$9,-Assumptions!$B$6*12)),($P70+$X70)*$V70,$P70*$V70),0)</f>
        <v>10750</v>
      </c>
      <c r="CC70" s="249">
        <f t="shared" ref="CC70:CC133" si="46">IF(CB70&gt;0,CB70+($Q70+$R70+IF(ISNUMBER($S70),$S70,0)+IF(ISNUMBER($T70),$T70,0))*$V70,0)</f>
        <v>15702</v>
      </c>
      <c r="CD70" s="249">
        <f>IF(AND(CC70&gt;0,$N70&lt;&gt;""),IF((DATE(Assumptions!$B$4,12,28)-$N70)/365.25&lt;=Assumptions!$B$20,(DATE(Assumptions!$B$4,12,28)-$N70)/365.25*Assumptions!$B$18*CC70,(Assumptions!$B$20*Assumptions!$B$18+((DATE(Assumptions!$B$4,12,28)-$N70)/365.25-Assumptions!$B$20)*Assumptions!$B$19)*CC70),0)</f>
        <v>201358.53593429158</v>
      </c>
      <c r="CE70" s="249">
        <f>IF(CB70&gt;0,IF($M70="Saudi",MIN(CB70+$Q70*$V70,Assumptions!$B$14)*Assumptions!$B$12,MIN(CB70+$Q70*$V70,Assumptions!$B$14)*Assumptions!$B$13),0)</f>
        <v>0</v>
      </c>
      <c r="CF70" s="249">
        <f>IF(AND(CB70&gt;0,$M70="Non-Saudi"),Assumptions!$B$25,0)</f>
        <v>910.41666666666663</v>
      </c>
      <c r="CG70" s="249">
        <f t="shared" ref="CG70:CG133" si="47">Y70+AD70+AI70+AN70+AS70+AX70+BC70+BH70+BM70+BR70+BW70+CB70</f>
        <v>127000</v>
      </c>
      <c r="CH70" s="249">
        <f t="shared" ref="CH70:CH133" si="48">Z70+AE70+AJ70+AO70+AT70+AY70+BD70+BI70+BN70+BS70+BX70+CC70</f>
        <v>186424</v>
      </c>
      <c r="CI70" s="249">
        <f>CD70-IF(AND(Z70&gt;0,$N70&lt;&gt;""),IF((DATE(Assumptions!$B$4-1,12,28)-$N70)/365.25&lt;=Assumptions!$B$20,(DATE(Assumptions!$B$4-1,12,28)-$N70)/365.25*Assumptions!$B$18*Z70,(Assumptions!$B$20*Assumptions!$B$18+((DATE(Assumptions!$B$4-1,12,28)-$N70)/365.25-Assumptions!$B$20)*Assumptions!$B$19)*Z70),0)</f>
        <v>18647.361396303924</v>
      </c>
      <c r="CJ70" s="249">
        <f t="shared" ref="CJ70:CJ133" si="49">AB70+AG70+AL70+AQ70+AV70+BA70+BF70+BK70+BP70+BU70+BZ70+CE70</f>
        <v>0</v>
      </c>
      <c r="CK70" s="249">
        <f t="shared" ref="CK70:CK133" si="50">AC70+AH70+AM70+AR70+AW70+BB70+BG70+BL70+BQ70+BV70+CA70+CF70</f>
        <v>10924.999999999998</v>
      </c>
    </row>
    <row r="71" spans="1:89" x14ac:dyDescent="0.2">
      <c r="A71" s="276">
        <v>69</v>
      </c>
      <c r="B71" s="277" t="s">
        <v>428</v>
      </c>
      <c r="C71" s="277" t="s">
        <v>429</v>
      </c>
      <c r="D71" s="277" t="s">
        <v>250</v>
      </c>
      <c r="E71" s="277" t="s">
        <v>767</v>
      </c>
      <c r="F71" s="277" t="s">
        <v>302</v>
      </c>
      <c r="G71" s="277" t="s">
        <v>303</v>
      </c>
      <c r="H71" s="277" t="s">
        <v>341</v>
      </c>
      <c r="I71" s="287" t="s">
        <v>691</v>
      </c>
      <c r="J71" s="277" t="s">
        <v>104</v>
      </c>
      <c r="K71" s="277" t="s">
        <v>254</v>
      </c>
      <c r="L71" s="277" t="s">
        <v>255</v>
      </c>
      <c r="M71" s="277" t="str">
        <f t="shared" si="26"/>
        <v>Non-Saudi</v>
      </c>
      <c r="N71" s="278">
        <v>44805</v>
      </c>
      <c r="O71" s="279">
        <v>4.3</v>
      </c>
      <c r="P71" s="280">
        <v>9750</v>
      </c>
      <c r="Q71" s="280">
        <v>2500</v>
      </c>
      <c r="R71" s="280">
        <v>500</v>
      </c>
      <c r="S71" s="280"/>
      <c r="T71" s="280">
        <v>1100</v>
      </c>
      <c r="U71" s="280">
        <v>13850</v>
      </c>
      <c r="V71" s="281">
        <v>1</v>
      </c>
      <c r="W71" s="277" t="s">
        <v>256</v>
      </c>
      <c r="X71" s="277">
        <v>250</v>
      </c>
      <c r="Y71" s="249">
        <f t="shared" si="27"/>
        <v>9750</v>
      </c>
      <c r="Z71" s="249">
        <f t="shared" si="28"/>
        <v>13850</v>
      </c>
      <c r="AA71" s="249">
        <f>IF(AND(Z71&gt;0,$N71&lt;&gt;""),IF((DATE(Assumptions!$B$4,1,28)-$N71)/365.25&lt;=Assumptions!$B$20,(DATE(Assumptions!$B$4,1,28)-$N71)/365.25*Assumptions!$B$18*Z71,(Assumptions!$B$20*Assumptions!$B$18+((DATE(Assumptions!$B$4,1,28)-$N71)/365.25-Assumptions!$B$20)*Assumptions!$B$19)*Z71),0)</f>
        <v>23604.722792607805</v>
      </c>
      <c r="AB71" s="249">
        <f>IF(Y71&gt;0,IF($M71="Saudi",MIN(Y71+$Q71*$V71,Assumptions!$B$14)*Assumptions!$B$12,MIN(Y71+$Q71*$V71,Assumptions!$B$14)*Assumptions!$B$13),0)</f>
        <v>0</v>
      </c>
      <c r="AC71" s="249">
        <f>IF(AND(Y71&gt;0,$M71="Non-Saudi"),Assumptions!$B$25,0)</f>
        <v>910.41666666666663</v>
      </c>
      <c r="AD71" s="249">
        <f t="shared" si="29"/>
        <v>9750</v>
      </c>
      <c r="AE71" s="249">
        <f t="shared" si="30"/>
        <v>13850</v>
      </c>
      <c r="AF71" s="249">
        <f>IF(AND(AE71&gt;0,$N71&lt;&gt;""),IF((DATE(Assumptions!$B$4,2,28)-$N71)/365.25&lt;=Assumptions!$B$20,(DATE(Assumptions!$B$4,2,28)-$N71)/365.25*Assumptions!$B$18*AE71,(Assumptions!$B$20*Assumptions!$B$18+((DATE(Assumptions!$B$4,2,28)-$N71)/365.25-Assumptions!$B$20)*Assumptions!$B$19)*AE71),0)</f>
        <v>24192.470910335385</v>
      </c>
      <c r="AG71" s="249">
        <f>IF(AD71&gt;0,IF($M71="Saudi",MIN(AD71+$Q71*$V71,Assumptions!$B$14)*Assumptions!$B$12,MIN(AD71+$Q71*$V71,Assumptions!$B$14)*Assumptions!$B$13),0)</f>
        <v>0</v>
      </c>
      <c r="AH71" s="249">
        <f>IF(AND(AD71&gt;0,$M71="Non-Saudi"),Assumptions!$B$25,0)</f>
        <v>910.41666666666663</v>
      </c>
      <c r="AI71" s="249">
        <f t="shared" si="31"/>
        <v>9750</v>
      </c>
      <c r="AJ71" s="249">
        <f t="shared" si="32"/>
        <v>13850</v>
      </c>
      <c r="AK71" s="249">
        <f>IF(AND(AJ71&gt;0,$N71&lt;&gt;""),IF((DATE(Assumptions!$B$4,3,28)-$N71)/365.25&lt;=Assumptions!$B$20,(DATE(Assumptions!$B$4,3,28)-$N71)/365.25*Assumptions!$B$18*AJ71,(Assumptions!$B$20*Assumptions!$B$18+((DATE(Assumptions!$B$4,3,28)-$N71)/365.25-Assumptions!$B$20)*Assumptions!$B$19)*AJ71),0)</f>
        <v>24723.340177960301</v>
      </c>
      <c r="AL71" s="249">
        <f>IF(AI71&gt;0,IF($M71="Saudi",MIN(AI71+$Q71*$V71,Assumptions!$B$14)*Assumptions!$B$12,MIN(AI71+$Q71*$V71,Assumptions!$B$14)*Assumptions!$B$13),0)</f>
        <v>0</v>
      </c>
      <c r="AM71" s="249">
        <f>IF(AND(AI71&gt;0,$M71="Non-Saudi"),Assumptions!$B$25,0)</f>
        <v>910.41666666666663</v>
      </c>
      <c r="AN71" s="249">
        <f t="shared" si="33"/>
        <v>9750</v>
      </c>
      <c r="AO71" s="249">
        <f t="shared" si="34"/>
        <v>13850</v>
      </c>
      <c r="AP71" s="249">
        <f>IF(AND(AO71&gt;0,$N71&lt;&gt;""),IF((DATE(Assumptions!$B$4,4,28)-$N71)/365.25&lt;=Assumptions!$B$20,(DATE(Assumptions!$B$4,4,28)-$N71)/365.25*Assumptions!$B$18*AO71,(Assumptions!$B$20*Assumptions!$B$18+((DATE(Assumptions!$B$4,4,28)-$N71)/365.25-Assumptions!$B$20)*Assumptions!$B$19)*AO71),0)</f>
        <v>25311.088295687885</v>
      </c>
      <c r="AQ71" s="249">
        <f>IF(AN71&gt;0,IF($M71="Saudi",MIN(AN71+$Q71*$V71,Assumptions!$B$14)*Assumptions!$B$12,MIN(AN71+$Q71*$V71,Assumptions!$B$14)*Assumptions!$B$13),0)</f>
        <v>0</v>
      </c>
      <c r="AR71" s="249">
        <f>IF(AND(AN71&gt;0,$M71="Non-Saudi"),Assumptions!$B$25,0)</f>
        <v>910.41666666666663</v>
      </c>
      <c r="AS71" s="249">
        <f t="shared" si="35"/>
        <v>9750</v>
      </c>
      <c r="AT71" s="249">
        <f t="shared" si="36"/>
        <v>13850</v>
      </c>
      <c r="AU71" s="249">
        <f>IF(AND(AT71&gt;0,$N71&lt;&gt;""),IF((DATE(Assumptions!$B$4,5,28)-$N71)/365.25&lt;=Assumptions!$B$20,(DATE(Assumptions!$B$4,5,28)-$N71)/365.25*Assumptions!$B$18*AT71,(Assumptions!$B$20*Assumptions!$B$18+((DATE(Assumptions!$B$4,5,28)-$N71)/365.25-Assumptions!$B$20)*Assumptions!$B$19)*AT71),0)</f>
        <v>25879.87679671458</v>
      </c>
      <c r="AV71" s="249">
        <f>IF(AS71&gt;0,IF($M71="Saudi",MIN(AS71+$Q71*$V71,Assumptions!$B$14)*Assumptions!$B$12,MIN(AS71+$Q71*$V71,Assumptions!$B$14)*Assumptions!$B$13),0)</f>
        <v>0</v>
      </c>
      <c r="AW71" s="249">
        <f>IF(AND(AS71&gt;0,$M71="Non-Saudi"),Assumptions!$B$25,0)</f>
        <v>910.41666666666663</v>
      </c>
      <c r="AX71" s="249">
        <f t="shared" si="37"/>
        <v>9750</v>
      </c>
      <c r="AY71" s="249">
        <f t="shared" si="38"/>
        <v>13850</v>
      </c>
      <c r="AZ71" s="249">
        <f>IF(AND(AY71&gt;0,$N71&lt;&gt;""),IF((DATE(Assumptions!$B$4,6,28)-$N71)/365.25&lt;=Assumptions!$B$20,(DATE(Assumptions!$B$4,6,28)-$N71)/365.25*Assumptions!$B$18*AY71,(Assumptions!$B$20*Assumptions!$B$18+((DATE(Assumptions!$B$4,6,28)-$N71)/365.25-Assumptions!$B$20)*Assumptions!$B$19)*AY71),0)</f>
        <v>26467.624914442164</v>
      </c>
      <c r="BA71" s="249">
        <f>IF(AX71&gt;0,IF($M71="Saudi",MIN(AX71+$Q71*$V71,Assumptions!$B$14)*Assumptions!$B$12,MIN(AX71+$Q71*$V71,Assumptions!$B$14)*Assumptions!$B$13),0)</f>
        <v>0</v>
      </c>
      <c r="BB71" s="249">
        <f>IF(AND(AX71&gt;0,$M71="Non-Saudi"),Assumptions!$B$25,0)</f>
        <v>910.41666666666663</v>
      </c>
      <c r="BC71" s="249">
        <f t="shared" si="39"/>
        <v>9750</v>
      </c>
      <c r="BD71" s="249">
        <f t="shared" si="40"/>
        <v>13850</v>
      </c>
      <c r="BE71" s="249">
        <f>IF(AND(BD71&gt;0,$N71&lt;&gt;""),IF((DATE(Assumptions!$B$4,7,28)-$N71)/365.25&lt;=Assumptions!$B$20,(DATE(Assumptions!$B$4,7,28)-$N71)/365.25*Assumptions!$B$18*BD71,(Assumptions!$B$20*Assumptions!$B$18+((DATE(Assumptions!$B$4,7,28)-$N71)/365.25-Assumptions!$B$20)*Assumptions!$B$19)*BD71),0)</f>
        <v>27036.413415468855</v>
      </c>
      <c r="BF71" s="249">
        <f>IF(BC71&gt;0,IF($M71="Saudi",MIN(BC71+$Q71*$V71,Assumptions!$B$14)*Assumptions!$B$12,MIN(BC71+$Q71*$V71,Assumptions!$B$14)*Assumptions!$B$13),0)</f>
        <v>0</v>
      </c>
      <c r="BG71" s="249">
        <f>IF(AND(BC71&gt;0,$M71="Non-Saudi"),Assumptions!$B$25,0)</f>
        <v>910.41666666666663</v>
      </c>
      <c r="BH71" s="249">
        <f t="shared" si="41"/>
        <v>9750</v>
      </c>
      <c r="BI71" s="249">
        <f t="shared" si="42"/>
        <v>13850</v>
      </c>
      <c r="BJ71" s="249">
        <f>IF(AND(BI71&gt;0,$N71&lt;&gt;""),IF((DATE(Assumptions!$B$4,8,28)-$N71)/365.25&lt;=Assumptions!$B$20,(DATE(Assumptions!$B$4,8,28)-$N71)/365.25*Assumptions!$B$18*BI71,(Assumptions!$B$20*Assumptions!$B$18+((DATE(Assumptions!$B$4,8,28)-$N71)/365.25-Assumptions!$B$20)*Assumptions!$B$19)*BI71),0)</f>
        <v>27624.161533196442</v>
      </c>
      <c r="BK71" s="249">
        <f>IF(BH71&gt;0,IF($M71="Saudi",MIN(BH71+$Q71*$V71,Assumptions!$B$14)*Assumptions!$B$12,MIN(BH71+$Q71*$V71,Assumptions!$B$14)*Assumptions!$B$13),0)</f>
        <v>0</v>
      </c>
      <c r="BL71" s="249">
        <f>IF(AND(BH71&gt;0,$M71="Non-Saudi"),Assumptions!$B$25,0)</f>
        <v>910.41666666666663</v>
      </c>
      <c r="BM71" s="249">
        <f>IF(AND($D71="Contrat Local",$N71&lt;&gt;""),IF(AND(9&gt;=Assumptions!$B$5,ISNUMBER($X71),$N71&lt;EDATE(Assumptions!$B$9,-Assumptions!$B$6*12)),($P71+$X71)*$V71,$P71*$V71),0)</f>
        <v>10000</v>
      </c>
      <c r="BN71" s="249">
        <f t="shared" si="43"/>
        <v>14100</v>
      </c>
      <c r="BO71" s="249">
        <f>IF(AND(BN71&gt;0,$N71&lt;&gt;""),IF((DATE(Assumptions!$B$4,9,28)-$N71)/365.25&lt;=Assumptions!$B$20,(DATE(Assumptions!$B$4,9,28)-$N71)/365.25*Assumptions!$B$18*BN71,(Assumptions!$B$20*Assumptions!$B$18+((DATE(Assumptions!$B$4,9,28)-$N71)/365.25-Assumptions!$B$20)*Assumptions!$B$19)*BN71),0)</f>
        <v>28721.149897330597</v>
      </c>
      <c r="BP71" s="249">
        <f>IF(BM71&gt;0,IF($M71="Saudi",MIN(BM71+$Q71*$V71,Assumptions!$B$14)*Assumptions!$B$12,MIN(BM71+$Q71*$V71,Assumptions!$B$14)*Assumptions!$B$13),0)</f>
        <v>0</v>
      </c>
      <c r="BQ71" s="249">
        <f>IF(AND(BM71&gt;0,$M71="Non-Saudi"),Assumptions!$B$25,0)</f>
        <v>910.41666666666663</v>
      </c>
      <c r="BR71" s="249">
        <f>IF(AND($D71="Contrat Local",$N71&lt;&gt;""),IF(AND(10&gt;=Assumptions!$B$5,ISNUMBER($X71),$N71&lt;EDATE(Assumptions!$B$9,-Assumptions!$B$6*12)),($P71+$X71)*$V71,$P71*$V71),0)</f>
        <v>10000</v>
      </c>
      <c r="BS71" s="249">
        <f t="shared" si="44"/>
        <v>14100</v>
      </c>
      <c r="BT71" s="249">
        <f>IF(AND(BS71&gt;0,$N71&lt;&gt;""),IF((DATE(Assumptions!$B$4,10,28)-$N71)/365.25&lt;=Assumptions!$B$20,(DATE(Assumptions!$B$4,10,28)-$N71)/365.25*Assumptions!$B$18*BS71,(Assumptions!$B$20*Assumptions!$B$18+((DATE(Assumptions!$B$4,10,28)-$N71)/365.25-Assumptions!$B$20)*Assumptions!$B$19)*BS71),0)</f>
        <v>29300.205338809035</v>
      </c>
      <c r="BU71" s="249">
        <f>IF(BR71&gt;0,IF($M71="Saudi",MIN(BR71+$Q71*$V71,Assumptions!$B$14)*Assumptions!$B$12,MIN(BR71+$Q71*$V71,Assumptions!$B$14)*Assumptions!$B$13),0)</f>
        <v>0</v>
      </c>
      <c r="BV71" s="249">
        <f>IF(AND(BR71&gt;0,$M71="Non-Saudi"),Assumptions!$B$25,0)</f>
        <v>910.41666666666663</v>
      </c>
      <c r="BW71" s="249">
        <f>IF(AND($D71="Contrat Local",$N71&lt;&gt;""),IF(AND(11&gt;=Assumptions!$B$5,ISNUMBER($X71),$N71&lt;EDATE(Assumptions!$B$9,-Assumptions!$B$6*12)),($P71+$X71)*$V71,$P71*$V71),0)</f>
        <v>10000</v>
      </c>
      <c r="BX71" s="249">
        <f t="shared" si="45"/>
        <v>14100</v>
      </c>
      <c r="BY71" s="249">
        <f>IF(AND(BX71&gt;0,$N71&lt;&gt;""),IF((DATE(Assumptions!$B$4,11,28)-$N71)/365.25&lt;=Assumptions!$B$20,(DATE(Assumptions!$B$4,11,28)-$N71)/365.25*Assumptions!$B$18*BX71,(Assumptions!$B$20*Assumptions!$B$18+((DATE(Assumptions!$B$4,11,28)-$N71)/365.25-Assumptions!$B$20)*Assumptions!$B$19)*BX71),0)</f>
        <v>29898.562628336753</v>
      </c>
      <c r="BZ71" s="249">
        <f>IF(BW71&gt;0,IF($M71="Saudi",MIN(BW71+$Q71*$V71,Assumptions!$B$14)*Assumptions!$B$12,MIN(BW71+$Q71*$V71,Assumptions!$B$14)*Assumptions!$B$13),0)</f>
        <v>0</v>
      </c>
      <c r="CA71" s="249">
        <f>IF(AND(BW71&gt;0,$M71="Non-Saudi"),Assumptions!$B$25,0)</f>
        <v>910.41666666666663</v>
      </c>
      <c r="CB71" s="249">
        <f>IF(AND($D71="Contrat Local",$N71&lt;&gt;""),IF(AND(12&gt;=Assumptions!$B$5,ISNUMBER($X71),$N71&lt;EDATE(Assumptions!$B$9,-Assumptions!$B$6*12)),($P71+$X71)*$V71,$P71*$V71),0)</f>
        <v>10000</v>
      </c>
      <c r="CC71" s="249">
        <f t="shared" si="46"/>
        <v>14100</v>
      </c>
      <c r="CD71" s="249">
        <f>IF(AND(CC71&gt;0,$N71&lt;&gt;""),IF((DATE(Assumptions!$B$4,12,28)-$N71)/365.25&lt;=Assumptions!$B$20,(DATE(Assumptions!$B$4,12,28)-$N71)/365.25*Assumptions!$B$18*CC71,(Assumptions!$B$20*Assumptions!$B$18+((DATE(Assumptions!$B$4,12,28)-$N71)/365.25-Assumptions!$B$20)*Assumptions!$B$19)*CC71),0)</f>
        <v>30477.618069815191</v>
      </c>
      <c r="CE71" s="249">
        <f>IF(CB71&gt;0,IF($M71="Saudi",MIN(CB71+$Q71*$V71,Assumptions!$B$14)*Assumptions!$B$12,MIN(CB71+$Q71*$V71,Assumptions!$B$14)*Assumptions!$B$13),0)</f>
        <v>0</v>
      </c>
      <c r="CF71" s="249">
        <f>IF(AND(CB71&gt;0,$M71="Non-Saudi"),Assumptions!$B$25,0)</f>
        <v>910.41666666666663</v>
      </c>
      <c r="CG71" s="249">
        <f t="shared" si="47"/>
        <v>118000</v>
      </c>
      <c r="CH71" s="249">
        <f t="shared" si="48"/>
        <v>167200</v>
      </c>
      <c r="CI71" s="249">
        <f>CD71-IF(AND(Z71&gt;0,$N71&lt;&gt;""),IF((DATE(Assumptions!$B$4-1,12,28)-$N71)/365.25&lt;=Assumptions!$B$20,(DATE(Assumptions!$B$4-1,12,28)-$N71)/365.25*Assumptions!$B$18*Z71,(Assumptions!$B$20*Assumptions!$B$18+((DATE(Assumptions!$B$4-1,12,28)-$N71)/365.25-Assumptions!$B$20)*Assumptions!$B$19)*Z71),0)</f>
        <v>7460.6433949349739</v>
      </c>
      <c r="CJ71" s="249">
        <f t="shared" si="49"/>
        <v>0</v>
      </c>
      <c r="CK71" s="249">
        <f t="shared" si="50"/>
        <v>10924.999999999998</v>
      </c>
    </row>
    <row r="72" spans="1:89" x14ac:dyDescent="0.2">
      <c r="A72" s="276">
        <v>70</v>
      </c>
      <c r="B72" s="277" t="s">
        <v>430</v>
      </c>
      <c r="C72" s="277" t="s">
        <v>431</v>
      </c>
      <c r="D72" s="277" t="s">
        <v>250</v>
      </c>
      <c r="E72" s="277" t="s">
        <v>767</v>
      </c>
      <c r="F72" s="277" t="s">
        <v>302</v>
      </c>
      <c r="G72" s="277" t="s">
        <v>303</v>
      </c>
      <c r="H72" s="277" t="s">
        <v>307</v>
      </c>
      <c r="I72" s="287" t="s">
        <v>691</v>
      </c>
      <c r="J72" s="286" t="s">
        <v>307</v>
      </c>
      <c r="K72" s="277" t="s">
        <v>254</v>
      </c>
      <c r="L72" s="277" t="s">
        <v>255</v>
      </c>
      <c r="M72" s="277" t="str">
        <f t="shared" si="26"/>
        <v>Non-Saudi</v>
      </c>
      <c r="N72" s="278">
        <v>45536</v>
      </c>
      <c r="O72" s="279">
        <v>2.2999999999999998</v>
      </c>
      <c r="P72" s="280">
        <v>9250</v>
      </c>
      <c r="Q72" s="280">
        <v>2500</v>
      </c>
      <c r="R72" s="280">
        <v>500</v>
      </c>
      <c r="S72" s="280"/>
      <c r="T72" s="280"/>
      <c r="U72" s="280">
        <v>12250</v>
      </c>
      <c r="V72" s="281">
        <v>1</v>
      </c>
      <c r="W72" s="277" t="s">
        <v>259</v>
      </c>
      <c r="X72" s="277" t="s">
        <v>268</v>
      </c>
      <c r="Y72" s="249">
        <f t="shared" si="27"/>
        <v>9250</v>
      </c>
      <c r="Z72" s="249">
        <f t="shared" si="28"/>
        <v>12250</v>
      </c>
      <c r="AA72" s="249">
        <f>IF(AND(Z72&gt;0,$N72&lt;&gt;""),IF((DATE(Assumptions!$B$4,1,28)-$N72)/365.25&lt;=Assumptions!$B$20,(DATE(Assumptions!$B$4,1,28)-$N72)/365.25*Assumptions!$B$18*Z72,(Assumptions!$B$20*Assumptions!$B$18+((DATE(Assumptions!$B$4,1,28)-$N72)/365.25-Assumptions!$B$20)*Assumptions!$B$19)*Z72),0)</f>
        <v>8619.4387405886373</v>
      </c>
      <c r="AB72" s="249">
        <f>IF(Y72&gt;0,IF($M72="Saudi",MIN(Y72+$Q72*$V72,Assumptions!$B$14)*Assumptions!$B$12,MIN(Y72+$Q72*$V72,Assumptions!$B$14)*Assumptions!$B$13),0)</f>
        <v>0</v>
      </c>
      <c r="AC72" s="249">
        <f>IF(AND(Y72&gt;0,$M72="Non-Saudi"),Assumptions!$B$25,0)</f>
        <v>910.41666666666663</v>
      </c>
      <c r="AD72" s="249">
        <f t="shared" si="29"/>
        <v>9250</v>
      </c>
      <c r="AE72" s="249">
        <f t="shared" si="30"/>
        <v>12250</v>
      </c>
      <c r="AF72" s="249">
        <f>IF(AND(AE72&gt;0,$N72&lt;&gt;""),IF((DATE(Assumptions!$B$4,2,28)-$N72)/365.25&lt;=Assumptions!$B$20,(DATE(Assumptions!$B$4,2,28)-$N72)/365.25*Assumptions!$B$18*AE72,(Assumptions!$B$20*Assumptions!$B$18+((DATE(Assumptions!$B$4,2,28)-$N72)/365.25-Assumptions!$B$20)*Assumptions!$B$19)*AE72),0)</f>
        <v>9139.2881587953452</v>
      </c>
      <c r="AG72" s="249">
        <f>IF(AD72&gt;0,IF($M72="Saudi",MIN(AD72+$Q72*$V72,Assumptions!$B$14)*Assumptions!$B$12,MIN(AD72+$Q72*$V72,Assumptions!$B$14)*Assumptions!$B$13),0)</f>
        <v>0</v>
      </c>
      <c r="AH72" s="249">
        <f>IF(AND(AD72&gt;0,$M72="Non-Saudi"),Assumptions!$B$25,0)</f>
        <v>910.41666666666663</v>
      </c>
      <c r="AI72" s="249">
        <f t="shared" si="31"/>
        <v>9250</v>
      </c>
      <c r="AJ72" s="249">
        <f t="shared" si="32"/>
        <v>12250</v>
      </c>
      <c r="AK72" s="249">
        <f>IF(AND(AJ72&gt;0,$N72&lt;&gt;""),IF((DATE(Assumptions!$B$4,3,28)-$N72)/365.25&lt;=Assumptions!$B$20,(DATE(Assumptions!$B$4,3,28)-$N72)/365.25*Assumptions!$B$18*AJ72,(Assumptions!$B$20*Assumptions!$B$18+((DATE(Assumptions!$B$4,3,28)-$N72)/365.25-Assumptions!$B$20)*Assumptions!$B$19)*AJ72),0)</f>
        <v>9608.8295687885002</v>
      </c>
      <c r="AL72" s="249">
        <f>IF(AI72&gt;0,IF($M72="Saudi",MIN(AI72+$Q72*$V72,Assumptions!$B$14)*Assumptions!$B$12,MIN(AI72+$Q72*$V72,Assumptions!$B$14)*Assumptions!$B$13),0)</f>
        <v>0</v>
      </c>
      <c r="AM72" s="249">
        <f>IF(AND(AI72&gt;0,$M72="Non-Saudi"),Assumptions!$B$25,0)</f>
        <v>910.41666666666663</v>
      </c>
      <c r="AN72" s="249">
        <f t="shared" si="33"/>
        <v>9250</v>
      </c>
      <c r="AO72" s="249">
        <f t="shared" si="34"/>
        <v>12250</v>
      </c>
      <c r="AP72" s="249">
        <f>IF(AND(AO72&gt;0,$N72&lt;&gt;""),IF((DATE(Assumptions!$B$4,4,28)-$N72)/365.25&lt;=Assumptions!$B$20,(DATE(Assumptions!$B$4,4,28)-$N72)/365.25*Assumptions!$B$18*AO72,(Assumptions!$B$20*Assumptions!$B$18+((DATE(Assumptions!$B$4,4,28)-$N72)/365.25-Assumptions!$B$20)*Assumptions!$B$19)*AO72),0)</f>
        <v>10128.678986995208</v>
      </c>
      <c r="AQ72" s="249">
        <f>IF(AN72&gt;0,IF($M72="Saudi",MIN(AN72+$Q72*$V72,Assumptions!$B$14)*Assumptions!$B$12,MIN(AN72+$Q72*$V72,Assumptions!$B$14)*Assumptions!$B$13),0)</f>
        <v>0</v>
      </c>
      <c r="AR72" s="249">
        <f>IF(AND(AN72&gt;0,$M72="Non-Saudi"),Assumptions!$B$25,0)</f>
        <v>910.41666666666663</v>
      </c>
      <c r="AS72" s="249">
        <f t="shared" si="35"/>
        <v>9250</v>
      </c>
      <c r="AT72" s="249">
        <f t="shared" si="36"/>
        <v>12250</v>
      </c>
      <c r="AU72" s="249">
        <f>IF(AND(AT72&gt;0,$N72&lt;&gt;""),IF((DATE(Assumptions!$B$4,5,28)-$N72)/365.25&lt;=Assumptions!$B$20,(DATE(Assumptions!$B$4,5,28)-$N72)/365.25*Assumptions!$B$18*AT72,(Assumptions!$B$20*Assumptions!$B$18+((DATE(Assumptions!$B$4,5,28)-$N72)/365.25-Assumptions!$B$20)*Assumptions!$B$19)*AT72),0)</f>
        <v>10631.759069130732</v>
      </c>
      <c r="AV72" s="249">
        <f>IF(AS72&gt;0,IF($M72="Saudi",MIN(AS72+$Q72*$V72,Assumptions!$B$14)*Assumptions!$B$12,MIN(AS72+$Q72*$V72,Assumptions!$B$14)*Assumptions!$B$13),0)</f>
        <v>0</v>
      </c>
      <c r="AW72" s="249">
        <f>IF(AND(AS72&gt;0,$M72="Non-Saudi"),Assumptions!$B$25,0)</f>
        <v>910.41666666666663</v>
      </c>
      <c r="AX72" s="249">
        <f t="shared" si="37"/>
        <v>9250</v>
      </c>
      <c r="AY72" s="249">
        <f t="shared" si="38"/>
        <v>12250</v>
      </c>
      <c r="AZ72" s="249">
        <f>IF(AND(AY72&gt;0,$N72&lt;&gt;""),IF((DATE(Assumptions!$B$4,6,28)-$N72)/365.25&lt;=Assumptions!$B$20,(DATE(Assumptions!$B$4,6,28)-$N72)/365.25*Assumptions!$B$18*AY72,(Assumptions!$B$20*Assumptions!$B$18+((DATE(Assumptions!$B$4,6,28)-$N72)/365.25-Assumptions!$B$20)*Assumptions!$B$19)*AY72),0)</f>
        <v>11151.60848733744</v>
      </c>
      <c r="BA72" s="249">
        <f>IF(AX72&gt;0,IF($M72="Saudi",MIN(AX72+$Q72*$V72,Assumptions!$B$14)*Assumptions!$B$12,MIN(AX72+$Q72*$V72,Assumptions!$B$14)*Assumptions!$B$13),0)</f>
        <v>0</v>
      </c>
      <c r="BB72" s="249">
        <f>IF(AND(AX72&gt;0,$M72="Non-Saudi"),Assumptions!$B$25,0)</f>
        <v>910.41666666666663</v>
      </c>
      <c r="BC72" s="249">
        <f t="shared" si="39"/>
        <v>9250</v>
      </c>
      <c r="BD72" s="249">
        <f t="shared" si="40"/>
        <v>12250</v>
      </c>
      <c r="BE72" s="249">
        <f>IF(AND(BD72&gt;0,$N72&lt;&gt;""),IF((DATE(Assumptions!$B$4,7,28)-$N72)/365.25&lt;=Assumptions!$B$20,(DATE(Assumptions!$B$4,7,28)-$N72)/365.25*Assumptions!$B$18*BD72,(Assumptions!$B$20*Assumptions!$B$18+((DATE(Assumptions!$B$4,7,28)-$N72)/365.25-Assumptions!$B$20)*Assumptions!$B$19)*BD72),0)</f>
        <v>11654.688569472964</v>
      </c>
      <c r="BF72" s="249">
        <f>IF(BC72&gt;0,IF($M72="Saudi",MIN(BC72+$Q72*$V72,Assumptions!$B$14)*Assumptions!$B$12,MIN(BC72+$Q72*$V72,Assumptions!$B$14)*Assumptions!$B$13),0)</f>
        <v>0</v>
      </c>
      <c r="BG72" s="249">
        <f>IF(AND(BC72&gt;0,$M72="Non-Saudi"),Assumptions!$B$25,0)</f>
        <v>910.41666666666663</v>
      </c>
      <c r="BH72" s="249">
        <f t="shared" si="41"/>
        <v>9250</v>
      </c>
      <c r="BI72" s="249">
        <f t="shared" si="42"/>
        <v>12250</v>
      </c>
      <c r="BJ72" s="249">
        <f>IF(AND(BI72&gt;0,$N72&lt;&gt;""),IF((DATE(Assumptions!$B$4,8,28)-$N72)/365.25&lt;=Assumptions!$B$20,(DATE(Assumptions!$B$4,8,28)-$N72)/365.25*Assumptions!$B$18*BI72,(Assumptions!$B$20*Assumptions!$B$18+((DATE(Assumptions!$B$4,8,28)-$N72)/365.25-Assumptions!$B$20)*Assumptions!$B$19)*BI72),0)</f>
        <v>12174.537987679671</v>
      </c>
      <c r="BK72" s="249">
        <f>IF(BH72&gt;0,IF($M72="Saudi",MIN(BH72+$Q72*$V72,Assumptions!$B$14)*Assumptions!$B$12,MIN(BH72+$Q72*$V72,Assumptions!$B$14)*Assumptions!$B$13),0)</f>
        <v>0</v>
      </c>
      <c r="BL72" s="249">
        <f>IF(AND(BH72&gt;0,$M72="Non-Saudi"),Assumptions!$B$25,0)</f>
        <v>910.41666666666663</v>
      </c>
      <c r="BM72" s="249">
        <f>IF(AND($D72="Contrat Local",$N72&lt;&gt;""),IF(AND(9&gt;=Assumptions!$B$5,ISNUMBER($X72),$N72&lt;EDATE(Assumptions!$B$9,-Assumptions!$B$6*12)),($P72+$X72)*$V72,$P72*$V72),0)</f>
        <v>9250</v>
      </c>
      <c r="BN72" s="249">
        <f t="shared" si="43"/>
        <v>12250</v>
      </c>
      <c r="BO72" s="249">
        <f>IF(AND(BN72&gt;0,$N72&lt;&gt;""),IF((DATE(Assumptions!$B$4,9,28)-$N72)/365.25&lt;=Assumptions!$B$20,(DATE(Assumptions!$B$4,9,28)-$N72)/365.25*Assumptions!$B$18*BN72,(Assumptions!$B$20*Assumptions!$B$18+((DATE(Assumptions!$B$4,9,28)-$N72)/365.25-Assumptions!$B$20)*Assumptions!$B$19)*BN72),0)</f>
        <v>12694.387405886378</v>
      </c>
      <c r="BP72" s="249">
        <f>IF(BM72&gt;0,IF($M72="Saudi",MIN(BM72+$Q72*$V72,Assumptions!$B$14)*Assumptions!$B$12,MIN(BM72+$Q72*$V72,Assumptions!$B$14)*Assumptions!$B$13),0)</f>
        <v>0</v>
      </c>
      <c r="BQ72" s="249">
        <f>IF(AND(BM72&gt;0,$M72="Non-Saudi"),Assumptions!$B$25,0)</f>
        <v>910.41666666666663</v>
      </c>
      <c r="BR72" s="249">
        <f>IF(AND($D72="Contrat Local",$N72&lt;&gt;""),IF(AND(10&gt;=Assumptions!$B$5,ISNUMBER($X72),$N72&lt;EDATE(Assumptions!$B$9,-Assumptions!$B$6*12)),($P72+$X72)*$V72,$P72*$V72),0)</f>
        <v>9250</v>
      </c>
      <c r="BS72" s="249">
        <f t="shared" si="44"/>
        <v>12250</v>
      </c>
      <c r="BT72" s="249">
        <f>IF(AND(BS72&gt;0,$N72&lt;&gt;""),IF((DATE(Assumptions!$B$4,10,28)-$N72)/365.25&lt;=Assumptions!$B$20,(DATE(Assumptions!$B$4,10,28)-$N72)/365.25*Assumptions!$B$18*BS72,(Assumptions!$B$20*Assumptions!$B$18+((DATE(Assumptions!$B$4,10,28)-$N72)/365.25-Assumptions!$B$20)*Assumptions!$B$19)*BS72),0)</f>
        <v>13197.467488021903</v>
      </c>
      <c r="BU72" s="249">
        <f>IF(BR72&gt;0,IF($M72="Saudi",MIN(BR72+$Q72*$V72,Assumptions!$B$14)*Assumptions!$B$12,MIN(BR72+$Q72*$V72,Assumptions!$B$14)*Assumptions!$B$13),0)</f>
        <v>0</v>
      </c>
      <c r="BV72" s="249">
        <f>IF(AND(BR72&gt;0,$M72="Non-Saudi"),Assumptions!$B$25,0)</f>
        <v>910.41666666666663</v>
      </c>
      <c r="BW72" s="249">
        <f>IF(AND($D72="Contrat Local",$N72&lt;&gt;""),IF(AND(11&gt;=Assumptions!$B$5,ISNUMBER($X72),$N72&lt;EDATE(Assumptions!$B$9,-Assumptions!$B$6*12)),($P72+$X72)*$V72,$P72*$V72),0)</f>
        <v>9250</v>
      </c>
      <c r="BX72" s="249">
        <f t="shared" si="45"/>
        <v>12250</v>
      </c>
      <c r="BY72" s="249">
        <f>IF(AND(BX72&gt;0,$N72&lt;&gt;""),IF((DATE(Assumptions!$B$4,11,28)-$N72)/365.25&lt;=Assumptions!$B$20,(DATE(Assumptions!$B$4,11,28)-$N72)/365.25*Assumptions!$B$18*BX72,(Assumptions!$B$20*Assumptions!$B$18+((DATE(Assumptions!$B$4,11,28)-$N72)/365.25-Assumptions!$B$20)*Assumptions!$B$19)*BX72),0)</f>
        <v>13717.316906228612</v>
      </c>
      <c r="BZ72" s="249">
        <f>IF(BW72&gt;0,IF($M72="Saudi",MIN(BW72+$Q72*$V72,Assumptions!$B$14)*Assumptions!$B$12,MIN(BW72+$Q72*$V72,Assumptions!$B$14)*Assumptions!$B$13),0)</f>
        <v>0</v>
      </c>
      <c r="CA72" s="249">
        <f>IF(AND(BW72&gt;0,$M72="Non-Saudi"),Assumptions!$B$25,0)</f>
        <v>910.41666666666663</v>
      </c>
      <c r="CB72" s="249">
        <f>IF(AND($D72="Contrat Local",$N72&lt;&gt;""),IF(AND(12&gt;=Assumptions!$B$5,ISNUMBER($X72),$N72&lt;EDATE(Assumptions!$B$9,-Assumptions!$B$6*12)),($P72+$X72)*$V72,$P72*$V72),0)</f>
        <v>9250</v>
      </c>
      <c r="CC72" s="249">
        <f t="shared" si="46"/>
        <v>12250</v>
      </c>
      <c r="CD72" s="249">
        <f>IF(AND(CC72&gt;0,$N72&lt;&gt;""),IF((DATE(Assumptions!$B$4,12,28)-$N72)/365.25&lt;=Assumptions!$B$20,(DATE(Assumptions!$B$4,12,28)-$N72)/365.25*Assumptions!$B$18*CC72,(Assumptions!$B$20*Assumptions!$B$18+((DATE(Assumptions!$B$4,12,28)-$N72)/365.25-Assumptions!$B$20)*Assumptions!$B$19)*CC72),0)</f>
        <v>14220.396988364135</v>
      </c>
      <c r="CE72" s="249">
        <f>IF(CB72&gt;0,IF($M72="Saudi",MIN(CB72+$Q72*$V72,Assumptions!$B$14)*Assumptions!$B$12,MIN(CB72+$Q72*$V72,Assumptions!$B$14)*Assumptions!$B$13),0)</f>
        <v>0</v>
      </c>
      <c r="CF72" s="249">
        <f>IF(AND(CB72&gt;0,$M72="Non-Saudi"),Assumptions!$B$25,0)</f>
        <v>910.41666666666663</v>
      </c>
      <c r="CG72" s="249">
        <f t="shared" si="47"/>
        <v>111000</v>
      </c>
      <c r="CH72" s="249">
        <f t="shared" si="48"/>
        <v>147000</v>
      </c>
      <c r="CI72" s="249">
        <f>CD72-IF(AND(Z72&gt;0,$N72&lt;&gt;""),IF((DATE(Assumptions!$B$4-1,12,28)-$N72)/365.25&lt;=Assumptions!$B$20,(DATE(Assumptions!$B$4-1,12,28)-$N72)/365.25*Assumptions!$B$18*Z72,(Assumptions!$B$20*Assumptions!$B$18+((DATE(Assumptions!$B$4-1,12,28)-$N72)/365.25-Assumptions!$B$20)*Assumptions!$B$19)*Z72),0)</f>
        <v>6120.8076659822045</v>
      </c>
      <c r="CJ72" s="249">
        <f t="shared" si="49"/>
        <v>0</v>
      </c>
      <c r="CK72" s="249">
        <f t="shared" si="50"/>
        <v>10924.999999999998</v>
      </c>
    </row>
    <row r="73" spans="1:89" x14ac:dyDescent="0.2">
      <c r="A73" s="258">
        <v>71</v>
      </c>
      <c r="B73" s="259" t="s">
        <v>432</v>
      </c>
      <c r="C73" s="259" t="s">
        <v>387</v>
      </c>
      <c r="D73" s="259" t="s">
        <v>250</v>
      </c>
      <c r="E73" s="259" t="s">
        <v>767</v>
      </c>
      <c r="F73" s="259" t="s">
        <v>344</v>
      </c>
      <c r="G73" s="259" t="s">
        <v>4</v>
      </c>
      <c r="H73" s="259" t="s">
        <v>120</v>
      </c>
      <c r="I73" s="288" t="s">
        <v>691</v>
      </c>
      <c r="J73" s="259" t="s">
        <v>344</v>
      </c>
      <c r="K73" s="259" t="s">
        <v>4</v>
      </c>
      <c r="L73" s="259" t="s">
        <v>255</v>
      </c>
      <c r="M73" s="259" t="str">
        <f t="shared" si="26"/>
        <v>Non-Saudi</v>
      </c>
      <c r="N73" s="260">
        <v>43709</v>
      </c>
      <c r="O73" s="261">
        <v>7.3</v>
      </c>
      <c r="P73" s="262">
        <v>7400</v>
      </c>
      <c r="Q73" s="262">
        <v>2500</v>
      </c>
      <c r="R73" s="262">
        <v>500</v>
      </c>
      <c r="S73" s="262"/>
      <c r="T73" s="262"/>
      <c r="U73" s="262">
        <v>10400</v>
      </c>
      <c r="V73" s="263">
        <v>1</v>
      </c>
      <c r="W73" s="259" t="s">
        <v>259</v>
      </c>
      <c r="X73" s="259">
        <v>200</v>
      </c>
      <c r="Y73" s="249">
        <f t="shared" si="27"/>
        <v>7400</v>
      </c>
      <c r="Z73" s="249">
        <f t="shared" si="28"/>
        <v>10400</v>
      </c>
      <c r="AA73" s="249">
        <f>IF(AND(Z73&gt;0,$N73&lt;&gt;""),IF((DATE(Assumptions!$B$4,1,28)-$N73)/365.25&lt;=Assumptions!$B$20,(DATE(Assumptions!$B$4,1,28)-$N73)/365.25*Assumptions!$B$18*Z73,(Assumptions!$B$20*Assumptions!$B$18+((DATE(Assumptions!$B$4,1,28)-$N73)/365.25-Assumptions!$B$20)*Assumptions!$B$19)*Z73),0)</f>
        <v>40656.810403832991</v>
      </c>
      <c r="AB73" s="249">
        <f>IF(Y73&gt;0,IF($M73="Saudi",MIN(Y73+$Q73*$V73,Assumptions!$B$14)*Assumptions!$B$12,MIN(Y73+$Q73*$V73,Assumptions!$B$14)*Assumptions!$B$13),0)</f>
        <v>0</v>
      </c>
      <c r="AC73" s="249">
        <f>IF(AND(Y73&gt;0,$M73="Non-Saudi"),Assumptions!$B$25,0)</f>
        <v>910.41666666666663</v>
      </c>
      <c r="AD73" s="249">
        <f t="shared" si="29"/>
        <v>7400</v>
      </c>
      <c r="AE73" s="249">
        <f t="shared" si="30"/>
        <v>10400</v>
      </c>
      <c r="AF73" s="249">
        <f>IF(AND(AE73&gt;0,$N73&lt;&gt;""),IF((DATE(Assumptions!$B$4,2,28)-$N73)/365.25&lt;=Assumptions!$B$20,(DATE(Assumptions!$B$4,2,28)-$N73)/365.25*Assumptions!$B$18*AE73,(Assumptions!$B$20*Assumptions!$B$18+((DATE(Assumptions!$B$4,2,28)-$N73)/365.25-Assumptions!$B$20)*Assumptions!$B$19)*AE73),0)</f>
        <v>41539.493497604381</v>
      </c>
      <c r="AG73" s="249">
        <f>IF(AD73&gt;0,IF($M73="Saudi",MIN(AD73+$Q73*$V73,Assumptions!$B$14)*Assumptions!$B$12,MIN(AD73+$Q73*$V73,Assumptions!$B$14)*Assumptions!$B$13),0)</f>
        <v>0</v>
      </c>
      <c r="AH73" s="249">
        <f>IF(AND(AD73&gt;0,$M73="Non-Saudi"),Assumptions!$B$25,0)</f>
        <v>910.41666666666663</v>
      </c>
      <c r="AI73" s="249">
        <f t="shared" si="31"/>
        <v>7400</v>
      </c>
      <c r="AJ73" s="249">
        <f t="shared" si="32"/>
        <v>10400</v>
      </c>
      <c r="AK73" s="249">
        <f>IF(AND(AJ73&gt;0,$N73&lt;&gt;""),IF((DATE(Assumptions!$B$4,3,28)-$N73)/365.25&lt;=Assumptions!$B$20,(DATE(Assumptions!$B$4,3,28)-$N73)/365.25*Assumptions!$B$18*AJ73,(Assumptions!$B$20*Assumptions!$B$18+((DATE(Assumptions!$B$4,3,28)-$N73)/365.25-Assumptions!$B$20)*Assumptions!$B$19)*AJ73),0)</f>
        <v>42336.755646817248</v>
      </c>
      <c r="AL73" s="249">
        <f>IF(AI73&gt;0,IF($M73="Saudi",MIN(AI73+$Q73*$V73,Assumptions!$B$14)*Assumptions!$B$12,MIN(AI73+$Q73*$V73,Assumptions!$B$14)*Assumptions!$B$13),0)</f>
        <v>0</v>
      </c>
      <c r="AM73" s="249">
        <f>IF(AND(AI73&gt;0,$M73="Non-Saudi"),Assumptions!$B$25,0)</f>
        <v>910.41666666666663</v>
      </c>
      <c r="AN73" s="249">
        <f t="shared" si="33"/>
        <v>7400</v>
      </c>
      <c r="AO73" s="249">
        <f t="shared" si="34"/>
        <v>10400</v>
      </c>
      <c r="AP73" s="249">
        <f>IF(AND(AO73&gt;0,$N73&lt;&gt;""),IF((DATE(Assumptions!$B$4,4,28)-$N73)/365.25&lt;=Assumptions!$B$20,(DATE(Assumptions!$B$4,4,28)-$N73)/365.25*Assumptions!$B$18*AO73,(Assumptions!$B$20*Assumptions!$B$18+((DATE(Assumptions!$B$4,4,28)-$N73)/365.25-Assumptions!$B$20)*Assumptions!$B$19)*AO73),0)</f>
        <v>43219.438740588645</v>
      </c>
      <c r="AQ73" s="249">
        <f>IF(AN73&gt;0,IF($M73="Saudi",MIN(AN73+$Q73*$V73,Assumptions!$B$14)*Assumptions!$B$12,MIN(AN73+$Q73*$V73,Assumptions!$B$14)*Assumptions!$B$13),0)</f>
        <v>0</v>
      </c>
      <c r="AR73" s="249">
        <f>IF(AND(AN73&gt;0,$M73="Non-Saudi"),Assumptions!$B$25,0)</f>
        <v>910.41666666666663</v>
      </c>
      <c r="AS73" s="249">
        <f t="shared" si="35"/>
        <v>7400</v>
      </c>
      <c r="AT73" s="249">
        <f t="shared" si="36"/>
        <v>10400</v>
      </c>
      <c r="AU73" s="249">
        <f>IF(AND(AT73&gt;0,$N73&lt;&gt;""),IF((DATE(Assumptions!$B$4,5,28)-$N73)/365.25&lt;=Assumptions!$B$20,(DATE(Assumptions!$B$4,5,28)-$N73)/365.25*Assumptions!$B$18*AT73,(Assumptions!$B$20*Assumptions!$B$18+((DATE(Assumptions!$B$4,5,28)-$N73)/365.25-Assumptions!$B$20)*Assumptions!$B$19)*AT73),0)</f>
        <v>44073.648186173858</v>
      </c>
      <c r="AV73" s="249">
        <f>IF(AS73&gt;0,IF($M73="Saudi",MIN(AS73+$Q73*$V73,Assumptions!$B$14)*Assumptions!$B$12,MIN(AS73+$Q73*$V73,Assumptions!$B$14)*Assumptions!$B$13),0)</f>
        <v>0</v>
      </c>
      <c r="AW73" s="249">
        <f>IF(AND(AS73&gt;0,$M73="Non-Saudi"),Assumptions!$B$25,0)</f>
        <v>910.41666666666663</v>
      </c>
      <c r="AX73" s="249">
        <f t="shared" si="37"/>
        <v>7400</v>
      </c>
      <c r="AY73" s="249">
        <f t="shared" si="38"/>
        <v>10400</v>
      </c>
      <c r="AZ73" s="249">
        <f>IF(AND(AY73&gt;0,$N73&lt;&gt;""),IF((DATE(Assumptions!$B$4,6,28)-$N73)/365.25&lt;=Assumptions!$B$20,(DATE(Assumptions!$B$4,6,28)-$N73)/365.25*Assumptions!$B$18*AY73,(Assumptions!$B$20*Assumptions!$B$18+((DATE(Assumptions!$B$4,6,28)-$N73)/365.25-Assumptions!$B$20)*Assumptions!$B$19)*AY73),0)</f>
        <v>44956.331279945247</v>
      </c>
      <c r="BA73" s="249">
        <f>IF(AX73&gt;0,IF($M73="Saudi",MIN(AX73+$Q73*$V73,Assumptions!$B$14)*Assumptions!$B$12,MIN(AX73+$Q73*$V73,Assumptions!$B$14)*Assumptions!$B$13),0)</f>
        <v>0</v>
      </c>
      <c r="BB73" s="249">
        <f>IF(AND(AX73&gt;0,$M73="Non-Saudi"),Assumptions!$B$25,0)</f>
        <v>910.41666666666663</v>
      </c>
      <c r="BC73" s="249">
        <f t="shared" si="39"/>
        <v>7400</v>
      </c>
      <c r="BD73" s="249">
        <f t="shared" si="40"/>
        <v>10400</v>
      </c>
      <c r="BE73" s="249">
        <f>IF(AND(BD73&gt;0,$N73&lt;&gt;""),IF((DATE(Assumptions!$B$4,7,28)-$N73)/365.25&lt;=Assumptions!$B$20,(DATE(Assumptions!$B$4,7,28)-$N73)/365.25*Assumptions!$B$18*BD73,(Assumptions!$B$20*Assumptions!$B$18+((DATE(Assumptions!$B$4,7,28)-$N73)/365.25-Assumptions!$B$20)*Assumptions!$B$19)*BD73),0)</f>
        <v>45810.54072553046</v>
      </c>
      <c r="BF73" s="249">
        <f>IF(BC73&gt;0,IF($M73="Saudi",MIN(BC73+$Q73*$V73,Assumptions!$B$14)*Assumptions!$B$12,MIN(BC73+$Q73*$V73,Assumptions!$B$14)*Assumptions!$B$13),0)</f>
        <v>0</v>
      </c>
      <c r="BG73" s="249">
        <f>IF(AND(BC73&gt;0,$M73="Non-Saudi"),Assumptions!$B$25,0)</f>
        <v>910.41666666666663</v>
      </c>
      <c r="BH73" s="249">
        <f t="shared" si="41"/>
        <v>7400</v>
      </c>
      <c r="BI73" s="249">
        <f t="shared" si="42"/>
        <v>10400</v>
      </c>
      <c r="BJ73" s="249">
        <f>IF(AND(BI73&gt;0,$N73&lt;&gt;""),IF((DATE(Assumptions!$B$4,8,28)-$N73)/365.25&lt;=Assumptions!$B$20,(DATE(Assumptions!$B$4,8,28)-$N73)/365.25*Assumptions!$B$18*BI73,(Assumptions!$B$20*Assumptions!$B$18+((DATE(Assumptions!$B$4,8,28)-$N73)/365.25-Assumptions!$B$20)*Assumptions!$B$19)*BI73),0)</f>
        <v>46693.223819301849</v>
      </c>
      <c r="BK73" s="249">
        <f>IF(BH73&gt;0,IF($M73="Saudi",MIN(BH73+$Q73*$V73,Assumptions!$B$14)*Assumptions!$B$12,MIN(BH73+$Q73*$V73,Assumptions!$B$14)*Assumptions!$B$13),0)</f>
        <v>0</v>
      </c>
      <c r="BL73" s="249">
        <f>IF(AND(BH73&gt;0,$M73="Non-Saudi"),Assumptions!$B$25,0)</f>
        <v>910.41666666666663</v>
      </c>
      <c r="BM73" s="249">
        <f>IF(AND($D73="Contrat Local",$N73&lt;&gt;""),IF(AND(9&gt;=Assumptions!$B$5,ISNUMBER($X73),$N73&lt;EDATE(Assumptions!$B$9,-Assumptions!$B$6*12)),($P73+$X73)*$V73,$P73*$V73),0)</f>
        <v>7600</v>
      </c>
      <c r="BN73" s="249">
        <f t="shared" si="43"/>
        <v>10600</v>
      </c>
      <c r="BO73" s="249">
        <f>IF(AND(BN73&gt;0,$N73&lt;&gt;""),IF((DATE(Assumptions!$B$4,9,28)-$N73)/365.25&lt;=Assumptions!$B$20,(DATE(Assumptions!$B$4,9,28)-$N73)/365.25*Assumptions!$B$18*BN73,(Assumptions!$B$20*Assumptions!$B$18+((DATE(Assumptions!$B$4,9,28)-$N73)/365.25-Assumptions!$B$20)*Assumptions!$B$19)*BN73),0)</f>
        <v>48490.828199863106</v>
      </c>
      <c r="BP73" s="249">
        <f>IF(BM73&gt;0,IF($M73="Saudi",MIN(BM73+$Q73*$V73,Assumptions!$B$14)*Assumptions!$B$12,MIN(BM73+$Q73*$V73,Assumptions!$B$14)*Assumptions!$B$13),0)</f>
        <v>0</v>
      </c>
      <c r="BQ73" s="249">
        <f>IF(AND(BM73&gt;0,$M73="Non-Saudi"),Assumptions!$B$25,0)</f>
        <v>910.41666666666663</v>
      </c>
      <c r="BR73" s="249">
        <f>IF(AND($D73="Contrat Local",$N73&lt;&gt;""),IF(AND(10&gt;=Assumptions!$B$5,ISNUMBER($X73),$N73&lt;EDATE(Assumptions!$B$9,-Assumptions!$B$6*12)),($P73+$X73)*$V73,$P73*$V73),0)</f>
        <v>7600</v>
      </c>
      <c r="BS73" s="249">
        <f t="shared" si="44"/>
        <v>10600</v>
      </c>
      <c r="BT73" s="249">
        <f>IF(AND(BS73&gt;0,$N73&lt;&gt;""),IF((DATE(Assumptions!$B$4,10,28)-$N73)/365.25&lt;=Assumptions!$B$20,(DATE(Assumptions!$B$4,10,28)-$N73)/365.25*Assumptions!$B$18*BS73,(Assumptions!$B$20*Assumptions!$B$18+((DATE(Assumptions!$B$4,10,28)-$N73)/365.25-Assumptions!$B$20)*Assumptions!$B$19)*BS73),0)</f>
        <v>49361.464750171115</v>
      </c>
      <c r="BU73" s="249">
        <f>IF(BR73&gt;0,IF($M73="Saudi",MIN(BR73+$Q73*$V73,Assumptions!$B$14)*Assumptions!$B$12,MIN(BR73+$Q73*$V73,Assumptions!$B$14)*Assumptions!$B$13),0)</f>
        <v>0</v>
      </c>
      <c r="BV73" s="249">
        <f>IF(AND(BR73&gt;0,$M73="Non-Saudi"),Assumptions!$B$25,0)</f>
        <v>910.41666666666663</v>
      </c>
      <c r="BW73" s="249">
        <f>IF(AND($D73="Contrat Local",$N73&lt;&gt;""),IF(AND(11&gt;=Assumptions!$B$5,ISNUMBER($X73),$N73&lt;EDATE(Assumptions!$B$9,-Assumptions!$B$6*12)),($P73+$X73)*$V73,$P73*$V73),0)</f>
        <v>7600</v>
      </c>
      <c r="BX73" s="249">
        <f t="shared" si="45"/>
        <v>10600</v>
      </c>
      <c r="BY73" s="249">
        <f>IF(AND(BX73&gt;0,$N73&lt;&gt;""),IF((DATE(Assumptions!$B$4,11,28)-$N73)/365.25&lt;=Assumptions!$B$20,(DATE(Assumptions!$B$4,11,28)-$N73)/365.25*Assumptions!$B$18*BX73,(Assumptions!$B$20*Assumptions!$B$18+((DATE(Assumptions!$B$4,11,28)-$N73)/365.25-Assumptions!$B$20)*Assumptions!$B$19)*BX73),0)</f>
        <v>50261.122518822725</v>
      </c>
      <c r="BZ73" s="249">
        <f>IF(BW73&gt;0,IF($M73="Saudi",MIN(BW73+$Q73*$V73,Assumptions!$B$14)*Assumptions!$B$12,MIN(BW73+$Q73*$V73,Assumptions!$B$14)*Assumptions!$B$13),0)</f>
        <v>0</v>
      </c>
      <c r="CA73" s="249">
        <f>IF(AND(BW73&gt;0,$M73="Non-Saudi"),Assumptions!$B$25,0)</f>
        <v>910.41666666666663</v>
      </c>
      <c r="CB73" s="249">
        <f>IF(AND($D73="Contrat Local",$N73&lt;&gt;""),IF(AND(12&gt;=Assumptions!$B$5,ISNUMBER($X73),$N73&lt;EDATE(Assumptions!$B$9,-Assumptions!$B$6*12)),($P73+$X73)*$V73,$P73*$V73),0)</f>
        <v>7600</v>
      </c>
      <c r="CC73" s="249">
        <f t="shared" si="46"/>
        <v>10600</v>
      </c>
      <c r="CD73" s="249">
        <f>IF(AND(CC73&gt;0,$N73&lt;&gt;""),IF((DATE(Assumptions!$B$4,12,28)-$N73)/365.25&lt;=Assumptions!$B$20,(DATE(Assumptions!$B$4,12,28)-$N73)/365.25*Assumptions!$B$18*CC73,(Assumptions!$B$20*Assumptions!$B$18+((DATE(Assumptions!$B$4,12,28)-$N73)/365.25-Assumptions!$B$20)*Assumptions!$B$19)*CC73),0)</f>
        <v>51131.759069130734</v>
      </c>
      <c r="CE73" s="249">
        <f>IF(CB73&gt;0,IF($M73="Saudi",MIN(CB73+$Q73*$V73,Assumptions!$B$14)*Assumptions!$B$12,MIN(CB73+$Q73*$V73,Assumptions!$B$14)*Assumptions!$B$13),0)</f>
        <v>0</v>
      </c>
      <c r="CF73" s="249">
        <f>IF(AND(CB73&gt;0,$M73="Non-Saudi"),Assumptions!$B$25,0)</f>
        <v>910.41666666666663</v>
      </c>
      <c r="CG73" s="249">
        <f t="shared" si="47"/>
        <v>89600</v>
      </c>
      <c r="CH73" s="249">
        <f t="shared" si="48"/>
        <v>125600</v>
      </c>
      <c r="CI73" s="249">
        <f>CD73-IF(AND(Z73&gt;0,$N73&lt;&gt;""),IF((DATE(Assumptions!$B$4-1,12,28)-$N73)/365.25&lt;=Assumptions!$B$20,(DATE(Assumptions!$B$4-1,12,28)-$N73)/365.25*Assumptions!$B$18*Z73,(Assumptions!$B$20*Assumptions!$B$18+((DATE(Assumptions!$B$4-1,12,28)-$N73)/365.25-Assumptions!$B$20)*Assumptions!$B$19)*Z73),0)</f>
        <v>11357.631759069132</v>
      </c>
      <c r="CJ73" s="249">
        <f t="shared" si="49"/>
        <v>0</v>
      </c>
      <c r="CK73" s="249">
        <f t="shared" si="50"/>
        <v>10924.999999999998</v>
      </c>
    </row>
    <row r="74" spans="1:89" x14ac:dyDescent="0.2">
      <c r="A74" s="264">
        <v>73</v>
      </c>
      <c r="B74" s="265" t="s">
        <v>433</v>
      </c>
      <c r="C74" s="265" t="s">
        <v>434</v>
      </c>
      <c r="D74" s="265" t="s">
        <v>250</v>
      </c>
      <c r="E74" s="265" t="s">
        <v>767</v>
      </c>
      <c r="F74" s="265" t="s">
        <v>264</v>
      </c>
      <c r="G74" s="265" t="s">
        <v>8</v>
      </c>
      <c r="H74" s="265" t="s">
        <v>265</v>
      </c>
      <c r="I74" s="284" t="s">
        <v>691</v>
      </c>
      <c r="J74" s="265" t="s">
        <v>58</v>
      </c>
      <c r="K74" s="265" t="s">
        <v>8</v>
      </c>
      <c r="L74" s="265" t="s">
        <v>255</v>
      </c>
      <c r="M74" s="265" t="str">
        <f t="shared" si="26"/>
        <v>Non-Saudi</v>
      </c>
      <c r="N74" s="266">
        <v>44440</v>
      </c>
      <c r="O74" s="267">
        <v>5.3</v>
      </c>
      <c r="P74" s="268">
        <v>10500</v>
      </c>
      <c r="Q74" s="268">
        <v>2500</v>
      </c>
      <c r="R74" s="268">
        <v>500</v>
      </c>
      <c r="S74" s="268"/>
      <c r="T74" s="268"/>
      <c r="U74" s="268">
        <v>13500</v>
      </c>
      <c r="V74" s="269">
        <v>1</v>
      </c>
      <c r="W74" s="265" t="s">
        <v>259</v>
      </c>
      <c r="X74" s="265">
        <v>250</v>
      </c>
      <c r="Y74" s="249">
        <f t="shared" si="27"/>
        <v>10500</v>
      </c>
      <c r="Z74" s="249">
        <f t="shared" si="28"/>
        <v>13500</v>
      </c>
      <c r="AA74" s="249">
        <f>IF(AND(Z74&gt;0,$N74&lt;&gt;""),IF((DATE(Assumptions!$B$4,1,28)-$N74)/365.25&lt;=Assumptions!$B$20,(DATE(Assumptions!$B$4,1,28)-$N74)/365.25*Assumptions!$B$18*Z74,(Assumptions!$B$20*Assumptions!$B$18+((DATE(Assumptions!$B$4,1,28)-$N74)/365.25-Assumptions!$B$20)*Assumptions!$B$19)*Z74),0)</f>
        <v>29753.593429158114</v>
      </c>
      <c r="AB74" s="249">
        <f>IF(Y74&gt;0,IF($M74="Saudi",MIN(Y74+$Q74*$V74,Assumptions!$B$14)*Assumptions!$B$12,MIN(Y74+$Q74*$V74,Assumptions!$B$14)*Assumptions!$B$13),0)</f>
        <v>0</v>
      </c>
      <c r="AC74" s="249">
        <f>IF(AND(Y74&gt;0,$M74="Non-Saudi"),Assumptions!$B$25,0)</f>
        <v>910.41666666666663</v>
      </c>
      <c r="AD74" s="249">
        <f t="shared" si="29"/>
        <v>10500</v>
      </c>
      <c r="AE74" s="249">
        <f t="shared" si="30"/>
        <v>13500</v>
      </c>
      <c r="AF74" s="249">
        <f>IF(AND(AE74&gt;0,$N74&lt;&gt;""),IF((DATE(Assumptions!$B$4,2,28)-$N74)/365.25&lt;=Assumptions!$B$20,(DATE(Assumptions!$B$4,2,28)-$N74)/365.25*Assumptions!$B$18*AE74,(Assumptions!$B$20*Assumptions!$B$18+((DATE(Assumptions!$B$4,2,28)-$N74)/365.25-Assumptions!$B$20)*Assumptions!$B$19)*AE74),0)</f>
        <v>30326.488706365504</v>
      </c>
      <c r="AG74" s="249">
        <f>IF(AD74&gt;0,IF($M74="Saudi",MIN(AD74+$Q74*$V74,Assumptions!$B$14)*Assumptions!$B$12,MIN(AD74+$Q74*$V74,Assumptions!$B$14)*Assumptions!$B$13),0)</f>
        <v>0</v>
      </c>
      <c r="AH74" s="249">
        <f>IF(AND(AD74&gt;0,$M74="Non-Saudi"),Assumptions!$B$25,0)</f>
        <v>910.41666666666663</v>
      </c>
      <c r="AI74" s="249">
        <f t="shared" si="31"/>
        <v>10500</v>
      </c>
      <c r="AJ74" s="249">
        <f t="shared" si="32"/>
        <v>13500</v>
      </c>
      <c r="AK74" s="249">
        <f>IF(AND(AJ74&gt;0,$N74&lt;&gt;""),IF((DATE(Assumptions!$B$4,3,28)-$N74)/365.25&lt;=Assumptions!$B$20,(DATE(Assumptions!$B$4,3,28)-$N74)/365.25*Assumptions!$B$18*AJ74,(Assumptions!$B$20*Assumptions!$B$18+((DATE(Assumptions!$B$4,3,28)-$N74)/365.25-Assumptions!$B$20)*Assumptions!$B$19)*AJ74),0)</f>
        <v>30843.942505133473</v>
      </c>
      <c r="AL74" s="249">
        <f>IF(AI74&gt;0,IF($M74="Saudi",MIN(AI74+$Q74*$V74,Assumptions!$B$14)*Assumptions!$B$12,MIN(AI74+$Q74*$V74,Assumptions!$B$14)*Assumptions!$B$13),0)</f>
        <v>0</v>
      </c>
      <c r="AM74" s="249">
        <f>IF(AND(AI74&gt;0,$M74="Non-Saudi"),Assumptions!$B$25,0)</f>
        <v>910.41666666666663</v>
      </c>
      <c r="AN74" s="249">
        <f t="shared" si="33"/>
        <v>10500</v>
      </c>
      <c r="AO74" s="249">
        <f t="shared" si="34"/>
        <v>13500</v>
      </c>
      <c r="AP74" s="249">
        <f>IF(AND(AO74&gt;0,$N74&lt;&gt;""),IF((DATE(Assumptions!$B$4,4,28)-$N74)/365.25&lt;=Assumptions!$B$20,(DATE(Assumptions!$B$4,4,28)-$N74)/365.25*Assumptions!$B$18*AO74,(Assumptions!$B$20*Assumptions!$B$18+((DATE(Assumptions!$B$4,4,28)-$N74)/365.25-Assumptions!$B$20)*Assumptions!$B$19)*AO74),0)</f>
        <v>31416.837782340863</v>
      </c>
      <c r="AQ74" s="249">
        <f>IF(AN74&gt;0,IF($M74="Saudi",MIN(AN74+$Q74*$V74,Assumptions!$B$14)*Assumptions!$B$12,MIN(AN74+$Q74*$V74,Assumptions!$B$14)*Assumptions!$B$13),0)</f>
        <v>0</v>
      </c>
      <c r="AR74" s="249">
        <f>IF(AND(AN74&gt;0,$M74="Non-Saudi"),Assumptions!$B$25,0)</f>
        <v>910.41666666666663</v>
      </c>
      <c r="AS74" s="249">
        <f t="shared" si="35"/>
        <v>10500</v>
      </c>
      <c r="AT74" s="249">
        <f t="shared" si="36"/>
        <v>13500</v>
      </c>
      <c r="AU74" s="249">
        <f>IF(AND(AT74&gt;0,$N74&lt;&gt;""),IF((DATE(Assumptions!$B$4,5,28)-$N74)/365.25&lt;=Assumptions!$B$20,(DATE(Assumptions!$B$4,5,28)-$N74)/365.25*Assumptions!$B$18*AT74,(Assumptions!$B$20*Assumptions!$B$18+((DATE(Assumptions!$B$4,5,28)-$N74)/365.25-Assumptions!$B$20)*Assumptions!$B$19)*AT74),0)</f>
        <v>31971.252566735111</v>
      </c>
      <c r="AV74" s="249">
        <f>IF(AS74&gt;0,IF($M74="Saudi",MIN(AS74+$Q74*$V74,Assumptions!$B$14)*Assumptions!$B$12,MIN(AS74+$Q74*$V74,Assumptions!$B$14)*Assumptions!$B$13),0)</f>
        <v>0</v>
      </c>
      <c r="AW74" s="249">
        <f>IF(AND(AS74&gt;0,$M74="Non-Saudi"),Assumptions!$B$25,0)</f>
        <v>910.41666666666663</v>
      </c>
      <c r="AX74" s="249">
        <f t="shared" si="37"/>
        <v>10500</v>
      </c>
      <c r="AY74" s="249">
        <f t="shared" si="38"/>
        <v>13500</v>
      </c>
      <c r="AZ74" s="249">
        <f>IF(AND(AY74&gt;0,$N74&lt;&gt;""),IF((DATE(Assumptions!$B$4,6,28)-$N74)/365.25&lt;=Assumptions!$B$20,(DATE(Assumptions!$B$4,6,28)-$N74)/365.25*Assumptions!$B$18*AY74,(Assumptions!$B$20*Assumptions!$B$18+((DATE(Assumptions!$B$4,6,28)-$N74)/365.25-Assumptions!$B$20)*Assumptions!$B$19)*AY74),0)</f>
        <v>32544.147843942505</v>
      </c>
      <c r="BA74" s="249">
        <f>IF(AX74&gt;0,IF($M74="Saudi",MIN(AX74+$Q74*$V74,Assumptions!$B$14)*Assumptions!$B$12,MIN(AX74+$Q74*$V74,Assumptions!$B$14)*Assumptions!$B$13),0)</f>
        <v>0</v>
      </c>
      <c r="BB74" s="249">
        <f>IF(AND(AX74&gt;0,$M74="Non-Saudi"),Assumptions!$B$25,0)</f>
        <v>910.41666666666663</v>
      </c>
      <c r="BC74" s="249">
        <f t="shared" si="39"/>
        <v>10500</v>
      </c>
      <c r="BD74" s="249">
        <f t="shared" si="40"/>
        <v>13500</v>
      </c>
      <c r="BE74" s="249">
        <f>IF(AND(BD74&gt;0,$N74&lt;&gt;""),IF((DATE(Assumptions!$B$4,7,28)-$N74)/365.25&lt;=Assumptions!$B$20,(DATE(Assumptions!$B$4,7,28)-$N74)/365.25*Assumptions!$B$18*BD74,(Assumptions!$B$20*Assumptions!$B$18+((DATE(Assumptions!$B$4,7,28)-$N74)/365.25-Assumptions!$B$20)*Assumptions!$B$19)*BD74),0)</f>
        <v>33098.562628336753</v>
      </c>
      <c r="BF74" s="249">
        <f>IF(BC74&gt;0,IF($M74="Saudi",MIN(BC74+$Q74*$V74,Assumptions!$B$14)*Assumptions!$B$12,MIN(BC74+$Q74*$V74,Assumptions!$B$14)*Assumptions!$B$13),0)</f>
        <v>0</v>
      </c>
      <c r="BG74" s="249">
        <f>IF(AND(BC74&gt;0,$M74="Non-Saudi"),Assumptions!$B$25,0)</f>
        <v>910.41666666666663</v>
      </c>
      <c r="BH74" s="249">
        <f t="shared" si="41"/>
        <v>10500</v>
      </c>
      <c r="BI74" s="249">
        <f t="shared" si="42"/>
        <v>13500</v>
      </c>
      <c r="BJ74" s="249">
        <f>IF(AND(BI74&gt;0,$N74&lt;&gt;""),IF((DATE(Assumptions!$B$4,8,28)-$N74)/365.25&lt;=Assumptions!$B$20,(DATE(Assumptions!$B$4,8,28)-$N74)/365.25*Assumptions!$B$18*BI74,(Assumptions!$B$20*Assumptions!$B$18+((DATE(Assumptions!$B$4,8,28)-$N74)/365.25-Assumptions!$B$20)*Assumptions!$B$19)*BI74),0)</f>
        <v>33671.45790554415</v>
      </c>
      <c r="BK74" s="249">
        <f>IF(BH74&gt;0,IF($M74="Saudi",MIN(BH74+$Q74*$V74,Assumptions!$B$14)*Assumptions!$B$12,MIN(BH74+$Q74*$V74,Assumptions!$B$14)*Assumptions!$B$13),0)</f>
        <v>0</v>
      </c>
      <c r="BL74" s="249">
        <f>IF(AND(BH74&gt;0,$M74="Non-Saudi"),Assumptions!$B$25,0)</f>
        <v>910.41666666666663</v>
      </c>
      <c r="BM74" s="249">
        <f>IF(AND($D74="Contrat Local",$N74&lt;&gt;""),IF(AND(9&gt;=Assumptions!$B$5,ISNUMBER($X74),$N74&lt;EDATE(Assumptions!$B$9,-Assumptions!$B$6*12)),($P74+$X74)*$V74,$P74*$V74),0)</f>
        <v>10750</v>
      </c>
      <c r="BN74" s="249">
        <f t="shared" si="43"/>
        <v>13750</v>
      </c>
      <c r="BO74" s="249">
        <f>IF(AND(BN74&gt;0,$N74&lt;&gt;""),IF((DATE(Assumptions!$B$4,9,28)-$N74)/365.25&lt;=Assumptions!$B$20,(DATE(Assumptions!$B$4,9,28)-$N74)/365.25*Assumptions!$B$18*BN74,(Assumptions!$B$20*Assumptions!$B$18+((DATE(Assumptions!$B$4,9,28)-$N74)/365.25-Assumptions!$B$20)*Assumptions!$B$19)*BN74),0)</f>
        <v>35382.015742642026</v>
      </c>
      <c r="BP74" s="249">
        <f>IF(BM74&gt;0,IF($M74="Saudi",MIN(BM74+$Q74*$V74,Assumptions!$B$14)*Assumptions!$B$12,MIN(BM74+$Q74*$V74,Assumptions!$B$14)*Assumptions!$B$13),0)</f>
        <v>0</v>
      </c>
      <c r="BQ74" s="249">
        <f>IF(AND(BM74&gt;0,$M74="Non-Saudi"),Assumptions!$B$25,0)</f>
        <v>910.41666666666663</v>
      </c>
      <c r="BR74" s="249">
        <f>IF(AND($D74="Contrat Local",$N74&lt;&gt;""),IF(AND(10&gt;=Assumptions!$B$5,ISNUMBER($X74),$N74&lt;EDATE(Assumptions!$B$9,-Assumptions!$B$6*12)),($P74+$X74)*$V74,$P74*$V74),0)</f>
        <v>10750</v>
      </c>
      <c r="BS74" s="249">
        <f t="shared" si="44"/>
        <v>13750</v>
      </c>
      <c r="BT74" s="249">
        <f>IF(AND(BS74&gt;0,$N74&lt;&gt;""),IF((DATE(Assumptions!$B$4,10,28)-$N74)/365.25&lt;=Assumptions!$B$20,(DATE(Assumptions!$B$4,10,28)-$N74)/365.25*Assumptions!$B$18*BS74,(Assumptions!$B$20*Assumptions!$B$18+((DATE(Assumptions!$B$4,10,28)-$N74)/365.25-Assumptions!$B$20)*Assumptions!$B$19)*BS74),0)</f>
        <v>36511.379192334018</v>
      </c>
      <c r="BU74" s="249">
        <f>IF(BR74&gt;0,IF($M74="Saudi",MIN(BR74+$Q74*$V74,Assumptions!$B$14)*Assumptions!$B$12,MIN(BR74+$Q74*$V74,Assumptions!$B$14)*Assumptions!$B$13),0)</f>
        <v>0</v>
      </c>
      <c r="BV74" s="249">
        <f>IF(AND(BR74&gt;0,$M74="Non-Saudi"),Assumptions!$B$25,0)</f>
        <v>910.41666666666663</v>
      </c>
      <c r="BW74" s="249">
        <f>IF(AND($D74="Contrat Local",$N74&lt;&gt;""),IF(AND(11&gt;=Assumptions!$B$5,ISNUMBER($X74),$N74&lt;EDATE(Assumptions!$B$9,-Assumptions!$B$6*12)),($P74+$X74)*$V74,$P74*$V74),0)</f>
        <v>10750</v>
      </c>
      <c r="BX74" s="249">
        <f t="shared" si="45"/>
        <v>13750</v>
      </c>
      <c r="BY74" s="249">
        <f>IF(AND(BX74&gt;0,$N74&lt;&gt;""),IF((DATE(Assumptions!$B$4,11,28)-$N74)/365.25&lt;=Assumptions!$B$20,(DATE(Assumptions!$B$4,11,28)-$N74)/365.25*Assumptions!$B$18*BX74,(Assumptions!$B$20*Assumptions!$B$18+((DATE(Assumptions!$B$4,11,28)-$N74)/365.25-Assumptions!$B$20)*Assumptions!$B$19)*BX74),0)</f>
        <v>37678.388090349072</v>
      </c>
      <c r="BZ74" s="249">
        <f>IF(BW74&gt;0,IF($M74="Saudi",MIN(BW74+$Q74*$V74,Assumptions!$B$14)*Assumptions!$B$12,MIN(BW74+$Q74*$V74,Assumptions!$B$14)*Assumptions!$B$13),0)</f>
        <v>0</v>
      </c>
      <c r="CA74" s="249">
        <f>IF(AND(BW74&gt;0,$M74="Non-Saudi"),Assumptions!$B$25,0)</f>
        <v>910.41666666666663</v>
      </c>
      <c r="CB74" s="249">
        <f>IF(AND($D74="Contrat Local",$N74&lt;&gt;""),IF(AND(12&gt;=Assumptions!$B$5,ISNUMBER($X74),$N74&lt;EDATE(Assumptions!$B$9,-Assumptions!$B$6*12)),($P74+$X74)*$V74,$P74*$V74),0)</f>
        <v>10750</v>
      </c>
      <c r="CC74" s="249">
        <f t="shared" si="46"/>
        <v>13750</v>
      </c>
      <c r="CD74" s="249">
        <f>IF(AND(CC74&gt;0,$N74&lt;&gt;""),IF((DATE(Assumptions!$B$4,12,28)-$N74)/365.25&lt;=Assumptions!$B$20,(DATE(Assumptions!$B$4,12,28)-$N74)/365.25*Assumptions!$B$18*CC74,(Assumptions!$B$20*Assumptions!$B$18+((DATE(Assumptions!$B$4,12,28)-$N74)/365.25-Assumptions!$B$20)*Assumptions!$B$19)*CC74),0)</f>
        <v>38807.751540041063</v>
      </c>
      <c r="CE74" s="249">
        <f>IF(CB74&gt;0,IF($M74="Saudi",MIN(CB74+$Q74*$V74,Assumptions!$B$14)*Assumptions!$B$12,MIN(CB74+$Q74*$V74,Assumptions!$B$14)*Assumptions!$B$13),0)</f>
        <v>0</v>
      </c>
      <c r="CF74" s="249">
        <f>IF(AND(CB74&gt;0,$M74="Non-Saudi"),Assumptions!$B$25,0)</f>
        <v>910.41666666666663</v>
      </c>
      <c r="CG74" s="249">
        <f t="shared" si="47"/>
        <v>127000</v>
      </c>
      <c r="CH74" s="249">
        <f t="shared" si="48"/>
        <v>163000</v>
      </c>
      <c r="CI74" s="249">
        <f>CD74-IF(AND(Z74&gt;0,$N74&lt;&gt;""),IF((DATE(Assumptions!$B$4-1,12,28)-$N74)/365.25&lt;=Assumptions!$B$20,(DATE(Assumptions!$B$4-1,12,28)-$N74)/365.25*Assumptions!$B$18*Z74,(Assumptions!$B$20*Assumptions!$B$18+((DATE(Assumptions!$B$4-1,12,28)-$N74)/365.25-Assumptions!$B$20)*Assumptions!$B$19)*Z74),0)</f>
        <v>9627.0533880903458</v>
      </c>
      <c r="CJ74" s="249">
        <f t="shared" si="49"/>
        <v>0</v>
      </c>
      <c r="CK74" s="249">
        <f t="shared" si="50"/>
        <v>10924.999999999998</v>
      </c>
    </row>
    <row r="75" spans="1:89" x14ac:dyDescent="0.2">
      <c r="A75" s="258">
        <v>74</v>
      </c>
      <c r="B75" s="259" t="s">
        <v>435</v>
      </c>
      <c r="C75" s="259" t="s">
        <v>436</v>
      </c>
      <c r="D75" s="259" t="s">
        <v>250</v>
      </c>
      <c r="E75" s="259" t="s">
        <v>767</v>
      </c>
      <c r="F75" s="259" t="s">
        <v>344</v>
      </c>
      <c r="G75" s="259" t="s">
        <v>4</v>
      </c>
      <c r="H75" s="259" t="s">
        <v>120</v>
      </c>
      <c r="I75" s="288" t="s">
        <v>691</v>
      </c>
      <c r="J75" s="259" t="s">
        <v>344</v>
      </c>
      <c r="K75" s="259" t="s">
        <v>4</v>
      </c>
      <c r="L75" s="259" t="s">
        <v>255</v>
      </c>
      <c r="M75" s="259" t="str">
        <f t="shared" si="26"/>
        <v>Non-Saudi</v>
      </c>
      <c r="N75" s="260">
        <v>44805</v>
      </c>
      <c r="O75" s="261">
        <v>4.3</v>
      </c>
      <c r="P75" s="262">
        <v>6600</v>
      </c>
      <c r="Q75" s="262">
        <v>2500</v>
      </c>
      <c r="R75" s="262">
        <v>500</v>
      </c>
      <c r="S75" s="262"/>
      <c r="T75" s="262"/>
      <c r="U75" s="262">
        <v>9600</v>
      </c>
      <c r="V75" s="263">
        <v>1</v>
      </c>
      <c r="W75" s="259" t="s">
        <v>259</v>
      </c>
      <c r="X75" s="259">
        <v>200</v>
      </c>
      <c r="Y75" s="249">
        <f t="shared" si="27"/>
        <v>6600</v>
      </c>
      <c r="Z75" s="249">
        <f t="shared" si="28"/>
        <v>9600</v>
      </c>
      <c r="AA75" s="249">
        <f>IF(AND(Z75&gt;0,$N75&lt;&gt;""),IF((DATE(Assumptions!$B$4,1,28)-$N75)/365.25&lt;=Assumptions!$B$20,(DATE(Assumptions!$B$4,1,28)-$N75)/365.25*Assumptions!$B$18*Z75,(Assumptions!$B$20*Assumptions!$B$18+((DATE(Assumptions!$B$4,1,28)-$N75)/365.25-Assumptions!$B$20)*Assumptions!$B$19)*Z75),0)</f>
        <v>16361.396303901438</v>
      </c>
      <c r="AB75" s="249">
        <f>IF(Y75&gt;0,IF($M75="Saudi",MIN(Y75+$Q75*$V75,Assumptions!$B$14)*Assumptions!$B$12,MIN(Y75+$Q75*$V75,Assumptions!$B$14)*Assumptions!$B$13),0)</f>
        <v>0</v>
      </c>
      <c r="AC75" s="249">
        <f>IF(AND(Y75&gt;0,$M75="Non-Saudi"),Assumptions!$B$25,0)</f>
        <v>910.41666666666663</v>
      </c>
      <c r="AD75" s="249">
        <f t="shared" si="29"/>
        <v>6600</v>
      </c>
      <c r="AE75" s="249">
        <f t="shared" si="30"/>
        <v>9600</v>
      </c>
      <c r="AF75" s="249">
        <f>IF(AND(AE75&gt;0,$N75&lt;&gt;""),IF((DATE(Assumptions!$B$4,2,28)-$N75)/365.25&lt;=Assumptions!$B$20,(DATE(Assumptions!$B$4,2,28)-$N75)/365.25*Assumptions!$B$18*AE75,(Assumptions!$B$20*Assumptions!$B$18+((DATE(Assumptions!$B$4,2,28)-$N75)/365.25-Assumptions!$B$20)*Assumptions!$B$19)*AE75),0)</f>
        <v>16768.788501026695</v>
      </c>
      <c r="AG75" s="249">
        <f>IF(AD75&gt;0,IF($M75="Saudi",MIN(AD75+$Q75*$V75,Assumptions!$B$14)*Assumptions!$B$12,MIN(AD75+$Q75*$V75,Assumptions!$B$14)*Assumptions!$B$13),0)</f>
        <v>0</v>
      </c>
      <c r="AH75" s="249">
        <f>IF(AND(AD75&gt;0,$M75="Non-Saudi"),Assumptions!$B$25,0)</f>
        <v>910.41666666666663</v>
      </c>
      <c r="AI75" s="249">
        <f t="shared" si="31"/>
        <v>6600</v>
      </c>
      <c r="AJ75" s="249">
        <f t="shared" si="32"/>
        <v>9600</v>
      </c>
      <c r="AK75" s="249">
        <f>IF(AND(AJ75&gt;0,$N75&lt;&gt;""),IF((DATE(Assumptions!$B$4,3,28)-$N75)/365.25&lt;=Assumptions!$B$20,(DATE(Assumptions!$B$4,3,28)-$N75)/365.25*Assumptions!$B$18*AJ75,(Assumptions!$B$20*Assumptions!$B$18+((DATE(Assumptions!$B$4,3,28)-$N75)/365.25-Assumptions!$B$20)*Assumptions!$B$19)*AJ75),0)</f>
        <v>17136.755646817248</v>
      </c>
      <c r="AL75" s="249">
        <f>IF(AI75&gt;0,IF($M75="Saudi",MIN(AI75+$Q75*$V75,Assumptions!$B$14)*Assumptions!$B$12,MIN(AI75+$Q75*$V75,Assumptions!$B$14)*Assumptions!$B$13),0)</f>
        <v>0</v>
      </c>
      <c r="AM75" s="249">
        <f>IF(AND(AI75&gt;0,$M75="Non-Saudi"),Assumptions!$B$25,0)</f>
        <v>910.41666666666663</v>
      </c>
      <c r="AN75" s="249">
        <f t="shared" si="33"/>
        <v>6600</v>
      </c>
      <c r="AO75" s="249">
        <f t="shared" si="34"/>
        <v>9600</v>
      </c>
      <c r="AP75" s="249">
        <f>IF(AND(AO75&gt;0,$N75&lt;&gt;""),IF((DATE(Assumptions!$B$4,4,28)-$N75)/365.25&lt;=Assumptions!$B$20,(DATE(Assumptions!$B$4,4,28)-$N75)/365.25*Assumptions!$B$18*AO75,(Assumptions!$B$20*Assumptions!$B$18+((DATE(Assumptions!$B$4,4,28)-$N75)/365.25-Assumptions!$B$20)*Assumptions!$B$19)*AO75),0)</f>
        <v>17544.147843942505</v>
      </c>
      <c r="AQ75" s="249">
        <f>IF(AN75&gt;0,IF($M75="Saudi",MIN(AN75+$Q75*$V75,Assumptions!$B$14)*Assumptions!$B$12,MIN(AN75+$Q75*$V75,Assumptions!$B$14)*Assumptions!$B$13),0)</f>
        <v>0</v>
      </c>
      <c r="AR75" s="249">
        <f>IF(AND(AN75&gt;0,$M75="Non-Saudi"),Assumptions!$B$25,0)</f>
        <v>910.41666666666663</v>
      </c>
      <c r="AS75" s="249">
        <f t="shared" si="35"/>
        <v>6600</v>
      </c>
      <c r="AT75" s="249">
        <f t="shared" si="36"/>
        <v>9600</v>
      </c>
      <c r="AU75" s="249">
        <f>IF(AND(AT75&gt;0,$N75&lt;&gt;""),IF((DATE(Assumptions!$B$4,5,28)-$N75)/365.25&lt;=Assumptions!$B$20,(DATE(Assumptions!$B$4,5,28)-$N75)/365.25*Assumptions!$B$18*AT75,(Assumptions!$B$20*Assumptions!$B$18+((DATE(Assumptions!$B$4,5,28)-$N75)/365.25-Assumptions!$B$20)*Assumptions!$B$19)*AT75),0)</f>
        <v>17938.398357289527</v>
      </c>
      <c r="AV75" s="249">
        <f>IF(AS75&gt;0,IF($M75="Saudi",MIN(AS75+$Q75*$V75,Assumptions!$B$14)*Assumptions!$B$12,MIN(AS75+$Q75*$V75,Assumptions!$B$14)*Assumptions!$B$13),0)</f>
        <v>0</v>
      </c>
      <c r="AW75" s="249">
        <f>IF(AND(AS75&gt;0,$M75="Non-Saudi"),Assumptions!$B$25,0)</f>
        <v>910.41666666666663</v>
      </c>
      <c r="AX75" s="249">
        <f t="shared" si="37"/>
        <v>6600</v>
      </c>
      <c r="AY75" s="249">
        <f t="shared" si="38"/>
        <v>9600</v>
      </c>
      <c r="AZ75" s="249">
        <f>IF(AND(AY75&gt;0,$N75&lt;&gt;""),IF((DATE(Assumptions!$B$4,6,28)-$N75)/365.25&lt;=Assumptions!$B$20,(DATE(Assumptions!$B$4,6,28)-$N75)/365.25*Assumptions!$B$18*AY75,(Assumptions!$B$20*Assumptions!$B$18+((DATE(Assumptions!$B$4,6,28)-$N75)/365.25-Assumptions!$B$20)*Assumptions!$B$19)*AY75),0)</f>
        <v>18345.790554414783</v>
      </c>
      <c r="BA75" s="249">
        <f>IF(AX75&gt;0,IF($M75="Saudi",MIN(AX75+$Q75*$V75,Assumptions!$B$14)*Assumptions!$B$12,MIN(AX75+$Q75*$V75,Assumptions!$B$14)*Assumptions!$B$13),0)</f>
        <v>0</v>
      </c>
      <c r="BB75" s="249">
        <f>IF(AND(AX75&gt;0,$M75="Non-Saudi"),Assumptions!$B$25,0)</f>
        <v>910.41666666666663</v>
      </c>
      <c r="BC75" s="249">
        <f t="shared" si="39"/>
        <v>6600</v>
      </c>
      <c r="BD75" s="249">
        <f t="shared" si="40"/>
        <v>9600</v>
      </c>
      <c r="BE75" s="249">
        <f>IF(AND(BD75&gt;0,$N75&lt;&gt;""),IF((DATE(Assumptions!$B$4,7,28)-$N75)/365.25&lt;=Assumptions!$B$20,(DATE(Assumptions!$B$4,7,28)-$N75)/365.25*Assumptions!$B$18*BD75,(Assumptions!$B$20*Assumptions!$B$18+((DATE(Assumptions!$B$4,7,28)-$N75)/365.25-Assumptions!$B$20)*Assumptions!$B$19)*BD75),0)</f>
        <v>18740.041067761806</v>
      </c>
      <c r="BF75" s="249">
        <f>IF(BC75&gt;0,IF($M75="Saudi",MIN(BC75+$Q75*$V75,Assumptions!$B$14)*Assumptions!$B$12,MIN(BC75+$Q75*$V75,Assumptions!$B$14)*Assumptions!$B$13),0)</f>
        <v>0</v>
      </c>
      <c r="BG75" s="249">
        <f>IF(AND(BC75&gt;0,$M75="Non-Saudi"),Assumptions!$B$25,0)</f>
        <v>910.41666666666663</v>
      </c>
      <c r="BH75" s="249">
        <f t="shared" si="41"/>
        <v>6600</v>
      </c>
      <c r="BI75" s="249">
        <f t="shared" si="42"/>
        <v>9600</v>
      </c>
      <c r="BJ75" s="249">
        <f>IF(AND(BI75&gt;0,$N75&lt;&gt;""),IF((DATE(Assumptions!$B$4,8,28)-$N75)/365.25&lt;=Assumptions!$B$20,(DATE(Assumptions!$B$4,8,28)-$N75)/365.25*Assumptions!$B$18*BI75,(Assumptions!$B$20*Assumptions!$B$18+((DATE(Assumptions!$B$4,8,28)-$N75)/365.25-Assumptions!$B$20)*Assumptions!$B$19)*BI75),0)</f>
        <v>19147.433264887066</v>
      </c>
      <c r="BK75" s="249">
        <f>IF(BH75&gt;0,IF($M75="Saudi",MIN(BH75+$Q75*$V75,Assumptions!$B$14)*Assumptions!$B$12,MIN(BH75+$Q75*$V75,Assumptions!$B$14)*Assumptions!$B$13),0)</f>
        <v>0</v>
      </c>
      <c r="BL75" s="249">
        <f>IF(AND(BH75&gt;0,$M75="Non-Saudi"),Assumptions!$B$25,0)</f>
        <v>910.41666666666663</v>
      </c>
      <c r="BM75" s="249">
        <f>IF(AND($D75="Contrat Local",$N75&lt;&gt;""),IF(AND(9&gt;=Assumptions!$B$5,ISNUMBER($X75),$N75&lt;EDATE(Assumptions!$B$9,-Assumptions!$B$6*12)),($P75+$X75)*$V75,$P75*$V75),0)</f>
        <v>6800</v>
      </c>
      <c r="BN75" s="249">
        <f t="shared" si="43"/>
        <v>9800</v>
      </c>
      <c r="BO75" s="249">
        <f>IF(AND(BN75&gt;0,$N75&lt;&gt;""),IF((DATE(Assumptions!$B$4,9,28)-$N75)/365.25&lt;=Assumptions!$B$20,(DATE(Assumptions!$B$4,9,28)-$N75)/365.25*Assumptions!$B$18*BN75,(Assumptions!$B$20*Assumptions!$B$18+((DATE(Assumptions!$B$4,9,28)-$N75)/365.25-Assumptions!$B$20)*Assumptions!$B$19)*BN75),0)</f>
        <v>19962.217659137576</v>
      </c>
      <c r="BP75" s="249">
        <f>IF(BM75&gt;0,IF($M75="Saudi",MIN(BM75+$Q75*$V75,Assumptions!$B$14)*Assumptions!$B$12,MIN(BM75+$Q75*$V75,Assumptions!$B$14)*Assumptions!$B$13),0)</f>
        <v>0</v>
      </c>
      <c r="BQ75" s="249">
        <f>IF(AND(BM75&gt;0,$M75="Non-Saudi"),Assumptions!$B$25,0)</f>
        <v>910.41666666666663</v>
      </c>
      <c r="BR75" s="249">
        <f>IF(AND($D75="Contrat Local",$N75&lt;&gt;""),IF(AND(10&gt;=Assumptions!$B$5,ISNUMBER($X75),$N75&lt;EDATE(Assumptions!$B$9,-Assumptions!$B$6*12)),($P75+$X75)*$V75,$P75*$V75),0)</f>
        <v>6800</v>
      </c>
      <c r="BS75" s="249">
        <f t="shared" si="44"/>
        <v>9800</v>
      </c>
      <c r="BT75" s="249">
        <f>IF(AND(BS75&gt;0,$N75&lt;&gt;""),IF((DATE(Assumptions!$B$4,10,28)-$N75)/365.25&lt;=Assumptions!$B$20,(DATE(Assumptions!$B$4,10,28)-$N75)/365.25*Assumptions!$B$18*BS75,(Assumptions!$B$20*Assumptions!$B$18+((DATE(Assumptions!$B$4,10,28)-$N75)/365.25-Assumptions!$B$20)*Assumptions!$B$19)*BS75),0)</f>
        <v>20364.681724845996</v>
      </c>
      <c r="BU75" s="249">
        <f>IF(BR75&gt;0,IF($M75="Saudi",MIN(BR75+$Q75*$V75,Assumptions!$B$14)*Assumptions!$B$12,MIN(BR75+$Q75*$V75,Assumptions!$B$14)*Assumptions!$B$13),0)</f>
        <v>0</v>
      </c>
      <c r="BV75" s="249">
        <f>IF(AND(BR75&gt;0,$M75="Non-Saudi"),Assumptions!$B$25,0)</f>
        <v>910.41666666666663</v>
      </c>
      <c r="BW75" s="249">
        <f>IF(AND($D75="Contrat Local",$N75&lt;&gt;""),IF(AND(11&gt;=Assumptions!$B$5,ISNUMBER($X75),$N75&lt;EDATE(Assumptions!$B$9,-Assumptions!$B$6*12)),($P75+$X75)*$V75,$P75*$V75),0)</f>
        <v>6800</v>
      </c>
      <c r="BX75" s="249">
        <f t="shared" si="45"/>
        <v>9800</v>
      </c>
      <c r="BY75" s="249">
        <f>IF(AND(BX75&gt;0,$N75&lt;&gt;""),IF((DATE(Assumptions!$B$4,11,28)-$N75)/365.25&lt;=Assumptions!$B$20,(DATE(Assumptions!$B$4,11,28)-$N75)/365.25*Assumptions!$B$18*BX75,(Assumptions!$B$20*Assumptions!$B$18+((DATE(Assumptions!$B$4,11,28)-$N75)/365.25-Assumptions!$B$20)*Assumptions!$B$19)*BX75),0)</f>
        <v>20780.561259411359</v>
      </c>
      <c r="BZ75" s="249">
        <f>IF(BW75&gt;0,IF($M75="Saudi",MIN(BW75+$Q75*$V75,Assumptions!$B$14)*Assumptions!$B$12,MIN(BW75+$Q75*$V75,Assumptions!$B$14)*Assumptions!$B$13),0)</f>
        <v>0</v>
      </c>
      <c r="CA75" s="249">
        <f>IF(AND(BW75&gt;0,$M75="Non-Saudi"),Assumptions!$B$25,0)</f>
        <v>910.41666666666663</v>
      </c>
      <c r="CB75" s="249">
        <f>IF(AND($D75="Contrat Local",$N75&lt;&gt;""),IF(AND(12&gt;=Assumptions!$B$5,ISNUMBER($X75),$N75&lt;EDATE(Assumptions!$B$9,-Assumptions!$B$6*12)),($P75+$X75)*$V75,$P75*$V75),0)</f>
        <v>6800</v>
      </c>
      <c r="CC75" s="249">
        <f t="shared" si="46"/>
        <v>9800</v>
      </c>
      <c r="CD75" s="249">
        <f>IF(AND(CC75&gt;0,$N75&lt;&gt;""),IF((DATE(Assumptions!$B$4,12,28)-$N75)/365.25&lt;=Assumptions!$B$20,(DATE(Assumptions!$B$4,12,28)-$N75)/365.25*Assumptions!$B$18*CC75,(Assumptions!$B$20*Assumptions!$B$18+((DATE(Assumptions!$B$4,12,28)-$N75)/365.25-Assumptions!$B$20)*Assumptions!$B$19)*CC75),0)</f>
        <v>21183.025325119779</v>
      </c>
      <c r="CE75" s="249">
        <f>IF(CB75&gt;0,IF($M75="Saudi",MIN(CB75+$Q75*$V75,Assumptions!$B$14)*Assumptions!$B$12,MIN(CB75+$Q75*$V75,Assumptions!$B$14)*Assumptions!$B$13),0)</f>
        <v>0</v>
      </c>
      <c r="CF75" s="249">
        <f>IF(AND(CB75&gt;0,$M75="Non-Saudi"),Assumptions!$B$25,0)</f>
        <v>910.41666666666663</v>
      </c>
      <c r="CG75" s="249">
        <f t="shared" si="47"/>
        <v>80000</v>
      </c>
      <c r="CH75" s="249">
        <f t="shared" si="48"/>
        <v>116000</v>
      </c>
      <c r="CI75" s="249">
        <f>CD75-IF(AND(Z75&gt;0,$N75&lt;&gt;""),IF((DATE(Assumptions!$B$4-1,12,28)-$N75)/365.25&lt;=Assumptions!$B$20,(DATE(Assumptions!$B$4-1,12,28)-$N75)/365.25*Assumptions!$B$18*Z75,(Assumptions!$B$20*Assumptions!$B$18+((DATE(Assumptions!$B$4-1,12,28)-$N75)/365.25-Assumptions!$B$20)*Assumptions!$B$19)*Z75),0)</f>
        <v>5229.0212183435997</v>
      </c>
      <c r="CJ75" s="249">
        <f t="shared" si="49"/>
        <v>0</v>
      </c>
      <c r="CK75" s="249">
        <f t="shared" si="50"/>
        <v>10924.999999999998</v>
      </c>
    </row>
    <row r="76" spans="1:89" x14ac:dyDescent="0.2">
      <c r="A76" s="270">
        <v>75</v>
      </c>
      <c r="B76" s="271" t="s">
        <v>437</v>
      </c>
      <c r="C76" s="271" t="s">
        <v>438</v>
      </c>
      <c r="D76" s="271" t="s">
        <v>250</v>
      </c>
      <c r="E76" s="271" t="s">
        <v>767</v>
      </c>
      <c r="F76" s="271" t="s">
        <v>439</v>
      </c>
      <c r="G76" s="271" t="s">
        <v>272</v>
      </c>
      <c r="H76" s="271" t="s">
        <v>440</v>
      </c>
      <c r="I76" s="285" t="s">
        <v>690</v>
      </c>
      <c r="J76" s="271"/>
      <c r="K76" s="271" t="s">
        <v>272</v>
      </c>
      <c r="L76" s="271" t="s">
        <v>255</v>
      </c>
      <c r="M76" s="271" t="str">
        <f t="shared" si="26"/>
        <v>Non-Saudi</v>
      </c>
      <c r="N76" s="272">
        <v>45901</v>
      </c>
      <c r="O76" s="273">
        <v>1.3</v>
      </c>
      <c r="P76" s="274">
        <v>5000</v>
      </c>
      <c r="Q76" s="274">
        <v>2500</v>
      </c>
      <c r="R76" s="274">
        <v>500</v>
      </c>
      <c r="S76" s="274"/>
      <c r="T76" s="274"/>
      <c r="U76" s="274">
        <v>8000</v>
      </c>
      <c r="V76" s="275">
        <v>1</v>
      </c>
      <c r="W76" s="271" t="s">
        <v>256</v>
      </c>
      <c r="X76" s="271" t="s">
        <v>268</v>
      </c>
      <c r="Y76" s="249">
        <f t="shared" si="27"/>
        <v>5000</v>
      </c>
      <c r="Z76" s="249">
        <f t="shared" si="28"/>
        <v>8000</v>
      </c>
      <c r="AA76" s="249">
        <f>IF(AND(Z76&gt;0,$N76&lt;&gt;""),IF((DATE(Assumptions!$B$4,1,28)-$N76)/365.25&lt;=Assumptions!$B$20,(DATE(Assumptions!$B$4,1,28)-$N76)/365.25*Assumptions!$B$18*Z76,(Assumptions!$B$20*Assumptions!$B$18+((DATE(Assumptions!$B$4,1,28)-$N76)/365.25-Assumptions!$B$20)*Assumptions!$B$19)*Z76),0)</f>
        <v>1631.7590691307325</v>
      </c>
      <c r="AB76" s="249">
        <f>IF(Y76&gt;0,IF($M76="Saudi",MIN(Y76+$Q76*$V76,Assumptions!$B$14)*Assumptions!$B$12,MIN(Y76+$Q76*$V76,Assumptions!$B$14)*Assumptions!$B$13),0)</f>
        <v>0</v>
      </c>
      <c r="AC76" s="249">
        <f>IF(AND(Y76&gt;0,$M76="Non-Saudi"),Assumptions!$B$25,0)</f>
        <v>910.41666666666663</v>
      </c>
      <c r="AD76" s="249">
        <f t="shared" si="29"/>
        <v>5000</v>
      </c>
      <c r="AE76" s="249">
        <f t="shared" si="30"/>
        <v>8000</v>
      </c>
      <c r="AF76" s="249">
        <f>IF(AND(AE76&gt;0,$N76&lt;&gt;""),IF((DATE(Assumptions!$B$4,2,28)-$N76)/365.25&lt;=Assumptions!$B$20,(DATE(Assumptions!$B$4,2,28)-$N76)/365.25*Assumptions!$B$18*AE76,(Assumptions!$B$20*Assumptions!$B$18+((DATE(Assumptions!$B$4,2,28)-$N76)/365.25-Assumptions!$B$20)*Assumptions!$B$19)*AE76),0)</f>
        <v>1971.2525667351129</v>
      </c>
      <c r="AG76" s="249">
        <f>IF(AD76&gt;0,IF($M76="Saudi",MIN(AD76+$Q76*$V76,Assumptions!$B$14)*Assumptions!$B$12,MIN(AD76+$Q76*$V76,Assumptions!$B$14)*Assumptions!$B$13),0)</f>
        <v>0</v>
      </c>
      <c r="AH76" s="249">
        <f>IF(AND(AD76&gt;0,$M76="Non-Saudi"),Assumptions!$B$25,0)</f>
        <v>910.41666666666663</v>
      </c>
      <c r="AI76" s="249">
        <f t="shared" si="31"/>
        <v>5000</v>
      </c>
      <c r="AJ76" s="249">
        <f t="shared" si="32"/>
        <v>8000</v>
      </c>
      <c r="AK76" s="249">
        <f>IF(AND(AJ76&gt;0,$N76&lt;&gt;""),IF((DATE(Assumptions!$B$4,3,28)-$N76)/365.25&lt;=Assumptions!$B$20,(DATE(Assumptions!$B$4,3,28)-$N76)/365.25*Assumptions!$B$18*AJ76,(Assumptions!$B$20*Assumptions!$B$18+((DATE(Assumptions!$B$4,3,28)-$N76)/365.25-Assumptions!$B$20)*Assumptions!$B$19)*AJ76),0)</f>
        <v>2277.8918548939087</v>
      </c>
      <c r="AL76" s="249">
        <f>IF(AI76&gt;0,IF($M76="Saudi",MIN(AI76+$Q76*$V76,Assumptions!$B$14)*Assumptions!$B$12,MIN(AI76+$Q76*$V76,Assumptions!$B$14)*Assumptions!$B$13),0)</f>
        <v>0</v>
      </c>
      <c r="AM76" s="249">
        <f>IF(AND(AI76&gt;0,$M76="Non-Saudi"),Assumptions!$B$25,0)</f>
        <v>910.41666666666663</v>
      </c>
      <c r="AN76" s="249">
        <f t="shared" si="33"/>
        <v>5000</v>
      </c>
      <c r="AO76" s="249">
        <f t="shared" si="34"/>
        <v>8000</v>
      </c>
      <c r="AP76" s="249">
        <f>IF(AND(AO76&gt;0,$N76&lt;&gt;""),IF((DATE(Assumptions!$B$4,4,28)-$N76)/365.25&lt;=Assumptions!$B$20,(DATE(Assumptions!$B$4,4,28)-$N76)/365.25*Assumptions!$B$18*AO76,(Assumptions!$B$20*Assumptions!$B$18+((DATE(Assumptions!$B$4,4,28)-$N76)/365.25-Assumptions!$B$20)*Assumptions!$B$19)*AO76),0)</f>
        <v>2617.3853524982887</v>
      </c>
      <c r="AQ76" s="249">
        <f>IF(AN76&gt;0,IF($M76="Saudi",MIN(AN76+$Q76*$V76,Assumptions!$B$14)*Assumptions!$B$12,MIN(AN76+$Q76*$V76,Assumptions!$B$14)*Assumptions!$B$13),0)</f>
        <v>0</v>
      </c>
      <c r="AR76" s="249">
        <f>IF(AND(AN76&gt;0,$M76="Non-Saudi"),Assumptions!$B$25,0)</f>
        <v>910.41666666666663</v>
      </c>
      <c r="AS76" s="249">
        <f t="shared" si="35"/>
        <v>5000</v>
      </c>
      <c r="AT76" s="249">
        <f t="shared" si="36"/>
        <v>8000</v>
      </c>
      <c r="AU76" s="249">
        <f>IF(AND(AT76&gt;0,$N76&lt;&gt;""),IF((DATE(Assumptions!$B$4,5,28)-$N76)/365.25&lt;=Assumptions!$B$20,(DATE(Assumptions!$B$4,5,28)-$N76)/365.25*Assumptions!$B$18*AT76,(Assumptions!$B$20*Assumptions!$B$18+((DATE(Assumptions!$B$4,5,28)-$N76)/365.25-Assumptions!$B$20)*Assumptions!$B$19)*AT76),0)</f>
        <v>2945.927446954141</v>
      </c>
      <c r="AV76" s="249">
        <f>IF(AS76&gt;0,IF($M76="Saudi",MIN(AS76+$Q76*$V76,Assumptions!$B$14)*Assumptions!$B$12,MIN(AS76+$Q76*$V76,Assumptions!$B$14)*Assumptions!$B$13),0)</f>
        <v>0</v>
      </c>
      <c r="AW76" s="249">
        <f>IF(AND(AS76&gt;0,$M76="Non-Saudi"),Assumptions!$B$25,0)</f>
        <v>910.41666666666663</v>
      </c>
      <c r="AX76" s="249">
        <f t="shared" si="37"/>
        <v>5000</v>
      </c>
      <c r="AY76" s="249">
        <f t="shared" si="38"/>
        <v>8000</v>
      </c>
      <c r="AZ76" s="249">
        <f>IF(AND(AY76&gt;0,$N76&lt;&gt;""),IF((DATE(Assumptions!$B$4,6,28)-$N76)/365.25&lt;=Assumptions!$B$20,(DATE(Assumptions!$B$4,6,28)-$N76)/365.25*Assumptions!$B$18*AY76,(Assumptions!$B$20*Assumptions!$B$18+((DATE(Assumptions!$B$4,6,28)-$N76)/365.25-Assumptions!$B$20)*Assumptions!$B$19)*AY76),0)</f>
        <v>3285.4209445585216</v>
      </c>
      <c r="BA76" s="249">
        <f>IF(AX76&gt;0,IF($M76="Saudi",MIN(AX76+$Q76*$V76,Assumptions!$B$14)*Assumptions!$B$12,MIN(AX76+$Q76*$V76,Assumptions!$B$14)*Assumptions!$B$13),0)</f>
        <v>0</v>
      </c>
      <c r="BB76" s="249">
        <f>IF(AND(AX76&gt;0,$M76="Non-Saudi"),Assumptions!$B$25,0)</f>
        <v>910.41666666666663</v>
      </c>
      <c r="BC76" s="249">
        <f t="shared" si="39"/>
        <v>5000</v>
      </c>
      <c r="BD76" s="249">
        <f t="shared" si="40"/>
        <v>8000</v>
      </c>
      <c r="BE76" s="249">
        <f>IF(AND(BD76&gt;0,$N76&lt;&gt;""),IF((DATE(Assumptions!$B$4,7,28)-$N76)/365.25&lt;=Assumptions!$B$20,(DATE(Assumptions!$B$4,7,28)-$N76)/365.25*Assumptions!$B$18*BD76,(Assumptions!$B$20*Assumptions!$B$18+((DATE(Assumptions!$B$4,7,28)-$N76)/365.25-Assumptions!$B$20)*Assumptions!$B$19)*BD76),0)</f>
        <v>3613.9630390143734</v>
      </c>
      <c r="BF76" s="249">
        <f>IF(BC76&gt;0,IF($M76="Saudi",MIN(BC76+$Q76*$V76,Assumptions!$B$14)*Assumptions!$B$12,MIN(BC76+$Q76*$V76,Assumptions!$B$14)*Assumptions!$B$13),0)</f>
        <v>0</v>
      </c>
      <c r="BG76" s="249">
        <f>IF(AND(BC76&gt;0,$M76="Non-Saudi"),Assumptions!$B$25,0)</f>
        <v>910.41666666666663</v>
      </c>
      <c r="BH76" s="249">
        <f t="shared" si="41"/>
        <v>5000</v>
      </c>
      <c r="BI76" s="249">
        <f t="shared" si="42"/>
        <v>8000</v>
      </c>
      <c r="BJ76" s="249">
        <f>IF(AND(BI76&gt;0,$N76&lt;&gt;""),IF((DATE(Assumptions!$B$4,8,28)-$N76)/365.25&lt;=Assumptions!$B$20,(DATE(Assumptions!$B$4,8,28)-$N76)/365.25*Assumptions!$B$18*BI76,(Assumptions!$B$20*Assumptions!$B$18+((DATE(Assumptions!$B$4,8,28)-$N76)/365.25-Assumptions!$B$20)*Assumptions!$B$19)*BI76),0)</f>
        <v>3953.4565366187544</v>
      </c>
      <c r="BK76" s="249">
        <f>IF(BH76&gt;0,IF($M76="Saudi",MIN(BH76+$Q76*$V76,Assumptions!$B$14)*Assumptions!$B$12,MIN(BH76+$Q76*$V76,Assumptions!$B$14)*Assumptions!$B$13),0)</f>
        <v>0</v>
      </c>
      <c r="BL76" s="249">
        <f>IF(AND(BH76&gt;0,$M76="Non-Saudi"),Assumptions!$B$25,0)</f>
        <v>910.41666666666663</v>
      </c>
      <c r="BM76" s="249">
        <f>IF(AND($D76="Contrat Local",$N76&lt;&gt;""),IF(AND(9&gt;=Assumptions!$B$5,ISNUMBER($X76),$N76&lt;EDATE(Assumptions!$B$9,-Assumptions!$B$6*12)),($P76+$X76)*$V76,$P76*$V76),0)</f>
        <v>5000</v>
      </c>
      <c r="BN76" s="249">
        <f t="shared" si="43"/>
        <v>8000</v>
      </c>
      <c r="BO76" s="249">
        <f>IF(AND(BN76&gt;0,$N76&lt;&gt;""),IF((DATE(Assumptions!$B$4,9,28)-$N76)/365.25&lt;=Assumptions!$B$20,(DATE(Assumptions!$B$4,9,28)-$N76)/365.25*Assumptions!$B$18*BN76,(Assumptions!$B$20*Assumptions!$B$18+((DATE(Assumptions!$B$4,9,28)-$N76)/365.25-Assumptions!$B$20)*Assumptions!$B$19)*BN76),0)</f>
        <v>4292.9500342231349</v>
      </c>
      <c r="BP76" s="249">
        <f>IF(BM76&gt;0,IF($M76="Saudi",MIN(BM76+$Q76*$V76,Assumptions!$B$14)*Assumptions!$B$12,MIN(BM76+$Q76*$V76,Assumptions!$B$14)*Assumptions!$B$13),0)</f>
        <v>0</v>
      </c>
      <c r="BQ76" s="249">
        <f>IF(AND(BM76&gt;0,$M76="Non-Saudi"),Assumptions!$B$25,0)</f>
        <v>910.41666666666663</v>
      </c>
      <c r="BR76" s="249">
        <f>IF(AND($D76="Contrat Local",$N76&lt;&gt;""),IF(AND(10&gt;=Assumptions!$B$5,ISNUMBER($X76),$N76&lt;EDATE(Assumptions!$B$9,-Assumptions!$B$6*12)),($P76+$X76)*$V76,$P76*$V76),0)</f>
        <v>5000</v>
      </c>
      <c r="BS76" s="249">
        <f t="shared" si="44"/>
        <v>8000</v>
      </c>
      <c r="BT76" s="249">
        <f>IF(AND(BS76&gt;0,$N76&lt;&gt;""),IF((DATE(Assumptions!$B$4,10,28)-$N76)/365.25&lt;=Assumptions!$B$20,(DATE(Assumptions!$B$4,10,28)-$N76)/365.25*Assumptions!$B$18*BS76,(Assumptions!$B$20*Assumptions!$B$18+((DATE(Assumptions!$B$4,10,28)-$N76)/365.25-Assumptions!$B$20)*Assumptions!$B$19)*BS76),0)</f>
        <v>4621.4921286789877</v>
      </c>
      <c r="BU76" s="249">
        <f>IF(BR76&gt;0,IF($M76="Saudi",MIN(BR76+$Q76*$V76,Assumptions!$B$14)*Assumptions!$B$12,MIN(BR76+$Q76*$V76,Assumptions!$B$14)*Assumptions!$B$13),0)</f>
        <v>0</v>
      </c>
      <c r="BV76" s="249">
        <f>IF(AND(BR76&gt;0,$M76="Non-Saudi"),Assumptions!$B$25,0)</f>
        <v>910.41666666666663</v>
      </c>
      <c r="BW76" s="249">
        <f>IF(AND($D76="Contrat Local",$N76&lt;&gt;""),IF(AND(11&gt;=Assumptions!$B$5,ISNUMBER($X76),$N76&lt;EDATE(Assumptions!$B$9,-Assumptions!$B$6*12)),($P76+$X76)*$V76,$P76*$V76),0)</f>
        <v>5000</v>
      </c>
      <c r="BX76" s="249">
        <f t="shared" si="45"/>
        <v>8000</v>
      </c>
      <c r="BY76" s="249">
        <f>IF(AND(BX76&gt;0,$N76&lt;&gt;""),IF((DATE(Assumptions!$B$4,11,28)-$N76)/365.25&lt;=Assumptions!$B$20,(DATE(Assumptions!$B$4,11,28)-$N76)/365.25*Assumptions!$B$18*BX76,(Assumptions!$B$20*Assumptions!$B$18+((DATE(Assumptions!$B$4,11,28)-$N76)/365.25-Assumptions!$B$20)*Assumptions!$B$19)*BX76),0)</f>
        <v>4960.9856262833673</v>
      </c>
      <c r="BZ76" s="249">
        <f>IF(BW76&gt;0,IF($M76="Saudi",MIN(BW76+$Q76*$V76,Assumptions!$B$14)*Assumptions!$B$12,MIN(BW76+$Q76*$V76,Assumptions!$B$14)*Assumptions!$B$13),0)</f>
        <v>0</v>
      </c>
      <c r="CA76" s="249">
        <f>IF(AND(BW76&gt;0,$M76="Non-Saudi"),Assumptions!$B$25,0)</f>
        <v>910.41666666666663</v>
      </c>
      <c r="CB76" s="249">
        <f>IF(AND($D76="Contrat Local",$N76&lt;&gt;""),IF(AND(12&gt;=Assumptions!$B$5,ISNUMBER($X76),$N76&lt;EDATE(Assumptions!$B$9,-Assumptions!$B$6*12)),($P76+$X76)*$V76,$P76*$V76),0)</f>
        <v>5000</v>
      </c>
      <c r="CC76" s="249">
        <f t="shared" si="46"/>
        <v>8000</v>
      </c>
      <c r="CD76" s="249">
        <f>IF(AND(CC76&gt;0,$N76&lt;&gt;""),IF((DATE(Assumptions!$B$4,12,28)-$N76)/365.25&lt;=Assumptions!$B$20,(DATE(Assumptions!$B$4,12,28)-$N76)/365.25*Assumptions!$B$18*CC76,(Assumptions!$B$20*Assumptions!$B$18+((DATE(Assumptions!$B$4,12,28)-$N76)/365.25-Assumptions!$B$20)*Assumptions!$B$19)*CC76),0)</f>
        <v>5289.5277207392201</v>
      </c>
      <c r="CE76" s="249">
        <f>IF(CB76&gt;0,IF($M76="Saudi",MIN(CB76+$Q76*$V76,Assumptions!$B$14)*Assumptions!$B$12,MIN(CB76+$Q76*$V76,Assumptions!$B$14)*Assumptions!$B$13),0)</f>
        <v>0</v>
      </c>
      <c r="CF76" s="249">
        <f>IF(AND(CB76&gt;0,$M76="Non-Saudi"),Assumptions!$B$25,0)</f>
        <v>910.41666666666663</v>
      </c>
      <c r="CG76" s="249">
        <f t="shared" si="47"/>
        <v>60000</v>
      </c>
      <c r="CH76" s="249">
        <f t="shared" si="48"/>
        <v>96000</v>
      </c>
      <c r="CI76" s="249">
        <f>CD76-IF(AND(Z76&gt;0,$N76&lt;&gt;""),IF((DATE(Assumptions!$B$4-1,12,28)-$N76)/365.25&lt;=Assumptions!$B$20,(DATE(Assumptions!$B$4-1,12,28)-$N76)/365.25*Assumptions!$B$18*Z76,(Assumptions!$B$20*Assumptions!$B$18+((DATE(Assumptions!$B$4-1,12,28)-$N76)/365.25-Assumptions!$B$20)*Assumptions!$B$19)*Z76),0)</f>
        <v>3997.2621492128683</v>
      </c>
      <c r="CJ76" s="249">
        <f t="shared" si="49"/>
        <v>0</v>
      </c>
      <c r="CK76" s="249">
        <f t="shared" si="50"/>
        <v>10924.999999999998</v>
      </c>
    </row>
    <row r="77" spans="1:89" x14ac:dyDescent="0.2">
      <c r="A77" s="276">
        <v>76</v>
      </c>
      <c r="B77" s="277" t="s">
        <v>441</v>
      </c>
      <c r="C77" s="277" t="s">
        <v>442</v>
      </c>
      <c r="D77" s="277" t="s">
        <v>250</v>
      </c>
      <c r="E77" s="277" t="s">
        <v>767</v>
      </c>
      <c r="F77" s="277" t="s">
        <v>302</v>
      </c>
      <c r="G77" s="277" t="s">
        <v>303</v>
      </c>
      <c r="H77" s="277" t="s">
        <v>341</v>
      </c>
      <c r="I77" s="287" t="s">
        <v>691</v>
      </c>
      <c r="J77" s="277" t="s">
        <v>104</v>
      </c>
      <c r="K77" s="277" t="s">
        <v>254</v>
      </c>
      <c r="L77" s="277" t="s">
        <v>255</v>
      </c>
      <c r="M77" s="277" t="str">
        <f t="shared" si="26"/>
        <v>Non-Saudi</v>
      </c>
      <c r="N77" s="278">
        <v>36770</v>
      </c>
      <c r="O77" s="279">
        <v>26.3</v>
      </c>
      <c r="P77" s="280">
        <v>10750</v>
      </c>
      <c r="Q77" s="280">
        <v>2500</v>
      </c>
      <c r="R77" s="280">
        <v>500</v>
      </c>
      <c r="S77" s="280"/>
      <c r="T77" s="280">
        <v>1900</v>
      </c>
      <c r="U77" s="280">
        <v>15650</v>
      </c>
      <c r="V77" s="281">
        <v>1</v>
      </c>
      <c r="W77" s="277" t="s">
        <v>259</v>
      </c>
      <c r="X77" s="277">
        <v>250</v>
      </c>
      <c r="Y77" s="249">
        <f t="shared" si="27"/>
        <v>10750</v>
      </c>
      <c r="Z77" s="249">
        <f t="shared" si="28"/>
        <v>15650</v>
      </c>
      <c r="AA77" s="249">
        <f>IF(AND(Z77&gt;0,$N77&lt;&gt;""),IF((DATE(Assumptions!$B$4,1,28)-$N77)/365.25&lt;=Assumptions!$B$20,(DATE(Assumptions!$B$4,1,28)-$N77)/365.25*Assumptions!$B$18*Z77,(Assumptions!$B$20*Assumptions!$B$18+((DATE(Assumptions!$B$4,1,28)-$N77)/365.25-Assumptions!$B$20)*Assumptions!$B$19)*Z77),0)</f>
        <v>358498.54551676934</v>
      </c>
      <c r="AB77" s="249">
        <f>IF(Y77&gt;0,IF($M77="Saudi",MIN(Y77+$Q77*$V77,Assumptions!$B$14)*Assumptions!$B$12,MIN(Y77+$Q77*$V77,Assumptions!$B$14)*Assumptions!$B$13),0)</f>
        <v>0</v>
      </c>
      <c r="AC77" s="249">
        <f>IF(AND(Y77&gt;0,$M77="Non-Saudi"),Assumptions!$B$25,0)</f>
        <v>910.41666666666663</v>
      </c>
      <c r="AD77" s="249">
        <f t="shared" si="29"/>
        <v>10750</v>
      </c>
      <c r="AE77" s="249">
        <f t="shared" si="30"/>
        <v>15650</v>
      </c>
      <c r="AF77" s="249">
        <f>IF(AND(AE77&gt;0,$N77&lt;&gt;""),IF((DATE(Assumptions!$B$4,2,28)-$N77)/365.25&lt;=Assumptions!$B$20,(DATE(Assumptions!$B$4,2,28)-$N77)/365.25*Assumptions!$B$18*AE77,(Assumptions!$B$20*Assumptions!$B$18+((DATE(Assumptions!$B$4,2,28)-$N77)/365.25-Assumptions!$B$20)*Assumptions!$B$19)*AE77),0)</f>
        <v>359826.81382614648</v>
      </c>
      <c r="AG77" s="249">
        <f>IF(AD77&gt;0,IF($M77="Saudi",MIN(AD77+$Q77*$V77,Assumptions!$B$14)*Assumptions!$B$12,MIN(AD77+$Q77*$V77,Assumptions!$B$14)*Assumptions!$B$13),0)</f>
        <v>0</v>
      </c>
      <c r="AH77" s="249">
        <f>IF(AND(AD77&gt;0,$M77="Non-Saudi"),Assumptions!$B$25,0)</f>
        <v>910.41666666666663</v>
      </c>
      <c r="AI77" s="249">
        <f t="shared" si="31"/>
        <v>10750</v>
      </c>
      <c r="AJ77" s="249">
        <f t="shared" si="32"/>
        <v>15650</v>
      </c>
      <c r="AK77" s="249">
        <f>IF(AND(AJ77&gt;0,$N77&lt;&gt;""),IF((DATE(Assumptions!$B$4,3,28)-$N77)/365.25&lt;=Assumptions!$B$20,(DATE(Assumptions!$B$4,3,28)-$N77)/365.25*Assumptions!$B$18*AJ77,(Assumptions!$B$20*Assumptions!$B$18+((DATE(Assumptions!$B$4,3,28)-$N77)/365.25-Assumptions!$B$20)*Assumptions!$B$19)*AJ77),0)</f>
        <v>361026.54004106775</v>
      </c>
      <c r="AL77" s="249">
        <f>IF(AI77&gt;0,IF($M77="Saudi",MIN(AI77+$Q77*$V77,Assumptions!$B$14)*Assumptions!$B$12,MIN(AI77+$Q77*$V77,Assumptions!$B$14)*Assumptions!$B$13),0)</f>
        <v>0</v>
      </c>
      <c r="AM77" s="249">
        <f>IF(AND(AI77&gt;0,$M77="Non-Saudi"),Assumptions!$B$25,0)</f>
        <v>910.41666666666663</v>
      </c>
      <c r="AN77" s="249">
        <f t="shared" si="33"/>
        <v>10750</v>
      </c>
      <c r="AO77" s="249">
        <f t="shared" si="34"/>
        <v>15650</v>
      </c>
      <c r="AP77" s="249">
        <f>IF(AND(AO77&gt;0,$N77&lt;&gt;""),IF((DATE(Assumptions!$B$4,4,28)-$N77)/365.25&lt;=Assumptions!$B$20,(DATE(Assumptions!$B$4,4,28)-$N77)/365.25*Assumptions!$B$18*AO77,(Assumptions!$B$20*Assumptions!$B$18+((DATE(Assumptions!$B$4,4,28)-$N77)/365.25-Assumptions!$B$20)*Assumptions!$B$19)*AO77),0)</f>
        <v>362354.80835044495</v>
      </c>
      <c r="AQ77" s="249">
        <f>IF(AN77&gt;0,IF($M77="Saudi",MIN(AN77+$Q77*$V77,Assumptions!$B$14)*Assumptions!$B$12,MIN(AN77+$Q77*$V77,Assumptions!$B$14)*Assumptions!$B$13),0)</f>
        <v>0</v>
      </c>
      <c r="AR77" s="249">
        <f>IF(AND(AN77&gt;0,$M77="Non-Saudi"),Assumptions!$B$25,0)</f>
        <v>910.41666666666663</v>
      </c>
      <c r="AS77" s="249">
        <f t="shared" si="35"/>
        <v>10750</v>
      </c>
      <c r="AT77" s="249">
        <f t="shared" si="36"/>
        <v>15650</v>
      </c>
      <c r="AU77" s="249">
        <f>IF(AND(AT77&gt;0,$N77&lt;&gt;""),IF((DATE(Assumptions!$B$4,5,28)-$N77)/365.25&lt;=Assumptions!$B$20,(DATE(Assumptions!$B$4,5,28)-$N77)/365.25*Assumptions!$B$18*AT77,(Assumptions!$B$20*Assumptions!$B$18+((DATE(Assumptions!$B$4,5,28)-$N77)/365.25-Assumptions!$B$20)*Assumptions!$B$19)*AT77),0)</f>
        <v>363640.2292950034</v>
      </c>
      <c r="AV77" s="249">
        <f>IF(AS77&gt;0,IF($M77="Saudi",MIN(AS77+$Q77*$V77,Assumptions!$B$14)*Assumptions!$B$12,MIN(AS77+$Q77*$V77,Assumptions!$B$14)*Assumptions!$B$13),0)</f>
        <v>0</v>
      </c>
      <c r="AW77" s="249">
        <f>IF(AND(AS77&gt;0,$M77="Non-Saudi"),Assumptions!$B$25,0)</f>
        <v>910.41666666666663</v>
      </c>
      <c r="AX77" s="249">
        <f t="shared" si="37"/>
        <v>10750</v>
      </c>
      <c r="AY77" s="249">
        <f t="shared" si="38"/>
        <v>15650</v>
      </c>
      <c r="AZ77" s="249">
        <f>IF(AND(AY77&gt;0,$N77&lt;&gt;""),IF((DATE(Assumptions!$B$4,6,28)-$N77)/365.25&lt;=Assumptions!$B$20,(DATE(Assumptions!$B$4,6,28)-$N77)/365.25*Assumptions!$B$18*AY77,(Assumptions!$B$20*Assumptions!$B$18+((DATE(Assumptions!$B$4,6,28)-$N77)/365.25-Assumptions!$B$20)*Assumptions!$B$19)*AY77),0)</f>
        <v>364968.49760438059</v>
      </c>
      <c r="BA77" s="249">
        <f>IF(AX77&gt;0,IF($M77="Saudi",MIN(AX77+$Q77*$V77,Assumptions!$B$14)*Assumptions!$B$12,MIN(AX77+$Q77*$V77,Assumptions!$B$14)*Assumptions!$B$13),0)</f>
        <v>0</v>
      </c>
      <c r="BB77" s="249">
        <f>IF(AND(AX77&gt;0,$M77="Non-Saudi"),Assumptions!$B$25,0)</f>
        <v>910.41666666666663</v>
      </c>
      <c r="BC77" s="249">
        <f t="shared" si="39"/>
        <v>10750</v>
      </c>
      <c r="BD77" s="249">
        <f t="shared" si="40"/>
        <v>15650</v>
      </c>
      <c r="BE77" s="249">
        <f>IF(AND(BD77&gt;0,$N77&lt;&gt;""),IF((DATE(Assumptions!$B$4,7,28)-$N77)/365.25&lt;=Assumptions!$B$20,(DATE(Assumptions!$B$4,7,28)-$N77)/365.25*Assumptions!$B$18*BD77,(Assumptions!$B$20*Assumptions!$B$18+((DATE(Assumptions!$B$4,7,28)-$N77)/365.25-Assumptions!$B$20)*Assumptions!$B$19)*BD77),0)</f>
        <v>366253.91854893905</v>
      </c>
      <c r="BF77" s="249">
        <f>IF(BC77&gt;0,IF($M77="Saudi",MIN(BC77+$Q77*$V77,Assumptions!$B$14)*Assumptions!$B$12,MIN(BC77+$Q77*$V77,Assumptions!$B$14)*Assumptions!$B$13),0)</f>
        <v>0</v>
      </c>
      <c r="BG77" s="249">
        <f>IF(AND(BC77&gt;0,$M77="Non-Saudi"),Assumptions!$B$25,0)</f>
        <v>910.41666666666663</v>
      </c>
      <c r="BH77" s="249">
        <f t="shared" si="41"/>
        <v>10750</v>
      </c>
      <c r="BI77" s="249">
        <f t="shared" si="42"/>
        <v>15650</v>
      </c>
      <c r="BJ77" s="249">
        <f>IF(AND(BI77&gt;0,$N77&lt;&gt;""),IF((DATE(Assumptions!$B$4,8,28)-$N77)/365.25&lt;=Assumptions!$B$20,(DATE(Assumptions!$B$4,8,28)-$N77)/365.25*Assumptions!$B$18*BI77,(Assumptions!$B$20*Assumptions!$B$18+((DATE(Assumptions!$B$4,8,28)-$N77)/365.25-Assumptions!$B$20)*Assumptions!$B$19)*BI77),0)</f>
        <v>367582.18685831618</v>
      </c>
      <c r="BK77" s="249">
        <f>IF(BH77&gt;0,IF($M77="Saudi",MIN(BH77+$Q77*$V77,Assumptions!$B$14)*Assumptions!$B$12,MIN(BH77+$Q77*$V77,Assumptions!$B$14)*Assumptions!$B$13),0)</f>
        <v>0</v>
      </c>
      <c r="BL77" s="249">
        <f>IF(AND(BH77&gt;0,$M77="Non-Saudi"),Assumptions!$B$25,0)</f>
        <v>910.41666666666663</v>
      </c>
      <c r="BM77" s="249">
        <f>IF(AND($D77="Contrat Local",$N77&lt;&gt;""),IF(AND(9&gt;=Assumptions!$B$5,ISNUMBER($X77),$N77&lt;EDATE(Assumptions!$B$9,-Assumptions!$B$6*12)),($P77+$X77)*$V77,$P77*$V77),0)</f>
        <v>11000</v>
      </c>
      <c r="BN77" s="249">
        <f t="shared" si="43"/>
        <v>15900</v>
      </c>
      <c r="BO77" s="249">
        <f>IF(AND(BN77&gt;0,$N77&lt;&gt;""),IF((DATE(Assumptions!$B$4,9,28)-$N77)/365.25&lt;=Assumptions!$B$20,(DATE(Assumptions!$B$4,9,28)-$N77)/365.25*Assumptions!$B$18*BN77,(Assumptions!$B$20*Assumptions!$B$18+((DATE(Assumptions!$B$4,9,28)-$N77)/365.25-Assumptions!$B$20)*Assumptions!$B$19)*BN77),0)</f>
        <v>374803.59342915809</v>
      </c>
      <c r="BP77" s="249">
        <f>IF(BM77&gt;0,IF($M77="Saudi",MIN(BM77+$Q77*$V77,Assumptions!$B$14)*Assumptions!$B$12,MIN(BM77+$Q77*$V77,Assumptions!$B$14)*Assumptions!$B$13),0)</f>
        <v>0</v>
      </c>
      <c r="BQ77" s="249">
        <f>IF(AND(BM77&gt;0,$M77="Non-Saudi"),Assumptions!$B$25,0)</f>
        <v>910.41666666666663</v>
      </c>
      <c r="BR77" s="249">
        <f>IF(AND($D77="Contrat Local",$N77&lt;&gt;""),IF(AND(10&gt;=Assumptions!$B$5,ISNUMBER($X77),$N77&lt;EDATE(Assumptions!$B$9,-Assumptions!$B$6*12)),($P77+$X77)*$V77,$P77*$V77),0)</f>
        <v>11000</v>
      </c>
      <c r="BS77" s="249">
        <f t="shared" si="44"/>
        <v>15900</v>
      </c>
      <c r="BT77" s="249">
        <f>IF(AND(BS77&gt;0,$N77&lt;&gt;""),IF((DATE(Assumptions!$B$4,10,28)-$N77)/365.25&lt;=Assumptions!$B$20,(DATE(Assumptions!$B$4,10,28)-$N77)/365.25*Assumptions!$B$18*BS77,(Assumptions!$B$20*Assumptions!$B$18+((DATE(Assumptions!$B$4,10,28)-$N77)/365.25-Assumptions!$B$20)*Assumptions!$B$19)*BS77),0)</f>
        <v>376109.54825462011</v>
      </c>
      <c r="BU77" s="249">
        <f>IF(BR77&gt;0,IF($M77="Saudi",MIN(BR77+$Q77*$V77,Assumptions!$B$14)*Assumptions!$B$12,MIN(BR77+$Q77*$V77,Assumptions!$B$14)*Assumptions!$B$13),0)</f>
        <v>0</v>
      </c>
      <c r="BV77" s="249">
        <f>IF(AND(BR77&gt;0,$M77="Non-Saudi"),Assumptions!$B$25,0)</f>
        <v>910.41666666666663</v>
      </c>
      <c r="BW77" s="249">
        <f>IF(AND($D77="Contrat Local",$N77&lt;&gt;""),IF(AND(11&gt;=Assumptions!$B$5,ISNUMBER($X77),$N77&lt;EDATE(Assumptions!$B$9,-Assumptions!$B$6*12)),($P77+$X77)*$V77,$P77*$V77),0)</f>
        <v>11000</v>
      </c>
      <c r="BX77" s="249">
        <f t="shared" si="45"/>
        <v>15900</v>
      </c>
      <c r="BY77" s="249">
        <f>IF(AND(BX77&gt;0,$N77&lt;&gt;""),IF((DATE(Assumptions!$B$4,11,28)-$N77)/365.25&lt;=Assumptions!$B$20,(DATE(Assumptions!$B$4,11,28)-$N77)/365.25*Assumptions!$B$18*BX77,(Assumptions!$B$20*Assumptions!$B$18+((DATE(Assumptions!$B$4,11,28)-$N77)/365.25-Assumptions!$B$20)*Assumptions!$B$19)*BX77),0)</f>
        <v>377459.03490759752</v>
      </c>
      <c r="BZ77" s="249">
        <f>IF(BW77&gt;0,IF($M77="Saudi",MIN(BW77+$Q77*$V77,Assumptions!$B$14)*Assumptions!$B$12,MIN(BW77+$Q77*$V77,Assumptions!$B$14)*Assumptions!$B$13),0)</f>
        <v>0</v>
      </c>
      <c r="CA77" s="249">
        <f>IF(AND(BW77&gt;0,$M77="Non-Saudi"),Assumptions!$B$25,0)</f>
        <v>910.41666666666663</v>
      </c>
      <c r="CB77" s="249">
        <f>IF(AND($D77="Contrat Local",$N77&lt;&gt;""),IF(AND(12&gt;=Assumptions!$B$5,ISNUMBER($X77),$N77&lt;EDATE(Assumptions!$B$9,-Assumptions!$B$6*12)),($P77+$X77)*$V77,$P77*$V77),0)</f>
        <v>11000</v>
      </c>
      <c r="CC77" s="249">
        <f t="shared" si="46"/>
        <v>15900</v>
      </c>
      <c r="CD77" s="249">
        <f>IF(AND(CC77&gt;0,$N77&lt;&gt;""),IF((DATE(Assumptions!$B$4,12,28)-$N77)/365.25&lt;=Assumptions!$B$20,(DATE(Assumptions!$B$4,12,28)-$N77)/365.25*Assumptions!$B$18*CC77,(Assumptions!$B$20*Assumptions!$B$18+((DATE(Assumptions!$B$4,12,28)-$N77)/365.25-Assumptions!$B$20)*Assumptions!$B$19)*CC77),0)</f>
        <v>378764.98973305954</v>
      </c>
      <c r="CE77" s="249">
        <f>IF(CB77&gt;0,IF($M77="Saudi",MIN(CB77+$Q77*$V77,Assumptions!$B$14)*Assumptions!$B$12,MIN(CB77+$Q77*$V77,Assumptions!$B$14)*Assumptions!$B$13),0)</f>
        <v>0</v>
      </c>
      <c r="CF77" s="249">
        <f>IF(AND(CB77&gt;0,$M77="Non-Saudi"),Assumptions!$B$25,0)</f>
        <v>910.41666666666663</v>
      </c>
      <c r="CG77" s="249">
        <f t="shared" si="47"/>
        <v>130000</v>
      </c>
      <c r="CH77" s="249">
        <f t="shared" si="48"/>
        <v>188800</v>
      </c>
      <c r="CI77" s="249">
        <f>CD77-IF(AND(Z77&gt;0,$N77&lt;&gt;""),IF((DATE(Assumptions!$B$4-1,12,28)-$N77)/365.25&lt;=Assumptions!$B$20,(DATE(Assumptions!$B$4-1,12,28)-$N77)/365.25*Assumptions!$B$18*Z77,(Assumptions!$B$20*Assumptions!$B$18+((DATE(Assumptions!$B$4-1,12,28)-$N77)/365.25-Assumptions!$B$20)*Assumptions!$B$19)*Z77),0)</f>
        <v>21594.712525667332</v>
      </c>
      <c r="CJ77" s="249">
        <f t="shared" si="49"/>
        <v>0</v>
      </c>
      <c r="CK77" s="249">
        <f t="shared" si="50"/>
        <v>10924.999999999998</v>
      </c>
    </row>
    <row r="78" spans="1:89" x14ac:dyDescent="0.2">
      <c r="A78" s="252">
        <v>77</v>
      </c>
      <c r="B78" s="253" t="s">
        <v>443</v>
      </c>
      <c r="C78" s="253" t="s">
        <v>444</v>
      </c>
      <c r="D78" s="253" t="s">
        <v>250</v>
      </c>
      <c r="E78" s="253" t="s">
        <v>767</v>
      </c>
      <c r="F78" s="253" t="s">
        <v>445</v>
      </c>
      <c r="G78" s="253" t="s">
        <v>303</v>
      </c>
      <c r="H78" s="253" t="s">
        <v>446</v>
      </c>
      <c r="I78" s="282" t="s">
        <v>690</v>
      </c>
      <c r="J78" s="253"/>
      <c r="K78" s="253" t="s">
        <v>252</v>
      </c>
      <c r="L78" s="253" t="s">
        <v>255</v>
      </c>
      <c r="M78" s="253" t="str">
        <f t="shared" si="26"/>
        <v>Non-Saudi</v>
      </c>
      <c r="N78" s="254">
        <v>45936</v>
      </c>
      <c r="O78" s="255">
        <v>1.2</v>
      </c>
      <c r="P78" s="256">
        <v>7000</v>
      </c>
      <c r="Q78" s="256">
        <v>2500</v>
      </c>
      <c r="R78" s="256">
        <v>500</v>
      </c>
      <c r="S78" s="256"/>
      <c r="T78" s="256"/>
      <c r="U78" s="256">
        <v>10000</v>
      </c>
      <c r="V78" s="257">
        <v>1</v>
      </c>
      <c r="W78" s="253" t="s">
        <v>259</v>
      </c>
      <c r="X78" s="253" t="s">
        <v>268</v>
      </c>
      <c r="Y78" s="249">
        <f t="shared" si="27"/>
        <v>7000</v>
      </c>
      <c r="Z78" s="249">
        <f t="shared" si="28"/>
        <v>10000</v>
      </c>
      <c r="AA78" s="249">
        <f>IF(AND(Z78&gt;0,$N78&lt;&gt;""),IF((DATE(Assumptions!$B$4,1,28)-$N78)/365.25&lt;=Assumptions!$B$20,(DATE(Assumptions!$B$4,1,28)-$N78)/365.25*Assumptions!$B$18*Z78,(Assumptions!$B$20*Assumptions!$B$18+((DATE(Assumptions!$B$4,1,28)-$N78)/365.25-Assumptions!$B$20)*Assumptions!$B$19)*Z78),0)</f>
        <v>1560.5749486652978</v>
      </c>
      <c r="AB78" s="249">
        <f>IF(Y78&gt;0,IF($M78="Saudi",MIN(Y78+$Q78*$V78,Assumptions!$B$14)*Assumptions!$B$12,MIN(Y78+$Q78*$V78,Assumptions!$B$14)*Assumptions!$B$13),0)</f>
        <v>0</v>
      </c>
      <c r="AC78" s="249">
        <f>IF(AND(Y78&gt;0,$M78="Non-Saudi"),Assumptions!$B$25,0)</f>
        <v>910.41666666666663</v>
      </c>
      <c r="AD78" s="249">
        <f t="shared" si="29"/>
        <v>7000</v>
      </c>
      <c r="AE78" s="249">
        <f t="shared" si="30"/>
        <v>10000</v>
      </c>
      <c r="AF78" s="249">
        <f>IF(AND(AE78&gt;0,$N78&lt;&gt;""),IF((DATE(Assumptions!$B$4,2,28)-$N78)/365.25&lt;=Assumptions!$B$20,(DATE(Assumptions!$B$4,2,28)-$N78)/365.25*Assumptions!$B$18*AE78,(Assumptions!$B$20*Assumptions!$B$18+((DATE(Assumptions!$B$4,2,28)-$N78)/365.25-Assumptions!$B$20)*Assumptions!$B$19)*AE78),0)</f>
        <v>1984.9418206707733</v>
      </c>
      <c r="AG78" s="249">
        <f>IF(AD78&gt;0,IF($M78="Saudi",MIN(AD78+$Q78*$V78,Assumptions!$B$14)*Assumptions!$B$12,MIN(AD78+$Q78*$V78,Assumptions!$B$14)*Assumptions!$B$13),0)</f>
        <v>0</v>
      </c>
      <c r="AH78" s="249">
        <f>IF(AND(AD78&gt;0,$M78="Non-Saudi"),Assumptions!$B$25,0)</f>
        <v>910.41666666666663</v>
      </c>
      <c r="AI78" s="249">
        <f t="shared" si="31"/>
        <v>7000</v>
      </c>
      <c r="AJ78" s="249">
        <f t="shared" si="32"/>
        <v>10000</v>
      </c>
      <c r="AK78" s="249">
        <f>IF(AND(AJ78&gt;0,$N78&lt;&gt;""),IF((DATE(Assumptions!$B$4,3,28)-$N78)/365.25&lt;=Assumptions!$B$20,(DATE(Assumptions!$B$4,3,28)-$N78)/365.25*Assumptions!$B$18*AJ78,(Assumptions!$B$20*Assumptions!$B$18+((DATE(Assumptions!$B$4,3,28)-$N78)/365.25-Assumptions!$B$20)*Assumptions!$B$19)*AJ78),0)</f>
        <v>2368.2409308692677</v>
      </c>
      <c r="AL78" s="249">
        <f>IF(AI78&gt;0,IF($M78="Saudi",MIN(AI78+$Q78*$V78,Assumptions!$B$14)*Assumptions!$B$12,MIN(AI78+$Q78*$V78,Assumptions!$B$14)*Assumptions!$B$13),0)</f>
        <v>0</v>
      </c>
      <c r="AM78" s="249">
        <f>IF(AND(AI78&gt;0,$M78="Non-Saudi"),Assumptions!$B$25,0)</f>
        <v>910.41666666666663</v>
      </c>
      <c r="AN78" s="249">
        <f t="shared" si="33"/>
        <v>7000</v>
      </c>
      <c r="AO78" s="249">
        <f t="shared" si="34"/>
        <v>10000</v>
      </c>
      <c r="AP78" s="249">
        <f>IF(AND(AO78&gt;0,$N78&lt;&gt;""),IF((DATE(Assumptions!$B$4,4,28)-$N78)/365.25&lt;=Assumptions!$B$20,(DATE(Assumptions!$B$4,4,28)-$N78)/365.25*Assumptions!$B$18*AO78,(Assumptions!$B$20*Assumptions!$B$18+((DATE(Assumptions!$B$4,4,28)-$N78)/365.25-Assumptions!$B$20)*Assumptions!$B$19)*AO78),0)</f>
        <v>2792.6078028747429</v>
      </c>
      <c r="AQ78" s="249">
        <f>IF(AN78&gt;0,IF($M78="Saudi",MIN(AN78+$Q78*$V78,Assumptions!$B$14)*Assumptions!$B$12,MIN(AN78+$Q78*$V78,Assumptions!$B$14)*Assumptions!$B$13),0)</f>
        <v>0</v>
      </c>
      <c r="AR78" s="249">
        <f>IF(AND(AN78&gt;0,$M78="Non-Saudi"),Assumptions!$B$25,0)</f>
        <v>910.41666666666663</v>
      </c>
      <c r="AS78" s="249">
        <f t="shared" si="35"/>
        <v>7000</v>
      </c>
      <c r="AT78" s="249">
        <f t="shared" si="36"/>
        <v>10000</v>
      </c>
      <c r="AU78" s="249">
        <f>IF(AND(AT78&gt;0,$N78&lt;&gt;""),IF((DATE(Assumptions!$B$4,5,28)-$N78)/365.25&lt;=Assumptions!$B$20,(DATE(Assumptions!$B$4,5,28)-$N78)/365.25*Assumptions!$B$18*AT78,(Assumptions!$B$20*Assumptions!$B$18+((DATE(Assumptions!$B$4,5,28)-$N78)/365.25-Assumptions!$B$20)*Assumptions!$B$19)*AT78),0)</f>
        <v>3203.2854209445582</v>
      </c>
      <c r="AV78" s="249">
        <f>IF(AS78&gt;0,IF($M78="Saudi",MIN(AS78+$Q78*$V78,Assumptions!$B$14)*Assumptions!$B$12,MIN(AS78+$Q78*$V78,Assumptions!$B$14)*Assumptions!$B$13),0)</f>
        <v>0</v>
      </c>
      <c r="AW78" s="249">
        <f>IF(AND(AS78&gt;0,$M78="Non-Saudi"),Assumptions!$B$25,0)</f>
        <v>910.41666666666663</v>
      </c>
      <c r="AX78" s="249">
        <f t="shared" si="37"/>
        <v>7000</v>
      </c>
      <c r="AY78" s="249">
        <f t="shared" si="38"/>
        <v>10000</v>
      </c>
      <c r="AZ78" s="249">
        <f>IF(AND(AY78&gt;0,$N78&lt;&gt;""),IF((DATE(Assumptions!$B$4,6,28)-$N78)/365.25&lt;=Assumptions!$B$20,(DATE(Assumptions!$B$4,6,28)-$N78)/365.25*Assumptions!$B$18*AY78,(Assumptions!$B$20*Assumptions!$B$18+((DATE(Assumptions!$B$4,6,28)-$N78)/365.25-Assumptions!$B$20)*Assumptions!$B$19)*AY78),0)</f>
        <v>3627.6522929500343</v>
      </c>
      <c r="BA78" s="249">
        <f>IF(AX78&gt;0,IF($M78="Saudi",MIN(AX78+$Q78*$V78,Assumptions!$B$14)*Assumptions!$B$12,MIN(AX78+$Q78*$V78,Assumptions!$B$14)*Assumptions!$B$13),0)</f>
        <v>0</v>
      </c>
      <c r="BB78" s="249">
        <f>IF(AND(AX78&gt;0,$M78="Non-Saudi"),Assumptions!$B$25,0)</f>
        <v>910.41666666666663</v>
      </c>
      <c r="BC78" s="249">
        <f t="shared" si="39"/>
        <v>7000</v>
      </c>
      <c r="BD78" s="249">
        <f t="shared" si="40"/>
        <v>10000</v>
      </c>
      <c r="BE78" s="249">
        <f>IF(AND(BD78&gt;0,$N78&lt;&gt;""),IF((DATE(Assumptions!$B$4,7,28)-$N78)/365.25&lt;=Assumptions!$B$20,(DATE(Assumptions!$B$4,7,28)-$N78)/365.25*Assumptions!$B$18*BD78,(Assumptions!$B$20*Assumptions!$B$18+((DATE(Assumptions!$B$4,7,28)-$N78)/365.25-Assumptions!$B$20)*Assumptions!$B$19)*BD78),0)</f>
        <v>4038.3299110198495</v>
      </c>
      <c r="BF78" s="249">
        <f>IF(BC78&gt;0,IF($M78="Saudi",MIN(BC78+$Q78*$V78,Assumptions!$B$14)*Assumptions!$B$12,MIN(BC78+$Q78*$V78,Assumptions!$B$14)*Assumptions!$B$13),0)</f>
        <v>0</v>
      </c>
      <c r="BG78" s="249">
        <f>IF(AND(BC78&gt;0,$M78="Non-Saudi"),Assumptions!$B$25,0)</f>
        <v>910.41666666666663</v>
      </c>
      <c r="BH78" s="249">
        <f t="shared" si="41"/>
        <v>7000</v>
      </c>
      <c r="BI78" s="249">
        <f t="shared" si="42"/>
        <v>10000</v>
      </c>
      <c r="BJ78" s="249">
        <f>IF(AND(BI78&gt;0,$N78&lt;&gt;""),IF((DATE(Assumptions!$B$4,8,28)-$N78)/365.25&lt;=Assumptions!$B$20,(DATE(Assumptions!$B$4,8,28)-$N78)/365.25*Assumptions!$B$18*BI78,(Assumptions!$B$20*Assumptions!$B$18+((DATE(Assumptions!$B$4,8,28)-$N78)/365.25-Assumptions!$B$20)*Assumptions!$B$19)*BI78),0)</f>
        <v>4462.6967830253252</v>
      </c>
      <c r="BK78" s="249">
        <f>IF(BH78&gt;0,IF($M78="Saudi",MIN(BH78+$Q78*$V78,Assumptions!$B$14)*Assumptions!$B$12,MIN(BH78+$Q78*$V78,Assumptions!$B$14)*Assumptions!$B$13),0)</f>
        <v>0</v>
      </c>
      <c r="BL78" s="249">
        <f>IF(AND(BH78&gt;0,$M78="Non-Saudi"),Assumptions!$B$25,0)</f>
        <v>910.41666666666663</v>
      </c>
      <c r="BM78" s="249">
        <f>IF(AND($D78="Contrat Local",$N78&lt;&gt;""),IF(AND(9&gt;=Assumptions!$B$5,ISNUMBER($X78),$N78&lt;EDATE(Assumptions!$B$9,-Assumptions!$B$6*12)),($P78+$X78)*$V78,$P78*$V78),0)</f>
        <v>7000</v>
      </c>
      <c r="BN78" s="249">
        <f t="shared" si="43"/>
        <v>10000</v>
      </c>
      <c r="BO78" s="249">
        <f>IF(AND(BN78&gt;0,$N78&lt;&gt;""),IF((DATE(Assumptions!$B$4,9,28)-$N78)/365.25&lt;=Assumptions!$B$20,(DATE(Assumptions!$B$4,9,28)-$N78)/365.25*Assumptions!$B$18*BN78,(Assumptions!$B$20*Assumptions!$B$18+((DATE(Assumptions!$B$4,9,28)-$N78)/365.25-Assumptions!$B$20)*Assumptions!$B$19)*BN78),0)</f>
        <v>4887.0636550308009</v>
      </c>
      <c r="BP78" s="249">
        <f>IF(BM78&gt;0,IF($M78="Saudi",MIN(BM78+$Q78*$V78,Assumptions!$B$14)*Assumptions!$B$12,MIN(BM78+$Q78*$V78,Assumptions!$B$14)*Assumptions!$B$13),0)</f>
        <v>0</v>
      </c>
      <c r="BQ78" s="249">
        <f>IF(AND(BM78&gt;0,$M78="Non-Saudi"),Assumptions!$B$25,0)</f>
        <v>910.41666666666663</v>
      </c>
      <c r="BR78" s="249">
        <f>IF(AND($D78="Contrat Local",$N78&lt;&gt;""),IF(AND(10&gt;=Assumptions!$B$5,ISNUMBER($X78),$N78&lt;EDATE(Assumptions!$B$9,-Assumptions!$B$6*12)),($P78+$X78)*$V78,$P78*$V78),0)</f>
        <v>7000</v>
      </c>
      <c r="BS78" s="249">
        <f t="shared" si="44"/>
        <v>10000</v>
      </c>
      <c r="BT78" s="249">
        <f>IF(AND(BS78&gt;0,$N78&lt;&gt;""),IF((DATE(Assumptions!$B$4,10,28)-$N78)/365.25&lt;=Assumptions!$B$20,(DATE(Assumptions!$B$4,10,28)-$N78)/365.25*Assumptions!$B$18*BS78,(Assumptions!$B$20*Assumptions!$B$18+((DATE(Assumptions!$B$4,10,28)-$N78)/365.25-Assumptions!$B$20)*Assumptions!$B$19)*BS78),0)</f>
        <v>5297.7412731006161</v>
      </c>
      <c r="BU78" s="249">
        <f>IF(BR78&gt;0,IF($M78="Saudi",MIN(BR78+$Q78*$V78,Assumptions!$B$14)*Assumptions!$B$12,MIN(BR78+$Q78*$V78,Assumptions!$B$14)*Assumptions!$B$13),0)</f>
        <v>0</v>
      </c>
      <c r="BV78" s="249">
        <f>IF(AND(BR78&gt;0,$M78="Non-Saudi"),Assumptions!$B$25,0)</f>
        <v>910.41666666666663</v>
      </c>
      <c r="BW78" s="249">
        <f>IF(AND($D78="Contrat Local",$N78&lt;&gt;""),IF(AND(11&gt;=Assumptions!$B$5,ISNUMBER($X78),$N78&lt;EDATE(Assumptions!$B$9,-Assumptions!$B$6*12)),($P78+$X78)*$V78,$P78*$V78),0)</f>
        <v>7000</v>
      </c>
      <c r="BX78" s="249">
        <f t="shared" si="45"/>
        <v>10000</v>
      </c>
      <c r="BY78" s="249">
        <f>IF(AND(BX78&gt;0,$N78&lt;&gt;""),IF((DATE(Assumptions!$B$4,11,28)-$N78)/365.25&lt;=Assumptions!$B$20,(DATE(Assumptions!$B$4,11,28)-$N78)/365.25*Assumptions!$B$18*BX78,(Assumptions!$B$20*Assumptions!$B$18+((DATE(Assumptions!$B$4,11,28)-$N78)/365.25-Assumptions!$B$20)*Assumptions!$B$19)*BX78),0)</f>
        <v>5722.1081451060918</v>
      </c>
      <c r="BZ78" s="249">
        <f>IF(BW78&gt;0,IF($M78="Saudi",MIN(BW78+$Q78*$V78,Assumptions!$B$14)*Assumptions!$B$12,MIN(BW78+$Q78*$V78,Assumptions!$B$14)*Assumptions!$B$13),0)</f>
        <v>0</v>
      </c>
      <c r="CA78" s="249">
        <f>IF(AND(BW78&gt;0,$M78="Non-Saudi"),Assumptions!$B$25,0)</f>
        <v>910.41666666666663</v>
      </c>
      <c r="CB78" s="249">
        <f>IF(AND($D78="Contrat Local",$N78&lt;&gt;""),IF(AND(12&gt;=Assumptions!$B$5,ISNUMBER($X78),$N78&lt;EDATE(Assumptions!$B$9,-Assumptions!$B$6*12)),($P78+$X78)*$V78,$P78*$V78),0)</f>
        <v>7000</v>
      </c>
      <c r="CC78" s="249">
        <f t="shared" si="46"/>
        <v>10000</v>
      </c>
      <c r="CD78" s="249">
        <f>IF(AND(CC78&gt;0,$N78&lt;&gt;""),IF((DATE(Assumptions!$B$4,12,28)-$N78)/365.25&lt;=Assumptions!$B$20,(DATE(Assumptions!$B$4,12,28)-$N78)/365.25*Assumptions!$B$18*CC78,(Assumptions!$B$20*Assumptions!$B$18+((DATE(Assumptions!$B$4,12,28)-$N78)/365.25-Assumptions!$B$20)*Assumptions!$B$19)*CC78),0)</f>
        <v>6132.7857631759061</v>
      </c>
      <c r="CE78" s="249">
        <f>IF(CB78&gt;0,IF($M78="Saudi",MIN(CB78+$Q78*$V78,Assumptions!$B$14)*Assumptions!$B$12,MIN(CB78+$Q78*$V78,Assumptions!$B$14)*Assumptions!$B$13),0)</f>
        <v>0</v>
      </c>
      <c r="CF78" s="249">
        <f>IF(AND(CB78&gt;0,$M78="Non-Saudi"),Assumptions!$B$25,0)</f>
        <v>910.41666666666663</v>
      </c>
      <c r="CG78" s="249">
        <f t="shared" si="47"/>
        <v>84000</v>
      </c>
      <c r="CH78" s="249">
        <f t="shared" si="48"/>
        <v>120000</v>
      </c>
      <c r="CI78" s="249">
        <f>CD78-IF(AND(Z78&gt;0,$N78&lt;&gt;""),IF((DATE(Assumptions!$B$4-1,12,28)-$N78)/365.25&lt;=Assumptions!$B$20,(DATE(Assumptions!$B$4-1,12,28)-$N78)/365.25*Assumptions!$B$18*Z78,(Assumptions!$B$20*Assumptions!$B$18+((DATE(Assumptions!$B$4-1,12,28)-$N78)/365.25-Assumptions!$B$20)*Assumptions!$B$19)*Z78),0)</f>
        <v>4996.5776865160842</v>
      </c>
      <c r="CJ78" s="249">
        <f t="shared" si="49"/>
        <v>0</v>
      </c>
      <c r="CK78" s="249">
        <f t="shared" si="50"/>
        <v>10924.999999999998</v>
      </c>
    </row>
    <row r="79" spans="1:89" x14ac:dyDescent="0.2">
      <c r="A79" s="252">
        <v>78</v>
      </c>
      <c r="B79" s="253" t="s">
        <v>447</v>
      </c>
      <c r="C79" s="253" t="s">
        <v>448</v>
      </c>
      <c r="D79" s="253" t="s">
        <v>250</v>
      </c>
      <c r="E79" s="253" t="s">
        <v>767</v>
      </c>
      <c r="F79" s="253" t="s">
        <v>251</v>
      </c>
      <c r="G79" s="253" t="s">
        <v>252</v>
      </c>
      <c r="H79" s="253" t="s">
        <v>253</v>
      </c>
      <c r="I79" s="282" t="s">
        <v>690</v>
      </c>
      <c r="J79" s="253"/>
      <c r="K79" s="253" t="s">
        <v>252</v>
      </c>
      <c r="L79" s="253" t="s">
        <v>255</v>
      </c>
      <c r="M79" s="253" t="str">
        <f t="shared" si="26"/>
        <v>Non-Saudi</v>
      </c>
      <c r="N79" s="254">
        <v>44440</v>
      </c>
      <c r="O79" s="255">
        <v>5.3</v>
      </c>
      <c r="P79" s="256">
        <v>7800</v>
      </c>
      <c r="Q79" s="256">
        <v>2500</v>
      </c>
      <c r="R79" s="256">
        <v>500</v>
      </c>
      <c r="S79" s="256"/>
      <c r="T79" s="256"/>
      <c r="U79" s="256">
        <v>10800</v>
      </c>
      <c r="V79" s="257">
        <v>1</v>
      </c>
      <c r="W79" s="253" t="s">
        <v>259</v>
      </c>
      <c r="X79" s="253">
        <v>200</v>
      </c>
      <c r="Y79" s="249">
        <f t="shared" si="27"/>
        <v>7800</v>
      </c>
      <c r="Z79" s="249">
        <f t="shared" si="28"/>
        <v>10800</v>
      </c>
      <c r="AA79" s="249">
        <f>IF(AND(Z79&gt;0,$N79&lt;&gt;""),IF((DATE(Assumptions!$B$4,1,28)-$N79)/365.25&lt;=Assumptions!$B$20,(DATE(Assumptions!$B$4,1,28)-$N79)/365.25*Assumptions!$B$18*Z79,(Assumptions!$B$20*Assumptions!$B$18+((DATE(Assumptions!$B$4,1,28)-$N79)/365.25-Assumptions!$B$20)*Assumptions!$B$19)*Z79),0)</f>
        <v>23802.874743326491</v>
      </c>
      <c r="AB79" s="249">
        <f>IF(Y79&gt;0,IF($M79="Saudi",MIN(Y79+$Q79*$V79,Assumptions!$B$14)*Assumptions!$B$12,MIN(Y79+$Q79*$V79,Assumptions!$B$14)*Assumptions!$B$13),0)</f>
        <v>0</v>
      </c>
      <c r="AC79" s="249">
        <f>IF(AND(Y79&gt;0,$M79="Non-Saudi"),Assumptions!$B$25,0)</f>
        <v>910.41666666666663</v>
      </c>
      <c r="AD79" s="249">
        <f t="shared" si="29"/>
        <v>7800</v>
      </c>
      <c r="AE79" s="249">
        <f t="shared" si="30"/>
        <v>10800</v>
      </c>
      <c r="AF79" s="249">
        <f>IF(AND(AE79&gt;0,$N79&lt;&gt;""),IF((DATE(Assumptions!$B$4,2,28)-$N79)/365.25&lt;=Assumptions!$B$20,(DATE(Assumptions!$B$4,2,28)-$N79)/365.25*Assumptions!$B$18*AE79,(Assumptions!$B$20*Assumptions!$B$18+((DATE(Assumptions!$B$4,2,28)-$N79)/365.25-Assumptions!$B$20)*Assumptions!$B$19)*AE79),0)</f>
        <v>24261.190965092403</v>
      </c>
      <c r="AG79" s="249">
        <f>IF(AD79&gt;0,IF($M79="Saudi",MIN(AD79+$Q79*$V79,Assumptions!$B$14)*Assumptions!$B$12,MIN(AD79+$Q79*$V79,Assumptions!$B$14)*Assumptions!$B$13),0)</f>
        <v>0</v>
      </c>
      <c r="AH79" s="249">
        <f>IF(AND(AD79&gt;0,$M79="Non-Saudi"),Assumptions!$B$25,0)</f>
        <v>910.41666666666663</v>
      </c>
      <c r="AI79" s="249">
        <f t="shared" si="31"/>
        <v>7800</v>
      </c>
      <c r="AJ79" s="249">
        <f t="shared" si="32"/>
        <v>10800</v>
      </c>
      <c r="AK79" s="249">
        <f>IF(AND(AJ79&gt;0,$N79&lt;&gt;""),IF((DATE(Assumptions!$B$4,3,28)-$N79)/365.25&lt;=Assumptions!$B$20,(DATE(Assumptions!$B$4,3,28)-$N79)/365.25*Assumptions!$B$18*AJ79,(Assumptions!$B$20*Assumptions!$B$18+((DATE(Assumptions!$B$4,3,28)-$N79)/365.25-Assumptions!$B$20)*Assumptions!$B$19)*AJ79),0)</f>
        <v>24675.154004106778</v>
      </c>
      <c r="AL79" s="249">
        <f>IF(AI79&gt;0,IF($M79="Saudi",MIN(AI79+$Q79*$V79,Assumptions!$B$14)*Assumptions!$B$12,MIN(AI79+$Q79*$V79,Assumptions!$B$14)*Assumptions!$B$13),0)</f>
        <v>0</v>
      </c>
      <c r="AM79" s="249">
        <f>IF(AND(AI79&gt;0,$M79="Non-Saudi"),Assumptions!$B$25,0)</f>
        <v>910.41666666666663</v>
      </c>
      <c r="AN79" s="249">
        <f t="shared" si="33"/>
        <v>7800</v>
      </c>
      <c r="AO79" s="249">
        <f t="shared" si="34"/>
        <v>10800</v>
      </c>
      <c r="AP79" s="249">
        <f>IF(AND(AO79&gt;0,$N79&lt;&gt;""),IF((DATE(Assumptions!$B$4,4,28)-$N79)/365.25&lt;=Assumptions!$B$20,(DATE(Assumptions!$B$4,4,28)-$N79)/365.25*Assumptions!$B$18*AO79,(Assumptions!$B$20*Assumptions!$B$18+((DATE(Assumptions!$B$4,4,28)-$N79)/365.25-Assumptions!$B$20)*Assumptions!$B$19)*AO79),0)</f>
        <v>25133.47022587269</v>
      </c>
      <c r="AQ79" s="249">
        <f>IF(AN79&gt;0,IF($M79="Saudi",MIN(AN79+$Q79*$V79,Assumptions!$B$14)*Assumptions!$B$12,MIN(AN79+$Q79*$V79,Assumptions!$B$14)*Assumptions!$B$13),0)</f>
        <v>0</v>
      </c>
      <c r="AR79" s="249">
        <f>IF(AND(AN79&gt;0,$M79="Non-Saudi"),Assumptions!$B$25,0)</f>
        <v>910.41666666666663</v>
      </c>
      <c r="AS79" s="249">
        <f t="shared" si="35"/>
        <v>7800</v>
      </c>
      <c r="AT79" s="249">
        <f t="shared" si="36"/>
        <v>10800</v>
      </c>
      <c r="AU79" s="249">
        <f>IF(AND(AT79&gt;0,$N79&lt;&gt;""),IF((DATE(Assumptions!$B$4,5,28)-$N79)/365.25&lt;=Assumptions!$B$20,(DATE(Assumptions!$B$4,5,28)-$N79)/365.25*Assumptions!$B$18*AT79,(Assumptions!$B$20*Assumptions!$B$18+((DATE(Assumptions!$B$4,5,28)-$N79)/365.25-Assumptions!$B$20)*Assumptions!$B$19)*AT79),0)</f>
        <v>25577.002053388089</v>
      </c>
      <c r="AV79" s="249">
        <f>IF(AS79&gt;0,IF($M79="Saudi",MIN(AS79+$Q79*$V79,Assumptions!$B$14)*Assumptions!$B$12,MIN(AS79+$Q79*$V79,Assumptions!$B$14)*Assumptions!$B$13),0)</f>
        <v>0</v>
      </c>
      <c r="AW79" s="249">
        <f>IF(AND(AS79&gt;0,$M79="Non-Saudi"),Assumptions!$B$25,0)</f>
        <v>910.41666666666663</v>
      </c>
      <c r="AX79" s="249">
        <f t="shared" si="37"/>
        <v>7800</v>
      </c>
      <c r="AY79" s="249">
        <f t="shared" si="38"/>
        <v>10800</v>
      </c>
      <c r="AZ79" s="249">
        <f>IF(AND(AY79&gt;0,$N79&lt;&gt;""),IF((DATE(Assumptions!$B$4,6,28)-$N79)/365.25&lt;=Assumptions!$B$20,(DATE(Assumptions!$B$4,6,28)-$N79)/365.25*Assumptions!$B$18*AY79,(Assumptions!$B$20*Assumptions!$B$18+((DATE(Assumptions!$B$4,6,28)-$N79)/365.25-Assumptions!$B$20)*Assumptions!$B$19)*AY79),0)</f>
        <v>26035.318275154004</v>
      </c>
      <c r="BA79" s="249">
        <f>IF(AX79&gt;0,IF($M79="Saudi",MIN(AX79+$Q79*$V79,Assumptions!$B$14)*Assumptions!$B$12,MIN(AX79+$Q79*$V79,Assumptions!$B$14)*Assumptions!$B$13),0)</f>
        <v>0</v>
      </c>
      <c r="BB79" s="249">
        <f>IF(AND(AX79&gt;0,$M79="Non-Saudi"),Assumptions!$B$25,0)</f>
        <v>910.41666666666663</v>
      </c>
      <c r="BC79" s="249">
        <f t="shared" si="39"/>
        <v>7800</v>
      </c>
      <c r="BD79" s="249">
        <f t="shared" si="40"/>
        <v>10800</v>
      </c>
      <c r="BE79" s="249">
        <f>IF(AND(BD79&gt;0,$N79&lt;&gt;""),IF((DATE(Assumptions!$B$4,7,28)-$N79)/365.25&lt;=Assumptions!$B$20,(DATE(Assumptions!$B$4,7,28)-$N79)/365.25*Assumptions!$B$18*BD79,(Assumptions!$B$20*Assumptions!$B$18+((DATE(Assumptions!$B$4,7,28)-$N79)/365.25-Assumptions!$B$20)*Assumptions!$B$19)*BD79),0)</f>
        <v>26478.850102669403</v>
      </c>
      <c r="BF79" s="249">
        <f>IF(BC79&gt;0,IF($M79="Saudi",MIN(BC79+$Q79*$V79,Assumptions!$B$14)*Assumptions!$B$12,MIN(BC79+$Q79*$V79,Assumptions!$B$14)*Assumptions!$B$13),0)</f>
        <v>0</v>
      </c>
      <c r="BG79" s="249">
        <f>IF(AND(BC79&gt;0,$M79="Non-Saudi"),Assumptions!$B$25,0)</f>
        <v>910.41666666666663</v>
      </c>
      <c r="BH79" s="249">
        <f t="shared" si="41"/>
        <v>7800</v>
      </c>
      <c r="BI79" s="249">
        <f t="shared" si="42"/>
        <v>10800</v>
      </c>
      <c r="BJ79" s="249">
        <f>IF(AND(BI79&gt;0,$N79&lt;&gt;""),IF((DATE(Assumptions!$B$4,8,28)-$N79)/365.25&lt;=Assumptions!$B$20,(DATE(Assumptions!$B$4,8,28)-$N79)/365.25*Assumptions!$B$18*BI79,(Assumptions!$B$20*Assumptions!$B$18+((DATE(Assumptions!$B$4,8,28)-$N79)/365.25-Assumptions!$B$20)*Assumptions!$B$19)*BI79),0)</f>
        <v>26937.166324435319</v>
      </c>
      <c r="BK79" s="249">
        <f>IF(BH79&gt;0,IF($M79="Saudi",MIN(BH79+$Q79*$V79,Assumptions!$B$14)*Assumptions!$B$12,MIN(BH79+$Q79*$V79,Assumptions!$B$14)*Assumptions!$B$13),0)</f>
        <v>0</v>
      </c>
      <c r="BL79" s="249">
        <f>IF(AND(BH79&gt;0,$M79="Non-Saudi"),Assumptions!$B$25,0)</f>
        <v>910.41666666666663</v>
      </c>
      <c r="BM79" s="249">
        <f>IF(AND($D79="Contrat Local",$N79&lt;&gt;""),IF(AND(9&gt;=Assumptions!$B$5,ISNUMBER($X79),$N79&lt;EDATE(Assumptions!$B$9,-Assumptions!$B$6*12)),($P79+$X79)*$V79,$P79*$V79),0)</f>
        <v>8000</v>
      </c>
      <c r="BN79" s="249">
        <f t="shared" si="43"/>
        <v>11000</v>
      </c>
      <c r="BO79" s="249">
        <f>IF(AND(BN79&gt;0,$N79&lt;&gt;""),IF((DATE(Assumptions!$B$4,9,28)-$N79)/365.25&lt;=Assumptions!$B$20,(DATE(Assumptions!$B$4,9,28)-$N79)/365.25*Assumptions!$B$18*BN79,(Assumptions!$B$20*Assumptions!$B$18+((DATE(Assumptions!$B$4,9,28)-$N79)/365.25-Assumptions!$B$20)*Assumptions!$B$19)*BN79),0)</f>
        <v>28305.612594113623</v>
      </c>
      <c r="BP79" s="249">
        <f>IF(BM79&gt;0,IF($M79="Saudi",MIN(BM79+$Q79*$V79,Assumptions!$B$14)*Assumptions!$B$12,MIN(BM79+$Q79*$V79,Assumptions!$B$14)*Assumptions!$B$13),0)</f>
        <v>0</v>
      </c>
      <c r="BQ79" s="249">
        <f>IF(AND(BM79&gt;0,$M79="Non-Saudi"),Assumptions!$B$25,0)</f>
        <v>910.41666666666663</v>
      </c>
      <c r="BR79" s="249">
        <f>IF(AND($D79="Contrat Local",$N79&lt;&gt;""),IF(AND(10&gt;=Assumptions!$B$5,ISNUMBER($X79),$N79&lt;EDATE(Assumptions!$B$9,-Assumptions!$B$6*12)),($P79+$X79)*$V79,$P79*$V79),0)</f>
        <v>8000</v>
      </c>
      <c r="BS79" s="249">
        <f t="shared" si="44"/>
        <v>11000</v>
      </c>
      <c r="BT79" s="249">
        <f>IF(AND(BS79&gt;0,$N79&lt;&gt;""),IF((DATE(Assumptions!$B$4,10,28)-$N79)/365.25&lt;=Assumptions!$B$20,(DATE(Assumptions!$B$4,10,28)-$N79)/365.25*Assumptions!$B$18*BS79,(Assumptions!$B$20*Assumptions!$B$18+((DATE(Assumptions!$B$4,10,28)-$N79)/365.25-Assumptions!$B$20)*Assumptions!$B$19)*BS79),0)</f>
        <v>29209.103353867216</v>
      </c>
      <c r="BU79" s="249">
        <f>IF(BR79&gt;0,IF($M79="Saudi",MIN(BR79+$Q79*$V79,Assumptions!$B$14)*Assumptions!$B$12,MIN(BR79+$Q79*$V79,Assumptions!$B$14)*Assumptions!$B$13),0)</f>
        <v>0</v>
      </c>
      <c r="BV79" s="249">
        <f>IF(AND(BR79&gt;0,$M79="Non-Saudi"),Assumptions!$B$25,0)</f>
        <v>910.41666666666663</v>
      </c>
      <c r="BW79" s="249">
        <f>IF(AND($D79="Contrat Local",$N79&lt;&gt;""),IF(AND(11&gt;=Assumptions!$B$5,ISNUMBER($X79),$N79&lt;EDATE(Assumptions!$B$9,-Assumptions!$B$6*12)),($P79+$X79)*$V79,$P79*$V79),0)</f>
        <v>8000</v>
      </c>
      <c r="BX79" s="249">
        <f t="shared" si="45"/>
        <v>11000</v>
      </c>
      <c r="BY79" s="249">
        <f>IF(AND(BX79&gt;0,$N79&lt;&gt;""),IF((DATE(Assumptions!$B$4,11,28)-$N79)/365.25&lt;=Assumptions!$B$20,(DATE(Assumptions!$B$4,11,28)-$N79)/365.25*Assumptions!$B$18*BX79,(Assumptions!$B$20*Assumptions!$B$18+((DATE(Assumptions!$B$4,11,28)-$N79)/365.25-Assumptions!$B$20)*Assumptions!$B$19)*BX79),0)</f>
        <v>30142.710472279261</v>
      </c>
      <c r="BZ79" s="249">
        <f>IF(BW79&gt;0,IF($M79="Saudi",MIN(BW79+$Q79*$V79,Assumptions!$B$14)*Assumptions!$B$12,MIN(BW79+$Q79*$V79,Assumptions!$B$14)*Assumptions!$B$13),0)</f>
        <v>0</v>
      </c>
      <c r="CA79" s="249">
        <f>IF(AND(BW79&gt;0,$M79="Non-Saudi"),Assumptions!$B$25,0)</f>
        <v>910.41666666666663</v>
      </c>
      <c r="CB79" s="249">
        <f>IF(AND($D79="Contrat Local",$N79&lt;&gt;""),IF(AND(12&gt;=Assumptions!$B$5,ISNUMBER($X79),$N79&lt;EDATE(Assumptions!$B$9,-Assumptions!$B$6*12)),($P79+$X79)*$V79,$P79*$V79),0)</f>
        <v>8000</v>
      </c>
      <c r="CC79" s="249">
        <f t="shared" si="46"/>
        <v>11000</v>
      </c>
      <c r="CD79" s="249">
        <f>IF(AND(CC79&gt;0,$N79&lt;&gt;""),IF((DATE(Assumptions!$B$4,12,28)-$N79)/365.25&lt;=Assumptions!$B$20,(DATE(Assumptions!$B$4,12,28)-$N79)/365.25*Assumptions!$B$18*CC79,(Assumptions!$B$20*Assumptions!$B$18+((DATE(Assumptions!$B$4,12,28)-$N79)/365.25-Assumptions!$B$20)*Assumptions!$B$19)*CC79),0)</f>
        <v>31046.201232032854</v>
      </c>
      <c r="CE79" s="249">
        <f>IF(CB79&gt;0,IF($M79="Saudi",MIN(CB79+$Q79*$V79,Assumptions!$B$14)*Assumptions!$B$12,MIN(CB79+$Q79*$V79,Assumptions!$B$14)*Assumptions!$B$13),0)</f>
        <v>0</v>
      </c>
      <c r="CF79" s="249">
        <f>IF(AND(CB79&gt;0,$M79="Non-Saudi"),Assumptions!$B$25,0)</f>
        <v>910.41666666666663</v>
      </c>
      <c r="CG79" s="249">
        <f t="shared" si="47"/>
        <v>94400</v>
      </c>
      <c r="CH79" s="249">
        <f t="shared" si="48"/>
        <v>130400</v>
      </c>
      <c r="CI79" s="249">
        <f>CD79-IF(AND(Z79&gt;0,$N79&lt;&gt;""),IF((DATE(Assumptions!$B$4-1,12,28)-$N79)/365.25&lt;=Assumptions!$B$20,(DATE(Assumptions!$B$4-1,12,28)-$N79)/365.25*Assumptions!$B$18*Z79,(Assumptions!$B$20*Assumptions!$B$18+((DATE(Assumptions!$B$4-1,12,28)-$N79)/365.25-Assumptions!$B$20)*Assumptions!$B$19)*Z79),0)</f>
        <v>7701.6427104722825</v>
      </c>
      <c r="CJ79" s="249">
        <f t="shared" si="49"/>
        <v>0</v>
      </c>
      <c r="CK79" s="249">
        <f t="shared" si="50"/>
        <v>10924.999999999998</v>
      </c>
    </row>
    <row r="80" spans="1:89" x14ac:dyDescent="0.2">
      <c r="A80" s="276">
        <v>79</v>
      </c>
      <c r="B80" s="277" t="s">
        <v>449</v>
      </c>
      <c r="C80" s="277" t="s">
        <v>450</v>
      </c>
      <c r="D80" s="277" t="s">
        <v>250</v>
      </c>
      <c r="E80" s="277" t="s">
        <v>767</v>
      </c>
      <c r="F80" s="277" t="s">
        <v>332</v>
      </c>
      <c r="G80" s="277" t="s">
        <v>303</v>
      </c>
      <c r="H80" s="277" t="s">
        <v>42</v>
      </c>
      <c r="I80" s="287" t="s">
        <v>691</v>
      </c>
      <c r="J80" s="277" t="s">
        <v>85</v>
      </c>
      <c r="K80" s="277" t="s">
        <v>254</v>
      </c>
      <c r="L80" s="277" t="s">
        <v>255</v>
      </c>
      <c r="M80" s="277" t="str">
        <f t="shared" si="26"/>
        <v>Non-Saudi</v>
      </c>
      <c r="N80" s="278">
        <v>45170</v>
      </c>
      <c r="O80" s="279">
        <v>3.3</v>
      </c>
      <c r="P80" s="280">
        <v>9750</v>
      </c>
      <c r="Q80" s="280">
        <v>2500</v>
      </c>
      <c r="R80" s="280">
        <v>500</v>
      </c>
      <c r="S80" s="280"/>
      <c r="T80" s="280">
        <v>500</v>
      </c>
      <c r="U80" s="280">
        <v>13250</v>
      </c>
      <c r="V80" s="281">
        <v>1</v>
      </c>
      <c r="W80" s="277" t="s">
        <v>259</v>
      </c>
      <c r="X80" s="277">
        <v>250</v>
      </c>
      <c r="Y80" s="249">
        <f t="shared" si="27"/>
        <v>9750</v>
      </c>
      <c r="Z80" s="249">
        <f t="shared" si="28"/>
        <v>13250</v>
      </c>
      <c r="AA80" s="249">
        <f>IF(AND(Z80&gt;0,$N80&lt;&gt;""),IF((DATE(Assumptions!$B$4,1,28)-$N80)/365.25&lt;=Assumptions!$B$20,(DATE(Assumptions!$B$4,1,28)-$N80)/365.25*Assumptions!$B$18*Z80,(Assumptions!$B$20*Assumptions!$B$18+((DATE(Assumptions!$B$4,1,28)-$N80)/365.25-Assumptions!$B$20)*Assumptions!$B$19)*Z80),0)</f>
        <v>15961.67008898015</v>
      </c>
      <c r="AB80" s="249">
        <f>IF(Y80&gt;0,IF($M80="Saudi",MIN(Y80+$Q80*$V80,Assumptions!$B$14)*Assumptions!$B$12,MIN(Y80+$Q80*$V80,Assumptions!$B$14)*Assumptions!$B$13),0)</f>
        <v>0</v>
      </c>
      <c r="AC80" s="249">
        <f>IF(AND(Y80&gt;0,$M80="Non-Saudi"),Assumptions!$B$25,0)</f>
        <v>910.41666666666663</v>
      </c>
      <c r="AD80" s="249">
        <f t="shared" si="29"/>
        <v>9750</v>
      </c>
      <c r="AE80" s="249">
        <f t="shared" si="30"/>
        <v>13250</v>
      </c>
      <c r="AF80" s="249">
        <f>IF(AND(AE80&gt;0,$N80&lt;&gt;""),IF((DATE(Assumptions!$B$4,2,28)-$N80)/365.25&lt;=Assumptions!$B$20,(DATE(Assumptions!$B$4,2,28)-$N80)/365.25*Assumptions!$B$18*AE80,(Assumptions!$B$20*Assumptions!$B$18+((DATE(Assumptions!$B$4,2,28)-$N80)/365.25-Assumptions!$B$20)*Assumptions!$B$19)*AE80),0)</f>
        <v>16523.956194387407</v>
      </c>
      <c r="AG80" s="249">
        <f>IF(AD80&gt;0,IF($M80="Saudi",MIN(AD80+$Q80*$V80,Assumptions!$B$14)*Assumptions!$B$12,MIN(AD80+$Q80*$V80,Assumptions!$B$14)*Assumptions!$B$13),0)</f>
        <v>0</v>
      </c>
      <c r="AH80" s="249">
        <f>IF(AND(AD80&gt;0,$M80="Non-Saudi"),Assumptions!$B$25,0)</f>
        <v>910.41666666666663</v>
      </c>
      <c r="AI80" s="249">
        <f t="shared" si="31"/>
        <v>9750</v>
      </c>
      <c r="AJ80" s="249">
        <f t="shared" si="32"/>
        <v>13250</v>
      </c>
      <c r="AK80" s="249">
        <f>IF(AND(AJ80&gt;0,$N80&lt;&gt;""),IF((DATE(Assumptions!$B$4,3,28)-$N80)/365.25&lt;=Assumptions!$B$20,(DATE(Assumptions!$B$4,3,28)-$N80)/365.25*Assumptions!$B$18*AJ80,(Assumptions!$B$20*Assumptions!$B$18+((DATE(Assumptions!$B$4,3,28)-$N80)/365.25-Assumptions!$B$20)*Assumptions!$B$19)*AJ80),0)</f>
        <v>17031.827515400411</v>
      </c>
      <c r="AL80" s="249">
        <f>IF(AI80&gt;0,IF($M80="Saudi",MIN(AI80+$Q80*$V80,Assumptions!$B$14)*Assumptions!$B$12,MIN(AI80+$Q80*$V80,Assumptions!$B$14)*Assumptions!$B$13),0)</f>
        <v>0</v>
      </c>
      <c r="AM80" s="249">
        <f>IF(AND(AI80&gt;0,$M80="Non-Saudi"),Assumptions!$B$25,0)</f>
        <v>910.41666666666663</v>
      </c>
      <c r="AN80" s="249">
        <f t="shared" si="33"/>
        <v>9750</v>
      </c>
      <c r="AO80" s="249">
        <f t="shared" si="34"/>
        <v>13250</v>
      </c>
      <c r="AP80" s="249">
        <f>IF(AND(AO80&gt;0,$N80&lt;&gt;""),IF((DATE(Assumptions!$B$4,4,28)-$N80)/365.25&lt;=Assumptions!$B$20,(DATE(Assumptions!$B$4,4,28)-$N80)/365.25*Assumptions!$B$18*AO80,(Assumptions!$B$20*Assumptions!$B$18+((DATE(Assumptions!$B$4,4,28)-$N80)/365.25-Assumptions!$B$20)*Assumptions!$B$19)*AO80),0)</f>
        <v>17594.113620807664</v>
      </c>
      <c r="AQ80" s="249">
        <f>IF(AN80&gt;0,IF($M80="Saudi",MIN(AN80+$Q80*$V80,Assumptions!$B$14)*Assumptions!$B$12,MIN(AN80+$Q80*$V80,Assumptions!$B$14)*Assumptions!$B$13),0)</f>
        <v>0</v>
      </c>
      <c r="AR80" s="249">
        <f>IF(AND(AN80&gt;0,$M80="Non-Saudi"),Assumptions!$B$25,0)</f>
        <v>910.41666666666663</v>
      </c>
      <c r="AS80" s="249">
        <f t="shared" si="35"/>
        <v>9750</v>
      </c>
      <c r="AT80" s="249">
        <f t="shared" si="36"/>
        <v>13250</v>
      </c>
      <c r="AU80" s="249">
        <f>IF(AND(AT80&gt;0,$N80&lt;&gt;""),IF((DATE(Assumptions!$B$4,5,28)-$N80)/365.25&lt;=Assumptions!$B$20,(DATE(Assumptions!$B$4,5,28)-$N80)/365.25*Assumptions!$B$18*AT80,(Assumptions!$B$20*Assumptions!$B$18+((DATE(Assumptions!$B$4,5,28)-$N80)/365.25-Assumptions!$B$20)*Assumptions!$B$19)*AT80),0)</f>
        <v>18138.261464750169</v>
      </c>
      <c r="AV80" s="249">
        <f>IF(AS80&gt;0,IF($M80="Saudi",MIN(AS80+$Q80*$V80,Assumptions!$B$14)*Assumptions!$B$12,MIN(AS80+$Q80*$V80,Assumptions!$B$14)*Assumptions!$B$13),0)</f>
        <v>0</v>
      </c>
      <c r="AW80" s="249">
        <f>IF(AND(AS80&gt;0,$M80="Non-Saudi"),Assumptions!$B$25,0)</f>
        <v>910.41666666666663</v>
      </c>
      <c r="AX80" s="249">
        <f t="shared" si="37"/>
        <v>9750</v>
      </c>
      <c r="AY80" s="249">
        <f t="shared" si="38"/>
        <v>13250</v>
      </c>
      <c r="AZ80" s="249">
        <f>IF(AND(AY80&gt;0,$N80&lt;&gt;""),IF((DATE(Assumptions!$B$4,6,28)-$N80)/365.25&lt;=Assumptions!$B$20,(DATE(Assumptions!$B$4,6,28)-$N80)/365.25*Assumptions!$B$18*AY80,(Assumptions!$B$20*Assumptions!$B$18+((DATE(Assumptions!$B$4,6,28)-$N80)/365.25-Assumptions!$B$20)*Assumptions!$B$19)*AY80),0)</f>
        <v>18700.547570157429</v>
      </c>
      <c r="BA80" s="249">
        <f>IF(AX80&gt;0,IF($M80="Saudi",MIN(AX80+$Q80*$V80,Assumptions!$B$14)*Assumptions!$B$12,MIN(AX80+$Q80*$V80,Assumptions!$B$14)*Assumptions!$B$13),0)</f>
        <v>0</v>
      </c>
      <c r="BB80" s="249">
        <f>IF(AND(AX80&gt;0,$M80="Non-Saudi"),Assumptions!$B$25,0)</f>
        <v>910.41666666666663</v>
      </c>
      <c r="BC80" s="249">
        <f t="shared" si="39"/>
        <v>9750</v>
      </c>
      <c r="BD80" s="249">
        <f t="shared" si="40"/>
        <v>13250</v>
      </c>
      <c r="BE80" s="249">
        <f>IF(AND(BD80&gt;0,$N80&lt;&gt;""),IF((DATE(Assumptions!$B$4,7,28)-$N80)/365.25&lt;=Assumptions!$B$20,(DATE(Assumptions!$B$4,7,28)-$N80)/365.25*Assumptions!$B$18*BD80,(Assumptions!$B$20*Assumptions!$B$18+((DATE(Assumptions!$B$4,7,28)-$N80)/365.25-Assumptions!$B$20)*Assumptions!$B$19)*BD80),0)</f>
        <v>19244.695414099933</v>
      </c>
      <c r="BF80" s="249">
        <f>IF(BC80&gt;0,IF($M80="Saudi",MIN(BC80+$Q80*$V80,Assumptions!$B$14)*Assumptions!$B$12,MIN(BC80+$Q80*$V80,Assumptions!$B$14)*Assumptions!$B$13),0)</f>
        <v>0</v>
      </c>
      <c r="BG80" s="249">
        <f>IF(AND(BC80&gt;0,$M80="Non-Saudi"),Assumptions!$B$25,0)</f>
        <v>910.41666666666663</v>
      </c>
      <c r="BH80" s="249">
        <f t="shared" si="41"/>
        <v>9750</v>
      </c>
      <c r="BI80" s="249">
        <f t="shared" si="42"/>
        <v>13250</v>
      </c>
      <c r="BJ80" s="249">
        <f>IF(AND(BI80&gt;0,$N80&lt;&gt;""),IF((DATE(Assumptions!$B$4,8,28)-$N80)/365.25&lt;=Assumptions!$B$20,(DATE(Assumptions!$B$4,8,28)-$N80)/365.25*Assumptions!$B$18*BI80,(Assumptions!$B$20*Assumptions!$B$18+((DATE(Assumptions!$B$4,8,28)-$N80)/365.25-Assumptions!$B$20)*Assumptions!$B$19)*BI80),0)</f>
        <v>19806.981519507186</v>
      </c>
      <c r="BK80" s="249">
        <f>IF(BH80&gt;0,IF($M80="Saudi",MIN(BH80+$Q80*$V80,Assumptions!$B$14)*Assumptions!$B$12,MIN(BH80+$Q80*$V80,Assumptions!$B$14)*Assumptions!$B$13),0)</f>
        <v>0</v>
      </c>
      <c r="BL80" s="249">
        <f>IF(AND(BH80&gt;0,$M80="Non-Saudi"),Assumptions!$B$25,0)</f>
        <v>910.41666666666663</v>
      </c>
      <c r="BM80" s="249">
        <f>IF(AND($D80="Contrat Local",$N80&lt;&gt;""),IF(AND(9&gt;=Assumptions!$B$5,ISNUMBER($X80),$N80&lt;EDATE(Assumptions!$B$9,-Assumptions!$B$6*12)),($P80+$X80)*$V80,$P80*$V80),0)</f>
        <v>10000</v>
      </c>
      <c r="BN80" s="249">
        <f t="shared" si="43"/>
        <v>13500</v>
      </c>
      <c r="BO80" s="249">
        <f>IF(AND(BN80&gt;0,$N80&lt;&gt;""),IF((DATE(Assumptions!$B$4,9,28)-$N80)/365.25&lt;=Assumptions!$B$20,(DATE(Assumptions!$B$4,9,28)-$N80)/365.25*Assumptions!$B$18*BN80,(Assumptions!$B$20*Assumptions!$B$18+((DATE(Assumptions!$B$4,9,28)-$N80)/365.25-Assumptions!$B$20)*Assumptions!$B$19)*BN80),0)</f>
        <v>20753.593429158111</v>
      </c>
      <c r="BP80" s="249">
        <f>IF(BM80&gt;0,IF($M80="Saudi",MIN(BM80+$Q80*$V80,Assumptions!$B$14)*Assumptions!$B$12,MIN(BM80+$Q80*$V80,Assumptions!$B$14)*Assumptions!$B$13),0)</f>
        <v>0</v>
      </c>
      <c r="BQ80" s="249">
        <f>IF(AND(BM80&gt;0,$M80="Non-Saudi"),Assumptions!$B$25,0)</f>
        <v>910.41666666666663</v>
      </c>
      <c r="BR80" s="249">
        <f>IF(AND($D80="Contrat Local",$N80&lt;&gt;""),IF(AND(10&gt;=Assumptions!$B$5,ISNUMBER($X80),$N80&lt;EDATE(Assumptions!$B$9,-Assumptions!$B$6*12)),($P80+$X80)*$V80,$P80*$V80),0)</f>
        <v>10000</v>
      </c>
      <c r="BS80" s="249">
        <f t="shared" si="44"/>
        <v>13500</v>
      </c>
      <c r="BT80" s="249">
        <f>IF(AND(BS80&gt;0,$N80&lt;&gt;""),IF((DATE(Assumptions!$B$4,10,28)-$N80)/365.25&lt;=Assumptions!$B$20,(DATE(Assumptions!$B$4,10,28)-$N80)/365.25*Assumptions!$B$18*BS80,(Assumptions!$B$20*Assumptions!$B$18+((DATE(Assumptions!$B$4,10,28)-$N80)/365.25-Assumptions!$B$20)*Assumptions!$B$19)*BS80),0)</f>
        <v>21308.008213552363</v>
      </c>
      <c r="BU80" s="249">
        <f>IF(BR80&gt;0,IF($M80="Saudi",MIN(BR80+$Q80*$V80,Assumptions!$B$14)*Assumptions!$B$12,MIN(BR80+$Q80*$V80,Assumptions!$B$14)*Assumptions!$B$13),0)</f>
        <v>0</v>
      </c>
      <c r="BV80" s="249">
        <f>IF(AND(BR80&gt;0,$M80="Non-Saudi"),Assumptions!$B$25,0)</f>
        <v>910.41666666666663</v>
      </c>
      <c r="BW80" s="249">
        <f>IF(AND($D80="Contrat Local",$N80&lt;&gt;""),IF(AND(11&gt;=Assumptions!$B$5,ISNUMBER($X80),$N80&lt;EDATE(Assumptions!$B$9,-Assumptions!$B$6*12)),($P80+$X80)*$V80,$P80*$V80),0)</f>
        <v>10000</v>
      </c>
      <c r="BX80" s="249">
        <f t="shared" si="45"/>
        <v>13500</v>
      </c>
      <c r="BY80" s="249">
        <f>IF(AND(BX80&gt;0,$N80&lt;&gt;""),IF((DATE(Assumptions!$B$4,11,28)-$N80)/365.25&lt;=Assumptions!$B$20,(DATE(Assumptions!$B$4,11,28)-$N80)/365.25*Assumptions!$B$18*BX80,(Assumptions!$B$20*Assumptions!$B$18+((DATE(Assumptions!$B$4,11,28)-$N80)/365.25-Assumptions!$B$20)*Assumptions!$B$19)*BX80),0)</f>
        <v>21880.903490759752</v>
      </c>
      <c r="BZ80" s="249">
        <f>IF(BW80&gt;0,IF($M80="Saudi",MIN(BW80+$Q80*$V80,Assumptions!$B$14)*Assumptions!$B$12,MIN(BW80+$Q80*$V80,Assumptions!$B$14)*Assumptions!$B$13),0)</f>
        <v>0</v>
      </c>
      <c r="CA80" s="249">
        <f>IF(AND(BW80&gt;0,$M80="Non-Saudi"),Assumptions!$B$25,0)</f>
        <v>910.41666666666663</v>
      </c>
      <c r="CB80" s="249">
        <f>IF(AND($D80="Contrat Local",$N80&lt;&gt;""),IF(AND(12&gt;=Assumptions!$B$5,ISNUMBER($X80),$N80&lt;EDATE(Assumptions!$B$9,-Assumptions!$B$6*12)),($P80+$X80)*$V80,$P80*$V80),0)</f>
        <v>10000</v>
      </c>
      <c r="CC80" s="249">
        <f t="shared" si="46"/>
        <v>13500</v>
      </c>
      <c r="CD80" s="249">
        <f>IF(AND(CC80&gt;0,$N80&lt;&gt;""),IF((DATE(Assumptions!$B$4,12,28)-$N80)/365.25&lt;=Assumptions!$B$20,(DATE(Assumptions!$B$4,12,28)-$N80)/365.25*Assumptions!$B$18*CC80,(Assumptions!$B$20*Assumptions!$B$18+((DATE(Assumptions!$B$4,12,28)-$N80)/365.25-Assumptions!$B$20)*Assumptions!$B$19)*CC80),0)</f>
        <v>22435.318275154004</v>
      </c>
      <c r="CE80" s="249">
        <f>IF(CB80&gt;0,IF($M80="Saudi",MIN(CB80+$Q80*$V80,Assumptions!$B$14)*Assumptions!$B$12,MIN(CB80+$Q80*$V80,Assumptions!$B$14)*Assumptions!$B$13),0)</f>
        <v>0</v>
      </c>
      <c r="CF80" s="249">
        <f>IF(AND(CB80&gt;0,$M80="Non-Saudi"),Assumptions!$B$25,0)</f>
        <v>910.41666666666663</v>
      </c>
      <c r="CG80" s="249">
        <f t="shared" si="47"/>
        <v>118000</v>
      </c>
      <c r="CH80" s="249">
        <f t="shared" si="48"/>
        <v>160000</v>
      </c>
      <c r="CI80" s="249">
        <f>CD80-IF(AND(Z80&gt;0,$N80&lt;&gt;""),IF((DATE(Assumptions!$B$4-1,12,28)-$N80)/365.25&lt;=Assumptions!$B$20,(DATE(Assumptions!$B$4-1,12,28)-$N80)/365.25*Assumptions!$B$18*Z80,(Assumptions!$B$20*Assumptions!$B$18+((DATE(Assumptions!$B$4-1,12,28)-$N80)/365.25-Assumptions!$B$20)*Assumptions!$B$19)*Z80),0)</f>
        <v>7035.9342915811085</v>
      </c>
      <c r="CJ80" s="249">
        <f t="shared" si="49"/>
        <v>0</v>
      </c>
      <c r="CK80" s="249">
        <f t="shared" si="50"/>
        <v>10924.999999999998</v>
      </c>
    </row>
    <row r="81" spans="1:89" x14ac:dyDescent="0.2">
      <c r="A81" s="252">
        <v>80</v>
      </c>
      <c r="B81" s="253" t="s">
        <v>451</v>
      </c>
      <c r="C81" s="253" t="s">
        <v>452</v>
      </c>
      <c r="D81" s="253" t="s">
        <v>250</v>
      </c>
      <c r="E81" s="253" t="s">
        <v>767</v>
      </c>
      <c r="F81" s="253" t="s">
        <v>453</v>
      </c>
      <c r="G81" s="253" t="s">
        <v>252</v>
      </c>
      <c r="H81" s="253" t="s">
        <v>454</v>
      </c>
      <c r="I81" s="282" t="s">
        <v>690</v>
      </c>
      <c r="J81" s="253"/>
      <c r="K81" s="253" t="s">
        <v>252</v>
      </c>
      <c r="L81" s="253" t="s">
        <v>255</v>
      </c>
      <c r="M81" s="253" t="str">
        <f t="shared" si="26"/>
        <v>Non-Saudi</v>
      </c>
      <c r="N81" s="254">
        <v>40422</v>
      </c>
      <c r="O81" s="255">
        <v>16.3</v>
      </c>
      <c r="P81" s="256">
        <v>11000</v>
      </c>
      <c r="Q81" s="256">
        <v>2500</v>
      </c>
      <c r="R81" s="256">
        <v>500</v>
      </c>
      <c r="S81" s="256"/>
      <c r="T81" s="256"/>
      <c r="U81" s="256">
        <v>14000</v>
      </c>
      <c r="V81" s="257">
        <v>1</v>
      </c>
      <c r="W81" s="253" t="s">
        <v>259</v>
      </c>
      <c r="X81" s="253">
        <v>250</v>
      </c>
      <c r="Y81" s="249">
        <f t="shared" si="27"/>
        <v>11000</v>
      </c>
      <c r="Z81" s="249">
        <f t="shared" si="28"/>
        <v>14000</v>
      </c>
      <c r="AA81" s="249">
        <f>IF(AND(Z81&gt;0,$N81&lt;&gt;""),IF((DATE(Assumptions!$B$4,1,28)-$N81)/365.25&lt;=Assumptions!$B$20,(DATE(Assumptions!$B$4,1,28)-$N81)/365.25*Assumptions!$B$18*Z81,(Assumptions!$B$20*Assumptions!$B$18+((DATE(Assumptions!$B$4,1,28)-$N81)/365.25-Assumptions!$B$20)*Assumptions!$B$19)*Z81),0)</f>
        <v>180720.73921971253</v>
      </c>
      <c r="AB81" s="249">
        <f>IF(Y81&gt;0,IF($M81="Saudi",MIN(Y81+$Q81*$V81,Assumptions!$B$14)*Assumptions!$B$12,MIN(Y81+$Q81*$V81,Assumptions!$B$14)*Assumptions!$B$13),0)</f>
        <v>0</v>
      </c>
      <c r="AC81" s="249">
        <f>IF(AND(Y81&gt;0,$M81="Non-Saudi"),Assumptions!$B$25,0)</f>
        <v>910.41666666666663</v>
      </c>
      <c r="AD81" s="249">
        <f t="shared" si="29"/>
        <v>11000</v>
      </c>
      <c r="AE81" s="249">
        <f t="shared" si="30"/>
        <v>14000</v>
      </c>
      <c r="AF81" s="249">
        <f>IF(AND(AE81&gt;0,$N81&lt;&gt;""),IF((DATE(Assumptions!$B$4,2,28)-$N81)/365.25&lt;=Assumptions!$B$20,(DATE(Assumptions!$B$4,2,28)-$N81)/365.25*Assumptions!$B$18*AE81,(Assumptions!$B$20*Assumptions!$B$18+((DATE(Assumptions!$B$4,2,28)-$N81)/365.25-Assumptions!$B$20)*Assumptions!$B$19)*AE81),0)</f>
        <v>181908.96646132786</v>
      </c>
      <c r="AG81" s="249">
        <f>IF(AD81&gt;0,IF($M81="Saudi",MIN(AD81+$Q81*$V81,Assumptions!$B$14)*Assumptions!$B$12,MIN(AD81+$Q81*$V81,Assumptions!$B$14)*Assumptions!$B$13),0)</f>
        <v>0</v>
      </c>
      <c r="AH81" s="249">
        <f>IF(AND(AD81&gt;0,$M81="Non-Saudi"),Assumptions!$B$25,0)</f>
        <v>910.41666666666663</v>
      </c>
      <c r="AI81" s="249">
        <f t="shared" si="31"/>
        <v>11000</v>
      </c>
      <c r="AJ81" s="249">
        <f t="shared" si="32"/>
        <v>14000</v>
      </c>
      <c r="AK81" s="249">
        <f>IF(AND(AJ81&gt;0,$N81&lt;&gt;""),IF((DATE(Assumptions!$B$4,3,28)-$N81)/365.25&lt;=Assumptions!$B$20,(DATE(Assumptions!$B$4,3,28)-$N81)/365.25*Assumptions!$B$18*AJ81,(Assumptions!$B$20*Assumptions!$B$18+((DATE(Assumptions!$B$4,3,28)-$N81)/365.25-Assumptions!$B$20)*Assumptions!$B$19)*AJ81),0)</f>
        <v>182982.20396988365</v>
      </c>
      <c r="AL81" s="249">
        <f>IF(AI81&gt;0,IF($M81="Saudi",MIN(AI81+$Q81*$V81,Assumptions!$B$14)*Assumptions!$B$12,MIN(AI81+$Q81*$V81,Assumptions!$B$14)*Assumptions!$B$13),0)</f>
        <v>0</v>
      </c>
      <c r="AM81" s="249">
        <f>IF(AND(AI81&gt;0,$M81="Non-Saudi"),Assumptions!$B$25,0)</f>
        <v>910.41666666666663</v>
      </c>
      <c r="AN81" s="249">
        <f t="shared" si="33"/>
        <v>11000</v>
      </c>
      <c r="AO81" s="249">
        <f t="shared" si="34"/>
        <v>14000</v>
      </c>
      <c r="AP81" s="249">
        <f>IF(AND(AO81&gt;0,$N81&lt;&gt;""),IF((DATE(Assumptions!$B$4,4,28)-$N81)/365.25&lt;=Assumptions!$B$20,(DATE(Assumptions!$B$4,4,28)-$N81)/365.25*Assumptions!$B$18*AO81,(Assumptions!$B$20*Assumptions!$B$18+((DATE(Assumptions!$B$4,4,28)-$N81)/365.25-Assumptions!$B$20)*Assumptions!$B$19)*AO81),0)</f>
        <v>184170.43121149897</v>
      </c>
      <c r="AQ81" s="249">
        <f>IF(AN81&gt;0,IF($M81="Saudi",MIN(AN81+$Q81*$V81,Assumptions!$B$14)*Assumptions!$B$12,MIN(AN81+$Q81*$V81,Assumptions!$B$14)*Assumptions!$B$13),0)</f>
        <v>0</v>
      </c>
      <c r="AR81" s="249">
        <f>IF(AND(AN81&gt;0,$M81="Non-Saudi"),Assumptions!$B$25,0)</f>
        <v>910.41666666666663</v>
      </c>
      <c r="AS81" s="249">
        <f t="shared" si="35"/>
        <v>11000</v>
      </c>
      <c r="AT81" s="249">
        <f t="shared" si="36"/>
        <v>14000</v>
      </c>
      <c r="AU81" s="249">
        <f>IF(AND(AT81&gt;0,$N81&lt;&gt;""),IF((DATE(Assumptions!$B$4,5,28)-$N81)/365.25&lt;=Assumptions!$B$20,(DATE(Assumptions!$B$4,5,28)-$N81)/365.25*Assumptions!$B$18*AT81,(Assumptions!$B$20*Assumptions!$B$18+((DATE(Assumptions!$B$4,5,28)-$N81)/365.25-Assumptions!$B$20)*Assumptions!$B$19)*AT81),0)</f>
        <v>185320.32854209444</v>
      </c>
      <c r="AV81" s="249">
        <f>IF(AS81&gt;0,IF($M81="Saudi",MIN(AS81+$Q81*$V81,Assumptions!$B$14)*Assumptions!$B$12,MIN(AS81+$Q81*$V81,Assumptions!$B$14)*Assumptions!$B$13),0)</f>
        <v>0</v>
      </c>
      <c r="AW81" s="249">
        <f>IF(AND(AS81&gt;0,$M81="Non-Saudi"),Assumptions!$B$25,0)</f>
        <v>910.41666666666663</v>
      </c>
      <c r="AX81" s="249">
        <f t="shared" si="37"/>
        <v>11000</v>
      </c>
      <c r="AY81" s="249">
        <f t="shared" si="38"/>
        <v>14000</v>
      </c>
      <c r="AZ81" s="249">
        <f>IF(AND(AY81&gt;0,$N81&lt;&gt;""),IF((DATE(Assumptions!$B$4,6,28)-$N81)/365.25&lt;=Assumptions!$B$20,(DATE(Assumptions!$B$4,6,28)-$N81)/365.25*Assumptions!$B$18*AY81,(Assumptions!$B$20*Assumptions!$B$18+((DATE(Assumptions!$B$4,6,28)-$N81)/365.25-Assumptions!$B$20)*Assumptions!$B$19)*AY81),0)</f>
        <v>186508.55578370977</v>
      </c>
      <c r="BA81" s="249">
        <f>IF(AX81&gt;0,IF($M81="Saudi",MIN(AX81+$Q81*$V81,Assumptions!$B$14)*Assumptions!$B$12,MIN(AX81+$Q81*$V81,Assumptions!$B$14)*Assumptions!$B$13),0)</f>
        <v>0</v>
      </c>
      <c r="BB81" s="249">
        <f>IF(AND(AX81&gt;0,$M81="Non-Saudi"),Assumptions!$B$25,0)</f>
        <v>910.41666666666663</v>
      </c>
      <c r="BC81" s="249">
        <f t="shared" si="39"/>
        <v>11000</v>
      </c>
      <c r="BD81" s="249">
        <f t="shared" si="40"/>
        <v>14000</v>
      </c>
      <c r="BE81" s="249">
        <f>IF(AND(BD81&gt;0,$N81&lt;&gt;""),IF((DATE(Assumptions!$B$4,7,28)-$N81)/365.25&lt;=Assumptions!$B$20,(DATE(Assumptions!$B$4,7,28)-$N81)/365.25*Assumptions!$B$18*BD81,(Assumptions!$B$20*Assumptions!$B$18+((DATE(Assumptions!$B$4,7,28)-$N81)/365.25-Assumptions!$B$20)*Assumptions!$B$19)*BD81),0)</f>
        <v>187658.45311430527</v>
      </c>
      <c r="BF81" s="249">
        <f>IF(BC81&gt;0,IF($M81="Saudi",MIN(BC81+$Q81*$V81,Assumptions!$B$14)*Assumptions!$B$12,MIN(BC81+$Q81*$V81,Assumptions!$B$14)*Assumptions!$B$13),0)</f>
        <v>0</v>
      </c>
      <c r="BG81" s="249">
        <f>IF(AND(BC81&gt;0,$M81="Non-Saudi"),Assumptions!$B$25,0)</f>
        <v>910.41666666666663</v>
      </c>
      <c r="BH81" s="249">
        <f t="shared" si="41"/>
        <v>11000</v>
      </c>
      <c r="BI81" s="249">
        <f t="shared" si="42"/>
        <v>14000</v>
      </c>
      <c r="BJ81" s="249">
        <f>IF(AND(BI81&gt;0,$N81&lt;&gt;""),IF((DATE(Assumptions!$B$4,8,28)-$N81)/365.25&lt;=Assumptions!$B$20,(DATE(Assumptions!$B$4,8,28)-$N81)/365.25*Assumptions!$B$18*BI81,(Assumptions!$B$20*Assumptions!$B$18+((DATE(Assumptions!$B$4,8,28)-$N81)/365.25-Assumptions!$B$20)*Assumptions!$B$19)*BI81),0)</f>
        <v>188846.6803559206</v>
      </c>
      <c r="BK81" s="249">
        <f>IF(BH81&gt;0,IF($M81="Saudi",MIN(BH81+$Q81*$V81,Assumptions!$B$14)*Assumptions!$B$12,MIN(BH81+$Q81*$V81,Assumptions!$B$14)*Assumptions!$B$13),0)</f>
        <v>0</v>
      </c>
      <c r="BL81" s="249">
        <f>IF(AND(BH81&gt;0,$M81="Non-Saudi"),Assumptions!$B$25,0)</f>
        <v>910.41666666666663</v>
      </c>
      <c r="BM81" s="249">
        <f>IF(AND($D81="Contrat Local",$N81&lt;&gt;""),IF(AND(9&gt;=Assumptions!$B$5,ISNUMBER($X81),$N81&lt;EDATE(Assumptions!$B$9,-Assumptions!$B$6*12)),($P81+$X81)*$V81,$P81*$V81),0)</f>
        <v>11250</v>
      </c>
      <c r="BN81" s="249">
        <f t="shared" si="43"/>
        <v>14250</v>
      </c>
      <c r="BO81" s="249">
        <f>IF(AND(BN81&gt;0,$N81&lt;&gt;""),IF((DATE(Assumptions!$B$4,9,28)-$N81)/365.25&lt;=Assumptions!$B$20,(DATE(Assumptions!$B$4,9,28)-$N81)/365.25*Assumptions!$B$18*BN81,(Assumptions!$B$20*Assumptions!$B$18+((DATE(Assumptions!$B$4,9,28)-$N81)/365.25-Assumptions!$B$20)*Assumptions!$B$19)*BN81),0)</f>
        <v>193428.38809034906</v>
      </c>
      <c r="BP81" s="249">
        <f>IF(BM81&gt;0,IF($M81="Saudi",MIN(BM81+$Q81*$V81,Assumptions!$B$14)*Assumptions!$B$12,MIN(BM81+$Q81*$V81,Assumptions!$B$14)*Assumptions!$B$13),0)</f>
        <v>0</v>
      </c>
      <c r="BQ81" s="249">
        <f>IF(AND(BM81&gt;0,$M81="Non-Saudi"),Assumptions!$B$25,0)</f>
        <v>910.41666666666663</v>
      </c>
      <c r="BR81" s="249">
        <f>IF(AND($D81="Contrat Local",$N81&lt;&gt;""),IF(AND(10&gt;=Assumptions!$B$5,ISNUMBER($X81),$N81&lt;EDATE(Assumptions!$B$9,-Assumptions!$B$6*12)),($P81+$X81)*$V81,$P81*$V81),0)</f>
        <v>11250</v>
      </c>
      <c r="BS81" s="249">
        <f t="shared" si="44"/>
        <v>14250</v>
      </c>
      <c r="BT81" s="249">
        <f>IF(AND(BS81&gt;0,$N81&lt;&gt;""),IF((DATE(Assumptions!$B$4,10,28)-$N81)/365.25&lt;=Assumptions!$B$20,(DATE(Assumptions!$B$4,10,28)-$N81)/365.25*Assumptions!$B$18*BS81,(Assumptions!$B$20*Assumptions!$B$18+((DATE(Assumptions!$B$4,10,28)-$N81)/365.25-Assumptions!$B$20)*Assumptions!$B$19)*BS81),0)</f>
        <v>194598.81930184807</v>
      </c>
      <c r="BU81" s="249">
        <f>IF(BR81&gt;0,IF($M81="Saudi",MIN(BR81+$Q81*$V81,Assumptions!$B$14)*Assumptions!$B$12,MIN(BR81+$Q81*$V81,Assumptions!$B$14)*Assumptions!$B$13),0)</f>
        <v>0</v>
      </c>
      <c r="BV81" s="249">
        <f>IF(AND(BR81&gt;0,$M81="Non-Saudi"),Assumptions!$B$25,0)</f>
        <v>910.41666666666663</v>
      </c>
      <c r="BW81" s="249">
        <f>IF(AND($D81="Contrat Local",$N81&lt;&gt;""),IF(AND(11&gt;=Assumptions!$B$5,ISNUMBER($X81),$N81&lt;EDATE(Assumptions!$B$9,-Assumptions!$B$6*12)),($P81+$X81)*$V81,$P81*$V81),0)</f>
        <v>11250</v>
      </c>
      <c r="BX81" s="249">
        <f t="shared" si="45"/>
        <v>14250</v>
      </c>
      <c r="BY81" s="249">
        <f>IF(AND(BX81&gt;0,$N81&lt;&gt;""),IF((DATE(Assumptions!$B$4,11,28)-$N81)/365.25&lt;=Assumptions!$B$20,(DATE(Assumptions!$B$4,11,28)-$N81)/365.25*Assumptions!$B$18*BX81,(Assumptions!$B$20*Assumptions!$B$18+((DATE(Assumptions!$B$4,11,28)-$N81)/365.25-Assumptions!$B$20)*Assumptions!$B$19)*BX81),0)</f>
        <v>195808.26488706368</v>
      </c>
      <c r="BZ81" s="249">
        <f>IF(BW81&gt;0,IF($M81="Saudi",MIN(BW81+$Q81*$V81,Assumptions!$B$14)*Assumptions!$B$12,MIN(BW81+$Q81*$V81,Assumptions!$B$14)*Assumptions!$B$13),0)</f>
        <v>0</v>
      </c>
      <c r="CA81" s="249">
        <f>IF(AND(BW81&gt;0,$M81="Non-Saudi"),Assumptions!$B$25,0)</f>
        <v>910.41666666666663</v>
      </c>
      <c r="CB81" s="249">
        <f>IF(AND($D81="Contrat Local",$N81&lt;&gt;""),IF(AND(12&gt;=Assumptions!$B$5,ISNUMBER($X81),$N81&lt;EDATE(Assumptions!$B$9,-Assumptions!$B$6*12)),($P81+$X81)*$V81,$P81*$V81),0)</f>
        <v>11250</v>
      </c>
      <c r="CC81" s="249">
        <f t="shared" si="46"/>
        <v>14250</v>
      </c>
      <c r="CD81" s="249">
        <f>IF(AND(CC81&gt;0,$N81&lt;&gt;""),IF((DATE(Assumptions!$B$4,12,28)-$N81)/365.25&lt;=Assumptions!$B$20,(DATE(Assumptions!$B$4,12,28)-$N81)/365.25*Assumptions!$B$18*CC81,(Assumptions!$B$20*Assumptions!$B$18+((DATE(Assumptions!$B$4,12,28)-$N81)/365.25-Assumptions!$B$20)*Assumptions!$B$19)*CC81),0)</f>
        <v>196978.69609856265</v>
      </c>
      <c r="CE81" s="249">
        <f>IF(CB81&gt;0,IF($M81="Saudi",MIN(CB81+$Q81*$V81,Assumptions!$B$14)*Assumptions!$B$12,MIN(CB81+$Q81*$V81,Assumptions!$B$14)*Assumptions!$B$13),0)</f>
        <v>0</v>
      </c>
      <c r="CF81" s="249">
        <f>IF(AND(CB81&gt;0,$M81="Non-Saudi"),Assumptions!$B$25,0)</f>
        <v>910.41666666666663</v>
      </c>
      <c r="CG81" s="249">
        <f t="shared" si="47"/>
        <v>133000</v>
      </c>
      <c r="CH81" s="249">
        <f t="shared" si="48"/>
        <v>169000</v>
      </c>
      <c r="CI81" s="249">
        <f>CD81-IF(AND(Z81&gt;0,$N81&lt;&gt;""),IF((DATE(Assumptions!$B$4-1,12,28)-$N81)/365.25&lt;=Assumptions!$B$20,(DATE(Assumptions!$B$4-1,12,28)-$N81)/365.25*Assumptions!$B$18*Z81,(Assumptions!$B$20*Assumptions!$B$18+((DATE(Assumptions!$B$4-1,12,28)-$N81)/365.25-Assumptions!$B$20)*Assumptions!$B$19)*Z81),0)</f>
        <v>17446.184120465448</v>
      </c>
      <c r="CJ81" s="249">
        <f t="shared" si="49"/>
        <v>0</v>
      </c>
      <c r="CK81" s="249">
        <f t="shared" si="50"/>
        <v>10924.999999999998</v>
      </c>
    </row>
    <row r="82" spans="1:89" x14ac:dyDescent="0.2">
      <c r="A82" s="258">
        <v>81</v>
      </c>
      <c r="B82" s="259" t="s">
        <v>455</v>
      </c>
      <c r="C82" s="259" t="s">
        <v>456</v>
      </c>
      <c r="D82" s="259" t="s">
        <v>250</v>
      </c>
      <c r="E82" s="259" t="s">
        <v>767</v>
      </c>
      <c r="F82" s="259" t="s">
        <v>344</v>
      </c>
      <c r="G82" s="259" t="s">
        <v>4</v>
      </c>
      <c r="H82" s="259" t="s">
        <v>120</v>
      </c>
      <c r="I82" s="288" t="s">
        <v>691</v>
      </c>
      <c r="J82" s="259" t="s">
        <v>344</v>
      </c>
      <c r="K82" s="259" t="s">
        <v>4</v>
      </c>
      <c r="L82" s="259" t="s">
        <v>255</v>
      </c>
      <c r="M82" s="259" t="str">
        <f t="shared" si="26"/>
        <v>Non-Saudi</v>
      </c>
      <c r="N82" s="260">
        <v>45536</v>
      </c>
      <c r="O82" s="261">
        <v>2.2999999999999998</v>
      </c>
      <c r="P82" s="262">
        <v>5800</v>
      </c>
      <c r="Q82" s="262">
        <v>2500</v>
      </c>
      <c r="R82" s="262">
        <v>500</v>
      </c>
      <c r="S82" s="262"/>
      <c r="T82" s="262"/>
      <c r="U82" s="262">
        <v>8800</v>
      </c>
      <c r="V82" s="263">
        <v>1</v>
      </c>
      <c r="W82" s="259" t="s">
        <v>256</v>
      </c>
      <c r="X82" s="259">
        <v>200</v>
      </c>
      <c r="Y82" s="249">
        <f t="shared" si="27"/>
        <v>5800</v>
      </c>
      <c r="Z82" s="249">
        <f t="shared" si="28"/>
        <v>8800</v>
      </c>
      <c r="AA82" s="249">
        <f>IF(AND(Z82&gt;0,$N82&lt;&gt;""),IF((DATE(Assumptions!$B$4,1,28)-$N82)/365.25&lt;=Assumptions!$B$20,(DATE(Assumptions!$B$4,1,28)-$N82)/365.25*Assumptions!$B$18*Z82,(Assumptions!$B$20*Assumptions!$B$18+((DATE(Assumptions!$B$4,1,28)-$N82)/365.25-Assumptions!$B$20)*Assumptions!$B$19)*Z82),0)</f>
        <v>6191.9233401779602</v>
      </c>
      <c r="AB82" s="249">
        <f>IF(Y82&gt;0,IF($M82="Saudi",MIN(Y82+$Q82*$V82,Assumptions!$B$14)*Assumptions!$B$12,MIN(Y82+$Q82*$V82,Assumptions!$B$14)*Assumptions!$B$13),0)</f>
        <v>0</v>
      </c>
      <c r="AC82" s="249">
        <f>IF(AND(Y82&gt;0,$M82="Non-Saudi"),Assumptions!$B$25,0)</f>
        <v>910.41666666666663</v>
      </c>
      <c r="AD82" s="249">
        <f t="shared" si="29"/>
        <v>5800</v>
      </c>
      <c r="AE82" s="249">
        <f t="shared" si="30"/>
        <v>8800</v>
      </c>
      <c r="AF82" s="249">
        <f>IF(AND(AE82&gt;0,$N82&lt;&gt;""),IF((DATE(Assumptions!$B$4,2,28)-$N82)/365.25&lt;=Assumptions!$B$20,(DATE(Assumptions!$B$4,2,28)-$N82)/365.25*Assumptions!$B$18*AE82,(Assumptions!$B$20*Assumptions!$B$18+((DATE(Assumptions!$B$4,2,28)-$N82)/365.25-Assumptions!$B$20)*Assumptions!$B$19)*AE82),0)</f>
        <v>6565.3661875427788</v>
      </c>
      <c r="AG82" s="249">
        <f>IF(AD82&gt;0,IF($M82="Saudi",MIN(AD82+$Q82*$V82,Assumptions!$B$14)*Assumptions!$B$12,MIN(AD82+$Q82*$V82,Assumptions!$B$14)*Assumptions!$B$13),0)</f>
        <v>0</v>
      </c>
      <c r="AH82" s="249">
        <f>IF(AND(AD82&gt;0,$M82="Non-Saudi"),Assumptions!$B$25,0)</f>
        <v>910.41666666666663</v>
      </c>
      <c r="AI82" s="249">
        <f t="shared" si="31"/>
        <v>5800</v>
      </c>
      <c r="AJ82" s="249">
        <f t="shared" si="32"/>
        <v>8800</v>
      </c>
      <c r="AK82" s="249">
        <f>IF(AND(AJ82&gt;0,$N82&lt;&gt;""),IF((DATE(Assumptions!$B$4,3,28)-$N82)/365.25&lt;=Assumptions!$B$20,(DATE(Assumptions!$B$4,3,28)-$N82)/365.25*Assumptions!$B$18*AJ82,(Assumptions!$B$20*Assumptions!$B$18+((DATE(Assumptions!$B$4,3,28)-$N82)/365.25-Assumptions!$B$20)*Assumptions!$B$19)*AJ82),0)</f>
        <v>6902.6694045174536</v>
      </c>
      <c r="AL82" s="249">
        <f>IF(AI82&gt;0,IF($M82="Saudi",MIN(AI82+$Q82*$V82,Assumptions!$B$14)*Assumptions!$B$12,MIN(AI82+$Q82*$V82,Assumptions!$B$14)*Assumptions!$B$13),0)</f>
        <v>0</v>
      </c>
      <c r="AM82" s="249">
        <f>IF(AND(AI82&gt;0,$M82="Non-Saudi"),Assumptions!$B$25,0)</f>
        <v>910.41666666666663</v>
      </c>
      <c r="AN82" s="249">
        <f t="shared" si="33"/>
        <v>5800</v>
      </c>
      <c r="AO82" s="249">
        <f t="shared" si="34"/>
        <v>8800</v>
      </c>
      <c r="AP82" s="249">
        <f>IF(AND(AO82&gt;0,$N82&lt;&gt;""),IF((DATE(Assumptions!$B$4,4,28)-$N82)/365.25&lt;=Assumptions!$B$20,(DATE(Assumptions!$B$4,4,28)-$N82)/365.25*Assumptions!$B$18*AO82,(Assumptions!$B$20*Assumptions!$B$18+((DATE(Assumptions!$B$4,4,28)-$N82)/365.25-Assumptions!$B$20)*Assumptions!$B$19)*AO82),0)</f>
        <v>7276.1122518822722</v>
      </c>
      <c r="AQ82" s="249">
        <f>IF(AN82&gt;0,IF($M82="Saudi",MIN(AN82+$Q82*$V82,Assumptions!$B$14)*Assumptions!$B$12,MIN(AN82+$Q82*$V82,Assumptions!$B$14)*Assumptions!$B$13),0)</f>
        <v>0</v>
      </c>
      <c r="AR82" s="249">
        <f>IF(AND(AN82&gt;0,$M82="Non-Saudi"),Assumptions!$B$25,0)</f>
        <v>910.41666666666663</v>
      </c>
      <c r="AS82" s="249">
        <f t="shared" si="35"/>
        <v>5800</v>
      </c>
      <c r="AT82" s="249">
        <f t="shared" si="36"/>
        <v>8800</v>
      </c>
      <c r="AU82" s="249">
        <f>IF(AND(AT82&gt;0,$N82&lt;&gt;""),IF((DATE(Assumptions!$B$4,5,28)-$N82)/365.25&lt;=Assumptions!$B$20,(DATE(Assumptions!$B$4,5,28)-$N82)/365.25*Assumptions!$B$18*AT82,(Assumptions!$B$20*Assumptions!$B$18+((DATE(Assumptions!$B$4,5,28)-$N82)/365.25-Assumptions!$B$20)*Assumptions!$B$19)*AT82),0)</f>
        <v>7637.5085557837092</v>
      </c>
      <c r="AV82" s="249">
        <f>IF(AS82&gt;0,IF($M82="Saudi",MIN(AS82+$Q82*$V82,Assumptions!$B$14)*Assumptions!$B$12,MIN(AS82+$Q82*$V82,Assumptions!$B$14)*Assumptions!$B$13),0)</f>
        <v>0</v>
      </c>
      <c r="AW82" s="249">
        <f>IF(AND(AS82&gt;0,$M82="Non-Saudi"),Assumptions!$B$25,0)</f>
        <v>910.41666666666663</v>
      </c>
      <c r="AX82" s="249">
        <f t="shared" si="37"/>
        <v>5800</v>
      </c>
      <c r="AY82" s="249">
        <f t="shared" si="38"/>
        <v>8800</v>
      </c>
      <c r="AZ82" s="249">
        <f>IF(AND(AY82&gt;0,$N82&lt;&gt;""),IF((DATE(Assumptions!$B$4,6,28)-$N82)/365.25&lt;=Assumptions!$B$20,(DATE(Assumptions!$B$4,6,28)-$N82)/365.25*Assumptions!$B$18*AY82,(Assumptions!$B$20*Assumptions!$B$18+((DATE(Assumptions!$B$4,6,28)-$N82)/365.25-Assumptions!$B$20)*Assumptions!$B$19)*AY82),0)</f>
        <v>8010.9514031485287</v>
      </c>
      <c r="BA82" s="249">
        <f>IF(AX82&gt;0,IF($M82="Saudi",MIN(AX82+$Q82*$V82,Assumptions!$B$14)*Assumptions!$B$12,MIN(AX82+$Q82*$V82,Assumptions!$B$14)*Assumptions!$B$13),0)</f>
        <v>0</v>
      </c>
      <c r="BB82" s="249">
        <f>IF(AND(AX82&gt;0,$M82="Non-Saudi"),Assumptions!$B$25,0)</f>
        <v>910.41666666666663</v>
      </c>
      <c r="BC82" s="249">
        <f t="shared" si="39"/>
        <v>5800</v>
      </c>
      <c r="BD82" s="249">
        <f t="shared" si="40"/>
        <v>8800</v>
      </c>
      <c r="BE82" s="249">
        <f>IF(AND(BD82&gt;0,$N82&lt;&gt;""),IF((DATE(Assumptions!$B$4,7,28)-$N82)/365.25&lt;=Assumptions!$B$20,(DATE(Assumptions!$B$4,7,28)-$N82)/365.25*Assumptions!$B$18*BD82,(Assumptions!$B$20*Assumptions!$B$18+((DATE(Assumptions!$B$4,7,28)-$N82)/365.25-Assumptions!$B$20)*Assumptions!$B$19)*BD82),0)</f>
        <v>8372.3477070499666</v>
      </c>
      <c r="BF82" s="249">
        <f>IF(BC82&gt;0,IF($M82="Saudi",MIN(BC82+$Q82*$V82,Assumptions!$B$14)*Assumptions!$B$12,MIN(BC82+$Q82*$V82,Assumptions!$B$14)*Assumptions!$B$13),0)</f>
        <v>0</v>
      </c>
      <c r="BG82" s="249">
        <f>IF(AND(BC82&gt;0,$M82="Non-Saudi"),Assumptions!$B$25,0)</f>
        <v>910.41666666666663</v>
      </c>
      <c r="BH82" s="249">
        <f t="shared" si="41"/>
        <v>5800</v>
      </c>
      <c r="BI82" s="249">
        <f t="shared" si="42"/>
        <v>8800</v>
      </c>
      <c r="BJ82" s="249">
        <f>IF(AND(BI82&gt;0,$N82&lt;&gt;""),IF((DATE(Assumptions!$B$4,8,28)-$N82)/365.25&lt;=Assumptions!$B$20,(DATE(Assumptions!$B$4,8,28)-$N82)/365.25*Assumptions!$B$18*BI82,(Assumptions!$B$20*Assumptions!$B$18+((DATE(Assumptions!$B$4,8,28)-$N82)/365.25-Assumptions!$B$20)*Assumptions!$B$19)*BI82),0)</f>
        <v>8745.7905544147834</v>
      </c>
      <c r="BK82" s="249">
        <f>IF(BH82&gt;0,IF($M82="Saudi",MIN(BH82+$Q82*$V82,Assumptions!$B$14)*Assumptions!$B$12,MIN(BH82+$Q82*$V82,Assumptions!$B$14)*Assumptions!$B$13),0)</f>
        <v>0</v>
      </c>
      <c r="BL82" s="249">
        <f>IF(AND(BH82&gt;0,$M82="Non-Saudi"),Assumptions!$B$25,0)</f>
        <v>910.41666666666663</v>
      </c>
      <c r="BM82" s="249">
        <f>IF(AND($D82="Contrat Local",$N82&lt;&gt;""),IF(AND(9&gt;=Assumptions!$B$5,ISNUMBER($X82),$N82&lt;EDATE(Assumptions!$B$9,-Assumptions!$B$6*12)),($P82+$X82)*$V82,$P82*$V82),0)</f>
        <v>6000</v>
      </c>
      <c r="BN82" s="249">
        <f t="shared" si="43"/>
        <v>9000</v>
      </c>
      <c r="BO82" s="249">
        <f>IF(AND(BN82&gt;0,$N82&lt;&gt;""),IF((DATE(Assumptions!$B$4,9,28)-$N82)/365.25&lt;=Assumptions!$B$20,(DATE(Assumptions!$B$4,9,28)-$N82)/365.25*Assumptions!$B$18*BN82,(Assumptions!$B$20*Assumptions!$B$18+((DATE(Assumptions!$B$4,9,28)-$N82)/365.25-Assumptions!$B$20)*Assumptions!$B$19)*BN82),0)</f>
        <v>9326.4887063655024</v>
      </c>
      <c r="BP82" s="249">
        <f>IF(BM82&gt;0,IF($M82="Saudi",MIN(BM82+$Q82*$V82,Assumptions!$B$14)*Assumptions!$B$12,MIN(BM82+$Q82*$V82,Assumptions!$B$14)*Assumptions!$B$13),0)</f>
        <v>0</v>
      </c>
      <c r="BQ82" s="249">
        <f>IF(AND(BM82&gt;0,$M82="Non-Saudi"),Assumptions!$B$25,0)</f>
        <v>910.41666666666663</v>
      </c>
      <c r="BR82" s="249">
        <f>IF(AND($D82="Contrat Local",$N82&lt;&gt;""),IF(AND(10&gt;=Assumptions!$B$5,ISNUMBER($X82),$N82&lt;EDATE(Assumptions!$B$9,-Assumptions!$B$6*12)),($P82+$X82)*$V82,$P82*$V82),0)</f>
        <v>6000</v>
      </c>
      <c r="BS82" s="249">
        <f t="shared" si="44"/>
        <v>9000</v>
      </c>
      <c r="BT82" s="249">
        <f>IF(AND(BS82&gt;0,$N82&lt;&gt;""),IF((DATE(Assumptions!$B$4,10,28)-$N82)/365.25&lt;=Assumptions!$B$20,(DATE(Assumptions!$B$4,10,28)-$N82)/365.25*Assumptions!$B$18*BS82,(Assumptions!$B$20*Assumptions!$B$18+((DATE(Assumptions!$B$4,10,28)-$N82)/365.25-Assumptions!$B$20)*Assumptions!$B$19)*BS82),0)</f>
        <v>9696.0985626283364</v>
      </c>
      <c r="BU82" s="249">
        <f>IF(BR82&gt;0,IF($M82="Saudi",MIN(BR82+$Q82*$V82,Assumptions!$B$14)*Assumptions!$B$12,MIN(BR82+$Q82*$V82,Assumptions!$B$14)*Assumptions!$B$13),0)</f>
        <v>0</v>
      </c>
      <c r="BV82" s="249">
        <f>IF(AND(BR82&gt;0,$M82="Non-Saudi"),Assumptions!$B$25,0)</f>
        <v>910.41666666666663</v>
      </c>
      <c r="BW82" s="249">
        <f>IF(AND($D82="Contrat Local",$N82&lt;&gt;""),IF(AND(11&gt;=Assumptions!$B$5,ISNUMBER($X82),$N82&lt;EDATE(Assumptions!$B$9,-Assumptions!$B$6*12)),($P82+$X82)*$V82,$P82*$V82),0)</f>
        <v>6000</v>
      </c>
      <c r="BX82" s="249">
        <f t="shared" si="45"/>
        <v>9000</v>
      </c>
      <c r="BY82" s="249">
        <f>IF(AND(BX82&gt;0,$N82&lt;&gt;""),IF((DATE(Assumptions!$B$4,11,28)-$N82)/365.25&lt;=Assumptions!$B$20,(DATE(Assumptions!$B$4,11,28)-$N82)/365.25*Assumptions!$B$18*BX82,(Assumptions!$B$20*Assumptions!$B$18+((DATE(Assumptions!$B$4,11,28)-$N82)/365.25-Assumptions!$B$20)*Assumptions!$B$19)*BX82),0)</f>
        <v>10078.028747433265</v>
      </c>
      <c r="BZ82" s="249">
        <f>IF(BW82&gt;0,IF($M82="Saudi",MIN(BW82+$Q82*$V82,Assumptions!$B$14)*Assumptions!$B$12,MIN(BW82+$Q82*$V82,Assumptions!$B$14)*Assumptions!$B$13),0)</f>
        <v>0</v>
      </c>
      <c r="CA82" s="249">
        <f>IF(AND(BW82&gt;0,$M82="Non-Saudi"),Assumptions!$B$25,0)</f>
        <v>910.41666666666663</v>
      </c>
      <c r="CB82" s="249">
        <f>IF(AND($D82="Contrat Local",$N82&lt;&gt;""),IF(AND(12&gt;=Assumptions!$B$5,ISNUMBER($X82),$N82&lt;EDATE(Assumptions!$B$9,-Assumptions!$B$6*12)),($P82+$X82)*$V82,$P82*$V82),0)</f>
        <v>6000</v>
      </c>
      <c r="CC82" s="249">
        <f t="shared" si="46"/>
        <v>9000</v>
      </c>
      <c r="CD82" s="249">
        <f>IF(AND(CC82&gt;0,$N82&lt;&gt;""),IF((DATE(Assumptions!$B$4,12,28)-$N82)/365.25&lt;=Assumptions!$B$20,(DATE(Assumptions!$B$4,12,28)-$N82)/365.25*Assumptions!$B$18*CC82,(Assumptions!$B$20*Assumptions!$B$18+((DATE(Assumptions!$B$4,12,28)-$N82)/365.25-Assumptions!$B$20)*Assumptions!$B$19)*CC82),0)</f>
        <v>10447.638603696099</v>
      </c>
      <c r="CE82" s="249">
        <f>IF(CB82&gt;0,IF($M82="Saudi",MIN(CB82+$Q82*$V82,Assumptions!$B$14)*Assumptions!$B$12,MIN(CB82+$Q82*$V82,Assumptions!$B$14)*Assumptions!$B$13),0)</f>
        <v>0</v>
      </c>
      <c r="CF82" s="249">
        <f>IF(AND(CB82&gt;0,$M82="Non-Saudi"),Assumptions!$B$25,0)</f>
        <v>910.41666666666663</v>
      </c>
      <c r="CG82" s="249">
        <f t="shared" si="47"/>
        <v>70400</v>
      </c>
      <c r="CH82" s="249">
        <f t="shared" si="48"/>
        <v>106400</v>
      </c>
      <c r="CI82" s="249">
        <f>CD82-IF(AND(Z82&gt;0,$N82&lt;&gt;""),IF((DATE(Assumptions!$B$4-1,12,28)-$N82)/365.25&lt;=Assumptions!$B$20,(DATE(Assumptions!$B$4-1,12,28)-$N82)/365.25*Assumptions!$B$18*Z82,(Assumptions!$B$20*Assumptions!$B$18+((DATE(Assumptions!$B$4-1,12,28)-$N82)/365.25-Assumptions!$B$20)*Assumptions!$B$19)*Z82),0)</f>
        <v>4629.1581108829578</v>
      </c>
      <c r="CJ82" s="249">
        <f t="shared" si="49"/>
        <v>0</v>
      </c>
      <c r="CK82" s="249">
        <f t="shared" si="50"/>
        <v>10924.999999999998</v>
      </c>
    </row>
    <row r="83" spans="1:89" x14ac:dyDescent="0.2">
      <c r="A83" s="276">
        <v>82</v>
      </c>
      <c r="B83" s="277" t="s">
        <v>457</v>
      </c>
      <c r="C83" s="277" t="s">
        <v>458</v>
      </c>
      <c r="D83" s="277" t="s">
        <v>250</v>
      </c>
      <c r="E83" s="277" t="s">
        <v>767</v>
      </c>
      <c r="F83" s="277" t="s">
        <v>459</v>
      </c>
      <c r="G83" s="277" t="s">
        <v>460</v>
      </c>
      <c r="H83" s="277" t="s">
        <v>461</v>
      </c>
      <c r="I83" s="287" t="s">
        <v>691</v>
      </c>
      <c r="J83" s="277" t="s">
        <v>75</v>
      </c>
      <c r="K83" s="277" t="s">
        <v>254</v>
      </c>
      <c r="L83" s="277" t="s">
        <v>255</v>
      </c>
      <c r="M83" s="277" t="str">
        <f t="shared" si="26"/>
        <v>Non-Saudi</v>
      </c>
      <c r="N83" s="278">
        <v>45189</v>
      </c>
      <c r="O83" s="279">
        <v>3.3</v>
      </c>
      <c r="P83" s="280">
        <v>7796</v>
      </c>
      <c r="Q83" s="280">
        <v>2460</v>
      </c>
      <c r="R83" s="280">
        <v>492</v>
      </c>
      <c r="S83" s="280"/>
      <c r="T83" s="280"/>
      <c r="U83" s="280">
        <v>10748</v>
      </c>
      <c r="V83" s="281">
        <v>0.98409999999999997</v>
      </c>
      <c r="W83" s="277" t="s">
        <v>259</v>
      </c>
      <c r="X83" s="277" t="s">
        <v>462</v>
      </c>
      <c r="Y83" s="249">
        <f t="shared" si="27"/>
        <v>7672.0436</v>
      </c>
      <c r="Z83" s="249">
        <f t="shared" si="28"/>
        <v>10577.1068</v>
      </c>
      <c r="AA83" s="249">
        <f>IF(AND(Z83&gt;0,$N83&lt;&gt;""),IF((DATE(Assumptions!$B$4,1,28)-$N83)/365.25&lt;=Assumptions!$B$20,(DATE(Assumptions!$B$4,1,28)-$N83)/365.25*Assumptions!$B$18*Z83,(Assumptions!$B$20*Assumptions!$B$18+((DATE(Assumptions!$B$4,1,28)-$N83)/365.25-Assumptions!$B$20)*Assumptions!$B$19)*Z83),0)</f>
        <v>12466.651546611909</v>
      </c>
      <c r="AB83" s="249">
        <f>IF(Y83&gt;0,IF($M83="Saudi",MIN(Y83+$Q83*$V83,Assumptions!$B$14)*Assumptions!$B$12,MIN(Y83+$Q83*$V83,Assumptions!$B$14)*Assumptions!$B$13),0)</f>
        <v>0</v>
      </c>
      <c r="AC83" s="249">
        <f>IF(AND(Y83&gt;0,$M83="Non-Saudi"),Assumptions!$B$25,0)</f>
        <v>910.41666666666663</v>
      </c>
      <c r="AD83" s="249">
        <f t="shared" si="29"/>
        <v>7672.0436</v>
      </c>
      <c r="AE83" s="249">
        <f t="shared" si="30"/>
        <v>10577.1068</v>
      </c>
      <c r="AF83" s="249">
        <f>IF(AND(AE83&gt;0,$N83&lt;&gt;""),IF((DATE(Assumptions!$B$4,2,28)-$N83)/365.25&lt;=Assumptions!$B$20,(DATE(Assumptions!$B$4,2,28)-$N83)/365.25*Assumptions!$B$18*AE83,(Assumptions!$B$20*Assumptions!$B$18+((DATE(Assumptions!$B$4,2,28)-$N83)/365.25-Assumptions!$B$20)*Assumptions!$B$19)*AE83),0)</f>
        <v>12915.508919370293</v>
      </c>
      <c r="AG83" s="249">
        <f>IF(AD83&gt;0,IF($M83="Saudi",MIN(AD83+$Q83*$V83,Assumptions!$B$14)*Assumptions!$B$12,MIN(AD83+$Q83*$V83,Assumptions!$B$14)*Assumptions!$B$13),0)</f>
        <v>0</v>
      </c>
      <c r="AH83" s="249">
        <f>IF(AND(AD83&gt;0,$M83="Non-Saudi"),Assumptions!$B$25,0)</f>
        <v>910.41666666666663</v>
      </c>
      <c r="AI83" s="249">
        <f t="shared" si="31"/>
        <v>7672.0436</v>
      </c>
      <c r="AJ83" s="249">
        <f t="shared" si="32"/>
        <v>10577.1068</v>
      </c>
      <c r="AK83" s="249">
        <f>IF(AND(AJ83&gt;0,$N83&lt;&gt;""),IF((DATE(Assumptions!$B$4,3,28)-$N83)/365.25&lt;=Assumptions!$B$20,(DATE(Assumptions!$B$4,3,28)-$N83)/365.25*Assumptions!$B$18*AJ83,(Assumptions!$B$20*Assumptions!$B$18+((DATE(Assumptions!$B$4,3,28)-$N83)/365.25-Assumptions!$B$20)*Assumptions!$B$19)*AJ83),0)</f>
        <v>13320.928481861738</v>
      </c>
      <c r="AL83" s="249">
        <f>IF(AI83&gt;0,IF($M83="Saudi",MIN(AI83+$Q83*$V83,Assumptions!$B$14)*Assumptions!$B$12,MIN(AI83+$Q83*$V83,Assumptions!$B$14)*Assumptions!$B$13),0)</f>
        <v>0</v>
      </c>
      <c r="AM83" s="249">
        <f>IF(AND(AI83&gt;0,$M83="Non-Saudi"),Assumptions!$B$25,0)</f>
        <v>910.41666666666663</v>
      </c>
      <c r="AN83" s="249">
        <f t="shared" si="33"/>
        <v>7672.0436</v>
      </c>
      <c r="AO83" s="249">
        <f t="shared" si="34"/>
        <v>10577.1068</v>
      </c>
      <c r="AP83" s="249">
        <f>IF(AND(AO83&gt;0,$N83&lt;&gt;""),IF((DATE(Assumptions!$B$4,4,28)-$N83)/365.25&lt;=Assumptions!$B$20,(DATE(Assumptions!$B$4,4,28)-$N83)/365.25*Assumptions!$B$18*AO83,(Assumptions!$B$20*Assumptions!$B$18+((DATE(Assumptions!$B$4,4,28)-$N83)/365.25-Assumptions!$B$20)*Assumptions!$B$19)*AO83),0)</f>
        <v>13769.785854620124</v>
      </c>
      <c r="AQ83" s="249">
        <f>IF(AN83&gt;0,IF($M83="Saudi",MIN(AN83+$Q83*$V83,Assumptions!$B$14)*Assumptions!$B$12,MIN(AN83+$Q83*$V83,Assumptions!$B$14)*Assumptions!$B$13),0)</f>
        <v>0</v>
      </c>
      <c r="AR83" s="249">
        <f>IF(AND(AN83&gt;0,$M83="Non-Saudi"),Assumptions!$B$25,0)</f>
        <v>910.41666666666663</v>
      </c>
      <c r="AS83" s="249">
        <f t="shared" si="35"/>
        <v>7672.0436</v>
      </c>
      <c r="AT83" s="249">
        <f t="shared" si="36"/>
        <v>10577.1068</v>
      </c>
      <c r="AU83" s="249">
        <f>IF(AND(AT83&gt;0,$N83&lt;&gt;""),IF((DATE(Assumptions!$B$4,5,28)-$N83)/365.25&lt;=Assumptions!$B$20,(DATE(Assumptions!$B$4,5,28)-$N83)/365.25*Assumptions!$B$18*AT83,(Assumptions!$B$20*Assumptions!$B$18+((DATE(Assumptions!$B$4,5,28)-$N83)/365.25-Assumptions!$B$20)*Assumptions!$B$19)*AT83),0)</f>
        <v>14204.163957289527</v>
      </c>
      <c r="AV83" s="249">
        <f>IF(AS83&gt;0,IF($M83="Saudi",MIN(AS83+$Q83*$V83,Assumptions!$B$14)*Assumptions!$B$12,MIN(AS83+$Q83*$V83,Assumptions!$B$14)*Assumptions!$B$13),0)</f>
        <v>0</v>
      </c>
      <c r="AW83" s="249">
        <f>IF(AND(AS83&gt;0,$M83="Non-Saudi"),Assumptions!$B$25,0)</f>
        <v>910.41666666666663</v>
      </c>
      <c r="AX83" s="249">
        <f t="shared" si="37"/>
        <v>7672.0436</v>
      </c>
      <c r="AY83" s="249">
        <f t="shared" si="38"/>
        <v>10577.1068</v>
      </c>
      <c r="AZ83" s="249">
        <f>IF(AND(AY83&gt;0,$N83&lt;&gt;""),IF((DATE(Assumptions!$B$4,6,28)-$N83)/365.25&lt;=Assumptions!$B$20,(DATE(Assumptions!$B$4,6,28)-$N83)/365.25*Assumptions!$B$18*AY83,(Assumptions!$B$20*Assumptions!$B$18+((DATE(Assumptions!$B$4,6,28)-$N83)/365.25-Assumptions!$B$20)*Assumptions!$B$19)*AY83),0)</f>
        <v>14653.021330047912</v>
      </c>
      <c r="BA83" s="249">
        <f>IF(AX83&gt;0,IF($M83="Saudi",MIN(AX83+$Q83*$V83,Assumptions!$B$14)*Assumptions!$B$12,MIN(AX83+$Q83*$V83,Assumptions!$B$14)*Assumptions!$B$13),0)</f>
        <v>0</v>
      </c>
      <c r="BB83" s="249">
        <f>IF(AND(AX83&gt;0,$M83="Non-Saudi"),Assumptions!$B$25,0)</f>
        <v>910.41666666666663</v>
      </c>
      <c r="BC83" s="249">
        <f t="shared" si="39"/>
        <v>7672.0436</v>
      </c>
      <c r="BD83" s="249">
        <f t="shared" si="40"/>
        <v>10577.1068</v>
      </c>
      <c r="BE83" s="249">
        <f>IF(AND(BD83&gt;0,$N83&lt;&gt;""),IF((DATE(Assumptions!$B$4,7,28)-$N83)/365.25&lt;=Assumptions!$B$20,(DATE(Assumptions!$B$4,7,28)-$N83)/365.25*Assumptions!$B$18*BD83,(Assumptions!$B$20*Assumptions!$B$18+((DATE(Assumptions!$B$4,7,28)-$N83)/365.25-Assumptions!$B$20)*Assumptions!$B$19)*BD83),0)</f>
        <v>15087.399432717315</v>
      </c>
      <c r="BF83" s="249">
        <f>IF(BC83&gt;0,IF($M83="Saudi",MIN(BC83+$Q83*$V83,Assumptions!$B$14)*Assumptions!$B$12,MIN(BC83+$Q83*$V83,Assumptions!$B$14)*Assumptions!$B$13),0)</f>
        <v>0</v>
      </c>
      <c r="BG83" s="249">
        <f>IF(AND(BC83&gt;0,$M83="Non-Saudi"),Assumptions!$B$25,0)</f>
        <v>910.41666666666663</v>
      </c>
      <c r="BH83" s="249">
        <f t="shared" si="41"/>
        <v>7672.0436</v>
      </c>
      <c r="BI83" s="249">
        <f t="shared" si="42"/>
        <v>10577.1068</v>
      </c>
      <c r="BJ83" s="249">
        <f>IF(AND(BI83&gt;0,$N83&lt;&gt;""),IF((DATE(Assumptions!$B$4,8,28)-$N83)/365.25&lt;=Assumptions!$B$20,(DATE(Assumptions!$B$4,8,28)-$N83)/365.25*Assumptions!$B$18*BI83,(Assumptions!$B$20*Assumptions!$B$18+((DATE(Assumptions!$B$4,8,28)-$N83)/365.25-Assumptions!$B$20)*Assumptions!$B$19)*BI83),0)</f>
        <v>15536.256805475701</v>
      </c>
      <c r="BK83" s="249">
        <f>IF(BH83&gt;0,IF($M83="Saudi",MIN(BH83+$Q83*$V83,Assumptions!$B$14)*Assumptions!$B$12,MIN(BH83+$Q83*$V83,Assumptions!$B$14)*Assumptions!$B$13),0)</f>
        <v>0</v>
      </c>
      <c r="BL83" s="249">
        <f>IF(AND(BH83&gt;0,$M83="Non-Saudi"),Assumptions!$B$25,0)</f>
        <v>910.41666666666663</v>
      </c>
      <c r="BM83" s="249">
        <f>IF(AND($D83="Contrat Local",$N83&lt;&gt;""),IF(AND(9&gt;=Assumptions!$B$5,ISNUMBER($X83),$N83&lt;EDATE(Assumptions!$B$9,-Assumptions!$B$6*12)),($P83+$X83)*$V83,$P83*$V83),0)</f>
        <v>7672.0436</v>
      </c>
      <c r="BN83" s="249">
        <f t="shared" si="43"/>
        <v>10577.1068</v>
      </c>
      <c r="BO83" s="249">
        <f>IF(AND(BN83&gt;0,$N83&lt;&gt;""),IF((DATE(Assumptions!$B$4,9,28)-$N83)/365.25&lt;=Assumptions!$B$20,(DATE(Assumptions!$B$4,9,28)-$N83)/365.25*Assumptions!$B$18*BN83,(Assumptions!$B$20*Assumptions!$B$18+((DATE(Assumptions!$B$4,9,28)-$N83)/365.25-Assumptions!$B$20)*Assumptions!$B$19)*BN83),0)</f>
        <v>15985.114178234086</v>
      </c>
      <c r="BP83" s="249">
        <f>IF(BM83&gt;0,IF($M83="Saudi",MIN(BM83+$Q83*$V83,Assumptions!$B$14)*Assumptions!$B$12,MIN(BM83+$Q83*$V83,Assumptions!$B$14)*Assumptions!$B$13),0)</f>
        <v>0</v>
      </c>
      <c r="BQ83" s="249">
        <f>IF(AND(BM83&gt;0,$M83="Non-Saudi"),Assumptions!$B$25,0)</f>
        <v>910.41666666666663</v>
      </c>
      <c r="BR83" s="249">
        <f>IF(AND($D83="Contrat Local",$N83&lt;&gt;""),IF(AND(10&gt;=Assumptions!$B$5,ISNUMBER($X83),$N83&lt;EDATE(Assumptions!$B$9,-Assumptions!$B$6*12)),($P83+$X83)*$V83,$P83*$V83),0)</f>
        <v>7672.0436</v>
      </c>
      <c r="BS83" s="249">
        <f t="shared" si="44"/>
        <v>10577.1068</v>
      </c>
      <c r="BT83" s="249">
        <f>IF(AND(BS83&gt;0,$N83&lt;&gt;""),IF((DATE(Assumptions!$B$4,10,28)-$N83)/365.25&lt;=Assumptions!$B$20,(DATE(Assumptions!$B$4,10,28)-$N83)/365.25*Assumptions!$B$18*BS83,(Assumptions!$B$20*Assumptions!$B$18+((DATE(Assumptions!$B$4,10,28)-$N83)/365.25-Assumptions!$B$20)*Assumptions!$B$19)*BS83),0)</f>
        <v>16419.492280903491</v>
      </c>
      <c r="BU83" s="249">
        <f>IF(BR83&gt;0,IF($M83="Saudi",MIN(BR83+$Q83*$V83,Assumptions!$B$14)*Assumptions!$B$12,MIN(BR83+$Q83*$V83,Assumptions!$B$14)*Assumptions!$B$13),0)</f>
        <v>0</v>
      </c>
      <c r="BV83" s="249">
        <f>IF(AND(BR83&gt;0,$M83="Non-Saudi"),Assumptions!$B$25,0)</f>
        <v>910.41666666666663</v>
      </c>
      <c r="BW83" s="249">
        <f>IF(AND($D83="Contrat Local",$N83&lt;&gt;""),IF(AND(11&gt;=Assumptions!$B$5,ISNUMBER($X83),$N83&lt;EDATE(Assumptions!$B$9,-Assumptions!$B$6*12)),($P83+$X83)*$V83,$P83*$V83),0)</f>
        <v>7672.0436</v>
      </c>
      <c r="BX83" s="249">
        <f t="shared" si="45"/>
        <v>10577.1068</v>
      </c>
      <c r="BY83" s="249">
        <f>IF(AND(BX83&gt;0,$N83&lt;&gt;""),IF((DATE(Assumptions!$B$4,11,28)-$N83)/365.25&lt;=Assumptions!$B$20,(DATE(Assumptions!$B$4,11,28)-$N83)/365.25*Assumptions!$B$18*BX83,(Assumptions!$B$20*Assumptions!$B$18+((DATE(Assumptions!$B$4,11,28)-$N83)/365.25-Assumptions!$B$20)*Assumptions!$B$19)*BX83),0)</f>
        <v>16868.349653661877</v>
      </c>
      <c r="BZ83" s="249">
        <f>IF(BW83&gt;0,IF($M83="Saudi",MIN(BW83+$Q83*$V83,Assumptions!$B$14)*Assumptions!$B$12,MIN(BW83+$Q83*$V83,Assumptions!$B$14)*Assumptions!$B$13),0)</f>
        <v>0</v>
      </c>
      <c r="CA83" s="249">
        <f>IF(AND(BW83&gt;0,$M83="Non-Saudi"),Assumptions!$B$25,0)</f>
        <v>910.41666666666663</v>
      </c>
      <c r="CB83" s="249">
        <f>IF(AND($D83="Contrat Local",$N83&lt;&gt;""),IF(AND(12&gt;=Assumptions!$B$5,ISNUMBER($X83),$N83&lt;EDATE(Assumptions!$B$9,-Assumptions!$B$6*12)),($P83+$X83)*$V83,$P83*$V83),0)</f>
        <v>7672.0436</v>
      </c>
      <c r="CC83" s="249">
        <f t="shared" si="46"/>
        <v>10577.1068</v>
      </c>
      <c r="CD83" s="249">
        <f>IF(AND(CC83&gt;0,$N83&lt;&gt;""),IF((DATE(Assumptions!$B$4,12,28)-$N83)/365.25&lt;=Assumptions!$B$20,(DATE(Assumptions!$B$4,12,28)-$N83)/365.25*Assumptions!$B$18*CC83,(Assumptions!$B$20*Assumptions!$B$18+((DATE(Assumptions!$B$4,12,28)-$N83)/365.25-Assumptions!$B$20)*Assumptions!$B$19)*CC83),0)</f>
        <v>17302.727756331278</v>
      </c>
      <c r="CE83" s="249">
        <f>IF(CB83&gt;0,IF($M83="Saudi",MIN(CB83+$Q83*$V83,Assumptions!$B$14)*Assumptions!$B$12,MIN(CB83+$Q83*$V83,Assumptions!$B$14)*Assumptions!$B$13),0)</f>
        <v>0</v>
      </c>
      <c r="CF83" s="249">
        <f>IF(AND(CB83&gt;0,$M83="Non-Saudi"),Assumptions!$B$25,0)</f>
        <v>910.41666666666663</v>
      </c>
      <c r="CG83" s="249">
        <f t="shared" si="47"/>
        <v>92064.523200000011</v>
      </c>
      <c r="CH83" s="249">
        <f t="shared" si="48"/>
        <v>126925.28159999997</v>
      </c>
      <c r="CI83" s="249">
        <f>CD83-IF(AND(Z83&gt;0,$N83&lt;&gt;""),IF((DATE(Assumptions!$B$4-1,12,28)-$N83)/365.25&lt;=Assumptions!$B$20,(DATE(Assumptions!$B$4-1,12,28)-$N83)/365.25*Assumptions!$B$18*Z83,(Assumptions!$B$20*Assumptions!$B$18+((DATE(Assumptions!$B$4-1,12,28)-$N83)/365.25-Assumptions!$B$20)*Assumptions!$B$19)*Z83),0)</f>
        <v>5284.9335824777554</v>
      </c>
      <c r="CJ83" s="249">
        <f t="shared" si="49"/>
        <v>0</v>
      </c>
      <c r="CK83" s="249">
        <f t="shared" si="50"/>
        <v>10924.999999999998</v>
      </c>
    </row>
    <row r="84" spans="1:89" x14ac:dyDescent="0.2">
      <c r="A84" s="270">
        <v>83</v>
      </c>
      <c r="B84" s="271" t="s">
        <v>463</v>
      </c>
      <c r="C84" s="271" t="s">
        <v>464</v>
      </c>
      <c r="D84" s="271" t="s">
        <v>250</v>
      </c>
      <c r="E84" s="271" t="s">
        <v>767</v>
      </c>
      <c r="F84" s="271" t="s">
        <v>465</v>
      </c>
      <c r="G84" s="271" t="s">
        <v>272</v>
      </c>
      <c r="H84" s="271" t="s">
        <v>466</v>
      </c>
      <c r="I84" s="285" t="s">
        <v>690</v>
      </c>
      <c r="J84" s="271"/>
      <c r="K84" s="271" t="s">
        <v>272</v>
      </c>
      <c r="L84" s="271" t="s">
        <v>255</v>
      </c>
      <c r="M84" s="271" t="str">
        <f t="shared" si="26"/>
        <v>Non-Saudi</v>
      </c>
      <c r="N84" s="272">
        <v>44440</v>
      </c>
      <c r="O84" s="273">
        <v>5.3</v>
      </c>
      <c r="P84" s="274">
        <v>7800</v>
      </c>
      <c r="Q84" s="274">
        <v>2500</v>
      </c>
      <c r="R84" s="274">
        <v>500</v>
      </c>
      <c r="S84" s="274"/>
      <c r="T84" s="274"/>
      <c r="U84" s="274">
        <v>10800</v>
      </c>
      <c r="V84" s="275">
        <v>1</v>
      </c>
      <c r="W84" s="271" t="s">
        <v>259</v>
      </c>
      <c r="X84" s="271" t="s">
        <v>467</v>
      </c>
      <c r="Y84" s="249">
        <f t="shared" si="27"/>
        <v>7800</v>
      </c>
      <c r="Z84" s="249">
        <f t="shared" si="28"/>
        <v>10800</v>
      </c>
      <c r="AA84" s="249">
        <f>IF(AND(Z84&gt;0,$N84&lt;&gt;""),IF((DATE(Assumptions!$B$4,1,28)-$N84)/365.25&lt;=Assumptions!$B$20,(DATE(Assumptions!$B$4,1,28)-$N84)/365.25*Assumptions!$B$18*Z84,(Assumptions!$B$20*Assumptions!$B$18+((DATE(Assumptions!$B$4,1,28)-$N84)/365.25-Assumptions!$B$20)*Assumptions!$B$19)*Z84),0)</f>
        <v>23802.874743326491</v>
      </c>
      <c r="AB84" s="249">
        <f>IF(Y84&gt;0,IF($M84="Saudi",MIN(Y84+$Q84*$V84,Assumptions!$B$14)*Assumptions!$B$12,MIN(Y84+$Q84*$V84,Assumptions!$B$14)*Assumptions!$B$13),0)</f>
        <v>0</v>
      </c>
      <c r="AC84" s="249">
        <f>IF(AND(Y84&gt;0,$M84="Non-Saudi"),Assumptions!$B$25,0)</f>
        <v>910.41666666666663</v>
      </c>
      <c r="AD84" s="249">
        <f t="shared" si="29"/>
        <v>7800</v>
      </c>
      <c r="AE84" s="249">
        <f t="shared" si="30"/>
        <v>10800</v>
      </c>
      <c r="AF84" s="249">
        <f>IF(AND(AE84&gt;0,$N84&lt;&gt;""),IF((DATE(Assumptions!$B$4,2,28)-$N84)/365.25&lt;=Assumptions!$B$20,(DATE(Assumptions!$B$4,2,28)-$N84)/365.25*Assumptions!$B$18*AE84,(Assumptions!$B$20*Assumptions!$B$18+((DATE(Assumptions!$B$4,2,28)-$N84)/365.25-Assumptions!$B$20)*Assumptions!$B$19)*AE84),0)</f>
        <v>24261.190965092403</v>
      </c>
      <c r="AG84" s="249">
        <f>IF(AD84&gt;0,IF($M84="Saudi",MIN(AD84+$Q84*$V84,Assumptions!$B$14)*Assumptions!$B$12,MIN(AD84+$Q84*$V84,Assumptions!$B$14)*Assumptions!$B$13),0)</f>
        <v>0</v>
      </c>
      <c r="AH84" s="249">
        <f>IF(AND(AD84&gt;0,$M84="Non-Saudi"),Assumptions!$B$25,0)</f>
        <v>910.41666666666663</v>
      </c>
      <c r="AI84" s="249">
        <f t="shared" si="31"/>
        <v>7800</v>
      </c>
      <c r="AJ84" s="249">
        <f t="shared" si="32"/>
        <v>10800</v>
      </c>
      <c r="AK84" s="249">
        <f>IF(AND(AJ84&gt;0,$N84&lt;&gt;""),IF((DATE(Assumptions!$B$4,3,28)-$N84)/365.25&lt;=Assumptions!$B$20,(DATE(Assumptions!$B$4,3,28)-$N84)/365.25*Assumptions!$B$18*AJ84,(Assumptions!$B$20*Assumptions!$B$18+((DATE(Assumptions!$B$4,3,28)-$N84)/365.25-Assumptions!$B$20)*Assumptions!$B$19)*AJ84),0)</f>
        <v>24675.154004106778</v>
      </c>
      <c r="AL84" s="249">
        <f>IF(AI84&gt;0,IF($M84="Saudi",MIN(AI84+$Q84*$V84,Assumptions!$B$14)*Assumptions!$B$12,MIN(AI84+$Q84*$V84,Assumptions!$B$14)*Assumptions!$B$13),0)</f>
        <v>0</v>
      </c>
      <c r="AM84" s="249">
        <f>IF(AND(AI84&gt;0,$M84="Non-Saudi"),Assumptions!$B$25,0)</f>
        <v>910.41666666666663</v>
      </c>
      <c r="AN84" s="249">
        <f t="shared" si="33"/>
        <v>7800</v>
      </c>
      <c r="AO84" s="249">
        <f t="shared" si="34"/>
        <v>10800</v>
      </c>
      <c r="AP84" s="249">
        <f>IF(AND(AO84&gt;0,$N84&lt;&gt;""),IF((DATE(Assumptions!$B$4,4,28)-$N84)/365.25&lt;=Assumptions!$B$20,(DATE(Assumptions!$B$4,4,28)-$N84)/365.25*Assumptions!$B$18*AO84,(Assumptions!$B$20*Assumptions!$B$18+((DATE(Assumptions!$B$4,4,28)-$N84)/365.25-Assumptions!$B$20)*Assumptions!$B$19)*AO84),0)</f>
        <v>25133.47022587269</v>
      </c>
      <c r="AQ84" s="249">
        <f>IF(AN84&gt;0,IF($M84="Saudi",MIN(AN84+$Q84*$V84,Assumptions!$B$14)*Assumptions!$B$12,MIN(AN84+$Q84*$V84,Assumptions!$B$14)*Assumptions!$B$13),0)</f>
        <v>0</v>
      </c>
      <c r="AR84" s="249">
        <f>IF(AND(AN84&gt;0,$M84="Non-Saudi"),Assumptions!$B$25,0)</f>
        <v>910.41666666666663</v>
      </c>
      <c r="AS84" s="249">
        <f t="shared" si="35"/>
        <v>7800</v>
      </c>
      <c r="AT84" s="249">
        <f t="shared" si="36"/>
        <v>10800</v>
      </c>
      <c r="AU84" s="249">
        <f>IF(AND(AT84&gt;0,$N84&lt;&gt;""),IF((DATE(Assumptions!$B$4,5,28)-$N84)/365.25&lt;=Assumptions!$B$20,(DATE(Assumptions!$B$4,5,28)-$N84)/365.25*Assumptions!$B$18*AT84,(Assumptions!$B$20*Assumptions!$B$18+((DATE(Assumptions!$B$4,5,28)-$N84)/365.25-Assumptions!$B$20)*Assumptions!$B$19)*AT84),0)</f>
        <v>25577.002053388089</v>
      </c>
      <c r="AV84" s="249">
        <f>IF(AS84&gt;0,IF($M84="Saudi",MIN(AS84+$Q84*$V84,Assumptions!$B$14)*Assumptions!$B$12,MIN(AS84+$Q84*$V84,Assumptions!$B$14)*Assumptions!$B$13),0)</f>
        <v>0</v>
      </c>
      <c r="AW84" s="249">
        <f>IF(AND(AS84&gt;0,$M84="Non-Saudi"),Assumptions!$B$25,0)</f>
        <v>910.41666666666663</v>
      </c>
      <c r="AX84" s="249">
        <f t="shared" si="37"/>
        <v>7800</v>
      </c>
      <c r="AY84" s="249">
        <f t="shared" si="38"/>
        <v>10800</v>
      </c>
      <c r="AZ84" s="249">
        <f>IF(AND(AY84&gt;0,$N84&lt;&gt;""),IF((DATE(Assumptions!$B$4,6,28)-$N84)/365.25&lt;=Assumptions!$B$20,(DATE(Assumptions!$B$4,6,28)-$N84)/365.25*Assumptions!$B$18*AY84,(Assumptions!$B$20*Assumptions!$B$18+((DATE(Assumptions!$B$4,6,28)-$N84)/365.25-Assumptions!$B$20)*Assumptions!$B$19)*AY84),0)</f>
        <v>26035.318275154004</v>
      </c>
      <c r="BA84" s="249">
        <f>IF(AX84&gt;0,IF($M84="Saudi",MIN(AX84+$Q84*$V84,Assumptions!$B$14)*Assumptions!$B$12,MIN(AX84+$Q84*$V84,Assumptions!$B$14)*Assumptions!$B$13),0)</f>
        <v>0</v>
      </c>
      <c r="BB84" s="249">
        <f>IF(AND(AX84&gt;0,$M84="Non-Saudi"),Assumptions!$B$25,0)</f>
        <v>910.41666666666663</v>
      </c>
      <c r="BC84" s="249">
        <f t="shared" si="39"/>
        <v>7800</v>
      </c>
      <c r="BD84" s="249">
        <f t="shared" si="40"/>
        <v>10800</v>
      </c>
      <c r="BE84" s="249">
        <f>IF(AND(BD84&gt;0,$N84&lt;&gt;""),IF((DATE(Assumptions!$B$4,7,28)-$N84)/365.25&lt;=Assumptions!$B$20,(DATE(Assumptions!$B$4,7,28)-$N84)/365.25*Assumptions!$B$18*BD84,(Assumptions!$B$20*Assumptions!$B$18+((DATE(Assumptions!$B$4,7,28)-$N84)/365.25-Assumptions!$B$20)*Assumptions!$B$19)*BD84),0)</f>
        <v>26478.850102669403</v>
      </c>
      <c r="BF84" s="249">
        <f>IF(BC84&gt;0,IF($M84="Saudi",MIN(BC84+$Q84*$V84,Assumptions!$B$14)*Assumptions!$B$12,MIN(BC84+$Q84*$V84,Assumptions!$B$14)*Assumptions!$B$13),0)</f>
        <v>0</v>
      </c>
      <c r="BG84" s="249">
        <f>IF(AND(BC84&gt;0,$M84="Non-Saudi"),Assumptions!$B$25,0)</f>
        <v>910.41666666666663</v>
      </c>
      <c r="BH84" s="249">
        <f t="shared" si="41"/>
        <v>7800</v>
      </c>
      <c r="BI84" s="249">
        <f t="shared" si="42"/>
        <v>10800</v>
      </c>
      <c r="BJ84" s="249">
        <f>IF(AND(BI84&gt;0,$N84&lt;&gt;""),IF((DATE(Assumptions!$B$4,8,28)-$N84)/365.25&lt;=Assumptions!$B$20,(DATE(Assumptions!$B$4,8,28)-$N84)/365.25*Assumptions!$B$18*BI84,(Assumptions!$B$20*Assumptions!$B$18+((DATE(Assumptions!$B$4,8,28)-$N84)/365.25-Assumptions!$B$20)*Assumptions!$B$19)*BI84),0)</f>
        <v>26937.166324435319</v>
      </c>
      <c r="BK84" s="249">
        <f>IF(BH84&gt;0,IF($M84="Saudi",MIN(BH84+$Q84*$V84,Assumptions!$B$14)*Assumptions!$B$12,MIN(BH84+$Q84*$V84,Assumptions!$B$14)*Assumptions!$B$13),0)</f>
        <v>0</v>
      </c>
      <c r="BL84" s="249">
        <f>IF(AND(BH84&gt;0,$M84="Non-Saudi"),Assumptions!$B$25,0)</f>
        <v>910.41666666666663</v>
      </c>
      <c r="BM84" s="249">
        <f>IF(AND($D84="Contrat Local",$N84&lt;&gt;""),IF(AND(9&gt;=Assumptions!$B$5,ISNUMBER($X84),$N84&lt;EDATE(Assumptions!$B$9,-Assumptions!$B$6*12)),($P84+$X84)*$V84,$P84*$V84),0)</f>
        <v>7800</v>
      </c>
      <c r="BN84" s="249">
        <f t="shared" si="43"/>
        <v>10800</v>
      </c>
      <c r="BO84" s="249">
        <f>IF(AND(BN84&gt;0,$N84&lt;&gt;""),IF((DATE(Assumptions!$B$4,9,28)-$N84)/365.25&lt;=Assumptions!$B$20,(DATE(Assumptions!$B$4,9,28)-$N84)/365.25*Assumptions!$B$18*BN84,(Assumptions!$B$20*Assumptions!$B$18+((DATE(Assumptions!$B$4,9,28)-$N84)/365.25-Assumptions!$B$20)*Assumptions!$B$19)*BN84),0)</f>
        <v>27790.965092402468</v>
      </c>
      <c r="BP84" s="249">
        <f>IF(BM84&gt;0,IF($M84="Saudi",MIN(BM84+$Q84*$V84,Assumptions!$B$14)*Assumptions!$B$12,MIN(BM84+$Q84*$V84,Assumptions!$B$14)*Assumptions!$B$13),0)</f>
        <v>0</v>
      </c>
      <c r="BQ84" s="249">
        <f>IF(AND(BM84&gt;0,$M84="Non-Saudi"),Assumptions!$B$25,0)</f>
        <v>910.41666666666663</v>
      </c>
      <c r="BR84" s="249">
        <f>IF(AND($D84="Contrat Local",$N84&lt;&gt;""),IF(AND(10&gt;=Assumptions!$B$5,ISNUMBER($X84),$N84&lt;EDATE(Assumptions!$B$9,-Assumptions!$B$6*12)),($P84+$X84)*$V84,$P84*$V84),0)</f>
        <v>7800</v>
      </c>
      <c r="BS84" s="249">
        <f t="shared" si="44"/>
        <v>10800</v>
      </c>
      <c r="BT84" s="249">
        <f>IF(AND(BS84&gt;0,$N84&lt;&gt;""),IF((DATE(Assumptions!$B$4,10,28)-$N84)/365.25&lt;=Assumptions!$B$20,(DATE(Assumptions!$B$4,10,28)-$N84)/365.25*Assumptions!$B$18*BS84,(Assumptions!$B$20*Assumptions!$B$18+((DATE(Assumptions!$B$4,10,28)-$N84)/365.25-Assumptions!$B$20)*Assumptions!$B$19)*BS84),0)</f>
        <v>28678.028747433265</v>
      </c>
      <c r="BU84" s="249">
        <f>IF(BR84&gt;0,IF($M84="Saudi",MIN(BR84+$Q84*$V84,Assumptions!$B$14)*Assumptions!$B$12,MIN(BR84+$Q84*$V84,Assumptions!$B$14)*Assumptions!$B$13),0)</f>
        <v>0</v>
      </c>
      <c r="BV84" s="249">
        <f>IF(AND(BR84&gt;0,$M84="Non-Saudi"),Assumptions!$B$25,0)</f>
        <v>910.41666666666663</v>
      </c>
      <c r="BW84" s="249">
        <f>IF(AND($D84="Contrat Local",$N84&lt;&gt;""),IF(AND(11&gt;=Assumptions!$B$5,ISNUMBER($X84),$N84&lt;EDATE(Assumptions!$B$9,-Assumptions!$B$6*12)),($P84+$X84)*$V84,$P84*$V84),0)</f>
        <v>7800</v>
      </c>
      <c r="BX84" s="249">
        <f t="shared" si="45"/>
        <v>10800</v>
      </c>
      <c r="BY84" s="249">
        <f>IF(AND(BX84&gt;0,$N84&lt;&gt;""),IF((DATE(Assumptions!$B$4,11,28)-$N84)/365.25&lt;=Assumptions!$B$20,(DATE(Assumptions!$B$4,11,28)-$N84)/365.25*Assumptions!$B$18*BX84,(Assumptions!$B$20*Assumptions!$B$18+((DATE(Assumptions!$B$4,11,28)-$N84)/365.25-Assumptions!$B$20)*Assumptions!$B$19)*BX84),0)</f>
        <v>29594.661190965093</v>
      </c>
      <c r="BZ84" s="249">
        <f>IF(BW84&gt;0,IF($M84="Saudi",MIN(BW84+$Q84*$V84,Assumptions!$B$14)*Assumptions!$B$12,MIN(BW84+$Q84*$V84,Assumptions!$B$14)*Assumptions!$B$13),0)</f>
        <v>0</v>
      </c>
      <c r="CA84" s="249">
        <f>IF(AND(BW84&gt;0,$M84="Non-Saudi"),Assumptions!$B$25,0)</f>
        <v>910.41666666666663</v>
      </c>
      <c r="CB84" s="249">
        <f>IF(AND($D84="Contrat Local",$N84&lt;&gt;""),IF(AND(12&gt;=Assumptions!$B$5,ISNUMBER($X84),$N84&lt;EDATE(Assumptions!$B$9,-Assumptions!$B$6*12)),($P84+$X84)*$V84,$P84*$V84),0)</f>
        <v>7800</v>
      </c>
      <c r="CC84" s="249">
        <f t="shared" si="46"/>
        <v>10800</v>
      </c>
      <c r="CD84" s="249">
        <f>IF(AND(CC84&gt;0,$N84&lt;&gt;""),IF((DATE(Assumptions!$B$4,12,28)-$N84)/365.25&lt;=Assumptions!$B$20,(DATE(Assumptions!$B$4,12,28)-$N84)/365.25*Assumptions!$B$18*CC84,(Assumptions!$B$20*Assumptions!$B$18+((DATE(Assumptions!$B$4,12,28)-$N84)/365.25-Assumptions!$B$20)*Assumptions!$B$19)*CC84),0)</f>
        <v>30481.72484599589</v>
      </c>
      <c r="CE84" s="249">
        <f>IF(CB84&gt;0,IF($M84="Saudi",MIN(CB84+$Q84*$V84,Assumptions!$B$14)*Assumptions!$B$12,MIN(CB84+$Q84*$V84,Assumptions!$B$14)*Assumptions!$B$13),0)</f>
        <v>0</v>
      </c>
      <c r="CF84" s="249">
        <f>IF(AND(CB84&gt;0,$M84="Non-Saudi"),Assumptions!$B$25,0)</f>
        <v>910.41666666666663</v>
      </c>
      <c r="CG84" s="249">
        <f t="shared" si="47"/>
        <v>93600</v>
      </c>
      <c r="CH84" s="249">
        <f t="shared" si="48"/>
        <v>129600</v>
      </c>
      <c r="CI84" s="249">
        <f>CD84-IF(AND(Z84&gt;0,$N84&lt;&gt;""),IF((DATE(Assumptions!$B$4-1,12,28)-$N84)/365.25&lt;=Assumptions!$B$20,(DATE(Assumptions!$B$4-1,12,28)-$N84)/365.25*Assumptions!$B$18*Z84,(Assumptions!$B$20*Assumptions!$B$18+((DATE(Assumptions!$B$4-1,12,28)-$N84)/365.25-Assumptions!$B$20)*Assumptions!$B$19)*Z84),0)</f>
        <v>7137.1663244353185</v>
      </c>
      <c r="CJ84" s="249">
        <f t="shared" si="49"/>
        <v>0</v>
      </c>
      <c r="CK84" s="249">
        <f t="shared" si="50"/>
        <v>10924.999999999998</v>
      </c>
    </row>
    <row r="85" spans="1:89" x14ac:dyDescent="0.2">
      <c r="A85" s="264">
        <v>84</v>
      </c>
      <c r="B85" s="265" t="s">
        <v>468</v>
      </c>
      <c r="C85" s="265" t="s">
        <v>469</v>
      </c>
      <c r="D85" s="265" t="s">
        <v>250</v>
      </c>
      <c r="E85" s="265" t="s">
        <v>767</v>
      </c>
      <c r="F85" s="265" t="s">
        <v>281</v>
      </c>
      <c r="G85" s="265" t="s">
        <v>8</v>
      </c>
      <c r="H85" s="265" t="s">
        <v>44</v>
      </c>
      <c r="I85" s="284" t="s">
        <v>691</v>
      </c>
      <c r="J85" s="265" t="s">
        <v>67</v>
      </c>
      <c r="K85" s="265" t="s">
        <v>282</v>
      </c>
      <c r="L85" s="265" t="s">
        <v>255</v>
      </c>
      <c r="M85" s="265" t="str">
        <f t="shared" si="26"/>
        <v>Non-Saudi</v>
      </c>
      <c r="N85" s="266">
        <v>41153</v>
      </c>
      <c r="O85" s="267">
        <v>14.3</v>
      </c>
      <c r="P85" s="268">
        <v>10750</v>
      </c>
      <c r="Q85" s="268">
        <v>2500</v>
      </c>
      <c r="R85" s="268">
        <v>500</v>
      </c>
      <c r="S85" s="268"/>
      <c r="T85" s="268">
        <v>1940</v>
      </c>
      <c r="U85" s="268">
        <v>15690</v>
      </c>
      <c r="V85" s="269">
        <v>1</v>
      </c>
      <c r="W85" s="265" t="s">
        <v>259</v>
      </c>
      <c r="X85" s="265">
        <v>250</v>
      </c>
      <c r="Y85" s="249">
        <f t="shared" si="27"/>
        <v>10750</v>
      </c>
      <c r="Z85" s="249">
        <f t="shared" si="28"/>
        <v>15690</v>
      </c>
      <c r="AA85" s="249">
        <f>IF(AND(Z85&gt;0,$N85&lt;&gt;""),IF((DATE(Assumptions!$B$4,1,28)-$N85)/365.25&lt;=Assumptions!$B$20,(DATE(Assumptions!$B$4,1,28)-$N85)/365.25*Assumptions!$B$18*Z85,(Assumptions!$B$20*Assumptions!$B$18+((DATE(Assumptions!$B$4,1,28)-$N85)/365.25-Assumptions!$B$20)*Assumptions!$B$19)*Z85),0)</f>
        <v>171134.83572895278</v>
      </c>
      <c r="AB85" s="249">
        <f>IF(Y85&gt;0,IF($M85="Saudi",MIN(Y85+$Q85*$V85,Assumptions!$B$14)*Assumptions!$B$12,MIN(Y85+$Q85*$V85,Assumptions!$B$14)*Assumptions!$B$13),0)</f>
        <v>0</v>
      </c>
      <c r="AC85" s="249">
        <f>IF(AND(Y85&gt;0,$M85="Non-Saudi"),Assumptions!$B$25,0)</f>
        <v>910.41666666666663</v>
      </c>
      <c r="AD85" s="249">
        <f t="shared" si="29"/>
        <v>10750</v>
      </c>
      <c r="AE85" s="249">
        <f t="shared" si="30"/>
        <v>15690</v>
      </c>
      <c r="AF85" s="249">
        <f>IF(AND(AE85&gt;0,$N85&lt;&gt;""),IF((DATE(Assumptions!$B$4,2,28)-$N85)/365.25&lt;=Assumptions!$B$20,(DATE(Assumptions!$B$4,2,28)-$N85)/365.25*Assumptions!$B$18*AE85,(Assumptions!$B$20*Assumptions!$B$18+((DATE(Assumptions!$B$4,2,28)-$N85)/365.25-Assumptions!$B$20)*Assumptions!$B$19)*AE85),0)</f>
        <v>172466.49897330595</v>
      </c>
      <c r="AG85" s="249">
        <f>IF(AD85&gt;0,IF($M85="Saudi",MIN(AD85+$Q85*$V85,Assumptions!$B$14)*Assumptions!$B$12,MIN(AD85+$Q85*$V85,Assumptions!$B$14)*Assumptions!$B$13),0)</f>
        <v>0</v>
      </c>
      <c r="AH85" s="249">
        <f>IF(AND(AD85&gt;0,$M85="Non-Saudi"),Assumptions!$B$25,0)</f>
        <v>910.41666666666663</v>
      </c>
      <c r="AI85" s="249">
        <f t="shared" si="31"/>
        <v>10750</v>
      </c>
      <c r="AJ85" s="249">
        <f t="shared" si="32"/>
        <v>15690</v>
      </c>
      <c r="AK85" s="249">
        <f>IF(AND(AJ85&gt;0,$N85&lt;&gt;""),IF((DATE(Assumptions!$B$4,3,28)-$N85)/365.25&lt;=Assumptions!$B$20,(DATE(Assumptions!$B$4,3,28)-$N85)/365.25*Assumptions!$B$18*AJ85,(Assumptions!$B$20*Assumptions!$B$18+((DATE(Assumptions!$B$4,3,28)-$N85)/365.25-Assumptions!$B$20)*Assumptions!$B$19)*AJ85),0)</f>
        <v>173669.29158110882</v>
      </c>
      <c r="AL85" s="249">
        <f>IF(AI85&gt;0,IF($M85="Saudi",MIN(AI85+$Q85*$V85,Assumptions!$B$14)*Assumptions!$B$12,MIN(AI85+$Q85*$V85,Assumptions!$B$14)*Assumptions!$B$13),0)</f>
        <v>0</v>
      </c>
      <c r="AM85" s="249">
        <f>IF(AND(AI85&gt;0,$M85="Non-Saudi"),Assumptions!$B$25,0)</f>
        <v>910.41666666666663</v>
      </c>
      <c r="AN85" s="249">
        <f t="shared" si="33"/>
        <v>10750</v>
      </c>
      <c r="AO85" s="249">
        <f t="shared" si="34"/>
        <v>15690</v>
      </c>
      <c r="AP85" s="249">
        <f>IF(AND(AO85&gt;0,$N85&lt;&gt;""),IF((DATE(Assumptions!$B$4,4,28)-$N85)/365.25&lt;=Assumptions!$B$20,(DATE(Assumptions!$B$4,4,28)-$N85)/365.25*Assumptions!$B$18*AO85,(Assumptions!$B$20*Assumptions!$B$18+((DATE(Assumptions!$B$4,4,28)-$N85)/365.25-Assumptions!$B$20)*Assumptions!$B$19)*AO85),0)</f>
        <v>175000.95482546199</v>
      </c>
      <c r="AQ85" s="249">
        <f>IF(AN85&gt;0,IF($M85="Saudi",MIN(AN85+$Q85*$V85,Assumptions!$B$14)*Assumptions!$B$12,MIN(AN85+$Q85*$V85,Assumptions!$B$14)*Assumptions!$B$13),0)</f>
        <v>0</v>
      </c>
      <c r="AR85" s="249">
        <f>IF(AND(AN85&gt;0,$M85="Non-Saudi"),Assumptions!$B$25,0)</f>
        <v>910.41666666666663</v>
      </c>
      <c r="AS85" s="249">
        <f t="shared" si="35"/>
        <v>10750</v>
      </c>
      <c r="AT85" s="249">
        <f t="shared" si="36"/>
        <v>15690</v>
      </c>
      <c r="AU85" s="249">
        <f>IF(AND(AT85&gt;0,$N85&lt;&gt;""),IF((DATE(Assumptions!$B$4,5,28)-$N85)/365.25&lt;=Assumptions!$B$20,(DATE(Assumptions!$B$4,5,28)-$N85)/365.25*Assumptions!$B$18*AT85,(Assumptions!$B$20*Assumptions!$B$18+((DATE(Assumptions!$B$4,5,28)-$N85)/365.25-Assumptions!$B$20)*Assumptions!$B$19)*AT85),0)</f>
        <v>176289.6611909651</v>
      </c>
      <c r="AV85" s="249">
        <f>IF(AS85&gt;0,IF($M85="Saudi",MIN(AS85+$Q85*$V85,Assumptions!$B$14)*Assumptions!$B$12,MIN(AS85+$Q85*$V85,Assumptions!$B$14)*Assumptions!$B$13),0)</f>
        <v>0</v>
      </c>
      <c r="AW85" s="249">
        <f>IF(AND(AS85&gt;0,$M85="Non-Saudi"),Assumptions!$B$25,0)</f>
        <v>910.41666666666663</v>
      </c>
      <c r="AX85" s="249">
        <f t="shared" si="37"/>
        <v>10750</v>
      </c>
      <c r="AY85" s="249">
        <f t="shared" si="38"/>
        <v>15690</v>
      </c>
      <c r="AZ85" s="249">
        <f>IF(AND(AY85&gt;0,$N85&lt;&gt;""),IF((DATE(Assumptions!$B$4,6,28)-$N85)/365.25&lt;=Assumptions!$B$20,(DATE(Assumptions!$B$4,6,28)-$N85)/365.25*Assumptions!$B$18*AY85,(Assumptions!$B$20*Assumptions!$B$18+((DATE(Assumptions!$B$4,6,28)-$N85)/365.25-Assumptions!$B$20)*Assumptions!$B$19)*AY85),0)</f>
        <v>177621.32443531827</v>
      </c>
      <c r="BA85" s="249">
        <f>IF(AX85&gt;0,IF($M85="Saudi",MIN(AX85+$Q85*$V85,Assumptions!$B$14)*Assumptions!$B$12,MIN(AX85+$Q85*$V85,Assumptions!$B$14)*Assumptions!$B$13),0)</f>
        <v>0</v>
      </c>
      <c r="BB85" s="249">
        <f>IF(AND(AX85&gt;0,$M85="Non-Saudi"),Assumptions!$B$25,0)</f>
        <v>910.41666666666663</v>
      </c>
      <c r="BC85" s="249">
        <f t="shared" si="39"/>
        <v>10750</v>
      </c>
      <c r="BD85" s="249">
        <f t="shared" si="40"/>
        <v>15690</v>
      </c>
      <c r="BE85" s="249">
        <f>IF(AND(BD85&gt;0,$N85&lt;&gt;""),IF((DATE(Assumptions!$B$4,7,28)-$N85)/365.25&lt;=Assumptions!$B$20,(DATE(Assumptions!$B$4,7,28)-$N85)/365.25*Assumptions!$B$18*BD85,(Assumptions!$B$20*Assumptions!$B$18+((DATE(Assumptions!$B$4,7,28)-$N85)/365.25-Assumptions!$B$20)*Assumptions!$B$19)*BD85),0)</f>
        <v>178910.03080082138</v>
      </c>
      <c r="BF85" s="249">
        <f>IF(BC85&gt;0,IF($M85="Saudi",MIN(BC85+$Q85*$V85,Assumptions!$B$14)*Assumptions!$B$12,MIN(BC85+$Q85*$V85,Assumptions!$B$14)*Assumptions!$B$13),0)</f>
        <v>0</v>
      </c>
      <c r="BG85" s="249">
        <f>IF(AND(BC85&gt;0,$M85="Non-Saudi"),Assumptions!$B$25,0)</f>
        <v>910.41666666666663</v>
      </c>
      <c r="BH85" s="249">
        <f t="shared" si="41"/>
        <v>10750</v>
      </c>
      <c r="BI85" s="249">
        <f t="shared" si="42"/>
        <v>15690</v>
      </c>
      <c r="BJ85" s="249">
        <f>IF(AND(BI85&gt;0,$N85&lt;&gt;""),IF((DATE(Assumptions!$B$4,8,28)-$N85)/365.25&lt;=Assumptions!$B$20,(DATE(Assumptions!$B$4,8,28)-$N85)/365.25*Assumptions!$B$18*BI85,(Assumptions!$B$20*Assumptions!$B$18+((DATE(Assumptions!$B$4,8,28)-$N85)/365.25-Assumptions!$B$20)*Assumptions!$B$19)*BI85),0)</f>
        <v>180241.69404517455</v>
      </c>
      <c r="BK85" s="249">
        <f>IF(BH85&gt;0,IF($M85="Saudi",MIN(BH85+$Q85*$V85,Assumptions!$B$14)*Assumptions!$B$12,MIN(BH85+$Q85*$V85,Assumptions!$B$14)*Assumptions!$B$13),0)</f>
        <v>0</v>
      </c>
      <c r="BL85" s="249">
        <f>IF(AND(BH85&gt;0,$M85="Non-Saudi"),Assumptions!$B$25,0)</f>
        <v>910.41666666666663</v>
      </c>
      <c r="BM85" s="249">
        <f>IF(AND($D85="Contrat Local",$N85&lt;&gt;""),IF(AND(9&gt;=Assumptions!$B$5,ISNUMBER($X85),$N85&lt;EDATE(Assumptions!$B$9,-Assumptions!$B$6*12)),($P85+$X85)*$V85,$P85*$V85),0)</f>
        <v>11000</v>
      </c>
      <c r="BN85" s="249">
        <f t="shared" si="43"/>
        <v>15940</v>
      </c>
      <c r="BO85" s="249">
        <f>IF(AND(BN85&gt;0,$N85&lt;&gt;""),IF((DATE(Assumptions!$B$4,9,28)-$N85)/365.25&lt;=Assumptions!$B$20,(DATE(Assumptions!$B$4,9,28)-$N85)/365.25*Assumptions!$B$18*BN85,(Assumptions!$B$20*Assumptions!$B$18+((DATE(Assumptions!$B$4,9,28)-$N85)/365.25-Assumptions!$B$20)*Assumptions!$B$19)*BN85),0)</f>
        <v>184466.49555099249</v>
      </c>
      <c r="BP85" s="249">
        <f>IF(BM85&gt;0,IF($M85="Saudi",MIN(BM85+$Q85*$V85,Assumptions!$B$14)*Assumptions!$B$12,MIN(BM85+$Q85*$V85,Assumptions!$B$14)*Assumptions!$B$13),0)</f>
        <v>0</v>
      </c>
      <c r="BQ85" s="249">
        <f>IF(AND(BM85&gt;0,$M85="Non-Saudi"),Assumptions!$B$25,0)</f>
        <v>910.41666666666663</v>
      </c>
      <c r="BR85" s="249">
        <f>IF(AND($D85="Contrat Local",$N85&lt;&gt;""),IF(AND(10&gt;=Assumptions!$B$5,ISNUMBER($X85),$N85&lt;EDATE(Assumptions!$B$9,-Assumptions!$B$6*12)),($P85+$X85)*$V85,$P85*$V85),0)</f>
        <v>11000</v>
      </c>
      <c r="BS85" s="249">
        <f t="shared" si="44"/>
        <v>15940</v>
      </c>
      <c r="BT85" s="249">
        <f>IF(AND(BS85&gt;0,$N85&lt;&gt;""),IF((DATE(Assumptions!$B$4,10,28)-$N85)/365.25&lt;=Assumptions!$B$20,(DATE(Assumptions!$B$4,10,28)-$N85)/365.25*Assumptions!$B$18*BS85,(Assumptions!$B$20*Assumptions!$B$18+((DATE(Assumptions!$B$4,10,28)-$N85)/365.25-Assumptions!$B$20)*Assumptions!$B$19)*BS85),0)</f>
        <v>185775.73579739904</v>
      </c>
      <c r="BU85" s="249">
        <f>IF(BR85&gt;0,IF($M85="Saudi",MIN(BR85+$Q85*$V85,Assumptions!$B$14)*Assumptions!$B$12,MIN(BR85+$Q85*$V85,Assumptions!$B$14)*Assumptions!$B$13),0)</f>
        <v>0</v>
      </c>
      <c r="BV85" s="249">
        <f>IF(AND(BR85&gt;0,$M85="Non-Saudi"),Assumptions!$B$25,0)</f>
        <v>910.41666666666663</v>
      </c>
      <c r="BW85" s="249">
        <f>IF(AND($D85="Contrat Local",$N85&lt;&gt;""),IF(AND(11&gt;=Assumptions!$B$5,ISNUMBER($X85),$N85&lt;EDATE(Assumptions!$B$9,-Assumptions!$B$6*12)),($P85+$X85)*$V85,$P85*$V85),0)</f>
        <v>11000</v>
      </c>
      <c r="BX85" s="249">
        <f t="shared" si="45"/>
        <v>15940</v>
      </c>
      <c r="BY85" s="249">
        <f>IF(AND(BX85&gt;0,$N85&lt;&gt;""),IF((DATE(Assumptions!$B$4,11,28)-$N85)/365.25&lt;=Assumptions!$B$20,(DATE(Assumptions!$B$4,11,28)-$N85)/365.25*Assumptions!$B$18*BX85,(Assumptions!$B$20*Assumptions!$B$18+((DATE(Assumptions!$B$4,11,28)-$N85)/365.25-Assumptions!$B$20)*Assumptions!$B$19)*BX85),0)</f>
        <v>187128.6173853525</v>
      </c>
      <c r="BZ85" s="249">
        <f>IF(BW85&gt;0,IF($M85="Saudi",MIN(BW85+$Q85*$V85,Assumptions!$B$14)*Assumptions!$B$12,MIN(BW85+$Q85*$V85,Assumptions!$B$14)*Assumptions!$B$13),0)</f>
        <v>0</v>
      </c>
      <c r="CA85" s="249">
        <f>IF(AND(BW85&gt;0,$M85="Non-Saudi"),Assumptions!$B$25,0)</f>
        <v>910.41666666666663</v>
      </c>
      <c r="CB85" s="249">
        <f>IF(AND($D85="Contrat Local",$N85&lt;&gt;""),IF(AND(12&gt;=Assumptions!$B$5,ISNUMBER($X85),$N85&lt;EDATE(Assumptions!$B$9,-Assumptions!$B$6*12)),($P85+$X85)*$V85,$P85*$V85),0)</f>
        <v>11000</v>
      </c>
      <c r="CC85" s="249">
        <f t="shared" si="46"/>
        <v>15940</v>
      </c>
      <c r="CD85" s="249">
        <f>IF(AND(CC85&gt;0,$N85&lt;&gt;""),IF((DATE(Assumptions!$B$4,12,28)-$N85)/365.25&lt;=Assumptions!$B$20,(DATE(Assumptions!$B$4,12,28)-$N85)/365.25*Assumptions!$B$18*CC85,(Assumptions!$B$20*Assumptions!$B$18+((DATE(Assumptions!$B$4,12,28)-$N85)/365.25-Assumptions!$B$20)*Assumptions!$B$19)*CC85),0)</f>
        <v>188437.85763175908</v>
      </c>
      <c r="CE85" s="249">
        <f>IF(CB85&gt;0,IF($M85="Saudi",MIN(CB85+$Q85*$V85,Assumptions!$B$14)*Assumptions!$B$12,MIN(CB85+$Q85*$V85,Assumptions!$B$14)*Assumptions!$B$13),0)</f>
        <v>0</v>
      </c>
      <c r="CF85" s="249">
        <f>IF(AND(CB85&gt;0,$M85="Non-Saudi"),Assumptions!$B$25,0)</f>
        <v>910.41666666666663</v>
      </c>
      <c r="CG85" s="249">
        <f t="shared" si="47"/>
        <v>130000</v>
      </c>
      <c r="CH85" s="249">
        <f t="shared" si="48"/>
        <v>189280</v>
      </c>
      <c r="CI85" s="249">
        <f>CD85-IF(AND(Z85&gt;0,$N85&lt;&gt;""),IF((DATE(Assumptions!$B$4-1,12,28)-$N85)/365.25&lt;=Assumptions!$B$20,(DATE(Assumptions!$B$4-1,12,28)-$N85)/365.25*Assumptions!$B$18*Z85,(Assumptions!$B$20*Assumptions!$B$18+((DATE(Assumptions!$B$4-1,12,28)-$N85)/365.25-Assumptions!$B$20)*Assumptions!$B$19)*Z85),0)</f>
        <v>18634.685147159471</v>
      </c>
      <c r="CJ85" s="249">
        <f t="shared" si="49"/>
        <v>0</v>
      </c>
      <c r="CK85" s="249">
        <f t="shared" si="50"/>
        <v>10924.999999999998</v>
      </c>
    </row>
    <row r="86" spans="1:89" x14ac:dyDescent="0.2">
      <c r="A86" s="264">
        <v>85</v>
      </c>
      <c r="B86" s="265" t="s">
        <v>470</v>
      </c>
      <c r="C86" s="265" t="s">
        <v>471</v>
      </c>
      <c r="D86" s="265" t="s">
        <v>250</v>
      </c>
      <c r="E86" s="265" t="s">
        <v>767</v>
      </c>
      <c r="F86" s="265" t="s">
        <v>353</v>
      </c>
      <c r="G86" s="265" t="s">
        <v>8</v>
      </c>
      <c r="H86" s="265" t="s">
        <v>265</v>
      </c>
      <c r="I86" s="289" t="s">
        <v>690</v>
      </c>
      <c r="J86" s="286"/>
      <c r="K86" s="265" t="s">
        <v>8</v>
      </c>
      <c r="L86" s="265" t="s">
        <v>255</v>
      </c>
      <c r="M86" s="265" t="str">
        <f t="shared" si="26"/>
        <v>Non-Saudi</v>
      </c>
      <c r="N86" s="266">
        <v>44805</v>
      </c>
      <c r="O86" s="267">
        <v>4.3</v>
      </c>
      <c r="P86" s="268">
        <v>8500</v>
      </c>
      <c r="Q86" s="268">
        <v>2500</v>
      </c>
      <c r="R86" s="268">
        <v>500</v>
      </c>
      <c r="S86" s="268"/>
      <c r="T86" s="268"/>
      <c r="U86" s="268">
        <v>11500</v>
      </c>
      <c r="V86" s="269">
        <v>1</v>
      </c>
      <c r="W86" s="265" t="s">
        <v>256</v>
      </c>
      <c r="X86" s="265" t="s">
        <v>268</v>
      </c>
      <c r="Y86" s="249">
        <f t="shared" si="27"/>
        <v>8500</v>
      </c>
      <c r="Z86" s="249">
        <f t="shared" si="28"/>
        <v>11500</v>
      </c>
      <c r="AA86" s="249">
        <f>IF(AND(Z86&gt;0,$N86&lt;&gt;""),IF((DATE(Assumptions!$B$4,1,28)-$N86)/365.25&lt;=Assumptions!$B$20,(DATE(Assumptions!$B$4,1,28)-$N86)/365.25*Assumptions!$B$18*Z86,(Assumptions!$B$20*Assumptions!$B$18+((DATE(Assumptions!$B$4,1,28)-$N86)/365.25-Assumptions!$B$20)*Assumptions!$B$19)*Z86),0)</f>
        <v>19599.589322381929</v>
      </c>
      <c r="AB86" s="249">
        <f>IF(Y86&gt;0,IF($M86="Saudi",MIN(Y86+$Q86*$V86,Assumptions!$B$14)*Assumptions!$B$12,MIN(Y86+$Q86*$V86,Assumptions!$B$14)*Assumptions!$B$13),0)</f>
        <v>0</v>
      </c>
      <c r="AC86" s="249">
        <f>IF(AND(Y86&gt;0,$M86="Non-Saudi"),Assumptions!$B$25,0)</f>
        <v>910.41666666666663</v>
      </c>
      <c r="AD86" s="249">
        <f t="shared" si="29"/>
        <v>8500</v>
      </c>
      <c r="AE86" s="249">
        <f t="shared" si="30"/>
        <v>11500</v>
      </c>
      <c r="AF86" s="249">
        <f>IF(AND(AE86&gt;0,$N86&lt;&gt;""),IF((DATE(Assumptions!$B$4,2,28)-$N86)/365.25&lt;=Assumptions!$B$20,(DATE(Assumptions!$B$4,2,28)-$N86)/365.25*Assumptions!$B$18*AE86,(Assumptions!$B$20*Assumptions!$B$18+((DATE(Assumptions!$B$4,2,28)-$N86)/365.25-Assumptions!$B$20)*Assumptions!$B$19)*AE86),0)</f>
        <v>20087.611225188226</v>
      </c>
      <c r="AG86" s="249">
        <f>IF(AD86&gt;0,IF($M86="Saudi",MIN(AD86+$Q86*$V86,Assumptions!$B$14)*Assumptions!$B$12,MIN(AD86+$Q86*$V86,Assumptions!$B$14)*Assumptions!$B$13),0)</f>
        <v>0</v>
      </c>
      <c r="AH86" s="249">
        <f>IF(AND(AD86&gt;0,$M86="Non-Saudi"),Assumptions!$B$25,0)</f>
        <v>910.41666666666663</v>
      </c>
      <c r="AI86" s="249">
        <f t="shared" si="31"/>
        <v>8500</v>
      </c>
      <c r="AJ86" s="249">
        <f t="shared" si="32"/>
        <v>11500</v>
      </c>
      <c r="AK86" s="249">
        <f>IF(AND(AJ86&gt;0,$N86&lt;&gt;""),IF((DATE(Assumptions!$B$4,3,28)-$N86)/365.25&lt;=Assumptions!$B$20,(DATE(Assumptions!$B$4,3,28)-$N86)/365.25*Assumptions!$B$18*AJ86,(Assumptions!$B$20*Assumptions!$B$18+((DATE(Assumptions!$B$4,3,28)-$N86)/365.25-Assumptions!$B$20)*Assumptions!$B$19)*AJ86),0)</f>
        <v>20528.405201916496</v>
      </c>
      <c r="AL86" s="249">
        <f>IF(AI86&gt;0,IF($M86="Saudi",MIN(AI86+$Q86*$V86,Assumptions!$B$14)*Assumptions!$B$12,MIN(AI86+$Q86*$V86,Assumptions!$B$14)*Assumptions!$B$13),0)</f>
        <v>0</v>
      </c>
      <c r="AM86" s="249">
        <f>IF(AND(AI86&gt;0,$M86="Non-Saudi"),Assumptions!$B$25,0)</f>
        <v>910.41666666666663</v>
      </c>
      <c r="AN86" s="249">
        <f t="shared" si="33"/>
        <v>8500</v>
      </c>
      <c r="AO86" s="249">
        <f t="shared" si="34"/>
        <v>11500</v>
      </c>
      <c r="AP86" s="249">
        <f>IF(AND(AO86&gt;0,$N86&lt;&gt;""),IF((DATE(Assumptions!$B$4,4,28)-$N86)/365.25&lt;=Assumptions!$B$20,(DATE(Assumptions!$B$4,4,28)-$N86)/365.25*Assumptions!$B$18*AO86,(Assumptions!$B$20*Assumptions!$B$18+((DATE(Assumptions!$B$4,4,28)-$N86)/365.25-Assumptions!$B$20)*Assumptions!$B$19)*AO86),0)</f>
        <v>21016.427104722792</v>
      </c>
      <c r="AQ86" s="249">
        <f>IF(AN86&gt;0,IF($M86="Saudi",MIN(AN86+$Q86*$V86,Assumptions!$B$14)*Assumptions!$B$12,MIN(AN86+$Q86*$V86,Assumptions!$B$14)*Assumptions!$B$13),0)</f>
        <v>0</v>
      </c>
      <c r="AR86" s="249">
        <f>IF(AND(AN86&gt;0,$M86="Non-Saudi"),Assumptions!$B$25,0)</f>
        <v>910.41666666666663</v>
      </c>
      <c r="AS86" s="249">
        <f t="shared" si="35"/>
        <v>8500</v>
      </c>
      <c r="AT86" s="249">
        <f t="shared" si="36"/>
        <v>11500</v>
      </c>
      <c r="AU86" s="249">
        <f>IF(AND(AT86&gt;0,$N86&lt;&gt;""),IF((DATE(Assumptions!$B$4,5,28)-$N86)/365.25&lt;=Assumptions!$B$20,(DATE(Assumptions!$B$4,5,28)-$N86)/365.25*Assumptions!$B$18*AT86,(Assumptions!$B$20*Assumptions!$B$18+((DATE(Assumptions!$B$4,5,28)-$N86)/365.25-Assumptions!$B$20)*Assumptions!$B$19)*AT86),0)</f>
        <v>21488.70636550308</v>
      </c>
      <c r="AV86" s="249">
        <f>IF(AS86&gt;0,IF($M86="Saudi",MIN(AS86+$Q86*$V86,Assumptions!$B$14)*Assumptions!$B$12,MIN(AS86+$Q86*$V86,Assumptions!$B$14)*Assumptions!$B$13),0)</f>
        <v>0</v>
      </c>
      <c r="AW86" s="249">
        <f>IF(AND(AS86&gt;0,$M86="Non-Saudi"),Assumptions!$B$25,0)</f>
        <v>910.41666666666663</v>
      </c>
      <c r="AX86" s="249">
        <f t="shared" si="37"/>
        <v>8500</v>
      </c>
      <c r="AY86" s="249">
        <f t="shared" si="38"/>
        <v>11500</v>
      </c>
      <c r="AZ86" s="249">
        <f>IF(AND(AY86&gt;0,$N86&lt;&gt;""),IF((DATE(Assumptions!$B$4,6,28)-$N86)/365.25&lt;=Assumptions!$B$20,(DATE(Assumptions!$B$4,6,28)-$N86)/365.25*Assumptions!$B$18*AY86,(Assumptions!$B$20*Assumptions!$B$18+((DATE(Assumptions!$B$4,6,28)-$N86)/365.25-Assumptions!$B$20)*Assumptions!$B$19)*AY86),0)</f>
        <v>21976.728268309376</v>
      </c>
      <c r="BA86" s="249">
        <f>IF(AX86&gt;0,IF($M86="Saudi",MIN(AX86+$Q86*$V86,Assumptions!$B$14)*Assumptions!$B$12,MIN(AX86+$Q86*$V86,Assumptions!$B$14)*Assumptions!$B$13),0)</f>
        <v>0</v>
      </c>
      <c r="BB86" s="249">
        <f>IF(AND(AX86&gt;0,$M86="Non-Saudi"),Assumptions!$B$25,0)</f>
        <v>910.41666666666663</v>
      </c>
      <c r="BC86" s="249">
        <f t="shared" si="39"/>
        <v>8500</v>
      </c>
      <c r="BD86" s="249">
        <f t="shared" si="40"/>
        <v>11500</v>
      </c>
      <c r="BE86" s="249">
        <f>IF(AND(BD86&gt;0,$N86&lt;&gt;""),IF((DATE(Assumptions!$B$4,7,28)-$N86)/365.25&lt;=Assumptions!$B$20,(DATE(Assumptions!$B$4,7,28)-$N86)/365.25*Assumptions!$B$18*BD86,(Assumptions!$B$20*Assumptions!$B$18+((DATE(Assumptions!$B$4,7,28)-$N86)/365.25-Assumptions!$B$20)*Assumptions!$B$19)*BD86),0)</f>
        <v>22449.007529089664</v>
      </c>
      <c r="BF86" s="249">
        <f>IF(BC86&gt;0,IF($M86="Saudi",MIN(BC86+$Q86*$V86,Assumptions!$B$14)*Assumptions!$B$12,MIN(BC86+$Q86*$V86,Assumptions!$B$14)*Assumptions!$B$13),0)</f>
        <v>0</v>
      </c>
      <c r="BG86" s="249">
        <f>IF(AND(BC86&gt;0,$M86="Non-Saudi"),Assumptions!$B$25,0)</f>
        <v>910.41666666666663</v>
      </c>
      <c r="BH86" s="249">
        <f t="shared" si="41"/>
        <v>8500</v>
      </c>
      <c r="BI86" s="249">
        <f t="shared" si="42"/>
        <v>11500</v>
      </c>
      <c r="BJ86" s="249">
        <f>IF(AND(BI86&gt;0,$N86&lt;&gt;""),IF((DATE(Assumptions!$B$4,8,28)-$N86)/365.25&lt;=Assumptions!$B$20,(DATE(Assumptions!$B$4,8,28)-$N86)/365.25*Assumptions!$B$18*BI86,(Assumptions!$B$20*Assumptions!$B$18+((DATE(Assumptions!$B$4,8,28)-$N86)/365.25-Assumptions!$B$20)*Assumptions!$B$19)*BI86),0)</f>
        <v>22937.029431895964</v>
      </c>
      <c r="BK86" s="249">
        <f>IF(BH86&gt;0,IF($M86="Saudi",MIN(BH86+$Q86*$V86,Assumptions!$B$14)*Assumptions!$B$12,MIN(BH86+$Q86*$V86,Assumptions!$B$14)*Assumptions!$B$13),0)</f>
        <v>0</v>
      </c>
      <c r="BL86" s="249">
        <f>IF(AND(BH86&gt;0,$M86="Non-Saudi"),Assumptions!$B$25,0)</f>
        <v>910.41666666666663</v>
      </c>
      <c r="BM86" s="249">
        <f>IF(AND($D86="Contrat Local",$N86&lt;&gt;""),IF(AND(9&gt;=Assumptions!$B$5,ISNUMBER($X86),$N86&lt;EDATE(Assumptions!$B$9,-Assumptions!$B$6*12)),($P86+$X86)*$V86,$P86*$V86),0)</f>
        <v>8500</v>
      </c>
      <c r="BN86" s="249">
        <f t="shared" si="43"/>
        <v>11500</v>
      </c>
      <c r="BO86" s="249">
        <f>IF(AND(BN86&gt;0,$N86&lt;&gt;""),IF((DATE(Assumptions!$B$4,9,28)-$N86)/365.25&lt;=Assumptions!$B$20,(DATE(Assumptions!$B$4,9,28)-$N86)/365.25*Assumptions!$B$18*BN86,(Assumptions!$B$20*Assumptions!$B$18+((DATE(Assumptions!$B$4,9,28)-$N86)/365.25-Assumptions!$B$20)*Assumptions!$B$19)*BN86),0)</f>
        <v>23425.051334702257</v>
      </c>
      <c r="BP86" s="249">
        <f>IF(BM86&gt;0,IF($M86="Saudi",MIN(BM86+$Q86*$V86,Assumptions!$B$14)*Assumptions!$B$12,MIN(BM86+$Q86*$V86,Assumptions!$B$14)*Assumptions!$B$13),0)</f>
        <v>0</v>
      </c>
      <c r="BQ86" s="249">
        <f>IF(AND(BM86&gt;0,$M86="Non-Saudi"),Assumptions!$B$25,0)</f>
        <v>910.41666666666663</v>
      </c>
      <c r="BR86" s="249">
        <f>IF(AND($D86="Contrat Local",$N86&lt;&gt;""),IF(AND(10&gt;=Assumptions!$B$5,ISNUMBER($X86),$N86&lt;EDATE(Assumptions!$B$9,-Assumptions!$B$6*12)),($P86+$X86)*$V86,$P86*$V86),0)</f>
        <v>8500</v>
      </c>
      <c r="BS86" s="249">
        <f t="shared" si="44"/>
        <v>11500</v>
      </c>
      <c r="BT86" s="249">
        <f>IF(AND(BS86&gt;0,$N86&lt;&gt;""),IF((DATE(Assumptions!$B$4,10,28)-$N86)/365.25&lt;=Assumptions!$B$20,(DATE(Assumptions!$B$4,10,28)-$N86)/365.25*Assumptions!$B$18*BS86,(Assumptions!$B$20*Assumptions!$B$18+((DATE(Assumptions!$B$4,10,28)-$N86)/365.25-Assumptions!$B$20)*Assumptions!$B$19)*BS86),0)</f>
        <v>23897.330595482545</v>
      </c>
      <c r="BU86" s="249">
        <f>IF(BR86&gt;0,IF($M86="Saudi",MIN(BR86+$Q86*$V86,Assumptions!$B$14)*Assumptions!$B$12,MIN(BR86+$Q86*$V86,Assumptions!$B$14)*Assumptions!$B$13),0)</f>
        <v>0</v>
      </c>
      <c r="BV86" s="249">
        <f>IF(AND(BR86&gt;0,$M86="Non-Saudi"),Assumptions!$B$25,0)</f>
        <v>910.41666666666663</v>
      </c>
      <c r="BW86" s="249">
        <f>IF(AND($D86="Contrat Local",$N86&lt;&gt;""),IF(AND(11&gt;=Assumptions!$B$5,ISNUMBER($X86),$N86&lt;EDATE(Assumptions!$B$9,-Assumptions!$B$6*12)),($P86+$X86)*$V86,$P86*$V86),0)</f>
        <v>8500</v>
      </c>
      <c r="BX86" s="249">
        <f t="shared" si="45"/>
        <v>11500</v>
      </c>
      <c r="BY86" s="249">
        <f>IF(AND(BX86&gt;0,$N86&lt;&gt;""),IF((DATE(Assumptions!$B$4,11,28)-$N86)/365.25&lt;=Assumptions!$B$20,(DATE(Assumptions!$B$4,11,28)-$N86)/365.25*Assumptions!$B$18*BX86,(Assumptions!$B$20*Assumptions!$B$18+((DATE(Assumptions!$B$4,11,28)-$N86)/365.25-Assumptions!$B$20)*Assumptions!$B$19)*BX86),0)</f>
        <v>24385.352498288841</v>
      </c>
      <c r="BZ86" s="249">
        <f>IF(BW86&gt;0,IF($M86="Saudi",MIN(BW86+$Q86*$V86,Assumptions!$B$14)*Assumptions!$B$12,MIN(BW86+$Q86*$V86,Assumptions!$B$14)*Assumptions!$B$13),0)</f>
        <v>0</v>
      </c>
      <c r="CA86" s="249">
        <f>IF(AND(BW86&gt;0,$M86="Non-Saudi"),Assumptions!$B$25,0)</f>
        <v>910.41666666666663</v>
      </c>
      <c r="CB86" s="249">
        <f>IF(AND($D86="Contrat Local",$N86&lt;&gt;""),IF(AND(12&gt;=Assumptions!$B$5,ISNUMBER($X86),$N86&lt;EDATE(Assumptions!$B$9,-Assumptions!$B$6*12)),($P86+$X86)*$V86,$P86*$V86),0)</f>
        <v>8500</v>
      </c>
      <c r="CC86" s="249">
        <f t="shared" si="46"/>
        <v>11500</v>
      </c>
      <c r="CD86" s="249">
        <f>IF(AND(CC86&gt;0,$N86&lt;&gt;""),IF((DATE(Assumptions!$B$4,12,28)-$N86)/365.25&lt;=Assumptions!$B$20,(DATE(Assumptions!$B$4,12,28)-$N86)/365.25*Assumptions!$B$18*CC86,(Assumptions!$B$20*Assumptions!$B$18+((DATE(Assumptions!$B$4,12,28)-$N86)/365.25-Assumptions!$B$20)*Assumptions!$B$19)*CC86),0)</f>
        <v>24857.631759069129</v>
      </c>
      <c r="CE86" s="249">
        <f>IF(CB86&gt;0,IF($M86="Saudi",MIN(CB86+$Q86*$V86,Assumptions!$B$14)*Assumptions!$B$12,MIN(CB86+$Q86*$V86,Assumptions!$B$14)*Assumptions!$B$13),0)</f>
        <v>0</v>
      </c>
      <c r="CF86" s="249">
        <f>IF(AND(CB86&gt;0,$M86="Non-Saudi"),Assumptions!$B$25,0)</f>
        <v>910.41666666666663</v>
      </c>
      <c r="CG86" s="249">
        <f t="shared" si="47"/>
        <v>102000</v>
      </c>
      <c r="CH86" s="249">
        <f t="shared" si="48"/>
        <v>138000</v>
      </c>
      <c r="CI86" s="249">
        <f>CD86-IF(AND(Z86&gt;0,$N86&lt;&gt;""),IF((DATE(Assumptions!$B$4-1,12,28)-$N86)/365.25&lt;=Assumptions!$B$20,(DATE(Assumptions!$B$4-1,12,28)-$N86)/365.25*Assumptions!$B$18*Z86,(Assumptions!$B$20*Assumptions!$B$18+((DATE(Assumptions!$B$4-1,12,28)-$N86)/365.25-Assumptions!$B$20)*Assumptions!$B$19)*Z86),0)</f>
        <v>5746.0643394934959</v>
      </c>
      <c r="CJ86" s="249">
        <f t="shared" si="49"/>
        <v>0</v>
      </c>
      <c r="CK86" s="249">
        <f t="shared" si="50"/>
        <v>10924.999999999998</v>
      </c>
    </row>
    <row r="87" spans="1:89" x14ac:dyDescent="0.2">
      <c r="A87" s="276">
        <v>86</v>
      </c>
      <c r="B87" s="277" t="s">
        <v>472</v>
      </c>
      <c r="C87" s="277" t="s">
        <v>473</v>
      </c>
      <c r="D87" s="277" t="s">
        <v>250</v>
      </c>
      <c r="E87" s="277" t="s">
        <v>767</v>
      </c>
      <c r="F87" s="277" t="s">
        <v>302</v>
      </c>
      <c r="G87" s="277" t="s">
        <v>303</v>
      </c>
      <c r="H87" s="299" t="s">
        <v>304</v>
      </c>
      <c r="I87" s="287" t="s">
        <v>691</v>
      </c>
      <c r="J87" s="299" t="s">
        <v>101</v>
      </c>
      <c r="K87" s="277" t="s">
        <v>254</v>
      </c>
      <c r="L87" s="277" t="s">
        <v>255</v>
      </c>
      <c r="M87" s="277" t="str">
        <f t="shared" si="26"/>
        <v>Non-Saudi</v>
      </c>
      <c r="N87" s="278">
        <v>45901</v>
      </c>
      <c r="O87" s="279">
        <v>1.3</v>
      </c>
      <c r="P87" s="280">
        <v>4000</v>
      </c>
      <c r="Q87" s="280">
        <v>1250</v>
      </c>
      <c r="R87" s="280">
        <v>250</v>
      </c>
      <c r="S87" s="280"/>
      <c r="T87" s="280"/>
      <c r="U87" s="280">
        <v>5500</v>
      </c>
      <c r="V87" s="281">
        <v>0.5</v>
      </c>
      <c r="W87" s="277" t="s">
        <v>259</v>
      </c>
      <c r="X87" s="277" t="s">
        <v>268</v>
      </c>
      <c r="Y87" s="249">
        <f t="shared" si="27"/>
        <v>2000</v>
      </c>
      <c r="Z87" s="249">
        <f t="shared" si="28"/>
        <v>2750</v>
      </c>
      <c r="AA87" s="249">
        <f>IF(AND(Z87&gt;0,$N87&lt;&gt;""),IF((DATE(Assumptions!$B$4,1,28)-$N87)/365.25&lt;=Assumptions!$B$20,(DATE(Assumptions!$B$4,1,28)-$N87)/365.25*Assumptions!$B$18*Z87,(Assumptions!$B$20*Assumptions!$B$18+((DATE(Assumptions!$B$4,1,28)-$N87)/365.25-Assumptions!$B$20)*Assumptions!$B$19)*Z87),0)</f>
        <v>560.91718001368929</v>
      </c>
      <c r="AB87" s="249">
        <f>IF(Y87&gt;0,IF($M87="Saudi",MIN(Y87+$Q87*$V87,Assumptions!$B$14)*Assumptions!$B$12,MIN(Y87+$Q87*$V87,Assumptions!$B$14)*Assumptions!$B$13),0)</f>
        <v>0</v>
      </c>
      <c r="AC87" s="249">
        <f>IF(AND(Y87&gt;0,$M87="Non-Saudi"),Assumptions!$B$25,0)</f>
        <v>910.41666666666663</v>
      </c>
      <c r="AD87" s="249">
        <f t="shared" si="29"/>
        <v>2000</v>
      </c>
      <c r="AE87" s="249">
        <f t="shared" si="30"/>
        <v>2750</v>
      </c>
      <c r="AF87" s="249">
        <f>IF(AND(AE87&gt;0,$N87&lt;&gt;""),IF((DATE(Assumptions!$B$4,2,28)-$N87)/365.25&lt;=Assumptions!$B$20,(DATE(Assumptions!$B$4,2,28)-$N87)/365.25*Assumptions!$B$18*AE87,(Assumptions!$B$20*Assumptions!$B$18+((DATE(Assumptions!$B$4,2,28)-$N87)/365.25-Assumptions!$B$20)*Assumptions!$B$19)*AE87),0)</f>
        <v>677.61806981519499</v>
      </c>
      <c r="AG87" s="249">
        <f>IF(AD87&gt;0,IF($M87="Saudi",MIN(AD87+$Q87*$V87,Assumptions!$B$14)*Assumptions!$B$12,MIN(AD87+$Q87*$V87,Assumptions!$B$14)*Assumptions!$B$13),0)</f>
        <v>0</v>
      </c>
      <c r="AH87" s="249">
        <f>IF(AND(AD87&gt;0,$M87="Non-Saudi"),Assumptions!$B$25,0)</f>
        <v>910.41666666666663</v>
      </c>
      <c r="AI87" s="249">
        <f t="shared" si="31"/>
        <v>2000</v>
      </c>
      <c r="AJ87" s="249">
        <f t="shared" si="32"/>
        <v>2750</v>
      </c>
      <c r="AK87" s="249">
        <f>IF(AND(AJ87&gt;0,$N87&lt;&gt;""),IF((DATE(Assumptions!$B$4,3,28)-$N87)/365.25&lt;=Assumptions!$B$20,(DATE(Assumptions!$B$4,3,28)-$N87)/365.25*Assumptions!$B$18*AJ87,(Assumptions!$B$20*Assumptions!$B$18+((DATE(Assumptions!$B$4,3,28)-$N87)/365.25-Assumptions!$B$20)*Assumptions!$B$19)*AJ87),0)</f>
        <v>783.02532511978097</v>
      </c>
      <c r="AL87" s="249">
        <f>IF(AI87&gt;0,IF($M87="Saudi",MIN(AI87+$Q87*$V87,Assumptions!$B$14)*Assumptions!$B$12,MIN(AI87+$Q87*$V87,Assumptions!$B$14)*Assumptions!$B$13),0)</f>
        <v>0</v>
      </c>
      <c r="AM87" s="249">
        <f>IF(AND(AI87&gt;0,$M87="Non-Saudi"),Assumptions!$B$25,0)</f>
        <v>910.41666666666663</v>
      </c>
      <c r="AN87" s="249">
        <f t="shared" si="33"/>
        <v>2000</v>
      </c>
      <c r="AO87" s="249">
        <f t="shared" si="34"/>
        <v>2750</v>
      </c>
      <c r="AP87" s="249">
        <f>IF(AND(AO87&gt;0,$N87&lt;&gt;""),IF((DATE(Assumptions!$B$4,4,28)-$N87)/365.25&lt;=Assumptions!$B$20,(DATE(Assumptions!$B$4,4,28)-$N87)/365.25*Assumptions!$B$18*AO87,(Assumptions!$B$20*Assumptions!$B$18+((DATE(Assumptions!$B$4,4,28)-$N87)/365.25-Assumptions!$B$20)*Assumptions!$B$19)*AO87),0)</f>
        <v>899.72621492128678</v>
      </c>
      <c r="AQ87" s="249">
        <f>IF(AN87&gt;0,IF($M87="Saudi",MIN(AN87+$Q87*$V87,Assumptions!$B$14)*Assumptions!$B$12,MIN(AN87+$Q87*$V87,Assumptions!$B$14)*Assumptions!$B$13),0)</f>
        <v>0</v>
      </c>
      <c r="AR87" s="249">
        <f>IF(AND(AN87&gt;0,$M87="Non-Saudi"),Assumptions!$B$25,0)</f>
        <v>910.41666666666663</v>
      </c>
      <c r="AS87" s="249">
        <f t="shared" si="35"/>
        <v>2000</v>
      </c>
      <c r="AT87" s="249">
        <f t="shared" si="36"/>
        <v>2750</v>
      </c>
      <c r="AU87" s="249">
        <f>IF(AND(AT87&gt;0,$N87&lt;&gt;""),IF((DATE(Assumptions!$B$4,5,28)-$N87)/365.25&lt;=Assumptions!$B$20,(DATE(Assumptions!$B$4,5,28)-$N87)/365.25*Assumptions!$B$18*AT87,(Assumptions!$B$20*Assumptions!$B$18+((DATE(Assumptions!$B$4,5,28)-$N87)/365.25-Assumptions!$B$20)*Assumptions!$B$19)*AT87),0)</f>
        <v>1012.662559890486</v>
      </c>
      <c r="AV87" s="249">
        <f>IF(AS87&gt;0,IF($M87="Saudi",MIN(AS87+$Q87*$V87,Assumptions!$B$14)*Assumptions!$B$12,MIN(AS87+$Q87*$V87,Assumptions!$B$14)*Assumptions!$B$13),0)</f>
        <v>0</v>
      </c>
      <c r="AW87" s="249">
        <f>IF(AND(AS87&gt;0,$M87="Non-Saudi"),Assumptions!$B$25,0)</f>
        <v>910.41666666666663</v>
      </c>
      <c r="AX87" s="249">
        <f t="shared" si="37"/>
        <v>2000</v>
      </c>
      <c r="AY87" s="249">
        <f t="shared" si="38"/>
        <v>2750</v>
      </c>
      <c r="AZ87" s="249">
        <f>IF(AND(AY87&gt;0,$N87&lt;&gt;""),IF((DATE(Assumptions!$B$4,6,28)-$N87)/365.25&lt;=Assumptions!$B$20,(DATE(Assumptions!$B$4,6,28)-$N87)/365.25*Assumptions!$B$18*AY87,(Assumptions!$B$20*Assumptions!$B$18+((DATE(Assumptions!$B$4,6,28)-$N87)/365.25-Assumptions!$B$20)*Assumptions!$B$19)*AY87),0)</f>
        <v>1129.3634496919917</v>
      </c>
      <c r="BA87" s="249">
        <f>IF(AX87&gt;0,IF($M87="Saudi",MIN(AX87+$Q87*$V87,Assumptions!$B$14)*Assumptions!$B$12,MIN(AX87+$Q87*$V87,Assumptions!$B$14)*Assumptions!$B$13),0)</f>
        <v>0</v>
      </c>
      <c r="BB87" s="249">
        <f>IF(AND(AX87&gt;0,$M87="Non-Saudi"),Assumptions!$B$25,0)</f>
        <v>910.41666666666663</v>
      </c>
      <c r="BC87" s="249">
        <f t="shared" si="39"/>
        <v>2000</v>
      </c>
      <c r="BD87" s="249">
        <f t="shared" si="40"/>
        <v>2750</v>
      </c>
      <c r="BE87" s="249">
        <f>IF(AND(BD87&gt;0,$N87&lt;&gt;""),IF((DATE(Assumptions!$B$4,7,28)-$N87)/365.25&lt;=Assumptions!$B$20,(DATE(Assumptions!$B$4,7,28)-$N87)/365.25*Assumptions!$B$18*BD87,(Assumptions!$B$20*Assumptions!$B$18+((DATE(Assumptions!$B$4,7,28)-$N87)/365.25-Assumptions!$B$20)*Assumptions!$B$19)*BD87),0)</f>
        <v>1242.2997946611908</v>
      </c>
      <c r="BF87" s="249">
        <f>IF(BC87&gt;0,IF($M87="Saudi",MIN(BC87+$Q87*$V87,Assumptions!$B$14)*Assumptions!$B$12,MIN(BC87+$Q87*$V87,Assumptions!$B$14)*Assumptions!$B$13),0)</f>
        <v>0</v>
      </c>
      <c r="BG87" s="249">
        <f>IF(AND(BC87&gt;0,$M87="Non-Saudi"),Assumptions!$B$25,0)</f>
        <v>910.41666666666663</v>
      </c>
      <c r="BH87" s="249">
        <f t="shared" si="41"/>
        <v>2000</v>
      </c>
      <c r="BI87" s="249">
        <f t="shared" si="42"/>
        <v>2750</v>
      </c>
      <c r="BJ87" s="249">
        <f>IF(AND(BI87&gt;0,$N87&lt;&gt;""),IF((DATE(Assumptions!$B$4,8,28)-$N87)/365.25&lt;=Assumptions!$B$20,(DATE(Assumptions!$B$4,8,28)-$N87)/365.25*Assumptions!$B$18*BI87,(Assumptions!$B$20*Assumptions!$B$18+((DATE(Assumptions!$B$4,8,28)-$N87)/365.25-Assumptions!$B$20)*Assumptions!$B$19)*BI87),0)</f>
        <v>1359.0006844626969</v>
      </c>
      <c r="BK87" s="249">
        <f>IF(BH87&gt;0,IF($M87="Saudi",MIN(BH87+$Q87*$V87,Assumptions!$B$14)*Assumptions!$B$12,MIN(BH87+$Q87*$V87,Assumptions!$B$14)*Assumptions!$B$13),0)</f>
        <v>0</v>
      </c>
      <c r="BL87" s="249">
        <f>IF(AND(BH87&gt;0,$M87="Non-Saudi"),Assumptions!$B$25,0)</f>
        <v>910.41666666666663</v>
      </c>
      <c r="BM87" s="249">
        <f>IF(AND($D87="Contrat Local",$N87&lt;&gt;""),IF(AND(9&gt;=Assumptions!$B$5,ISNUMBER($X87),$N87&lt;EDATE(Assumptions!$B$9,-Assumptions!$B$6*12)),($P87+$X87)*$V87,$P87*$V87),0)</f>
        <v>2000</v>
      </c>
      <c r="BN87" s="249">
        <f t="shared" si="43"/>
        <v>2750</v>
      </c>
      <c r="BO87" s="249">
        <f>IF(AND(BN87&gt;0,$N87&lt;&gt;""),IF((DATE(Assumptions!$B$4,9,28)-$N87)/365.25&lt;=Assumptions!$B$20,(DATE(Assumptions!$B$4,9,28)-$N87)/365.25*Assumptions!$B$18*BN87,(Assumptions!$B$20*Assumptions!$B$18+((DATE(Assumptions!$B$4,9,28)-$N87)/365.25-Assumptions!$B$20)*Assumptions!$B$19)*BN87),0)</f>
        <v>1475.7015742642027</v>
      </c>
      <c r="BP87" s="249">
        <f>IF(BM87&gt;0,IF($M87="Saudi",MIN(BM87+$Q87*$V87,Assumptions!$B$14)*Assumptions!$B$12,MIN(BM87+$Q87*$V87,Assumptions!$B$14)*Assumptions!$B$13),0)</f>
        <v>0</v>
      </c>
      <c r="BQ87" s="249">
        <f>IF(AND(BM87&gt;0,$M87="Non-Saudi"),Assumptions!$B$25,0)</f>
        <v>910.41666666666663</v>
      </c>
      <c r="BR87" s="249">
        <f>IF(AND($D87="Contrat Local",$N87&lt;&gt;""),IF(AND(10&gt;=Assumptions!$B$5,ISNUMBER($X87),$N87&lt;EDATE(Assumptions!$B$9,-Assumptions!$B$6*12)),($P87+$X87)*$V87,$P87*$V87),0)</f>
        <v>2000</v>
      </c>
      <c r="BS87" s="249">
        <f t="shared" si="44"/>
        <v>2750</v>
      </c>
      <c r="BT87" s="249">
        <f>IF(AND(BS87&gt;0,$N87&lt;&gt;""),IF((DATE(Assumptions!$B$4,10,28)-$N87)/365.25&lt;=Assumptions!$B$20,(DATE(Assumptions!$B$4,10,28)-$N87)/365.25*Assumptions!$B$18*BS87,(Assumptions!$B$20*Assumptions!$B$18+((DATE(Assumptions!$B$4,10,28)-$N87)/365.25-Assumptions!$B$20)*Assumptions!$B$19)*BS87),0)</f>
        <v>1588.6379192334018</v>
      </c>
      <c r="BU87" s="249">
        <f>IF(BR87&gt;0,IF($M87="Saudi",MIN(BR87+$Q87*$V87,Assumptions!$B$14)*Assumptions!$B$12,MIN(BR87+$Q87*$V87,Assumptions!$B$14)*Assumptions!$B$13),0)</f>
        <v>0</v>
      </c>
      <c r="BV87" s="249">
        <f>IF(AND(BR87&gt;0,$M87="Non-Saudi"),Assumptions!$B$25,0)</f>
        <v>910.41666666666663</v>
      </c>
      <c r="BW87" s="249">
        <f>IF(AND($D87="Contrat Local",$N87&lt;&gt;""),IF(AND(11&gt;=Assumptions!$B$5,ISNUMBER($X87),$N87&lt;EDATE(Assumptions!$B$9,-Assumptions!$B$6*12)),($P87+$X87)*$V87,$P87*$V87),0)</f>
        <v>2000</v>
      </c>
      <c r="BX87" s="249">
        <f t="shared" si="45"/>
        <v>2750</v>
      </c>
      <c r="BY87" s="249">
        <f>IF(AND(BX87&gt;0,$N87&lt;&gt;""),IF((DATE(Assumptions!$B$4,11,28)-$N87)/365.25&lt;=Assumptions!$B$20,(DATE(Assumptions!$B$4,11,28)-$N87)/365.25*Assumptions!$B$18*BX87,(Assumptions!$B$20*Assumptions!$B$18+((DATE(Assumptions!$B$4,11,28)-$N87)/365.25-Assumptions!$B$20)*Assumptions!$B$19)*BX87),0)</f>
        <v>1705.3388090349076</v>
      </c>
      <c r="BZ87" s="249">
        <f>IF(BW87&gt;0,IF($M87="Saudi",MIN(BW87+$Q87*$V87,Assumptions!$B$14)*Assumptions!$B$12,MIN(BW87+$Q87*$V87,Assumptions!$B$14)*Assumptions!$B$13),0)</f>
        <v>0</v>
      </c>
      <c r="CA87" s="249">
        <f>IF(AND(BW87&gt;0,$M87="Non-Saudi"),Assumptions!$B$25,0)</f>
        <v>910.41666666666663</v>
      </c>
      <c r="CB87" s="249">
        <f>IF(AND($D87="Contrat Local",$N87&lt;&gt;""),IF(AND(12&gt;=Assumptions!$B$5,ISNUMBER($X87),$N87&lt;EDATE(Assumptions!$B$9,-Assumptions!$B$6*12)),($P87+$X87)*$V87,$P87*$V87),0)</f>
        <v>2000</v>
      </c>
      <c r="CC87" s="249">
        <f t="shared" si="46"/>
        <v>2750</v>
      </c>
      <c r="CD87" s="249">
        <f>IF(AND(CC87&gt;0,$N87&lt;&gt;""),IF((DATE(Assumptions!$B$4,12,28)-$N87)/365.25&lt;=Assumptions!$B$20,(DATE(Assumptions!$B$4,12,28)-$N87)/365.25*Assumptions!$B$18*CC87,(Assumptions!$B$20*Assumptions!$B$18+((DATE(Assumptions!$B$4,12,28)-$N87)/365.25-Assumptions!$B$20)*Assumptions!$B$19)*CC87),0)</f>
        <v>1818.2751540041068</v>
      </c>
      <c r="CE87" s="249">
        <f>IF(CB87&gt;0,IF($M87="Saudi",MIN(CB87+$Q87*$V87,Assumptions!$B$14)*Assumptions!$B$12,MIN(CB87+$Q87*$V87,Assumptions!$B$14)*Assumptions!$B$13),0)</f>
        <v>0</v>
      </c>
      <c r="CF87" s="249">
        <f>IF(AND(CB87&gt;0,$M87="Non-Saudi"),Assumptions!$B$25,0)</f>
        <v>910.41666666666663</v>
      </c>
      <c r="CG87" s="249">
        <f t="shared" si="47"/>
        <v>24000</v>
      </c>
      <c r="CH87" s="249">
        <f t="shared" si="48"/>
        <v>33000</v>
      </c>
      <c r="CI87" s="249">
        <f>CD87-IF(AND(Z87&gt;0,$N87&lt;&gt;""),IF((DATE(Assumptions!$B$4-1,12,28)-$N87)/365.25&lt;=Assumptions!$B$20,(DATE(Assumptions!$B$4-1,12,28)-$N87)/365.25*Assumptions!$B$18*Z87,(Assumptions!$B$20*Assumptions!$B$18+((DATE(Assumptions!$B$4-1,12,28)-$N87)/365.25-Assumptions!$B$20)*Assumptions!$B$19)*Z87),0)</f>
        <v>1374.0588637919234</v>
      </c>
      <c r="CJ87" s="249">
        <f t="shared" si="49"/>
        <v>0</v>
      </c>
      <c r="CK87" s="249">
        <f t="shared" si="50"/>
        <v>10924.999999999998</v>
      </c>
    </row>
    <row r="88" spans="1:89" x14ac:dyDescent="0.2">
      <c r="A88" s="264">
        <v>87</v>
      </c>
      <c r="B88" s="265" t="s">
        <v>474</v>
      </c>
      <c r="C88" s="265" t="s">
        <v>475</v>
      </c>
      <c r="D88" s="265" t="s">
        <v>250</v>
      </c>
      <c r="E88" s="265" t="s">
        <v>767</v>
      </c>
      <c r="F88" s="265" t="s">
        <v>264</v>
      </c>
      <c r="G88" s="265" t="s">
        <v>8</v>
      </c>
      <c r="H88" s="265" t="s">
        <v>265</v>
      </c>
      <c r="I88" s="284" t="s">
        <v>691</v>
      </c>
      <c r="J88" s="265" t="s">
        <v>58</v>
      </c>
      <c r="K88" s="265" t="s">
        <v>8</v>
      </c>
      <c r="L88" s="265" t="s">
        <v>255</v>
      </c>
      <c r="M88" s="265" t="str">
        <f t="shared" si="26"/>
        <v>Non-Saudi</v>
      </c>
      <c r="N88" s="266">
        <v>44805</v>
      </c>
      <c r="O88" s="267">
        <v>4.3</v>
      </c>
      <c r="P88" s="268">
        <v>9250</v>
      </c>
      <c r="Q88" s="268">
        <v>2500</v>
      </c>
      <c r="R88" s="268">
        <v>500</v>
      </c>
      <c r="S88" s="268"/>
      <c r="T88" s="268"/>
      <c r="U88" s="268">
        <v>12250</v>
      </c>
      <c r="V88" s="269">
        <v>1</v>
      </c>
      <c r="W88" s="265" t="s">
        <v>256</v>
      </c>
      <c r="X88" s="265">
        <v>250</v>
      </c>
      <c r="Y88" s="249">
        <f t="shared" si="27"/>
        <v>9250</v>
      </c>
      <c r="Z88" s="249">
        <f t="shared" si="28"/>
        <v>12250</v>
      </c>
      <c r="AA88" s="249">
        <f>IF(AND(Z88&gt;0,$N88&lt;&gt;""),IF((DATE(Assumptions!$B$4,1,28)-$N88)/365.25&lt;=Assumptions!$B$20,(DATE(Assumptions!$B$4,1,28)-$N88)/365.25*Assumptions!$B$18*Z88,(Assumptions!$B$20*Assumptions!$B$18+((DATE(Assumptions!$B$4,1,28)-$N88)/365.25-Assumptions!$B$20)*Assumptions!$B$19)*Z88),0)</f>
        <v>20877.82340862423</v>
      </c>
      <c r="AB88" s="249">
        <f>IF(Y88&gt;0,IF($M88="Saudi",MIN(Y88+$Q88*$V88,Assumptions!$B$14)*Assumptions!$B$12,MIN(Y88+$Q88*$V88,Assumptions!$B$14)*Assumptions!$B$13),0)</f>
        <v>0</v>
      </c>
      <c r="AC88" s="249">
        <f>IF(AND(Y88&gt;0,$M88="Non-Saudi"),Assumptions!$B$25,0)</f>
        <v>910.41666666666663</v>
      </c>
      <c r="AD88" s="249">
        <f t="shared" si="29"/>
        <v>9250</v>
      </c>
      <c r="AE88" s="249">
        <f t="shared" si="30"/>
        <v>12250</v>
      </c>
      <c r="AF88" s="249">
        <f>IF(AND(AE88&gt;0,$N88&lt;&gt;""),IF((DATE(Assumptions!$B$4,2,28)-$N88)/365.25&lt;=Assumptions!$B$20,(DATE(Assumptions!$B$4,2,28)-$N88)/365.25*Assumptions!$B$18*AE88,(Assumptions!$B$20*Assumptions!$B$18+((DATE(Assumptions!$B$4,2,28)-$N88)/365.25-Assumptions!$B$20)*Assumptions!$B$19)*AE88),0)</f>
        <v>21397.672826830938</v>
      </c>
      <c r="AG88" s="249">
        <f>IF(AD88&gt;0,IF($M88="Saudi",MIN(AD88+$Q88*$V88,Assumptions!$B$14)*Assumptions!$B$12,MIN(AD88+$Q88*$V88,Assumptions!$B$14)*Assumptions!$B$13),0)</f>
        <v>0</v>
      </c>
      <c r="AH88" s="249">
        <f>IF(AND(AD88&gt;0,$M88="Non-Saudi"),Assumptions!$B$25,0)</f>
        <v>910.41666666666663</v>
      </c>
      <c r="AI88" s="249">
        <f t="shared" si="31"/>
        <v>9250</v>
      </c>
      <c r="AJ88" s="249">
        <f t="shared" si="32"/>
        <v>12250</v>
      </c>
      <c r="AK88" s="249">
        <f>IF(AND(AJ88&gt;0,$N88&lt;&gt;""),IF((DATE(Assumptions!$B$4,3,28)-$N88)/365.25&lt;=Assumptions!$B$20,(DATE(Assumptions!$B$4,3,28)-$N88)/365.25*Assumptions!$B$18*AJ88,(Assumptions!$B$20*Assumptions!$B$18+((DATE(Assumptions!$B$4,3,28)-$N88)/365.25-Assumptions!$B$20)*Assumptions!$B$19)*AJ88),0)</f>
        <v>21867.214236824093</v>
      </c>
      <c r="AL88" s="249">
        <f>IF(AI88&gt;0,IF($M88="Saudi",MIN(AI88+$Q88*$V88,Assumptions!$B$14)*Assumptions!$B$12,MIN(AI88+$Q88*$V88,Assumptions!$B$14)*Assumptions!$B$13),0)</f>
        <v>0</v>
      </c>
      <c r="AM88" s="249">
        <f>IF(AND(AI88&gt;0,$M88="Non-Saudi"),Assumptions!$B$25,0)</f>
        <v>910.41666666666663</v>
      </c>
      <c r="AN88" s="249">
        <f t="shared" si="33"/>
        <v>9250</v>
      </c>
      <c r="AO88" s="249">
        <f t="shared" si="34"/>
        <v>12250</v>
      </c>
      <c r="AP88" s="249">
        <f>IF(AND(AO88&gt;0,$N88&lt;&gt;""),IF((DATE(Assumptions!$B$4,4,28)-$N88)/365.25&lt;=Assumptions!$B$20,(DATE(Assumptions!$B$4,4,28)-$N88)/365.25*Assumptions!$B$18*AO88,(Assumptions!$B$20*Assumptions!$B$18+((DATE(Assumptions!$B$4,4,28)-$N88)/365.25-Assumptions!$B$20)*Assumptions!$B$19)*AO88),0)</f>
        <v>22387.063655030801</v>
      </c>
      <c r="AQ88" s="249">
        <f>IF(AN88&gt;0,IF($M88="Saudi",MIN(AN88+$Q88*$V88,Assumptions!$B$14)*Assumptions!$B$12,MIN(AN88+$Q88*$V88,Assumptions!$B$14)*Assumptions!$B$13),0)</f>
        <v>0</v>
      </c>
      <c r="AR88" s="249">
        <f>IF(AND(AN88&gt;0,$M88="Non-Saudi"),Assumptions!$B$25,0)</f>
        <v>910.41666666666663</v>
      </c>
      <c r="AS88" s="249">
        <f t="shared" si="35"/>
        <v>9250</v>
      </c>
      <c r="AT88" s="249">
        <f t="shared" si="36"/>
        <v>12250</v>
      </c>
      <c r="AU88" s="249">
        <f>IF(AND(AT88&gt;0,$N88&lt;&gt;""),IF((DATE(Assumptions!$B$4,5,28)-$N88)/365.25&lt;=Assumptions!$B$20,(DATE(Assumptions!$B$4,5,28)-$N88)/365.25*Assumptions!$B$18*AT88,(Assumptions!$B$20*Assumptions!$B$18+((DATE(Assumptions!$B$4,5,28)-$N88)/365.25-Assumptions!$B$20)*Assumptions!$B$19)*AT88),0)</f>
        <v>22890.143737166323</v>
      </c>
      <c r="AV88" s="249">
        <f>IF(AS88&gt;0,IF($M88="Saudi",MIN(AS88+$Q88*$V88,Assumptions!$B$14)*Assumptions!$B$12,MIN(AS88+$Q88*$V88,Assumptions!$B$14)*Assumptions!$B$13),0)</f>
        <v>0</v>
      </c>
      <c r="AW88" s="249">
        <f>IF(AND(AS88&gt;0,$M88="Non-Saudi"),Assumptions!$B$25,0)</f>
        <v>910.41666666666663</v>
      </c>
      <c r="AX88" s="249">
        <f t="shared" si="37"/>
        <v>9250</v>
      </c>
      <c r="AY88" s="249">
        <f t="shared" si="38"/>
        <v>12250</v>
      </c>
      <c r="AZ88" s="249">
        <f>IF(AND(AY88&gt;0,$N88&lt;&gt;""),IF((DATE(Assumptions!$B$4,6,28)-$N88)/365.25&lt;=Assumptions!$B$20,(DATE(Assumptions!$B$4,6,28)-$N88)/365.25*Assumptions!$B$18*AY88,(Assumptions!$B$20*Assumptions!$B$18+((DATE(Assumptions!$B$4,6,28)-$N88)/365.25-Assumptions!$B$20)*Assumptions!$B$19)*AY88),0)</f>
        <v>23409.993155373031</v>
      </c>
      <c r="BA88" s="249">
        <f>IF(AX88&gt;0,IF($M88="Saudi",MIN(AX88+$Q88*$V88,Assumptions!$B$14)*Assumptions!$B$12,MIN(AX88+$Q88*$V88,Assumptions!$B$14)*Assumptions!$B$13),0)</f>
        <v>0</v>
      </c>
      <c r="BB88" s="249">
        <f>IF(AND(AX88&gt;0,$M88="Non-Saudi"),Assumptions!$B$25,0)</f>
        <v>910.41666666666663</v>
      </c>
      <c r="BC88" s="249">
        <f t="shared" si="39"/>
        <v>9250</v>
      </c>
      <c r="BD88" s="249">
        <f t="shared" si="40"/>
        <v>12250</v>
      </c>
      <c r="BE88" s="249">
        <f>IF(AND(BD88&gt;0,$N88&lt;&gt;""),IF((DATE(Assumptions!$B$4,7,28)-$N88)/365.25&lt;=Assumptions!$B$20,(DATE(Assumptions!$B$4,7,28)-$N88)/365.25*Assumptions!$B$18*BD88,(Assumptions!$B$20*Assumptions!$B$18+((DATE(Assumptions!$B$4,7,28)-$N88)/365.25-Assumptions!$B$20)*Assumptions!$B$19)*BD88),0)</f>
        <v>23913.073237508554</v>
      </c>
      <c r="BF88" s="249">
        <f>IF(BC88&gt;0,IF($M88="Saudi",MIN(BC88+$Q88*$V88,Assumptions!$B$14)*Assumptions!$B$12,MIN(BC88+$Q88*$V88,Assumptions!$B$14)*Assumptions!$B$13),0)</f>
        <v>0</v>
      </c>
      <c r="BG88" s="249">
        <f>IF(AND(BC88&gt;0,$M88="Non-Saudi"),Assumptions!$B$25,0)</f>
        <v>910.41666666666663</v>
      </c>
      <c r="BH88" s="249">
        <f t="shared" si="41"/>
        <v>9250</v>
      </c>
      <c r="BI88" s="249">
        <f t="shared" si="42"/>
        <v>12250</v>
      </c>
      <c r="BJ88" s="249">
        <f>IF(AND(BI88&gt;0,$N88&lt;&gt;""),IF((DATE(Assumptions!$B$4,8,28)-$N88)/365.25&lt;=Assumptions!$B$20,(DATE(Assumptions!$B$4,8,28)-$N88)/365.25*Assumptions!$B$18*BI88,(Assumptions!$B$20*Assumptions!$B$18+((DATE(Assumptions!$B$4,8,28)-$N88)/365.25-Assumptions!$B$20)*Assumptions!$B$19)*BI88),0)</f>
        <v>24432.922655715265</v>
      </c>
      <c r="BK88" s="249">
        <f>IF(BH88&gt;0,IF($M88="Saudi",MIN(BH88+$Q88*$V88,Assumptions!$B$14)*Assumptions!$B$12,MIN(BH88+$Q88*$V88,Assumptions!$B$14)*Assumptions!$B$13),0)</f>
        <v>0</v>
      </c>
      <c r="BL88" s="249">
        <f>IF(AND(BH88&gt;0,$M88="Non-Saudi"),Assumptions!$B$25,0)</f>
        <v>910.41666666666663</v>
      </c>
      <c r="BM88" s="249">
        <f>IF(AND($D88="Contrat Local",$N88&lt;&gt;""),IF(AND(9&gt;=Assumptions!$B$5,ISNUMBER($X88),$N88&lt;EDATE(Assumptions!$B$9,-Assumptions!$B$6*12)),($P88+$X88)*$V88,$P88*$V88),0)</f>
        <v>9500</v>
      </c>
      <c r="BN88" s="249">
        <f t="shared" si="43"/>
        <v>12500</v>
      </c>
      <c r="BO88" s="249">
        <f>IF(AND(BN88&gt;0,$N88&lt;&gt;""),IF((DATE(Assumptions!$B$4,9,28)-$N88)/365.25&lt;=Assumptions!$B$20,(DATE(Assumptions!$B$4,9,28)-$N88)/365.25*Assumptions!$B$18*BN88,(Assumptions!$B$20*Assumptions!$B$18+((DATE(Assumptions!$B$4,9,28)-$N88)/365.25-Assumptions!$B$20)*Assumptions!$B$19)*BN88),0)</f>
        <v>25462.01232032854</v>
      </c>
      <c r="BP88" s="249">
        <f>IF(BM88&gt;0,IF($M88="Saudi",MIN(BM88+$Q88*$V88,Assumptions!$B$14)*Assumptions!$B$12,MIN(BM88+$Q88*$V88,Assumptions!$B$14)*Assumptions!$B$13),0)</f>
        <v>0</v>
      </c>
      <c r="BQ88" s="249">
        <f>IF(AND(BM88&gt;0,$M88="Non-Saudi"),Assumptions!$B$25,0)</f>
        <v>910.41666666666663</v>
      </c>
      <c r="BR88" s="249">
        <f>IF(AND($D88="Contrat Local",$N88&lt;&gt;""),IF(AND(10&gt;=Assumptions!$B$5,ISNUMBER($X88),$N88&lt;EDATE(Assumptions!$B$9,-Assumptions!$B$6*12)),($P88+$X88)*$V88,$P88*$V88),0)</f>
        <v>9500</v>
      </c>
      <c r="BS88" s="249">
        <f t="shared" si="44"/>
        <v>12500</v>
      </c>
      <c r="BT88" s="249">
        <f>IF(AND(BS88&gt;0,$N88&lt;&gt;""),IF((DATE(Assumptions!$B$4,10,28)-$N88)/365.25&lt;=Assumptions!$B$20,(DATE(Assumptions!$B$4,10,28)-$N88)/365.25*Assumptions!$B$18*BS88,(Assumptions!$B$20*Assumptions!$B$18+((DATE(Assumptions!$B$4,10,28)-$N88)/365.25-Assumptions!$B$20)*Assumptions!$B$19)*BS88),0)</f>
        <v>25975.35934291581</v>
      </c>
      <c r="BU88" s="249">
        <f>IF(BR88&gt;0,IF($M88="Saudi",MIN(BR88+$Q88*$V88,Assumptions!$B$14)*Assumptions!$B$12,MIN(BR88+$Q88*$V88,Assumptions!$B$14)*Assumptions!$B$13),0)</f>
        <v>0</v>
      </c>
      <c r="BV88" s="249">
        <f>IF(AND(BR88&gt;0,$M88="Non-Saudi"),Assumptions!$B$25,0)</f>
        <v>910.41666666666663</v>
      </c>
      <c r="BW88" s="249">
        <f>IF(AND($D88="Contrat Local",$N88&lt;&gt;""),IF(AND(11&gt;=Assumptions!$B$5,ISNUMBER($X88),$N88&lt;EDATE(Assumptions!$B$9,-Assumptions!$B$6*12)),($P88+$X88)*$V88,$P88*$V88),0)</f>
        <v>9500</v>
      </c>
      <c r="BX88" s="249">
        <f t="shared" si="45"/>
        <v>12500</v>
      </c>
      <c r="BY88" s="249">
        <f>IF(AND(BX88&gt;0,$N88&lt;&gt;""),IF((DATE(Assumptions!$B$4,11,28)-$N88)/365.25&lt;=Assumptions!$B$20,(DATE(Assumptions!$B$4,11,28)-$N88)/365.25*Assumptions!$B$18*BX88,(Assumptions!$B$20*Assumptions!$B$18+((DATE(Assumptions!$B$4,11,28)-$N88)/365.25-Assumptions!$B$20)*Assumptions!$B$19)*BX88),0)</f>
        <v>26505.817932922655</v>
      </c>
      <c r="BZ88" s="249">
        <f>IF(BW88&gt;0,IF($M88="Saudi",MIN(BW88+$Q88*$V88,Assumptions!$B$14)*Assumptions!$B$12,MIN(BW88+$Q88*$V88,Assumptions!$B$14)*Assumptions!$B$13),0)</f>
        <v>0</v>
      </c>
      <c r="CA88" s="249">
        <f>IF(AND(BW88&gt;0,$M88="Non-Saudi"),Assumptions!$B$25,0)</f>
        <v>910.41666666666663</v>
      </c>
      <c r="CB88" s="249">
        <f>IF(AND($D88="Contrat Local",$N88&lt;&gt;""),IF(AND(12&gt;=Assumptions!$B$5,ISNUMBER($X88),$N88&lt;EDATE(Assumptions!$B$9,-Assumptions!$B$6*12)),($P88+$X88)*$V88,$P88*$V88),0)</f>
        <v>9500</v>
      </c>
      <c r="CC88" s="249">
        <f t="shared" si="46"/>
        <v>12500</v>
      </c>
      <c r="CD88" s="249">
        <f>IF(AND(CC88&gt;0,$N88&lt;&gt;""),IF((DATE(Assumptions!$B$4,12,28)-$N88)/365.25&lt;=Assumptions!$B$20,(DATE(Assumptions!$B$4,12,28)-$N88)/365.25*Assumptions!$B$18*CC88,(Assumptions!$B$20*Assumptions!$B$18+((DATE(Assumptions!$B$4,12,28)-$N88)/365.25-Assumptions!$B$20)*Assumptions!$B$19)*CC88),0)</f>
        <v>27019.164955509921</v>
      </c>
      <c r="CE88" s="249">
        <f>IF(CB88&gt;0,IF($M88="Saudi",MIN(CB88+$Q88*$V88,Assumptions!$B$14)*Assumptions!$B$12,MIN(CB88+$Q88*$V88,Assumptions!$B$14)*Assumptions!$B$13),0)</f>
        <v>0</v>
      </c>
      <c r="CF88" s="249">
        <f>IF(AND(CB88&gt;0,$M88="Non-Saudi"),Assumptions!$B$25,0)</f>
        <v>910.41666666666663</v>
      </c>
      <c r="CG88" s="249">
        <f t="shared" si="47"/>
        <v>112000</v>
      </c>
      <c r="CH88" s="249">
        <f t="shared" si="48"/>
        <v>148000</v>
      </c>
      <c r="CI88" s="249">
        <f>CD88-IF(AND(Z88&gt;0,$N88&lt;&gt;""),IF((DATE(Assumptions!$B$4-1,12,28)-$N88)/365.25&lt;=Assumptions!$B$20,(DATE(Assumptions!$B$4-1,12,28)-$N88)/365.25*Assumptions!$B$18*Z88,(Assumptions!$B$20*Assumptions!$B$18+((DATE(Assumptions!$B$4-1,12,28)-$N88)/365.25-Assumptions!$B$20)*Assumptions!$B$19)*Z88),0)</f>
        <v>6661.190965092399</v>
      </c>
      <c r="CJ88" s="249">
        <f t="shared" si="49"/>
        <v>0</v>
      </c>
      <c r="CK88" s="249">
        <f t="shared" si="50"/>
        <v>10924.999999999998</v>
      </c>
    </row>
    <row r="89" spans="1:89" x14ac:dyDescent="0.2">
      <c r="A89" s="264">
        <v>88</v>
      </c>
      <c r="B89" s="265" t="s">
        <v>476</v>
      </c>
      <c r="C89" s="265" t="s">
        <v>477</v>
      </c>
      <c r="D89" s="265" t="s">
        <v>250</v>
      </c>
      <c r="E89" s="265" t="s">
        <v>767</v>
      </c>
      <c r="F89" s="265" t="s">
        <v>264</v>
      </c>
      <c r="G89" s="265" t="s">
        <v>8</v>
      </c>
      <c r="H89" s="265" t="s">
        <v>265</v>
      </c>
      <c r="I89" s="284" t="s">
        <v>691</v>
      </c>
      <c r="J89" s="265" t="s">
        <v>58</v>
      </c>
      <c r="K89" s="265" t="s">
        <v>8</v>
      </c>
      <c r="L89" s="265" t="s">
        <v>255</v>
      </c>
      <c r="M89" s="265" t="str">
        <f t="shared" si="26"/>
        <v>Non-Saudi</v>
      </c>
      <c r="N89" s="266">
        <v>41883</v>
      </c>
      <c r="O89" s="267">
        <v>12.3</v>
      </c>
      <c r="P89" s="268">
        <v>11500</v>
      </c>
      <c r="Q89" s="268">
        <v>2500</v>
      </c>
      <c r="R89" s="268">
        <v>500</v>
      </c>
      <c r="S89" s="268"/>
      <c r="T89" s="268"/>
      <c r="U89" s="268">
        <v>14500</v>
      </c>
      <c r="V89" s="269">
        <v>1</v>
      </c>
      <c r="W89" s="265" t="s">
        <v>259</v>
      </c>
      <c r="X89" s="265">
        <v>250</v>
      </c>
      <c r="Y89" s="249">
        <f t="shared" si="27"/>
        <v>11500</v>
      </c>
      <c r="Z89" s="249">
        <f t="shared" si="28"/>
        <v>14500</v>
      </c>
      <c r="AA89" s="249">
        <f>IF(AND(Z89&gt;0,$N89&lt;&gt;""),IF((DATE(Assumptions!$B$4,1,28)-$N89)/365.25&lt;=Assumptions!$B$20,(DATE(Assumptions!$B$4,1,28)-$N89)/365.25*Assumptions!$B$18*Z89,(Assumptions!$B$20*Assumptions!$B$18+((DATE(Assumptions!$B$4,1,28)-$N89)/365.25-Assumptions!$B$20)*Assumptions!$B$19)*Z89),0)</f>
        <v>129175.05133470226</v>
      </c>
      <c r="AB89" s="249">
        <f>IF(Y89&gt;0,IF($M89="Saudi",MIN(Y89+$Q89*$V89,Assumptions!$B$14)*Assumptions!$B$12,MIN(Y89+$Q89*$V89,Assumptions!$B$14)*Assumptions!$B$13),0)</f>
        <v>0</v>
      </c>
      <c r="AC89" s="249">
        <f>IF(AND(Y89&gt;0,$M89="Non-Saudi"),Assumptions!$B$25,0)</f>
        <v>910.41666666666663</v>
      </c>
      <c r="AD89" s="249">
        <f t="shared" si="29"/>
        <v>11500</v>
      </c>
      <c r="AE89" s="249">
        <f t="shared" si="30"/>
        <v>14500</v>
      </c>
      <c r="AF89" s="249">
        <f>IF(AND(AE89&gt;0,$N89&lt;&gt;""),IF((DATE(Assumptions!$B$4,2,28)-$N89)/365.25&lt;=Assumptions!$B$20,(DATE(Assumptions!$B$4,2,28)-$N89)/365.25*Assumptions!$B$18*AE89,(Assumptions!$B$20*Assumptions!$B$18+((DATE(Assumptions!$B$4,2,28)-$N89)/365.25-Assumptions!$B$20)*Assumptions!$B$19)*AE89),0)</f>
        <v>130405.71526351814</v>
      </c>
      <c r="AG89" s="249">
        <f>IF(AD89&gt;0,IF($M89="Saudi",MIN(AD89+$Q89*$V89,Assumptions!$B$14)*Assumptions!$B$12,MIN(AD89+$Q89*$V89,Assumptions!$B$14)*Assumptions!$B$13),0)</f>
        <v>0</v>
      </c>
      <c r="AH89" s="249">
        <f>IF(AND(AD89&gt;0,$M89="Non-Saudi"),Assumptions!$B$25,0)</f>
        <v>910.41666666666663</v>
      </c>
      <c r="AI89" s="249">
        <f t="shared" si="31"/>
        <v>11500</v>
      </c>
      <c r="AJ89" s="249">
        <f t="shared" si="32"/>
        <v>14500</v>
      </c>
      <c r="AK89" s="249">
        <f>IF(AND(AJ89&gt;0,$N89&lt;&gt;""),IF((DATE(Assumptions!$B$4,3,28)-$N89)/365.25&lt;=Assumptions!$B$20,(DATE(Assumptions!$B$4,3,28)-$N89)/365.25*Assumptions!$B$18*AJ89,(Assumptions!$B$20*Assumptions!$B$18+((DATE(Assumptions!$B$4,3,28)-$N89)/365.25-Assumptions!$B$20)*Assumptions!$B$19)*AJ89),0)</f>
        <v>131517.28268309377</v>
      </c>
      <c r="AL89" s="249">
        <f>IF(AI89&gt;0,IF($M89="Saudi",MIN(AI89+$Q89*$V89,Assumptions!$B$14)*Assumptions!$B$12,MIN(AI89+$Q89*$V89,Assumptions!$B$14)*Assumptions!$B$13),0)</f>
        <v>0</v>
      </c>
      <c r="AM89" s="249">
        <f>IF(AND(AI89&gt;0,$M89="Non-Saudi"),Assumptions!$B$25,0)</f>
        <v>910.41666666666663</v>
      </c>
      <c r="AN89" s="249">
        <f t="shared" si="33"/>
        <v>11500</v>
      </c>
      <c r="AO89" s="249">
        <f t="shared" si="34"/>
        <v>14500</v>
      </c>
      <c r="AP89" s="249">
        <f>IF(AND(AO89&gt;0,$N89&lt;&gt;""),IF((DATE(Assumptions!$B$4,4,28)-$N89)/365.25&lt;=Assumptions!$B$20,(DATE(Assumptions!$B$4,4,28)-$N89)/365.25*Assumptions!$B$18*AO89,(Assumptions!$B$20*Assumptions!$B$18+((DATE(Assumptions!$B$4,4,28)-$N89)/365.25-Assumptions!$B$20)*Assumptions!$B$19)*AO89),0)</f>
        <v>132747.94661190966</v>
      </c>
      <c r="AQ89" s="249">
        <f>IF(AN89&gt;0,IF($M89="Saudi",MIN(AN89+$Q89*$V89,Assumptions!$B$14)*Assumptions!$B$12,MIN(AN89+$Q89*$V89,Assumptions!$B$14)*Assumptions!$B$13),0)</f>
        <v>0</v>
      </c>
      <c r="AR89" s="249">
        <f>IF(AND(AN89&gt;0,$M89="Non-Saudi"),Assumptions!$B$25,0)</f>
        <v>910.41666666666663</v>
      </c>
      <c r="AS89" s="249">
        <f t="shared" si="35"/>
        <v>11500</v>
      </c>
      <c r="AT89" s="249">
        <f t="shared" si="36"/>
        <v>14500</v>
      </c>
      <c r="AU89" s="249">
        <f>IF(AND(AT89&gt;0,$N89&lt;&gt;""),IF((DATE(Assumptions!$B$4,5,28)-$N89)/365.25&lt;=Assumptions!$B$20,(DATE(Assumptions!$B$4,5,28)-$N89)/365.25*Assumptions!$B$18*AT89,(Assumptions!$B$20*Assumptions!$B$18+((DATE(Assumptions!$B$4,5,28)-$N89)/365.25-Assumptions!$B$20)*Assumptions!$B$19)*AT89),0)</f>
        <v>133938.91170431211</v>
      </c>
      <c r="AV89" s="249">
        <f>IF(AS89&gt;0,IF($M89="Saudi",MIN(AS89+$Q89*$V89,Assumptions!$B$14)*Assumptions!$B$12,MIN(AS89+$Q89*$V89,Assumptions!$B$14)*Assumptions!$B$13),0)</f>
        <v>0</v>
      </c>
      <c r="AW89" s="249">
        <f>IF(AND(AS89&gt;0,$M89="Non-Saudi"),Assumptions!$B$25,0)</f>
        <v>910.41666666666663</v>
      </c>
      <c r="AX89" s="249">
        <f t="shared" si="37"/>
        <v>11500</v>
      </c>
      <c r="AY89" s="249">
        <f t="shared" si="38"/>
        <v>14500</v>
      </c>
      <c r="AZ89" s="249">
        <f>IF(AND(AY89&gt;0,$N89&lt;&gt;""),IF((DATE(Assumptions!$B$4,6,28)-$N89)/365.25&lt;=Assumptions!$B$20,(DATE(Assumptions!$B$4,6,28)-$N89)/365.25*Assumptions!$B$18*AY89,(Assumptions!$B$20*Assumptions!$B$18+((DATE(Assumptions!$B$4,6,28)-$N89)/365.25-Assumptions!$B$20)*Assumptions!$B$19)*AY89),0)</f>
        <v>135169.575633128</v>
      </c>
      <c r="BA89" s="249">
        <f>IF(AX89&gt;0,IF($M89="Saudi",MIN(AX89+$Q89*$V89,Assumptions!$B$14)*Assumptions!$B$12,MIN(AX89+$Q89*$V89,Assumptions!$B$14)*Assumptions!$B$13),0)</f>
        <v>0</v>
      </c>
      <c r="BB89" s="249">
        <f>IF(AND(AX89&gt;0,$M89="Non-Saudi"),Assumptions!$B$25,0)</f>
        <v>910.41666666666663</v>
      </c>
      <c r="BC89" s="249">
        <f t="shared" si="39"/>
        <v>11500</v>
      </c>
      <c r="BD89" s="249">
        <f t="shared" si="40"/>
        <v>14500</v>
      </c>
      <c r="BE89" s="249">
        <f>IF(AND(BD89&gt;0,$N89&lt;&gt;""),IF((DATE(Assumptions!$B$4,7,28)-$N89)/365.25&lt;=Assumptions!$B$20,(DATE(Assumptions!$B$4,7,28)-$N89)/365.25*Assumptions!$B$18*BD89,(Assumptions!$B$20*Assumptions!$B$18+((DATE(Assumptions!$B$4,7,28)-$N89)/365.25-Assumptions!$B$20)*Assumptions!$B$19)*BD89),0)</f>
        <v>136360.54072553047</v>
      </c>
      <c r="BF89" s="249">
        <f>IF(BC89&gt;0,IF($M89="Saudi",MIN(BC89+$Q89*$V89,Assumptions!$B$14)*Assumptions!$B$12,MIN(BC89+$Q89*$V89,Assumptions!$B$14)*Assumptions!$B$13),0)</f>
        <v>0</v>
      </c>
      <c r="BG89" s="249">
        <f>IF(AND(BC89&gt;0,$M89="Non-Saudi"),Assumptions!$B$25,0)</f>
        <v>910.41666666666663</v>
      </c>
      <c r="BH89" s="249">
        <f t="shared" si="41"/>
        <v>11500</v>
      </c>
      <c r="BI89" s="249">
        <f t="shared" si="42"/>
        <v>14500</v>
      </c>
      <c r="BJ89" s="249">
        <f>IF(AND(BI89&gt;0,$N89&lt;&gt;""),IF((DATE(Assumptions!$B$4,8,28)-$N89)/365.25&lt;=Assumptions!$B$20,(DATE(Assumptions!$B$4,8,28)-$N89)/365.25*Assumptions!$B$18*BI89,(Assumptions!$B$20*Assumptions!$B$18+((DATE(Assumptions!$B$4,8,28)-$N89)/365.25-Assumptions!$B$20)*Assumptions!$B$19)*BI89),0)</f>
        <v>137591.20465434634</v>
      </c>
      <c r="BK89" s="249">
        <f>IF(BH89&gt;0,IF($M89="Saudi",MIN(BH89+$Q89*$V89,Assumptions!$B$14)*Assumptions!$B$12,MIN(BH89+$Q89*$V89,Assumptions!$B$14)*Assumptions!$B$13),0)</f>
        <v>0</v>
      </c>
      <c r="BL89" s="249">
        <f>IF(AND(BH89&gt;0,$M89="Non-Saudi"),Assumptions!$B$25,0)</f>
        <v>910.41666666666663</v>
      </c>
      <c r="BM89" s="249">
        <f>IF(AND($D89="Contrat Local",$N89&lt;&gt;""),IF(AND(9&gt;=Assumptions!$B$5,ISNUMBER($X89),$N89&lt;EDATE(Assumptions!$B$9,-Assumptions!$B$6*12)),($P89+$X89)*$V89,$P89*$V89),0)</f>
        <v>11750</v>
      </c>
      <c r="BN89" s="249">
        <f t="shared" si="43"/>
        <v>14750</v>
      </c>
      <c r="BO89" s="249">
        <f>IF(AND(BN89&gt;0,$N89&lt;&gt;""),IF((DATE(Assumptions!$B$4,9,28)-$N89)/365.25&lt;=Assumptions!$B$20,(DATE(Assumptions!$B$4,9,28)-$N89)/365.25*Assumptions!$B$18*BN89,(Assumptions!$B$20*Assumptions!$B$18+((DATE(Assumptions!$B$4,9,28)-$N89)/365.25-Assumptions!$B$20)*Assumptions!$B$19)*BN89),0)</f>
        <v>141215.34907597536</v>
      </c>
      <c r="BP89" s="249">
        <f>IF(BM89&gt;0,IF($M89="Saudi",MIN(BM89+$Q89*$V89,Assumptions!$B$14)*Assumptions!$B$12,MIN(BM89+$Q89*$V89,Assumptions!$B$14)*Assumptions!$B$13),0)</f>
        <v>0</v>
      </c>
      <c r="BQ89" s="249">
        <f>IF(AND(BM89&gt;0,$M89="Non-Saudi"),Assumptions!$B$25,0)</f>
        <v>910.41666666666663</v>
      </c>
      <c r="BR89" s="249">
        <f>IF(AND($D89="Contrat Local",$N89&lt;&gt;""),IF(AND(10&gt;=Assumptions!$B$5,ISNUMBER($X89),$N89&lt;EDATE(Assumptions!$B$9,-Assumptions!$B$6*12)),($P89+$X89)*$V89,$P89*$V89),0)</f>
        <v>11750</v>
      </c>
      <c r="BS89" s="249">
        <f t="shared" si="44"/>
        <v>14750</v>
      </c>
      <c r="BT89" s="249">
        <f>IF(AND(BS89&gt;0,$N89&lt;&gt;""),IF((DATE(Assumptions!$B$4,10,28)-$N89)/365.25&lt;=Assumptions!$B$20,(DATE(Assumptions!$B$4,10,28)-$N89)/365.25*Assumptions!$B$18*BS89,(Assumptions!$B$20*Assumptions!$B$18+((DATE(Assumptions!$B$4,10,28)-$N89)/365.25-Assumptions!$B$20)*Assumptions!$B$19)*BS89),0)</f>
        <v>142426.84804928134</v>
      </c>
      <c r="BU89" s="249">
        <f>IF(BR89&gt;0,IF($M89="Saudi",MIN(BR89+$Q89*$V89,Assumptions!$B$14)*Assumptions!$B$12,MIN(BR89+$Q89*$V89,Assumptions!$B$14)*Assumptions!$B$13),0)</f>
        <v>0</v>
      </c>
      <c r="BV89" s="249">
        <f>IF(AND(BR89&gt;0,$M89="Non-Saudi"),Assumptions!$B$25,0)</f>
        <v>910.41666666666663</v>
      </c>
      <c r="BW89" s="249">
        <f>IF(AND($D89="Contrat Local",$N89&lt;&gt;""),IF(AND(11&gt;=Assumptions!$B$5,ISNUMBER($X89),$N89&lt;EDATE(Assumptions!$B$9,-Assumptions!$B$6*12)),($P89+$X89)*$V89,$P89*$V89),0)</f>
        <v>11750</v>
      </c>
      <c r="BX89" s="249">
        <f t="shared" si="45"/>
        <v>14750</v>
      </c>
      <c r="BY89" s="249">
        <f>IF(AND(BX89&gt;0,$N89&lt;&gt;""),IF((DATE(Assumptions!$B$4,11,28)-$N89)/365.25&lt;=Assumptions!$B$20,(DATE(Assumptions!$B$4,11,28)-$N89)/365.25*Assumptions!$B$18*BX89,(Assumptions!$B$20*Assumptions!$B$18+((DATE(Assumptions!$B$4,11,28)-$N89)/365.25-Assumptions!$B$20)*Assumptions!$B$19)*BX89),0)</f>
        <v>143678.73032169748</v>
      </c>
      <c r="BZ89" s="249">
        <f>IF(BW89&gt;0,IF($M89="Saudi",MIN(BW89+$Q89*$V89,Assumptions!$B$14)*Assumptions!$B$12,MIN(BW89+$Q89*$V89,Assumptions!$B$14)*Assumptions!$B$13),0)</f>
        <v>0</v>
      </c>
      <c r="CA89" s="249">
        <f>IF(AND(BW89&gt;0,$M89="Non-Saudi"),Assumptions!$B$25,0)</f>
        <v>910.41666666666663</v>
      </c>
      <c r="CB89" s="249">
        <f>IF(AND($D89="Contrat Local",$N89&lt;&gt;""),IF(AND(12&gt;=Assumptions!$B$5,ISNUMBER($X89),$N89&lt;EDATE(Assumptions!$B$9,-Assumptions!$B$6*12)),($P89+$X89)*$V89,$P89*$V89),0)</f>
        <v>11750</v>
      </c>
      <c r="CC89" s="249">
        <f t="shared" si="46"/>
        <v>14750</v>
      </c>
      <c r="CD89" s="249">
        <f>IF(AND(CC89&gt;0,$N89&lt;&gt;""),IF((DATE(Assumptions!$B$4,12,28)-$N89)/365.25&lt;=Assumptions!$B$20,(DATE(Assumptions!$B$4,12,28)-$N89)/365.25*Assumptions!$B$18*CC89,(Assumptions!$B$20*Assumptions!$B$18+((DATE(Assumptions!$B$4,12,28)-$N89)/365.25-Assumptions!$B$20)*Assumptions!$B$19)*CC89),0)</f>
        <v>144890.2292950034</v>
      </c>
      <c r="CE89" s="249">
        <f>IF(CB89&gt;0,IF($M89="Saudi",MIN(CB89+$Q89*$V89,Assumptions!$B$14)*Assumptions!$B$12,MIN(CB89+$Q89*$V89,Assumptions!$B$14)*Assumptions!$B$13),0)</f>
        <v>0</v>
      </c>
      <c r="CF89" s="249">
        <f>IF(AND(CB89&gt;0,$M89="Non-Saudi"),Assumptions!$B$25,0)</f>
        <v>910.41666666666663</v>
      </c>
      <c r="CG89" s="249">
        <f t="shared" si="47"/>
        <v>139000</v>
      </c>
      <c r="CH89" s="249">
        <f t="shared" si="48"/>
        <v>175000</v>
      </c>
      <c r="CI89" s="249">
        <f>CD89-IF(AND(Z89&gt;0,$N89&lt;&gt;""),IF((DATE(Assumptions!$B$4-1,12,28)-$N89)/365.25&lt;=Assumptions!$B$20,(DATE(Assumptions!$B$4-1,12,28)-$N89)/365.25*Assumptions!$B$18*Z89,(Assumptions!$B$20*Assumptions!$B$18+((DATE(Assumptions!$B$4-1,12,28)-$N89)/365.25-Assumptions!$B$20)*Assumptions!$B$19)*Z89),0)</f>
        <v>16945.841889117015</v>
      </c>
      <c r="CJ89" s="249">
        <f t="shared" si="49"/>
        <v>0</v>
      </c>
      <c r="CK89" s="249">
        <f t="shared" si="50"/>
        <v>10924.999999999998</v>
      </c>
    </row>
    <row r="90" spans="1:89" x14ac:dyDescent="0.2">
      <c r="A90" s="264">
        <v>90</v>
      </c>
      <c r="B90" s="265" t="s">
        <v>479</v>
      </c>
      <c r="C90" s="265" t="s">
        <v>480</v>
      </c>
      <c r="D90" s="265" t="s">
        <v>250</v>
      </c>
      <c r="E90" s="265" t="s">
        <v>767</v>
      </c>
      <c r="F90" s="265" t="s">
        <v>281</v>
      </c>
      <c r="G90" s="265" t="s">
        <v>8</v>
      </c>
      <c r="H90" s="265" t="s">
        <v>43</v>
      </c>
      <c r="I90" s="284" t="s">
        <v>691</v>
      </c>
      <c r="J90" s="286" t="s">
        <v>694</v>
      </c>
      <c r="K90" s="265" t="s">
        <v>282</v>
      </c>
      <c r="L90" s="265" t="s">
        <v>255</v>
      </c>
      <c r="M90" s="265" t="str">
        <f t="shared" si="26"/>
        <v>Non-Saudi</v>
      </c>
      <c r="N90" s="266">
        <v>45170</v>
      </c>
      <c r="O90" s="267">
        <v>3.3</v>
      </c>
      <c r="P90" s="268">
        <v>7800</v>
      </c>
      <c r="Q90" s="268">
        <v>2500</v>
      </c>
      <c r="R90" s="268">
        <v>500</v>
      </c>
      <c r="S90" s="268"/>
      <c r="T90" s="268">
        <v>90</v>
      </c>
      <c r="U90" s="268">
        <v>10890</v>
      </c>
      <c r="V90" s="269">
        <v>1</v>
      </c>
      <c r="W90" s="265" t="s">
        <v>256</v>
      </c>
      <c r="X90" s="265">
        <v>200</v>
      </c>
      <c r="Y90" s="249">
        <f t="shared" si="27"/>
        <v>7800</v>
      </c>
      <c r="Z90" s="249">
        <f t="shared" si="28"/>
        <v>10890</v>
      </c>
      <c r="AA90" s="249">
        <f>IF(AND(Z90&gt;0,$N90&lt;&gt;""),IF((DATE(Assumptions!$B$4,1,28)-$N90)/365.25&lt;=Assumptions!$B$20,(DATE(Assumptions!$B$4,1,28)-$N90)/365.25*Assumptions!$B$18*Z90,(Assumptions!$B$20*Assumptions!$B$18+((DATE(Assumptions!$B$4,1,28)-$N90)/365.25-Assumptions!$B$20)*Assumptions!$B$19)*Z90),0)</f>
        <v>13118.685831622175</v>
      </c>
      <c r="AB90" s="249">
        <f>IF(Y90&gt;0,IF($M90="Saudi",MIN(Y90+$Q90*$V90,Assumptions!$B$14)*Assumptions!$B$12,MIN(Y90+$Q90*$V90,Assumptions!$B$14)*Assumptions!$B$13),0)</f>
        <v>0</v>
      </c>
      <c r="AC90" s="249">
        <f>IF(AND(Y90&gt;0,$M90="Non-Saudi"),Assumptions!$B$25,0)</f>
        <v>910.41666666666663</v>
      </c>
      <c r="AD90" s="249">
        <f t="shared" si="29"/>
        <v>7800</v>
      </c>
      <c r="AE90" s="249">
        <f t="shared" si="30"/>
        <v>10890</v>
      </c>
      <c r="AF90" s="249">
        <f>IF(AND(AE90&gt;0,$N90&lt;&gt;""),IF((DATE(Assumptions!$B$4,2,28)-$N90)/365.25&lt;=Assumptions!$B$20,(DATE(Assumptions!$B$4,2,28)-$N90)/365.25*Assumptions!$B$18*AE90,(Assumptions!$B$20*Assumptions!$B$18+((DATE(Assumptions!$B$4,2,28)-$N90)/365.25-Assumptions!$B$20)*Assumptions!$B$19)*AE90),0)</f>
        <v>13580.821355236141</v>
      </c>
      <c r="AG90" s="249">
        <f>IF(AD90&gt;0,IF($M90="Saudi",MIN(AD90+$Q90*$V90,Assumptions!$B$14)*Assumptions!$B$12,MIN(AD90+$Q90*$V90,Assumptions!$B$14)*Assumptions!$B$13),0)</f>
        <v>0</v>
      </c>
      <c r="AH90" s="249">
        <f>IF(AND(AD90&gt;0,$M90="Non-Saudi"),Assumptions!$B$25,0)</f>
        <v>910.41666666666663</v>
      </c>
      <c r="AI90" s="249">
        <f t="shared" si="31"/>
        <v>7800</v>
      </c>
      <c r="AJ90" s="249">
        <f t="shared" si="32"/>
        <v>10890</v>
      </c>
      <c r="AK90" s="249">
        <f>IF(AND(AJ90&gt;0,$N90&lt;&gt;""),IF((DATE(Assumptions!$B$4,3,28)-$N90)/365.25&lt;=Assumptions!$B$20,(DATE(Assumptions!$B$4,3,28)-$N90)/365.25*Assumptions!$B$18*AJ90,(Assumptions!$B$20*Assumptions!$B$18+((DATE(Assumptions!$B$4,3,28)-$N90)/365.25-Assumptions!$B$20)*Assumptions!$B$19)*AJ90),0)</f>
        <v>13998.234086242301</v>
      </c>
      <c r="AL90" s="249">
        <f>IF(AI90&gt;0,IF($M90="Saudi",MIN(AI90+$Q90*$V90,Assumptions!$B$14)*Assumptions!$B$12,MIN(AI90+$Q90*$V90,Assumptions!$B$14)*Assumptions!$B$13),0)</f>
        <v>0</v>
      </c>
      <c r="AM90" s="249">
        <f>IF(AND(AI90&gt;0,$M90="Non-Saudi"),Assumptions!$B$25,0)</f>
        <v>910.41666666666663</v>
      </c>
      <c r="AN90" s="249">
        <f t="shared" si="33"/>
        <v>7800</v>
      </c>
      <c r="AO90" s="249">
        <f t="shared" si="34"/>
        <v>10890</v>
      </c>
      <c r="AP90" s="249">
        <f>IF(AND(AO90&gt;0,$N90&lt;&gt;""),IF((DATE(Assumptions!$B$4,4,28)-$N90)/365.25&lt;=Assumptions!$B$20,(DATE(Assumptions!$B$4,4,28)-$N90)/365.25*Assumptions!$B$18*AO90,(Assumptions!$B$20*Assumptions!$B$18+((DATE(Assumptions!$B$4,4,28)-$N90)/365.25-Assumptions!$B$20)*Assumptions!$B$19)*AO90),0)</f>
        <v>14460.369609856263</v>
      </c>
      <c r="AQ90" s="249">
        <f>IF(AN90&gt;0,IF($M90="Saudi",MIN(AN90+$Q90*$V90,Assumptions!$B$14)*Assumptions!$B$12,MIN(AN90+$Q90*$V90,Assumptions!$B$14)*Assumptions!$B$13),0)</f>
        <v>0</v>
      </c>
      <c r="AR90" s="249">
        <f>IF(AND(AN90&gt;0,$M90="Non-Saudi"),Assumptions!$B$25,0)</f>
        <v>910.41666666666663</v>
      </c>
      <c r="AS90" s="249">
        <f t="shared" si="35"/>
        <v>7800</v>
      </c>
      <c r="AT90" s="249">
        <f t="shared" si="36"/>
        <v>10890</v>
      </c>
      <c r="AU90" s="249">
        <f>IF(AND(AT90&gt;0,$N90&lt;&gt;""),IF((DATE(Assumptions!$B$4,5,28)-$N90)/365.25&lt;=Assumptions!$B$20,(DATE(Assumptions!$B$4,5,28)-$N90)/365.25*Assumptions!$B$18*AT90,(Assumptions!$B$20*Assumptions!$B$18+((DATE(Assumptions!$B$4,5,28)-$N90)/365.25-Assumptions!$B$20)*Assumptions!$B$19)*AT90),0)</f>
        <v>14907.59753593429</v>
      </c>
      <c r="AV90" s="249">
        <f>IF(AS90&gt;0,IF($M90="Saudi",MIN(AS90+$Q90*$V90,Assumptions!$B$14)*Assumptions!$B$12,MIN(AS90+$Q90*$V90,Assumptions!$B$14)*Assumptions!$B$13),0)</f>
        <v>0</v>
      </c>
      <c r="AW90" s="249">
        <f>IF(AND(AS90&gt;0,$M90="Non-Saudi"),Assumptions!$B$25,0)</f>
        <v>910.41666666666663</v>
      </c>
      <c r="AX90" s="249">
        <f t="shared" si="37"/>
        <v>7800</v>
      </c>
      <c r="AY90" s="249">
        <f t="shared" si="38"/>
        <v>10890</v>
      </c>
      <c r="AZ90" s="249">
        <f>IF(AND(AY90&gt;0,$N90&lt;&gt;""),IF((DATE(Assumptions!$B$4,6,28)-$N90)/365.25&lt;=Assumptions!$B$20,(DATE(Assumptions!$B$4,6,28)-$N90)/365.25*Assumptions!$B$18*AY90,(Assumptions!$B$20*Assumptions!$B$18+((DATE(Assumptions!$B$4,6,28)-$N90)/365.25-Assumptions!$B$20)*Assumptions!$B$19)*AY90),0)</f>
        <v>15369.733059548256</v>
      </c>
      <c r="BA90" s="249">
        <f>IF(AX90&gt;0,IF($M90="Saudi",MIN(AX90+$Q90*$V90,Assumptions!$B$14)*Assumptions!$B$12,MIN(AX90+$Q90*$V90,Assumptions!$B$14)*Assumptions!$B$13),0)</f>
        <v>0</v>
      </c>
      <c r="BB90" s="249">
        <f>IF(AND(AX90&gt;0,$M90="Non-Saudi"),Assumptions!$B$25,0)</f>
        <v>910.41666666666663</v>
      </c>
      <c r="BC90" s="249">
        <f t="shared" si="39"/>
        <v>7800</v>
      </c>
      <c r="BD90" s="249">
        <f t="shared" si="40"/>
        <v>10890</v>
      </c>
      <c r="BE90" s="249">
        <f>IF(AND(BD90&gt;0,$N90&lt;&gt;""),IF((DATE(Assumptions!$B$4,7,28)-$N90)/365.25&lt;=Assumptions!$B$20,(DATE(Assumptions!$B$4,7,28)-$N90)/365.25*Assumptions!$B$18*BD90,(Assumptions!$B$20*Assumptions!$B$18+((DATE(Assumptions!$B$4,7,28)-$N90)/365.25-Assumptions!$B$20)*Assumptions!$B$19)*BD90),0)</f>
        <v>15816.960985626283</v>
      </c>
      <c r="BF90" s="249">
        <f>IF(BC90&gt;0,IF($M90="Saudi",MIN(BC90+$Q90*$V90,Assumptions!$B$14)*Assumptions!$B$12,MIN(BC90+$Q90*$V90,Assumptions!$B$14)*Assumptions!$B$13),0)</f>
        <v>0</v>
      </c>
      <c r="BG90" s="249">
        <f>IF(AND(BC90&gt;0,$M90="Non-Saudi"),Assumptions!$B$25,0)</f>
        <v>910.41666666666663</v>
      </c>
      <c r="BH90" s="249">
        <f t="shared" si="41"/>
        <v>7800</v>
      </c>
      <c r="BI90" s="249">
        <f t="shared" si="42"/>
        <v>10890</v>
      </c>
      <c r="BJ90" s="249">
        <f>IF(AND(BI90&gt;0,$N90&lt;&gt;""),IF((DATE(Assumptions!$B$4,8,28)-$N90)/365.25&lt;=Assumptions!$B$20,(DATE(Assumptions!$B$4,8,28)-$N90)/365.25*Assumptions!$B$18*BI90,(Assumptions!$B$20*Assumptions!$B$18+((DATE(Assumptions!$B$4,8,28)-$N90)/365.25-Assumptions!$B$20)*Assumptions!$B$19)*BI90),0)</f>
        <v>16279.096509240246</v>
      </c>
      <c r="BK90" s="249">
        <f>IF(BH90&gt;0,IF($M90="Saudi",MIN(BH90+$Q90*$V90,Assumptions!$B$14)*Assumptions!$B$12,MIN(BH90+$Q90*$V90,Assumptions!$B$14)*Assumptions!$B$13),0)</f>
        <v>0</v>
      </c>
      <c r="BL90" s="249">
        <f>IF(AND(BH90&gt;0,$M90="Non-Saudi"),Assumptions!$B$25,0)</f>
        <v>910.41666666666663</v>
      </c>
      <c r="BM90" s="249">
        <f>IF(AND($D90="Contrat Local",$N90&lt;&gt;""),IF(AND(9&gt;=Assumptions!$B$5,ISNUMBER($X90),$N90&lt;EDATE(Assumptions!$B$9,-Assumptions!$B$6*12)),($P90+$X90)*$V90,$P90*$V90),0)</f>
        <v>8000</v>
      </c>
      <c r="BN90" s="249">
        <f t="shared" si="43"/>
        <v>11090</v>
      </c>
      <c r="BO90" s="249">
        <f>IF(AND(BN90&gt;0,$N90&lt;&gt;""),IF((DATE(Assumptions!$B$4,9,28)-$N90)/365.25&lt;=Assumptions!$B$20,(DATE(Assumptions!$B$4,9,28)-$N90)/365.25*Assumptions!$B$18*BN90,(Assumptions!$B$20*Assumptions!$B$18+((DATE(Assumptions!$B$4,9,28)-$N90)/365.25-Assumptions!$B$20)*Assumptions!$B$19)*BN90),0)</f>
        <v>17048.692676249146</v>
      </c>
      <c r="BP90" s="249">
        <f>IF(BM90&gt;0,IF($M90="Saudi",MIN(BM90+$Q90*$V90,Assumptions!$B$14)*Assumptions!$B$12,MIN(BM90+$Q90*$V90,Assumptions!$B$14)*Assumptions!$B$13),0)</f>
        <v>0</v>
      </c>
      <c r="BQ90" s="249">
        <f>IF(AND(BM90&gt;0,$M90="Non-Saudi"),Assumptions!$B$25,0)</f>
        <v>910.41666666666663</v>
      </c>
      <c r="BR90" s="249">
        <f>IF(AND($D90="Contrat Local",$N90&lt;&gt;""),IF(AND(10&gt;=Assumptions!$B$5,ISNUMBER($X90),$N90&lt;EDATE(Assumptions!$B$9,-Assumptions!$B$6*12)),($P90+$X90)*$V90,$P90*$V90),0)</f>
        <v>8000</v>
      </c>
      <c r="BS90" s="249">
        <f t="shared" si="44"/>
        <v>11090</v>
      </c>
      <c r="BT90" s="249">
        <f>IF(AND(BS90&gt;0,$N90&lt;&gt;""),IF((DATE(Assumptions!$B$4,10,28)-$N90)/365.25&lt;=Assumptions!$B$20,(DATE(Assumptions!$B$4,10,28)-$N90)/365.25*Assumptions!$B$18*BS90,(Assumptions!$B$20*Assumptions!$B$18+((DATE(Assumptions!$B$4,10,28)-$N90)/365.25-Assumptions!$B$20)*Assumptions!$B$19)*BS90),0)</f>
        <v>17504.134154688571</v>
      </c>
      <c r="BU90" s="249">
        <f>IF(BR90&gt;0,IF($M90="Saudi",MIN(BR90+$Q90*$V90,Assumptions!$B$14)*Assumptions!$B$12,MIN(BR90+$Q90*$V90,Assumptions!$B$14)*Assumptions!$B$13),0)</f>
        <v>0</v>
      </c>
      <c r="BV90" s="249">
        <f>IF(AND(BR90&gt;0,$M90="Non-Saudi"),Assumptions!$B$25,0)</f>
        <v>910.41666666666663</v>
      </c>
      <c r="BW90" s="249">
        <f>IF(AND($D90="Contrat Local",$N90&lt;&gt;""),IF(AND(11&gt;=Assumptions!$B$5,ISNUMBER($X90),$N90&lt;EDATE(Assumptions!$B$9,-Assumptions!$B$6*12)),($P90+$X90)*$V90,$P90*$V90),0)</f>
        <v>8000</v>
      </c>
      <c r="BX90" s="249">
        <f t="shared" si="45"/>
        <v>11090</v>
      </c>
      <c r="BY90" s="249">
        <f>IF(AND(BX90&gt;0,$N90&lt;&gt;""),IF((DATE(Assumptions!$B$4,11,28)-$N90)/365.25&lt;=Assumptions!$B$20,(DATE(Assumptions!$B$4,11,28)-$N90)/365.25*Assumptions!$B$18*BX90,(Assumptions!$B$20*Assumptions!$B$18+((DATE(Assumptions!$B$4,11,28)-$N90)/365.25-Assumptions!$B$20)*Assumptions!$B$19)*BX90),0)</f>
        <v>17974.757015742642</v>
      </c>
      <c r="BZ90" s="249">
        <f>IF(BW90&gt;0,IF($M90="Saudi",MIN(BW90+$Q90*$V90,Assumptions!$B$14)*Assumptions!$B$12,MIN(BW90+$Q90*$V90,Assumptions!$B$14)*Assumptions!$B$13),0)</f>
        <v>0</v>
      </c>
      <c r="CA90" s="249">
        <f>IF(AND(BW90&gt;0,$M90="Non-Saudi"),Assumptions!$B$25,0)</f>
        <v>910.41666666666663</v>
      </c>
      <c r="CB90" s="249">
        <f>IF(AND($D90="Contrat Local",$N90&lt;&gt;""),IF(AND(12&gt;=Assumptions!$B$5,ISNUMBER($X90),$N90&lt;EDATE(Assumptions!$B$9,-Assumptions!$B$6*12)),($P90+$X90)*$V90,$P90*$V90),0)</f>
        <v>8000</v>
      </c>
      <c r="CC90" s="249">
        <f t="shared" si="46"/>
        <v>11090</v>
      </c>
      <c r="CD90" s="249">
        <f>IF(AND(CC90&gt;0,$N90&lt;&gt;""),IF((DATE(Assumptions!$B$4,12,28)-$N90)/365.25&lt;=Assumptions!$B$20,(DATE(Assumptions!$B$4,12,28)-$N90)/365.25*Assumptions!$B$18*CC90,(Assumptions!$B$20*Assumptions!$B$18+((DATE(Assumptions!$B$4,12,28)-$N90)/365.25-Assumptions!$B$20)*Assumptions!$B$19)*CC90),0)</f>
        <v>18430.198494182066</v>
      </c>
      <c r="CE90" s="249">
        <f>IF(CB90&gt;0,IF($M90="Saudi",MIN(CB90+$Q90*$V90,Assumptions!$B$14)*Assumptions!$B$12,MIN(CB90+$Q90*$V90,Assumptions!$B$14)*Assumptions!$B$13),0)</f>
        <v>0</v>
      </c>
      <c r="CF90" s="249">
        <f>IF(AND(CB90&gt;0,$M90="Non-Saudi"),Assumptions!$B$25,0)</f>
        <v>910.41666666666663</v>
      </c>
      <c r="CG90" s="249">
        <f t="shared" si="47"/>
        <v>94400</v>
      </c>
      <c r="CH90" s="249">
        <f t="shared" si="48"/>
        <v>131480</v>
      </c>
      <c r="CI90" s="249">
        <f>CD90-IF(AND(Z90&gt;0,$N90&lt;&gt;""),IF((DATE(Assumptions!$B$4-1,12,28)-$N90)/365.25&lt;=Assumptions!$B$20,(DATE(Assumptions!$B$4-1,12,28)-$N90)/365.25*Assumptions!$B$18*Z90,(Assumptions!$B$20*Assumptions!$B$18+((DATE(Assumptions!$B$4-1,12,28)-$N90)/365.25-Assumptions!$B$20)*Assumptions!$B$19)*Z90),0)</f>
        <v>5773.6481861738521</v>
      </c>
      <c r="CJ90" s="249">
        <f t="shared" si="49"/>
        <v>0</v>
      </c>
      <c r="CK90" s="249">
        <f t="shared" si="50"/>
        <v>10924.999999999998</v>
      </c>
    </row>
    <row r="91" spans="1:89" x14ac:dyDescent="0.2">
      <c r="A91" s="276">
        <v>91</v>
      </c>
      <c r="B91" s="277" t="s">
        <v>481</v>
      </c>
      <c r="C91" s="277" t="s">
        <v>482</v>
      </c>
      <c r="D91" s="277" t="s">
        <v>250</v>
      </c>
      <c r="E91" s="277" t="s">
        <v>767</v>
      </c>
      <c r="F91" s="277" t="s">
        <v>332</v>
      </c>
      <c r="G91" s="277" t="s">
        <v>303</v>
      </c>
      <c r="H91" s="277" t="s">
        <v>42</v>
      </c>
      <c r="I91" s="287" t="s">
        <v>691</v>
      </c>
      <c r="J91" s="277" t="s">
        <v>85</v>
      </c>
      <c r="K91" s="277" t="s">
        <v>254</v>
      </c>
      <c r="L91" s="277" t="s">
        <v>255</v>
      </c>
      <c r="M91" s="277" t="str">
        <f t="shared" si="26"/>
        <v>Non-Saudi</v>
      </c>
      <c r="N91" s="278">
        <v>45536</v>
      </c>
      <c r="O91" s="279">
        <v>2.2999999999999998</v>
      </c>
      <c r="P91" s="280">
        <v>8500</v>
      </c>
      <c r="Q91" s="280">
        <v>2500</v>
      </c>
      <c r="R91" s="280">
        <v>500</v>
      </c>
      <c r="S91" s="280"/>
      <c r="T91" s="280"/>
      <c r="U91" s="280">
        <v>11500</v>
      </c>
      <c r="V91" s="281">
        <v>1</v>
      </c>
      <c r="W91" s="277" t="s">
        <v>259</v>
      </c>
      <c r="X91" s="277">
        <v>250</v>
      </c>
      <c r="Y91" s="249">
        <f t="shared" si="27"/>
        <v>8500</v>
      </c>
      <c r="Z91" s="249">
        <f t="shared" si="28"/>
        <v>11500</v>
      </c>
      <c r="AA91" s="249">
        <f>IF(AND(Z91&gt;0,$N91&lt;&gt;""),IF((DATE(Assumptions!$B$4,1,28)-$N91)/365.25&lt;=Assumptions!$B$20,(DATE(Assumptions!$B$4,1,28)-$N91)/365.25*Assumptions!$B$18*Z91,(Assumptions!$B$20*Assumptions!$B$18+((DATE(Assumptions!$B$4,1,28)-$N91)/365.25-Assumptions!$B$20)*Assumptions!$B$19)*Z91),0)</f>
        <v>8091.7180013689249</v>
      </c>
      <c r="AB91" s="249">
        <f>IF(Y91&gt;0,IF($M91="Saudi",MIN(Y91+$Q91*$V91,Assumptions!$B$14)*Assumptions!$B$12,MIN(Y91+$Q91*$V91,Assumptions!$B$14)*Assumptions!$B$13),0)</f>
        <v>0</v>
      </c>
      <c r="AC91" s="249">
        <f>IF(AND(Y91&gt;0,$M91="Non-Saudi"),Assumptions!$B$25,0)</f>
        <v>910.41666666666663</v>
      </c>
      <c r="AD91" s="249">
        <f t="shared" si="29"/>
        <v>8500</v>
      </c>
      <c r="AE91" s="249">
        <f t="shared" si="30"/>
        <v>11500</v>
      </c>
      <c r="AF91" s="249">
        <f>IF(AND(AE91&gt;0,$N91&lt;&gt;""),IF((DATE(Assumptions!$B$4,2,28)-$N91)/365.25&lt;=Assumptions!$B$20,(DATE(Assumptions!$B$4,2,28)-$N91)/365.25*Assumptions!$B$18*AE91,(Assumptions!$B$20*Assumptions!$B$18+((DATE(Assumptions!$B$4,2,28)-$N91)/365.25-Assumptions!$B$20)*Assumptions!$B$19)*AE91),0)</f>
        <v>8579.7399041752233</v>
      </c>
      <c r="AG91" s="249">
        <f>IF(AD91&gt;0,IF($M91="Saudi",MIN(AD91+$Q91*$V91,Assumptions!$B$14)*Assumptions!$B$12,MIN(AD91+$Q91*$V91,Assumptions!$B$14)*Assumptions!$B$13),0)</f>
        <v>0</v>
      </c>
      <c r="AH91" s="249">
        <f>IF(AND(AD91&gt;0,$M91="Non-Saudi"),Assumptions!$B$25,0)</f>
        <v>910.41666666666663</v>
      </c>
      <c r="AI91" s="249">
        <f t="shared" si="31"/>
        <v>8500</v>
      </c>
      <c r="AJ91" s="249">
        <f t="shared" si="32"/>
        <v>11500</v>
      </c>
      <c r="AK91" s="249">
        <f>IF(AND(AJ91&gt;0,$N91&lt;&gt;""),IF((DATE(Assumptions!$B$4,3,28)-$N91)/365.25&lt;=Assumptions!$B$20,(DATE(Assumptions!$B$4,3,28)-$N91)/365.25*Assumptions!$B$18*AJ91,(Assumptions!$B$20*Assumptions!$B$18+((DATE(Assumptions!$B$4,3,28)-$N91)/365.25-Assumptions!$B$20)*Assumptions!$B$19)*AJ91),0)</f>
        <v>9020.5338809034911</v>
      </c>
      <c r="AL91" s="249">
        <f>IF(AI91&gt;0,IF($M91="Saudi",MIN(AI91+$Q91*$V91,Assumptions!$B$14)*Assumptions!$B$12,MIN(AI91+$Q91*$V91,Assumptions!$B$14)*Assumptions!$B$13),0)</f>
        <v>0</v>
      </c>
      <c r="AM91" s="249">
        <f>IF(AND(AI91&gt;0,$M91="Non-Saudi"),Assumptions!$B$25,0)</f>
        <v>910.41666666666663</v>
      </c>
      <c r="AN91" s="249">
        <f t="shared" si="33"/>
        <v>8500</v>
      </c>
      <c r="AO91" s="249">
        <f t="shared" si="34"/>
        <v>11500</v>
      </c>
      <c r="AP91" s="249">
        <f>IF(AND(AO91&gt;0,$N91&lt;&gt;""),IF((DATE(Assumptions!$B$4,4,28)-$N91)/365.25&lt;=Assumptions!$B$20,(DATE(Assumptions!$B$4,4,28)-$N91)/365.25*Assumptions!$B$18*AO91,(Assumptions!$B$20*Assumptions!$B$18+((DATE(Assumptions!$B$4,4,28)-$N91)/365.25-Assumptions!$B$20)*Assumptions!$B$19)*AO91),0)</f>
        <v>9508.5557837097876</v>
      </c>
      <c r="AQ91" s="249">
        <f>IF(AN91&gt;0,IF($M91="Saudi",MIN(AN91+$Q91*$V91,Assumptions!$B$14)*Assumptions!$B$12,MIN(AN91+$Q91*$V91,Assumptions!$B$14)*Assumptions!$B$13),0)</f>
        <v>0</v>
      </c>
      <c r="AR91" s="249">
        <f>IF(AND(AN91&gt;0,$M91="Non-Saudi"),Assumptions!$B$25,0)</f>
        <v>910.41666666666663</v>
      </c>
      <c r="AS91" s="249">
        <f t="shared" si="35"/>
        <v>8500</v>
      </c>
      <c r="AT91" s="249">
        <f t="shared" si="36"/>
        <v>11500</v>
      </c>
      <c r="AU91" s="249">
        <f>IF(AND(AT91&gt;0,$N91&lt;&gt;""),IF((DATE(Assumptions!$B$4,5,28)-$N91)/365.25&lt;=Assumptions!$B$20,(DATE(Assumptions!$B$4,5,28)-$N91)/365.25*Assumptions!$B$18*AT91,(Assumptions!$B$20*Assumptions!$B$18+((DATE(Assumptions!$B$4,5,28)-$N91)/365.25-Assumptions!$B$20)*Assumptions!$B$19)*AT91),0)</f>
        <v>9980.8350444900752</v>
      </c>
      <c r="AV91" s="249">
        <f>IF(AS91&gt;0,IF($M91="Saudi",MIN(AS91+$Q91*$V91,Assumptions!$B$14)*Assumptions!$B$12,MIN(AS91+$Q91*$V91,Assumptions!$B$14)*Assumptions!$B$13),0)</f>
        <v>0</v>
      </c>
      <c r="AW91" s="249">
        <f>IF(AND(AS91&gt;0,$M91="Non-Saudi"),Assumptions!$B$25,0)</f>
        <v>910.41666666666663</v>
      </c>
      <c r="AX91" s="249">
        <f t="shared" si="37"/>
        <v>8500</v>
      </c>
      <c r="AY91" s="249">
        <f t="shared" si="38"/>
        <v>11500</v>
      </c>
      <c r="AZ91" s="249">
        <f>IF(AND(AY91&gt;0,$N91&lt;&gt;""),IF((DATE(Assumptions!$B$4,6,28)-$N91)/365.25&lt;=Assumptions!$B$20,(DATE(Assumptions!$B$4,6,28)-$N91)/365.25*Assumptions!$B$18*AY91,(Assumptions!$B$20*Assumptions!$B$18+((DATE(Assumptions!$B$4,6,28)-$N91)/365.25-Assumptions!$B$20)*Assumptions!$B$19)*AY91),0)</f>
        <v>10468.856947296372</v>
      </c>
      <c r="BA91" s="249">
        <f>IF(AX91&gt;0,IF($M91="Saudi",MIN(AX91+$Q91*$V91,Assumptions!$B$14)*Assumptions!$B$12,MIN(AX91+$Q91*$V91,Assumptions!$B$14)*Assumptions!$B$13),0)</f>
        <v>0</v>
      </c>
      <c r="BB91" s="249">
        <f>IF(AND(AX91&gt;0,$M91="Non-Saudi"),Assumptions!$B$25,0)</f>
        <v>910.41666666666663</v>
      </c>
      <c r="BC91" s="249">
        <f t="shared" si="39"/>
        <v>8500</v>
      </c>
      <c r="BD91" s="249">
        <f t="shared" si="40"/>
        <v>11500</v>
      </c>
      <c r="BE91" s="249">
        <f>IF(AND(BD91&gt;0,$N91&lt;&gt;""),IF((DATE(Assumptions!$B$4,7,28)-$N91)/365.25&lt;=Assumptions!$B$20,(DATE(Assumptions!$B$4,7,28)-$N91)/365.25*Assumptions!$B$18*BD91,(Assumptions!$B$20*Assumptions!$B$18+((DATE(Assumptions!$B$4,7,28)-$N91)/365.25-Assumptions!$B$20)*Assumptions!$B$19)*BD91),0)</f>
        <v>10941.136208076659</v>
      </c>
      <c r="BF91" s="249">
        <f>IF(BC91&gt;0,IF($M91="Saudi",MIN(BC91+$Q91*$V91,Assumptions!$B$14)*Assumptions!$B$12,MIN(BC91+$Q91*$V91,Assumptions!$B$14)*Assumptions!$B$13),0)</f>
        <v>0</v>
      </c>
      <c r="BG91" s="249">
        <f>IF(AND(BC91&gt;0,$M91="Non-Saudi"),Assumptions!$B$25,0)</f>
        <v>910.41666666666663</v>
      </c>
      <c r="BH91" s="249">
        <f t="shared" si="41"/>
        <v>8500</v>
      </c>
      <c r="BI91" s="249">
        <f t="shared" si="42"/>
        <v>11500</v>
      </c>
      <c r="BJ91" s="249">
        <f>IF(AND(BI91&gt;0,$N91&lt;&gt;""),IF((DATE(Assumptions!$B$4,8,28)-$N91)/365.25&lt;=Assumptions!$B$20,(DATE(Assumptions!$B$4,8,28)-$N91)/365.25*Assumptions!$B$18*BI91,(Assumptions!$B$20*Assumptions!$B$18+((DATE(Assumptions!$B$4,8,28)-$N91)/365.25-Assumptions!$B$20)*Assumptions!$B$19)*BI91),0)</f>
        <v>11429.158110882956</v>
      </c>
      <c r="BK91" s="249">
        <f>IF(BH91&gt;0,IF($M91="Saudi",MIN(BH91+$Q91*$V91,Assumptions!$B$14)*Assumptions!$B$12,MIN(BH91+$Q91*$V91,Assumptions!$B$14)*Assumptions!$B$13),0)</f>
        <v>0</v>
      </c>
      <c r="BL91" s="249">
        <f>IF(AND(BH91&gt;0,$M91="Non-Saudi"),Assumptions!$B$25,0)</f>
        <v>910.41666666666663</v>
      </c>
      <c r="BM91" s="249">
        <f>IF(AND($D91="Contrat Local",$N91&lt;&gt;""),IF(AND(9&gt;=Assumptions!$B$5,ISNUMBER($X91),$N91&lt;EDATE(Assumptions!$B$9,-Assumptions!$B$6*12)),($P91+$X91)*$V91,$P91*$V91),0)</f>
        <v>8750</v>
      </c>
      <c r="BN91" s="249">
        <f t="shared" si="43"/>
        <v>11750</v>
      </c>
      <c r="BO91" s="249">
        <f>IF(AND(BN91&gt;0,$N91&lt;&gt;""),IF((DATE(Assumptions!$B$4,9,28)-$N91)/365.25&lt;=Assumptions!$B$20,(DATE(Assumptions!$B$4,9,28)-$N91)/365.25*Assumptions!$B$18*BN91,(Assumptions!$B$20*Assumptions!$B$18+((DATE(Assumptions!$B$4,9,28)-$N91)/365.25-Assumptions!$B$20)*Assumptions!$B$19)*BN91),0)</f>
        <v>12176.249144421628</v>
      </c>
      <c r="BP91" s="249">
        <f>IF(BM91&gt;0,IF($M91="Saudi",MIN(BM91+$Q91*$V91,Assumptions!$B$14)*Assumptions!$B$12,MIN(BM91+$Q91*$V91,Assumptions!$B$14)*Assumptions!$B$13),0)</f>
        <v>0</v>
      </c>
      <c r="BQ91" s="249">
        <f>IF(AND(BM91&gt;0,$M91="Non-Saudi"),Assumptions!$B$25,0)</f>
        <v>910.41666666666663</v>
      </c>
      <c r="BR91" s="249">
        <f>IF(AND($D91="Contrat Local",$N91&lt;&gt;""),IF(AND(10&gt;=Assumptions!$B$5,ISNUMBER($X91),$N91&lt;EDATE(Assumptions!$B$9,-Assumptions!$B$6*12)),($P91+$X91)*$V91,$P91*$V91),0)</f>
        <v>8750</v>
      </c>
      <c r="BS91" s="249">
        <f t="shared" si="44"/>
        <v>11750</v>
      </c>
      <c r="BT91" s="249">
        <f>IF(AND(BS91&gt;0,$N91&lt;&gt;""),IF((DATE(Assumptions!$B$4,10,28)-$N91)/365.25&lt;=Assumptions!$B$20,(DATE(Assumptions!$B$4,10,28)-$N91)/365.25*Assumptions!$B$18*BS91,(Assumptions!$B$20*Assumptions!$B$18+((DATE(Assumptions!$B$4,10,28)-$N91)/365.25-Assumptions!$B$20)*Assumptions!$B$19)*BS91),0)</f>
        <v>12658.795345653662</v>
      </c>
      <c r="BU91" s="249">
        <f>IF(BR91&gt;0,IF($M91="Saudi",MIN(BR91+$Q91*$V91,Assumptions!$B$14)*Assumptions!$B$12,MIN(BR91+$Q91*$V91,Assumptions!$B$14)*Assumptions!$B$13),0)</f>
        <v>0</v>
      </c>
      <c r="BV91" s="249">
        <f>IF(AND(BR91&gt;0,$M91="Non-Saudi"),Assumptions!$B$25,0)</f>
        <v>910.41666666666663</v>
      </c>
      <c r="BW91" s="249">
        <f>IF(AND($D91="Contrat Local",$N91&lt;&gt;""),IF(AND(11&gt;=Assumptions!$B$5,ISNUMBER($X91),$N91&lt;EDATE(Assumptions!$B$9,-Assumptions!$B$6*12)),($P91+$X91)*$V91,$P91*$V91),0)</f>
        <v>8750</v>
      </c>
      <c r="BX91" s="249">
        <f t="shared" si="45"/>
        <v>11750</v>
      </c>
      <c r="BY91" s="249">
        <f>IF(AND(BX91&gt;0,$N91&lt;&gt;""),IF((DATE(Assumptions!$B$4,11,28)-$N91)/365.25&lt;=Assumptions!$B$20,(DATE(Assumptions!$B$4,11,28)-$N91)/365.25*Assumptions!$B$18*BX91,(Assumptions!$B$20*Assumptions!$B$18+((DATE(Assumptions!$B$4,11,28)-$N91)/365.25-Assumptions!$B$20)*Assumptions!$B$19)*BX91),0)</f>
        <v>13157.426420260097</v>
      </c>
      <c r="BZ91" s="249">
        <f>IF(BW91&gt;0,IF($M91="Saudi",MIN(BW91+$Q91*$V91,Assumptions!$B$14)*Assumptions!$B$12,MIN(BW91+$Q91*$V91,Assumptions!$B$14)*Assumptions!$B$13),0)</f>
        <v>0</v>
      </c>
      <c r="CA91" s="249">
        <f>IF(AND(BW91&gt;0,$M91="Non-Saudi"),Assumptions!$B$25,0)</f>
        <v>910.41666666666663</v>
      </c>
      <c r="CB91" s="249">
        <f>IF(AND($D91="Contrat Local",$N91&lt;&gt;""),IF(AND(12&gt;=Assumptions!$B$5,ISNUMBER($X91),$N91&lt;EDATE(Assumptions!$B$9,-Assumptions!$B$6*12)),($P91+$X91)*$V91,$P91*$V91),0)</f>
        <v>8750</v>
      </c>
      <c r="CC91" s="249">
        <f t="shared" si="46"/>
        <v>11750</v>
      </c>
      <c r="CD91" s="249">
        <f>IF(AND(CC91&gt;0,$N91&lt;&gt;""),IF((DATE(Assumptions!$B$4,12,28)-$N91)/365.25&lt;=Assumptions!$B$20,(DATE(Assumptions!$B$4,12,28)-$N91)/365.25*Assumptions!$B$18*CC91,(Assumptions!$B$20*Assumptions!$B$18+((DATE(Assumptions!$B$4,12,28)-$N91)/365.25-Assumptions!$B$20)*Assumptions!$B$19)*CC91),0)</f>
        <v>13639.972621492128</v>
      </c>
      <c r="CE91" s="249">
        <f>IF(CB91&gt;0,IF($M91="Saudi",MIN(CB91+$Q91*$V91,Assumptions!$B$14)*Assumptions!$B$12,MIN(CB91+$Q91*$V91,Assumptions!$B$14)*Assumptions!$B$13),0)</f>
        <v>0</v>
      </c>
      <c r="CF91" s="249">
        <f>IF(AND(CB91&gt;0,$M91="Non-Saudi"),Assumptions!$B$25,0)</f>
        <v>910.41666666666663</v>
      </c>
      <c r="CG91" s="249">
        <f t="shared" si="47"/>
        <v>103000</v>
      </c>
      <c r="CH91" s="249">
        <f t="shared" si="48"/>
        <v>139000</v>
      </c>
      <c r="CI91" s="249">
        <f>CD91-IF(AND(Z91&gt;0,$N91&lt;&gt;""),IF((DATE(Assumptions!$B$4-1,12,28)-$N91)/365.25&lt;=Assumptions!$B$20,(DATE(Assumptions!$B$4-1,12,28)-$N91)/365.25*Assumptions!$B$18*Z91,(Assumptions!$B$20*Assumptions!$B$18+((DATE(Assumptions!$B$4-1,12,28)-$N91)/365.25-Assumptions!$B$20)*Assumptions!$B$19)*Z91),0)</f>
        <v>6036.2765229295001</v>
      </c>
      <c r="CJ91" s="249">
        <f t="shared" si="49"/>
        <v>0</v>
      </c>
      <c r="CK91" s="249">
        <f t="shared" si="50"/>
        <v>10924.999999999998</v>
      </c>
    </row>
    <row r="92" spans="1:89" x14ac:dyDescent="0.2">
      <c r="A92" s="276">
        <v>92</v>
      </c>
      <c r="B92" s="277" t="s">
        <v>483</v>
      </c>
      <c r="C92" s="277" t="s">
        <v>484</v>
      </c>
      <c r="D92" s="277" t="s">
        <v>250</v>
      </c>
      <c r="E92" s="277" t="s">
        <v>767</v>
      </c>
      <c r="F92" s="277" t="s">
        <v>302</v>
      </c>
      <c r="G92" s="277" t="s">
        <v>303</v>
      </c>
      <c r="H92" s="277" t="s">
        <v>478</v>
      </c>
      <c r="I92" s="287" t="s">
        <v>691</v>
      </c>
      <c r="J92" s="277" t="s">
        <v>84</v>
      </c>
      <c r="K92" s="277" t="s">
        <v>254</v>
      </c>
      <c r="L92" s="277" t="s">
        <v>255</v>
      </c>
      <c r="M92" s="277" t="str">
        <f t="shared" si="26"/>
        <v>Non-Saudi</v>
      </c>
      <c r="N92" s="278">
        <v>41216</v>
      </c>
      <c r="O92" s="279">
        <v>14.2</v>
      </c>
      <c r="P92" s="280">
        <v>7333</v>
      </c>
      <c r="Q92" s="280">
        <v>1667</v>
      </c>
      <c r="R92" s="280">
        <v>333</v>
      </c>
      <c r="S92" s="280"/>
      <c r="T92" s="280"/>
      <c r="U92" s="280">
        <v>9333</v>
      </c>
      <c r="V92" s="281">
        <v>0.66666666666666696</v>
      </c>
      <c r="W92" s="277" t="s">
        <v>256</v>
      </c>
      <c r="X92" s="277">
        <v>250</v>
      </c>
      <c r="Y92" s="249">
        <f t="shared" si="27"/>
        <v>4888.6666666666688</v>
      </c>
      <c r="Z92" s="249">
        <f t="shared" si="28"/>
        <v>6222.0000000000027</v>
      </c>
      <c r="AA92" s="249">
        <f>IF(AND(Z92&gt;0,$N92&lt;&gt;""),IF((DATE(Assumptions!$B$4,1,28)-$N92)/365.25&lt;=Assumptions!$B$20,(DATE(Assumptions!$B$4,1,28)-$N92)/365.25*Assumptions!$B$18*Z92,(Assumptions!$B$20*Assumptions!$B$18+((DATE(Assumptions!$B$4,1,28)-$N92)/365.25-Assumptions!$B$20)*Assumptions!$B$19)*Z92),0)</f>
        <v>66791.743326488737</v>
      </c>
      <c r="AB92" s="249">
        <f>IF(Y92&gt;0,IF($M92="Saudi",MIN(Y92+$Q92*$V92,Assumptions!$B$14)*Assumptions!$B$12,MIN(Y92+$Q92*$V92,Assumptions!$B$14)*Assumptions!$B$13),0)</f>
        <v>0</v>
      </c>
      <c r="AC92" s="249">
        <f>IF(AND(Y92&gt;0,$M92="Non-Saudi"),Assumptions!$B$25,0)</f>
        <v>910.41666666666663</v>
      </c>
      <c r="AD92" s="249">
        <f t="shared" si="29"/>
        <v>4888.6666666666688</v>
      </c>
      <c r="AE92" s="249">
        <f t="shared" si="30"/>
        <v>6222.0000000000027</v>
      </c>
      <c r="AF92" s="249">
        <f>IF(AND(AE92&gt;0,$N92&lt;&gt;""),IF((DATE(Assumptions!$B$4,2,28)-$N92)/365.25&lt;=Assumptions!$B$20,(DATE(Assumptions!$B$4,2,28)-$N92)/365.25*Assumptions!$B$18*AE92,(Assumptions!$B$20*Assumptions!$B$18+((DATE(Assumptions!$B$4,2,28)-$N92)/365.25-Assumptions!$B$20)*Assumptions!$B$19)*AE92),0)</f>
        <v>67319.825462012348</v>
      </c>
      <c r="AG92" s="249">
        <f>IF(AD92&gt;0,IF($M92="Saudi",MIN(AD92+$Q92*$V92,Assumptions!$B$14)*Assumptions!$B$12,MIN(AD92+$Q92*$V92,Assumptions!$B$14)*Assumptions!$B$13),0)</f>
        <v>0</v>
      </c>
      <c r="AH92" s="249">
        <f>IF(AND(AD92&gt;0,$M92="Non-Saudi"),Assumptions!$B$25,0)</f>
        <v>910.41666666666663</v>
      </c>
      <c r="AI92" s="249">
        <f t="shared" si="31"/>
        <v>4888.6666666666688</v>
      </c>
      <c r="AJ92" s="249">
        <f t="shared" si="32"/>
        <v>6222.0000000000027</v>
      </c>
      <c r="AK92" s="249">
        <f>IF(AND(AJ92&gt;0,$N92&lt;&gt;""),IF((DATE(Assumptions!$B$4,3,28)-$N92)/365.25&lt;=Assumptions!$B$20,(DATE(Assumptions!$B$4,3,28)-$N92)/365.25*Assumptions!$B$18*AJ92,(Assumptions!$B$20*Assumptions!$B$18+((DATE(Assumptions!$B$4,3,28)-$N92)/365.25-Assumptions!$B$20)*Assumptions!$B$19)*AJ92),0)</f>
        <v>67796.802874743356</v>
      </c>
      <c r="AL92" s="249">
        <f>IF(AI92&gt;0,IF($M92="Saudi",MIN(AI92+$Q92*$V92,Assumptions!$B$14)*Assumptions!$B$12,MIN(AI92+$Q92*$V92,Assumptions!$B$14)*Assumptions!$B$13),0)</f>
        <v>0</v>
      </c>
      <c r="AM92" s="249">
        <f>IF(AND(AI92&gt;0,$M92="Non-Saudi"),Assumptions!$B$25,0)</f>
        <v>910.41666666666663</v>
      </c>
      <c r="AN92" s="249">
        <f t="shared" si="33"/>
        <v>4888.6666666666688</v>
      </c>
      <c r="AO92" s="249">
        <f t="shared" si="34"/>
        <v>6222.0000000000027</v>
      </c>
      <c r="AP92" s="249">
        <f>IF(AND(AO92&gt;0,$N92&lt;&gt;""),IF((DATE(Assumptions!$B$4,4,28)-$N92)/365.25&lt;=Assumptions!$B$20,(DATE(Assumptions!$B$4,4,28)-$N92)/365.25*Assumptions!$B$18*AO92,(Assumptions!$B$20*Assumptions!$B$18+((DATE(Assumptions!$B$4,4,28)-$N92)/365.25-Assumptions!$B$20)*Assumptions!$B$19)*AO92),0)</f>
        <v>68324.885010266968</v>
      </c>
      <c r="AQ92" s="249">
        <f>IF(AN92&gt;0,IF($M92="Saudi",MIN(AN92+$Q92*$V92,Assumptions!$B$14)*Assumptions!$B$12,MIN(AN92+$Q92*$V92,Assumptions!$B$14)*Assumptions!$B$13),0)</f>
        <v>0</v>
      </c>
      <c r="AR92" s="249">
        <f>IF(AND(AN92&gt;0,$M92="Non-Saudi"),Assumptions!$B$25,0)</f>
        <v>910.41666666666663</v>
      </c>
      <c r="AS92" s="249">
        <f t="shared" si="35"/>
        <v>4888.6666666666688</v>
      </c>
      <c r="AT92" s="249">
        <f t="shared" si="36"/>
        <v>6222.0000000000027</v>
      </c>
      <c r="AU92" s="249">
        <f>IF(AND(AT92&gt;0,$N92&lt;&gt;""),IF((DATE(Assumptions!$B$4,5,28)-$N92)/365.25&lt;=Assumptions!$B$20,(DATE(Assumptions!$B$4,5,28)-$N92)/365.25*Assumptions!$B$18*AT92,(Assumptions!$B$20*Assumptions!$B$18+((DATE(Assumptions!$B$4,5,28)-$N92)/365.25-Assumptions!$B$20)*Assumptions!$B$19)*AT92),0)</f>
        <v>68835.93223819304</v>
      </c>
      <c r="AV92" s="249">
        <f>IF(AS92&gt;0,IF($M92="Saudi",MIN(AS92+$Q92*$V92,Assumptions!$B$14)*Assumptions!$B$12,MIN(AS92+$Q92*$V92,Assumptions!$B$14)*Assumptions!$B$13),0)</f>
        <v>0</v>
      </c>
      <c r="AW92" s="249">
        <f>IF(AND(AS92&gt;0,$M92="Non-Saudi"),Assumptions!$B$25,0)</f>
        <v>910.41666666666663</v>
      </c>
      <c r="AX92" s="249">
        <f t="shared" si="37"/>
        <v>4888.6666666666688</v>
      </c>
      <c r="AY92" s="249">
        <f t="shared" si="38"/>
        <v>6222.0000000000027</v>
      </c>
      <c r="AZ92" s="249">
        <f>IF(AND(AY92&gt;0,$N92&lt;&gt;""),IF((DATE(Assumptions!$B$4,6,28)-$N92)/365.25&lt;=Assumptions!$B$20,(DATE(Assumptions!$B$4,6,28)-$N92)/365.25*Assumptions!$B$18*AY92,(Assumptions!$B$20*Assumptions!$B$18+((DATE(Assumptions!$B$4,6,28)-$N92)/365.25-Assumptions!$B$20)*Assumptions!$B$19)*AY92),0)</f>
        <v>69364.014373716665</v>
      </c>
      <c r="BA92" s="249">
        <f>IF(AX92&gt;0,IF($M92="Saudi",MIN(AX92+$Q92*$V92,Assumptions!$B$14)*Assumptions!$B$12,MIN(AX92+$Q92*$V92,Assumptions!$B$14)*Assumptions!$B$13),0)</f>
        <v>0</v>
      </c>
      <c r="BB92" s="249">
        <f>IF(AND(AX92&gt;0,$M92="Non-Saudi"),Assumptions!$B$25,0)</f>
        <v>910.41666666666663</v>
      </c>
      <c r="BC92" s="249">
        <f t="shared" si="39"/>
        <v>4888.6666666666688</v>
      </c>
      <c r="BD92" s="249">
        <f t="shared" si="40"/>
        <v>6222.0000000000027</v>
      </c>
      <c r="BE92" s="249">
        <f>IF(AND(BD92&gt;0,$N92&lt;&gt;""),IF((DATE(Assumptions!$B$4,7,28)-$N92)/365.25&lt;=Assumptions!$B$20,(DATE(Assumptions!$B$4,7,28)-$N92)/365.25*Assumptions!$B$18*BD92,(Assumptions!$B$20*Assumptions!$B$18+((DATE(Assumptions!$B$4,7,28)-$N92)/365.25-Assumptions!$B$20)*Assumptions!$B$19)*BD92),0)</f>
        <v>69875.061601642738</v>
      </c>
      <c r="BF92" s="249">
        <f>IF(BC92&gt;0,IF($M92="Saudi",MIN(BC92+$Q92*$V92,Assumptions!$B$14)*Assumptions!$B$12,MIN(BC92+$Q92*$V92,Assumptions!$B$14)*Assumptions!$B$13),0)</f>
        <v>0</v>
      </c>
      <c r="BG92" s="249">
        <f>IF(AND(BC92&gt;0,$M92="Non-Saudi"),Assumptions!$B$25,0)</f>
        <v>910.41666666666663</v>
      </c>
      <c r="BH92" s="249">
        <f t="shared" si="41"/>
        <v>4888.6666666666688</v>
      </c>
      <c r="BI92" s="249">
        <f t="shared" si="42"/>
        <v>6222.0000000000027</v>
      </c>
      <c r="BJ92" s="249">
        <f>IF(AND(BI92&gt;0,$N92&lt;&gt;""),IF((DATE(Assumptions!$B$4,8,28)-$N92)/365.25&lt;=Assumptions!$B$20,(DATE(Assumptions!$B$4,8,28)-$N92)/365.25*Assumptions!$B$18*BI92,(Assumptions!$B$20*Assumptions!$B$18+((DATE(Assumptions!$B$4,8,28)-$N92)/365.25-Assumptions!$B$20)*Assumptions!$B$19)*BI92),0)</f>
        <v>70403.143737166349</v>
      </c>
      <c r="BK92" s="249">
        <f>IF(BH92&gt;0,IF($M92="Saudi",MIN(BH92+$Q92*$V92,Assumptions!$B$14)*Assumptions!$B$12,MIN(BH92+$Q92*$V92,Assumptions!$B$14)*Assumptions!$B$13),0)</f>
        <v>0</v>
      </c>
      <c r="BL92" s="249">
        <f>IF(AND(BH92&gt;0,$M92="Non-Saudi"),Assumptions!$B$25,0)</f>
        <v>910.41666666666663</v>
      </c>
      <c r="BM92" s="249">
        <f>IF(AND($D92="Contrat Local",$N92&lt;&gt;""),IF(AND(9&gt;=Assumptions!$B$5,ISNUMBER($X92),$N92&lt;EDATE(Assumptions!$B$9,-Assumptions!$B$6*12)),($P92+$X92)*$V92,$P92*$V92),0)</f>
        <v>5055.3333333333358</v>
      </c>
      <c r="BN92" s="249">
        <f t="shared" si="43"/>
        <v>6388.6666666666697</v>
      </c>
      <c r="BO92" s="249">
        <f>IF(AND(BN92&gt;0,$N92&lt;&gt;""),IF((DATE(Assumptions!$B$4,9,28)-$N92)/365.25&lt;=Assumptions!$B$20,(DATE(Assumptions!$B$4,9,28)-$N92)/365.25*Assumptions!$B$18*BN92,(Assumptions!$B$20*Assumptions!$B$18+((DATE(Assumptions!$B$4,9,28)-$N92)/365.25-Assumptions!$B$20)*Assumptions!$B$19)*BN92),0)</f>
        <v>72831.23728040159</v>
      </c>
      <c r="BP92" s="249">
        <f>IF(BM92&gt;0,IF($M92="Saudi",MIN(BM92+$Q92*$V92,Assumptions!$B$14)*Assumptions!$B$12,MIN(BM92+$Q92*$V92,Assumptions!$B$14)*Assumptions!$B$13),0)</f>
        <v>0</v>
      </c>
      <c r="BQ92" s="249">
        <f>IF(AND(BM92&gt;0,$M92="Non-Saudi"),Assumptions!$B$25,0)</f>
        <v>910.41666666666663</v>
      </c>
      <c r="BR92" s="249">
        <f>IF(AND($D92="Contrat Local",$N92&lt;&gt;""),IF(AND(10&gt;=Assumptions!$B$5,ISNUMBER($X92),$N92&lt;EDATE(Assumptions!$B$9,-Assumptions!$B$6*12)),($P92+$X92)*$V92,$P92*$V92),0)</f>
        <v>5055.3333333333358</v>
      </c>
      <c r="BS92" s="249">
        <f t="shared" si="44"/>
        <v>6388.6666666666697</v>
      </c>
      <c r="BT92" s="249">
        <f>IF(AND(BS92&gt;0,$N92&lt;&gt;""),IF((DATE(Assumptions!$B$4,10,28)-$N92)/365.25&lt;=Assumptions!$B$20,(DATE(Assumptions!$B$4,10,28)-$N92)/365.25*Assumptions!$B$18*BS92,(Assumptions!$B$20*Assumptions!$B$18+((DATE(Assumptions!$B$4,10,28)-$N92)/365.25-Assumptions!$B$20)*Assumptions!$B$19)*BS92),0)</f>
        <v>73355.973762263326</v>
      </c>
      <c r="BU92" s="249">
        <f>IF(BR92&gt;0,IF($M92="Saudi",MIN(BR92+$Q92*$V92,Assumptions!$B$14)*Assumptions!$B$12,MIN(BR92+$Q92*$V92,Assumptions!$B$14)*Assumptions!$B$13),0)</f>
        <v>0</v>
      </c>
      <c r="BV92" s="249">
        <f>IF(AND(BR92&gt;0,$M92="Non-Saudi"),Assumptions!$B$25,0)</f>
        <v>910.41666666666663</v>
      </c>
      <c r="BW92" s="249">
        <f>IF(AND($D92="Contrat Local",$N92&lt;&gt;""),IF(AND(11&gt;=Assumptions!$B$5,ISNUMBER($X92),$N92&lt;EDATE(Assumptions!$B$9,-Assumptions!$B$6*12)),($P92+$X92)*$V92,$P92*$V92),0)</f>
        <v>5055.3333333333358</v>
      </c>
      <c r="BX92" s="249">
        <f t="shared" si="45"/>
        <v>6388.6666666666697</v>
      </c>
      <c r="BY92" s="249">
        <f>IF(AND(BX92&gt;0,$N92&lt;&gt;""),IF((DATE(Assumptions!$B$4,11,28)-$N92)/365.25&lt;=Assumptions!$B$20,(DATE(Assumptions!$B$4,11,28)-$N92)/365.25*Assumptions!$B$18*BX92,(Assumptions!$B$20*Assumptions!$B$18+((DATE(Assumptions!$B$4,11,28)-$N92)/365.25-Assumptions!$B$20)*Assumptions!$B$19)*BX92),0)</f>
        <v>73898.20146018712</v>
      </c>
      <c r="BZ92" s="249">
        <f>IF(BW92&gt;0,IF($M92="Saudi",MIN(BW92+$Q92*$V92,Assumptions!$B$14)*Assumptions!$B$12,MIN(BW92+$Q92*$V92,Assumptions!$B$14)*Assumptions!$B$13),0)</f>
        <v>0</v>
      </c>
      <c r="CA92" s="249">
        <f>IF(AND(BW92&gt;0,$M92="Non-Saudi"),Assumptions!$B$25,0)</f>
        <v>910.41666666666663</v>
      </c>
      <c r="CB92" s="249">
        <f>IF(AND($D92="Contrat Local",$N92&lt;&gt;""),IF(AND(12&gt;=Assumptions!$B$5,ISNUMBER($X92),$N92&lt;EDATE(Assumptions!$B$9,-Assumptions!$B$6*12)),($P92+$X92)*$V92,$P92*$V92),0)</f>
        <v>5055.3333333333358</v>
      </c>
      <c r="CC92" s="249">
        <f t="shared" si="46"/>
        <v>6388.6666666666697</v>
      </c>
      <c r="CD92" s="249">
        <f>IF(AND(CC92&gt;0,$N92&lt;&gt;""),IF((DATE(Assumptions!$B$4,12,28)-$N92)/365.25&lt;=Assumptions!$B$20,(DATE(Assumptions!$B$4,12,28)-$N92)/365.25*Assumptions!$B$18*CC92,(Assumptions!$B$20*Assumptions!$B$18+((DATE(Assumptions!$B$4,12,28)-$N92)/365.25-Assumptions!$B$20)*Assumptions!$B$19)*CC92),0)</f>
        <v>74422.937942048855</v>
      </c>
      <c r="CE92" s="249">
        <f>IF(CB92&gt;0,IF($M92="Saudi",MIN(CB92+$Q92*$V92,Assumptions!$B$14)*Assumptions!$B$12,MIN(CB92+$Q92*$V92,Assumptions!$B$14)*Assumptions!$B$13),0)</f>
        <v>0</v>
      </c>
      <c r="CF92" s="249">
        <f>IF(AND(CB92&gt;0,$M92="Non-Saudi"),Assumptions!$B$25,0)</f>
        <v>910.41666666666663</v>
      </c>
      <c r="CG92" s="249">
        <f t="shared" si="47"/>
        <v>59330.666666666693</v>
      </c>
      <c r="CH92" s="249">
        <f t="shared" si="48"/>
        <v>75330.666666666701</v>
      </c>
      <c r="CI92" s="249">
        <f>CD92-IF(AND(Z92&gt;0,$N92&lt;&gt;""),IF((DATE(Assumptions!$B$4-1,12,28)-$N92)/365.25&lt;=Assumptions!$B$20,(DATE(Assumptions!$B$4-1,12,28)-$N92)/365.25*Assumptions!$B$18*Z92,(Assumptions!$B$20*Assumptions!$B$18+((DATE(Assumptions!$B$4-1,12,28)-$N92)/365.25-Assumptions!$B$20)*Assumptions!$B$19)*Z92),0)</f>
        <v>8159.2767510837293</v>
      </c>
      <c r="CJ92" s="249">
        <f t="shared" si="49"/>
        <v>0</v>
      </c>
      <c r="CK92" s="249">
        <f t="shared" si="50"/>
        <v>10924.999999999998</v>
      </c>
    </row>
    <row r="93" spans="1:89" x14ac:dyDescent="0.2">
      <c r="A93" s="264">
        <v>93</v>
      </c>
      <c r="B93" s="265" t="s">
        <v>485</v>
      </c>
      <c r="C93" s="265" t="s">
        <v>486</v>
      </c>
      <c r="D93" s="265" t="s">
        <v>250</v>
      </c>
      <c r="E93" s="265" t="s">
        <v>767</v>
      </c>
      <c r="F93" s="265" t="s">
        <v>264</v>
      </c>
      <c r="G93" s="265" t="s">
        <v>8</v>
      </c>
      <c r="H93" s="265" t="s">
        <v>265</v>
      </c>
      <c r="I93" s="284" t="s">
        <v>691</v>
      </c>
      <c r="J93" s="265" t="s">
        <v>58</v>
      </c>
      <c r="K93" s="265" t="s">
        <v>8</v>
      </c>
      <c r="L93" s="265" t="s">
        <v>255</v>
      </c>
      <c r="M93" s="265" t="str">
        <f t="shared" si="26"/>
        <v>Non-Saudi</v>
      </c>
      <c r="N93" s="266">
        <v>45170</v>
      </c>
      <c r="O93" s="267">
        <v>3.3</v>
      </c>
      <c r="P93" s="268">
        <v>8750</v>
      </c>
      <c r="Q93" s="268">
        <v>2500</v>
      </c>
      <c r="R93" s="268">
        <v>500</v>
      </c>
      <c r="S93" s="268"/>
      <c r="T93" s="268"/>
      <c r="U93" s="268">
        <v>11750</v>
      </c>
      <c r="V93" s="269">
        <v>1</v>
      </c>
      <c r="W93" s="265" t="s">
        <v>259</v>
      </c>
      <c r="X93" s="265">
        <v>250</v>
      </c>
      <c r="Y93" s="249">
        <f t="shared" si="27"/>
        <v>8750</v>
      </c>
      <c r="Z93" s="249">
        <f t="shared" si="28"/>
        <v>11750</v>
      </c>
      <c r="AA93" s="249">
        <f>IF(AND(Z93&gt;0,$N93&lt;&gt;""),IF((DATE(Assumptions!$B$4,1,28)-$N93)/365.25&lt;=Assumptions!$B$20,(DATE(Assumptions!$B$4,1,28)-$N93)/365.25*Assumptions!$B$18*Z93,(Assumptions!$B$20*Assumptions!$B$18+((DATE(Assumptions!$B$4,1,28)-$N93)/365.25-Assumptions!$B$20)*Assumptions!$B$19)*Z93),0)</f>
        <v>14154.688569472963</v>
      </c>
      <c r="AB93" s="249">
        <f>IF(Y93&gt;0,IF($M93="Saudi",MIN(Y93+$Q93*$V93,Assumptions!$B$14)*Assumptions!$B$12,MIN(Y93+$Q93*$V93,Assumptions!$B$14)*Assumptions!$B$13),0)</f>
        <v>0</v>
      </c>
      <c r="AC93" s="249">
        <f>IF(AND(Y93&gt;0,$M93="Non-Saudi"),Assumptions!$B$25,0)</f>
        <v>910.41666666666663</v>
      </c>
      <c r="AD93" s="249">
        <f t="shared" si="29"/>
        <v>8750</v>
      </c>
      <c r="AE93" s="249">
        <f t="shared" si="30"/>
        <v>11750</v>
      </c>
      <c r="AF93" s="249">
        <f>IF(AND(AE93&gt;0,$N93&lt;&gt;""),IF((DATE(Assumptions!$B$4,2,28)-$N93)/365.25&lt;=Assumptions!$B$20,(DATE(Assumptions!$B$4,2,28)-$N93)/365.25*Assumptions!$B$18*AE93,(Assumptions!$B$20*Assumptions!$B$18+((DATE(Assumptions!$B$4,2,28)-$N93)/365.25-Assumptions!$B$20)*Assumptions!$B$19)*AE93),0)</f>
        <v>14653.319644079398</v>
      </c>
      <c r="AG93" s="249">
        <f>IF(AD93&gt;0,IF($M93="Saudi",MIN(AD93+$Q93*$V93,Assumptions!$B$14)*Assumptions!$B$12,MIN(AD93+$Q93*$V93,Assumptions!$B$14)*Assumptions!$B$13),0)</f>
        <v>0</v>
      </c>
      <c r="AH93" s="249">
        <f>IF(AND(AD93&gt;0,$M93="Non-Saudi"),Assumptions!$B$25,0)</f>
        <v>910.41666666666663</v>
      </c>
      <c r="AI93" s="249">
        <f t="shared" si="31"/>
        <v>8750</v>
      </c>
      <c r="AJ93" s="249">
        <f t="shared" si="32"/>
        <v>11750</v>
      </c>
      <c r="AK93" s="249">
        <f>IF(AND(AJ93&gt;0,$N93&lt;&gt;""),IF((DATE(Assumptions!$B$4,3,28)-$N93)/365.25&lt;=Assumptions!$B$20,(DATE(Assumptions!$B$4,3,28)-$N93)/365.25*Assumptions!$B$18*AJ93,(Assumptions!$B$20*Assumptions!$B$18+((DATE(Assumptions!$B$4,3,28)-$N93)/365.25-Assumptions!$B$20)*Assumptions!$B$19)*AJ93),0)</f>
        <v>15103.696098562628</v>
      </c>
      <c r="AL93" s="249">
        <f>IF(AI93&gt;0,IF($M93="Saudi",MIN(AI93+$Q93*$V93,Assumptions!$B$14)*Assumptions!$B$12,MIN(AI93+$Q93*$V93,Assumptions!$B$14)*Assumptions!$B$13),0)</f>
        <v>0</v>
      </c>
      <c r="AM93" s="249">
        <f>IF(AND(AI93&gt;0,$M93="Non-Saudi"),Assumptions!$B$25,0)</f>
        <v>910.41666666666663</v>
      </c>
      <c r="AN93" s="249">
        <f t="shared" si="33"/>
        <v>8750</v>
      </c>
      <c r="AO93" s="249">
        <f t="shared" si="34"/>
        <v>11750</v>
      </c>
      <c r="AP93" s="249">
        <f>IF(AND(AO93&gt;0,$N93&lt;&gt;""),IF((DATE(Assumptions!$B$4,4,28)-$N93)/365.25&lt;=Assumptions!$B$20,(DATE(Assumptions!$B$4,4,28)-$N93)/365.25*Assumptions!$B$18*AO93,(Assumptions!$B$20*Assumptions!$B$18+((DATE(Assumptions!$B$4,4,28)-$N93)/365.25-Assumptions!$B$20)*Assumptions!$B$19)*AO93),0)</f>
        <v>15602.327173169062</v>
      </c>
      <c r="AQ93" s="249">
        <f>IF(AN93&gt;0,IF($M93="Saudi",MIN(AN93+$Q93*$V93,Assumptions!$B$14)*Assumptions!$B$12,MIN(AN93+$Q93*$V93,Assumptions!$B$14)*Assumptions!$B$13),0)</f>
        <v>0</v>
      </c>
      <c r="AR93" s="249">
        <f>IF(AND(AN93&gt;0,$M93="Non-Saudi"),Assumptions!$B$25,0)</f>
        <v>910.41666666666663</v>
      </c>
      <c r="AS93" s="249">
        <f t="shared" si="35"/>
        <v>8750</v>
      </c>
      <c r="AT93" s="249">
        <f t="shared" si="36"/>
        <v>11750</v>
      </c>
      <c r="AU93" s="249">
        <f>IF(AND(AT93&gt;0,$N93&lt;&gt;""),IF((DATE(Assumptions!$B$4,5,28)-$N93)/365.25&lt;=Assumptions!$B$20,(DATE(Assumptions!$B$4,5,28)-$N93)/365.25*Assumptions!$B$18*AT93,(Assumptions!$B$20*Assumptions!$B$18+((DATE(Assumptions!$B$4,5,28)-$N93)/365.25-Assumptions!$B$20)*Assumptions!$B$19)*AT93),0)</f>
        <v>16084.873374401095</v>
      </c>
      <c r="AV93" s="249">
        <f>IF(AS93&gt;0,IF($M93="Saudi",MIN(AS93+$Q93*$V93,Assumptions!$B$14)*Assumptions!$B$12,MIN(AS93+$Q93*$V93,Assumptions!$B$14)*Assumptions!$B$13),0)</f>
        <v>0</v>
      </c>
      <c r="AW93" s="249">
        <f>IF(AND(AS93&gt;0,$M93="Non-Saudi"),Assumptions!$B$25,0)</f>
        <v>910.41666666666663</v>
      </c>
      <c r="AX93" s="249">
        <f t="shared" si="37"/>
        <v>8750</v>
      </c>
      <c r="AY93" s="249">
        <f t="shared" si="38"/>
        <v>11750</v>
      </c>
      <c r="AZ93" s="249">
        <f>IF(AND(AY93&gt;0,$N93&lt;&gt;""),IF((DATE(Assumptions!$B$4,6,28)-$N93)/365.25&lt;=Assumptions!$B$20,(DATE(Assumptions!$B$4,6,28)-$N93)/365.25*Assumptions!$B$18*AY93,(Assumptions!$B$20*Assumptions!$B$18+((DATE(Assumptions!$B$4,6,28)-$N93)/365.25-Assumptions!$B$20)*Assumptions!$B$19)*AY93),0)</f>
        <v>16583.504449007531</v>
      </c>
      <c r="BA93" s="249">
        <f>IF(AX93&gt;0,IF($M93="Saudi",MIN(AX93+$Q93*$V93,Assumptions!$B$14)*Assumptions!$B$12,MIN(AX93+$Q93*$V93,Assumptions!$B$14)*Assumptions!$B$13),0)</f>
        <v>0</v>
      </c>
      <c r="BB93" s="249">
        <f>IF(AND(AX93&gt;0,$M93="Non-Saudi"),Assumptions!$B$25,0)</f>
        <v>910.41666666666663</v>
      </c>
      <c r="BC93" s="249">
        <f t="shared" si="39"/>
        <v>8750</v>
      </c>
      <c r="BD93" s="249">
        <f t="shared" si="40"/>
        <v>11750</v>
      </c>
      <c r="BE93" s="249">
        <f>IF(AND(BD93&gt;0,$N93&lt;&gt;""),IF((DATE(Assumptions!$B$4,7,28)-$N93)/365.25&lt;=Assumptions!$B$20,(DATE(Assumptions!$B$4,7,28)-$N93)/365.25*Assumptions!$B$18*BD93,(Assumptions!$B$20*Assumptions!$B$18+((DATE(Assumptions!$B$4,7,28)-$N93)/365.25-Assumptions!$B$20)*Assumptions!$B$19)*BD93),0)</f>
        <v>17066.050650239562</v>
      </c>
      <c r="BF93" s="249">
        <f>IF(BC93&gt;0,IF($M93="Saudi",MIN(BC93+$Q93*$V93,Assumptions!$B$14)*Assumptions!$B$12,MIN(BC93+$Q93*$V93,Assumptions!$B$14)*Assumptions!$B$13),0)</f>
        <v>0</v>
      </c>
      <c r="BG93" s="249">
        <f>IF(AND(BC93&gt;0,$M93="Non-Saudi"),Assumptions!$B$25,0)</f>
        <v>910.41666666666663</v>
      </c>
      <c r="BH93" s="249">
        <f t="shared" si="41"/>
        <v>8750</v>
      </c>
      <c r="BI93" s="249">
        <f t="shared" si="42"/>
        <v>11750</v>
      </c>
      <c r="BJ93" s="249">
        <f>IF(AND(BI93&gt;0,$N93&lt;&gt;""),IF((DATE(Assumptions!$B$4,8,28)-$N93)/365.25&lt;=Assumptions!$B$20,(DATE(Assumptions!$B$4,8,28)-$N93)/365.25*Assumptions!$B$18*BI93,(Assumptions!$B$20*Assumptions!$B$18+((DATE(Assumptions!$B$4,8,28)-$N93)/365.25-Assumptions!$B$20)*Assumptions!$B$19)*BI93),0)</f>
        <v>17564.681724845996</v>
      </c>
      <c r="BK93" s="249">
        <f>IF(BH93&gt;0,IF($M93="Saudi",MIN(BH93+$Q93*$V93,Assumptions!$B$14)*Assumptions!$B$12,MIN(BH93+$Q93*$V93,Assumptions!$B$14)*Assumptions!$B$13),0)</f>
        <v>0</v>
      </c>
      <c r="BL93" s="249">
        <f>IF(AND(BH93&gt;0,$M93="Non-Saudi"),Assumptions!$B$25,0)</f>
        <v>910.41666666666663</v>
      </c>
      <c r="BM93" s="249">
        <f>IF(AND($D93="Contrat Local",$N93&lt;&gt;""),IF(AND(9&gt;=Assumptions!$B$5,ISNUMBER($X93),$N93&lt;EDATE(Assumptions!$B$9,-Assumptions!$B$6*12)),($P93+$X93)*$V93,$P93*$V93),0)</f>
        <v>9000</v>
      </c>
      <c r="BN93" s="249">
        <f t="shared" si="43"/>
        <v>12000</v>
      </c>
      <c r="BO93" s="249">
        <f>IF(AND(BN93&gt;0,$N93&lt;&gt;""),IF((DATE(Assumptions!$B$4,9,28)-$N93)/365.25&lt;=Assumptions!$B$20,(DATE(Assumptions!$B$4,9,28)-$N93)/365.25*Assumptions!$B$18*BN93,(Assumptions!$B$20*Assumptions!$B$18+((DATE(Assumptions!$B$4,9,28)-$N93)/365.25-Assumptions!$B$20)*Assumptions!$B$19)*BN93),0)</f>
        <v>18447.638603696101</v>
      </c>
      <c r="BP93" s="249">
        <f>IF(BM93&gt;0,IF($M93="Saudi",MIN(BM93+$Q93*$V93,Assumptions!$B$14)*Assumptions!$B$12,MIN(BM93+$Q93*$V93,Assumptions!$B$14)*Assumptions!$B$13),0)</f>
        <v>0</v>
      </c>
      <c r="BQ93" s="249">
        <f>IF(AND(BM93&gt;0,$M93="Non-Saudi"),Assumptions!$B$25,0)</f>
        <v>910.41666666666663</v>
      </c>
      <c r="BR93" s="249">
        <f>IF(AND($D93="Contrat Local",$N93&lt;&gt;""),IF(AND(10&gt;=Assumptions!$B$5,ISNUMBER($X93),$N93&lt;EDATE(Assumptions!$B$9,-Assumptions!$B$6*12)),($P93+$X93)*$V93,$P93*$V93),0)</f>
        <v>9000</v>
      </c>
      <c r="BS93" s="249">
        <f t="shared" si="44"/>
        <v>12000</v>
      </c>
      <c r="BT93" s="249">
        <f>IF(AND(BS93&gt;0,$N93&lt;&gt;""),IF((DATE(Assumptions!$B$4,10,28)-$N93)/365.25&lt;=Assumptions!$B$20,(DATE(Assumptions!$B$4,10,28)-$N93)/365.25*Assumptions!$B$18*BS93,(Assumptions!$B$20*Assumptions!$B$18+((DATE(Assumptions!$B$4,10,28)-$N93)/365.25-Assumptions!$B$20)*Assumptions!$B$19)*BS93),0)</f>
        <v>18940.451745379876</v>
      </c>
      <c r="BU93" s="249">
        <f>IF(BR93&gt;0,IF($M93="Saudi",MIN(BR93+$Q93*$V93,Assumptions!$B$14)*Assumptions!$B$12,MIN(BR93+$Q93*$V93,Assumptions!$B$14)*Assumptions!$B$13),0)</f>
        <v>0</v>
      </c>
      <c r="BV93" s="249">
        <f>IF(AND(BR93&gt;0,$M93="Non-Saudi"),Assumptions!$B$25,0)</f>
        <v>910.41666666666663</v>
      </c>
      <c r="BW93" s="249">
        <f>IF(AND($D93="Contrat Local",$N93&lt;&gt;""),IF(AND(11&gt;=Assumptions!$B$5,ISNUMBER($X93),$N93&lt;EDATE(Assumptions!$B$9,-Assumptions!$B$6*12)),($P93+$X93)*$V93,$P93*$V93),0)</f>
        <v>9000</v>
      </c>
      <c r="BX93" s="249">
        <f t="shared" si="45"/>
        <v>12000</v>
      </c>
      <c r="BY93" s="249">
        <f>IF(AND(BX93&gt;0,$N93&lt;&gt;""),IF((DATE(Assumptions!$B$4,11,28)-$N93)/365.25&lt;=Assumptions!$B$20,(DATE(Assumptions!$B$4,11,28)-$N93)/365.25*Assumptions!$B$18*BX93,(Assumptions!$B$20*Assumptions!$B$18+((DATE(Assumptions!$B$4,11,28)-$N93)/365.25-Assumptions!$B$20)*Assumptions!$B$19)*BX93),0)</f>
        <v>19449.691991786447</v>
      </c>
      <c r="BZ93" s="249">
        <f>IF(BW93&gt;0,IF($M93="Saudi",MIN(BW93+$Q93*$V93,Assumptions!$B$14)*Assumptions!$B$12,MIN(BW93+$Q93*$V93,Assumptions!$B$14)*Assumptions!$B$13),0)</f>
        <v>0</v>
      </c>
      <c r="CA93" s="249">
        <f>IF(AND(BW93&gt;0,$M93="Non-Saudi"),Assumptions!$B$25,0)</f>
        <v>910.41666666666663</v>
      </c>
      <c r="CB93" s="249">
        <f>IF(AND($D93="Contrat Local",$N93&lt;&gt;""),IF(AND(12&gt;=Assumptions!$B$5,ISNUMBER($X93),$N93&lt;EDATE(Assumptions!$B$9,-Assumptions!$B$6*12)),($P93+$X93)*$V93,$P93*$V93),0)</f>
        <v>9000</v>
      </c>
      <c r="CC93" s="249">
        <f t="shared" si="46"/>
        <v>12000</v>
      </c>
      <c r="CD93" s="249">
        <f>IF(AND(CC93&gt;0,$N93&lt;&gt;""),IF((DATE(Assumptions!$B$4,12,28)-$N93)/365.25&lt;=Assumptions!$B$20,(DATE(Assumptions!$B$4,12,28)-$N93)/365.25*Assumptions!$B$18*CC93,(Assumptions!$B$20*Assumptions!$B$18+((DATE(Assumptions!$B$4,12,28)-$N93)/365.25-Assumptions!$B$20)*Assumptions!$B$19)*CC93),0)</f>
        <v>19942.505133470226</v>
      </c>
      <c r="CE93" s="249">
        <f>IF(CB93&gt;0,IF($M93="Saudi",MIN(CB93+$Q93*$V93,Assumptions!$B$14)*Assumptions!$B$12,MIN(CB93+$Q93*$V93,Assumptions!$B$14)*Assumptions!$B$13),0)</f>
        <v>0</v>
      </c>
      <c r="CF93" s="249">
        <f>IF(AND(CB93&gt;0,$M93="Non-Saudi"),Assumptions!$B$25,0)</f>
        <v>910.41666666666663</v>
      </c>
      <c r="CG93" s="249">
        <f t="shared" si="47"/>
        <v>106000</v>
      </c>
      <c r="CH93" s="249">
        <f t="shared" si="48"/>
        <v>142000</v>
      </c>
      <c r="CI93" s="249">
        <f>CD93-IF(AND(Z93&gt;0,$N93&lt;&gt;""),IF((DATE(Assumptions!$B$4-1,12,28)-$N93)/365.25&lt;=Assumptions!$B$20,(DATE(Assumptions!$B$4-1,12,28)-$N93)/365.25*Assumptions!$B$18*Z93,(Assumptions!$B$20*Assumptions!$B$18+((DATE(Assumptions!$B$4-1,12,28)-$N93)/365.25-Assumptions!$B$20)*Assumptions!$B$19)*Z93),0)</f>
        <v>6286.4476386036949</v>
      </c>
      <c r="CJ93" s="249">
        <f t="shared" si="49"/>
        <v>0</v>
      </c>
      <c r="CK93" s="249">
        <f t="shared" si="50"/>
        <v>10924.999999999998</v>
      </c>
    </row>
    <row r="94" spans="1:89" x14ac:dyDescent="0.2">
      <c r="A94" s="276">
        <v>94</v>
      </c>
      <c r="B94" s="277" t="s">
        <v>487</v>
      </c>
      <c r="C94" s="277" t="s">
        <v>488</v>
      </c>
      <c r="D94" s="277" t="s">
        <v>250</v>
      </c>
      <c r="E94" s="277" t="s">
        <v>767</v>
      </c>
      <c r="F94" s="277" t="s">
        <v>302</v>
      </c>
      <c r="G94" s="277" t="s">
        <v>303</v>
      </c>
      <c r="H94" s="277" t="s">
        <v>40</v>
      </c>
      <c r="I94" s="287" t="s">
        <v>691</v>
      </c>
      <c r="J94" s="277" t="s">
        <v>71</v>
      </c>
      <c r="K94" s="277" t="s">
        <v>254</v>
      </c>
      <c r="L94" s="277" t="s">
        <v>255</v>
      </c>
      <c r="M94" s="277" t="str">
        <f t="shared" si="26"/>
        <v>Non-Saudi</v>
      </c>
      <c r="N94" s="278">
        <v>44440</v>
      </c>
      <c r="O94" s="279">
        <v>5.3</v>
      </c>
      <c r="P94" s="280">
        <v>9000</v>
      </c>
      <c r="Q94" s="280">
        <v>2500</v>
      </c>
      <c r="R94" s="280">
        <v>500</v>
      </c>
      <c r="S94" s="280"/>
      <c r="T94" s="280">
        <v>1640</v>
      </c>
      <c r="U94" s="280">
        <v>13640</v>
      </c>
      <c r="V94" s="281">
        <v>1</v>
      </c>
      <c r="W94" s="277" t="s">
        <v>256</v>
      </c>
      <c r="X94" s="277">
        <v>250</v>
      </c>
      <c r="Y94" s="249">
        <f t="shared" si="27"/>
        <v>9000</v>
      </c>
      <c r="Z94" s="249">
        <f t="shared" si="28"/>
        <v>13640</v>
      </c>
      <c r="AA94" s="249">
        <f>IF(AND(Z94&gt;0,$N94&lt;&gt;""),IF((DATE(Assumptions!$B$4,1,28)-$N94)/365.25&lt;=Assumptions!$B$20,(DATE(Assumptions!$B$4,1,28)-$N94)/365.25*Assumptions!$B$18*Z94,(Assumptions!$B$20*Assumptions!$B$18+((DATE(Assumptions!$B$4,1,28)-$N94)/365.25-Assumptions!$B$20)*Assumptions!$B$19)*Z94),0)</f>
        <v>30062.149212867902</v>
      </c>
      <c r="AB94" s="249">
        <f>IF(Y94&gt;0,IF($M94="Saudi",MIN(Y94+$Q94*$V94,Assumptions!$B$14)*Assumptions!$B$12,MIN(Y94+$Q94*$V94,Assumptions!$B$14)*Assumptions!$B$13),0)</f>
        <v>0</v>
      </c>
      <c r="AC94" s="249">
        <f>IF(AND(Y94&gt;0,$M94="Non-Saudi"),Assumptions!$B$25,0)</f>
        <v>910.41666666666663</v>
      </c>
      <c r="AD94" s="249">
        <f t="shared" si="29"/>
        <v>9000</v>
      </c>
      <c r="AE94" s="249">
        <f t="shared" si="30"/>
        <v>13640</v>
      </c>
      <c r="AF94" s="249">
        <f>IF(AND(AE94&gt;0,$N94&lt;&gt;""),IF((DATE(Assumptions!$B$4,2,28)-$N94)/365.25&lt;=Assumptions!$B$20,(DATE(Assumptions!$B$4,2,28)-$N94)/365.25*Assumptions!$B$18*AE94,(Assumptions!$B$20*Assumptions!$B$18+((DATE(Assumptions!$B$4,2,28)-$N94)/365.25-Assumptions!$B$20)*Assumptions!$B$19)*AE94),0)</f>
        <v>30640.985626283367</v>
      </c>
      <c r="AG94" s="249">
        <f>IF(AD94&gt;0,IF($M94="Saudi",MIN(AD94+$Q94*$V94,Assumptions!$B$14)*Assumptions!$B$12,MIN(AD94+$Q94*$V94,Assumptions!$B$14)*Assumptions!$B$13),0)</f>
        <v>0</v>
      </c>
      <c r="AH94" s="249">
        <f>IF(AND(AD94&gt;0,$M94="Non-Saudi"),Assumptions!$B$25,0)</f>
        <v>910.41666666666663</v>
      </c>
      <c r="AI94" s="249">
        <f t="shared" si="31"/>
        <v>9000</v>
      </c>
      <c r="AJ94" s="249">
        <f t="shared" si="32"/>
        <v>13640</v>
      </c>
      <c r="AK94" s="249">
        <f>IF(AND(AJ94&gt;0,$N94&lt;&gt;""),IF((DATE(Assumptions!$B$4,3,28)-$N94)/365.25&lt;=Assumptions!$B$20,(DATE(Assumptions!$B$4,3,28)-$N94)/365.25*Assumptions!$B$18*AJ94,(Assumptions!$B$20*Assumptions!$B$18+((DATE(Assumptions!$B$4,3,28)-$N94)/365.25-Assumptions!$B$20)*Assumptions!$B$19)*AJ94),0)</f>
        <v>31163.805612594115</v>
      </c>
      <c r="AL94" s="249">
        <f>IF(AI94&gt;0,IF($M94="Saudi",MIN(AI94+$Q94*$V94,Assumptions!$B$14)*Assumptions!$B$12,MIN(AI94+$Q94*$V94,Assumptions!$B$14)*Assumptions!$B$13),0)</f>
        <v>0</v>
      </c>
      <c r="AM94" s="249">
        <f>IF(AND(AI94&gt;0,$M94="Non-Saudi"),Assumptions!$B$25,0)</f>
        <v>910.41666666666663</v>
      </c>
      <c r="AN94" s="249">
        <f t="shared" si="33"/>
        <v>9000</v>
      </c>
      <c r="AO94" s="249">
        <f t="shared" si="34"/>
        <v>13640</v>
      </c>
      <c r="AP94" s="249">
        <f>IF(AND(AO94&gt;0,$N94&lt;&gt;""),IF((DATE(Assumptions!$B$4,4,28)-$N94)/365.25&lt;=Assumptions!$B$20,(DATE(Assumptions!$B$4,4,28)-$N94)/365.25*Assumptions!$B$18*AO94,(Assumptions!$B$20*Assumptions!$B$18+((DATE(Assumptions!$B$4,4,28)-$N94)/365.25-Assumptions!$B$20)*Assumptions!$B$19)*AO94),0)</f>
        <v>31742.642026009584</v>
      </c>
      <c r="AQ94" s="249">
        <f>IF(AN94&gt;0,IF($M94="Saudi",MIN(AN94+$Q94*$V94,Assumptions!$B$14)*Assumptions!$B$12,MIN(AN94+$Q94*$V94,Assumptions!$B$14)*Assumptions!$B$13),0)</f>
        <v>0</v>
      </c>
      <c r="AR94" s="249">
        <f>IF(AND(AN94&gt;0,$M94="Non-Saudi"),Assumptions!$B$25,0)</f>
        <v>910.41666666666663</v>
      </c>
      <c r="AS94" s="249">
        <f t="shared" si="35"/>
        <v>9000</v>
      </c>
      <c r="AT94" s="249">
        <f t="shared" si="36"/>
        <v>13640</v>
      </c>
      <c r="AU94" s="249">
        <f>IF(AND(AT94&gt;0,$N94&lt;&gt;""),IF((DATE(Assumptions!$B$4,5,28)-$N94)/365.25&lt;=Assumptions!$B$20,(DATE(Assumptions!$B$4,5,28)-$N94)/365.25*Assumptions!$B$18*AT94,(Assumptions!$B$20*Assumptions!$B$18+((DATE(Assumptions!$B$4,5,28)-$N94)/365.25-Assumptions!$B$20)*Assumptions!$B$19)*AT94),0)</f>
        <v>32302.80629705681</v>
      </c>
      <c r="AV94" s="249">
        <f>IF(AS94&gt;0,IF($M94="Saudi",MIN(AS94+$Q94*$V94,Assumptions!$B$14)*Assumptions!$B$12,MIN(AS94+$Q94*$V94,Assumptions!$B$14)*Assumptions!$B$13),0)</f>
        <v>0</v>
      </c>
      <c r="AW94" s="249">
        <f>IF(AND(AS94&gt;0,$M94="Non-Saudi"),Assumptions!$B$25,0)</f>
        <v>910.41666666666663</v>
      </c>
      <c r="AX94" s="249">
        <f t="shared" si="37"/>
        <v>9000</v>
      </c>
      <c r="AY94" s="249">
        <f t="shared" si="38"/>
        <v>13640</v>
      </c>
      <c r="AZ94" s="249">
        <f>IF(AND(AY94&gt;0,$N94&lt;&gt;""),IF((DATE(Assumptions!$B$4,6,28)-$N94)/365.25&lt;=Assumptions!$B$20,(DATE(Assumptions!$B$4,6,28)-$N94)/365.25*Assumptions!$B$18*AY94,(Assumptions!$B$20*Assumptions!$B$18+((DATE(Assumptions!$B$4,6,28)-$N94)/365.25-Assumptions!$B$20)*Assumptions!$B$19)*AY94),0)</f>
        <v>32881.642710472275</v>
      </c>
      <c r="BA94" s="249">
        <f>IF(AX94&gt;0,IF($M94="Saudi",MIN(AX94+$Q94*$V94,Assumptions!$B$14)*Assumptions!$B$12,MIN(AX94+$Q94*$V94,Assumptions!$B$14)*Assumptions!$B$13),0)</f>
        <v>0</v>
      </c>
      <c r="BB94" s="249">
        <f>IF(AND(AX94&gt;0,$M94="Non-Saudi"),Assumptions!$B$25,0)</f>
        <v>910.41666666666663</v>
      </c>
      <c r="BC94" s="249">
        <f t="shared" si="39"/>
        <v>9000</v>
      </c>
      <c r="BD94" s="249">
        <f t="shared" si="40"/>
        <v>13640</v>
      </c>
      <c r="BE94" s="249">
        <f>IF(AND(BD94&gt;0,$N94&lt;&gt;""),IF((DATE(Assumptions!$B$4,7,28)-$N94)/365.25&lt;=Assumptions!$B$20,(DATE(Assumptions!$B$4,7,28)-$N94)/365.25*Assumptions!$B$18*BD94,(Assumptions!$B$20*Assumptions!$B$18+((DATE(Assumptions!$B$4,7,28)-$N94)/365.25-Assumptions!$B$20)*Assumptions!$B$19)*BD94),0)</f>
        <v>33441.806981519505</v>
      </c>
      <c r="BF94" s="249">
        <f>IF(BC94&gt;0,IF($M94="Saudi",MIN(BC94+$Q94*$V94,Assumptions!$B$14)*Assumptions!$B$12,MIN(BC94+$Q94*$V94,Assumptions!$B$14)*Assumptions!$B$13),0)</f>
        <v>0</v>
      </c>
      <c r="BG94" s="249">
        <f>IF(AND(BC94&gt;0,$M94="Non-Saudi"),Assumptions!$B$25,0)</f>
        <v>910.41666666666663</v>
      </c>
      <c r="BH94" s="249">
        <f t="shared" si="41"/>
        <v>9000</v>
      </c>
      <c r="BI94" s="249">
        <f t="shared" si="42"/>
        <v>13640</v>
      </c>
      <c r="BJ94" s="249">
        <f>IF(AND(BI94&gt;0,$N94&lt;&gt;""),IF((DATE(Assumptions!$B$4,8,28)-$N94)/365.25&lt;=Assumptions!$B$20,(DATE(Assumptions!$B$4,8,28)-$N94)/365.25*Assumptions!$B$18*BI94,(Assumptions!$B$20*Assumptions!$B$18+((DATE(Assumptions!$B$4,8,28)-$N94)/365.25-Assumptions!$B$20)*Assumptions!$B$19)*BI94),0)</f>
        <v>34020.643394934981</v>
      </c>
      <c r="BK94" s="249">
        <f>IF(BH94&gt;0,IF($M94="Saudi",MIN(BH94+$Q94*$V94,Assumptions!$B$14)*Assumptions!$B$12,MIN(BH94+$Q94*$V94,Assumptions!$B$14)*Assumptions!$B$13),0)</f>
        <v>0</v>
      </c>
      <c r="BL94" s="249">
        <f>IF(AND(BH94&gt;0,$M94="Non-Saudi"),Assumptions!$B$25,0)</f>
        <v>910.41666666666663</v>
      </c>
      <c r="BM94" s="249">
        <f>IF(AND($D94="Contrat Local",$N94&lt;&gt;""),IF(AND(9&gt;=Assumptions!$B$5,ISNUMBER($X94),$N94&lt;EDATE(Assumptions!$B$9,-Assumptions!$B$6*12)),($P94+$X94)*$V94,$P94*$V94),0)</f>
        <v>9250</v>
      </c>
      <c r="BN94" s="249">
        <f t="shared" si="43"/>
        <v>13890</v>
      </c>
      <c r="BO94" s="249">
        <f>IF(AND(BN94&gt;0,$N94&lt;&gt;""),IF((DATE(Assumptions!$B$4,9,28)-$N94)/365.25&lt;=Assumptions!$B$20,(DATE(Assumptions!$B$4,9,28)-$N94)/365.25*Assumptions!$B$18*BN94,(Assumptions!$B$20*Assumptions!$B$18+((DATE(Assumptions!$B$4,9,28)-$N94)/365.25-Assumptions!$B$20)*Assumptions!$B$19)*BN94),0)</f>
        <v>35742.26899383984</v>
      </c>
      <c r="BP94" s="249">
        <f>IF(BM94&gt;0,IF($M94="Saudi",MIN(BM94+$Q94*$V94,Assumptions!$B$14)*Assumptions!$B$12,MIN(BM94+$Q94*$V94,Assumptions!$B$14)*Assumptions!$B$13),0)</f>
        <v>0</v>
      </c>
      <c r="BQ94" s="249">
        <f>IF(AND(BM94&gt;0,$M94="Non-Saudi"),Assumptions!$B$25,0)</f>
        <v>910.41666666666663</v>
      </c>
      <c r="BR94" s="249">
        <f>IF(AND($D94="Contrat Local",$N94&lt;&gt;""),IF(AND(10&gt;=Assumptions!$B$5,ISNUMBER($X94),$N94&lt;EDATE(Assumptions!$B$9,-Assumptions!$B$6*12)),($P94+$X94)*$V94,$P94*$V94),0)</f>
        <v>9250</v>
      </c>
      <c r="BS94" s="249">
        <f t="shared" si="44"/>
        <v>13890</v>
      </c>
      <c r="BT94" s="249">
        <f>IF(AND(BS94&gt;0,$N94&lt;&gt;""),IF((DATE(Assumptions!$B$4,10,28)-$N94)/365.25&lt;=Assumptions!$B$20,(DATE(Assumptions!$B$4,10,28)-$N94)/365.25*Assumptions!$B$18*BS94,(Assumptions!$B$20*Assumptions!$B$18+((DATE(Assumptions!$B$4,10,28)-$N94)/365.25-Assumptions!$B$20)*Assumptions!$B$19)*BS94),0)</f>
        <v>36883.131416837787</v>
      </c>
      <c r="BU94" s="249">
        <f>IF(BR94&gt;0,IF($M94="Saudi",MIN(BR94+$Q94*$V94,Assumptions!$B$14)*Assumptions!$B$12,MIN(BR94+$Q94*$V94,Assumptions!$B$14)*Assumptions!$B$13),0)</f>
        <v>0</v>
      </c>
      <c r="BV94" s="249">
        <f>IF(AND(BR94&gt;0,$M94="Non-Saudi"),Assumptions!$B$25,0)</f>
        <v>910.41666666666663</v>
      </c>
      <c r="BW94" s="249">
        <f>IF(AND($D94="Contrat Local",$N94&lt;&gt;""),IF(AND(11&gt;=Assumptions!$B$5,ISNUMBER($X94),$N94&lt;EDATE(Assumptions!$B$9,-Assumptions!$B$6*12)),($P94+$X94)*$V94,$P94*$V94),0)</f>
        <v>9250</v>
      </c>
      <c r="BX94" s="249">
        <f t="shared" si="45"/>
        <v>13890</v>
      </c>
      <c r="BY94" s="249">
        <f>IF(AND(BX94&gt;0,$N94&lt;&gt;""),IF((DATE(Assumptions!$B$4,11,28)-$N94)/365.25&lt;=Assumptions!$B$20,(DATE(Assumptions!$B$4,11,28)-$N94)/365.25*Assumptions!$B$18*BX94,(Assumptions!$B$20*Assumptions!$B$18+((DATE(Assumptions!$B$4,11,28)-$N94)/365.25-Assumptions!$B$20)*Assumptions!$B$19)*BX94),0)</f>
        <v>38062.022587268992</v>
      </c>
      <c r="BZ94" s="249">
        <f>IF(BW94&gt;0,IF($M94="Saudi",MIN(BW94+$Q94*$V94,Assumptions!$B$14)*Assumptions!$B$12,MIN(BW94+$Q94*$V94,Assumptions!$B$14)*Assumptions!$B$13),0)</f>
        <v>0</v>
      </c>
      <c r="CA94" s="249">
        <f>IF(AND(BW94&gt;0,$M94="Non-Saudi"),Assumptions!$B$25,0)</f>
        <v>910.41666666666663</v>
      </c>
      <c r="CB94" s="249">
        <f>IF(AND($D94="Contrat Local",$N94&lt;&gt;""),IF(AND(12&gt;=Assumptions!$B$5,ISNUMBER($X94),$N94&lt;EDATE(Assumptions!$B$9,-Assumptions!$B$6*12)),($P94+$X94)*$V94,$P94*$V94),0)</f>
        <v>9250</v>
      </c>
      <c r="CC94" s="249">
        <f t="shared" si="46"/>
        <v>13890</v>
      </c>
      <c r="CD94" s="249">
        <f>IF(AND(CC94&gt;0,$N94&lt;&gt;""),IF((DATE(Assumptions!$B$4,12,28)-$N94)/365.25&lt;=Assumptions!$B$20,(DATE(Assumptions!$B$4,12,28)-$N94)/365.25*Assumptions!$B$18*CC94,(Assumptions!$B$20*Assumptions!$B$18+((DATE(Assumptions!$B$4,12,28)-$N94)/365.25-Assumptions!$B$20)*Assumptions!$B$19)*CC94),0)</f>
        <v>39202.885010266938</v>
      </c>
      <c r="CE94" s="249">
        <f>IF(CB94&gt;0,IF($M94="Saudi",MIN(CB94+$Q94*$V94,Assumptions!$B$14)*Assumptions!$B$12,MIN(CB94+$Q94*$V94,Assumptions!$B$14)*Assumptions!$B$13),0)</f>
        <v>0</v>
      </c>
      <c r="CF94" s="249">
        <f>IF(AND(CB94&gt;0,$M94="Non-Saudi"),Assumptions!$B$25,0)</f>
        <v>910.41666666666663</v>
      </c>
      <c r="CG94" s="249">
        <f t="shared" si="47"/>
        <v>109000</v>
      </c>
      <c r="CH94" s="249">
        <f t="shared" si="48"/>
        <v>164680</v>
      </c>
      <c r="CI94" s="249">
        <f>CD94-IF(AND(Z94&gt;0,$N94&lt;&gt;""),IF((DATE(Assumptions!$B$4-1,12,28)-$N94)/365.25&lt;=Assumptions!$B$20,(DATE(Assumptions!$B$4-1,12,28)-$N94)/365.25*Assumptions!$B$18*Z94,(Assumptions!$B$20*Assumptions!$B$18+((DATE(Assumptions!$B$4-1,12,28)-$N94)/365.25-Assumptions!$B$20)*Assumptions!$B$19)*Z94),0)</f>
        <v>9719.5722108145128</v>
      </c>
      <c r="CJ94" s="249">
        <f t="shared" si="49"/>
        <v>0</v>
      </c>
      <c r="CK94" s="249">
        <f t="shared" si="50"/>
        <v>10924.999999999998</v>
      </c>
    </row>
    <row r="95" spans="1:89" x14ac:dyDescent="0.2">
      <c r="A95" s="264">
        <v>95</v>
      </c>
      <c r="B95" s="265" t="s">
        <v>489</v>
      </c>
      <c r="C95" s="265" t="s">
        <v>297</v>
      </c>
      <c r="D95" s="265" t="s">
        <v>250</v>
      </c>
      <c r="E95" s="265" t="s">
        <v>767</v>
      </c>
      <c r="F95" s="265" t="s">
        <v>281</v>
      </c>
      <c r="G95" s="265" t="s">
        <v>8</v>
      </c>
      <c r="H95" s="265" t="s">
        <v>44</v>
      </c>
      <c r="I95" s="284" t="s">
        <v>691</v>
      </c>
      <c r="J95" s="265" t="s">
        <v>67</v>
      </c>
      <c r="K95" s="265" t="s">
        <v>282</v>
      </c>
      <c r="L95" s="265" t="s">
        <v>255</v>
      </c>
      <c r="M95" s="265" t="str">
        <f t="shared" si="26"/>
        <v>Non-Saudi</v>
      </c>
      <c r="N95" s="266">
        <v>45170</v>
      </c>
      <c r="O95" s="267">
        <v>3.3</v>
      </c>
      <c r="P95" s="268">
        <v>8250</v>
      </c>
      <c r="Q95" s="268">
        <v>2500</v>
      </c>
      <c r="R95" s="268">
        <v>500</v>
      </c>
      <c r="S95" s="268"/>
      <c r="T95" s="268">
        <v>1940</v>
      </c>
      <c r="U95" s="268">
        <v>13190</v>
      </c>
      <c r="V95" s="269">
        <v>1</v>
      </c>
      <c r="W95" s="265" t="s">
        <v>256</v>
      </c>
      <c r="X95" s="265">
        <v>250</v>
      </c>
      <c r="Y95" s="249">
        <f t="shared" si="27"/>
        <v>8250</v>
      </c>
      <c r="Z95" s="249">
        <f t="shared" si="28"/>
        <v>13190</v>
      </c>
      <c r="AA95" s="249">
        <f>IF(AND(Z95&gt;0,$N95&lt;&gt;""),IF((DATE(Assumptions!$B$4,1,28)-$N95)/365.25&lt;=Assumptions!$B$20,(DATE(Assumptions!$B$4,1,28)-$N95)/365.25*Assumptions!$B$18*Z95,(Assumptions!$B$20*Assumptions!$B$18+((DATE(Assumptions!$B$4,1,28)-$N95)/365.25-Assumptions!$B$20)*Assumptions!$B$19)*Z95),0)</f>
        <v>15889.390828199863</v>
      </c>
      <c r="AB95" s="249">
        <f>IF(Y95&gt;0,IF($M95="Saudi",MIN(Y95+$Q95*$V95,Assumptions!$B$14)*Assumptions!$B$12,MIN(Y95+$Q95*$V95,Assumptions!$B$14)*Assumptions!$B$13),0)</f>
        <v>0</v>
      </c>
      <c r="AC95" s="249">
        <f>IF(AND(Y95&gt;0,$M95="Non-Saudi"),Assumptions!$B$25,0)</f>
        <v>910.41666666666663</v>
      </c>
      <c r="AD95" s="249">
        <f t="shared" si="29"/>
        <v>8250</v>
      </c>
      <c r="AE95" s="249">
        <f t="shared" si="30"/>
        <v>13190</v>
      </c>
      <c r="AF95" s="249">
        <f>IF(AND(AE95&gt;0,$N95&lt;&gt;""),IF((DATE(Assumptions!$B$4,2,28)-$N95)/365.25&lt;=Assumptions!$B$20,(DATE(Assumptions!$B$4,2,28)-$N95)/365.25*Assumptions!$B$18*AE95,(Assumptions!$B$20*Assumptions!$B$18+((DATE(Assumptions!$B$4,2,28)-$N95)/365.25-Assumptions!$B$20)*Assumptions!$B$19)*AE95),0)</f>
        <v>16449.130732375088</v>
      </c>
      <c r="AG95" s="249">
        <f>IF(AD95&gt;0,IF($M95="Saudi",MIN(AD95+$Q95*$V95,Assumptions!$B$14)*Assumptions!$B$12,MIN(AD95+$Q95*$V95,Assumptions!$B$14)*Assumptions!$B$13),0)</f>
        <v>0</v>
      </c>
      <c r="AH95" s="249">
        <f>IF(AND(AD95&gt;0,$M95="Non-Saudi"),Assumptions!$B$25,0)</f>
        <v>910.41666666666663</v>
      </c>
      <c r="AI95" s="249">
        <f t="shared" si="31"/>
        <v>8250</v>
      </c>
      <c r="AJ95" s="249">
        <f t="shared" si="32"/>
        <v>13190</v>
      </c>
      <c r="AK95" s="249">
        <f>IF(AND(AJ95&gt;0,$N95&lt;&gt;""),IF((DATE(Assumptions!$B$4,3,28)-$N95)/365.25&lt;=Assumptions!$B$20,(DATE(Assumptions!$B$4,3,28)-$N95)/365.25*Assumptions!$B$18*AJ95,(Assumptions!$B$20*Assumptions!$B$18+((DATE(Assumptions!$B$4,3,28)-$N95)/365.25-Assumptions!$B$20)*Assumptions!$B$19)*AJ95),0)</f>
        <v>16954.702258726902</v>
      </c>
      <c r="AL95" s="249">
        <f>IF(AI95&gt;0,IF($M95="Saudi",MIN(AI95+$Q95*$V95,Assumptions!$B$14)*Assumptions!$B$12,MIN(AI95+$Q95*$V95,Assumptions!$B$14)*Assumptions!$B$13),0)</f>
        <v>0</v>
      </c>
      <c r="AM95" s="249">
        <f>IF(AND(AI95&gt;0,$M95="Non-Saudi"),Assumptions!$B$25,0)</f>
        <v>910.41666666666663</v>
      </c>
      <c r="AN95" s="249">
        <f t="shared" si="33"/>
        <v>8250</v>
      </c>
      <c r="AO95" s="249">
        <f t="shared" si="34"/>
        <v>13190</v>
      </c>
      <c r="AP95" s="249">
        <f>IF(AND(AO95&gt;0,$N95&lt;&gt;""),IF((DATE(Assumptions!$B$4,4,28)-$N95)/365.25&lt;=Assumptions!$B$20,(DATE(Assumptions!$B$4,4,28)-$N95)/365.25*Assumptions!$B$18*AO95,(Assumptions!$B$20*Assumptions!$B$18+((DATE(Assumptions!$B$4,4,28)-$N95)/365.25-Assumptions!$B$20)*Assumptions!$B$19)*AO95),0)</f>
        <v>17514.442162902124</v>
      </c>
      <c r="AQ95" s="249">
        <f>IF(AN95&gt;0,IF($M95="Saudi",MIN(AN95+$Q95*$V95,Assumptions!$B$14)*Assumptions!$B$12,MIN(AN95+$Q95*$V95,Assumptions!$B$14)*Assumptions!$B$13),0)</f>
        <v>0</v>
      </c>
      <c r="AR95" s="249">
        <f>IF(AND(AN95&gt;0,$M95="Non-Saudi"),Assumptions!$B$25,0)</f>
        <v>910.41666666666663</v>
      </c>
      <c r="AS95" s="249">
        <f t="shared" si="35"/>
        <v>8250</v>
      </c>
      <c r="AT95" s="249">
        <f t="shared" si="36"/>
        <v>13190</v>
      </c>
      <c r="AU95" s="249">
        <f>IF(AND(AT95&gt;0,$N95&lt;&gt;""),IF((DATE(Assumptions!$B$4,5,28)-$N95)/365.25&lt;=Assumptions!$B$20,(DATE(Assumptions!$B$4,5,28)-$N95)/365.25*Assumptions!$B$18*AT95,(Assumptions!$B$20*Assumptions!$B$18+((DATE(Assumptions!$B$4,5,28)-$N95)/365.25-Assumptions!$B$20)*Assumptions!$B$19)*AT95),0)</f>
        <v>18056.125941136208</v>
      </c>
      <c r="AV95" s="249">
        <f>IF(AS95&gt;0,IF($M95="Saudi",MIN(AS95+$Q95*$V95,Assumptions!$B$14)*Assumptions!$B$12,MIN(AS95+$Q95*$V95,Assumptions!$B$14)*Assumptions!$B$13),0)</f>
        <v>0</v>
      </c>
      <c r="AW95" s="249">
        <f>IF(AND(AS95&gt;0,$M95="Non-Saudi"),Assumptions!$B$25,0)</f>
        <v>910.41666666666663</v>
      </c>
      <c r="AX95" s="249">
        <f t="shared" si="37"/>
        <v>8250</v>
      </c>
      <c r="AY95" s="249">
        <f t="shared" si="38"/>
        <v>13190</v>
      </c>
      <c r="AZ95" s="249">
        <f>IF(AND(AY95&gt;0,$N95&lt;&gt;""),IF((DATE(Assumptions!$B$4,6,28)-$N95)/365.25&lt;=Assumptions!$B$20,(DATE(Assumptions!$B$4,6,28)-$N95)/365.25*Assumptions!$B$18*AY95,(Assumptions!$B$20*Assumptions!$B$18+((DATE(Assumptions!$B$4,6,28)-$N95)/365.25-Assumptions!$B$20)*Assumptions!$B$19)*AY95),0)</f>
        <v>18615.865845311433</v>
      </c>
      <c r="BA95" s="249">
        <f>IF(AX95&gt;0,IF($M95="Saudi",MIN(AX95+$Q95*$V95,Assumptions!$B$14)*Assumptions!$B$12,MIN(AX95+$Q95*$V95,Assumptions!$B$14)*Assumptions!$B$13),0)</f>
        <v>0</v>
      </c>
      <c r="BB95" s="249">
        <f>IF(AND(AX95&gt;0,$M95="Non-Saudi"),Assumptions!$B$25,0)</f>
        <v>910.41666666666663</v>
      </c>
      <c r="BC95" s="249">
        <f t="shared" si="39"/>
        <v>8250</v>
      </c>
      <c r="BD95" s="249">
        <f t="shared" si="40"/>
        <v>13190</v>
      </c>
      <c r="BE95" s="249">
        <f>IF(AND(BD95&gt;0,$N95&lt;&gt;""),IF((DATE(Assumptions!$B$4,7,28)-$N95)/365.25&lt;=Assumptions!$B$20,(DATE(Assumptions!$B$4,7,28)-$N95)/365.25*Assumptions!$B$18*BD95,(Assumptions!$B$20*Assumptions!$B$18+((DATE(Assumptions!$B$4,7,28)-$N95)/365.25-Assumptions!$B$20)*Assumptions!$B$19)*BD95),0)</f>
        <v>19157.549623545518</v>
      </c>
      <c r="BF95" s="249">
        <f>IF(BC95&gt;0,IF($M95="Saudi",MIN(BC95+$Q95*$V95,Assumptions!$B$14)*Assumptions!$B$12,MIN(BC95+$Q95*$V95,Assumptions!$B$14)*Assumptions!$B$13),0)</f>
        <v>0</v>
      </c>
      <c r="BG95" s="249">
        <f>IF(AND(BC95&gt;0,$M95="Non-Saudi"),Assumptions!$B$25,0)</f>
        <v>910.41666666666663</v>
      </c>
      <c r="BH95" s="249">
        <f t="shared" si="41"/>
        <v>8250</v>
      </c>
      <c r="BI95" s="249">
        <f t="shared" si="42"/>
        <v>13190</v>
      </c>
      <c r="BJ95" s="249">
        <f>IF(AND(BI95&gt;0,$N95&lt;&gt;""),IF((DATE(Assumptions!$B$4,8,28)-$N95)/365.25&lt;=Assumptions!$B$20,(DATE(Assumptions!$B$4,8,28)-$N95)/365.25*Assumptions!$B$18*BI95,(Assumptions!$B$20*Assumptions!$B$18+((DATE(Assumptions!$B$4,8,28)-$N95)/365.25-Assumptions!$B$20)*Assumptions!$B$19)*BI95),0)</f>
        <v>19717.289527720739</v>
      </c>
      <c r="BK95" s="249">
        <f>IF(BH95&gt;0,IF($M95="Saudi",MIN(BH95+$Q95*$V95,Assumptions!$B$14)*Assumptions!$B$12,MIN(BH95+$Q95*$V95,Assumptions!$B$14)*Assumptions!$B$13),0)</f>
        <v>0</v>
      </c>
      <c r="BL95" s="249">
        <f>IF(AND(BH95&gt;0,$M95="Non-Saudi"),Assumptions!$B$25,0)</f>
        <v>910.41666666666663</v>
      </c>
      <c r="BM95" s="249">
        <f>IF(AND($D95="Contrat Local",$N95&lt;&gt;""),IF(AND(9&gt;=Assumptions!$B$5,ISNUMBER($X95),$N95&lt;EDATE(Assumptions!$B$9,-Assumptions!$B$6*12)),($P95+$X95)*$V95,$P95*$V95),0)</f>
        <v>8500</v>
      </c>
      <c r="BN95" s="249">
        <f t="shared" si="43"/>
        <v>13440</v>
      </c>
      <c r="BO95" s="249">
        <f>IF(AND(BN95&gt;0,$N95&lt;&gt;""),IF((DATE(Assumptions!$B$4,9,28)-$N95)/365.25&lt;=Assumptions!$B$20,(DATE(Assumptions!$B$4,9,28)-$N95)/365.25*Assumptions!$B$18*BN95,(Assumptions!$B$20*Assumptions!$B$18+((DATE(Assumptions!$B$4,9,28)-$N95)/365.25-Assumptions!$B$20)*Assumptions!$B$19)*BN95),0)</f>
        <v>20661.355236139632</v>
      </c>
      <c r="BP95" s="249">
        <f>IF(BM95&gt;0,IF($M95="Saudi",MIN(BM95+$Q95*$V95,Assumptions!$B$14)*Assumptions!$B$12,MIN(BM95+$Q95*$V95,Assumptions!$B$14)*Assumptions!$B$13),0)</f>
        <v>0</v>
      </c>
      <c r="BQ95" s="249">
        <f>IF(AND(BM95&gt;0,$M95="Non-Saudi"),Assumptions!$B$25,0)</f>
        <v>910.41666666666663</v>
      </c>
      <c r="BR95" s="249">
        <f>IF(AND($D95="Contrat Local",$N95&lt;&gt;""),IF(AND(10&gt;=Assumptions!$B$5,ISNUMBER($X95),$N95&lt;EDATE(Assumptions!$B$9,-Assumptions!$B$6*12)),($P95+$X95)*$V95,$P95*$V95),0)</f>
        <v>8500</v>
      </c>
      <c r="BS95" s="249">
        <f t="shared" si="44"/>
        <v>13440</v>
      </c>
      <c r="BT95" s="249">
        <f>IF(AND(BS95&gt;0,$N95&lt;&gt;""),IF((DATE(Assumptions!$B$4,10,28)-$N95)/365.25&lt;=Assumptions!$B$20,(DATE(Assumptions!$B$4,10,28)-$N95)/365.25*Assumptions!$B$18*BS95,(Assumptions!$B$20*Assumptions!$B$18+((DATE(Assumptions!$B$4,10,28)-$N95)/365.25-Assumptions!$B$20)*Assumptions!$B$19)*BS95),0)</f>
        <v>21213.305954825464</v>
      </c>
      <c r="BU95" s="249">
        <f>IF(BR95&gt;0,IF($M95="Saudi",MIN(BR95+$Q95*$V95,Assumptions!$B$14)*Assumptions!$B$12,MIN(BR95+$Q95*$V95,Assumptions!$B$14)*Assumptions!$B$13),0)</f>
        <v>0</v>
      </c>
      <c r="BV95" s="249">
        <f>IF(AND(BR95&gt;0,$M95="Non-Saudi"),Assumptions!$B$25,0)</f>
        <v>910.41666666666663</v>
      </c>
      <c r="BW95" s="249">
        <f>IF(AND($D95="Contrat Local",$N95&lt;&gt;""),IF(AND(11&gt;=Assumptions!$B$5,ISNUMBER($X95),$N95&lt;EDATE(Assumptions!$B$9,-Assumptions!$B$6*12)),($P95+$X95)*$V95,$P95*$V95),0)</f>
        <v>8500</v>
      </c>
      <c r="BX95" s="249">
        <f t="shared" si="45"/>
        <v>13440</v>
      </c>
      <c r="BY95" s="249">
        <f>IF(AND(BX95&gt;0,$N95&lt;&gt;""),IF((DATE(Assumptions!$B$4,11,28)-$N95)/365.25&lt;=Assumptions!$B$20,(DATE(Assumptions!$B$4,11,28)-$N95)/365.25*Assumptions!$B$18*BX95,(Assumptions!$B$20*Assumptions!$B$18+((DATE(Assumptions!$B$4,11,28)-$N95)/365.25-Assumptions!$B$20)*Assumptions!$B$19)*BX95),0)</f>
        <v>21783.655030800823</v>
      </c>
      <c r="BZ95" s="249">
        <f>IF(BW95&gt;0,IF($M95="Saudi",MIN(BW95+$Q95*$V95,Assumptions!$B$14)*Assumptions!$B$12,MIN(BW95+$Q95*$V95,Assumptions!$B$14)*Assumptions!$B$13),0)</f>
        <v>0</v>
      </c>
      <c r="CA95" s="249">
        <f>IF(AND(BW95&gt;0,$M95="Non-Saudi"),Assumptions!$B$25,0)</f>
        <v>910.41666666666663</v>
      </c>
      <c r="CB95" s="249">
        <f>IF(AND($D95="Contrat Local",$N95&lt;&gt;""),IF(AND(12&gt;=Assumptions!$B$5,ISNUMBER($X95),$N95&lt;EDATE(Assumptions!$B$9,-Assumptions!$B$6*12)),($P95+$X95)*$V95,$P95*$V95),0)</f>
        <v>8500</v>
      </c>
      <c r="CC95" s="249">
        <f t="shared" si="46"/>
        <v>13440</v>
      </c>
      <c r="CD95" s="249">
        <f>IF(AND(CC95&gt;0,$N95&lt;&gt;""),IF((DATE(Assumptions!$B$4,12,28)-$N95)/365.25&lt;=Assumptions!$B$20,(DATE(Assumptions!$B$4,12,28)-$N95)/365.25*Assumptions!$B$18*CC95,(Assumptions!$B$20*Assumptions!$B$18+((DATE(Assumptions!$B$4,12,28)-$N95)/365.25-Assumptions!$B$20)*Assumptions!$B$19)*CC95),0)</f>
        <v>22335.605749486651</v>
      </c>
      <c r="CE95" s="249">
        <f>IF(CB95&gt;0,IF($M95="Saudi",MIN(CB95+$Q95*$V95,Assumptions!$B$14)*Assumptions!$B$12,MIN(CB95+$Q95*$V95,Assumptions!$B$14)*Assumptions!$B$13),0)</f>
        <v>0</v>
      </c>
      <c r="CF95" s="249">
        <f>IF(AND(CB95&gt;0,$M95="Non-Saudi"),Assumptions!$B$25,0)</f>
        <v>910.41666666666663</v>
      </c>
      <c r="CG95" s="249">
        <f t="shared" si="47"/>
        <v>100000</v>
      </c>
      <c r="CH95" s="249">
        <f t="shared" si="48"/>
        <v>159280</v>
      </c>
      <c r="CI95" s="249">
        <f>CD95-IF(AND(Z95&gt;0,$N95&lt;&gt;""),IF((DATE(Assumptions!$B$4-1,12,28)-$N95)/365.25&lt;=Assumptions!$B$20,(DATE(Assumptions!$B$4-1,12,28)-$N95)/365.25*Assumptions!$B$18*Z95,(Assumptions!$B$20*Assumptions!$B$18+((DATE(Assumptions!$B$4-1,12,28)-$N95)/365.25-Assumptions!$B$20)*Assumptions!$B$19)*Z95),0)</f>
        <v>7005.9548254620095</v>
      </c>
      <c r="CJ95" s="249">
        <f t="shared" si="49"/>
        <v>0</v>
      </c>
      <c r="CK95" s="249">
        <f t="shared" si="50"/>
        <v>10924.999999999998</v>
      </c>
    </row>
    <row r="96" spans="1:89" x14ac:dyDescent="0.2">
      <c r="A96" s="270">
        <v>96</v>
      </c>
      <c r="B96" s="271" t="s">
        <v>490</v>
      </c>
      <c r="C96" s="271" t="s">
        <v>491</v>
      </c>
      <c r="D96" s="271" t="s">
        <v>250</v>
      </c>
      <c r="E96" s="271" t="s">
        <v>767</v>
      </c>
      <c r="F96" s="271" t="s">
        <v>492</v>
      </c>
      <c r="G96" s="271" t="s">
        <v>272</v>
      </c>
      <c r="H96" s="271" t="s">
        <v>493</v>
      </c>
      <c r="I96" s="285" t="s">
        <v>690</v>
      </c>
      <c r="J96" s="271"/>
      <c r="K96" s="271" t="s">
        <v>272</v>
      </c>
      <c r="L96" s="271" t="s">
        <v>255</v>
      </c>
      <c r="M96" s="271" t="str">
        <f t="shared" si="26"/>
        <v>Non-Saudi</v>
      </c>
      <c r="N96" s="272">
        <v>44805</v>
      </c>
      <c r="O96" s="273">
        <v>4.3</v>
      </c>
      <c r="P96" s="274">
        <v>12750</v>
      </c>
      <c r="Q96" s="274">
        <v>2500</v>
      </c>
      <c r="R96" s="274">
        <v>500</v>
      </c>
      <c r="S96" s="274">
        <v>1000</v>
      </c>
      <c r="T96" s="274"/>
      <c r="U96" s="274">
        <v>16750</v>
      </c>
      <c r="V96" s="275">
        <v>1</v>
      </c>
      <c r="W96" s="271" t="s">
        <v>256</v>
      </c>
      <c r="X96" s="271">
        <v>250</v>
      </c>
      <c r="Y96" s="249">
        <f t="shared" si="27"/>
        <v>12750</v>
      </c>
      <c r="Z96" s="249">
        <f t="shared" si="28"/>
        <v>16750</v>
      </c>
      <c r="AA96" s="249">
        <f>IF(AND(Z96&gt;0,$N96&lt;&gt;""),IF((DATE(Assumptions!$B$4,1,28)-$N96)/365.25&lt;=Assumptions!$B$20,(DATE(Assumptions!$B$4,1,28)-$N96)/365.25*Assumptions!$B$18*Z96,(Assumptions!$B$20*Assumptions!$B$18+((DATE(Assumptions!$B$4,1,28)-$N96)/365.25-Assumptions!$B$20)*Assumptions!$B$19)*Z96),0)</f>
        <v>28547.227926078031</v>
      </c>
      <c r="AB96" s="249">
        <f>IF(Y96&gt;0,IF($M96="Saudi",MIN(Y96+$Q96*$V96,Assumptions!$B$14)*Assumptions!$B$12,MIN(Y96+$Q96*$V96,Assumptions!$B$14)*Assumptions!$B$13),0)</f>
        <v>0</v>
      </c>
      <c r="AC96" s="249">
        <f>IF(AND(Y96&gt;0,$M96="Non-Saudi"),Assumptions!$B$25,0)</f>
        <v>910.41666666666663</v>
      </c>
      <c r="AD96" s="249">
        <f t="shared" si="29"/>
        <v>12750</v>
      </c>
      <c r="AE96" s="249">
        <f t="shared" si="30"/>
        <v>16750</v>
      </c>
      <c r="AF96" s="249">
        <f>IF(AND(AE96&gt;0,$N96&lt;&gt;""),IF((DATE(Assumptions!$B$4,2,28)-$N96)/365.25&lt;=Assumptions!$B$20,(DATE(Assumptions!$B$4,2,28)-$N96)/365.25*Assumptions!$B$18*AE96,(Assumptions!$B$20*Assumptions!$B$18+((DATE(Assumptions!$B$4,2,28)-$N96)/365.25-Assumptions!$B$20)*Assumptions!$B$19)*AE96),0)</f>
        <v>29258.042436687199</v>
      </c>
      <c r="AG96" s="249">
        <f>IF(AD96&gt;0,IF($M96="Saudi",MIN(AD96+$Q96*$V96,Assumptions!$B$14)*Assumptions!$B$12,MIN(AD96+$Q96*$V96,Assumptions!$B$14)*Assumptions!$B$13),0)</f>
        <v>0</v>
      </c>
      <c r="AH96" s="249">
        <f>IF(AND(AD96&gt;0,$M96="Non-Saudi"),Assumptions!$B$25,0)</f>
        <v>910.41666666666663</v>
      </c>
      <c r="AI96" s="249">
        <f t="shared" si="31"/>
        <v>12750</v>
      </c>
      <c r="AJ96" s="249">
        <f t="shared" si="32"/>
        <v>16750</v>
      </c>
      <c r="AK96" s="249">
        <f>IF(AND(AJ96&gt;0,$N96&lt;&gt;""),IF((DATE(Assumptions!$B$4,3,28)-$N96)/365.25&lt;=Assumptions!$B$20,(DATE(Assumptions!$B$4,3,28)-$N96)/365.25*Assumptions!$B$18*AJ96,(Assumptions!$B$20*Assumptions!$B$18+((DATE(Assumptions!$B$4,3,28)-$N96)/365.25-Assumptions!$B$20)*Assumptions!$B$19)*AJ96),0)</f>
        <v>29900.068446269677</v>
      </c>
      <c r="AL96" s="249">
        <f>IF(AI96&gt;0,IF($M96="Saudi",MIN(AI96+$Q96*$V96,Assumptions!$B$14)*Assumptions!$B$12,MIN(AI96+$Q96*$V96,Assumptions!$B$14)*Assumptions!$B$13),0)</f>
        <v>0</v>
      </c>
      <c r="AM96" s="249">
        <f>IF(AND(AI96&gt;0,$M96="Non-Saudi"),Assumptions!$B$25,0)</f>
        <v>910.41666666666663</v>
      </c>
      <c r="AN96" s="249">
        <f t="shared" si="33"/>
        <v>12750</v>
      </c>
      <c r="AO96" s="249">
        <f t="shared" si="34"/>
        <v>16750</v>
      </c>
      <c r="AP96" s="249">
        <f>IF(AND(AO96&gt;0,$N96&lt;&gt;""),IF((DATE(Assumptions!$B$4,4,28)-$N96)/365.25&lt;=Assumptions!$B$20,(DATE(Assumptions!$B$4,4,28)-$N96)/365.25*Assumptions!$B$18*AO96,(Assumptions!$B$20*Assumptions!$B$18+((DATE(Assumptions!$B$4,4,28)-$N96)/365.25-Assumptions!$B$20)*Assumptions!$B$19)*AO96),0)</f>
        <v>30610.882956878853</v>
      </c>
      <c r="AQ96" s="249">
        <f>IF(AN96&gt;0,IF($M96="Saudi",MIN(AN96+$Q96*$V96,Assumptions!$B$14)*Assumptions!$B$12,MIN(AN96+$Q96*$V96,Assumptions!$B$14)*Assumptions!$B$13),0)</f>
        <v>0</v>
      </c>
      <c r="AR96" s="249">
        <f>IF(AND(AN96&gt;0,$M96="Non-Saudi"),Assumptions!$B$25,0)</f>
        <v>910.41666666666663</v>
      </c>
      <c r="AS96" s="249">
        <f t="shared" si="35"/>
        <v>12750</v>
      </c>
      <c r="AT96" s="249">
        <f t="shared" si="36"/>
        <v>16750</v>
      </c>
      <c r="AU96" s="249">
        <f>IF(AND(AT96&gt;0,$N96&lt;&gt;""),IF((DATE(Assumptions!$B$4,5,28)-$N96)/365.25&lt;=Assumptions!$B$20,(DATE(Assumptions!$B$4,5,28)-$N96)/365.25*Assumptions!$B$18*AT96,(Assumptions!$B$20*Assumptions!$B$18+((DATE(Assumptions!$B$4,5,28)-$N96)/365.25-Assumptions!$B$20)*Assumptions!$B$19)*AT96),0)</f>
        <v>31298.767967145792</v>
      </c>
      <c r="AV96" s="249">
        <f>IF(AS96&gt;0,IF($M96="Saudi",MIN(AS96+$Q96*$V96,Assumptions!$B$14)*Assumptions!$B$12,MIN(AS96+$Q96*$V96,Assumptions!$B$14)*Assumptions!$B$13),0)</f>
        <v>0</v>
      </c>
      <c r="AW96" s="249">
        <f>IF(AND(AS96&gt;0,$M96="Non-Saudi"),Assumptions!$B$25,0)</f>
        <v>910.41666666666663</v>
      </c>
      <c r="AX96" s="249">
        <f t="shared" si="37"/>
        <v>12750</v>
      </c>
      <c r="AY96" s="249">
        <f t="shared" si="38"/>
        <v>16750</v>
      </c>
      <c r="AZ96" s="249">
        <f>IF(AND(AY96&gt;0,$N96&lt;&gt;""),IF((DATE(Assumptions!$B$4,6,28)-$N96)/365.25&lt;=Assumptions!$B$20,(DATE(Assumptions!$B$4,6,28)-$N96)/365.25*Assumptions!$B$18*AY96,(Assumptions!$B$20*Assumptions!$B$18+((DATE(Assumptions!$B$4,6,28)-$N96)/365.25-Assumptions!$B$20)*Assumptions!$B$19)*AY96),0)</f>
        <v>32009.582477754961</v>
      </c>
      <c r="BA96" s="249">
        <f>IF(AX96&gt;0,IF($M96="Saudi",MIN(AX96+$Q96*$V96,Assumptions!$B$14)*Assumptions!$B$12,MIN(AX96+$Q96*$V96,Assumptions!$B$14)*Assumptions!$B$13),0)</f>
        <v>0</v>
      </c>
      <c r="BB96" s="249">
        <f>IF(AND(AX96&gt;0,$M96="Non-Saudi"),Assumptions!$B$25,0)</f>
        <v>910.41666666666663</v>
      </c>
      <c r="BC96" s="249">
        <f t="shared" si="39"/>
        <v>12750</v>
      </c>
      <c r="BD96" s="249">
        <f t="shared" si="40"/>
        <v>16750</v>
      </c>
      <c r="BE96" s="249">
        <f>IF(AND(BD96&gt;0,$N96&lt;&gt;""),IF((DATE(Assumptions!$B$4,7,28)-$N96)/365.25&lt;=Assumptions!$B$20,(DATE(Assumptions!$B$4,7,28)-$N96)/365.25*Assumptions!$B$18*BD96,(Assumptions!$B$20*Assumptions!$B$18+((DATE(Assumptions!$B$4,7,28)-$N96)/365.25-Assumptions!$B$20)*Assumptions!$B$19)*BD96),0)</f>
        <v>32697.467488021903</v>
      </c>
      <c r="BF96" s="249">
        <f>IF(BC96&gt;0,IF($M96="Saudi",MIN(BC96+$Q96*$V96,Assumptions!$B$14)*Assumptions!$B$12,MIN(BC96+$Q96*$V96,Assumptions!$B$14)*Assumptions!$B$13),0)</f>
        <v>0</v>
      </c>
      <c r="BG96" s="249">
        <f>IF(AND(BC96&gt;0,$M96="Non-Saudi"),Assumptions!$B$25,0)</f>
        <v>910.41666666666663</v>
      </c>
      <c r="BH96" s="249">
        <f t="shared" si="41"/>
        <v>12750</v>
      </c>
      <c r="BI96" s="249">
        <f t="shared" si="42"/>
        <v>16750</v>
      </c>
      <c r="BJ96" s="249">
        <f>IF(AND(BI96&gt;0,$N96&lt;&gt;""),IF((DATE(Assumptions!$B$4,8,28)-$N96)/365.25&lt;=Assumptions!$B$20,(DATE(Assumptions!$B$4,8,28)-$N96)/365.25*Assumptions!$B$18*BI96,(Assumptions!$B$20*Assumptions!$B$18+((DATE(Assumptions!$B$4,8,28)-$N96)/365.25-Assumptions!$B$20)*Assumptions!$B$19)*BI96),0)</f>
        <v>33408.281998631079</v>
      </c>
      <c r="BK96" s="249">
        <f>IF(BH96&gt;0,IF($M96="Saudi",MIN(BH96+$Q96*$V96,Assumptions!$B$14)*Assumptions!$B$12,MIN(BH96+$Q96*$V96,Assumptions!$B$14)*Assumptions!$B$13),0)</f>
        <v>0</v>
      </c>
      <c r="BL96" s="249">
        <f>IF(AND(BH96&gt;0,$M96="Non-Saudi"),Assumptions!$B$25,0)</f>
        <v>910.41666666666663</v>
      </c>
      <c r="BM96" s="249">
        <f>IF(AND($D96="Contrat Local",$N96&lt;&gt;""),IF(AND(9&gt;=Assumptions!$B$5,ISNUMBER($X96),$N96&lt;EDATE(Assumptions!$B$9,-Assumptions!$B$6*12)),($P96+$X96)*$V96,$P96*$V96),0)</f>
        <v>13000</v>
      </c>
      <c r="BN96" s="249">
        <f t="shared" si="43"/>
        <v>17000</v>
      </c>
      <c r="BO96" s="249">
        <f>IF(AND(BN96&gt;0,$N96&lt;&gt;""),IF((DATE(Assumptions!$B$4,9,28)-$N96)/365.25&lt;=Assumptions!$B$20,(DATE(Assumptions!$B$4,9,28)-$N96)/365.25*Assumptions!$B$18*BN96,(Assumptions!$B$20*Assumptions!$B$18+((DATE(Assumptions!$B$4,9,28)-$N96)/365.25-Assumptions!$B$20)*Assumptions!$B$19)*BN96),0)</f>
        <v>34628.336755646815</v>
      </c>
      <c r="BP96" s="249">
        <f>IF(BM96&gt;0,IF($M96="Saudi",MIN(BM96+$Q96*$V96,Assumptions!$B$14)*Assumptions!$B$12,MIN(BM96+$Q96*$V96,Assumptions!$B$14)*Assumptions!$B$13),0)</f>
        <v>0</v>
      </c>
      <c r="BQ96" s="249">
        <f>IF(AND(BM96&gt;0,$M96="Non-Saudi"),Assumptions!$B$25,0)</f>
        <v>910.41666666666663</v>
      </c>
      <c r="BR96" s="249">
        <f>IF(AND($D96="Contrat Local",$N96&lt;&gt;""),IF(AND(10&gt;=Assumptions!$B$5,ISNUMBER($X96),$N96&lt;EDATE(Assumptions!$B$9,-Assumptions!$B$6*12)),($P96+$X96)*$V96,$P96*$V96),0)</f>
        <v>13000</v>
      </c>
      <c r="BS96" s="249">
        <f t="shared" si="44"/>
        <v>17000</v>
      </c>
      <c r="BT96" s="249">
        <f>IF(AND(BS96&gt;0,$N96&lt;&gt;""),IF((DATE(Assumptions!$B$4,10,28)-$N96)/365.25&lt;=Assumptions!$B$20,(DATE(Assumptions!$B$4,10,28)-$N96)/365.25*Assumptions!$B$18*BS96,(Assumptions!$B$20*Assumptions!$B$18+((DATE(Assumptions!$B$4,10,28)-$N96)/365.25-Assumptions!$B$20)*Assumptions!$B$19)*BS96),0)</f>
        <v>35326.488706365504</v>
      </c>
      <c r="BU96" s="249">
        <f>IF(BR96&gt;0,IF($M96="Saudi",MIN(BR96+$Q96*$V96,Assumptions!$B$14)*Assumptions!$B$12,MIN(BR96+$Q96*$V96,Assumptions!$B$14)*Assumptions!$B$13),0)</f>
        <v>0</v>
      </c>
      <c r="BV96" s="249">
        <f>IF(AND(BR96&gt;0,$M96="Non-Saudi"),Assumptions!$B$25,0)</f>
        <v>910.41666666666663</v>
      </c>
      <c r="BW96" s="249">
        <f>IF(AND($D96="Contrat Local",$N96&lt;&gt;""),IF(AND(11&gt;=Assumptions!$B$5,ISNUMBER($X96),$N96&lt;EDATE(Assumptions!$B$9,-Assumptions!$B$6*12)),($P96+$X96)*$V96,$P96*$V96),0)</f>
        <v>13000</v>
      </c>
      <c r="BX96" s="249">
        <f t="shared" si="45"/>
        <v>17000</v>
      </c>
      <c r="BY96" s="249">
        <f>IF(AND(BX96&gt;0,$N96&lt;&gt;""),IF((DATE(Assumptions!$B$4,11,28)-$N96)/365.25&lt;=Assumptions!$B$20,(DATE(Assumptions!$B$4,11,28)-$N96)/365.25*Assumptions!$B$18*BX96,(Assumptions!$B$20*Assumptions!$B$18+((DATE(Assumptions!$B$4,11,28)-$N96)/365.25-Assumptions!$B$20)*Assumptions!$B$19)*BX96),0)</f>
        <v>36047.912388774806</v>
      </c>
      <c r="BZ96" s="249">
        <f>IF(BW96&gt;0,IF($M96="Saudi",MIN(BW96+$Q96*$V96,Assumptions!$B$14)*Assumptions!$B$12,MIN(BW96+$Q96*$V96,Assumptions!$B$14)*Assumptions!$B$13),0)</f>
        <v>0</v>
      </c>
      <c r="CA96" s="249">
        <f>IF(AND(BW96&gt;0,$M96="Non-Saudi"),Assumptions!$B$25,0)</f>
        <v>910.41666666666663</v>
      </c>
      <c r="CB96" s="249">
        <f>IF(AND($D96="Contrat Local",$N96&lt;&gt;""),IF(AND(12&gt;=Assumptions!$B$5,ISNUMBER($X96),$N96&lt;EDATE(Assumptions!$B$9,-Assumptions!$B$6*12)),($P96+$X96)*$V96,$P96*$V96),0)</f>
        <v>13000</v>
      </c>
      <c r="CC96" s="249">
        <f t="shared" si="46"/>
        <v>17000</v>
      </c>
      <c r="CD96" s="249">
        <f>IF(AND(CC96&gt;0,$N96&lt;&gt;""),IF((DATE(Assumptions!$B$4,12,28)-$N96)/365.25&lt;=Assumptions!$B$20,(DATE(Assumptions!$B$4,12,28)-$N96)/365.25*Assumptions!$B$18*CC96,(Assumptions!$B$20*Assumptions!$B$18+((DATE(Assumptions!$B$4,12,28)-$N96)/365.25-Assumptions!$B$20)*Assumptions!$B$19)*CC96),0)</f>
        <v>36746.064339493496</v>
      </c>
      <c r="CE96" s="249">
        <f>IF(CB96&gt;0,IF($M96="Saudi",MIN(CB96+$Q96*$V96,Assumptions!$B$14)*Assumptions!$B$12,MIN(CB96+$Q96*$V96,Assumptions!$B$14)*Assumptions!$B$13),0)</f>
        <v>0</v>
      </c>
      <c r="CF96" s="249">
        <f>IF(AND(CB96&gt;0,$M96="Non-Saudi"),Assumptions!$B$25,0)</f>
        <v>910.41666666666663</v>
      </c>
      <c r="CG96" s="249">
        <f t="shared" si="47"/>
        <v>154000</v>
      </c>
      <c r="CH96" s="249">
        <f t="shared" si="48"/>
        <v>202000</v>
      </c>
      <c r="CI96" s="249">
        <f>CD96-IF(AND(Z96&gt;0,$N96&lt;&gt;""),IF((DATE(Assumptions!$B$4-1,12,28)-$N96)/365.25&lt;=Assumptions!$B$20,(DATE(Assumptions!$B$4-1,12,28)-$N96)/365.25*Assumptions!$B$18*Z96,(Assumptions!$B$20*Assumptions!$B$18+((DATE(Assumptions!$B$4-1,12,28)-$N96)/365.25-Assumptions!$B$20)*Assumptions!$B$19)*Z96),0)</f>
        <v>8909.6509240246414</v>
      </c>
      <c r="CJ96" s="249">
        <f t="shared" si="49"/>
        <v>0</v>
      </c>
      <c r="CK96" s="249">
        <f t="shared" si="50"/>
        <v>10924.999999999998</v>
      </c>
    </row>
    <row r="97" spans="1:89" x14ac:dyDescent="0.2">
      <c r="A97" s="270">
        <v>97</v>
      </c>
      <c r="B97" s="271" t="s">
        <v>494</v>
      </c>
      <c r="C97" s="271" t="s">
        <v>495</v>
      </c>
      <c r="D97" s="271" t="s">
        <v>250</v>
      </c>
      <c r="E97" s="271" t="s">
        <v>767</v>
      </c>
      <c r="F97" s="271" t="s">
        <v>496</v>
      </c>
      <c r="G97" s="271" t="s">
        <v>272</v>
      </c>
      <c r="H97" s="271" t="s">
        <v>497</v>
      </c>
      <c r="I97" s="285" t="s">
        <v>690</v>
      </c>
      <c r="J97" s="271"/>
      <c r="K97" s="271" t="s">
        <v>272</v>
      </c>
      <c r="L97" s="271" t="s">
        <v>255</v>
      </c>
      <c r="M97" s="271" t="str">
        <f t="shared" si="26"/>
        <v>Non-Saudi</v>
      </c>
      <c r="N97" s="272">
        <v>44805</v>
      </c>
      <c r="O97" s="273">
        <v>4.3</v>
      </c>
      <c r="P97" s="274">
        <v>8750</v>
      </c>
      <c r="Q97" s="274">
        <v>2500</v>
      </c>
      <c r="R97" s="274">
        <v>500</v>
      </c>
      <c r="S97" s="274"/>
      <c r="T97" s="274"/>
      <c r="U97" s="274">
        <v>11750</v>
      </c>
      <c r="V97" s="275">
        <v>1</v>
      </c>
      <c r="W97" s="271" t="s">
        <v>259</v>
      </c>
      <c r="X97" s="271">
        <v>250</v>
      </c>
      <c r="Y97" s="249">
        <f t="shared" si="27"/>
        <v>8750</v>
      </c>
      <c r="Z97" s="249">
        <f t="shared" si="28"/>
        <v>11750</v>
      </c>
      <c r="AA97" s="249">
        <f>IF(AND(Z97&gt;0,$N97&lt;&gt;""),IF((DATE(Assumptions!$B$4,1,28)-$N97)/365.25&lt;=Assumptions!$B$20,(DATE(Assumptions!$B$4,1,28)-$N97)/365.25*Assumptions!$B$18*Z97,(Assumptions!$B$20*Assumptions!$B$18+((DATE(Assumptions!$B$4,1,28)-$N97)/365.25-Assumptions!$B$20)*Assumptions!$B$19)*Z97),0)</f>
        <v>20025.667351129363</v>
      </c>
      <c r="AB97" s="249">
        <f>IF(Y97&gt;0,IF($M97="Saudi",MIN(Y97+$Q97*$V97,Assumptions!$B$14)*Assumptions!$B$12,MIN(Y97+$Q97*$V97,Assumptions!$B$14)*Assumptions!$B$13),0)</f>
        <v>0</v>
      </c>
      <c r="AC97" s="249">
        <f>IF(AND(Y97&gt;0,$M97="Non-Saudi"),Assumptions!$B$25,0)</f>
        <v>910.41666666666663</v>
      </c>
      <c r="AD97" s="249">
        <f t="shared" si="29"/>
        <v>8750</v>
      </c>
      <c r="AE97" s="249">
        <f t="shared" si="30"/>
        <v>11750</v>
      </c>
      <c r="AF97" s="249">
        <f>IF(AND(AE97&gt;0,$N97&lt;&gt;""),IF((DATE(Assumptions!$B$4,2,28)-$N97)/365.25&lt;=Assumptions!$B$20,(DATE(Assumptions!$B$4,2,28)-$N97)/365.25*Assumptions!$B$18*AE97,(Assumptions!$B$20*Assumptions!$B$18+((DATE(Assumptions!$B$4,2,28)-$N97)/365.25-Assumptions!$B$20)*Assumptions!$B$19)*AE97),0)</f>
        <v>20524.298425735797</v>
      </c>
      <c r="AG97" s="249">
        <f>IF(AD97&gt;0,IF($M97="Saudi",MIN(AD97+$Q97*$V97,Assumptions!$B$14)*Assumptions!$B$12,MIN(AD97+$Q97*$V97,Assumptions!$B$14)*Assumptions!$B$13),0)</f>
        <v>0</v>
      </c>
      <c r="AH97" s="249">
        <f>IF(AND(AD97&gt;0,$M97="Non-Saudi"),Assumptions!$B$25,0)</f>
        <v>910.41666666666663</v>
      </c>
      <c r="AI97" s="249">
        <f t="shared" si="31"/>
        <v>8750</v>
      </c>
      <c r="AJ97" s="249">
        <f t="shared" si="32"/>
        <v>11750</v>
      </c>
      <c r="AK97" s="249">
        <f>IF(AND(AJ97&gt;0,$N97&lt;&gt;""),IF((DATE(Assumptions!$B$4,3,28)-$N97)/365.25&lt;=Assumptions!$B$20,(DATE(Assumptions!$B$4,3,28)-$N97)/365.25*Assumptions!$B$18*AJ97,(Assumptions!$B$20*Assumptions!$B$18+((DATE(Assumptions!$B$4,3,28)-$N97)/365.25-Assumptions!$B$20)*Assumptions!$B$19)*AJ97),0)</f>
        <v>20974.674880219027</v>
      </c>
      <c r="AL97" s="249">
        <f>IF(AI97&gt;0,IF($M97="Saudi",MIN(AI97+$Q97*$V97,Assumptions!$B$14)*Assumptions!$B$12,MIN(AI97+$Q97*$V97,Assumptions!$B$14)*Assumptions!$B$13),0)</f>
        <v>0</v>
      </c>
      <c r="AM97" s="249">
        <f>IF(AND(AI97&gt;0,$M97="Non-Saudi"),Assumptions!$B$25,0)</f>
        <v>910.41666666666663</v>
      </c>
      <c r="AN97" s="249">
        <f t="shared" si="33"/>
        <v>8750</v>
      </c>
      <c r="AO97" s="249">
        <f t="shared" si="34"/>
        <v>11750</v>
      </c>
      <c r="AP97" s="249">
        <f>IF(AND(AO97&gt;0,$N97&lt;&gt;""),IF((DATE(Assumptions!$B$4,4,28)-$N97)/365.25&lt;=Assumptions!$B$20,(DATE(Assumptions!$B$4,4,28)-$N97)/365.25*Assumptions!$B$18*AO97,(Assumptions!$B$20*Assumptions!$B$18+((DATE(Assumptions!$B$4,4,28)-$N97)/365.25-Assumptions!$B$20)*Assumptions!$B$19)*AO97),0)</f>
        <v>21473.305954825464</v>
      </c>
      <c r="AQ97" s="249">
        <f>IF(AN97&gt;0,IF($M97="Saudi",MIN(AN97+$Q97*$V97,Assumptions!$B$14)*Assumptions!$B$12,MIN(AN97+$Q97*$V97,Assumptions!$B$14)*Assumptions!$B$13),0)</f>
        <v>0</v>
      </c>
      <c r="AR97" s="249">
        <f>IF(AND(AN97&gt;0,$M97="Non-Saudi"),Assumptions!$B$25,0)</f>
        <v>910.41666666666663</v>
      </c>
      <c r="AS97" s="249">
        <f t="shared" si="35"/>
        <v>8750</v>
      </c>
      <c r="AT97" s="249">
        <f t="shared" si="36"/>
        <v>11750</v>
      </c>
      <c r="AU97" s="249">
        <f>IF(AND(AT97&gt;0,$N97&lt;&gt;""),IF((DATE(Assumptions!$B$4,5,28)-$N97)/365.25&lt;=Assumptions!$B$20,(DATE(Assumptions!$B$4,5,28)-$N97)/365.25*Assumptions!$B$18*AT97,(Assumptions!$B$20*Assumptions!$B$18+((DATE(Assumptions!$B$4,5,28)-$N97)/365.25-Assumptions!$B$20)*Assumptions!$B$19)*AT97),0)</f>
        <v>21955.852156057495</v>
      </c>
      <c r="AV97" s="249">
        <f>IF(AS97&gt;0,IF($M97="Saudi",MIN(AS97+$Q97*$V97,Assumptions!$B$14)*Assumptions!$B$12,MIN(AS97+$Q97*$V97,Assumptions!$B$14)*Assumptions!$B$13),0)</f>
        <v>0</v>
      </c>
      <c r="AW97" s="249">
        <f>IF(AND(AS97&gt;0,$M97="Non-Saudi"),Assumptions!$B$25,0)</f>
        <v>910.41666666666663</v>
      </c>
      <c r="AX97" s="249">
        <f t="shared" si="37"/>
        <v>8750</v>
      </c>
      <c r="AY97" s="249">
        <f t="shared" si="38"/>
        <v>11750</v>
      </c>
      <c r="AZ97" s="249">
        <f>IF(AND(AY97&gt;0,$N97&lt;&gt;""),IF((DATE(Assumptions!$B$4,6,28)-$N97)/365.25&lt;=Assumptions!$B$20,(DATE(Assumptions!$B$4,6,28)-$N97)/365.25*Assumptions!$B$18*AY97,(Assumptions!$B$20*Assumptions!$B$18+((DATE(Assumptions!$B$4,6,28)-$N97)/365.25-Assumptions!$B$20)*Assumptions!$B$19)*AY97),0)</f>
        <v>22454.483230663929</v>
      </c>
      <c r="BA97" s="249">
        <f>IF(AX97&gt;0,IF($M97="Saudi",MIN(AX97+$Q97*$V97,Assumptions!$B$14)*Assumptions!$B$12,MIN(AX97+$Q97*$V97,Assumptions!$B$14)*Assumptions!$B$13),0)</f>
        <v>0</v>
      </c>
      <c r="BB97" s="249">
        <f>IF(AND(AX97&gt;0,$M97="Non-Saudi"),Assumptions!$B$25,0)</f>
        <v>910.41666666666663</v>
      </c>
      <c r="BC97" s="249">
        <f t="shared" si="39"/>
        <v>8750</v>
      </c>
      <c r="BD97" s="249">
        <f t="shared" si="40"/>
        <v>11750</v>
      </c>
      <c r="BE97" s="249">
        <f>IF(AND(BD97&gt;0,$N97&lt;&gt;""),IF((DATE(Assumptions!$B$4,7,28)-$N97)/365.25&lt;=Assumptions!$B$20,(DATE(Assumptions!$B$4,7,28)-$N97)/365.25*Assumptions!$B$18*BD97,(Assumptions!$B$20*Assumptions!$B$18+((DATE(Assumptions!$B$4,7,28)-$N97)/365.25-Assumptions!$B$20)*Assumptions!$B$19)*BD97),0)</f>
        <v>22937.02943189596</v>
      </c>
      <c r="BF97" s="249">
        <f>IF(BC97&gt;0,IF($M97="Saudi",MIN(BC97+$Q97*$V97,Assumptions!$B$14)*Assumptions!$B$12,MIN(BC97+$Q97*$V97,Assumptions!$B$14)*Assumptions!$B$13),0)</f>
        <v>0</v>
      </c>
      <c r="BG97" s="249">
        <f>IF(AND(BC97&gt;0,$M97="Non-Saudi"),Assumptions!$B$25,0)</f>
        <v>910.41666666666663</v>
      </c>
      <c r="BH97" s="249">
        <f t="shared" si="41"/>
        <v>8750</v>
      </c>
      <c r="BI97" s="249">
        <f t="shared" si="42"/>
        <v>11750</v>
      </c>
      <c r="BJ97" s="249">
        <f>IF(AND(BI97&gt;0,$N97&lt;&gt;""),IF((DATE(Assumptions!$B$4,8,28)-$N97)/365.25&lt;=Assumptions!$B$20,(DATE(Assumptions!$B$4,8,28)-$N97)/365.25*Assumptions!$B$18*BI97,(Assumptions!$B$20*Assumptions!$B$18+((DATE(Assumptions!$B$4,8,28)-$N97)/365.25-Assumptions!$B$20)*Assumptions!$B$19)*BI97),0)</f>
        <v>23435.660506502398</v>
      </c>
      <c r="BK97" s="249">
        <f>IF(BH97&gt;0,IF($M97="Saudi",MIN(BH97+$Q97*$V97,Assumptions!$B$14)*Assumptions!$B$12,MIN(BH97+$Q97*$V97,Assumptions!$B$14)*Assumptions!$B$13),0)</f>
        <v>0</v>
      </c>
      <c r="BL97" s="249">
        <f>IF(AND(BH97&gt;0,$M97="Non-Saudi"),Assumptions!$B$25,0)</f>
        <v>910.41666666666663</v>
      </c>
      <c r="BM97" s="249">
        <f>IF(AND($D97="Contrat Local",$N97&lt;&gt;""),IF(AND(9&gt;=Assumptions!$B$5,ISNUMBER($X97),$N97&lt;EDATE(Assumptions!$B$9,-Assumptions!$B$6*12)),($P97+$X97)*$V97,$P97*$V97),0)</f>
        <v>9000</v>
      </c>
      <c r="BN97" s="249">
        <f t="shared" si="43"/>
        <v>12000</v>
      </c>
      <c r="BO97" s="249">
        <f>IF(AND(BN97&gt;0,$N97&lt;&gt;""),IF((DATE(Assumptions!$B$4,9,28)-$N97)/365.25&lt;=Assumptions!$B$20,(DATE(Assumptions!$B$4,9,28)-$N97)/365.25*Assumptions!$B$18*BN97,(Assumptions!$B$20*Assumptions!$B$18+((DATE(Assumptions!$B$4,9,28)-$N97)/365.25-Assumptions!$B$20)*Assumptions!$B$19)*BN97),0)</f>
        <v>24443.531827515399</v>
      </c>
      <c r="BP97" s="249">
        <f>IF(BM97&gt;0,IF($M97="Saudi",MIN(BM97+$Q97*$V97,Assumptions!$B$14)*Assumptions!$B$12,MIN(BM97+$Q97*$V97,Assumptions!$B$14)*Assumptions!$B$13),0)</f>
        <v>0</v>
      </c>
      <c r="BQ97" s="249">
        <f>IF(AND(BM97&gt;0,$M97="Non-Saudi"),Assumptions!$B$25,0)</f>
        <v>910.41666666666663</v>
      </c>
      <c r="BR97" s="249">
        <f>IF(AND($D97="Contrat Local",$N97&lt;&gt;""),IF(AND(10&gt;=Assumptions!$B$5,ISNUMBER($X97),$N97&lt;EDATE(Assumptions!$B$9,-Assumptions!$B$6*12)),($P97+$X97)*$V97,$P97*$V97),0)</f>
        <v>9000</v>
      </c>
      <c r="BS97" s="249">
        <f t="shared" si="44"/>
        <v>12000</v>
      </c>
      <c r="BT97" s="249">
        <f>IF(AND(BS97&gt;0,$N97&lt;&gt;""),IF((DATE(Assumptions!$B$4,10,28)-$N97)/365.25&lt;=Assumptions!$B$20,(DATE(Assumptions!$B$4,10,28)-$N97)/365.25*Assumptions!$B$18*BS97,(Assumptions!$B$20*Assumptions!$B$18+((DATE(Assumptions!$B$4,10,28)-$N97)/365.25-Assumptions!$B$20)*Assumptions!$B$19)*BS97),0)</f>
        <v>24936.344969199177</v>
      </c>
      <c r="BU97" s="249">
        <f>IF(BR97&gt;0,IF($M97="Saudi",MIN(BR97+$Q97*$V97,Assumptions!$B$14)*Assumptions!$B$12,MIN(BR97+$Q97*$V97,Assumptions!$B$14)*Assumptions!$B$13),0)</f>
        <v>0</v>
      </c>
      <c r="BV97" s="249">
        <f>IF(AND(BR97&gt;0,$M97="Non-Saudi"),Assumptions!$B$25,0)</f>
        <v>910.41666666666663</v>
      </c>
      <c r="BW97" s="249">
        <f>IF(AND($D97="Contrat Local",$N97&lt;&gt;""),IF(AND(11&gt;=Assumptions!$B$5,ISNUMBER($X97),$N97&lt;EDATE(Assumptions!$B$9,-Assumptions!$B$6*12)),($P97+$X97)*$V97,$P97*$V97),0)</f>
        <v>9000</v>
      </c>
      <c r="BX97" s="249">
        <f t="shared" si="45"/>
        <v>12000</v>
      </c>
      <c r="BY97" s="249">
        <f>IF(AND(BX97&gt;0,$N97&lt;&gt;""),IF((DATE(Assumptions!$B$4,11,28)-$N97)/365.25&lt;=Assumptions!$B$20,(DATE(Assumptions!$B$4,11,28)-$N97)/365.25*Assumptions!$B$18*BX97,(Assumptions!$B$20*Assumptions!$B$18+((DATE(Assumptions!$B$4,11,28)-$N97)/365.25-Assumptions!$B$20)*Assumptions!$B$19)*BX97),0)</f>
        <v>25445.585215605748</v>
      </c>
      <c r="BZ97" s="249">
        <f>IF(BW97&gt;0,IF($M97="Saudi",MIN(BW97+$Q97*$V97,Assumptions!$B$14)*Assumptions!$B$12,MIN(BW97+$Q97*$V97,Assumptions!$B$14)*Assumptions!$B$13),0)</f>
        <v>0</v>
      </c>
      <c r="CA97" s="249">
        <f>IF(AND(BW97&gt;0,$M97="Non-Saudi"),Assumptions!$B$25,0)</f>
        <v>910.41666666666663</v>
      </c>
      <c r="CB97" s="249">
        <f>IF(AND($D97="Contrat Local",$N97&lt;&gt;""),IF(AND(12&gt;=Assumptions!$B$5,ISNUMBER($X97),$N97&lt;EDATE(Assumptions!$B$9,-Assumptions!$B$6*12)),($P97+$X97)*$V97,$P97*$V97),0)</f>
        <v>9000</v>
      </c>
      <c r="CC97" s="249">
        <f t="shared" si="46"/>
        <v>12000</v>
      </c>
      <c r="CD97" s="249">
        <f>IF(AND(CC97&gt;0,$N97&lt;&gt;""),IF((DATE(Assumptions!$B$4,12,28)-$N97)/365.25&lt;=Assumptions!$B$20,(DATE(Assumptions!$B$4,12,28)-$N97)/365.25*Assumptions!$B$18*CC97,(Assumptions!$B$20*Assumptions!$B$18+((DATE(Assumptions!$B$4,12,28)-$N97)/365.25-Assumptions!$B$20)*Assumptions!$B$19)*CC97),0)</f>
        <v>25938.398357289527</v>
      </c>
      <c r="CE97" s="249">
        <f>IF(CB97&gt;0,IF($M97="Saudi",MIN(CB97+$Q97*$V97,Assumptions!$B$14)*Assumptions!$B$12,MIN(CB97+$Q97*$V97,Assumptions!$B$14)*Assumptions!$B$13),0)</f>
        <v>0</v>
      </c>
      <c r="CF97" s="249">
        <f>IF(AND(CB97&gt;0,$M97="Non-Saudi"),Assumptions!$B$25,0)</f>
        <v>910.41666666666663</v>
      </c>
      <c r="CG97" s="249">
        <f t="shared" si="47"/>
        <v>106000</v>
      </c>
      <c r="CH97" s="249">
        <f t="shared" si="48"/>
        <v>142000</v>
      </c>
      <c r="CI97" s="249">
        <f>CD97-IF(AND(Z97&gt;0,$N97&lt;&gt;""),IF((DATE(Assumptions!$B$4-1,12,28)-$N97)/365.25&lt;=Assumptions!$B$20,(DATE(Assumptions!$B$4-1,12,28)-$N97)/365.25*Assumptions!$B$18*Z97,(Assumptions!$B$20*Assumptions!$B$18+((DATE(Assumptions!$B$4-1,12,28)-$N97)/365.25-Assumptions!$B$20)*Assumptions!$B$19)*Z97),0)</f>
        <v>6411.3620807665975</v>
      </c>
      <c r="CJ97" s="249">
        <f t="shared" si="49"/>
        <v>0</v>
      </c>
      <c r="CK97" s="249">
        <f t="shared" si="50"/>
        <v>10924.999999999998</v>
      </c>
    </row>
    <row r="98" spans="1:89" x14ac:dyDescent="0.2">
      <c r="A98" s="264">
        <v>98</v>
      </c>
      <c r="B98" s="265" t="s">
        <v>498</v>
      </c>
      <c r="C98" s="265" t="s">
        <v>499</v>
      </c>
      <c r="D98" s="265" t="s">
        <v>250</v>
      </c>
      <c r="E98" s="265" t="s">
        <v>767</v>
      </c>
      <c r="F98" s="265" t="s">
        <v>264</v>
      </c>
      <c r="G98" s="265" t="s">
        <v>8</v>
      </c>
      <c r="H98" s="265" t="s">
        <v>265</v>
      </c>
      <c r="I98" s="284" t="s">
        <v>691</v>
      </c>
      <c r="J98" s="265" t="s">
        <v>58</v>
      </c>
      <c r="K98" s="265" t="s">
        <v>8</v>
      </c>
      <c r="L98" s="265" t="s">
        <v>255</v>
      </c>
      <c r="M98" s="265" t="str">
        <f t="shared" si="26"/>
        <v>Non-Saudi</v>
      </c>
      <c r="N98" s="266">
        <v>43344</v>
      </c>
      <c r="O98" s="267">
        <v>8.3000000000000007</v>
      </c>
      <c r="P98" s="268">
        <v>9750</v>
      </c>
      <c r="Q98" s="268">
        <v>2500</v>
      </c>
      <c r="R98" s="268">
        <v>500</v>
      </c>
      <c r="S98" s="268"/>
      <c r="T98" s="268"/>
      <c r="U98" s="268">
        <v>12750</v>
      </c>
      <c r="V98" s="269">
        <v>1</v>
      </c>
      <c r="W98" s="265" t="s">
        <v>256</v>
      </c>
      <c r="X98" s="265">
        <v>250</v>
      </c>
      <c r="Y98" s="249">
        <f t="shared" si="27"/>
        <v>9750</v>
      </c>
      <c r="Z98" s="249">
        <f t="shared" si="28"/>
        <v>12750</v>
      </c>
      <c r="AA98" s="249">
        <f>IF(AND(Z98&gt;0,$N98&lt;&gt;""),IF((DATE(Assumptions!$B$4,1,28)-$N98)/365.25&lt;=Assumptions!$B$20,(DATE(Assumptions!$B$4,1,28)-$N98)/365.25*Assumptions!$B$18*Z98,(Assumptions!$B$20*Assumptions!$B$18+((DATE(Assumptions!$B$4,1,28)-$N98)/365.25-Assumptions!$B$20)*Assumptions!$B$19)*Z98),0)</f>
        <v>62584.958932238194</v>
      </c>
      <c r="AB98" s="249">
        <f>IF(Y98&gt;0,IF($M98="Saudi",MIN(Y98+$Q98*$V98,Assumptions!$B$14)*Assumptions!$B$12,MIN(Y98+$Q98*$V98,Assumptions!$B$14)*Assumptions!$B$13),0)</f>
        <v>0</v>
      </c>
      <c r="AC98" s="249">
        <f>IF(AND(Y98&gt;0,$M98="Non-Saudi"),Assumptions!$B$25,0)</f>
        <v>910.41666666666663</v>
      </c>
      <c r="AD98" s="249">
        <f t="shared" si="29"/>
        <v>9750</v>
      </c>
      <c r="AE98" s="249">
        <f t="shared" si="30"/>
        <v>12750</v>
      </c>
      <c r="AF98" s="249">
        <f>IF(AND(AE98&gt;0,$N98&lt;&gt;""),IF((DATE(Assumptions!$B$4,2,28)-$N98)/365.25&lt;=Assumptions!$B$20,(DATE(Assumptions!$B$4,2,28)-$N98)/365.25*Assumptions!$B$18*AE98,(Assumptions!$B$20*Assumptions!$B$18+((DATE(Assumptions!$B$4,2,28)-$N98)/365.25-Assumptions!$B$20)*Assumptions!$B$19)*AE98),0)</f>
        <v>63667.094455852159</v>
      </c>
      <c r="AG98" s="249">
        <f>IF(AD98&gt;0,IF($M98="Saudi",MIN(AD98+$Q98*$V98,Assumptions!$B$14)*Assumptions!$B$12,MIN(AD98+$Q98*$V98,Assumptions!$B$14)*Assumptions!$B$13),0)</f>
        <v>0</v>
      </c>
      <c r="AH98" s="249">
        <f>IF(AND(AD98&gt;0,$M98="Non-Saudi"),Assumptions!$B$25,0)</f>
        <v>910.41666666666663</v>
      </c>
      <c r="AI98" s="249">
        <f t="shared" si="31"/>
        <v>9750</v>
      </c>
      <c r="AJ98" s="249">
        <f t="shared" si="32"/>
        <v>12750</v>
      </c>
      <c r="AK98" s="249">
        <f>IF(AND(AJ98&gt;0,$N98&lt;&gt;""),IF((DATE(Assumptions!$B$4,3,28)-$N98)/365.25&lt;=Assumptions!$B$20,(DATE(Assumptions!$B$4,3,28)-$N98)/365.25*Assumptions!$B$18*AJ98,(Assumptions!$B$20*Assumptions!$B$18+((DATE(Assumptions!$B$4,3,28)-$N98)/365.25-Assumptions!$B$20)*Assumptions!$B$19)*AJ98),0)</f>
        <v>64644.507186858318</v>
      </c>
      <c r="AL98" s="249">
        <f>IF(AI98&gt;0,IF($M98="Saudi",MIN(AI98+$Q98*$V98,Assumptions!$B$14)*Assumptions!$B$12,MIN(AI98+$Q98*$V98,Assumptions!$B$14)*Assumptions!$B$13),0)</f>
        <v>0</v>
      </c>
      <c r="AM98" s="249">
        <f>IF(AND(AI98&gt;0,$M98="Non-Saudi"),Assumptions!$B$25,0)</f>
        <v>910.41666666666663</v>
      </c>
      <c r="AN98" s="249">
        <f t="shared" si="33"/>
        <v>9750</v>
      </c>
      <c r="AO98" s="249">
        <f t="shared" si="34"/>
        <v>12750</v>
      </c>
      <c r="AP98" s="249">
        <f>IF(AND(AO98&gt;0,$N98&lt;&gt;""),IF((DATE(Assumptions!$B$4,4,28)-$N98)/365.25&lt;=Assumptions!$B$20,(DATE(Assumptions!$B$4,4,28)-$N98)/365.25*Assumptions!$B$18*AO98,(Assumptions!$B$20*Assumptions!$B$18+((DATE(Assumptions!$B$4,4,28)-$N98)/365.25-Assumptions!$B$20)*Assumptions!$B$19)*AO98),0)</f>
        <v>65726.642710472282</v>
      </c>
      <c r="AQ98" s="249">
        <f>IF(AN98&gt;0,IF($M98="Saudi",MIN(AN98+$Q98*$V98,Assumptions!$B$14)*Assumptions!$B$12,MIN(AN98+$Q98*$V98,Assumptions!$B$14)*Assumptions!$B$13),0)</f>
        <v>0</v>
      </c>
      <c r="AR98" s="249">
        <f>IF(AND(AN98&gt;0,$M98="Non-Saudi"),Assumptions!$B$25,0)</f>
        <v>910.41666666666663</v>
      </c>
      <c r="AS98" s="249">
        <f t="shared" si="35"/>
        <v>9750</v>
      </c>
      <c r="AT98" s="249">
        <f t="shared" si="36"/>
        <v>12750</v>
      </c>
      <c r="AU98" s="249">
        <f>IF(AND(AT98&gt;0,$N98&lt;&gt;""),IF((DATE(Assumptions!$B$4,5,28)-$N98)/365.25&lt;=Assumptions!$B$20,(DATE(Assumptions!$B$4,5,28)-$N98)/365.25*Assumptions!$B$18*AT98,(Assumptions!$B$20*Assumptions!$B$18+((DATE(Assumptions!$B$4,5,28)-$N98)/365.25-Assumptions!$B$20)*Assumptions!$B$19)*AT98),0)</f>
        <v>66773.870636550302</v>
      </c>
      <c r="AV98" s="249">
        <f>IF(AS98&gt;0,IF($M98="Saudi",MIN(AS98+$Q98*$V98,Assumptions!$B$14)*Assumptions!$B$12,MIN(AS98+$Q98*$V98,Assumptions!$B$14)*Assumptions!$B$13),0)</f>
        <v>0</v>
      </c>
      <c r="AW98" s="249">
        <f>IF(AND(AS98&gt;0,$M98="Non-Saudi"),Assumptions!$B$25,0)</f>
        <v>910.41666666666663</v>
      </c>
      <c r="AX98" s="249">
        <f t="shared" si="37"/>
        <v>9750</v>
      </c>
      <c r="AY98" s="249">
        <f t="shared" si="38"/>
        <v>12750</v>
      </c>
      <c r="AZ98" s="249">
        <f>IF(AND(AY98&gt;0,$N98&lt;&gt;""),IF((DATE(Assumptions!$B$4,6,28)-$N98)/365.25&lt;=Assumptions!$B$20,(DATE(Assumptions!$B$4,6,28)-$N98)/365.25*Assumptions!$B$18*AY98,(Assumptions!$B$20*Assumptions!$B$18+((DATE(Assumptions!$B$4,6,28)-$N98)/365.25-Assumptions!$B$20)*Assumptions!$B$19)*AY98),0)</f>
        <v>67856.006160164281</v>
      </c>
      <c r="BA98" s="249">
        <f>IF(AX98&gt;0,IF($M98="Saudi",MIN(AX98+$Q98*$V98,Assumptions!$B$14)*Assumptions!$B$12,MIN(AX98+$Q98*$V98,Assumptions!$B$14)*Assumptions!$B$13),0)</f>
        <v>0</v>
      </c>
      <c r="BB98" s="249">
        <f>IF(AND(AX98&gt;0,$M98="Non-Saudi"),Assumptions!$B$25,0)</f>
        <v>910.41666666666663</v>
      </c>
      <c r="BC98" s="249">
        <f t="shared" si="39"/>
        <v>9750</v>
      </c>
      <c r="BD98" s="249">
        <f t="shared" si="40"/>
        <v>12750</v>
      </c>
      <c r="BE98" s="249">
        <f>IF(AND(BD98&gt;0,$N98&lt;&gt;""),IF((DATE(Assumptions!$B$4,7,28)-$N98)/365.25&lt;=Assumptions!$B$20,(DATE(Assumptions!$B$4,7,28)-$N98)/365.25*Assumptions!$B$18*BD98,(Assumptions!$B$20*Assumptions!$B$18+((DATE(Assumptions!$B$4,7,28)-$N98)/365.25-Assumptions!$B$20)*Assumptions!$B$19)*BD98),0)</f>
        <v>68903.234086242301</v>
      </c>
      <c r="BF98" s="249">
        <f>IF(BC98&gt;0,IF($M98="Saudi",MIN(BC98+$Q98*$V98,Assumptions!$B$14)*Assumptions!$B$12,MIN(BC98+$Q98*$V98,Assumptions!$B$14)*Assumptions!$B$13),0)</f>
        <v>0</v>
      </c>
      <c r="BG98" s="249">
        <f>IF(AND(BC98&gt;0,$M98="Non-Saudi"),Assumptions!$B$25,0)</f>
        <v>910.41666666666663</v>
      </c>
      <c r="BH98" s="249">
        <f t="shared" si="41"/>
        <v>9750</v>
      </c>
      <c r="BI98" s="249">
        <f t="shared" si="42"/>
        <v>12750</v>
      </c>
      <c r="BJ98" s="249">
        <f>IF(AND(BI98&gt;0,$N98&lt;&gt;""),IF((DATE(Assumptions!$B$4,8,28)-$N98)/365.25&lt;=Assumptions!$B$20,(DATE(Assumptions!$B$4,8,28)-$N98)/365.25*Assumptions!$B$18*BI98,(Assumptions!$B$20*Assumptions!$B$18+((DATE(Assumptions!$B$4,8,28)-$N98)/365.25-Assumptions!$B$20)*Assumptions!$B$19)*BI98),0)</f>
        <v>69985.369609856265</v>
      </c>
      <c r="BK98" s="249">
        <f>IF(BH98&gt;0,IF($M98="Saudi",MIN(BH98+$Q98*$V98,Assumptions!$B$14)*Assumptions!$B$12,MIN(BH98+$Q98*$V98,Assumptions!$B$14)*Assumptions!$B$13),0)</f>
        <v>0</v>
      </c>
      <c r="BL98" s="249">
        <f>IF(AND(BH98&gt;0,$M98="Non-Saudi"),Assumptions!$B$25,0)</f>
        <v>910.41666666666663</v>
      </c>
      <c r="BM98" s="249">
        <f>IF(AND($D98="Contrat Local",$N98&lt;&gt;""),IF(AND(9&gt;=Assumptions!$B$5,ISNUMBER($X98),$N98&lt;EDATE(Assumptions!$B$9,-Assumptions!$B$6*12)),($P98+$X98)*$V98,$P98*$V98),0)</f>
        <v>10000</v>
      </c>
      <c r="BN98" s="249">
        <f t="shared" si="43"/>
        <v>13000</v>
      </c>
      <c r="BO98" s="249">
        <f>IF(AND(BN98&gt;0,$N98&lt;&gt;""),IF((DATE(Assumptions!$B$4,9,28)-$N98)/365.25&lt;=Assumptions!$B$20,(DATE(Assumptions!$B$4,9,28)-$N98)/365.25*Assumptions!$B$18*BN98,(Assumptions!$B$20*Assumptions!$B$18+((DATE(Assumptions!$B$4,9,28)-$N98)/365.25-Assumptions!$B$20)*Assumptions!$B$19)*BN98),0)</f>
        <v>72460.985626283364</v>
      </c>
      <c r="BP98" s="249">
        <f>IF(BM98&gt;0,IF($M98="Saudi",MIN(BM98+$Q98*$V98,Assumptions!$B$14)*Assumptions!$B$12,MIN(BM98+$Q98*$V98,Assumptions!$B$14)*Assumptions!$B$13),0)</f>
        <v>0</v>
      </c>
      <c r="BQ98" s="249">
        <f>IF(AND(BM98&gt;0,$M98="Non-Saudi"),Assumptions!$B$25,0)</f>
        <v>910.41666666666663</v>
      </c>
      <c r="BR98" s="249">
        <f>IF(AND($D98="Contrat Local",$N98&lt;&gt;""),IF(AND(10&gt;=Assumptions!$B$5,ISNUMBER($X98),$N98&lt;EDATE(Assumptions!$B$9,-Assumptions!$B$6*12)),($P98+$X98)*$V98,$P98*$V98),0)</f>
        <v>10000</v>
      </c>
      <c r="BS98" s="249">
        <f t="shared" si="44"/>
        <v>13000</v>
      </c>
      <c r="BT98" s="249">
        <f>IF(AND(BS98&gt;0,$N98&lt;&gt;""),IF((DATE(Assumptions!$B$4,10,28)-$N98)/365.25&lt;=Assumptions!$B$20,(DATE(Assumptions!$B$4,10,28)-$N98)/365.25*Assumptions!$B$18*BS98,(Assumptions!$B$20*Assumptions!$B$18+((DATE(Assumptions!$B$4,10,28)-$N98)/365.25-Assumptions!$B$20)*Assumptions!$B$19)*BS98),0)</f>
        <v>73528.7474332649</v>
      </c>
      <c r="BU98" s="249">
        <f>IF(BR98&gt;0,IF($M98="Saudi",MIN(BR98+$Q98*$V98,Assumptions!$B$14)*Assumptions!$B$12,MIN(BR98+$Q98*$V98,Assumptions!$B$14)*Assumptions!$B$13),0)</f>
        <v>0</v>
      </c>
      <c r="BV98" s="249">
        <f>IF(AND(BR98&gt;0,$M98="Non-Saudi"),Assumptions!$B$25,0)</f>
        <v>910.41666666666663</v>
      </c>
      <c r="BW98" s="249">
        <f>IF(AND($D98="Contrat Local",$N98&lt;&gt;""),IF(AND(11&gt;=Assumptions!$B$5,ISNUMBER($X98),$N98&lt;EDATE(Assumptions!$B$9,-Assumptions!$B$6*12)),($P98+$X98)*$V98,$P98*$V98),0)</f>
        <v>10000</v>
      </c>
      <c r="BX98" s="249">
        <f t="shared" si="45"/>
        <v>13000</v>
      </c>
      <c r="BY98" s="249">
        <f>IF(AND(BX98&gt;0,$N98&lt;&gt;""),IF((DATE(Assumptions!$B$4,11,28)-$N98)/365.25&lt;=Assumptions!$B$20,(DATE(Assumptions!$B$4,11,28)-$N98)/365.25*Assumptions!$B$18*BX98,(Assumptions!$B$20*Assumptions!$B$18+((DATE(Assumptions!$B$4,11,28)-$N98)/365.25-Assumptions!$B$20)*Assumptions!$B$19)*BX98),0)</f>
        <v>74632.101300479131</v>
      </c>
      <c r="BZ98" s="249">
        <f>IF(BW98&gt;0,IF($M98="Saudi",MIN(BW98+$Q98*$V98,Assumptions!$B$14)*Assumptions!$B$12,MIN(BW98+$Q98*$V98,Assumptions!$B$14)*Assumptions!$B$13),0)</f>
        <v>0</v>
      </c>
      <c r="CA98" s="249">
        <f>IF(AND(BW98&gt;0,$M98="Non-Saudi"),Assumptions!$B$25,0)</f>
        <v>910.41666666666663</v>
      </c>
      <c r="CB98" s="249">
        <f>IF(AND($D98="Contrat Local",$N98&lt;&gt;""),IF(AND(12&gt;=Assumptions!$B$5,ISNUMBER($X98),$N98&lt;EDATE(Assumptions!$B$9,-Assumptions!$B$6*12)),($P98+$X98)*$V98,$P98*$V98),0)</f>
        <v>10000</v>
      </c>
      <c r="CC98" s="249">
        <f t="shared" si="46"/>
        <v>13000</v>
      </c>
      <c r="CD98" s="249">
        <f>IF(AND(CC98&gt;0,$N98&lt;&gt;""),IF((DATE(Assumptions!$B$4,12,28)-$N98)/365.25&lt;=Assumptions!$B$20,(DATE(Assumptions!$B$4,12,28)-$N98)/365.25*Assumptions!$B$18*CC98,(Assumptions!$B$20*Assumptions!$B$18+((DATE(Assumptions!$B$4,12,28)-$N98)/365.25-Assumptions!$B$20)*Assumptions!$B$19)*CC98),0)</f>
        <v>75699.863107460638</v>
      </c>
      <c r="CE98" s="249">
        <f>IF(CB98&gt;0,IF($M98="Saudi",MIN(CB98+$Q98*$V98,Assumptions!$B$14)*Assumptions!$B$12,MIN(CB98+$Q98*$V98,Assumptions!$B$14)*Assumptions!$B$13),0)</f>
        <v>0</v>
      </c>
      <c r="CF98" s="249">
        <f>IF(AND(CB98&gt;0,$M98="Non-Saudi"),Assumptions!$B$25,0)</f>
        <v>910.41666666666663</v>
      </c>
      <c r="CG98" s="249">
        <f t="shared" si="47"/>
        <v>118000</v>
      </c>
      <c r="CH98" s="249">
        <f t="shared" si="48"/>
        <v>154000</v>
      </c>
      <c r="CI98" s="249">
        <f>CD98-IF(AND(Z98&gt;0,$N98&lt;&gt;""),IF((DATE(Assumptions!$B$4-1,12,28)-$N98)/365.25&lt;=Assumptions!$B$20,(DATE(Assumptions!$B$4-1,12,28)-$N98)/365.25*Assumptions!$B$18*Z98,(Assumptions!$B$20*Assumptions!$B$18+((DATE(Assumptions!$B$4-1,12,28)-$N98)/365.25-Assumptions!$B$20)*Assumptions!$B$19)*Z98),0)</f>
        <v>14197.039698836408</v>
      </c>
      <c r="CJ98" s="249">
        <f t="shared" si="49"/>
        <v>0</v>
      </c>
      <c r="CK98" s="249">
        <f t="shared" si="50"/>
        <v>10924.999999999998</v>
      </c>
    </row>
    <row r="99" spans="1:89" x14ac:dyDescent="0.2">
      <c r="A99" s="258">
        <v>99</v>
      </c>
      <c r="B99" s="259" t="s">
        <v>500</v>
      </c>
      <c r="C99" s="259" t="s">
        <v>501</v>
      </c>
      <c r="D99" s="259" t="s">
        <v>250</v>
      </c>
      <c r="E99" s="259" t="s">
        <v>767</v>
      </c>
      <c r="F99" s="259" t="s">
        <v>264</v>
      </c>
      <c r="G99" s="259" t="s">
        <v>8</v>
      </c>
      <c r="H99" s="259" t="s">
        <v>265</v>
      </c>
      <c r="I99" s="283" t="s">
        <v>691</v>
      </c>
      <c r="J99" s="259" t="s">
        <v>58</v>
      </c>
      <c r="K99" s="259" t="s">
        <v>4</v>
      </c>
      <c r="L99" s="259" t="s">
        <v>255</v>
      </c>
      <c r="M99" s="259" t="str">
        <f t="shared" si="26"/>
        <v>Non-Saudi</v>
      </c>
      <c r="N99" s="260">
        <v>44805</v>
      </c>
      <c r="O99" s="261">
        <v>4.3</v>
      </c>
      <c r="P99" s="262">
        <v>10000</v>
      </c>
      <c r="Q99" s="262">
        <v>2500</v>
      </c>
      <c r="R99" s="262">
        <v>500</v>
      </c>
      <c r="S99" s="262"/>
      <c r="T99" s="262"/>
      <c r="U99" s="262">
        <v>13000</v>
      </c>
      <c r="V99" s="263">
        <v>1</v>
      </c>
      <c r="W99" s="259" t="s">
        <v>256</v>
      </c>
      <c r="X99" s="259">
        <v>250</v>
      </c>
      <c r="Y99" s="249">
        <f t="shared" si="27"/>
        <v>10000</v>
      </c>
      <c r="Z99" s="249">
        <f t="shared" si="28"/>
        <v>13000</v>
      </c>
      <c r="AA99" s="249">
        <f>IF(AND(Z99&gt;0,$N99&lt;&gt;""),IF((DATE(Assumptions!$B$4,1,28)-$N99)/365.25&lt;=Assumptions!$B$20,(DATE(Assumptions!$B$4,1,28)-$N99)/365.25*Assumptions!$B$18*Z99,(Assumptions!$B$20*Assumptions!$B$18+((DATE(Assumptions!$B$4,1,28)-$N99)/365.25-Assumptions!$B$20)*Assumptions!$B$19)*Z99),0)</f>
        <v>22156.057494866531</v>
      </c>
      <c r="AB99" s="249">
        <f>IF(Y99&gt;0,IF($M99="Saudi",MIN(Y99+$Q99*$V99,Assumptions!$B$14)*Assumptions!$B$12,MIN(Y99+$Q99*$V99,Assumptions!$B$14)*Assumptions!$B$13),0)</f>
        <v>0</v>
      </c>
      <c r="AC99" s="249">
        <f>IF(AND(Y99&gt;0,$M99="Non-Saudi"),Assumptions!$B$25,0)</f>
        <v>910.41666666666663</v>
      </c>
      <c r="AD99" s="249">
        <f t="shared" si="29"/>
        <v>10000</v>
      </c>
      <c r="AE99" s="249">
        <f t="shared" si="30"/>
        <v>13000</v>
      </c>
      <c r="AF99" s="249">
        <f>IF(AND(AE99&gt;0,$N99&lt;&gt;""),IF((DATE(Assumptions!$B$4,2,28)-$N99)/365.25&lt;=Assumptions!$B$20,(DATE(Assumptions!$B$4,2,28)-$N99)/365.25*Assumptions!$B$18*AE99,(Assumptions!$B$20*Assumptions!$B$18+((DATE(Assumptions!$B$4,2,28)-$N99)/365.25-Assumptions!$B$20)*Assumptions!$B$19)*AE99),0)</f>
        <v>22707.734428473646</v>
      </c>
      <c r="AG99" s="249">
        <f>IF(AD99&gt;0,IF($M99="Saudi",MIN(AD99+$Q99*$V99,Assumptions!$B$14)*Assumptions!$B$12,MIN(AD99+$Q99*$V99,Assumptions!$B$14)*Assumptions!$B$13),0)</f>
        <v>0</v>
      </c>
      <c r="AH99" s="249">
        <f>IF(AND(AD99&gt;0,$M99="Non-Saudi"),Assumptions!$B$25,0)</f>
        <v>910.41666666666663</v>
      </c>
      <c r="AI99" s="249">
        <f t="shared" si="31"/>
        <v>10000</v>
      </c>
      <c r="AJ99" s="249">
        <f t="shared" si="32"/>
        <v>13000</v>
      </c>
      <c r="AK99" s="249">
        <f>IF(AND(AJ99&gt;0,$N99&lt;&gt;""),IF((DATE(Assumptions!$B$4,3,28)-$N99)/365.25&lt;=Assumptions!$B$20,(DATE(Assumptions!$B$4,3,28)-$N99)/365.25*Assumptions!$B$18*AJ99,(Assumptions!$B$20*Assumptions!$B$18+((DATE(Assumptions!$B$4,3,28)-$N99)/365.25-Assumptions!$B$20)*Assumptions!$B$19)*AJ99),0)</f>
        <v>23206.02327173169</v>
      </c>
      <c r="AL99" s="249">
        <f>IF(AI99&gt;0,IF($M99="Saudi",MIN(AI99+$Q99*$V99,Assumptions!$B$14)*Assumptions!$B$12,MIN(AI99+$Q99*$V99,Assumptions!$B$14)*Assumptions!$B$13),0)</f>
        <v>0</v>
      </c>
      <c r="AM99" s="249">
        <f>IF(AND(AI99&gt;0,$M99="Non-Saudi"),Assumptions!$B$25,0)</f>
        <v>910.41666666666663</v>
      </c>
      <c r="AN99" s="249">
        <f t="shared" si="33"/>
        <v>10000</v>
      </c>
      <c r="AO99" s="249">
        <f t="shared" si="34"/>
        <v>13000</v>
      </c>
      <c r="AP99" s="249">
        <f>IF(AND(AO99&gt;0,$N99&lt;&gt;""),IF((DATE(Assumptions!$B$4,4,28)-$N99)/365.25&lt;=Assumptions!$B$20,(DATE(Assumptions!$B$4,4,28)-$N99)/365.25*Assumptions!$B$18*AO99,(Assumptions!$B$20*Assumptions!$B$18+((DATE(Assumptions!$B$4,4,28)-$N99)/365.25-Assumptions!$B$20)*Assumptions!$B$19)*AO99),0)</f>
        <v>23757.70020533881</v>
      </c>
      <c r="AQ99" s="249">
        <f>IF(AN99&gt;0,IF($M99="Saudi",MIN(AN99+$Q99*$V99,Assumptions!$B$14)*Assumptions!$B$12,MIN(AN99+$Q99*$V99,Assumptions!$B$14)*Assumptions!$B$13),0)</f>
        <v>0</v>
      </c>
      <c r="AR99" s="249">
        <f>IF(AND(AN99&gt;0,$M99="Non-Saudi"),Assumptions!$B$25,0)</f>
        <v>910.41666666666663</v>
      </c>
      <c r="AS99" s="249">
        <f t="shared" si="35"/>
        <v>10000</v>
      </c>
      <c r="AT99" s="249">
        <f t="shared" si="36"/>
        <v>13000</v>
      </c>
      <c r="AU99" s="249">
        <f>IF(AND(AT99&gt;0,$N99&lt;&gt;""),IF((DATE(Assumptions!$B$4,5,28)-$N99)/365.25&lt;=Assumptions!$B$20,(DATE(Assumptions!$B$4,5,28)-$N99)/365.25*Assumptions!$B$18*AT99,(Assumptions!$B$20*Assumptions!$B$18+((DATE(Assumptions!$B$4,5,28)-$N99)/365.25-Assumptions!$B$20)*Assumptions!$B$19)*AT99),0)</f>
        <v>24291.58110882957</v>
      </c>
      <c r="AV99" s="249">
        <f>IF(AS99&gt;0,IF($M99="Saudi",MIN(AS99+$Q99*$V99,Assumptions!$B$14)*Assumptions!$B$12,MIN(AS99+$Q99*$V99,Assumptions!$B$14)*Assumptions!$B$13),0)</f>
        <v>0</v>
      </c>
      <c r="AW99" s="249">
        <f>IF(AND(AS99&gt;0,$M99="Non-Saudi"),Assumptions!$B$25,0)</f>
        <v>910.41666666666663</v>
      </c>
      <c r="AX99" s="249">
        <f t="shared" si="37"/>
        <v>10000</v>
      </c>
      <c r="AY99" s="249">
        <f t="shared" si="38"/>
        <v>13000</v>
      </c>
      <c r="AZ99" s="249">
        <f>IF(AND(AY99&gt;0,$N99&lt;&gt;""),IF((DATE(Assumptions!$B$4,6,28)-$N99)/365.25&lt;=Assumptions!$B$20,(DATE(Assumptions!$B$4,6,28)-$N99)/365.25*Assumptions!$B$18*AY99,(Assumptions!$B$20*Assumptions!$B$18+((DATE(Assumptions!$B$4,6,28)-$N99)/365.25-Assumptions!$B$20)*Assumptions!$B$19)*AY99),0)</f>
        <v>24843.258042436686</v>
      </c>
      <c r="BA99" s="249">
        <f>IF(AX99&gt;0,IF($M99="Saudi",MIN(AX99+$Q99*$V99,Assumptions!$B$14)*Assumptions!$B$12,MIN(AX99+$Q99*$V99,Assumptions!$B$14)*Assumptions!$B$13),0)</f>
        <v>0</v>
      </c>
      <c r="BB99" s="249">
        <f>IF(AND(AX99&gt;0,$M99="Non-Saudi"),Assumptions!$B$25,0)</f>
        <v>910.41666666666663</v>
      </c>
      <c r="BC99" s="249">
        <f t="shared" si="39"/>
        <v>10000</v>
      </c>
      <c r="BD99" s="249">
        <f t="shared" si="40"/>
        <v>13000</v>
      </c>
      <c r="BE99" s="249">
        <f>IF(AND(BD99&gt;0,$N99&lt;&gt;""),IF((DATE(Assumptions!$B$4,7,28)-$N99)/365.25&lt;=Assumptions!$B$20,(DATE(Assumptions!$B$4,7,28)-$N99)/365.25*Assumptions!$B$18*BD99,(Assumptions!$B$20*Assumptions!$B$18+((DATE(Assumptions!$B$4,7,28)-$N99)/365.25-Assumptions!$B$20)*Assumptions!$B$19)*BD99),0)</f>
        <v>25377.138945927447</v>
      </c>
      <c r="BF99" s="249">
        <f>IF(BC99&gt;0,IF($M99="Saudi",MIN(BC99+$Q99*$V99,Assumptions!$B$14)*Assumptions!$B$12,MIN(BC99+$Q99*$V99,Assumptions!$B$14)*Assumptions!$B$13),0)</f>
        <v>0</v>
      </c>
      <c r="BG99" s="249">
        <f>IF(AND(BC99&gt;0,$M99="Non-Saudi"),Assumptions!$B$25,0)</f>
        <v>910.41666666666663</v>
      </c>
      <c r="BH99" s="249">
        <f t="shared" si="41"/>
        <v>10000</v>
      </c>
      <c r="BI99" s="249">
        <f t="shared" si="42"/>
        <v>13000</v>
      </c>
      <c r="BJ99" s="249">
        <f>IF(AND(BI99&gt;0,$N99&lt;&gt;""),IF((DATE(Assumptions!$B$4,8,28)-$N99)/365.25&lt;=Assumptions!$B$20,(DATE(Assumptions!$B$4,8,28)-$N99)/365.25*Assumptions!$B$18*BI99,(Assumptions!$B$20*Assumptions!$B$18+((DATE(Assumptions!$B$4,8,28)-$N99)/365.25-Assumptions!$B$20)*Assumptions!$B$19)*BI99),0)</f>
        <v>25928.815879534566</v>
      </c>
      <c r="BK99" s="249">
        <f>IF(BH99&gt;0,IF($M99="Saudi",MIN(BH99+$Q99*$V99,Assumptions!$B$14)*Assumptions!$B$12,MIN(BH99+$Q99*$V99,Assumptions!$B$14)*Assumptions!$B$13),0)</f>
        <v>0</v>
      </c>
      <c r="BL99" s="249">
        <f>IF(AND(BH99&gt;0,$M99="Non-Saudi"),Assumptions!$B$25,0)</f>
        <v>910.41666666666663</v>
      </c>
      <c r="BM99" s="249">
        <f>IF(AND($D99="Contrat Local",$N99&lt;&gt;""),IF(AND(9&gt;=Assumptions!$B$5,ISNUMBER($X99),$N99&lt;EDATE(Assumptions!$B$9,-Assumptions!$B$6*12)),($P99+$X99)*$V99,$P99*$V99),0)</f>
        <v>10250</v>
      </c>
      <c r="BN99" s="249">
        <f t="shared" si="43"/>
        <v>13250</v>
      </c>
      <c r="BO99" s="249">
        <f>IF(AND(BN99&gt;0,$N99&lt;&gt;""),IF((DATE(Assumptions!$B$4,9,28)-$N99)/365.25&lt;=Assumptions!$B$20,(DATE(Assumptions!$B$4,9,28)-$N99)/365.25*Assumptions!$B$18*BN99,(Assumptions!$B$20*Assumptions!$B$18+((DATE(Assumptions!$B$4,9,28)-$N99)/365.25-Assumptions!$B$20)*Assumptions!$B$19)*BN99),0)</f>
        <v>26989.733059548256</v>
      </c>
      <c r="BP99" s="249">
        <f>IF(BM99&gt;0,IF($M99="Saudi",MIN(BM99+$Q99*$V99,Assumptions!$B$14)*Assumptions!$B$12,MIN(BM99+$Q99*$V99,Assumptions!$B$14)*Assumptions!$B$13),0)</f>
        <v>0</v>
      </c>
      <c r="BQ99" s="249">
        <f>IF(AND(BM99&gt;0,$M99="Non-Saudi"),Assumptions!$B$25,0)</f>
        <v>910.41666666666663</v>
      </c>
      <c r="BR99" s="249">
        <f>IF(AND($D99="Contrat Local",$N99&lt;&gt;""),IF(AND(10&gt;=Assumptions!$B$5,ISNUMBER($X99),$N99&lt;EDATE(Assumptions!$B$9,-Assumptions!$B$6*12)),($P99+$X99)*$V99,$P99*$V99),0)</f>
        <v>10250</v>
      </c>
      <c r="BS99" s="249">
        <f t="shared" si="44"/>
        <v>13250</v>
      </c>
      <c r="BT99" s="249">
        <f>IF(AND(BS99&gt;0,$N99&lt;&gt;""),IF((DATE(Assumptions!$B$4,10,28)-$N99)/365.25&lt;=Assumptions!$B$20,(DATE(Assumptions!$B$4,10,28)-$N99)/365.25*Assumptions!$B$18*BS99,(Assumptions!$B$20*Assumptions!$B$18+((DATE(Assumptions!$B$4,10,28)-$N99)/365.25-Assumptions!$B$20)*Assumptions!$B$19)*BS99),0)</f>
        <v>27533.880903490757</v>
      </c>
      <c r="BU99" s="249">
        <f>IF(BR99&gt;0,IF($M99="Saudi",MIN(BR99+$Q99*$V99,Assumptions!$B$14)*Assumptions!$B$12,MIN(BR99+$Q99*$V99,Assumptions!$B$14)*Assumptions!$B$13),0)</f>
        <v>0</v>
      </c>
      <c r="BV99" s="249">
        <f>IF(AND(BR99&gt;0,$M99="Non-Saudi"),Assumptions!$B$25,0)</f>
        <v>910.41666666666663</v>
      </c>
      <c r="BW99" s="249">
        <f>IF(AND($D99="Contrat Local",$N99&lt;&gt;""),IF(AND(11&gt;=Assumptions!$B$5,ISNUMBER($X99),$N99&lt;EDATE(Assumptions!$B$9,-Assumptions!$B$6*12)),($P99+$X99)*$V99,$P99*$V99),0)</f>
        <v>10250</v>
      </c>
      <c r="BX99" s="249">
        <f t="shared" si="45"/>
        <v>13250</v>
      </c>
      <c r="BY99" s="249">
        <f>IF(AND(BX99&gt;0,$N99&lt;&gt;""),IF((DATE(Assumptions!$B$4,11,28)-$N99)/365.25&lt;=Assumptions!$B$20,(DATE(Assumptions!$B$4,11,28)-$N99)/365.25*Assumptions!$B$18*BX99,(Assumptions!$B$20*Assumptions!$B$18+((DATE(Assumptions!$B$4,11,28)-$N99)/365.25-Assumptions!$B$20)*Assumptions!$B$19)*BX99),0)</f>
        <v>28096.167008898014</v>
      </c>
      <c r="BZ99" s="249">
        <f>IF(BW99&gt;0,IF($M99="Saudi",MIN(BW99+$Q99*$V99,Assumptions!$B$14)*Assumptions!$B$12,MIN(BW99+$Q99*$V99,Assumptions!$B$14)*Assumptions!$B$13),0)</f>
        <v>0</v>
      </c>
      <c r="CA99" s="249">
        <f>IF(AND(BW99&gt;0,$M99="Non-Saudi"),Assumptions!$B$25,0)</f>
        <v>910.41666666666663</v>
      </c>
      <c r="CB99" s="249">
        <f>IF(AND($D99="Contrat Local",$N99&lt;&gt;""),IF(AND(12&gt;=Assumptions!$B$5,ISNUMBER($X99),$N99&lt;EDATE(Assumptions!$B$9,-Assumptions!$B$6*12)),($P99+$X99)*$V99,$P99*$V99),0)</f>
        <v>10250</v>
      </c>
      <c r="CC99" s="249">
        <f t="shared" si="46"/>
        <v>13250</v>
      </c>
      <c r="CD99" s="249">
        <f>IF(AND(CC99&gt;0,$N99&lt;&gt;""),IF((DATE(Assumptions!$B$4,12,28)-$N99)/365.25&lt;=Assumptions!$B$20,(DATE(Assumptions!$B$4,12,28)-$N99)/365.25*Assumptions!$B$18*CC99,(Assumptions!$B$20*Assumptions!$B$18+((DATE(Assumptions!$B$4,12,28)-$N99)/365.25-Assumptions!$B$20)*Assumptions!$B$19)*CC99),0)</f>
        <v>28640.314852840518</v>
      </c>
      <c r="CE99" s="249">
        <f>IF(CB99&gt;0,IF($M99="Saudi",MIN(CB99+$Q99*$V99,Assumptions!$B$14)*Assumptions!$B$12,MIN(CB99+$Q99*$V99,Assumptions!$B$14)*Assumptions!$B$13),0)</f>
        <v>0</v>
      </c>
      <c r="CF99" s="249">
        <f>IF(AND(CB99&gt;0,$M99="Non-Saudi"),Assumptions!$B$25,0)</f>
        <v>910.41666666666663</v>
      </c>
      <c r="CG99" s="249">
        <f t="shared" si="47"/>
        <v>121000</v>
      </c>
      <c r="CH99" s="249">
        <f t="shared" si="48"/>
        <v>157000</v>
      </c>
      <c r="CI99" s="249">
        <f>CD99-IF(AND(Z99&gt;0,$N99&lt;&gt;""),IF((DATE(Assumptions!$B$4-1,12,28)-$N99)/365.25&lt;=Assumptions!$B$20,(DATE(Assumptions!$B$4-1,12,28)-$N99)/365.25*Assumptions!$B$18*Z99,(Assumptions!$B$20*Assumptions!$B$18+((DATE(Assumptions!$B$4-1,12,28)-$N99)/365.25-Assumptions!$B$20)*Assumptions!$B$19)*Z99),0)</f>
        <v>7035.9342915811067</v>
      </c>
      <c r="CJ99" s="249">
        <f t="shared" si="49"/>
        <v>0</v>
      </c>
      <c r="CK99" s="249">
        <f t="shared" si="50"/>
        <v>10924.999999999998</v>
      </c>
    </row>
    <row r="100" spans="1:89" x14ac:dyDescent="0.2">
      <c r="A100" s="276">
        <v>100</v>
      </c>
      <c r="B100" s="277" t="s">
        <v>502</v>
      </c>
      <c r="C100" s="277" t="s">
        <v>503</v>
      </c>
      <c r="D100" s="277" t="s">
        <v>250</v>
      </c>
      <c r="E100" s="277" t="s">
        <v>767</v>
      </c>
      <c r="F100" s="277" t="s">
        <v>302</v>
      </c>
      <c r="G100" s="277" t="s">
        <v>303</v>
      </c>
      <c r="H100" s="277" t="s">
        <v>304</v>
      </c>
      <c r="I100" s="287" t="s">
        <v>691</v>
      </c>
      <c r="J100" s="277" t="s">
        <v>101</v>
      </c>
      <c r="K100" s="277" t="s">
        <v>254</v>
      </c>
      <c r="L100" s="277" t="s">
        <v>255</v>
      </c>
      <c r="M100" s="277" t="str">
        <f t="shared" si="26"/>
        <v>Non-Saudi</v>
      </c>
      <c r="N100" s="278">
        <v>44440</v>
      </c>
      <c r="O100" s="279">
        <v>5.3</v>
      </c>
      <c r="P100" s="280">
        <v>10500</v>
      </c>
      <c r="Q100" s="280">
        <v>2500</v>
      </c>
      <c r="R100" s="280">
        <v>500</v>
      </c>
      <c r="S100" s="280"/>
      <c r="T100" s="280">
        <v>900</v>
      </c>
      <c r="U100" s="280">
        <v>14400</v>
      </c>
      <c r="V100" s="281">
        <v>1</v>
      </c>
      <c r="W100" s="277" t="s">
        <v>259</v>
      </c>
      <c r="X100" s="277">
        <v>250</v>
      </c>
      <c r="Y100" s="249">
        <f t="shared" si="27"/>
        <v>10500</v>
      </c>
      <c r="Z100" s="249">
        <f t="shared" si="28"/>
        <v>14400</v>
      </c>
      <c r="AA100" s="249">
        <f>IF(AND(Z100&gt;0,$N100&lt;&gt;""),IF((DATE(Assumptions!$B$4,1,28)-$N100)/365.25&lt;=Assumptions!$B$20,(DATE(Assumptions!$B$4,1,28)-$N100)/365.25*Assumptions!$B$18*Z100,(Assumptions!$B$20*Assumptions!$B$18+((DATE(Assumptions!$B$4,1,28)-$N100)/365.25-Assumptions!$B$20)*Assumptions!$B$19)*Z100),0)</f>
        <v>31737.166324435322</v>
      </c>
      <c r="AB100" s="249">
        <f>IF(Y100&gt;0,IF($M100="Saudi",MIN(Y100+$Q100*$V100,Assumptions!$B$14)*Assumptions!$B$12,MIN(Y100+$Q100*$V100,Assumptions!$B$14)*Assumptions!$B$13),0)</f>
        <v>0</v>
      </c>
      <c r="AC100" s="249">
        <f>IF(AND(Y100&gt;0,$M100="Non-Saudi"),Assumptions!$B$25,0)</f>
        <v>910.41666666666663</v>
      </c>
      <c r="AD100" s="249">
        <f t="shared" si="29"/>
        <v>10500</v>
      </c>
      <c r="AE100" s="249">
        <f t="shared" si="30"/>
        <v>14400</v>
      </c>
      <c r="AF100" s="249">
        <f>IF(AND(AE100&gt;0,$N100&lt;&gt;""),IF((DATE(Assumptions!$B$4,2,28)-$N100)/365.25&lt;=Assumptions!$B$20,(DATE(Assumptions!$B$4,2,28)-$N100)/365.25*Assumptions!$B$18*AE100,(Assumptions!$B$20*Assumptions!$B$18+((DATE(Assumptions!$B$4,2,28)-$N100)/365.25-Assumptions!$B$20)*Assumptions!$B$19)*AE100),0)</f>
        <v>32348.254620123203</v>
      </c>
      <c r="AG100" s="249">
        <f>IF(AD100&gt;0,IF($M100="Saudi",MIN(AD100+$Q100*$V100,Assumptions!$B$14)*Assumptions!$B$12,MIN(AD100+$Q100*$V100,Assumptions!$B$14)*Assumptions!$B$13),0)</f>
        <v>0</v>
      </c>
      <c r="AH100" s="249">
        <f>IF(AND(AD100&gt;0,$M100="Non-Saudi"),Assumptions!$B$25,0)</f>
        <v>910.41666666666663</v>
      </c>
      <c r="AI100" s="249">
        <f t="shared" si="31"/>
        <v>10500</v>
      </c>
      <c r="AJ100" s="249">
        <f t="shared" si="32"/>
        <v>14400</v>
      </c>
      <c r="AK100" s="249">
        <f>IF(AND(AJ100&gt;0,$N100&lt;&gt;""),IF((DATE(Assumptions!$B$4,3,28)-$N100)/365.25&lt;=Assumptions!$B$20,(DATE(Assumptions!$B$4,3,28)-$N100)/365.25*Assumptions!$B$18*AJ100,(Assumptions!$B$20*Assumptions!$B$18+((DATE(Assumptions!$B$4,3,28)-$N100)/365.25-Assumptions!$B$20)*Assumptions!$B$19)*AJ100),0)</f>
        <v>32900.205338809035</v>
      </c>
      <c r="AL100" s="249">
        <f>IF(AI100&gt;0,IF($M100="Saudi",MIN(AI100+$Q100*$V100,Assumptions!$B$14)*Assumptions!$B$12,MIN(AI100+$Q100*$V100,Assumptions!$B$14)*Assumptions!$B$13),0)</f>
        <v>0</v>
      </c>
      <c r="AM100" s="249">
        <f>IF(AND(AI100&gt;0,$M100="Non-Saudi"),Assumptions!$B$25,0)</f>
        <v>910.41666666666663</v>
      </c>
      <c r="AN100" s="249">
        <f t="shared" si="33"/>
        <v>10500</v>
      </c>
      <c r="AO100" s="249">
        <f t="shared" si="34"/>
        <v>14400</v>
      </c>
      <c r="AP100" s="249">
        <f>IF(AND(AO100&gt;0,$N100&lt;&gt;""),IF((DATE(Assumptions!$B$4,4,28)-$N100)/365.25&lt;=Assumptions!$B$20,(DATE(Assumptions!$B$4,4,28)-$N100)/365.25*Assumptions!$B$18*AO100,(Assumptions!$B$20*Assumptions!$B$18+((DATE(Assumptions!$B$4,4,28)-$N100)/365.25-Assumptions!$B$20)*Assumptions!$B$19)*AO100),0)</f>
        <v>33511.29363449692</v>
      </c>
      <c r="AQ100" s="249">
        <f>IF(AN100&gt;0,IF($M100="Saudi",MIN(AN100+$Q100*$V100,Assumptions!$B$14)*Assumptions!$B$12,MIN(AN100+$Q100*$V100,Assumptions!$B$14)*Assumptions!$B$13),0)</f>
        <v>0</v>
      </c>
      <c r="AR100" s="249">
        <f>IF(AND(AN100&gt;0,$M100="Non-Saudi"),Assumptions!$B$25,0)</f>
        <v>910.41666666666663</v>
      </c>
      <c r="AS100" s="249">
        <f t="shared" si="35"/>
        <v>10500</v>
      </c>
      <c r="AT100" s="249">
        <f t="shared" si="36"/>
        <v>14400</v>
      </c>
      <c r="AU100" s="249">
        <f>IF(AND(AT100&gt;0,$N100&lt;&gt;""),IF((DATE(Assumptions!$B$4,5,28)-$N100)/365.25&lt;=Assumptions!$B$20,(DATE(Assumptions!$B$4,5,28)-$N100)/365.25*Assumptions!$B$18*AT100,(Assumptions!$B$20*Assumptions!$B$18+((DATE(Assumptions!$B$4,5,28)-$N100)/365.25-Assumptions!$B$20)*Assumptions!$B$19)*AT100),0)</f>
        <v>34102.669404517452</v>
      </c>
      <c r="AV100" s="249">
        <f>IF(AS100&gt;0,IF($M100="Saudi",MIN(AS100+$Q100*$V100,Assumptions!$B$14)*Assumptions!$B$12,MIN(AS100+$Q100*$V100,Assumptions!$B$14)*Assumptions!$B$13),0)</f>
        <v>0</v>
      </c>
      <c r="AW100" s="249">
        <f>IF(AND(AS100&gt;0,$M100="Non-Saudi"),Assumptions!$B$25,0)</f>
        <v>910.41666666666663</v>
      </c>
      <c r="AX100" s="249">
        <f t="shared" si="37"/>
        <v>10500</v>
      </c>
      <c r="AY100" s="249">
        <f t="shared" si="38"/>
        <v>14400</v>
      </c>
      <c r="AZ100" s="249">
        <f>IF(AND(AY100&gt;0,$N100&lt;&gt;""),IF((DATE(Assumptions!$B$4,6,28)-$N100)/365.25&lt;=Assumptions!$B$20,(DATE(Assumptions!$B$4,6,28)-$N100)/365.25*Assumptions!$B$18*AY100,(Assumptions!$B$20*Assumptions!$B$18+((DATE(Assumptions!$B$4,6,28)-$N100)/365.25-Assumptions!$B$20)*Assumptions!$B$19)*AY100),0)</f>
        <v>34713.757700205337</v>
      </c>
      <c r="BA100" s="249">
        <f>IF(AX100&gt;0,IF($M100="Saudi",MIN(AX100+$Q100*$V100,Assumptions!$B$14)*Assumptions!$B$12,MIN(AX100+$Q100*$V100,Assumptions!$B$14)*Assumptions!$B$13),0)</f>
        <v>0</v>
      </c>
      <c r="BB100" s="249">
        <f>IF(AND(AX100&gt;0,$M100="Non-Saudi"),Assumptions!$B$25,0)</f>
        <v>910.41666666666663</v>
      </c>
      <c r="BC100" s="249">
        <f t="shared" si="39"/>
        <v>10500</v>
      </c>
      <c r="BD100" s="249">
        <f t="shared" si="40"/>
        <v>14400</v>
      </c>
      <c r="BE100" s="249">
        <f>IF(AND(BD100&gt;0,$N100&lt;&gt;""),IF((DATE(Assumptions!$B$4,7,28)-$N100)/365.25&lt;=Assumptions!$B$20,(DATE(Assumptions!$B$4,7,28)-$N100)/365.25*Assumptions!$B$18*BD100,(Assumptions!$B$20*Assumptions!$B$18+((DATE(Assumptions!$B$4,7,28)-$N100)/365.25-Assumptions!$B$20)*Assumptions!$B$19)*BD100),0)</f>
        <v>35305.133470225868</v>
      </c>
      <c r="BF100" s="249">
        <f>IF(BC100&gt;0,IF($M100="Saudi",MIN(BC100+$Q100*$V100,Assumptions!$B$14)*Assumptions!$B$12,MIN(BC100+$Q100*$V100,Assumptions!$B$14)*Assumptions!$B$13),0)</f>
        <v>0</v>
      </c>
      <c r="BG100" s="249">
        <f>IF(AND(BC100&gt;0,$M100="Non-Saudi"),Assumptions!$B$25,0)</f>
        <v>910.41666666666663</v>
      </c>
      <c r="BH100" s="249">
        <f t="shared" si="41"/>
        <v>10500</v>
      </c>
      <c r="BI100" s="249">
        <f t="shared" si="42"/>
        <v>14400</v>
      </c>
      <c r="BJ100" s="249">
        <f>IF(AND(BI100&gt;0,$N100&lt;&gt;""),IF((DATE(Assumptions!$B$4,8,28)-$N100)/365.25&lt;=Assumptions!$B$20,(DATE(Assumptions!$B$4,8,28)-$N100)/365.25*Assumptions!$B$18*BI100,(Assumptions!$B$20*Assumptions!$B$18+((DATE(Assumptions!$B$4,8,28)-$N100)/365.25-Assumptions!$B$20)*Assumptions!$B$19)*BI100),0)</f>
        <v>35916.22176591376</v>
      </c>
      <c r="BK100" s="249">
        <f>IF(BH100&gt;0,IF($M100="Saudi",MIN(BH100+$Q100*$V100,Assumptions!$B$14)*Assumptions!$B$12,MIN(BH100+$Q100*$V100,Assumptions!$B$14)*Assumptions!$B$13),0)</f>
        <v>0</v>
      </c>
      <c r="BL100" s="249">
        <f>IF(AND(BH100&gt;0,$M100="Non-Saudi"),Assumptions!$B$25,0)</f>
        <v>910.41666666666663</v>
      </c>
      <c r="BM100" s="249">
        <f>IF(AND($D100="Contrat Local",$N100&lt;&gt;""),IF(AND(9&gt;=Assumptions!$B$5,ISNUMBER($X100),$N100&lt;EDATE(Assumptions!$B$9,-Assumptions!$B$6*12)),($P100+$X100)*$V100,$P100*$V100),0)</f>
        <v>10750</v>
      </c>
      <c r="BN100" s="249">
        <f t="shared" si="43"/>
        <v>14650</v>
      </c>
      <c r="BO100" s="249">
        <f>IF(AND(BN100&gt;0,$N100&lt;&gt;""),IF((DATE(Assumptions!$B$4,9,28)-$N100)/365.25&lt;=Assumptions!$B$20,(DATE(Assumptions!$B$4,9,28)-$N100)/365.25*Assumptions!$B$18*BN100,(Assumptions!$B$20*Assumptions!$B$18+((DATE(Assumptions!$B$4,9,28)-$N100)/365.25-Assumptions!$B$20)*Assumptions!$B$19)*BN100),0)</f>
        <v>37697.929500342238</v>
      </c>
      <c r="BP100" s="249">
        <f>IF(BM100&gt;0,IF($M100="Saudi",MIN(BM100+$Q100*$V100,Assumptions!$B$14)*Assumptions!$B$12,MIN(BM100+$Q100*$V100,Assumptions!$B$14)*Assumptions!$B$13),0)</f>
        <v>0</v>
      </c>
      <c r="BQ100" s="249">
        <f>IF(AND(BM100&gt;0,$M100="Non-Saudi"),Assumptions!$B$25,0)</f>
        <v>910.41666666666663</v>
      </c>
      <c r="BR100" s="249">
        <f>IF(AND($D100="Contrat Local",$N100&lt;&gt;""),IF(AND(10&gt;=Assumptions!$B$5,ISNUMBER($X100),$N100&lt;EDATE(Assumptions!$B$9,-Assumptions!$B$6*12)),($P100+$X100)*$V100,$P100*$V100),0)</f>
        <v>10750</v>
      </c>
      <c r="BS100" s="249">
        <f t="shared" si="44"/>
        <v>14650</v>
      </c>
      <c r="BT100" s="249">
        <f>IF(AND(BS100&gt;0,$N100&lt;&gt;""),IF((DATE(Assumptions!$B$4,10,28)-$N100)/365.25&lt;=Assumptions!$B$20,(DATE(Assumptions!$B$4,10,28)-$N100)/365.25*Assumptions!$B$18*BS100,(Assumptions!$B$20*Assumptions!$B$18+((DATE(Assumptions!$B$4,10,28)-$N100)/365.25-Assumptions!$B$20)*Assumptions!$B$19)*BS100),0)</f>
        <v>38901.214921286788</v>
      </c>
      <c r="BU100" s="249">
        <f>IF(BR100&gt;0,IF($M100="Saudi",MIN(BR100+$Q100*$V100,Assumptions!$B$14)*Assumptions!$B$12,MIN(BR100+$Q100*$V100,Assumptions!$B$14)*Assumptions!$B$13),0)</f>
        <v>0</v>
      </c>
      <c r="BV100" s="249">
        <f>IF(AND(BR100&gt;0,$M100="Non-Saudi"),Assumptions!$B$25,0)</f>
        <v>910.41666666666663</v>
      </c>
      <c r="BW100" s="249">
        <f>IF(AND($D100="Contrat Local",$N100&lt;&gt;""),IF(AND(11&gt;=Assumptions!$B$5,ISNUMBER($X100),$N100&lt;EDATE(Assumptions!$B$9,-Assumptions!$B$6*12)),($P100+$X100)*$V100,$P100*$V100),0)</f>
        <v>10750</v>
      </c>
      <c r="BX100" s="249">
        <f t="shared" si="45"/>
        <v>14650</v>
      </c>
      <c r="BY100" s="249">
        <f>IF(AND(BX100&gt;0,$N100&lt;&gt;""),IF((DATE(Assumptions!$B$4,11,28)-$N100)/365.25&lt;=Assumptions!$B$20,(DATE(Assumptions!$B$4,11,28)-$N100)/365.25*Assumptions!$B$18*BX100,(Assumptions!$B$20*Assumptions!$B$18+((DATE(Assumptions!$B$4,11,28)-$N100)/365.25-Assumptions!$B$20)*Assumptions!$B$19)*BX100),0)</f>
        <v>40144.609856262832</v>
      </c>
      <c r="BZ100" s="249">
        <f>IF(BW100&gt;0,IF($M100="Saudi",MIN(BW100+$Q100*$V100,Assumptions!$B$14)*Assumptions!$B$12,MIN(BW100+$Q100*$V100,Assumptions!$B$14)*Assumptions!$B$13),0)</f>
        <v>0</v>
      </c>
      <c r="CA100" s="249">
        <f>IF(AND(BW100&gt;0,$M100="Non-Saudi"),Assumptions!$B$25,0)</f>
        <v>910.41666666666663</v>
      </c>
      <c r="CB100" s="249">
        <f>IF(AND($D100="Contrat Local",$N100&lt;&gt;""),IF(AND(12&gt;=Assumptions!$B$5,ISNUMBER($X100),$N100&lt;EDATE(Assumptions!$B$9,-Assumptions!$B$6*12)),($P100+$X100)*$V100,$P100*$V100),0)</f>
        <v>10750</v>
      </c>
      <c r="CC100" s="249">
        <f t="shared" si="46"/>
        <v>14650</v>
      </c>
      <c r="CD100" s="249">
        <f>IF(AND(CC100&gt;0,$N100&lt;&gt;""),IF((DATE(Assumptions!$B$4,12,28)-$N100)/365.25&lt;=Assumptions!$B$20,(DATE(Assumptions!$B$4,12,28)-$N100)/365.25*Assumptions!$B$18*CC100,(Assumptions!$B$20*Assumptions!$B$18+((DATE(Assumptions!$B$4,12,28)-$N100)/365.25-Assumptions!$B$20)*Assumptions!$B$19)*CC100),0)</f>
        <v>41347.89527720739</v>
      </c>
      <c r="CE100" s="249">
        <f>IF(CB100&gt;0,IF($M100="Saudi",MIN(CB100+$Q100*$V100,Assumptions!$B$14)*Assumptions!$B$12,MIN(CB100+$Q100*$V100,Assumptions!$B$14)*Assumptions!$B$13),0)</f>
        <v>0</v>
      </c>
      <c r="CF100" s="249">
        <f>IF(AND(CB100&gt;0,$M100="Non-Saudi"),Assumptions!$B$25,0)</f>
        <v>910.41666666666663</v>
      </c>
      <c r="CG100" s="249">
        <f t="shared" si="47"/>
        <v>127000</v>
      </c>
      <c r="CH100" s="249">
        <f t="shared" si="48"/>
        <v>173800</v>
      </c>
      <c r="CI100" s="249">
        <f>CD100-IF(AND(Z100&gt;0,$N100&lt;&gt;""),IF((DATE(Assumptions!$B$4-1,12,28)-$N100)/365.25&lt;=Assumptions!$B$20,(DATE(Assumptions!$B$4-1,12,28)-$N100)/365.25*Assumptions!$B$18*Z100,(Assumptions!$B$20*Assumptions!$B$18+((DATE(Assumptions!$B$4-1,12,28)-$N100)/365.25-Assumptions!$B$20)*Assumptions!$B$19)*Z100),0)</f>
        <v>10221.81724845996</v>
      </c>
      <c r="CJ100" s="249">
        <f t="shared" si="49"/>
        <v>0</v>
      </c>
      <c r="CK100" s="249">
        <f t="shared" si="50"/>
        <v>10924.999999999998</v>
      </c>
    </row>
    <row r="101" spans="1:89" x14ac:dyDescent="0.2">
      <c r="A101" s="252">
        <v>101</v>
      </c>
      <c r="B101" s="253" t="s">
        <v>504</v>
      </c>
      <c r="C101" s="253" t="s">
        <v>505</v>
      </c>
      <c r="D101" s="253" t="s">
        <v>250</v>
      </c>
      <c r="E101" s="253" t="s">
        <v>767</v>
      </c>
      <c r="F101" s="253" t="s">
        <v>251</v>
      </c>
      <c r="G101" s="253" t="s">
        <v>252</v>
      </c>
      <c r="H101" s="253" t="s">
        <v>253</v>
      </c>
      <c r="I101" s="282" t="s">
        <v>690</v>
      </c>
      <c r="J101" s="253"/>
      <c r="K101" s="253" t="s">
        <v>252</v>
      </c>
      <c r="L101" s="253" t="s">
        <v>255</v>
      </c>
      <c r="M101" s="253" t="str">
        <f t="shared" ref="M101:M132" si="51">IF(D101="Titulaire EN","",IF(OR(B101="AL OSSAIMI AL OTAIBI",B101="ALAMRI"),"Saudi","Non-Saudi"))</f>
        <v>Non-Saudi</v>
      </c>
      <c r="N101" s="254">
        <v>45901</v>
      </c>
      <c r="O101" s="255">
        <v>1.3</v>
      </c>
      <c r="P101" s="256">
        <v>7000</v>
      </c>
      <c r="Q101" s="256">
        <v>2500</v>
      </c>
      <c r="R101" s="256">
        <v>500</v>
      </c>
      <c r="S101" s="256"/>
      <c r="T101" s="256"/>
      <c r="U101" s="256">
        <v>10000</v>
      </c>
      <c r="V101" s="257">
        <v>1</v>
      </c>
      <c r="W101" s="253" t="s">
        <v>259</v>
      </c>
      <c r="X101" s="253" t="s">
        <v>268</v>
      </c>
      <c r="Y101" s="249">
        <f t="shared" si="27"/>
        <v>7000</v>
      </c>
      <c r="Z101" s="249">
        <f t="shared" si="28"/>
        <v>10000</v>
      </c>
      <c r="AA101" s="249">
        <f>IF(AND(Z101&gt;0,$N101&lt;&gt;""),IF((DATE(Assumptions!$B$4,1,28)-$N101)/365.25&lt;=Assumptions!$B$20,(DATE(Assumptions!$B$4,1,28)-$N101)/365.25*Assumptions!$B$18*Z101,(Assumptions!$B$20*Assumptions!$B$18+((DATE(Assumptions!$B$4,1,28)-$N101)/365.25-Assumptions!$B$20)*Assumptions!$B$19)*Z101),0)</f>
        <v>2039.6988364134156</v>
      </c>
      <c r="AB101" s="249">
        <f>IF(Y101&gt;0,IF($M101="Saudi",MIN(Y101+$Q101*$V101,Assumptions!$B$14)*Assumptions!$B$12,MIN(Y101+$Q101*$V101,Assumptions!$B$14)*Assumptions!$B$13),0)</f>
        <v>0</v>
      </c>
      <c r="AC101" s="249">
        <f>IF(AND(Y101&gt;0,$M101="Non-Saudi"),Assumptions!$B$25,0)</f>
        <v>910.41666666666663</v>
      </c>
      <c r="AD101" s="249">
        <f t="shared" si="29"/>
        <v>7000</v>
      </c>
      <c r="AE101" s="249">
        <f t="shared" si="30"/>
        <v>10000</v>
      </c>
      <c r="AF101" s="249">
        <f>IF(AND(AE101&gt;0,$N101&lt;&gt;""),IF((DATE(Assumptions!$B$4,2,28)-$N101)/365.25&lt;=Assumptions!$B$20,(DATE(Assumptions!$B$4,2,28)-$N101)/365.25*Assumptions!$B$18*AE101,(Assumptions!$B$20*Assumptions!$B$18+((DATE(Assumptions!$B$4,2,28)-$N101)/365.25-Assumptions!$B$20)*Assumptions!$B$19)*AE101),0)</f>
        <v>2464.0657084188911</v>
      </c>
      <c r="AG101" s="249">
        <f>IF(AD101&gt;0,IF($M101="Saudi",MIN(AD101+$Q101*$V101,Assumptions!$B$14)*Assumptions!$B$12,MIN(AD101+$Q101*$V101,Assumptions!$B$14)*Assumptions!$B$13),0)</f>
        <v>0</v>
      </c>
      <c r="AH101" s="249">
        <f>IF(AND(AD101&gt;0,$M101="Non-Saudi"),Assumptions!$B$25,0)</f>
        <v>910.41666666666663</v>
      </c>
      <c r="AI101" s="249">
        <f t="shared" si="31"/>
        <v>7000</v>
      </c>
      <c r="AJ101" s="249">
        <f t="shared" si="32"/>
        <v>10000</v>
      </c>
      <c r="AK101" s="249">
        <f>IF(AND(AJ101&gt;0,$N101&lt;&gt;""),IF((DATE(Assumptions!$B$4,3,28)-$N101)/365.25&lt;=Assumptions!$B$20,(DATE(Assumptions!$B$4,3,28)-$N101)/365.25*Assumptions!$B$18*AJ101,(Assumptions!$B$20*Assumptions!$B$18+((DATE(Assumptions!$B$4,3,28)-$N101)/365.25-Assumptions!$B$20)*Assumptions!$B$19)*AJ101),0)</f>
        <v>2847.3648186173855</v>
      </c>
      <c r="AL101" s="249">
        <f>IF(AI101&gt;0,IF($M101="Saudi",MIN(AI101+$Q101*$V101,Assumptions!$B$14)*Assumptions!$B$12,MIN(AI101+$Q101*$V101,Assumptions!$B$14)*Assumptions!$B$13),0)</f>
        <v>0</v>
      </c>
      <c r="AM101" s="249">
        <f>IF(AND(AI101&gt;0,$M101="Non-Saudi"),Assumptions!$B$25,0)</f>
        <v>910.41666666666663</v>
      </c>
      <c r="AN101" s="249">
        <f t="shared" si="33"/>
        <v>7000</v>
      </c>
      <c r="AO101" s="249">
        <f t="shared" si="34"/>
        <v>10000</v>
      </c>
      <c r="AP101" s="249">
        <f>IF(AND(AO101&gt;0,$N101&lt;&gt;""),IF((DATE(Assumptions!$B$4,4,28)-$N101)/365.25&lt;=Assumptions!$B$20,(DATE(Assumptions!$B$4,4,28)-$N101)/365.25*Assumptions!$B$18*AO101,(Assumptions!$B$20*Assumptions!$B$18+((DATE(Assumptions!$B$4,4,28)-$N101)/365.25-Assumptions!$B$20)*Assumptions!$B$19)*AO101),0)</f>
        <v>3271.7316906228612</v>
      </c>
      <c r="AQ101" s="249">
        <f>IF(AN101&gt;0,IF($M101="Saudi",MIN(AN101+$Q101*$V101,Assumptions!$B$14)*Assumptions!$B$12,MIN(AN101+$Q101*$V101,Assumptions!$B$14)*Assumptions!$B$13),0)</f>
        <v>0</v>
      </c>
      <c r="AR101" s="249">
        <f>IF(AND(AN101&gt;0,$M101="Non-Saudi"),Assumptions!$B$25,0)</f>
        <v>910.41666666666663</v>
      </c>
      <c r="AS101" s="249">
        <f t="shared" si="35"/>
        <v>7000</v>
      </c>
      <c r="AT101" s="249">
        <f t="shared" si="36"/>
        <v>10000</v>
      </c>
      <c r="AU101" s="249">
        <f>IF(AND(AT101&gt;0,$N101&lt;&gt;""),IF((DATE(Assumptions!$B$4,5,28)-$N101)/365.25&lt;=Assumptions!$B$20,(DATE(Assumptions!$B$4,5,28)-$N101)/365.25*Assumptions!$B$18*AT101,(Assumptions!$B$20*Assumptions!$B$18+((DATE(Assumptions!$B$4,5,28)-$N101)/365.25-Assumptions!$B$20)*Assumptions!$B$19)*AT101),0)</f>
        <v>3682.4093086926764</v>
      </c>
      <c r="AV101" s="249">
        <f>IF(AS101&gt;0,IF($M101="Saudi",MIN(AS101+$Q101*$V101,Assumptions!$B$14)*Assumptions!$B$12,MIN(AS101+$Q101*$V101,Assumptions!$B$14)*Assumptions!$B$13),0)</f>
        <v>0</v>
      </c>
      <c r="AW101" s="249">
        <f>IF(AND(AS101&gt;0,$M101="Non-Saudi"),Assumptions!$B$25,0)</f>
        <v>910.41666666666663</v>
      </c>
      <c r="AX101" s="249">
        <f t="shared" si="37"/>
        <v>7000</v>
      </c>
      <c r="AY101" s="249">
        <f t="shared" si="38"/>
        <v>10000</v>
      </c>
      <c r="AZ101" s="249">
        <f>IF(AND(AY101&gt;0,$N101&lt;&gt;""),IF((DATE(Assumptions!$B$4,6,28)-$N101)/365.25&lt;=Assumptions!$B$20,(DATE(Assumptions!$B$4,6,28)-$N101)/365.25*Assumptions!$B$18*AY101,(Assumptions!$B$20*Assumptions!$B$18+((DATE(Assumptions!$B$4,6,28)-$N101)/365.25-Assumptions!$B$20)*Assumptions!$B$19)*AY101),0)</f>
        <v>4106.7761806981516</v>
      </c>
      <c r="BA101" s="249">
        <f>IF(AX101&gt;0,IF($M101="Saudi",MIN(AX101+$Q101*$V101,Assumptions!$B$14)*Assumptions!$B$12,MIN(AX101+$Q101*$V101,Assumptions!$B$14)*Assumptions!$B$13),0)</f>
        <v>0</v>
      </c>
      <c r="BB101" s="249">
        <f>IF(AND(AX101&gt;0,$M101="Non-Saudi"),Assumptions!$B$25,0)</f>
        <v>910.41666666666663</v>
      </c>
      <c r="BC101" s="249">
        <f t="shared" si="39"/>
        <v>7000</v>
      </c>
      <c r="BD101" s="249">
        <f t="shared" si="40"/>
        <v>10000</v>
      </c>
      <c r="BE101" s="249">
        <f>IF(AND(BD101&gt;0,$N101&lt;&gt;""),IF((DATE(Assumptions!$B$4,7,28)-$N101)/365.25&lt;=Assumptions!$B$20,(DATE(Assumptions!$B$4,7,28)-$N101)/365.25*Assumptions!$B$18*BD101,(Assumptions!$B$20*Assumptions!$B$18+((DATE(Assumptions!$B$4,7,28)-$N101)/365.25-Assumptions!$B$20)*Assumptions!$B$19)*BD101),0)</f>
        <v>4517.4537987679669</v>
      </c>
      <c r="BF101" s="249">
        <f>IF(BC101&gt;0,IF($M101="Saudi",MIN(BC101+$Q101*$V101,Assumptions!$B$14)*Assumptions!$B$12,MIN(BC101+$Q101*$V101,Assumptions!$B$14)*Assumptions!$B$13),0)</f>
        <v>0</v>
      </c>
      <c r="BG101" s="249">
        <f>IF(AND(BC101&gt;0,$M101="Non-Saudi"),Assumptions!$B$25,0)</f>
        <v>910.41666666666663</v>
      </c>
      <c r="BH101" s="249">
        <f t="shared" si="41"/>
        <v>7000</v>
      </c>
      <c r="BI101" s="249">
        <f t="shared" si="42"/>
        <v>10000</v>
      </c>
      <c r="BJ101" s="249">
        <f>IF(AND(BI101&gt;0,$N101&lt;&gt;""),IF((DATE(Assumptions!$B$4,8,28)-$N101)/365.25&lt;=Assumptions!$B$20,(DATE(Assumptions!$B$4,8,28)-$N101)/365.25*Assumptions!$B$18*BI101,(Assumptions!$B$20*Assumptions!$B$18+((DATE(Assumptions!$B$4,8,28)-$N101)/365.25-Assumptions!$B$20)*Assumptions!$B$19)*BI101),0)</f>
        <v>4941.8206707734435</v>
      </c>
      <c r="BK101" s="249">
        <f>IF(BH101&gt;0,IF($M101="Saudi",MIN(BH101+$Q101*$V101,Assumptions!$B$14)*Assumptions!$B$12,MIN(BH101+$Q101*$V101,Assumptions!$B$14)*Assumptions!$B$13),0)</f>
        <v>0</v>
      </c>
      <c r="BL101" s="249">
        <f>IF(AND(BH101&gt;0,$M101="Non-Saudi"),Assumptions!$B$25,0)</f>
        <v>910.41666666666663</v>
      </c>
      <c r="BM101" s="249">
        <f>IF(AND($D101="Contrat Local",$N101&lt;&gt;""),IF(AND(9&gt;=Assumptions!$B$5,ISNUMBER($X101),$N101&lt;EDATE(Assumptions!$B$9,-Assumptions!$B$6*12)),($P101+$X101)*$V101,$P101*$V101),0)</f>
        <v>7000</v>
      </c>
      <c r="BN101" s="249">
        <f t="shared" si="43"/>
        <v>10000</v>
      </c>
      <c r="BO101" s="249">
        <f>IF(AND(BN101&gt;0,$N101&lt;&gt;""),IF((DATE(Assumptions!$B$4,9,28)-$N101)/365.25&lt;=Assumptions!$B$20,(DATE(Assumptions!$B$4,9,28)-$N101)/365.25*Assumptions!$B$18*BN101,(Assumptions!$B$20*Assumptions!$B$18+((DATE(Assumptions!$B$4,9,28)-$N101)/365.25-Assumptions!$B$20)*Assumptions!$B$19)*BN101),0)</f>
        <v>5366.1875427789182</v>
      </c>
      <c r="BP101" s="249">
        <f>IF(BM101&gt;0,IF($M101="Saudi",MIN(BM101+$Q101*$V101,Assumptions!$B$14)*Assumptions!$B$12,MIN(BM101+$Q101*$V101,Assumptions!$B$14)*Assumptions!$B$13),0)</f>
        <v>0</v>
      </c>
      <c r="BQ101" s="249">
        <f>IF(AND(BM101&gt;0,$M101="Non-Saudi"),Assumptions!$B$25,0)</f>
        <v>910.41666666666663</v>
      </c>
      <c r="BR101" s="249">
        <f>IF(AND($D101="Contrat Local",$N101&lt;&gt;""),IF(AND(10&gt;=Assumptions!$B$5,ISNUMBER($X101),$N101&lt;EDATE(Assumptions!$B$9,-Assumptions!$B$6*12)),($P101+$X101)*$V101,$P101*$V101),0)</f>
        <v>7000</v>
      </c>
      <c r="BS101" s="249">
        <f t="shared" si="44"/>
        <v>10000</v>
      </c>
      <c r="BT101" s="249">
        <f>IF(AND(BS101&gt;0,$N101&lt;&gt;""),IF((DATE(Assumptions!$B$4,10,28)-$N101)/365.25&lt;=Assumptions!$B$20,(DATE(Assumptions!$B$4,10,28)-$N101)/365.25*Assumptions!$B$18*BS101,(Assumptions!$B$20*Assumptions!$B$18+((DATE(Assumptions!$B$4,10,28)-$N101)/365.25-Assumptions!$B$20)*Assumptions!$B$19)*BS101),0)</f>
        <v>5776.8651608487344</v>
      </c>
      <c r="BU101" s="249">
        <f>IF(BR101&gt;0,IF($M101="Saudi",MIN(BR101+$Q101*$V101,Assumptions!$B$14)*Assumptions!$B$12,MIN(BR101+$Q101*$V101,Assumptions!$B$14)*Assumptions!$B$13),0)</f>
        <v>0</v>
      </c>
      <c r="BV101" s="249">
        <f>IF(AND(BR101&gt;0,$M101="Non-Saudi"),Assumptions!$B$25,0)</f>
        <v>910.41666666666663</v>
      </c>
      <c r="BW101" s="249">
        <f>IF(AND($D101="Contrat Local",$N101&lt;&gt;""),IF(AND(11&gt;=Assumptions!$B$5,ISNUMBER($X101),$N101&lt;EDATE(Assumptions!$B$9,-Assumptions!$B$6*12)),($P101+$X101)*$V101,$P101*$V101),0)</f>
        <v>7000</v>
      </c>
      <c r="BX101" s="249">
        <f t="shared" si="45"/>
        <v>10000</v>
      </c>
      <c r="BY101" s="249">
        <f>IF(AND(BX101&gt;0,$N101&lt;&gt;""),IF((DATE(Assumptions!$B$4,11,28)-$N101)/365.25&lt;=Assumptions!$B$20,(DATE(Assumptions!$B$4,11,28)-$N101)/365.25*Assumptions!$B$18*BX101,(Assumptions!$B$20*Assumptions!$B$18+((DATE(Assumptions!$B$4,11,28)-$N101)/365.25-Assumptions!$B$20)*Assumptions!$B$19)*BX101),0)</f>
        <v>6201.2320328542091</v>
      </c>
      <c r="BZ101" s="249">
        <f>IF(BW101&gt;0,IF($M101="Saudi",MIN(BW101+$Q101*$V101,Assumptions!$B$14)*Assumptions!$B$12,MIN(BW101+$Q101*$V101,Assumptions!$B$14)*Assumptions!$B$13),0)</f>
        <v>0</v>
      </c>
      <c r="CA101" s="249">
        <f>IF(AND(BW101&gt;0,$M101="Non-Saudi"),Assumptions!$B$25,0)</f>
        <v>910.41666666666663</v>
      </c>
      <c r="CB101" s="249">
        <f>IF(AND($D101="Contrat Local",$N101&lt;&gt;""),IF(AND(12&gt;=Assumptions!$B$5,ISNUMBER($X101),$N101&lt;EDATE(Assumptions!$B$9,-Assumptions!$B$6*12)),($P101+$X101)*$V101,$P101*$V101),0)</f>
        <v>7000</v>
      </c>
      <c r="CC101" s="249">
        <f t="shared" si="46"/>
        <v>10000</v>
      </c>
      <c r="CD101" s="249">
        <f>IF(AND(CC101&gt;0,$N101&lt;&gt;""),IF((DATE(Assumptions!$B$4,12,28)-$N101)/365.25&lt;=Assumptions!$B$20,(DATE(Assumptions!$B$4,12,28)-$N101)/365.25*Assumptions!$B$18*CC101,(Assumptions!$B$20*Assumptions!$B$18+((DATE(Assumptions!$B$4,12,28)-$N101)/365.25-Assumptions!$B$20)*Assumptions!$B$19)*CC101),0)</f>
        <v>6611.9096509240253</v>
      </c>
      <c r="CE101" s="249">
        <f>IF(CB101&gt;0,IF($M101="Saudi",MIN(CB101+$Q101*$V101,Assumptions!$B$14)*Assumptions!$B$12,MIN(CB101+$Q101*$V101,Assumptions!$B$14)*Assumptions!$B$13),0)</f>
        <v>0</v>
      </c>
      <c r="CF101" s="249">
        <f>IF(AND(CB101&gt;0,$M101="Non-Saudi"),Assumptions!$B$25,0)</f>
        <v>910.41666666666663</v>
      </c>
      <c r="CG101" s="249">
        <f t="shared" si="47"/>
        <v>84000</v>
      </c>
      <c r="CH101" s="249">
        <f t="shared" si="48"/>
        <v>120000</v>
      </c>
      <c r="CI101" s="249">
        <f>CD101-IF(AND(Z101&gt;0,$N101&lt;&gt;""),IF((DATE(Assumptions!$B$4-1,12,28)-$N101)/365.25&lt;=Assumptions!$B$20,(DATE(Assumptions!$B$4-1,12,28)-$N101)/365.25*Assumptions!$B$18*Z101,(Assumptions!$B$20*Assumptions!$B$18+((DATE(Assumptions!$B$4-1,12,28)-$N101)/365.25-Assumptions!$B$20)*Assumptions!$B$19)*Z101),0)</f>
        <v>4996.577686516086</v>
      </c>
      <c r="CJ101" s="249">
        <f t="shared" si="49"/>
        <v>0</v>
      </c>
      <c r="CK101" s="249">
        <f t="shared" si="50"/>
        <v>10924.999999999998</v>
      </c>
    </row>
    <row r="102" spans="1:89" x14ac:dyDescent="0.2">
      <c r="A102" s="264">
        <v>102</v>
      </c>
      <c r="B102" s="265" t="s">
        <v>506</v>
      </c>
      <c r="C102" s="265" t="s">
        <v>473</v>
      </c>
      <c r="D102" s="265" t="s">
        <v>250</v>
      </c>
      <c r="E102" s="265" t="s">
        <v>767</v>
      </c>
      <c r="F102" s="265" t="s">
        <v>264</v>
      </c>
      <c r="G102" s="265" t="s">
        <v>8</v>
      </c>
      <c r="H102" s="265" t="s">
        <v>265</v>
      </c>
      <c r="I102" s="284" t="s">
        <v>691</v>
      </c>
      <c r="J102" s="265" t="s">
        <v>58</v>
      </c>
      <c r="K102" s="265" t="s">
        <v>8</v>
      </c>
      <c r="L102" s="265" t="s">
        <v>255</v>
      </c>
      <c r="M102" s="265" t="str">
        <f t="shared" si="51"/>
        <v>Non-Saudi</v>
      </c>
      <c r="N102" s="266">
        <v>45901</v>
      </c>
      <c r="O102" s="267">
        <v>1.3</v>
      </c>
      <c r="P102" s="268">
        <v>8000</v>
      </c>
      <c r="Q102" s="268">
        <v>2500</v>
      </c>
      <c r="R102" s="268">
        <v>500</v>
      </c>
      <c r="S102" s="268"/>
      <c r="T102" s="268"/>
      <c r="U102" s="268">
        <v>11000</v>
      </c>
      <c r="V102" s="269">
        <v>1</v>
      </c>
      <c r="W102" s="265" t="s">
        <v>256</v>
      </c>
      <c r="X102" s="265" t="s">
        <v>268</v>
      </c>
      <c r="Y102" s="249">
        <f t="shared" si="27"/>
        <v>8000</v>
      </c>
      <c r="Z102" s="249">
        <f t="shared" si="28"/>
        <v>11000</v>
      </c>
      <c r="AA102" s="249">
        <f>IF(AND(Z102&gt;0,$N102&lt;&gt;""),IF((DATE(Assumptions!$B$4,1,28)-$N102)/365.25&lt;=Assumptions!$B$20,(DATE(Assumptions!$B$4,1,28)-$N102)/365.25*Assumptions!$B$18*Z102,(Assumptions!$B$20*Assumptions!$B$18+((DATE(Assumptions!$B$4,1,28)-$N102)/365.25-Assumptions!$B$20)*Assumptions!$B$19)*Z102),0)</f>
        <v>2243.6687200547572</v>
      </c>
      <c r="AB102" s="249">
        <f>IF(Y102&gt;0,IF($M102="Saudi",MIN(Y102+$Q102*$V102,Assumptions!$B$14)*Assumptions!$B$12,MIN(Y102+$Q102*$V102,Assumptions!$B$14)*Assumptions!$B$13),0)</f>
        <v>0</v>
      </c>
      <c r="AC102" s="249">
        <f>IF(AND(Y102&gt;0,$M102="Non-Saudi"),Assumptions!$B$25,0)</f>
        <v>910.41666666666663</v>
      </c>
      <c r="AD102" s="249">
        <f t="shared" si="29"/>
        <v>8000</v>
      </c>
      <c r="AE102" s="249">
        <f t="shared" si="30"/>
        <v>11000</v>
      </c>
      <c r="AF102" s="249">
        <f>IF(AND(AE102&gt;0,$N102&lt;&gt;""),IF((DATE(Assumptions!$B$4,2,28)-$N102)/365.25&lt;=Assumptions!$B$20,(DATE(Assumptions!$B$4,2,28)-$N102)/365.25*Assumptions!$B$18*AE102,(Assumptions!$B$20*Assumptions!$B$18+((DATE(Assumptions!$B$4,2,28)-$N102)/365.25-Assumptions!$B$20)*Assumptions!$B$19)*AE102),0)</f>
        <v>2710.4722792607799</v>
      </c>
      <c r="AG102" s="249">
        <f>IF(AD102&gt;0,IF($M102="Saudi",MIN(AD102+$Q102*$V102,Assumptions!$B$14)*Assumptions!$B$12,MIN(AD102+$Q102*$V102,Assumptions!$B$14)*Assumptions!$B$13),0)</f>
        <v>0</v>
      </c>
      <c r="AH102" s="249">
        <f>IF(AND(AD102&gt;0,$M102="Non-Saudi"),Assumptions!$B$25,0)</f>
        <v>910.41666666666663</v>
      </c>
      <c r="AI102" s="249">
        <f t="shared" si="31"/>
        <v>8000</v>
      </c>
      <c r="AJ102" s="249">
        <f t="shared" si="32"/>
        <v>11000</v>
      </c>
      <c r="AK102" s="249">
        <f>IF(AND(AJ102&gt;0,$N102&lt;&gt;""),IF((DATE(Assumptions!$B$4,3,28)-$N102)/365.25&lt;=Assumptions!$B$20,(DATE(Assumptions!$B$4,3,28)-$N102)/365.25*Assumptions!$B$18*AJ102,(Assumptions!$B$20*Assumptions!$B$18+((DATE(Assumptions!$B$4,3,28)-$N102)/365.25-Assumptions!$B$20)*Assumptions!$B$19)*AJ102),0)</f>
        <v>3132.1013004791239</v>
      </c>
      <c r="AL102" s="249">
        <f>IF(AI102&gt;0,IF($M102="Saudi",MIN(AI102+$Q102*$V102,Assumptions!$B$14)*Assumptions!$B$12,MIN(AI102+$Q102*$V102,Assumptions!$B$14)*Assumptions!$B$13),0)</f>
        <v>0</v>
      </c>
      <c r="AM102" s="249">
        <f>IF(AND(AI102&gt;0,$M102="Non-Saudi"),Assumptions!$B$25,0)</f>
        <v>910.41666666666663</v>
      </c>
      <c r="AN102" s="249">
        <f t="shared" si="33"/>
        <v>8000</v>
      </c>
      <c r="AO102" s="249">
        <f t="shared" si="34"/>
        <v>11000</v>
      </c>
      <c r="AP102" s="249">
        <f>IF(AND(AO102&gt;0,$N102&lt;&gt;""),IF((DATE(Assumptions!$B$4,4,28)-$N102)/365.25&lt;=Assumptions!$B$20,(DATE(Assumptions!$B$4,4,28)-$N102)/365.25*Assumptions!$B$18*AO102,(Assumptions!$B$20*Assumptions!$B$18+((DATE(Assumptions!$B$4,4,28)-$N102)/365.25-Assumptions!$B$20)*Assumptions!$B$19)*AO102),0)</f>
        <v>3598.9048596851471</v>
      </c>
      <c r="AQ102" s="249">
        <f>IF(AN102&gt;0,IF($M102="Saudi",MIN(AN102+$Q102*$V102,Assumptions!$B$14)*Assumptions!$B$12,MIN(AN102+$Q102*$V102,Assumptions!$B$14)*Assumptions!$B$13),0)</f>
        <v>0</v>
      </c>
      <c r="AR102" s="249">
        <f>IF(AND(AN102&gt;0,$M102="Non-Saudi"),Assumptions!$B$25,0)</f>
        <v>910.41666666666663</v>
      </c>
      <c r="AS102" s="249">
        <f t="shared" si="35"/>
        <v>8000</v>
      </c>
      <c r="AT102" s="249">
        <f t="shared" si="36"/>
        <v>11000</v>
      </c>
      <c r="AU102" s="249">
        <f>IF(AND(AT102&gt;0,$N102&lt;&gt;""),IF((DATE(Assumptions!$B$4,5,28)-$N102)/365.25&lt;=Assumptions!$B$20,(DATE(Assumptions!$B$4,5,28)-$N102)/365.25*Assumptions!$B$18*AT102,(Assumptions!$B$20*Assumptions!$B$18+((DATE(Assumptions!$B$4,5,28)-$N102)/365.25-Assumptions!$B$20)*Assumptions!$B$19)*AT102),0)</f>
        <v>4050.6502395619441</v>
      </c>
      <c r="AV102" s="249">
        <f>IF(AS102&gt;0,IF($M102="Saudi",MIN(AS102+$Q102*$V102,Assumptions!$B$14)*Assumptions!$B$12,MIN(AS102+$Q102*$V102,Assumptions!$B$14)*Assumptions!$B$13),0)</f>
        <v>0</v>
      </c>
      <c r="AW102" s="249">
        <f>IF(AND(AS102&gt;0,$M102="Non-Saudi"),Assumptions!$B$25,0)</f>
        <v>910.41666666666663</v>
      </c>
      <c r="AX102" s="249">
        <f t="shared" si="37"/>
        <v>8000</v>
      </c>
      <c r="AY102" s="249">
        <f t="shared" si="38"/>
        <v>11000</v>
      </c>
      <c r="AZ102" s="249">
        <f>IF(AND(AY102&gt;0,$N102&lt;&gt;""),IF((DATE(Assumptions!$B$4,6,28)-$N102)/365.25&lt;=Assumptions!$B$20,(DATE(Assumptions!$B$4,6,28)-$N102)/365.25*Assumptions!$B$18*AY102,(Assumptions!$B$20*Assumptions!$B$18+((DATE(Assumptions!$B$4,6,28)-$N102)/365.25-Assumptions!$B$20)*Assumptions!$B$19)*AY102),0)</f>
        <v>4517.4537987679669</v>
      </c>
      <c r="BA102" s="249">
        <f>IF(AX102&gt;0,IF($M102="Saudi",MIN(AX102+$Q102*$V102,Assumptions!$B$14)*Assumptions!$B$12,MIN(AX102+$Q102*$V102,Assumptions!$B$14)*Assumptions!$B$13),0)</f>
        <v>0</v>
      </c>
      <c r="BB102" s="249">
        <f>IF(AND(AX102&gt;0,$M102="Non-Saudi"),Assumptions!$B$25,0)</f>
        <v>910.41666666666663</v>
      </c>
      <c r="BC102" s="249">
        <f t="shared" si="39"/>
        <v>8000</v>
      </c>
      <c r="BD102" s="249">
        <f t="shared" si="40"/>
        <v>11000</v>
      </c>
      <c r="BE102" s="249">
        <f>IF(AND(BD102&gt;0,$N102&lt;&gt;""),IF((DATE(Assumptions!$B$4,7,28)-$N102)/365.25&lt;=Assumptions!$B$20,(DATE(Assumptions!$B$4,7,28)-$N102)/365.25*Assumptions!$B$18*BD102,(Assumptions!$B$20*Assumptions!$B$18+((DATE(Assumptions!$B$4,7,28)-$N102)/365.25-Assumptions!$B$20)*Assumptions!$B$19)*BD102),0)</f>
        <v>4969.1991786447634</v>
      </c>
      <c r="BF102" s="249">
        <f>IF(BC102&gt;0,IF($M102="Saudi",MIN(BC102+$Q102*$V102,Assumptions!$B$14)*Assumptions!$B$12,MIN(BC102+$Q102*$V102,Assumptions!$B$14)*Assumptions!$B$13),0)</f>
        <v>0</v>
      </c>
      <c r="BG102" s="249">
        <f>IF(AND(BC102&gt;0,$M102="Non-Saudi"),Assumptions!$B$25,0)</f>
        <v>910.41666666666663</v>
      </c>
      <c r="BH102" s="249">
        <f t="shared" si="41"/>
        <v>8000</v>
      </c>
      <c r="BI102" s="249">
        <f t="shared" si="42"/>
        <v>11000</v>
      </c>
      <c r="BJ102" s="249">
        <f>IF(AND(BI102&gt;0,$N102&lt;&gt;""),IF((DATE(Assumptions!$B$4,8,28)-$N102)/365.25&lt;=Assumptions!$B$20,(DATE(Assumptions!$B$4,8,28)-$N102)/365.25*Assumptions!$B$18*BI102,(Assumptions!$B$20*Assumptions!$B$18+((DATE(Assumptions!$B$4,8,28)-$N102)/365.25-Assumptions!$B$20)*Assumptions!$B$19)*BI102),0)</f>
        <v>5436.0027378507875</v>
      </c>
      <c r="BK102" s="249">
        <f>IF(BH102&gt;0,IF($M102="Saudi",MIN(BH102+$Q102*$V102,Assumptions!$B$14)*Assumptions!$B$12,MIN(BH102+$Q102*$V102,Assumptions!$B$14)*Assumptions!$B$13),0)</f>
        <v>0</v>
      </c>
      <c r="BL102" s="249">
        <f>IF(AND(BH102&gt;0,$M102="Non-Saudi"),Assumptions!$B$25,0)</f>
        <v>910.41666666666663</v>
      </c>
      <c r="BM102" s="249">
        <f>IF(AND($D102="Contrat Local",$N102&lt;&gt;""),IF(AND(9&gt;=Assumptions!$B$5,ISNUMBER($X102),$N102&lt;EDATE(Assumptions!$B$9,-Assumptions!$B$6*12)),($P102+$X102)*$V102,$P102*$V102),0)</f>
        <v>8000</v>
      </c>
      <c r="BN102" s="249">
        <f t="shared" si="43"/>
        <v>11000</v>
      </c>
      <c r="BO102" s="249">
        <f>IF(AND(BN102&gt;0,$N102&lt;&gt;""),IF((DATE(Assumptions!$B$4,9,28)-$N102)/365.25&lt;=Assumptions!$B$20,(DATE(Assumptions!$B$4,9,28)-$N102)/365.25*Assumptions!$B$18*BN102,(Assumptions!$B$20*Assumptions!$B$18+((DATE(Assumptions!$B$4,9,28)-$N102)/365.25-Assumptions!$B$20)*Assumptions!$B$19)*BN102),0)</f>
        <v>5902.8062970568108</v>
      </c>
      <c r="BP102" s="249">
        <f>IF(BM102&gt;0,IF($M102="Saudi",MIN(BM102+$Q102*$V102,Assumptions!$B$14)*Assumptions!$B$12,MIN(BM102+$Q102*$V102,Assumptions!$B$14)*Assumptions!$B$13),0)</f>
        <v>0</v>
      </c>
      <c r="BQ102" s="249">
        <f>IF(AND(BM102&gt;0,$M102="Non-Saudi"),Assumptions!$B$25,0)</f>
        <v>910.41666666666663</v>
      </c>
      <c r="BR102" s="249">
        <f>IF(AND($D102="Contrat Local",$N102&lt;&gt;""),IF(AND(10&gt;=Assumptions!$B$5,ISNUMBER($X102),$N102&lt;EDATE(Assumptions!$B$9,-Assumptions!$B$6*12)),($P102+$X102)*$V102,$P102*$V102),0)</f>
        <v>8000</v>
      </c>
      <c r="BS102" s="249">
        <f t="shared" si="44"/>
        <v>11000</v>
      </c>
      <c r="BT102" s="249">
        <f>IF(AND(BS102&gt;0,$N102&lt;&gt;""),IF((DATE(Assumptions!$B$4,10,28)-$N102)/365.25&lt;=Assumptions!$B$20,(DATE(Assumptions!$B$4,10,28)-$N102)/365.25*Assumptions!$B$18*BS102,(Assumptions!$B$20*Assumptions!$B$18+((DATE(Assumptions!$B$4,10,28)-$N102)/365.25-Assumptions!$B$20)*Assumptions!$B$19)*BS102),0)</f>
        <v>6354.5516769336073</v>
      </c>
      <c r="BU102" s="249">
        <f>IF(BR102&gt;0,IF($M102="Saudi",MIN(BR102+$Q102*$V102,Assumptions!$B$14)*Assumptions!$B$12,MIN(BR102+$Q102*$V102,Assumptions!$B$14)*Assumptions!$B$13),0)</f>
        <v>0</v>
      </c>
      <c r="BV102" s="249">
        <f>IF(AND(BR102&gt;0,$M102="Non-Saudi"),Assumptions!$B$25,0)</f>
        <v>910.41666666666663</v>
      </c>
      <c r="BW102" s="249">
        <f>IF(AND($D102="Contrat Local",$N102&lt;&gt;""),IF(AND(11&gt;=Assumptions!$B$5,ISNUMBER($X102),$N102&lt;EDATE(Assumptions!$B$9,-Assumptions!$B$6*12)),($P102+$X102)*$V102,$P102*$V102),0)</f>
        <v>8000</v>
      </c>
      <c r="BX102" s="249">
        <f t="shared" si="45"/>
        <v>11000</v>
      </c>
      <c r="BY102" s="249">
        <f>IF(AND(BX102&gt;0,$N102&lt;&gt;""),IF((DATE(Assumptions!$B$4,11,28)-$N102)/365.25&lt;=Assumptions!$B$20,(DATE(Assumptions!$B$4,11,28)-$N102)/365.25*Assumptions!$B$18*BX102,(Assumptions!$B$20*Assumptions!$B$18+((DATE(Assumptions!$B$4,11,28)-$N102)/365.25-Assumptions!$B$20)*Assumptions!$B$19)*BX102),0)</f>
        <v>6821.3552361396305</v>
      </c>
      <c r="BZ102" s="249">
        <f>IF(BW102&gt;0,IF($M102="Saudi",MIN(BW102+$Q102*$V102,Assumptions!$B$14)*Assumptions!$B$12,MIN(BW102+$Q102*$V102,Assumptions!$B$14)*Assumptions!$B$13),0)</f>
        <v>0</v>
      </c>
      <c r="CA102" s="249">
        <f>IF(AND(BW102&gt;0,$M102="Non-Saudi"),Assumptions!$B$25,0)</f>
        <v>910.41666666666663</v>
      </c>
      <c r="CB102" s="249">
        <f>IF(AND($D102="Contrat Local",$N102&lt;&gt;""),IF(AND(12&gt;=Assumptions!$B$5,ISNUMBER($X102),$N102&lt;EDATE(Assumptions!$B$9,-Assumptions!$B$6*12)),($P102+$X102)*$V102,$P102*$V102),0)</f>
        <v>8000</v>
      </c>
      <c r="CC102" s="249">
        <f t="shared" si="46"/>
        <v>11000</v>
      </c>
      <c r="CD102" s="249">
        <f>IF(AND(CC102&gt;0,$N102&lt;&gt;""),IF((DATE(Assumptions!$B$4,12,28)-$N102)/365.25&lt;=Assumptions!$B$20,(DATE(Assumptions!$B$4,12,28)-$N102)/365.25*Assumptions!$B$18*CC102,(Assumptions!$B$20*Assumptions!$B$18+((DATE(Assumptions!$B$4,12,28)-$N102)/365.25-Assumptions!$B$20)*Assumptions!$B$19)*CC102),0)</f>
        <v>7273.100616016427</v>
      </c>
      <c r="CE102" s="249">
        <f>IF(CB102&gt;0,IF($M102="Saudi",MIN(CB102+$Q102*$V102,Assumptions!$B$14)*Assumptions!$B$12,MIN(CB102+$Q102*$V102,Assumptions!$B$14)*Assumptions!$B$13),0)</f>
        <v>0</v>
      </c>
      <c r="CF102" s="249">
        <f>IF(AND(CB102&gt;0,$M102="Non-Saudi"),Assumptions!$B$25,0)</f>
        <v>910.41666666666663</v>
      </c>
      <c r="CG102" s="249">
        <f t="shared" si="47"/>
        <v>96000</v>
      </c>
      <c r="CH102" s="249">
        <f t="shared" si="48"/>
        <v>132000</v>
      </c>
      <c r="CI102" s="249">
        <f>CD102-IF(AND(Z102&gt;0,$N102&lt;&gt;""),IF((DATE(Assumptions!$B$4-1,12,28)-$N102)/365.25&lt;=Assumptions!$B$20,(DATE(Assumptions!$B$4-1,12,28)-$N102)/365.25*Assumptions!$B$18*Z102,(Assumptions!$B$20*Assumptions!$B$18+((DATE(Assumptions!$B$4-1,12,28)-$N102)/365.25-Assumptions!$B$20)*Assumptions!$B$19)*Z102),0)</f>
        <v>5496.2354551676935</v>
      </c>
      <c r="CJ102" s="249">
        <f t="shared" si="49"/>
        <v>0</v>
      </c>
      <c r="CK102" s="249">
        <f t="shared" si="50"/>
        <v>10924.999999999998</v>
      </c>
    </row>
    <row r="103" spans="1:89" x14ac:dyDescent="0.2">
      <c r="A103" s="258">
        <v>103</v>
      </c>
      <c r="B103" s="259" t="s">
        <v>507</v>
      </c>
      <c r="C103" s="259" t="s">
        <v>508</v>
      </c>
      <c r="D103" s="259" t="s">
        <v>250</v>
      </c>
      <c r="E103" s="259" t="s">
        <v>767</v>
      </c>
      <c r="F103" s="259" t="s">
        <v>264</v>
      </c>
      <c r="G103" s="259" t="s">
        <v>8</v>
      </c>
      <c r="H103" s="259" t="s">
        <v>265</v>
      </c>
      <c r="I103" s="283" t="s">
        <v>691</v>
      </c>
      <c r="J103" s="259" t="s">
        <v>58</v>
      </c>
      <c r="K103" s="259" t="s">
        <v>4</v>
      </c>
      <c r="L103" s="259" t="s">
        <v>255</v>
      </c>
      <c r="M103" s="259" t="str">
        <f t="shared" si="51"/>
        <v>Non-Saudi</v>
      </c>
      <c r="N103" s="260">
        <v>45536</v>
      </c>
      <c r="O103" s="261">
        <v>2.2999999999999998</v>
      </c>
      <c r="P103" s="262">
        <v>8250</v>
      </c>
      <c r="Q103" s="262">
        <v>2500</v>
      </c>
      <c r="R103" s="262">
        <v>500</v>
      </c>
      <c r="S103" s="262"/>
      <c r="T103" s="262"/>
      <c r="U103" s="262">
        <v>11250</v>
      </c>
      <c r="V103" s="263">
        <v>1</v>
      </c>
      <c r="W103" s="259" t="s">
        <v>259</v>
      </c>
      <c r="X103" s="259">
        <v>250</v>
      </c>
      <c r="Y103" s="249">
        <f t="shared" si="27"/>
        <v>8250</v>
      </c>
      <c r="Z103" s="249">
        <f t="shared" si="28"/>
        <v>11250</v>
      </c>
      <c r="AA103" s="249">
        <f>IF(AND(Z103&gt;0,$N103&lt;&gt;""),IF((DATE(Assumptions!$B$4,1,28)-$N103)/365.25&lt;=Assumptions!$B$20,(DATE(Assumptions!$B$4,1,28)-$N103)/365.25*Assumptions!$B$18*Z103,(Assumptions!$B$20*Assumptions!$B$18+((DATE(Assumptions!$B$4,1,28)-$N103)/365.25-Assumptions!$B$20)*Assumptions!$B$19)*Z103),0)</f>
        <v>7915.8110882956871</v>
      </c>
      <c r="AB103" s="249">
        <f>IF(Y103&gt;0,IF($M103="Saudi",MIN(Y103+$Q103*$V103,Assumptions!$B$14)*Assumptions!$B$12,MIN(Y103+$Q103*$V103,Assumptions!$B$14)*Assumptions!$B$13),0)</f>
        <v>0</v>
      </c>
      <c r="AC103" s="249">
        <f>IF(AND(Y103&gt;0,$M103="Non-Saudi"),Assumptions!$B$25,0)</f>
        <v>910.41666666666663</v>
      </c>
      <c r="AD103" s="249">
        <f t="shared" si="29"/>
        <v>8250</v>
      </c>
      <c r="AE103" s="249">
        <f t="shared" si="30"/>
        <v>11250</v>
      </c>
      <c r="AF103" s="249">
        <f>IF(AND(AE103&gt;0,$N103&lt;&gt;""),IF((DATE(Assumptions!$B$4,2,28)-$N103)/365.25&lt;=Assumptions!$B$20,(DATE(Assumptions!$B$4,2,28)-$N103)/365.25*Assumptions!$B$18*AE103,(Assumptions!$B$20*Assumptions!$B$18+((DATE(Assumptions!$B$4,2,28)-$N103)/365.25-Assumptions!$B$20)*Assumptions!$B$19)*AE103),0)</f>
        <v>8393.2238193018475</v>
      </c>
      <c r="AG103" s="249">
        <f>IF(AD103&gt;0,IF($M103="Saudi",MIN(AD103+$Q103*$V103,Assumptions!$B$14)*Assumptions!$B$12,MIN(AD103+$Q103*$V103,Assumptions!$B$14)*Assumptions!$B$13),0)</f>
        <v>0</v>
      </c>
      <c r="AH103" s="249">
        <f>IF(AND(AD103&gt;0,$M103="Non-Saudi"),Assumptions!$B$25,0)</f>
        <v>910.41666666666663</v>
      </c>
      <c r="AI103" s="249">
        <f t="shared" si="31"/>
        <v>8250</v>
      </c>
      <c r="AJ103" s="249">
        <f t="shared" si="32"/>
        <v>11250</v>
      </c>
      <c r="AK103" s="249">
        <f>IF(AND(AJ103&gt;0,$N103&lt;&gt;""),IF((DATE(Assumptions!$B$4,3,28)-$N103)/365.25&lt;=Assumptions!$B$20,(DATE(Assumptions!$B$4,3,28)-$N103)/365.25*Assumptions!$B$18*AJ103,(Assumptions!$B$20*Assumptions!$B$18+((DATE(Assumptions!$B$4,3,28)-$N103)/365.25-Assumptions!$B$20)*Assumptions!$B$19)*AJ103),0)</f>
        <v>8824.4353182751529</v>
      </c>
      <c r="AL103" s="249">
        <f>IF(AI103&gt;0,IF($M103="Saudi",MIN(AI103+$Q103*$V103,Assumptions!$B$14)*Assumptions!$B$12,MIN(AI103+$Q103*$V103,Assumptions!$B$14)*Assumptions!$B$13),0)</f>
        <v>0</v>
      </c>
      <c r="AM103" s="249">
        <f>IF(AND(AI103&gt;0,$M103="Non-Saudi"),Assumptions!$B$25,0)</f>
        <v>910.41666666666663</v>
      </c>
      <c r="AN103" s="249">
        <f t="shared" si="33"/>
        <v>8250</v>
      </c>
      <c r="AO103" s="249">
        <f t="shared" si="34"/>
        <v>11250</v>
      </c>
      <c r="AP103" s="249">
        <f>IF(AND(AO103&gt;0,$N103&lt;&gt;""),IF((DATE(Assumptions!$B$4,4,28)-$N103)/365.25&lt;=Assumptions!$B$20,(DATE(Assumptions!$B$4,4,28)-$N103)/365.25*Assumptions!$B$18*AO103,(Assumptions!$B$20*Assumptions!$B$18+((DATE(Assumptions!$B$4,4,28)-$N103)/365.25-Assumptions!$B$20)*Assumptions!$B$19)*AO103),0)</f>
        <v>9301.8480492813142</v>
      </c>
      <c r="AQ103" s="249">
        <f>IF(AN103&gt;0,IF($M103="Saudi",MIN(AN103+$Q103*$V103,Assumptions!$B$14)*Assumptions!$B$12,MIN(AN103+$Q103*$V103,Assumptions!$B$14)*Assumptions!$B$13),0)</f>
        <v>0</v>
      </c>
      <c r="AR103" s="249">
        <f>IF(AND(AN103&gt;0,$M103="Non-Saudi"),Assumptions!$B$25,0)</f>
        <v>910.41666666666663</v>
      </c>
      <c r="AS103" s="249">
        <f t="shared" si="35"/>
        <v>8250</v>
      </c>
      <c r="AT103" s="249">
        <f t="shared" si="36"/>
        <v>11250</v>
      </c>
      <c r="AU103" s="249">
        <f>IF(AND(AT103&gt;0,$N103&lt;&gt;""),IF((DATE(Assumptions!$B$4,5,28)-$N103)/365.25&lt;=Assumptions!$B$20,(DATE(Assumptions!$B$4,5,28)-$N103)/365.25*Assumptions!$B$18*AT103,(Assumptions!$B$20*Assumptions!$B$18+((DATE(Assumptions!$B$4,5,28)-$N103)/365.25-Assumptions!$B$20)*Assumptions!$B$19)*AT103),0)</f>
        <v>9763.8603696098562</v>
      </c>
      <c r="AV103" s="249">
        <f>IF(AS103&gt;0,IF($M103="Saudi",MIN(AS103+$Q103*$V103,Assumptions!$B$14)*Assumptions!$B$12,MIN(AS103+$Q103*$V103,Assumptions!$B$14)*Assumptions!$B$13),0)</f>
        <v>0</v>
      </c>
      <c r="AW103" s="249">
        <f>IF(AND(AS103&gt;0,$M103="Non-Saudi"),Assumptions!$B$25,0)</f>
        <v>910.41666666666663</v>
      </c>
      <c r="AX103" s="249">
        <f t="shared" si="37"/>
        <v>8250</v>
      </c>
      <c r="AY103" s="249">
        <f t="shared" si="38"/>
        <v>11250</v>
      </c>
      <c r="AZ103" s="249">
        <f>IF(AND(AY103&gt;0,$N103&lt;&gt;""),IF((DATE(Assumptions!$B$4,6,28)-$N103)/365.25&lt;=Assumptions!$B$20,(DATE(Assumptions!$B$4,6,28)-$N103)/365.25*Assumptions!$B$18*AY103,(Assumptions!$B$20*Assumptions!$B$18+((DATE(Assumptions!$B$4,6,28)-$N103)/365.25-Assumptions!$B$20)*Assumptions!$B$19)*AY103),0)</f>
        <v>10241.273100616016</v>
      </c>
      <c r="BA103" s="249">
        <f>IF(AX103&gt;0,IF($M103="Saudi",MIN(AX103+$Q103*$V103,Assumptions!$B$14)*Assumptions!$B$12,MIN(AX103+$Q103*$V103,Assumptions!$B$14)*Assumptions!$B$13),0)</f>
        <v>0</v>
      </c>
      <c r="BB103" s="249">
        <f>IF(AND(AX103&gt;0,$M103="Non-Saudi"),Assumptions!$B$25,0)</f>
        <v>910.41666666666663</v>
      </c>
      <c r="BC103" s="249">
        <f t="shared" si="39"/>
        <v>8250</v>
      </c>
      <c r="BD103" s="249">
        <f t="shared" si="40"/>
        <v>11250</v>
      </c>
      <c r="BE103" s="249">
        <f>IF(AND(BD103&gt;0,$N103&lt;&gt;""),IF((DATE(Assumptions!$B$4,7,28)-$N103)/365.25&lt;=Assumptions!$B$20,(DATE(Assumptions!$B$4,7,28)-$N103)/365.25*Assumptions!$B$18*BD103,(Assumptions!$B$20*Assumptions!$B$18+((DATE(Assumptions!$B$4,7,28)-$N103)/365.25-Assumptions!$B$20)*Assumptions!$B$19)*BD103),0)</f>
        <v>10703.28542094456</v>
      </c>
      <c r="BF103" s="249">
        <f>IF(BC103&gt;0,IF($M103="Saudi",MIN(BC103+$Q103*$V103,Assumptions!$B$14)*Assumptions!$B$12,MIN(BC103+$Q103*$V103,Assumptions!$B$14)*Assumptions!$B$13),0)</f>
        <v>0</v>
      </c>
      <c r="BG103" s="249">
        <f>IF(AND(BC103&gt;0,$M103="Non-Saudi"),Assumptions!$B$25,0)</f>
        <v>910.41666666666663</v>
      </c>
      <c r="BH103" s="249">
        <f t="shared" si="41"/>
        <v>8250</v>
      </c>
      <c r="BI103" s="249">
        <f t="shared" si="42"/>
        <v>11250</v>
      </c>
      <c r="BJ103" s="249">
        <f>IF(AND(BI103&gt;0,$N103&lt;&gt;""),IF((DATE(Assumptions!$B$4,8,28)-$N103)/365.25&lt;=Assumptions!$B$20,(DATE(Assumptions!$B$4,8,28)-$N103)/365.25*Assumptions!$B$18*BI103,(Assumptions!$B$20*Assumptions!$B$18+((DATE(Assumptions!$B$4,8,28)-$N103)/365.25-Assumptions!$B$20)*Assumptions!$B$19)*BI103),0)</f>
        <v>11180.698151950719</v>
      </c>
      <c r="BK103" s="249">
        <f>IF(BH103&gt;0,IF($M103="Saudi",MIN(BH103+$Q103*$V103,Assumptions!$B$14)*Assumptions!$B$12,MIN(BH103+$Q103*$V103,Assumptions!$B$14)*Assumptions!$B$13),0)</f>
        <v>0</v>
      </c>
      <c r="BL103" s="249">
        <f>IF(AND(BH103&gt;0,$M103="Non-Saudi"),Assumptions!$B$25,0)</f>
        <v>910.41666666666663</v>
      </c>
      <c r="BM103" s="249">
        <f>IF(AND($D103="Contrat Local",$N103&lt;&gt;""),IF(AND(9&gt;=Assumptions!$B$5,ISNUMBER($X103),$N103&lt;EDATE(Assumptions!$B$9,-Assumptions!$B$6*12)),($P103+$X103)*$V103,$P103*$V103),0)</f>
        <v>8500</v>
      </c>
      <c r="BN103" s="249">
        <f t="shared" si="43"/>
        <v>11500</v>
      </c>
      <c r="BO103" s="249">
        <f>IF(AND(BN103&gt;0,$N103&lt;&gt;""),IF((DATE(Assumptions!$B$4,9,28)-$N103)/365.25&lt;=Assumptions!$B$20,(DATE(Assumptions!$B$4,9,28)-$N103)/365.25*Assumptions!$B$18*BN103,(Assumptions!$B$20*Assumptions!$B$18+((DATE(Assumptions!$B$4,9,28)-$N103)/365.25-Assumptions!$B$20)*Assumptions!$B$19)*BN103),0)</f>
        <v>11917.180013689254</v>
      </c>
      <c r="BP103" s="249">
        <f>IF(BM103&gt;0,IF($M103="Saudi",MIN(BM103+$Q103*$V103,Assumptions!$B$14)*Assumptions!$B$12,MIN(BM103+$Q103*$V103,Assumptions!$B$14)*Assumptions!$B$13),0)</f>
        <v>0</v>
      </c>
      <c r="BQ103" s="249">
        <f>IF(AND(BM103&gt;0,$M103="Non-Saudi"),Assumptions!$B$25,0)</f>
        <v>910.41666666666663</v>
      </c>
      <c r="BR103" s="249">
        <f>IF(AND($D103="Contrat Local",$N103&lt;&gt;""),IF(AND(10&gt;=Assumptions!$B$5,ISNUMBER($X103),$N103&lt;EDATE(Assumptions!$B$9,-Assumptions!$B$6*12)),($P103+$X103)*$V103,$P103*$V103),0)</f>
        <v>8500</v>
      </c>
      <c r="BS103" s="249">
        <f t="shared" si="44"/>
        <v>11500</v>
      </c>
      <c r="BT103" s="249">
        <f>IF(AND(BS103&gt;0,$N103&lt;&gt;""),IF((DATE(Assumptions!$B$4,10,28)-$N103)/365.25&lt;=Assumptions!$B$20,(DATE(Assumptions!$B$4,10,28)-$N103)/365.25*Assumptions!$B$18*BS103,(Assumptions!$B$20*Assumptions!$B$18+((DATE(Assumptions!$B$4,10,28)-$N103)/365.25-Assumptions!$B$20)*Assumptions!$B$19)*BS103),0)</f>
        <v>12389.45927446954</v>
      </c>
      <c r="BU103" s="249">
        <f>IF(BR103&gt;0,IF($M103="Saudi",MIN(BR103+$Q103*$V103,Assumptions!$B$14)*Assumptions!$B$12,MIN(BR103+$Q103*$V103,Assumptions!$B$14)*Assumptions!$B$13),0)</f>
        <v>0</v>
      </c>
      <c r="BV103" s="249">
        <f>IF(AND(BR103&gt;0,$M103="Non-Saudi"),Assumptions!$B$25,0)</f>
        <v>910.41666666666663</v>
      </c>
      <c r="BW103" s="249">
        <f>IF(AND($D103="Contrat Local",$N103&lt;&gt;""),IF(AND(11&gt;=Assumptions!$B$5,ISNUMBER($X103),$N103&lt;EDATE(Assumptions!$B$9,-Assumptions!$B$6*12)),($P103+$X103)*$V103,$P103*$V103),0)</f>
        <v>8500</v>
      </c>
      <c r="BX103" s="249">
        <f t="shared" si="45"/>
        <v>11500</v>
      </c>
      <c r="BY103" s="249">
        <f>IF(AND(BX103&gt;0,$N103&lt;&gt;""),IF((DATE(Assumptions!$B$4,11,28)-$N103)/365.25&lt;=Assumptions!$B$20,(DATE(Assumptions!$B$4,11,28)-$N103)/365.25*Assumptions!$B$18*BX103,(Assumptions!$B$20*Assumptions!$B$18+((DATE(Assumptions!$B$4,11,28)-$N103)/365.25-Assumptions!$B$20)*Assumptions!$B$19)*BX103),0)</f>
        <v>12877.48117727584</v>
      </c>
      <c r="BZ103" s="249">
        <f>IF(BW103&gt;0,IF($M103="Saudi",MIN(BW103+$Q103*$V103,Assumptions!$B$14)*Assumptions!$B$12,MIN(BW103+$Q103*$V103,Assumptions!$B$14)*Assumptions!$B$13),0)</f>
        <v>0</v>
      </c>
      <c r="CA103" s="249">
        <f>IF(AND(BW103&gt;0,$M103="Non-Saudi"),Assumptions!$B$25,0)</f>
        <v>910.41666666666663</v>
      </c>
      <c r="CB103" s="249">
        <f>IF(AND($D103="Contrat Local",$N103&lt;&gt;""),IF(AND(12&gt;=Assumptions!$B$5,ISNUMBER($X103),$N103&lt;EDATE(Assumptions!$B$9,-Assumptions!$B$6*12)),($P103+$X103)*$V103,$P103*$V103),0)</f>
        <v>8500</v>
      </c>
      <c r="CC103" s="249">
        <f t="shared" si="46"/>
        <v>11500</v>
      </c>
      <c r="CD103" s="249">
        <f>IF(AND(CC103&gt;0,$N103&lt;&gt;""),IF((DATE(Assumptions!$B$4,12,28)-$N103)/365.25&lt;=Assumptions!$B$20,(DATE(Assumptions!$B$4,12,28)-$N103)/365.25*Assumptions!$B$18*CC103,(Assumptions!$B$20*Assumptions!$B$18+((DATE(Assumptions!$B$4,12,28)-$N103)/365.25-Assumptions!$B$20)*Assumptions!$B$19)*CC103),0)</f>
        <v>13349.760438056126</v>
      </c>
      <c r="CE103" s="249">
        <f>IF(CB103&gt;0,IF($M103="Saudi",MIN(CB103+$Q103*$V103,Assumptions!$B$14)*Assumptions!$B$12,MIN(CB103+$Q103*$V103,Assumptions!$B$14)*Assumptions!$B$13),0)</f>
        <v>0</v>
      </c>
      <c r="CF103" s="249">
        <f>IF(AND(CB103&gt;0,$M103="Non-Saudi"),Assumptions!$B$25,0)</f>
        <v>910.41666666666663</v>
      </c>
      <c r="CG103" s="249">
        <f t="shared" si="47"/>
        <v>100000</v>
      </c>
      <c r="CH103" s="249">
        <f t="shared" si="48"/>
        <v>136000</v>
      </c>
      <c r="CI103" s="249">
        <f>CD103-IF(AND(Z103&gt;0,$N103&lt;&gt;""),IF((DATE(Assumptions!$B$4-1,12,28)-$N103)/365.25&lt;=Assumptions!$B$20,(DATE(Assumptions!$B$4-1,12,28)-$N103)/365.25*Assumptions!$B$18*Z103,(Assumptions!$B$20*Assumptions!$B$18+((DATE(Assumptions!$B$4-1,12,28)-$N103)/365.25-Assumptions!$B$20)*Assumptions!$B$19)*Z103),0)</f>
        <v>5911.3620807665984</v>
      </c>
      <c r="CJ103" s="249">
        <f t="shared" si="49"/>
        <v>0</v>
      </c>
      <c r="CK103" s="249">
        <f t="shared" si="50"/>
        <v>10924.999999999998</v>
      </c>
    </row>
    <row r="104" spans="1:89" x14ac:dyDescent="0.2">
      <c r="A104" s="258">
        <v>104</v>
      </c>
      <c r="B104" s="259" t="s">
        <v>509</v>
      </c>
      <c r="C104" s="259" t="s">
        <v>510</v>
      </c>
      <c r="D104" s="259" t="s">
        <v>250</v>
      </c>
      <c r="E104" s="259" t="s">
        <v>767</v>
      </c>
      <c r="F104" s="259" t="s">
        <v>344</v>
      </c>
      <c r="G104" s="259" t="s">
        <v>4</v>
      </c>
      <c r="H104" s="259" t="s">
        <v>120</v>
      </c>
      <c r="I104" s="288" t="s">
        <v>691</v>
      </c>
      <c r="J104" s="259" t="s">
        <v>344</v>
      </c>
      <c r="K104" s="259" t="s">
        <v>4</v>
      </c>
      <c r="L104" s="259" t="s">
        <v>255</v>
      </c>
      <c r="M104" s="259" t="str">
        <f t="shared" si="51"/>
        <v>Non-Saudi</v>
      </c>
      <c r="N104" s="260">
        <v>44805</v>
      </c>
      <c r="O104" s="261">
        <v>4.3</v>
      </c>
      <c r="P104" s="262">
        <v>6200</v>
      </c>
      <c r="Q104" s="262">
        <v>2500</v>
      </c>
      <c r="R104" s="262">
        <v>500</v>
      </c>
      <c r="S104" s="262"/>
      <c r="T104" s="262"/>
      <c r="U104" s="262">
        <v>9200</v>
      </c>
      <c r="V104" s="263">
        <v>1</v>
      </c>
      <c r="W104" s="259" t="s">
        <v>256</v>
      </c>
      <c r="X104" s="259">
        <v>200</v>
      </c>
      <c r="Y104" s="249">
        <f t="shared" si="27"/>
        <v>6200</v>
      </c>
      <c r="Z104" s="249">
        <f t="shared" si="28"/>
        <v>9200</v>
      </c>
      <c r="AA104" s="249">
        <f>IF(AND(Z104&gt;0,$N104&lt;&gt;""),IF((DATE(Assumptions!$B$4,1,28)-$N104)/365.25&lt;=Assumptions!$B$20,(DATE(Assumptions!$B$4,1,28)-$N104)/365.25*Assumptions!$B$18*Z104,(Assumptions!$B$20*Assumptions!$B$18+((DATE(Assumptions!$B$4,1,28)-$N104)/365.25-Assumptions!$B$20)*Assumptions!$B$19)*Z104),0)</f>
        <v>15679.671457905544</v>
      </c>
      <c r="AB104" s="249">
        <f>IF(Y104&gt;0,IF($M104="Saudi",MIN(Y104+$Q104*$V104,Assumptions!$B$14)*Assumptions!$B$12,MIN(Y104+$Q104*$V104,Assumptions!$B$14)*Assumptions!$B$13),0)</f>
        <v>0</v>
      </c>
      <c r="AC104" s="249">
        <f>IF(AND(Y104&gt;0,$M104="Non-Saudi"),Assumptions!$B$25,0)</f>
        <v>910.41666666666663</v>
      </c>
      <c r="AD104" s="249">
        <f t="shared" si="29"/>
        <v>6200</v>
      </c>
      <c r="AE104" s="249">
        <f t="shared" si="30"/>
        <v>9200</v>
      </c>
      <c r="AF104" s="249">
        <f>IF(AND(AE104&gt;0,$N104&lt;&gt;""),IF((DATE(Assumptions!$B$4,2,28)-$N104)/365.25&lt;=Assumptions!$B$20,(DATE(Assumptions!$B$4,2,28)-$N104)/365.25*Assumptions!$B$18*AE104,(Assumptions!$B$20*Assumptions!$B$18+((DATE(Assumptions!$B$4,2,28)-$N104)/365.25-Assumptions!$B$20)*Assumptions!$B$19)*AE104),0)</f>
        <v>16070.088980150582</v>
      </c>
      <c r="AG104" s="249">
        <f>IF(AD104&gt;0,IF($M104="Saudi",MIN(AD104+$Q104*$V104,Assumptions!$B$14)*Assumptions!$B$12,MIN(AD104+$Q104*$V104,Assumptions!$B$14)*Assumptions!$B$13),0)</f>
        <v>0</v>
      </c>
      <c r="AH104" s="249">
        <f>IF(AND(AD104&gt;0,$M104="Non-Saudi"),Assumptions!$B$25,0)</f>
        <v>910.41666666666663</v>
      </c>
      <c r="AI104" s="249">
        <f t="shared" si="31"/>
        <v>6200</v>
      </c>
      <c r="AJ104" s="249">
        <f t="shared" si="32"/>
        <v>9200</v>
      </c>
      <c r="AK104" s="249">
        <f>IF(AND(AJ104&gt;0,$N104&lt;&gt;""),IF((DATE(Assumptions!$B$4,3,28)-$N104)/365.25&lt;=Assumptions!$B$20,(DATE(Assumptions!$B$4,3,28)-$N104)/365.25*Assumptions!$B$18*AJ104,(Assumptions!$B$20*Assumptions!$B$18+((DATE(Assumptions!$B$4,3,28)-$N104)/365.25-Assumptions!$B$20)*Assumptions!$B$19)*AJ104),0)</f>
        <v>16422.724161533195</v>
      </c>
      <c r="AL104" s="249">
        <f>IF(AI104&gt;0,IF($M104="Saudi",MIN(AI104+$Q104*$V104,Assumptions!$B$14)*Assumptions!$B$12,MIN(AI104+$Q104*$V104,Assumptions!$B$14)*Assumptions!$B$13),0)</f>
        <v>0</v>
      </c>
      <c r="AM104" s="249">
        <f>IF(AND(AI104&gt;0,$M104="Non-Saudi"),Assumptions!$B$25,0)</f>
        <v>910.41666666666663</v>
      </c>
      <c r="AN104" s="249">
        <f t="shared" si="33"/>
        <v>6200</v>
      </c>
      <c r="AO104" s="249">
        <f t="shared" si="34"/>
        <v>9200</v>
      </c>
      <c r="AP104" s="249">
        <f>IF(AND(AO104&gt;0,$N104&lt;&gt;""),IF((DATE(Assumptions!$B$4,4,28)-$N104)/365.25&lt;=Assumptions!$B$20,(DATE(Assumptions!$B$4,4,28)-$N104)/365.25*Assumptions!$B$18*AO104,(Assumptions!$B$20*Assumptions!$B$18+((DATE(Assumptions!$B$4,4,28)-$N104)/365.25-Assumptions!$B$20)*Assumptions!$B$19)*AO104),0)</f>
        <v>16813.141683778234</v>
      </c>
      <c r="AQ104" s="249">
        <f>IF(AN104&gt;0,IF($M104="Saudi",MIN(AN104+$Q104*$V104,Assumptions!$B$14)*Assumptions!$B$12,MIN(AN104+$Q104*$V104,Assumptions!$B$14)*Assumptions!$B$13),0)</f>
        <v>0</v>
      </c>
      <c r="AR104" s="249">
        <f>IF(AND(AN104&gt;0,$M104="Non-Saudi"),Assumptions!$B$25,0)</f>
        <v>910.41666666666663</v>
      </c>
      <c r="AS104" s="249">
        <f t="shared" si="35"/>
        <v>6200</v>
      </c>
      <c r="AT104" s="249">
        <f t="shared" si="36"/>
        <v>9200</v>
      </c>
      <c r="AU104" s="249">
        <f>IF(AND(AT104&gt;0,$N104&lt;&gt;""),IF((DATE(Assumptions!$B$4,5,28)-$N104)/365.25&lt;=Assumptions!$B$20,(DATE(Assumptions!$B$4,5,28)-$N104)/365.25*Assumptions!$B$18*AT104,(Assumptions!$B$20*Assumptions!$B$18+((DATE(Assumptions!$B$4,5,28)-$N104)/365.25-Assumptions!$B$20)*Assumptions!$B$19)*AT104),0)</f>
        <v>17190.965092402465</v>
      </c>
      <c r="AV104" s="249">
        <f>IF(AS104&gt;0,IF($M104="Saudi",MIN(AS104+$Q104*$V104,Assumptions!$B$14)*Assumptions!$B$12,MIN(AS104+$Q104*$V104,Assumptions!$B$14)*Assumptions!$B$13),0)</f>
        <v>0</v>
      </c>
      <c r="AW104" s="249">
        <f>IF(AND(AS104&gt;0,$M104="Non-Saudi"),Assumptions!$B$25,0)</f>
        <v>910.41666666666663</v>
      </c>
      <c r="AX104" s="249">
        <f t="shared" si="37"/>
        <v>6200</v>
      </c>
      <c r="AY104" s="249">
        <f t="shared" si="38"/>
        <v>9200</v>
      </c>
      <c r="AZ104" s="249">
        <f>IF(AND(AY104&gt;0,$N104&lt;&gt;""),IF((DATE(Assumptions!$B$4,6,28)-$N104)/365.25&lt;=Assumptions!$B$20,(DATE(Assumptions!$B$4,6,28)-$N104)/365.25*Assumptions!$B$18*AY104,(Assumptions!$B$20*Assumptions!$B$18+((DATE(Assumptions!$B$4,6,28)-$N104)/365.25-Assumptions!$B$20)*Assumptions!$B$19)*AY104),0)</f>
        <v>17581.3826146475</v>
      </c>
      <c r="BA104" s="249">
        <f>IF(AX104&gt;0,IF($M104="Saudi",MIN(AX104+$Q104*$V104,Assumptions!$B$14)*Assumptions!$B$12,MIN(AX104+$Q104*$V104,Assumptions!$B$14)*Assumptions!$B$13),0)</f>
        <v>0</v>
      </c>
      <c r="BB104" s="249">
        <f>IF(AND(AX104&gt;0,$M104="Non-Saudi"),Assumptions!$B$25,0)</f>
        <v>910.41666666666663</v>
      </c>
      <c r="BC104" s="249">
        <f t="shared" si="39"/>
        <v>6200</v>
      </c>
      <c r="BD104" s="249">
        <f t="shared" si="40"/>
        <v>9200</v>
      </c>
      <c r="BE104" s="249">
        <f>IF(AND(BD104&gt;0,$N104&lt;&gt;""),IF((DATE(Assumptions!$B$4,7,28)-$N104)/365.25&lt;=Assumptions!$B$20,(DATE(Assumptions!$B$4,7,28)-$N104)/365.25*Assumptions!$B$18*BD104,(Assumptions!$B$20*Assumptions!$B$18+((DATE(Assumptions!$B$4,7,28)-$N104)/365.25-Assumptions!$B$20)*Assumptions!$B$19)*BD104),0)</f>
        <v>17959.20602327173</v>
      </c>
      <c r="BF104" s="249">
        <f>IF(BC104&gt;0,IF($M104="Saudi",MIN(BC104+$Q104*$V104,Assumptions!$B$14)*Assumptions!$B$12,MIN(BC104+$Q104*$V104,Assumptions!$B$14)*Assumptions!$B$13),0)</f>
        <v>0</v>
      </c>
      <c r="BG104" s="249">
        <f>IF(AND(BC104&gt;0,$M104="Non-Saudi"),Assumptions!$B$25,0)</f>
        <v>910.41666666666663</v>
      </c>
      <c r="BH104" s="249">
        <f t="shared" si="41"/>
        <v>6200</v>
      </c>
      <c r="BI104" s="249">
        <f t="shared" si="42"/>
        <v>9200</v>
      </c>
      <c r="BJ104" s="249">
        <f>IF(AND(BI104&gt;0,$N104&lt;&gt;""),IF((DATE(Assumptions!$B$4,8,28)-$N104)/365.25&lt;=Assumptions!$B$20,(DATE(Assumptions!$B$4,8,28)-$N104)/365.25*Assumptions!$B$18*BI104,(Assumptions!$B$20*Assumptions!$B$18+((DATE(Assumptions!$B$4,8,28)-$N104)/365.25-Assumptions!$B$20)*Assumptions!$B$19)*BI104),0)</f>
        <v>18349.62354551677</v>
      </c>
      <c r="BK104" s="249">
        <f>IF(BH104&gt;0,IF($M104="Saudi",MIN(BH104+$Q104*$V104,Assumptions!$B$14)*Assumptions!$B$12,MIN(BH104+$Q104*$V104,Assumptions!$B$14)*Assumptions!$B$13),0)</f>
        <v>0</v>
      </c>
      <c r="BL104" s="249">
        <f>IF(AND(BH104&gt;0,$M104="Non-Saudi"),Assumptions!$B$25,0)</f>
        <v>910.41666666666663</v>
      </c>
      <c r="BM104" s="249">
        <f>IF(AND($D104="Contrat Local",$N104&lt;&gt;""),IF(AND(9&gt;=Assumptions!$B$5,ISNUMBER($X104),$N104&lt;EDATE(Assumptions!$B$9,-Assumptions!$B$6*12)),($P104+$X104)*$V104,$P104*$V104),0)</f>
        <v>6400</v>
      </c>
      <c r="BN104" s="249">
        <f t="shared" si="43"/>
        <v>9400</v>
      </c>
      <c r="BO104" s="249">
        <f>IF(AND(BN104&gt;0,$N104&lt;&gt;""),IF((DATE(Assumptions!$B$4,9,28)-$N104)/365.25&lt;=Assumptions!$B$20,(DATE(Assumptions!$B$4,9,28)-$N104)/365.25*Assumptions!$B$18*BN104,(Assumptions!$B$20*Assumptions!$B$18+((DATE(Assumptions!$B$4,9,28)-$N104)/365.25-Assumptions!$B$20)*Assumptions!$B$19)*BN104),0)</f>
        <v>19147.433264887062</v>
      </c>
      <c r="BP104" s="249">
        <f>IF(BM104&gt;0,IF($M104="Saudi",MIN(BM104+$Q104*$V104,Assumptions!$B$14)*Assumptions!$B$12,MIN(BM104+$Q104*$V104,Assumptions!$B$14)*Assumptions!$B$13),0)</f>
        <v>0</v>
      </c>
      <c r="BQ104" s="249">
        <f>IF(AND(BM104&gt;0,$M104="Non-Saudi"),Assumptions!$B$25,0)</f>
        <v>910.41666666666663</v>
      </c>
      <c r="BR104" s="249">
        <f>IF(AND($D104="Contrat Local",$N104&lt;&gt;""),IF(AND(10&gt;=Assumptions!$B$5,ISNUMBER($X104),$N104&lt;EDATE(Assumptions!$B$9,-Assumptions!$B$6*12)),($P104+$X104)*$V104,$P104*$V104),0)</f>
        <v>6400</v>
      </c>
      <c r="BS104" s="249">
        <f t="shared" si="44"/>
        <v>9400</v>
      </c>
      <c r="BT104" s="249">
        <f>IF(AND(BS104&gt;0,$N104&lt;&gt;""),IF((DATE(Assumptions!$B$4,10,28)-$N104)/365.25&lt;=Assumptions!$B$20,(DATE(Assumptions!$B$4,10,28)-$N104)/365.25*Assumptions!$B$18*BS104,(Assumptions!$B$20*Assumptions!$B$18+((DATE(Assumptions!$B$4,10,28)-$N104)/365.25-Assumptions!$B$20)*Assumptions!$B$19)*BS104),0)</f>
        <v>19533.47022587269</v>
      </c>
      <c r="BU104" s="249">
        <f>IF(BR104&gt;0,IF($M104="Saudi",MIN(BR104+$Q104*$V104,Assumptions!$B$14)*Assumptions!$B$12,MIN(BR104+$Q104*$V104,Assumptions!$B$14)*Assumptions!$B$13),0)</f>
        <v>0</v>
      </c>
      <c r="BV104" s="249">
        <f>IF(AND(BR104&gt;0,$M104="Non-Saudi"),Assumptions!$B$25,0)</f>
        <v>910.41666666666663</v>
      </c>
      <c r="BW104" s="249">
        <f>IF(AND($D104="Contrat Local",$N104&lt;&gt;""),IF(AND(11&gt;=Assumptions!$B$5,ISNUMBER($X104),$N104&lt;EDATE(Assumptions!$B$9,-Assumptions!$B$6*12)),($P104+$X104)*$V104,$P104*$V104),0)</f>
        <v>6400</v>
      </c>
      <c r="BX104" s="249">
        <f t="shared" si="45"/>
        <v>9400</v>
      </c>
      <c r="BY104" s="249">
        <f>IF(AND(BX104&gt;0,$N104&lt;&gt;""),IF((DATE(Assumptions!$B$4,11,28)-$N104)/365.25&lt;=Assumptions!$B$20,(DATE(Assumptions!$B$4,11,28)-$N104)/365.25*Assumptions!$B$18*BX104,(Assumptions!$B$20*Assumptions!$B$18+((DATE(Assumptions!$B$4,11,28)-$N104)/365.25-Assumptions!$B$20)*Assumptions!$B$19)*BX104),0)</f>
        <v>19932.375085557836</v>
      </c>
      <c r="BZ104" s="249">
        <f>IF(BW104&gt;0,IF($M104="Saudi",MIN(BW104+$Q104*$V104,Assumptions!$B$14)*Assumptions!$B$12,MIN(BW104+$Q104*$V104,Assumptions!$B$14)*Assumptions!$B$13),0)</f>
        <v>0</v>
      </c>
      <c r="CA104" s="249">
        <f>IF(AND(BW104&gt;0,$M104="Non-Saudi"),Assumptions!$B$25,0)</f>
        <v>910.41666666666663</v>
      </c>
      <c r="CB104" s="249">
        <f>IF(AND($D104="Contrat Local",$N104&lt;&gt;""),IF(AND(12&gt;=Assumptions!$B$5,ISNUMBER($X104),$N104&lt;EDATE(Assumptions!$B$9,-Assumptions!$B$6*12)),($P104+$X104)*$V104,$P104*$V104),0)</f>
        <v>6400</v>
      </c>
      <c r="CC104" s="249">
        <f t="shared" si="46"/>
        <v>9400</v>
      </c>
      <c r="CD104" s="249">
        <f>IF(AND(CC104&gt;0,$N104&lt;&gt;""),IF((DATE(Assumptions!$B$4,12,28)-$N104)/365.25&lt;=Assumptions!$B$20,(DATE(Assumptions!$B$4,12,28)-$N104)/365.25*Assumptions!$B$18*CC104,(Assumptions!$B$20*Assumptions!$B$18+((DATE(Assumptions!$B$4,12,28)-$N104)/365.25-Assumptions!$B$20)*Assumptions!$B$19)*CC104),0)</f>
        <v>20318.412046543461</v>
      </c>
      <c r="CE104" s="249">
        <f>IF(CB104&gt;0,IF($M104="Saudi",MIN(CB104+$Q104*$V104,Assumptions!$B$14)*Assumptions!$B$12,MIN(CB104+$Q104*$V104,Assumptions!$B$14)*Assumptions!$B$13),0)</f>
        <v>0</v>
      </c>
      <c r="CF104" s="249">
        <f>IF(AND(CB104&gt;0,$M104="Non-Saudi"),Assumptions!$B$25,0)</f>
        <v>910.41666666666663</v>
      </c>
      <c r="CG104" s="249">
        <f t="shared" si="47"/>
        <v>75200</v>
      </c>
      <c r="CH104" s="249">
        <f t="shared" si="48"/>
        <v>111200</v>
      </c>
      <c r="CI104" s="249">
        <f>CD104-IF(AND(Z104&gt;0,$N104&lt;&gt;""),IF((DATE(Assumptions!$B$4-1,12,28)-$N104)/365.25&lt;=Assumptions!$B$20,(DATE(Assumptions!$B$4-1,12,28)-$N104)/365.25*Assumptions!$B$18*Z104,(Assumptions!$B$20*Assumptions!$B$18+((DATE(Assumptions!$B$4-1,12,28)-$N104)/365.25-Assumptions!$B$20)*Assumptions!$B$19)*Z104),0)</f>
        <v>5029.158110882956</v>
      </c>
      <c r="CJ104" s="249">
        <f t="shared" si="49"/>
        <v>0</v>
      </c>
      <c r="CK104" s="249">
        <f t="shared" si="50"/>
        <v>10924.999999999998</v>
      </c>
    </row>
    <row r="105" spans="1:89" x14ac:dyDescent="0.2">
      <c r="A105" s="252">
        <v>105</v>
      </c>
      <c r="B105" s="253" t="s">
        <v>511</v>
      </c>
      <c r="C105" s="253" t="s">
        <v>491</v>
      </c>
      <c r="D105" s="253" t="s">
        <v>250</v>
      </c>
      <c r="E105" s="253" t="s">
        <v>767</v>
      </c>
      <c r="F105" s="253" t="s">
        <v>453</v>
      </c>
      <c r="G105" s="253" t="s">
        <v>252</v>
      </c>
      <c r="H105" s="253" t="s">
        <v>454</v>
      </c>
      <c r="I105" s="282" t="s">
        <v>690</v>
      </c>
      <c r="J105" s="253"/>
      <c r="K105" s="253" t="s">
        <v>252</v>
      </c>
      <c r="L105" s="253" t="s">
        <v>255</v>
      </c>
      <c r="M105" s="253" t="str">
        <f t="shared" si="51"/>
        <v>Non-Saudi</v>
      </c>
      <c r="N105" s="254">
        <v>45901</v>
      </c>
      <c r="O105" s="255">
        <v>1.3</v>
      </c>
      <c r="P105" s="256">
        <v>8250</v>
      </c>
      <c r="Q105" s="256">
        <v>2500</v>
      </c>
      <c r="R105" s="256">
        <v>500</v>
      </c>
      <c r="S105" s="256"/>
      <c r="T105" s="256"/>
      <c r="U105" s="256">
        <v>11250</v>
      </c>
      <c r="V105" s="257">
        <v>1</v>
      </c>
      <c r="W105" s="253" t="s">
        <v>256</v>
      </c>
      <c r="X105" s="253" t="s">
        <v>268</v>
      </c>
      <c r="Y105" s="249">
        <f t="shared" si="27"/>
        <v>8250</v>
      </c>
      <c r="Z105" s="249">
        <f t="shared" si="28"/>
        <v>11250</v>
      </c>
      <c r="AA105" s="249">
        <f>IF(AND(Z105&gt;0,$N105&lt;&gt;""),IF((DATE(Assumptions!$B$4,1,28)-$N105)/365.25&lt;=Assumptions!$B$20,(DATE(Assumptions!$B$4,1,28)-$N105)/365.25*Assumptions!$B$18*Z105,(Assumptions!$B$20*Assumptions!$B$18+((DATE(Assumptions!$B$4,1,28)-$N105)/365.25-Assumptions!$B$20)*Assumptions!$B$19)*Z105),0)</f>
        <v>2294.6611909650924</v>
      </c>
      <c r="AB105" s="249">
        <f>IF(Y105&gt;0,IF($M105="Saudi",MIN(Y105+$Q105*$V105,Assumptions!$B$14)*Assumptions!$B$12,MIN(Y105+$Q105*$V105,Assumptions!$B$14)*Assumptions!$B$13),0)</f>
        <v>0</v>
      </c>
      <c r="AC105" s="249">
        <f>IF(AND(Y105&gt;0,$M105="Non-Saudi"),Assumptions!$B$25,0)</f>
        <v>910.41666666666663</v>
      </c>
      <c r="AD105" s="249">
        <f t="shared" si="29"/>
        <v>8250</v>
      </c>
      <c r="AE105" s="249">
        <f t="shared" si="30"/>
        <v>11250</v>
      </c>
      <c r="AF105" s="249">
        <f>IF(AND(AE105&gt;0,$N105&lt;&gt;""),IF((DATE(Assumptions!$B$4,2,28)-$N105)/365.25&lt;=Assumptions!$B$20,(DATE(Assumptions!$B$4,2,28)-$N105)/365.25*Assumptions!$B$18*AE105,(Assumptions!$B$20*Assumptions!$B$18+((DATE(Assumptions!$B$4,2,28)-$N105)/365.25-Assumptions!$B$20)*Assumptions!$B$19)*AE105),0)</f>
        <v>2772.0739219712523</v>
      </c>
      <c r="AG105" s="249">
        <f>IF(AD105&gt;0,IF($M105="Saudi",MIN(AD105+$Q105*$V105,Assumptions!$B$14)*Assumptions!$B$12,MIN(AD105+$Q105*$V105,Assumptions!$B$14)*Assumptions!$B$13),0)</f>
        <v>0</v>
      </c>
      <c r="AH105" s="249">
        <f>IF(AND(AD105&gt;0,$M105="Non-Saudi"),Assumptions!$B$25,0)</f>
        <v>910.41666666666663</v>
      </c>
      <c r="AI105" s="249">
        <f t="shared" si="31"/>
        <v>8250</v>
      </c>
      <c r="AJ105" s="249">
        <f t="shared" si="32"/>
        <v>11250</v>
      </c>
      <c r="AK105" s="249">
        <f>IF(AND(AJ105&gt;0,$N105&lt;&gt;""),IF((DATE(Assumptions!$B$4,3,28)-$N105)/365.25&lt;=Assumptions!$B$20,(DATE(Assumptions!$B$4,3,28)-$N105)/365.25*Assumptions!$B$18*AJ105,(Assumptions!$B$20*Assumptions!$B$18+((DATE(Assumptions!$B$4,3,28)-$N105)/365.25-Assumptions!$B$20)*Assumptions!$B$19)*AJ105),0)</f>
        <v>3203.2854209445586</v>
      </c>
      <c r="AL105" s="249">
        <f>IF(AI105&gt;0,IF($M105="Saudi",MIN(AI105+$Q105*$V105,Assumptions!$B$14)*Assumptions!$B$12,MIN(AI105+$Q105*$V105,Assumptions!$B$14)*Assumptions!$B$13),0)</f>
        <v>0</v>
      </c>
      <c r="AM105" s="249">
        <f>IF(AND(AI105&gt;0,$M105="Non-Saudi"),Assumptions!$B$25,0)</f>
        <v>910.41666666666663</v>
      </c>
      <c r="AN105" s="249">
        <f t="shared" si="33"/>
        <v>8250</v>
      </c>
      <c r="AO105" s="249">
        <f t="shared" si="34"/>
        <v>11250</v>
      </c>
      <c r="AP105" s="249">
        <f>IF(AND(AO105&gt;0,$N105&lt;&gt;""),IF((DATE(Assumptions!$B$4,4,28)-$N105)/365.25&lt;=Assumptions!$B$20,(DATE(Assumptions!$B$4,4,28)-$N105)/365.25*Assumptions!$B$18*AO105,(Assumptions!$B$20*Assumptions!$B$18+((DATE(Assumptions!$B$4,4,28)-$N105)/365.25-Assumptions!$B$20)*Assumptions!$B$19)*AO105),0)</f>
        <v>3680.6981519507185</v>
      </c>
      <c r="AQ105" s="249">
        <f>IF(AN105&gt;0,IF($M105="Saudi",MIN(AN105+$Q105*$V105,Assumptions!$B$14)*Assumptions!$B$12,MIN(AN105+$Q105*$V105,Assumptions!$B$14)*Assumptions!$B$13),0)</f>
        <v>0</v>
      </c>
      <c r="AR105" s="249">
        <f>IF(AND(AN105&gt;0,$M105="Non-Saudi"),Assumptions!$B$25,0)</f>
        <v>910.41666666666663</v>
      </c>
      <c r="AS105" s="249">
        <f t="shared" si="35"/>
        <v>8250</v>
      </c>
      <c r="AT105" s="249">
        <f t="shared" si="36"/>
        <v>11250</v>
      </c>
      <c r="AU105" s="249">
        <f>IF(AND(AT105&gt;0,$N105&lt;&gt;""),IF((DATE(Assumptions!$B$4,5,28)-$N105)/365.25&lt;=Assumptions!$B$20,(DATE(Assumptions!$B$4,5,28)-$N105)/365.25*Assumptions!$B$18*AT105,(Assumptions!$B$20*Assumptions!$B$18+((DATE(Assumptions!$B$4,5,28)-$N105)/365.25-Assumptions!$B$20)*Assumptions!$B$19)*AT105),0)</f>
        <v>4142.710472279261</v>
      </c>
      <c r="AV105" s="249">
        <f>IF(AS105&gt;0,IF($M105="Saudi",MIN(AS105+$Q105*$V105,Assumptions!$B$14)*Assumptions!$B$12,MIN(AS105+$Q105*$V105,Assumptions!$B$14)*Assumptions!$B$13),0)</f>
        <v>0</v>
      </c>
      <c r="AW105" s="249">
        <f>IF(AND(AS105&gt;0,$M105="Non-Saudi"),Assumptions!$B$25,0)</f>
        <v>910.41666666666663</v>
      </c>
      <c r="AX105" s="249">
        <f t="shared" si="37"/>
        <v>8250</v>
      </c>
      <c r="AY105" s="249">
        <f t="shared" si="38"/>
        <v>11250</v>
      </c>
      <c r="AZ105" s="249">
        <f>IF(AND(AY105&gt;0,$N105&lt;&gt;""),IF((DATE(Assumptions!$B$4,6,28)-$N105)/365.25&lt;=Assumptions!$B$20,(DATE(Assumptions!$B$4,6,28)-$N105)/365.25*Assumptions!$B$18*AY105,(Assumptions!$B$20*Assumptions!$B$18+((DATE(Assumptions!$B$4,6,28)-$N105)/365.25-Assumptions!$B$20)*Assumptions!$B$19)*AY105),0)</f>
        <v>4620.1232032854205</v>
      </c>
      <c r="BA105" s="249">
        <f>IF(AX105&gt;0,IF($M105="Saudi",MIN(AX105+$Q105*$V105,Assumptions!$B$14)*Assumptions!$B$12,MIN(AX105+$Q105*$V105,Assumptions!$B$14)*Assumptions!$B$13),0)</f>
        <v>0</v>
      </c>
      <c r="BB105" s="249">
        <f>IF(AND(AX105&gt;0,$M105="Non-Saudi"),Assumptions!$B$25,0)</f>
        <v>910.41666666666663</v>
      </c>
      <c r="BC105" s="249">
        <f t="shared" si="39"/>
        <v>8250</v>
      </c>
      <c r="BD105" s="249">
        <f t="shared" si="40"/>
        <v>11250</v>
      </c>
      <c r="BE105" s="249">
        <f>IF(AND(BD105&gt;0,$N105&lt;&gt;""),IF((DATE(Assumptions!$B$4,7,28)-$N105)/365.25&lt;=Assumptions!$B$20,(DATE(Assumptions!$B$4,7,28)-$N105)/365.25*Assumptions!$B$18*BD105,(Assumptions!$B$20*Assumptions!$B$18+((DATE(Assumptions!$B$4,7,28)-$N105)/365.25-Assumptions!$B$20)*Assumptions!$B$19)*BD105),0)</f>
        <v>5082.1355236139625</v>
      </c>
      <c r="BF105" s="249">
        <f>IF(BC105&gt;0,IF($M105="Saudi",MIN(BC105+$Q105*$V105,Assumptions!$B$14)*Assumptions!$B$12,MIN(BC105+$Q105*$V105,Assumptions!$B$14)*Assumptions!$B$13),0)</f>
        <v>0</v>
      </c>
      <c r="BG105" s="249">
        <f>IF(AND(BC105&gt;0,$M105="Non-Saudi"),Assumptions!$B$25,0)</f>
        <v>910.41666666666663</v>
      </c>
      <c r="BH105" s="249">
        <f t="shared" si="41"/>
        <v>8250</v>
      </c>
      <c r="BI105" s="249">
        <f t="shared" si="42"/>
        <v>11250</v>
      </c>
      <c r="BJ105" s="249">
        <f>IF(AND(BI105&gt;0,$N105&lt;&gt;""),IF((DATE(Assumptions!$B$4,8,28)-$N105)/365.25&lt;=Assumptions!$B$20,(DATE(Assumptions!$B$4,8,28)-$N105)/365.25*Assumptions!$B$18*BI105,(Assumptions!$B$20*Assumptions!$B$18+((DATE(Assumptions!$B$4,8,28)-$N105)/365.25-Assumptions!$B$20)*Assumptions!$B$19)*BI105),0)</f>
        <v>5559.5482546201238</v>
      </c>
      <c r="BK105" s="249">
        <f>IF(BH105&gt;0,IF($M105="Saudi",MIN(BH105+$Q105*$V105,Assumptions!$B$14)*Assumptions!$B$12,MIN(BH105+$Q105*$V105,Assumptions!$B$14)*Assumptions!$B$13),0)</f>
        <v>0</v>
      </c>
      <c r="BL105" s="249">
        <f>IF(AND(BH105&gt;0,$M105="Non-Saudi"),Assumptions!$B$25,0)</f>
        <v>910.41666666666663</v>
      </c>
      <c r="BM105" s="249">
        <f>IF(AND($D105="Contrat Local",$N105&lt;&gt;""),IF(AND(9&gt;=Assumptions!$B$5,ISNUMBER($X105),$N105&lt;EDATE(Assumptions!$B$9,-Assumptions!$B$6*12)),($P105+$X105)*$V105,$P105*$V105),0)</f>
        <v>8250</v>
      </c>
      <c r="BN105" s="249">
        <f t="shared" si="43"/>
        <v>11250</v>
      </c>
      <c r="BO105" s="249">
        <f>IF(AND(BN105&gt;0,$N105&lt;&gt;""),IF((DATE(Assumptions!$B$4,9,28)-$N105)/365.25&lt;=Assumptions!$B$20,(DATE(Assumptions!$B$4,9,28)-$N105)/365.25*Assumptions!$B$18*BN105,(Assumptions!$B$20*Assumptions!$B$18+((DATE(Assumptions!$B$4,9,28)-$N105)/365.25-Assumptions!$B$20)*Assumptions!$B$19)*BN105),0)</f>
        <v>6036.9609856262832</v>
      </c>
      <c r="BP105" s="249">
        <f>IF(BM105&gt;0,IF($M105="Saudi",MIN(BM105+$Q105*$V105,Assumptions!$B$14)*Assumptions!$B$12,MIN(BM105+$Q105*$V105,Assumptions!$B$14)*Assumptions!$B$13),0)</f>
        <v>0</v>
      </c>
      <c r="BQ105" s="249">
        <f>IF(AND(BM105&gt;0,$M105="Non-Saudi"),Assumptions!$B$25,0)</f>
        <v>910.41666666666663</v>
      </c>
      <c r="BR105" s="249">
        <f>IF(AND($D105="Contrat Local",$N105&lt;&gt;""),IF(AND(10&gt;=Assumptions!$B$5,ISNUMBER($X105),$N105&lt;EDATE(Assumptions!$B$9,-Assumptions!$B$6*12)),($P105+$X105)*$V105,$P105*$V105),0)</f>
        <v>8250</v>
      </c>
      <c r="BS105" s="249">
        <f t="shared" si="44"/>
        <v>11250</v>
      </c>
      <c r="BT105" s="249">
        <f>IF(AND(BS105&gt;0,$N105&lt;&gt;""),IF((DATE(Assumptions!$B$4,10,28)-$N105)/365.25&lt;=Assumptions!$B$20,(DATE(Assumptions!$B$4,10,28)-$N105)/365.25*Assumptions!$B$18*BS105,(Assumptions!$B$20*Assumptions!$B$18+((DATE(Assumptions!$B$4,10,28)-$N105)/365.25-Assumptions!$B$20)*Assumptions!$B$19)*BS105),0)</f>
        <v>6498.9733059548262</v>
      </c>
      <c r="BU105" s="249">
        <f>IF(BR105&gt;0,IF($M105="Saudi",MIN(BR105+$Q105*$V105,Assumptions!$B$14)*Assumptions!$B$12,MIN(BR105+$Q105*$V105,Assumptions!$B$14)*Assumptions!$B$13),0)</f>
        <v>0</v>
      </c>
      <c r="BV105" s="249">
        <f>IF(AND(BR105&gt;0,$M105="Non-Saudi"),Assumptions!$B$25,0)</f>
        <v>910.41666666666663</v>
      </c>
      <c r="BW105" s="249">
        <f>IF(AND($D105="Contrat Local",$N105&lt;&gt;""),IF(AND(11&gt;=Assumptions!$B$5,ISNUMBER($X105),$N105&lt;EDATE(Assumptions!$B$9,-Assumptions!$B$6*12)),($P105+$X105)*$V105,$P105*$V105),0)</f>
        <v>8250</v>
      </c>
      <c r="BX105" s="249">
        <f t="shared" si="45"/>
        <v>11250</v>
      </c>
      <c r="BY105" s="249">
        <f>IF(AND(BX105&gt;0,$N105&lt;&gt;""),IF((DATE(Assumptions!$B$4,11,28)-$N105)/365.25&lt;=Assumptions!$B$20,(DATE(Assumptions!$B$4,11,28)-$N105)/365.25*Assumptions!$B$18*BX105,(Assumptions!$B$20*Assumptions!$B$18+((DATE(Assumptions!$B$4,11,28)-$N105)/365.25-Assumptions!$B$20)*Assumptions!$B$19)*BX105),0)</f>
        <v>6976.3860369609856</v>
      </c>
      <c r="BZ105" s="249">
        <f>IF(BW105&gt;0,IF($M105="Saudi",MIN(BW105+$Q105*$V105,Assumptions!$B$14)*Assumptions!$B$12,MIN(BW105+$Q105*$V105,Assumptions!$B$14)*Assumptions!$B$13),0)</f>
        <v>0</v>
      </c>
      <c r="CA105" s="249">
        <f>IF(AND(BW105&gt;0,$M105="Non-Saudi"),Assumptions!$B$25,0)</f>
        <v>910.41666666666663</v>
      </c>
      <c r="CB105" s="249">
        <f>IF(AND($D105="Contrat Local",$N105&lt;&gt;""),IF(AND(12&gt;=Assumptions!$B$5,ISNUMBER($X105),$N105&lt;EDATE(Assumptions!$B$9,-Assumptions!$B$6*12)),($P105+$X105)*$V105,$P105*$V105),0)</f>
        <v>8250</v>
      </c>
      <c r="CC105" s="249">
        <f t="shared" si="46"/>
        <v>11250</v>
      </c>
      <c r="CD105" s="249">
        <f>IF(AND(CC105&gt;0,$N105&lt;&gt;""),IF((DATE(Assumptions!$B$4,12,28)-$N105)/365.25&lt;=Assumptions!$B$20,(DATE(Assumptions!$B$4,12,28)-$N105)/365.25*Assumptions!$B$18*CC105,(Assumptions!$B$20*Assumptions!$B$18+((DATE(Assumptions!$B$4,12,28)-$N105)/365.25-Assumptions!$B$20)*Assumptions!$B$19)*CC105),0)</f>
        <v>7438.3983572895277</v>
      </c>
      <c r="CE105" s="249">
        <f>IF(CB105&gt;0,IF($M105="Saudi",MIN(CB105+$Q105*$V105,Assumptions!$B$14)*Assumptions!$B$12,MIN(CB105+$Q105*$V105,Assumptions!$B$14)*Assumptions!$B$13),0)</f>
        <v>0</v>
      </c>
      <c r="CF105" s="249">
        <f>IF(AND(CB105&gt;0,$M105="Non-Saudi"),Assumptions!$B$25,0)</f>
        <v>910.41666666666663</v>
      </c>
      <c r="CG105" s="249">
        <f t="shared" si="47"/>
        <v>99000</v>
      </c>
      <c r="CH105" s="249">
        <f t="shared" si="48"/>
        <v>135000</v>
      </c>
      <c r="CI105" s="249">
        <f>CD105-IF(AND(Z105&gt;0,$N105&lt;&gt;""),IF((DATE(Assumptions!$B$4-1,12,28)-$N105)/365.25&lt;=Assumptions!$B$20,(DATE(Assumptions!$B$4-1,12,28)-$N105)/365.25*Assumptions!$B$18*Z105,(Assumptions!$B$20*Assumptions!$B$18+((DATE(Assumptions!$B$4-1,12,28)-$N105)/365.25-Assumptions!$B$20)*Assumptions!$B$19)*Z105),0)</f>
        <v>5621.1498973305952</v>
      </c>
      <c r="CJ105" s="249">
        <f t="shared" si="49"/>
        <v>0</v>
      </c>
      <c r="CK105" s="249">
        <f t="shared" si="50"/>
        <v>10924.999999999998</v>
      </c>
    </row>
    <row r="106" spans="1:89" x14ac:dyDescent="0.2">
      <c r="A106" s="276">
        <v>106</v>
      </c>
      <c r="B106" s="277" t="s">
        <v>512</v>
      </c>
      <c r="C106" s="277" t="s">
        <v>421</v>
      </c>
      <c r="D106" s="277" t="s">
        <v>250</v>
      </c>
      <c r="E106" s="277" t="s">
        <v>767</v>
      </c>
      <c r="F106" s="277" t="s">
        <v>302</v>
      </c>
      <c r="G106" s="277" t="s">
        <v>303</v>
      </c>
      <c r="H106" s="277" t="s">
        <v>513</v>
      </c>
      <c r="I106" s="287" t="s">
        <v>691</v>
      </c>
      <c r="J106" s="277" t="s">
        <v>104</v>
      </c>
      <c r="K106" s="277" t="s">
        <v>254</v>
      </c>
      <c r="L106" s="277" t="s">
        <v>255</v>
      </c>
      <c r="M106" s="277" t="str">
        <f t="shared" si="51"/>
        <v>Non-Saudi</v>
      </c>
      <c r="N106" s="278">
        <v>38961</v>
      </c>
      <c r="O106" s="279">
        <v>20.3</v>
      </c>
      <c r="P106" s="280">
        <v>10750</v>
      </c>
      <c r="Q106" s="280">
        <v>2500</v>
      </c>
      <c r="R106" s="280">
        <v>500</v>
      </c>
      <c r="S106" s="280"/>
      <c r="T106" s="280">
        <v>1700</v>
      </c>
      <c r="U106" s="280">
        <v>15450</v>
      </c>
      <c r="V106" s="281">
        <v>1</v>
      </c>
      <c r="W106" s="277" t="s">
        <v>259</v>
      </c>
      <c r="X106" s="277">
        <v>250</v>
      </c>
      <c r="Y106" s="249">
        <f t="shared" si="27"/>
        <v>10750</v>
      </c>
      <c r="Z106" s="249">
        <f t="shared" si="28"/>
        <v>15450</v>
      </c>
      <c r="AA106" s="249">
        <f>IF(AND(Z106&gt;0,$N106&lt;&gt;""),IF((DATE(Assumptions!$B$4,1,28)-$N106)/365.25&lt;=Assumptions!$B$20,(DATE(Assumptions!$B$4,1,28)-$N106)/365.25*Assumptions!$B$18*Z106,(Assumptions!$B$20*Assumptions!$B$18+((DATE(Assumptions!$B$4,1,28)-$N106)/365.25-Assumptions!$B$20)*Assumptions!$B$19)*Z106),0)</f>
        <v>261238.24435318276</v>
      </c>
      <c r="AB106" s="249">
        <f>IF(Y106&gt;0,IF($M106="Saudi",MIN(Y106+$Q106*$V106,Assumptions!$B$14)*Assumptions!$B$12,MIN(Y106+$Q106*$V106,Assumptions!$B$14)*Assumptions!$B$13),0)</f>
        <v>0</v>
      </c>
      <c r="AC106" s="249">
        <f>IF(AND(Y106&gt;0,$M106="Non-Saudi"),Assumptions!$B$25,0)</f>
        <v>910.41666666666663</v>
      </c>
      <c r="AD106" s="249">
        <f t="shared" si="29"/>
        <v>10750</v>
      </c>
      <c r="AE106" s="249">
        <f t="shared" si="30"/>
        <v>15450</v>
      </c>
      <c r="AF106" s="249">
        <f>IF(AND(AE106&gt;0,$N106&lt;&gt;""),IF((DATE(Assumptions!$B$4,2,28)-$N106)/365.25&lt;=Assumptions!$B$20,(DATE(Assumptions!$B$4,2,28)-$N106)/365.25*Assumptions!$B$18*AE106,(Assumptions!$B$20*Assumptions!$B$18+((DATE(Assumptions!$B$4,2,28)-$N106)/365.25-Assumptions!$B$20)*Assumptions!$B$19)*AE106),0)</f>
        <v>262549.53798767965</v>
      </c>
      <c r="AG106" s="249">
        <f>IF(AD106&gt;0,IF($M106="Saudi",MIN(AD106+$Q106*$V106,Assumptions!$B$14)*Assumptions!$B$12,MIN(AD106+$Q106*$V106,Assumptions!$B$14)*Assumptions!$B$13),0)</f>
        <v>0</v>
      </c>
      <c r="AH106" s="249">
        <f>IF(AND(AD106&gt;0,$M106="Non-Saudi"),Assumptions!$B$25,0)</f>
        <v>910.41666666666663</v>
      </c>
      <c r="AI106" s="249">
        <f t="shared" si="31"/>
        <v>10750</v>
      </c>
      <c r="AJ106" s="249">
        <f t="shared" si="32"/>
        <v>15450</v>
      </c>
      <c r="AK106" s="249">
        <f>IF(AND(AJ106&gt;0,$N106&lt;&gt;""),IF((DATE(Assumptions!$B$4,3,28)-$N106)/365.25&lt;=Assumptions!$B$20,(DATE(Assumptions!$B$4,3,28)-$N106)/365.25*Assumptions!$B$18*AJ106,(Assumptions!$B$20*Assumptions!$B$18+((DATE(Assumptions!$B$4,3,28)-$N106)/365.25-Assumptions!$B$20)*Assumptions!$B$19)*AJ106),0)</f>
        <v>263733.932238193</v>
      </c>
      <c r="AL106" s="249">
        <f>IF(AI106&gt;0,IF($M106="Saudi",MIN(AI106+$Q106*$V106,Assumptions!$B$14)*Assumptions!$B$12,MIN(AI106+$Q106*$V106,Assumptions!$B$14)*Assumptions!$B$13),0)</f>
        <v>0</v>
      </c>
      <c r="AM106" s="249">
        <f>IF(AND(AI106&gt;0,$M106="Non-Saudi"),Assumptions!$B$25,0)</f>
        <v>910.41666666666663</v>
      </c>
      <c r="AN106" s="249">
        <f t="shared" si="33"/>
        <v>10750</v>
      </c>
      <c r="AO106" s="249">
        <f t="shared" si="34"/>
        <v>15450</v>
      </c>
      <c r="AP106" s="249">
        <f>IF(AND(AO106&gt;0,$N106&lt;&gt;""),IF((DATE(Assumptions!$B$4,4,28)-$N106)/365.25&lt;=Assumptions!$B$20,(DATE(Assumptions!$B$4,4,28)-$N106)/365.25*Assumptions!$B$18*AO106,(Assumptions!$B$20*Assumptions!$B$18+((DATE(Assumptions!$B$4,4,28)-$N106)/365.25-Assumptions!$B$20)*Assumptions!$B$19)*AO106),0)</f>
        <v>265045.22587268992</v>
      </c>
      <c r="AQ106" s="249">
        <f>IF(AN106&gt;0,IF($M106="Saudi",MIN(AN106+$Q106*$V106,Assumptions!$B$14)*Assumptions!$B$12,MIN(AN106+$Q106*$V106,Assumptions!$B$14)*Assumptions!$B$13),0)</f>
        <v>0</v>
      </c>
      <c r="AR106" s="249">
        <f>IF(AND(AN106&gt;0,$M106="Non-Saudi"),Assumptions!$B$25,0)</f>
        <v>910.41666666666663</v>
      </c>
      <c r="AS106" s="249">
        <f t="shared" si="35"/>
        <v>10750</v>
      </c>
      <c r="AT106" s="249">
        <f t="shared" si="36"/>
        <v>15450</v>
      </c>
      <c r="AU106" s="249">
        <f>IF(AND(AT106&gt;0,$N106&lt;&gt;""),IF((DATE(Assumptions!$B$4,5,28)-$N106)/365.25&lt;=Assumptions!$B$20,(DATE(Assumptions!$B$4,5,28)-$N106)/365.25*Assumptions!$B$18*AT106,(Assumptions!$B$20*Assumptions!$B$18+((DATE(Assumptions!$B$4,5,28)-$N106)/365.25-Assumptions!$B$20)*Assumptions!$B$19)*AT106),0)</f>
        <v>266314.21971252566</v>
      </c>
      <c r="AV106" s="249">
        <f>IF(AS106&gt;0,IF($M106="Saudi",MIN(AS106+$Q106*$V106,Assumptions!$B$14)*Assumptions!$B$12,MIN(AS106+$Q106*$V106,Assumptions!$B$14)*Assumptions!$B$13),0)</f>
        <v>0</v>
      </c>
      <c r="AW106" s="249">
        <f>IF(AND(AS106&gt;0,$M106="Non-Saudi"),Assumptions!$B$25,0)</f>
        <v>910.41666666666663</v>
      </c>
      <c r="AX106" s="249">
        <f t="shared" si="37"/>
        <v>10750</v>
      </c>
      <c r="AY106" s="249">
        <f t="shared" si="38"/>
        <v>15450</v>
      </c>
      <c r="AZ106" s="249">
        <f>IF(AND(AY106&gt;0,$N106&lt;&gt;""),IF((DATE(Assumptions!$B$4,6,28)-$N106)/365.25&lt;=Assumptions!$B$20,(DATE(Assumptions!$B$4,6,28)-$N106)/365.25*Assumptions!$B$18*AY106,(Assumptions!$B$20*Assumptions!$B$18+((DATE(Assumptions!$B$4,6,28)-$N106)/365.25-Assumptions!$B$20)*Assumptions!$B$19)*AY106),0)</f>
        <v>267625.51334702258</v>
      </c>
      <c r="BA106" s="249">
        <f>IF(AX106&gt;0,IF($M106="Saudi",MIN(AX106+$Q106*$V106,Assumptions!$B$14)*Assumptions!$B$12,MIN(AX106+$Q106*$V106,Assumptions!$B$14)*Assumptions!$B$13),0)</f>
        <v>0</v>
      </c>
      <c r="BB106" s="249">
        <f>IF(AND(AX106&gt;0,$M106="Non-Saudi"),Assumptions!$B$25,0)</f>
        <v>910.41666666666663</v>
      </c>
      <c r="BC106" s="249">
        <f t="shared" si="39"/>
        <v>10750</v>
      </c>
      <c r="BD106" s="249">
        <f t="shared" si="40"/>
        <v>15450</v>
      </c>
      <c r="BE106" s="249">
        <f>IF(AND(BD106&gt;0,$N106&lt;&gt;""),IF((DATE(Assumptions!$B$4,7,28)-$N106)/365.25&lt;=Assumptions!$B$20,(DATE(Assumptions!$B$4,7,28)-$N106)/365.25*Assumptions!$B$18*BD106,(Assumptions!$B$20*Assumptions!$B$18+((DATE(Assumptions!$B$4,7,28)-$N106)/365.25-Assumptions!$B$20)*Assumptions!$B$19)*BD106),0)</f>
        <v>268894.50718685833</v>
      </c>
      <c r="BF106" s="249">
        <f>IF(BC106&gt;0,IF($M106="Saudi",MIN(BC106+$Q106*$V106,Assumptions!$B$14)*Assumptions!$B$12,MIN(BC106+$Q106*$V106,Assumptions!$B$14)*Assumptions!$B$13),0)</f>
        <v>0</v>
      </c>
      <c r="BG106" s="249">
        <f>IF(AND(BC106&gt;0,$M106="Non-Saudi"),Assumptions!$B$25,0)</f>
        <v>910.41666666666663</v>
      </c>
      <c r="BH106" s="249">
        <f t="shared" si="41"/>
        <v>10750</v>
      </c>
      <c r="BI106" s="249">
        <f t="shared" si="42"/>
        <v>15450</v>
      </c>
      <c r="BJ106" s="249">
        <f>IF(AND(BI106&gt;0,$N106&lt;&gt;""),IF((DATE(Assumptions!$B$4,8,28)-$N106)/365.25&lt;=Assumptions!$B$20,(DATE(Assumptions!$B$4,8,28)-$N106)/365.25*Assumptions!$B$18*BI106,(Assumptions!$B$20*Assumptions!$B$18+((DATE(Assumptions!$B$4,8,28)-$N106)/365.25-Assumptions!$B$20)*Assumptions!$B$19)*BI106),0)</f>
        <v>270205.80082135525</v>
      </c>
      <c r="BK106" s="249">
        <f>IF(BH106&gt;0,IF($M106="Saudi",MIN(BH106+$Q106*$V106,Assumptions!$B$14)*Assumptions!$B$12,MIN(BH106+$Q106*$V106,Assumptions!$B$14)*Assumptions!$B$13),0)</f>
        <v>0</v>
      </c>
      <c r="BL106" s="249">
        <f>IF(AND(BH106&gt;0,$M106="Non-Saudi"),Assumptions!$B$25,0)</f>
        <v>910.41666666666663</v>
      </c>
      <c r="BM106" s="249">
        <f>IF(AND($D106="Contrat Local",$N106&lt;&gt;""),IF(AND(9&gt;=Assumptions!$B$5,ISNUMBER($X106),$N106&lt;EDATE(Assumptions!$B$9,-Assumptions!$B$6*12)),($P106+$X106)*$V106,$P106*$V106),0)</f>
        <v>11000</v>
      </c>
      <c r="BN106" s="249">
        <f t="shared" si="43"/>
        <v>15700</v>
      </c>
      <c r="BO106" s="249">
        <f>IF(AND(BN106&gt;0,$N106&lt;&gt;""),IF((DATE(Assumptions!$B$4,9,28)-$N106)/365.25&lt;=Assumptions!$B$20,(DATE(Assumptions!$B$4,9,28)-$N106)/365.25*Assumptions!$B$18*BN106,(Assumptions!$B$20*Assumptions!$B$18+((DATE(Assumptions!$B$4,9,28)-$N106)/365.25-Assumptions!$B$20)*Assumptions!$B$19)*BN106),0)</f>
        <v>275910.57494866528</v>
      </c>
      <c r="BP106" s="249">
        <f>IF(BM106&gt;0,IF($M106="Saudi",MIN(BM106+$Q106*$V106,Assumptions!$B$14)*Assumptions!$B$12,MIN(BM106+$Q106*$V106,Assumptions!$B$14)*Assumptions!$B$13),0)</f>
        <v>0</v>
      </c>
      <c r="BQ106" s="249">
        <f>IF(AND(BM106&gt;0,$M106="Non-Saudi"),Assumptions!$B$25,0)</f>
        <v>910.41666666666663</v>
      </c>
      <c r="BR106" s="249">
        <f>IF(AND($D106="Contrat Local",$N106&lt;&gt;""),IF(AND(10&gt;=Assumptions!$B$5,ISNUMBER($X106),$N106&lt;EDATE(Assumptions!$B$9,-Assumptions!$B$6*12)),($P106+$X106)*$V106,$P106*$V106),0)</f>
        <v>11000</v>
      </c>
      <c r="BS106" s="249">
        <f t="shared" si="44"/>
        <v>15700</v>
      </c>
      <c r="BT106" s="249">
        <f>IF(AND(BS106&gt;0,$N106&lt;&gt;""),IF((DATE(Assumptions!$B$4,10,28)-$N106)/365.25&lt;=Assumptions!$B$20,(DATE(Assumptions!$B$4,10,28)-$N106)/365.25*Assumptions!$B$18*BS106,(Assumptions!$B$20*Assumptions!$B$18+((DATE(Assumptions!$B$4,10,28)-$N106)/365.25-Assumptions!$B$20)*Assumptions!$B$19)*BS106),0)</f>
        <v>277200.10266940453</v>
      </c>
      <c r="BU106" s="249">
        <f>IF(BR106&gt;0,IF($M106="Saudi",MIN(BR106+$Q106*$V106,Assumptions!$B$14)*Assumptions!$B$12,MIN(BR106+$Q106*$V106,Assumptions!$B$14)*Assumptions!$B$13),0)</f>
        <v>0</v>
      </c>
      <c r="BV106" s="249">
        <f>IF(AND(BR106&gt;0,$M106="Non-Saudi"),Assumptions!$B$25,0)</f>
        <v>910.41666666666663</v>
      </c>
      <c r="BW106" s="249">
        <f>IF(AND($D106="Contrat Local",$N106&lt;&gt;""),IF(AND(11&gt;=Assumptions!$B$5,ISNUMBER($X106),$N106&lt;EDATE(Assumptions!$B$9,-Assumptions!$B$6*12)),($P106+$X106)*$V106,$P106*$V106),0)</f>
        <v>11000</v>
      </c>
      <c r="BX106" s="249">
        <f t="shared" si="45"/>
        <v>15700</v>
      </c>
      <c r="BY106" s="249">
        <f>IF(AND(BX106&gt;0,$N106&lt;&gt;""),IF((DATE(Assumptions!$B$4,11,28)-$N106)/365.25&lt;=Assumptions!$B$20,(DATE(Assumptions!$B$4,11,28)-$N106)/365.25*Assumptions!$B$18*BX106,(Assumptions!$B$20*Assumptions!$B$18+((DATE(Assumptions!$B$4,11,28)-$N106)/365.25-Assumptions!$B$20)*Assumptions!$B$19)*BX106),0)</f>
        <v>278532.61464750173</v>
      </c>
      <c r="BZ106" s="249">
        <f>IF(BW106&gt;0,IF($M106="Saudi",MIN(BW106+$Q106*$V106,Assumptions!$B$14)*Assumptions!$B$12,MIN(BW106+$Q106*$V106,Assumptions!$B$14)*Assumptions!$B$13),0)</f>
        <v>0</v>
      </c>
      <c r="CA106" s="249">
        <f>IF(AND(BW106&gt;0,$M106="Non-Saudi"),Assumptions!$B$25,0)</f>
        <v>910.41666666666663</v>
      </c>
      <c r="CB106" s="249">
        <f>IF(AND($D106="Contrat Local",$N106&lt;&gt;""),IF(AND(12&gt;=Assumptions!$B$5,ISNUMBER($X106),$N106&lt;EDATE(Assumptions!$B$9,-Assumptions!$B$6*12)),($P106+$X106)*$V106,$P106*$V106),0)</f>
        <v>11000</v>
      </c>
      <c r="CC106" s="249">
        <f t="shared" si="46"/>
        <v>15700</v>
      </c>
      <c r="CD106" s="249">
        <f>IF(AND(CC106&gt;0,$N106&lt;&gt;""),IF((DATE(Assumptions!$B$4,12,28)-$N106)/365.25&lt;=Assumptions!$B$20,(DATE(Assumptions!$B$4,12,28)-$N106)/365.25*Assumptions!$B$18*CC106,(Assumptions!$B$20*Assumptions!$B$18+((DATE(Assumptions!$B$4,12,28)-$N106)/365.25-Assumptions!$B$20)*Assumptions!$B$19)*CC106),0)</f>
        <v>279822.14236824098</v>
      </c>
      <c r="CE106" s="249">
        <f>IF(CB106&gt;0,IF($M106="Saudi",MIN(CB106+$Q106*$V106,Assumptions!$B$14)*Assumptions!$B$12,MIN(CB106+$Q106*$V106,Assumptions!$B$14)*Assumptions!$B$13),0)</f>
        <v>0</v>
      </c>
      <c r="CF106" s="249">
        <f>IF(AND(CB106&gt;0,$M106="Non-Saudi"),Assumptions!$B$25,0)</f>
        <v>910.41666666666663</v>
      </c>
      <c r="CG106" s="249">
        <f t="shared" si="47"/>
        <v>130000</v>
      </c>
      <c r="CH106" s="249">
        <f t="shared" si="48"/>
        <v>186400</v>
      </c>
      <c r="CI106" s="249">
        <f>CD106-IF(AND(Z106&gt;0,$N106&lt;&gt;""),IF((DATE(Assumptions!$B$4-1,12,28)-$N106)/365.25&lt;=Assumptions!$B$20,(DATE(Assumptions!$B$4-1,12,28)-$N106)/365.25*Assumptions!$B$18*Z106,(Assumptions!$B$20*Assumptions!$B$18+((DATE(Assumptions!$B$4-1,12,28)-$N106)/365.25-Assumptions!$B$20)*Assumptions!$B$19)*Z106),0)</f>
        <v>19895.191649555141</v>
      </c>
      <c r="CJ106" s="249">
        <f t="shared" si="49"/>
        <v>0</v>
      </c>
      <c r="CK106" s="249">
        <f t="shared" si="50"/>
        <v>10924.999999999998</v>
      </c>
    </row>
    <row r="107" spans="1:89" x14ac:dyDescent="0.2">
      <c r="A107" s="276">
        <v>107</v>
      </c>
      <c r="B107" s="277" t="s">
        <v>514</v>
      </c>
      <c r="C107" s="277" t="s">
        <v>401</v>
      </c>
      <c r="D107" s="277" t="s">
        <v>250</v>
      </c>
      <c r="E107" s="277" t="s">
        <v>767</v>
      </c>
      <c r="F107" s="277" t="s">
        <v>315</v>
      </c>
      <c r="G107" s="277" t="s">
        <v>303</v>
      </c>
      <c r="H107" s="277" t="s">
        <v>43</v>
      </c>
      <c r="I107" s="287" t="s">
        <v>691</v>
      </c>
      <c r="J107" s="277" t="s">
        <v>65</v>
      </c>
      <c r="K107" s="277" t="s">
        <v>254</v>
      </c>
      <c r="L107" s="277" t="s">
        <v>255</v>
      </c>
      <c r="M107" s="277" t="str">
        <f t="shared" si="51"/>
        <v>Non-Saudi</v>
      </c>
      <c r="N107" s="278">
        <v>40422</v>
      </c>
      <c r="O107" s="279">
        <v>16.3</v>
      </c>
      <c r="P107" s="280">
        <v>10500</v>
      </c>
      <c r="Q107" s="280">
        <v>2500</v>
      </c>
      <c r="R107" s="280">
        <v>500</v>
      </c>
      <c r="S107" s="280"/>
      <c r="T107" s="280">
        <v>1740</v>
      </c>
      <c r="U107" s="280">
        <v>15240</v>
      </c>
      <c r="V107" s="281">
        <v>1</v>
      </c>
      <c r="W107" s="277" t="s">
        <v>259</v>
      </c>
      <c r="X107" s="277">
        <v>250</v>
      </c>
      <c r="Y107" s="249">
        <f t="shared" si="27"/>
        <v>10500</v>
      </c>
      <c r="Z107" s="249">
        <f t="shared" si="28"/>
        <v>15240</v>
      </c>
      <c r="AA107" s="249">
        <f>IF(AND(Z107&gt;0,$N107&lt;&gt;""),IF((DATE(Assumptions!$B$4,1,28)-$N107)/365.25&lt;=Assumptions!$B$20,(DATE(Assumptions!$B$4,1,28)-$N107)/365.25*Assumptions!$B$18*Z107,(Assumptions!$B$20*Assumptions!$B$18+((DATE(Assumptions!$B$4,1,28)-$N107)/365.25-Assumptions!$B$20)*Assumptions!$B$19)*Z107),0)</f>
        <v>196727.43326488708</v>
      </c>
      <c r="AB107" s="249">
        <f>IF(Y107&gt;0,IF($M107="Saudi",MIN(Y107+$Q107*$V107,Assumptions!$B$14)*Assumptions!$B$12,MIN(Y107+$Q107*$V107,Assumptions!$B$14)*Assumptions!$B$13),0)</f>
        <v>0</v>
      </c>
      <c r="AC107" s="249">
        <f>IF(AND(Y107&gt;0,$M107="Non-Saudi"),Assumptions!$B$25,0)</f>
        <v>910.41666666666663</v>
      </c>
      <c r="AD107" s="249">
        <f t="shared" si="29"/>
        <v>10500</v>
      </c>
      <c r="AE107" s="249">
        <f t="shared" si="30"/>
        <v>15240</v>
      </c>
      <c r="AF107" s="249">
        <f>IF(AND(AE107&gt;0,$N107&lt;&gt;""),IF((DATE(Assumptions!$B$4,2,28)-$N107)/365.25&lt;=Assumptions!$B$20,(DATE(Assumptions!$B$4,2,28)-$N107)/365.25*Assumptions!$B$18*AE107,(Assumptions!$B$20*Assumptions!$B$18+((DATE(Assumptions!$B$4,2,28)-$N107)/365.25-Assumptions!$B$20)*Assumptions!$B$19)*AE107),0)</f>
        <v>198020.90349075975</v>
      </c>
      <c r="AG107" s="249">
        <f>IF(AD107&gt;0,IF($M107="Saudi",MIN(AD107+$Q107*$V107,Assumptions!$B$14)*Assumptions!$B$12,MIN(AD107+$Q107*$V107,Assumptions!$B$14)*Assumptions!$B$13),0)</f>
        <v>0</v>
      </c>
      <c r="AH107" s="249">
        <f>IF(AND(AD107&gt;0,$M107="Non-Saudi"),Assumptions!$B$25,0)</f>
        <v>910.41666666666663</v>
      </c>
      <c r="AI107" s="249">
        <f t="shared" si="31"/>
        <v>10500</v>
      </c>
      <c r="AJ107" s="249">
        <f t="shared" si="32"/>
        <v>15240</v>
      </c>
      <c r="AK107" s="249">
        <f>IF(AND(AJ107&gt;0,$N107&lt;&gt;""),IF((DATE(Assumptions!$B$4,3,28)-$N107)/365.25&lt;=Assumptions!$B$20,(DATE(Assumptions!$B$4,3,28)-$N107)/365.25*Assumptions!$B$18*AJ107,(Assumptions!$B$20*Assumptions!$B$18+((DATE(Assumptions!$B$4,3,28)-$N107)/365.25-Assumptions!$B$20)*Assumptions!$B$19)*AJ107),0)</f>
        <v>199189.19917864478</v>
      </c>
      <c r="AL107" s="249">
        <f>IF(AI107&gt;0,IF($M107="Saudi",MIN(AI107+$Q107*$V107,Assumptions!$B$14)*Assumptions!$B$12,MIN(AI107+$Q107*$V107,Assumptions!$B$14)*Assumptions!$B$13),0)</f>
        <v>0</v>
      </c>
      <c r="AM107" s="249">
        <f>IF(AND(AI107&gt;0,$M107="Non-Saudi"),Assumptions!$B$25,0)</f>
        <v>910.41666666666663</v>
      </c>
      <c r="AN107" s="249">
        <f t="shared" si="33"/>
        <v>10500</v>
      </c>
      <c r="AO107" s="249">
        <f t="shared" si="34"/>
        <v>15240</v>
      </c>
      <c r="AP107" s="249">
        <f>IF(AND(AO107&gt;0,$N107&lt;&gt;""),IF((DATE(Assumptions!$B$4,4,28)-$N107)/365.25&lt;=Assumptions!$B$20,(DATE(Assumptions!$B$4,4,28)-$N107)/365.25*Assumptions!$B$18*AO107,(Assumptions!$B$20*Assumptions!$B$18+((DATE(Assumptions!$B$4,4,28)-$N107)/365.25-Assumptions!$B$20)*Assumptions!$B$19)*AO107),0)</f>
        <v>200482.66940451745</v>
      </c>
      <c r="AQ107" s="249">
        <f>IF(AN107&gt;0,IF($M107="Saudi",MIN(AN107+$Q107*$V107,Assumptions!$B$14)*Assumptions!$B$12,MIN(AN107+$Q107*$V107,Assumptions!$B$14)*Assumptions!$B$13),0)</f>
        <v>0</v>
      </c>
      <c r="AR107" s="249">
        <f>IF(AND(AN107&gt;0,$M107="Non-Saudi"),Assumptions!$B$25,0)</f>
        <v>910.41666666666663</v>
      </c>
      <c r="AS107" s="249">
        <f t="shared" si="35"/>
        <v>10500</v>
      </c>
      <c r="AT107" s="249">
        <f t="shared" si="36"/>
        <v>15240</v>
      </c>
      <c r="AU107" s="249">
        <f>IF(AND(AT107&gt;0,$N107&lt;&gt;""),IF((DATE(Assumptions!$B$4,5,28)-$N107)/365.25&lt;=Assumptions!$B$20,(DATE(Assumptions!$B$4,5,28)-$N107)/365.25*Assumptions!$B$18*AT107,(Assumptions!$B$20*Assumptions!$B$18+((DATE(Assumptions!$B$4,5,28)-$N107)/365.25-Assumptions!$B$20)*Assumptions!$B$19)*AT107),0)</f>
        <v>201734.41478439423</v>
      </c>
      <c r="AV107" s="249">
        <f>IF(AS107&gt;0,IF($M107="Saudi",MIN(AS107+$Q107*$V107,Assumptions!$B$14)*Assumptions!$B$12,MIN(AS107+$Q107*$V107,Assumptions!$B$14)*Assumptions!$B$13),0)</f>
        <v>0</v>
      </c>
      <c r="AW107" s="249">
        <f>IF(AND(AS107&gt;0,$M107="Non-Saudi"),Assumptions!$B$25,0)</f>
        <v>910.41666666666663</v>
      </c>
      <c r="AX107" s="249">
        <f t="shared" si="37"/>
        <v>10500</v>
      </c>
      <c r="AY107" s="249">
        <f t="shared" si="38"/>
        <v>15240</v>
      </c>
      <c r="AZ107" s="249">
        <f>IF(AND(AY107&gt;0,$N107&lt;&gt;""),IF((DATE(Assumptions!$B$4,6,28)-$N107)/365.25&lt;=Assumptions!$B$20,(DATE(Assumptions!$B$4,6,28)-$N107)/365.25*Assumptions!$B$18*AY107,(Assumptions!$B$20*Assumptions!$B$18+((DATE(Assumptions!$B$4,6,28)-$N107)/365.25-Assumptions!$B$20)*Assumptions!$B$19)*AY107),0)</f>
        <v>203027.88501026694</v>
      </c>
      <c r="BA107" s="249">
        <f>IF(AX107&gt;0,IF($M107="Saudi",MIN(AX107+$Q107*$V107,Assumptions!$B$14)*Assumptions!$B$12,MIN(AX107+$Q107*$V107,Assumptions!$B$14)*Assumptions!$B$13),0)</f>
        <v>0</v>
      </c>
      <c r="BB107" s="249">
        <f>IF(AND(AX107&gt;0,$M107="Non-Saudi"),Assumptions!$B$25,0)</f>
        <v>910.41666666666663</v>
      </c>
      <c r="BC107" s="249">
        <f t="shared" si="39"/>
        <v>10500</v>
      </c>
      <c r="BD107" s="249">
        <f t="shared" si="40"/>
        <v>15240</v>
      </c>
      <c r="BE107" s="249">
        <f>IF(AND(BD107&gt;0,$N107&lt;&gt;""),IF((DATE(Assumptions!$B$4,7,28)-$N107)/365.25&lt;=Assumptions!$B$20,(DATE(Assumptions!$B$4,7,28)-$N107)/365.25*Assumptions!$B$18*BD107,(Assumptions!$B$20*Assumptions!$B$18+((DATE(Assumptions!$B$4,7,28)-$N107)/365.25-Assumptions!$B$20)*Assumptions!$B$19)*BD107),0)</f>
        <v>204279.63039014375</v>
      </c>
      <c r="BF107" s="249">
        <f>IF(BC107&gt;0,IF($M107="Saudi",MIN(BC107+$Q107*$V107,Assumptions!$B$14)*Assumptions!$B$12,MIN(BC107+$Q107*$V107,Assumptions!$B$14)*Assumptions!$B$13),0)</f>
        <v>0</v>
      </c>
      <c r="BG107" s="249">
        <f>IF(AND(BC107&gt;0,$M107="Non-Saudi"),Assumptions!$B$25,0)</f>
        <v>910.41666666666663</v>
      </c>
      <c r="BH107" s="249">
        <f t="shared" si="41"/>
        <v>10500</v>
      </c>
      <c r="BI107" s="249">
        <f t="shared" si="42"/>
        <v>15240</v>
      </c>
      <c r="BJ107" s="249">
        <f>IF(AND(BI107&gt;0,$N107&lt;&gt;""),IF((DATE(Assumptions!$B$4,8,28)-$N107)/365.25&lt;=Assumptions!$B$20,(DATE(Assumptions!$B$4,8,28)-$N107)/365.25*Assumptions!$B$18*BI107,(Assumptions!$B$20*Assumptions!$B$18+((DATE(Assumptions!$B$4,8,28)-$N107)/365.25-Assumptions!$B$20)*Assumptions!$B$19)*BI107),0)</f>
        <v>205573.10061601643</v>
      </c>
      <c r="BK107" s="249">
        <f>IF(BH107&gt;0,IF($M107="Saudi",MIN(BH107+$Q107*$V107,Assumptions!$B$14)*Assumptions!$B$12,MIN(BH107+$Q107*$V107,Assumptions!$B$14)*Assumptions!$B$13),0)</f>
        <v>0</v>
      </c>
      <c r="BL107" s="249">
        <f>IF(AND(BH107&gt;0,$M107="Non-Saudi"),Assumptions!$B$25,0)</f>
        <v>910.41666666666663</v>
      </c>
      <c r="BM107" s="249">
        <f>IF(AND($D107="Contrat Local",$N107&lt;&gt;""),IF(AND(9&gt;=Assumptions!$B$5,ISNUMBER($X107),$N107&lt;EDATE(Assumptions!$B$9,-Assumptions!$B$6*12)),($P107+$X107)*$V107,$P107*$V107),0)</f>
        <v>10750</v>
      </c>
      <c r="BN107" s="249">
        <f t="shared" si="43"/>
        <v>15490</v>
      </c>
      <c r="BO107" s="249">
        <f>IF(AND(BN107&gt;0,$N107&lt;&gt;""),IF((DATE(Assumptions!$B$4,9,28)-$N107)/365.25&lt;=Assumptions!$B$20,(DATE(Assumptions!$B$4,9,28)-$N107)/365.25*Assumptions!$B$18*BN107,(Assumptions!$B$20*Assumptions!$B$18+((DATE(Assumptions!$B$4,9,28)-$N107)/365.25-Assumptions!$B$20)*Assumptions!$B$19)*BN107),0)</f>
        <v>210260.05133470226</v>
      </c>
      <c r="BP107" s="249">
        <f>IF(BM107&gt;0,IF($M107="Saudi",MIN(BM107+$Q107*$V107,Assumptions!$B$14)*Assumptions!$B$12,MIN(BM107+$Q107*$V107,Assumptions!$B$14)*Assumptions!$B$13),0)</f>
        <v>0</v>
      </c>
      <c r="BQ107" s="249">
        <f>IF(AND(BM107&gt;0,$M107="Non-Saudi"),Assumptions!$B$25,0)</f>
        <v>910.41666666666663</v>
      </c>
      <c r="BR107" s="249">
        <f>IF(AND($D107="Contrat Local",$N107&lt;&gt;""),IF(AND(10&gt;=Assumptions!$B$5,ISNUMBER($X107),$N107&lt;EDATE(Assumptions!$B$9,-Assumptions!$B$6*12)),($P107+$X107)*$V107,$P107*$V107),0)</f>
        <v>10750</v>
      </c>
      <c r="BS107" s="249">
        <f t="shared" si="44"/>
        <v>15490</v>
      </c>
      <c r="BT107" s="249">
        <f>IF(AND(BS107&gt;0,$N107&lt;&gt;""),IF((DATE(Assumptions!$B$4,10,28)-$N107)/365.25&lt;=Assumptions!$B$20,(DATE(Assumptions!$B$4,10,28)-$N107)/365.25*Assumptions!$B$18*BS107,(Assumptions!$B$20*Assumptions!$B$18+((DATE(Assumptions!$B$4,10,28)-$N107)/365.25-Assumptions!$B$20)*Assumptions!$B$19)*BS107),0)</f>
        <v>211532.33059548255</v>
      </c>
      <c r="BU107" s="249">
        <f>IF(BR107&gt;0,IF($M107="Saudi",MIN(BR107+$Q107*$V107,Assumptions!$B$14)*Assumptions!$B$12,MIN(BR107+$Q107*$V107,Assumptions!$B$14)*Assumptions!$B$13),0)</f>
        <v>0</v>
      </c>
      <c r="BV107" s="249">
        <f>IF(AND(BR107&gt;0,$M107="Non-Saudi"),Assumptions!$B$25,0)</f>
        <v>910.41666666666663</v>
      </c>
      <c r="BW107" s="249">
        <f>IF(AND($D107="Contrat Local",$N107&lt;&gt;""),IF(AND(11&gt;=Assumptions!$B$5,ISNUMBER($X107),$N107&lt;EDATE(Assumptions!$B$9,-Assumptions!$B$6*12)),($P107+$X107)*$V107,$P107*$V107),0)</f>
        <v>10750</v>
      </c>
      <c r="BX107" s="249">
        <f t="shared" si="45"/>
        <v>15490</v>
      </c>
      <c r="BY107" s="249">
        <f>IF(AND(BX107&gt;0,$N107&lt;&gt;""),IF((DATE(Assumptions!$B$4,11,28)-$N107)/365.25&lt;=Assumptions!$B$20,(DATE(Assumptions!$B$4,11,28)-$N107)/365.25*Assumptions!$B$18*BX107,(Assumptions!$B$20*Assumptions!$B$18+((DATE(Assumptions!$B$4,11,28)-$N107)/365.25-Assumptions!$B$20)*Assumptions!$B$19)*BX107),0)</f>
        <v>212847.01916495551</v>
      </c>
      <c r="BZ107" s="249">
        <f>IF(BW107&gt;0,IF($M107="Saudi",MIN(BW107+$Q107*$V107,Assumptions!$B$14)*Assumptions!$B$12,MIN(BW107+$Q107*$V107,Assumptions!$B$14)*Assumptions!$B$13),0)</f>
        <v>0</v>
      </c>
      <c r="CA107" s="249">
        <f>IF(AND(BW107&gt;0,$M107="Non-Saudi"),Assumptions!$B$25,0)</f>
        <v>910.41666666666663</v>
      </c>
      <c r="CB107" s="249">
        <f>IF(AND($D107="Contrat Local",$N107&lt;&gt;""),IF(AND(12&gt;=Assumptions!$B$5,ISNUMBER($X107),$N107&lt;EDATE(Assumptions!$B$9,-Assumptions!$B$6*12)),($P107+$X107)*$V107,$P107*$V107),0)</f>
        <v>10750</v>
      </c>
      <c r="CC107" s="249">
        <f t="shared" si="46"/>
        <v>15490</v>
      </c>
      <c r="CD107" s="249">
        <f>IF(AND(CC107&gt;0,$N107&lt;&gt;""),IF((DATE(Assumptions!$B$4,12,28)-$N107)/365.25&lt;=Assumptions!$B$20,(DATE(Assumptions!$B$4,12,28)-$N107)/365.25*Assumptions!$B$18*CC107,(Assumptions!$B$20*Assumptions!$B$18+((DATE(Assumptions!$B$4,12,28)-$N107)/365.25-Assumptions!$B$20)*Assumptions!$B$19)*CC107),0)</f>
        <v>214119.29842573582</v>
      </c>
      <c r="CE107" s="249">
        <f>IF(CB107&gt;0,IF($M107="Saudi",MIN(CB107+$Q107*$V107,Assumptions!$B$14)*Assumptions!$B$12,MIN(CB107+$Q107*$V107,Assumptions!$B$14)*Assumptions!$B$13),0)</f>
        <v>0</v>
      </c>
      <c r="CF107" s="249">
        <f>IF(AND(CB107&gt;0,$M107="Non-Saudi"),Assumptions!$B$25,0)</f>
        <v>910.41666666666663</v>
      </c>
      <c r="CG107" s="249">
        <f t="shared" si="47"/>
        <v>127000</v>
      </c>
      <c r="CH107" s="249">
        <f t="shared" si="48"/>
        <v>183880</v>
      </c>
      <c r="CI107" s="249">
        <f>CD107-IF(AND(Z107&gt;0,$N107&lt;&gt;""),IF((DATE(Assumptions!$B$4-1,12,28)-$N107)/365.25&lt;=Assumptions!$B$20,(DATE(Assumptions!$B$4-1,12,28)-$N107)/365.25*Assumptions!$B$18*Z107,(Assumptions!$B$20*Assumptions!$B$18+((DATE(Assumptions!$B$4-1,12,28)-$N107)/365.25-Assumptions!$B$20)*Assumptions!$B$19)*Z107),0)</f>
        <v>18685.335386721446</v>
      </c>
      <c r="CJ107" s="249">
        <f t="shared" si="49"/>
        <v>0</v>
      </c>
      <c r="CK107" s="249">
        <f t="shared" si="50"/>
        <v>10924.999999999998</v>
      </c>
    </row>
    <row r="108" spans="1:89" x14ac:dyDescent="0.2">
      <c r="A108" s="270">
        <v>108</v>
      </c>
      <c r="B108" s="271" t="s">
        <v>515</v>
      </c>
      <c r="C108" s="271" t="s">
        <v>516</v>
      </c>
      <c r="D108" s="271" t="s">
        <v>250</v>
      </c>
      <c r="E108" s="271" t="s">
        <v>767</v>
      </c>
      <c r="F108" s="271" t="s">
        <v>517</v>
      </c>
      <c r="G108" s="271" t="s">
        <v>272</v>
      </c>
      <c r="H108" s="271" t="s">
        <v>497</v>
      </c>
      <c r="I108" s="285" t="s">
        <v>690</v>
      </c>
      <c r="J108" s="271"/>
      <c r="K108" s="271" t="s">
        <v>272</v>
      </c>
      <c r="L108" s="271" t="s">
        <v>255</v>
      </c>
      <c r="M108" s="271" t="str">
        <f t="shared" si="51"/>
        <v>Non-Saudi</v>
      </c>
      <c r="N108" s="272">
        <v>38376</v>
      </c>
      <c r="O108" s="273">
        <v>21.9</v>
      </c>
      <c r="P108" s="274">
        <v>13750</v>
      </c>
      <c r="Q108" s="274">
        <v>2500</v>
      </c>
      <c r="R108" s="274">
        <v>500</v>
      </c>
      <c r="S108" s="274">
        <v>500</v>
      </c>
      <c r="T108" s="274"/>
      <c r="U108" s="274">
        <v>17250</v>
      </c>
      <c r="V108" s="275">
        <v>1</v>
      </c>
      <c r="W108" s="271" t="s">
        <v>259</v>
      </c>
      <c r="X108" s="271">
        <v>250</v>
      </c>
      <c r="Y108" s="249">
        <f t="shared" si="27"/>
        <v>13750</v>
      </c>
      <c r="Z108" s="249">
        <f t="shared" si="28"/>
        <v>17250</v>
      </c>
      <c r="AA108" s="249">
        <f>IF(AND(Z108&gt;0,$N108&lt;&gt;""),IF((DATE(Assumptions!$B$4,1,28)-$N108)/365.25&lt;=Assumptions!$B$20,(DATE(Assumptions!$B$4,1,28)-$N108)/365.25*Assumptions!$B$18*Z108,(Assumptions!$B$20*Assumptions!$B$18+((DATE(Assumptions!$B$4,1,28)-$N108)/365.25-Assumptions!$B$20)*Assumptions!$B$19)*Z108),0)</f>
        <v>319302.10472279263</v>
      </c>
      <c r="AB108" s="249">
        <f>IF(Y108&gt;0,IF($M108="Saudi",MIN(Y108+$Q108*$V108,Assumptions!$B$14)*Assumptions!$B$12,MIN(Y108+$Q108*$V108,Assumptions!$B$14)*Assumptions!$B$13),0)</f>
        <v>0</v>
      </c>
      <c r="AC108" s="249">
        <f>IF(AND(Y108&gt;0,$M108="Non-Saudi"),Assumptions!$B$25,0)</f>
        <v>910.41666666666663</v>
      </c>
      <c r="AD108" s="249">
        <f t="shared" si="29"/>
        <v>13750</v>
      </c>
      <c r="AE108" s="249">
        <f t="shared" si="30"/>
        <v>17250</v>
      </c>
      <c r="AF108" s="249">
        <f>IF(AND(AE108&gt;0,$N108&lt;&gt;""),IF((DATE(Assumptions!$B$4,2,28)-$N108)/365.25&lt;=Assumptions!$B$20,(DATE(Assumptions!$B$4,2,28)-$N108)/365.25*Assumptions!$B$18*AE108,(Assumptions!$B$20*Assumptions!$B$18+((DATE(Assumptions!$B$4,2,28)-$N108)/365.25-Assumptions!$B$20)*Assumptions!$B$19)*AE108),0)</f>
        <v>320766.17043121153</v>
      </c>
      <c r="AG108" s="249">
        <f>IF(AD108&gt;0,IF($M108="Saudi",MIN(AD108+$Q108*$V108,Assumptions!$B$14)*Assumptions!$B$12,MIN(AD108+$Q108*$V108,Assumptions!$B$14)*Assumptions!$B$13),0)</f>
        <v>0</v>
      </c>
      <c r="AH108" s="249">
        <f>IF(AND(AD108&gt;0,$M108="Non-Saudi"),Assumptions!$B$25,0)</f>
        <v>910.41666666666663</v>
      </c>
      <c r="AI108" s="249">
        <f t="shared" si="31"/>
        <v>13750</v>
      </c>
      <c r="AJ108" s="249">
        <f t="shared" si="32"/>
        <v>17250</v>
      </c>
      <c r="AK108" s="249">
        <f>IF(AND(AJ108&gt;0,$N108&lt;&gt;""),IF((DATE(Assumptions!$B$4,3,28)-$N108)/365.25&lt;=Assumptions!$B$20,(DATE(Assumptions!$B$4,3,28)-$N108)/365.25*Assumptions!$B$18*AJ108,(Assumptions!$B$20*Assumptions!$B$18+((DATE(Assumptions!$B$4,3,28)-$N108)/365.25-Assumptions!$B$20)*Assumptions!$B$19)*AJ108),0)</f>
        <v>322088.55236139632</v>
      </c>
      <c r="AL108" s="249">
        <f>IF(AI108&gt;0,IF($M108="Saudi",MIN(AI108+$Q108*$V108,Assumptions!$B$14)*Assumptions!$B$12,MIN(AI108+$Q108*$V108,Assumptions!$B$14)*Assumptions!$B$13),0)</f>
        <v>0</v>
      </c>
      <c r="AM108" s="249">
        <f>IF(AND(AI108&gt;0,$M108="Non-Saudi"),Assumptions!$B$25,0)</f>
        <v>910.41666666666663</v>
      </c>
      <c r="AN108" s="249">
        <f t="shared" si="33"/>
        <v>13750</v>
      </c>
      <c r="AO108" s="249">
        <f t="shared" si="34"/>
        <v>17250</v>
      </c>
      <c r="AP108" s="249">
        <f>IF(AND(AO108&gt;0,$N108&lt;&gt;""),IF((DATE(Assumptions!$B$4,4,28)-$N108)/365.25&lt;=Assumptions!$B$20,(DATE(Assumptions!$B$4,4,28)-$N108)/365.25*Assumptions!$B$18*AO108,(Assumptions!$B$20*Assumptions!$B$18+((DATE(Assumptions!$B$4,4,28)-$N108)/365.25-Assumptions!$B$20)*Assumptions!$B$19)*AO108),0)</f>
        <v>323552.61806981522</v>
      </c>
      <c r="AQ108" s="249">
        <f>IF(AN108&gt;0,IF($M108="Saudi",MIN(AN108+$Q108*$V108,Assumptions!$B$14)*Assumptions!$B$12,MIN(AN108+$Q108*$V108,Assumptions!$B$14)*Assumptions!$B$13),0)</f>
        <v>0</v>
      </c>
      <c r="AR108" s="249">
        <f>IF(AND(AN108&gt;0,$M108="Non-Saudi"),Assumptions!$B$25,0)</f>
        <v>910.41666666666663</v>
      </c>
      <c r="AS108" s="249">
        <f t="shared" si="35"/>
        <v>13750</v>
      </c>
      <c r="AT108" s="249">
        <f t="shared" si="36"/>
        <v>17250</v>
      </c>
      <c r="AU108" s="249">
        <f>IF(AND(AT108&gt;0,$N108&lt;&gt;""),IF((DATE(Assumptions!$B$4,5,28)-$N108)/365.25&lt;=Assumptions!$B$20,(DATE(Assumptions!$B$4,5,28)-$N108)/365.25*Assumptions!$B$18*AT108,(Assumptions!$B$20*Assumptions!$B$18+((DATE(Assumptions!$B$4,5,28)-$N108)/365.25-Assumptions!$B$20)*Assumptions!$B$19)*AT108),0)</f>
        <v>324969.45585215604</v>
      </c>
      <c r="AV108" s="249">
        <f>IF(AS108&gt;0,IF($M108="Saudi",MIN(AS108+$Q108*$V108,Assumptions!$B$14)*Assumptions!$B$12,MIN(AS108+$Q108*$V108,Assumptions!$B$14)*Assumptions!$B$13),0)</f>
        <v>0</v>
      </c>
      <c r="AW108" s="249">
        <f>IF(AND(AS108&gt;0,$M108="Non-Saudi"),Assumptions!$B$25,0)</f>
        <v>910.41666666666663</v>
      </c>
      <c r="AX108" s="249">
        <f t="shared" si="37"/>
        <v>13750</v>
      </c>
      <c r="AY108" s="249">
        <f t="shared" si="38"/>
        <v>17250</v>
      </c>
      <c r="AZ108" s="249">
        <f>IF(AND(AY108&gt;0,$N108&lt;&gt;""),IF((DATE(Assumptions!$B$4,6,28)-$N108)/365.25&lt;=Assumptions!$B$20,(DATE(Assumptions!$B$4,6,28)-$N108)/365.25*Assumptions!$B$18*AY108,(Assumptions!$B$20*Assumptions!$B$18+((DATE(Assumptions!$B$4,6,28)-$N108)/365.25-Assumptions!$B$20)*Assumptions!$B$19)*AY108),0)</f>
        <v>326433.52156057494</v>
      </c>
      <c r="BA108" s="249">
        <f>IF(AX108&gt;0,IF($M108="Saudi",MIN(AX108+$Q108*$V108,Assumptions!$B$14)*Assumptions!$B$12,MIN(AX108+$Q108*$V108,Assumptions!$B$14)*Assumptions!$B$13),0)</f>
        <v>0</v>
      </c>
      <c r="BB108" s="249">
        <f>IF(AND(AX108&gt;0,$M108="Non-Saudi"),Assumptions!$B$25,0)</f>
        <v>910.41666666666663</v>
      </c>
      <c r="BC108" s="249">
        <f t="shared" si="39"/>
        <v>13750</v>
      </c>
      <c r="BD108" s="249">
        <f t="shared" si="40"/>
        <v>17250</v>
      </c>
      <c r="BE108" s="249">
        <f>IF(AND(BD108&gt;0,$N108&lt;&gt;""),IF((DATE(Assumptions!$B$4,7,28)-$N108)/365.25&lt;=Assumptions!$B$20,(DATE(Assumptions!$B$4,7,28)-$N108)/365.25*Assumptions!$B$18*BD108,(Assumptions!$B$20*Assumptions!$B$18+((DATE(Assumptions!$B$4,7,28)-$N108)/365.25-Assumptions!$B$20)*Assumptions!$B$19)*BD108),0)</f>
        <v>327850.35934291582</v>
      </c>
      <c r="BF108" s="249">
        <f>IF(BC108&gt;0,IF($M108="Saudi",MIN(BC108+$Q108*$V108,Assumptions!$B$14)*Assumptions!$B$12,MIN(BC108+$Q108*$V108,Assumptions!$B$14)*Assumptions!$B$13),0)</f>
        <v>0</v>
      </c>
      <c r="BG108" s="249">
        <f>IF(AND(BC108&gt;0,$M108="Non-Saudi"),Assumptions!$B$25,0)</f>
        <v>910.41666666666663</v>
      </c>
      <c r="BH108" s="249">
        <f t="shared" si="41"/>
        <v>13750</v>
      </c>
      <c r="BI108" s="249">
        <f t="shared" si="42"/>
        <v>17250</v>
      </c>
      <c r="BJ108" s="249">
        <f>IF(AND(BI108&gt;0,$N108&lt;&gt;""),IF((DATE(Assumptions!$B$4,8,28)-$N108)/365.25&lt;=Assumptions!$B$20,(DATE(Assumptions!$B$4,8,28)-$N108)/365.25*Assumptions!$B$18*BI108,(Assumptions!$B$20*Assumptions!$B$18+((DATE(Assumptions!$B$4,8,28)-$N108)/365.25-Assumptions!$B$20)*Assumptions!$B$19)*BI108),0)</f>
        <v>329314.42505133472</v>
      </c>
      <c r="BK108" s="249">
        <f>IF(BH108&gt;0,IF($M108="Saudi",MIN(BH108+$Q108*$V108,Assumptions!$B$14)*Assumptions!$B$12,MIN(BH108+$Q108*$V108,Assumptions!$B$14)*Assumptions!$B$13),0)</f>
        <v>0</v>
      </c>
      <c r="BL108" s="249">
        <f>IF(AND(BH108&gt;0,$M108="Non-Saudi"),Assumptions!$B$25,0)</f>
        <v>910.41666666666663</v>
      </c>
      <c r="BM108" s="249">
        <f>IF(AND($D108="Contrat Local",$N108&lt;&gt;""),IF(AND(9&gt;=Assumptions!$B$5,ISNUMBER($X108),$N108&lt;EDATE(Assumptions!$B$9,-Assumptions!$B$6*12)),($P108+$X108)*$V108,$P108*$V108),0)</f>
        <v>14000</v>
      </c>
      <c r="BN108" s="249">
        <f t="shared" si="43"/>
        <v>17500</v>
      </c>
      <c r="BO108" s="249">
        <f>IF(AND(BN108&gt;0,$N108&lt;&gt;""),IF((DATE(Assumptions!$B$4,9,28)-$N108)/365.25&lt;=Assumptions!$B$20,(DATE(Assumptions!$B$4,9,28)-$N108)/365.25*Assumptions!$B$18*BN108,(Assumptions!$B$20*Assumptions!$B$18+((DATE(Assumptions!$B$4,9,28)-$N108)/365.25-Assumptions!$B$20)*Assumptions!$B$19)*BN108),0)</f>
        <v>335572.38193018484</v>
      </c>
      <c r="BP108" s="249">
        <f>IF(BM108&gt;0,IF($M108="Saudi",MIN(BM108+$Q108*$V108,Assumptions!$B$14)*Assumptions!$B$12,MIN(BM108+$Q108*$V108,Assumptions!$B$14)*Assumptions!$B$13),0)</f>
        <v>0</v>
      </c>
      <c r="BQ108" s="249">
        <f>IF(AND(BM108&gt;0,$M108="Non-Saudi"),Assumptions!$B$25,0)</f>
        <v>910.41666666666663</v>
      </c>
      <c r="BR108" s="249">
        <f>IF(AND($D108="Contrat Local",$N108&lt;&gt;""),IF(AND(10&gt;=Assumptions!$B$5,ISNUMBER($X108),$N108&lt;EDATE(Assumptions!$B$9,-Assumptions!$B$6*12)),($P108+$X108)*$V108,$P108*$V108),0)</f>
        <v>14000</v>
      </c>
      <c r="BS108" s="249">
        <f t="shared" si="44"/>
        <v>17500</v>
      </c>
      <c r="BT108" s="249">
        <f>IF(AND(BS108&gt;0,$N108&lt;&gt;""),IF((DATE(Assumptions!$B$4,10,28)-$N108)/365.25&lt;=Assumptions!$B$20,(DATE(Assumptions!$B$4,10,28)-$N108)/365.25*Assumptions!$B$18*BS108,(Assumptions!$B$20*Assumptions!$B$18+((DATE(Assumptions!$B$4,10,28)-$N108)/365.25-Assumptions!$B$20)*Assumptions!$B$19)*BS108),0)</f>
        <v>337009.75359342917</v>
      </c>
      <c r="BU108" s="249">
        <f>IF(BR108&gt;0,IF($M108="Saudi",MIN(BR108+$Q108*$V108,Assumptions!$B$14)*Assumptions!$B$12,MIN(BR108+$Q108*$V108,Assumptions!$B$14)*Assumptions!$B$13),0)</f>
        <v>0</v>
      </c>
      <c r="BV108" s="249">
        <f>IF(AND(BR108&gt;0,$M108="Non-Saudi"),Assumptions!$B$25,0)</f>
        <v>910.41666666666663</v>
      </c>
      <c r="BW108" s="249">
        <f>IF(AND($D108="Contrat Local",$N108&lt;&gt;""),IF(AND(11&gt;=Assumptions!$B$5,ISNUMBER($X108),$N108&lt;EDATE(Assumptions!$B$9,-Assumptions!$B$6*12)),($P108+$X108)*$V108,$P108*$V108),0)</f>
        <v>14000</v>
      </c>
      <c r="BX108" s="249">
        <f t="shared" si="45"/>
        <v>17500</v>
      </c>
      <c r="BY108" s="249">
        <f>IF(AND(BX108&gt;0,$N108&lt;&gt;""),IF((DATE(Assumptions!$B$4,11,28)-$N108)/365.25&lt;=Assumptions!$B$20,(DATE(Assumptions!$B$4,11,28)-$N108)/365.25*Assumptions!$B$18*BX108,(Assumptions!$B$20*Assumptions!$B$18+((DATE(Assumptions!$B$4,11,28)-$N108)/365.25-Assumptions!$B$20)*Assumptions!$B$19)*BX108),0)</f>
        <v>338495.03764544835</v>
      </c>
      <c r="BZ108" s="249">
        <f>IF(BW108&gt;0,IF($M108="Saudi",MIN(BW108+$Q108*$V108,Assumptions!$B$14)*Assumptions!$B$12,MIN(BW108+$Q108*$V108,Assumptions!$B$14)*Assumptions!$B$13),0)</f>
        <v>0</v>
      </c>
      <c r="CA108" s="249">
        <f>IF(AND(BW108&gt;0,$M108="Non-Saudi"),Assumptions!$B$25,0)</f>
        <v>910.41666666666663</v>
      </c>
      <c r="CB108" s="249">
        <f>IF(AND($D108="Contrat Local",$N108&lt;&gt;""),IF(AND(12&gt;=Assumptions!$B$5,ISNUMBER($X108),$N108&lt;EDATE(Assumptions!$B$9,-Assumptions!$B$6*12)),($P108+$X108)*$V108,$P108*$V108),0)</f>
        <v>14000</v>
      </c>
      <c r="CC108" s="249">
        <f t="shared" si="46"/>
        <v>17500</v>
      </c>
      <c r="CD108" s="249">
        <f>IF(AND(CC108&gt;0,$N108&lt;&gt;""),IF((DATE(Assumptions!$B$4,12,28)-$N108)/365.25&lt;=Assumptions!$B$20,(DATE(Assumptions!$B$4,12,28)-$N108)/365.25*Assumptions!$B$18*CC108,(Assumptions!$B$20*Assumptions!$B$18+((DATE(Assumptions!$B$4,12,28)-$N108)/365.25-Assumptions!$B$20)*Assumptions!$B$19)*CC108),0)</f>
        <v>339932.40930869267</v>
      </c>
      <c r="CE108" s="249">
        <f>IF(CB108&gt;0,IF($M108="Saudi",MIN(CB108+$Q108*$V108,Assumptions!$B$14)*Assumptions!$B$12,MIN(CB108+$Q108*$V108,Assumptions!$B$14)*Assumptions!$B$13),0)</f>
        <v>0</v>
      </c>
      <c r="CF108" s="249">
        <f>IF(AND(CB108&gt;0,$M108="Non-Saudi"),Assumptions!$B$25,0)</f>
        <v>910.41666666666663</v>
      </c>
      <c r="CG108" s="249">
        <f t="shared" si="47"/>
        <v>166000</v>
      </c>
      <c r="CH108" s="249">
        <f t="shared" si="48"/>
        <v>208000</v>
      </c>
      <c r="CI108" s="249">
        <f>CD108-IF(AND(Z108&gt;0,$N108&lt;&gt;""),IF((DATE(Assumptions!$B$4-1,12,28)-$N108)/365.25&lt;=Assumptions!$B$20,(DATE(Assumptions!$B$4-1,12,28)-$N108)/365.25*Assumptions!$B$18*Z108,(Assumptions!$B$20*Assumptions!$B$18+((DATE(Assumptions!$B$4-1,12,28)-$N108)/365.25-Assumptions!$B$20)*Assumptions!$B$19)*Z108),0)</f>
        <v>22094.370294318942</v>
      </c>
      <c r="CJ108" s="249">
        <f t="shared" si="49"/>
        <v>0</v>
      </c>
      <c r="CK108" s="249">
        <f t="shared" si="50"/>
        <v>10924.999999999998</v>
      </c>
    </row>
    <row r="109" spans="1:89" x14ac:dyDescent="0.2">
      <c r="A109" s="276">
        <v>109</v>
      </c>
      <c r="B109" s="277" t="s">
        <v>518</v>
      </c>
      <c r="C109" s="277" t="s">
        <v>519</v>
      </c>
      <c r="D109" s="277" t="s">
        <v>250</v>
      </c>
      <c r="E109" s="277" t="s">
        <v>767</v>
      </c>
      <c r="F109" s="277" t="s">
        <v>302</v>
      </c>
      <c r="G109" s="277" t="s">
        <v>303</v>
      </c>
      <c r="H109" s="277" t="s">
        <v>520</v>
      </c>
      <c r="I109" s="287" t="s">
        <v>691</v>
      </c>
      <c r="J109" s="277" t="s">
        <v>83</v>
      </c>
      <c r="K109" s="277" t="s">
        <v>254</v>
      </c>
      <c r="L109" s="277" t="s">
        <v>255</v>
      </c>
      <c r="M109" s="277" t="str">
        <f t="shared" si="51"/>
        <v>Non-Saudi</v>
      </c>
      <c r="N109" s="278">
        <v>44440</v>
      </c>
      <c r="O109" s="279">
        <v>5.3</v>
      </c>
      <c r="P109" s="280">
        <v>10000</v>
      </c>
      <c r="Q109" s="280">
        <v>2500</v>
      </c>
      <c r="R109" s="280">
        <v>500</v>
      </c>
      <c r="S109" s="280"/>
      <c r="T109" s="280">
        <v>300</v>
      </c>
      <c r="U109" s="280">
        <v>13300</v>
      </c>
      <c r="V109" s="281">
        <v>1</v>
      </c>
      <c r="W109" s="277" t="s">
        <v>256</v>
      </c>
      <c r="X109" s="277">
        <v>250</v>
      </c>
      <c r="Y109" s="249">
        <f t="shared" si="27"/>
        <v>10000</v>
      </c>
      <c r="Z109" s="249">
        <f t="shared" si="28"/>
        <v>13300</v>
      </c>
      <c r="AA109" s="249">
        <f>IF(AND(Z109&gt;0,$N109&lt;&gt;""),IF((DATE(Assumptions!$B$4,1,28)-$N109)/365.25&lt;=Assumptions!$B$20,(DATE(Assumptions!$B$4,1,28)-$N109)/365.25*Assumptions!$B$18*Z109,(Assumptions!$B$20*Assumptions!$B$18+((DATE(Assumptions!$B$4,1,28)-$N109)/365.25-Assumptions!$B$20)*Assumptions!$B$19)*Z109),0)</f>
        <v>29312.799452429845</v>
      </c>
      <c r="AB109" s="249">
        <f>IF(Y109&gt;0,IF($M109="Saudi",MIN(Y109+$Q109*$V109,Assumptions!$B$14)*Assumptions!$B$12,MIN(Y109+$Q109*$V109,Assumptions!$B$14)*Assumptions!$B$13),0)</f>
        <v>0</v>
      </c>
      <c r="AC109" s="249">
        <f>IF(AND(Y109&gt;0,$M109="Non-Saudi"),Assumptions!$B$25,0)</f>
        <v>910.41666666666663</v>
      </c>
      <c r="AD109" s="249">
        <f t="shared" si="29"/>
        <v>10000</v>
      </c>
      <c r="AE109" s="249">
        <f t="shared" si="30"/>
        <v>13300</v>
      </c>
      <c r="AF109" s="249">
        <f>IF(AND(AE109&gt;0,$N109&lt;&gt;""),IF((DATE(Assumptions!$B$4,2,28)-$N109)/365.25&lt;=Assumptions!$B$20,(DATE(Assumptions!$B$4,2,28)-$N109)/365.25*Assumptions!$B$18*AE109,(Assumptions!$B$20*Assumptions!$B$18+((DATE(Assumptions!$B$4,2,28)-$N109)/365.25-Assumptions!$B$20)*Assumptions!$B$19)*AE109),0)</f>
        <v>29877.207392197128</v>
      </c>
      <c r="AG109" s="249">
        <f>IF(AD109&gt;0,IF($M109="Saudi",MIN(AD109+$Q109*$V109,Assumptions!$B$14)*Assumptions!$B$12,MIN(AD109+$Q109*$V109,Assumptions!$B$14)*Assumptions!$B$13),0)</f>
        <v>0</v>
      </c>
      <c r="AH109" s="249">
        <f>IF(AND(AD109&gt;0,$M109="Non-Saudi"),Assumptions!$B$25,0)</f>
        <v>910.41666666666663</v>
      </c>
      <c r="AI109" s="249">
        <f t="shared" si="31"/>
        <v>10000</v>
      </c>
      <c r="AJ109" s="249">
        <f t="shared" si="32"/>
        <v>13300</v>
      </c>
      <c r="AK109" s="249">
        <f>IF(AND(AJ109&gt;0,$N109&lt;&gt;""),IF((DATE(Assumptions!$B$4,3,28)-$N109)/365.25&lt;=Assumptions!$B$20,(DATE(Assumptions!$B$4,3,28)-$N109)/365.25*Assumptions!$B$18*AJ109,(Assumptions!$B$20*Assumptions!$B$18+((DATE(Assumptions!$B$4,3,28)-$N109)/365.25-Assumptions!$B$20)*Assumptions!$B$19)*AJ109),0)</f>
        <v>30386.995208761124</v>
      </c>
      <c r="AL109" s="249">
        <f>IF(AI109&gt;0,IF($M109="Saudi",MIN(AI109+$Q109*$V109,Assumptions!$B$14)*Assumptions!$B$12,MIN(AI109+$Q109*$V109,Assumptions!$B$14)*Assumptions!$B$13),0)</f>
        <v>0</v>
      </c>
      <c r="AM109" s="249">
        <f>IF(AND(AI109&gt;0,$M109="Non-Saudi"),Assumptions!$B$25,0)</f>
        <v>910.41666666666663</v>
      </c>
      <c r="AN109" s="249">
        <f t="shared" si="33"/>
        <v>10000</v>
      </c>
      <c r="AO109" s="249">
        <f t="shared" si="34"/>
        <v>13300</v>
      </c>
      <c r="AP109" s="249">
        <f>IF(AND(AO109&gt;0,$N109&lt;&gt;""),IF((DATE(Assumptions!$B$4,4,28)-$N109)/365.25&lt;=Assumptions!$B$20,(DATE(Assumptions!$B$4,4,28)-$N109)/365.25*Assumptions!$B$18*AO109,(Assumptions!$B$20*Assumptions!$B$18+((DATE(Assumptions!$B$4,4,28)-$N109)/365.25-Assumptions!$B$20)*Assumptions!$B$19)*AO109),0)</f>
        <v>30951.403148528407</v>
      </c>
      <c r="AQ109" s="249">
        <f>IF(AN109&gt;0,IF($M109="Saudi",MIN(AN109+$Q109*$V109,Assumptions!$B$14)*Assumptions!$B$12,MIN(AN109+$Q109*$V109,Assumptions!$B$14)*Assumptions!$B$13),0)</f>
        <v>0</v>
      </c>
      <c r="AR109" s="249">
        <f>IF(AND(AN109&gt;0,$M109="Non-Saudi"),Assumptions!$B$25,0)</f>
        <v>910.41666666666663</v>
      </c>
      <c r="AS109" s="249">
        <f t="shared" si="35"/>
        <v>10000</v>
      </c>
      <c r="AT109" s="249">
        <f t="shared" si="36"/>
        <v>13300</v>
      </c>
      <c r="AU109" s="249">
        <f>IF(AND(AT109&gt;0,$N109&lt;&gt;""),IF((DATE(Assumptions!$B$4,5,28)-$N109)/365.25&lt;=Assumptions!$B$20,(DATE(Assumptions!$B$4,5,28)-$N109)/365.25*Assumptions!$B$18*AT109,(Assumptions!$B$20*Assumptions!$B$18+((DATE(Assumptions!$B$4,5,28)-$N109)/365.25-Assumptions!$B$20)*Assumptions!$B$19)*AT109),0)</f>
        <v>31497.604380561257</v>
      </c>
      <c r="AV109" s="249">
        <f>IF(AS109&gt;0,IF($M109="Saudi",MIN(AS109+$Q109*$V109,Assumptions!$B$14)*Assumptions!$B$12,MIN(AS109+$Q109*$V109,Assumptions!$B$14)*Assumptions!$B$13),0)</f>
        <v>0</v>
      </c>
      <c r="AW109" s="249">
        <f>IF(AND(AS109&gt;0,$M109="Non-Saudi"),Assumptions!$B$25,0)</f>
        <v>910.41666666666663</v>
      </c>
      <c r="AX109" s="249">
        <f t="shared" si="37"/>
        <v>10000</v>
      </c>
      <c r="AY109" s="249">
        <f t="shared" si="38"/>
        <v>13300</v>
      </c>
      <c r="AZ109" s="249">
        <f>IF(AND(AY109&gt;0,$N109&lt;&gt;""),IF((DATE(Assumptions!$B$4,6,28)-$N109)/365.25&lt;=Assumptions!$B$20,(DATE(Assumptions!$B$4,6,28)-$N109)/365.25*Assumptions!$B$18*AY109,(Assumptions!$B$20*Assumptions!$B$18+((DATE(Assumptions!$B$4,6,28)-$N109)/365.25-Assumptions!$B$20)*Assumptions!$B$19)*AY109),0)</f>
        <v>32062.01232032854</v>
      </c>
      <c r="BA109" s="249">
        <f>IF(AX109&gt;0,IF($M109="Saudi",MIN(AX109+$Q109*$V109,Assumptions!$B$14)*Assumptions!$B$12,MIN(AX109+$Q109*$V109,Assumptions!$B$14)*Assumptions!$B$13),0)</f>
        <v>0</v>
      </c>
      <c r="BB109" s="249">
        <f>IF(AND(AX109&gt;0,$M109="Non-Saudi"),Assumptions!$B$25,0)</f>
        <v>910.41666666666663</v>
      </c>
      <c r="BC109" s="249">
        <f t="shared" si="39"/>
        <v>10000</v>
      </c>
      <c r="BD109" s="249">
        <f t="shared" si="40"/>
        <v>13300</v>
      </c>
      <c r="BE109" s="249">
        <f>IF(AND(BD109&gt;0,$N109&lt;&gt;""),IF((DATE(Assumptions!$B$4,7,28)-$N109)/365.25&lt;=Assumptions!$B$20,(DATE(Assumptions!$B$4,7,28)-$N109)/365.25*Assumptions!$B$18*BD109,(Assumptions!$B$20*Assumptions!$B$18+((DATE(Assumptions!$B$4,7,28)-$N109)/365.25-Assumptions!$B$20)*Assumptions!$B$19)*BD109),0)</f>
        <v>32608.213552361394</v>
      </c>
      <c r="BF109" s="249">
        <f>IF(BC109&gt;0,IF($M109="Saudi",MIN(BC109+$Q109*$V109,Assumptions!$B$14)*Assumptions!$B$12,MIN(BC109+$Q109*$V109,Assumptions!$B$14)*Assumptions!$B$13),0)</f>
        <v>0</v>
      </c>
      <c r="BG109" s="249">
        <f>IF(AND(BC109&gt;0,$M109="Non-Saudi"),Assumptions!$B$25,0)</f>
        <v>910.41666666666663</v>
      </c>
      <c r="BH109" s="249">
        <f t="shared" si="41"/>
        <v>10000</v>
      </c>
      <c r="BI109" s="249">
        <f t="shared" si="42"/>
        <v>13300</v>
      </c>
      <c r="BJ109" s="249">
        <f>IF(AND(BI109&gt;0,$N109&lt;&gt;""),IF((DATE(Assumptions!$B$4,8,28)-$N109)/365.25&lt;=Assumptions!$B$20,(DATE(Assumptions!$B$4,8,28)-$N109)/365.25*Assumptions!$B$18*BI109,(Assumptions!$B$20*Assumptions!$B$18+((DATE(Assumptions!$B$4,8,28)-$N109)/365.25-Assumptions!$B$20)*Assumptions!$B$19)*BI109),0)</f>
        <v>33172.621492128681</v>
      </c>
      <c r="BK109" s="249">
        <f>IF(BH109&gt;0,IF($M109="Saudi",MIN(BH109+$Q109*$V109,Assumptions!$B$14)*Assumptions!$B$12,MIN(BH109+$Q109*$V109,Assumptions!$B$14)*Assumptions!$B$13),0)</f>
        <v>0</v>
      </c>
      <c r="BL109" s="249">
        <f>IF(AND(BH109&gt;0,$M109="Non-Saudi"),Assumptions!$B$25,0)</f>
        <v>910.41666666666663</v>
      </c>
      <c r="BM109" s="249">
        <f>IF(AND($D109="Contrat Local",$N109&lt;&gt;""),IF(AND(9&gt;=Assumptions!$B$5,ISNUMBER($X109),$N109&lt;EDATE(Assumptions!$B$9,-Assumptions!$B$6*12)),($P109+$X109)*$V109,$P109*$V109),0)</f>
        <v>10250</v>
      </c>
      <c r="BN109" s="249">
        <f t="shared" si="43"/>
        <v>13550</v>
      </c>
      <c r="BO109" s="249">
        <f>IF(AND(BN109&gt;0,$N109&lt;&gt;""),IF((DATE(Assumptions!$B$4,9,28)-$N109)/365.25&lt;=Assumptions!$B$20,(DATE(Assumptions!$B$4,9,28)-$N109)/365.25*Assumptions!$B$18*BN109,(Assumptions!$B$20*Assumptions!$B$18+((DATE(Assumptions!$B$4,9,28)-$N109)/365.25-Assumptions!$B$20)*Assumptions!$B$19)*BN109),0)</f>
        <v>34867.368240930875</v>
      </c>
      <c r="BP109" s="249">
        <f>IF(BM109&gt;0,IF($M109="Saudi",MIN(BM109+$Q109*$V109,Assumptions!$B$14)*Assumptions!$B$12,MIN(BM109+$Q109*$V109,Assumptions!$B$14)*Assumptions!$B$13),0)</f>
        <v>0</v>
      </c>
      <c r="BQ109" s="249">
        <f>IF(AND(BM109&gt;0,$M109="Non-Saudi"),Assumptions!$B$25,0)</f>
        <v>910.41666666666663</v>
      </c>
      <c r="BR109" s="249">
        <f>IF(AND($D109="Contrat Local",$N109&lt;&gt;""),IF(AND(10&gt;=Assumptions!$B$5,ISNUMBER($X109),$N109&lt;EDATE(Assumptions!$B$9,-Assumptions!$B$6*12)),($P109+$X109)*$V109,$P109*$V109),0)</f>
        <v>10250</v>
      </c>
      <c r="BS109" s="249">
        <f t="shared" si="44"/>
        <v>13550</v>
      </c>
      <c r="BT109" s="249">
        <f>IF(AND(BS109&gt;0,$N109&lt;&gt;""),IF((DATE(Assumptions!$B$4,10,28)-$N109)/365.25&lt;=Assumptions!$B$20,(DATE(Assumptions!$B$4,10,28)-$N109)/365.25*Assumptions!$B$18*BS109,(Assumptions!$B$20*Assumptions!$B$18+((DATE(Assumptions!$B$4,10,28)-$N109)/365.25-Assumptions!$B$20)*Assumptions!$B$19)*BS109),0)</f>
        <v>35980.30458590007</v>
      </c>
      <c r="BU109" s="249">
        <f>IF(BR109&gt;0,IF($M109="Saudi",MIN(BR109+$Q109*$V109,Assumptions!$B$14)*Assumptions!$B$12,MIN(BR109+$Q109*$V109,Assumptions!$B$14)*Assumptions!$B$13),0)</f>
        <v>0</v>
      </c>
      <c r="BV109" s="249">
        <f>IF(AND(BR109&gt;0,$M109="Non-Saudi"),Assumptions!$B$25,0)</f>
        <v>910.41666666666663</v>
      </c>
      <c r="BW109" s="249">
        <f>IF(AND($D109="Contrat Local",$N109&lt;&gt;""),IF(AND(11&gt;=Assumptions!$B$5,ISNUMBER($X109),$N109&lt;EDATE(Assumptions!$B$9,-Assumptions!$B$6*12)),($P109+$X109)*$V109,$P109*$V109),0)</f>
        <v>10250</v>
      </c>
      <c r="BX109" s="249">
        <f t="shared" si="45"/>
        <v>13550</v>
      </c>
      <c r="BY109" s="249">
        <f>IF(AND(BX109&gt;0,$N109&lt;&gt;""),IF((DATE(Assumptions!$B$4,11,28)-$N109)/365.25&lt;=Assumptions!$B$20,(DATE(Assumptions!$B$4,11,28)-$N109)/365.25*Assumptions!$B$18*BX109,(Assumptions!$B$20*Assumptions!$B$18+((DATE(Assumptions!$B$4,11,28)-$N109)/365.25-Assumptions!$B$20)*Assumptions!$B$19)*BX109),0)</f>
        <v>37130.338809034904</v>
      </c>
      <c r="BZ109" s="249">
        <f>IF(BW109&gt;0,IF($M109="Saudi",MIN(BW109+$Q109*$V109,Assumptions!$B$14)*Assumptions!$B$12,MIN(BW109+$Q109*$V109,Assumptions!$B$14)*Assumptions!$B$13),0)</f>
        <v>0</v>
      </c>
      <c r="CA109" s="249">
        <f>IF(AND(BW109&gt;0,$M109="Non-Saudi"),Assumptions!$B$25,0)</f>
        <v>910.41666666666663</v>
      </c>
      <c r="CB109" s="249">
        <f>IF(AND($D109="Contrat Local",$N109&lt;&gt;""),IF(AND(12&gt;=Assumptions!$B$5,ISNUMBER($X109),$N109&lt;EDATE(Assumptions!$B$9,-Assumptions!$B$6*12)),($P109+$X109)*$V109,$P109*$V109),0)</f>
        <v>10250</v>
      </c>
      <c r="CC109" s="249">
        <f t="shared" si="46"/>
        <v>13550</v>
      </c>
      <c r="CD109" s="249">
        <f>IF(AND(CC109&gt;0,$N109&lt;&gt;""),IF((DATE(Assumptions!$B$4,12,28)-$N109)/365.25&lt;=Assumptions!$B$20,(DATE(Assumptions!$B$4,12,28)-$N109)/365.25*Assumptions!$B$18*CC109,(Assumptions!$B$20*Assumptions!$B$18+((DATE(Assumptions!$B$4,12,28)-$N109)/365.25-Assumptions!$B$20)*Assumptions!$B$19)*CC109),0)</f>
        <v>38243.275154004106</v>
      </c>
      <c r="CE109" s="249">
        <f>IF(CB109&gt;0,IF($M109="Saudi",MIN(CB109+$Q109*$V109,Assumptions!$B$14)*Assumptions!$B$12,MIN(CB109+$Q109*$V109,Assumptions!$B$14)*Assumptions!$B$13),0)</f>
        <v>0</v>
      </c>
      <c r="CF109" s="249">
        <f>IF(AND(CB109&gt;0,$M109="Non-Saudi"),Assumptions!$B$25,0)</f>
        <v>910.41666666666663</v>
      </c>
      <c r="CG109" s="249">
        <f t="shared" si="47"/>
        <v>121000</v>
      </c>
      <c r="CH109" s="249">
        <f t="shared" si="48"/>
        <v>160600</v>
      </c>
      <c r="CI109" s="249">
        <f>CD109-IF(AND(Z109&gt;0,$N109&lt;&gt;""),IF((DATE(Assumptions!$B$4-1,12,28)-$N109)/365.25&lt;=Assumptions!$B$20,(DATE(Assumptions!$B$4-1,12,28)-$N109)/365.25*Assumptions!$B$18*Z109,(Assumptions!$B$20*Assumptions!$B$18+((DATE(Assumptions!$B$4-1,12,28)-$N109)/365.25-Assumptions!$B$20)*Assumptions!$B$19)*Z109),0)</f>
        <v>9494.8836413415484</v>
      </c>
      <c r="CJ109" s="249">
        <f t="shared" si="49"/>
        <v>0</v>
      </c>
      <c r="CK109" s="249">
        <f t="shared" si="50"/>
        <v>10924.999999999998</v>
      </c>
    </row>
    <row r="110" spans="1:89" x14ac:dyDescent="0.2">
      <c r="A110" s="276">
        <v>110</v>
      </c>
      <c r="B110" s="277" t="s">
        <v>521</v>
      </c>
      <c r="C110" s="277" t="s">
        <v>522</v>
      </c>
      <c r="D110" s="277" t="s">
        <v>250</v>
      </c>
      <c r="E110" s="277" t="s">
        <v>767</v>
      </c>
      <c r="F110" s="277" t="s">
        <v>302</v>
      </c>
      <c r="G110" s="277" t="s">
        <v>303</v>
      </c>
      <c r="H110" s="277" t="s">
        <v>304</v>
      </c>
      <c r="I110" s="287" t="s">
        <v>691</v>
      </c>
      <c r="J110" s="277" t="s">
        <v>101</v>
      </c>
      <c r="K110" s="277" t="s">
        <v>254</v>
      </c>
      <c r="L110" s="277" t="s">
        <v>255</v>
      </c>
      <c r="M110" s="277" t="str">
        <f t="shared" si="51"/>
        <v>Non-Saudi</v>
      </c>
      <c r="N110" s="278">
        <v>44075</v>
      </c>
      <c r="O110" s="279">
        <v>6.3</v>
      </c>
      <c r="P110" s="280">
        <v>9500</v>
      </c>
      <c r="Q110" s="280">
        <v>2500</v>
      </c>
      <c r="R110" s="280">
        <v>500</v>
      </c>
      <c r="S110" s="280"/>
      <c r="T110" s="280">
        <v>1500</v>
      </c>
      <c r="U110" s="280">
        <v>14000</v>
      </c>
      <c r="V110" s="281">
        <v>1</v>
      </c>
      <c r="W110" s="277" t="s">
        <v>256</v>
      </c>
      <c r="X110" s="277">
        <v>250</v>
      </c>
      <c r="Y110" s="249">
        <f t="shared" si="27"/>
        <v>9500</v>
      </c>
      <c r="Z110" s="249">
        <f t="shared" si="28"/>
        <v>14000</v>
      </c>
      <c r="AA110" s="249">
        <f>IF(AND(Z110&gt;0,$N110&lt;&gt;""),IF((DATE(Assumptions!$B$4,1,28)-$N110)/365.25&lt;=Assumptions!$B$20,(DATE(Assumptions!$B$4,1,28)-$N110)/365.25*Assumptions!$B$18*Z110,(Assumptions!$B$20*Assumptions!$B$18+((DATE(Assumptions!$B$4,1,28)-$N110)/365.25-Assumptions!$B$20)*Assumptions!$B$19)*Z110),0)</f>
        <v>40701.574264202594</v>
      </c>
      <c r="AB110" s="249">
        <f>IF(Y110&gt;0,IF($M110="Saudi",MIN(Y110+$Q110*$V110,Assumptions!$B$14)*Assumptions!$B$12,MIN(Y110+$Q110*$V110,Assumptions!$B$14)*Assumptions!$B$13),0)</f>
        <v>0</v>
      </c>
      <c r="AC110" s="249">
        <f>IF(AND(Y110&gt;0,$M110="Non-Saudi"),Assumptions!$B$25,0)</f>
        <v>910.41666666666663</v>
      </c>
      <c r="AD110" s="249">
        <f t="shared" si="29"/>
        <v>9500</v>
      </c>
      <c r="AE110" s="249">
        <f t="shared" si="30"/>
        <v>14000</v>
      </c>
      <c r="AF110" s="249">
        <f>IF(AND(AE110&gt;0,$N110&lt;&gt;""),IF((DATE(Assumptions!$B$4,2,28)-$N110)/365.25&lt;=Assumptions!$B$20,(DATE(Assumptions!$B$4,2,28)-$N110)/365.25*Assumptions!$B$18*AE110,(Assumptions!$B$20*Assumptions!$B$18+((DATE(Assumptions!$B$4,2,28)-$N110)/365.25-Assumptions!$B$20)*Assumptions!$B$19)*AE110),0)</f>
        <v>41889.801505817937</v>
      </c>
      <c r="AG110" s="249">
        <f>IF(AD110&gt;0,IF($M110="Saudi",MIN(AD110+$Q110*$V110,Assumptions!$B$14)*Assumptions!$B$12,MIN(AD110+$Q110*$V110,Assumptions!$B$14)*Assumptions!$B$13),0)</f>
        <v>0</v>
      </c>
      <c r="AH110" s="249">
        <f>IF(AND(AD110&gt;0,$M110="Non-Saudi"),Assumptions!$B$25,0)</f>
        <v>910.41666666666663</v>
      </c>
      <c r="AI110" s="249">
        <f t="shared" si="31"/>
        <v>9500</v>
      </c>
      <c r="AJ110" s="249">
        <f t="shared" si="32"/>
        <v>14000</v>
      </c>
      <c r="AK110" s="249">
        <f>IF(AND(AJ110&gt;0,$N110&lt;&gt;""),IF((DATE(Assumptions!$B$4,3,28)-$N110)/365.25&lt;=Assumptions!$B$20,(DATE(Assumptions!$B$4,3,28)-$N110)/365.25*Assumptions!$B$18*AJ110,(Assumptions!$B$20*Assumptions!$B$18+((DATE(Assumptions!$B$4,3,28)-$N110)/365.25-Assumptions!$B$20)*Assumptions!$B$19)*AJ110),0)</f>
        <v>42963.039014373724</v>
      </c>
      <c r="AL110" s="249">
        <f>IF(AI110&gt;0,IF($M110="Saudi",MIN(AI110+$Q110*$V110,Assumptions!$B$14)*Assumptions!$B$12,MIN(AI110+$Q110*$V110,Assumptions!$B$14)*Assumptions!$B$13),0)</f>
        <v>0</v>
      </c>
      <c r="AM110" s="249">
        <f>IF(AND(AI110&gt;0,$M110="Non-Saudi"),Assumptions!$B$25,0)</f>
        <v>910.41666666666663</v>
      </c>
      <c r="AN110" s="249">
        <f t="shared" si="33"/>
        <v>9500</v>
      </c>
      <c r="AO110" s="249">
        <f t="shared" si="34"/>
        <v>14000</v>
      </c>
      <c r="AP110" s="249">
        <f>IF(AND(AO110&gt;0,$N110&lt;&gt;""),IF((DATE(Assumptions!$B$4,4,28)-$N110)/365.25&lt;=Assumptions!$B$20,(DATE(Assumptions!$B$4,4,28)-$N110)/365.25*Assumptions!$B$18*AO110,(Assumptions!$B$20*Assumptions!$B$18+((DATE(Assumptions!$B$4,4,28)-$N110)/365.25-Assumptions!$B$20)*Assumptions!$B$19)*AO110),0)</f>
        <v>44151.266255989052</v>
      </c>
      <c r="AQ110" s="249">
        <f>IF(AN110&gt;0,IF($M110="Saudi",MIN(AN110+$Q110*$V110,Assumptions!$B$14)*Assumptions!$B$12,MIN(AN110+$Q110*$V110,Assumptions!$B$14)*Assumptions!$B$13),0)</f>
        <v>0</v>
      </c>
      <c r="AR110" s="249">
        <f>IF(AND(AN110&gt;0,$M110="Non-Saudi"),Assumptions!$B$25,0)</f>
        <v>910.41666666666663</v>
      </c>
      <c r="AS110" s="249">
        <f t="shared" si="35"/>
        <v>9500</v>
      </c>
      <c r="AT110" s="249">
        <f t="shared" si="36"/>
        <v>14000</v>
      </c>
      <c r="AU110" s="249">
        <f>IF(AND(AT110&gt;0,$N110&lt;&gt;""),IF((DATE(Assumptions!$B$4,5,28)-$N110)/365.25&lt;=Assumptions!$B$20,(DATE(Assumptions!$B$4,5,28)-$N110)/365.25*Assumptions!$B$18*AT110,(Assumptions!$B$20*Assumptions!$B$18+((DATE(Assumptions!$B$4,5,28)-$N110)/365.25-Assumptions!$B$20)*Assumptions!$B$19)*AT110),0)</f>
        <v>45301.163586584531</v>
      </c>
      <c r="AV110" s="249">
        <f>IF(AS110&gt;0,IF($M110="Saudi",MIN(AS110+$Q110*$V110,Assumptions!$B$14)*Assumptions!$B$12,MIN(AS110+$Q110*$V110,Assumptions!$B$14)*Assumptions!$B$13),0)</f>
        <v>0</v>
      </c>
      <c r="AW110" s="249">
        <f>IF(AND(AS110&gt;0,$M110="Non-Saudi"),Assumptions!$B$25,0)</f>
        <v>910.41666666666663</v>
      </c>
      <c r="AX110" s="249">
        <f t="shared" si="37"/>
        <v>9500</v>
      </c>
      <c r="AY110" s="249">
        <f t="shared" si="38"/>
        <v>14000</v>
      </c>
      <c r="AZ110" s="249">
        <f>IF(AND(AY110&gt;0,$N110&lt;&gt;""),IF((DATE(Assumptions!$B$4,6,28)-$N110)/365.25&lt;=Assumptions!$B$20,(DATE(Assumptions!$B$4,6,28)-$N110)/365.25*Assumptions!$B$18*AY110,(Assumptions!$B$20*Assumptions!$B$18+((DATE(Assumptions!$B$4,6,28)-$N110)/365.25-Assumptions!$B$20)*Assumptions!$B$19)*AY110),0)</f>
        <v>46489.390828199859</v>
      </c>
      <c r="BA110" s="249">
        <f>IF(AX110&gt;0,IF($M110="Saudi",MIN(AX110+$Q110*$V110,Assumptions!$B$14)*Assumptions!$B$12,MIN(AX110+$Q110*$V110,Assumptions!$B$14)*Assumptions!$B$13),0)</f>
        <v>0</v>
      </c>
      <c r="BB110" s="249">
        <f>IF(AND(AX110&gt;0,$M110="Non-Saudi"),Assumptions!$B$25,0)</f>
        <v>910.41666666666663</v>
      </c>
      <c r="BC110" s="249">
        <f t="shared" si="39"/>
        <v>9500</v>
      </c>
      <c r="BD110" s="249">
        <f t="shared" si="40"/>
        <v>14000</v>
      </c>
      <c r="BE110" s="249">
        <f>IF(AND(BD110&gt;0,$N110&lt;&gt;""),IF((DATE(Assumptions!$B$4,7,28)-$N110)/365.25&lt;=Assumptions!$B$20,(DATE(Assumptions!$B$4,7,28)-$N110)/365.25*Assumptions!$B$18*BD110,(Assumptions!$B$20*Assumptions!$B$18+((DATE(Assumptions!$B$4,7,28)-$N110)/365.25-Assumptions!$B$20)*Assumptions!$B$19)*BD110),0)</f>
        <v>47639.288158795345</v>
      </c>
      <c r="BF110" s="249">
        <f>IF(BC110&gt;0,IF($M110="Saudi",MIN(BC110+$Q110*$V110,Assumptions!$B$14)*Assumptions!$B$12,MIN(BC110+$Q110*$V110,Assumptions!$B$14)*Assumptions!$B$13),0)</f>
        <v>0</v>
      </c>
      <c r="BG110" s="249">
        <f>IF(AND(BC110&gt;0,$M110="Non-Saudi"),Assumptions!$B$25,0)</f>
        <v>910.41666666666663</v>
      </c>
      <c r="BH110" s="249">
        <f t="shared" si="41"/>
        <v>9500</v>
      </c>
      <c r="BI110" s="249">
        <f t="shared" si="42"/>
        <v>14000</v>
      </c>
      <c r="BJ110" s="249">
        <f>IF(AND(BI110&gt;0,$N110&lt;&gt;""),IF((DATE(Assumptions!$B$4,8,28)-$N110)/365.25&lt;=Assumptions!$B$20,(DATE(Assumptions!$B$4,8,28)-$N110)/365.25*Assumptions!$B$18*BI110,(Assumptions!$B$20*Assumptions!$B$18+((DATE(Assumptions!$B$4,8,28)-$N110)/365.25-Assumptions!$B$20)*Assumptions!$B$19)*BI110),0)</f>
        <v>48827.515400410673</v>
      </c>
      <c r="BK110" s="249">
        <f>IF(BH110&gt;0,IF($M110="Saudi",MIN(BH110+$Q110*$V110,Assumptions!$B$14)*Assumptions!$B$12,MIN(BH110+$Q110*$V110,Assumptions!$B$14)*Assumptions!$B$13),0)</f>
        <v>0</v>
      </c>
      <c r="BL110" s="249">
        <f>IF(AND(BH110&gt;0,$M110="Non-Saudi"),Assumptions!$B$25,0)</f>
        <v>910.41666666666663</v>
      </c>
      <c r="BM110" s="249">
        <f>IF(AND($D110="Contrat Local",$N110&lt;&gt;""),IF(AND(9&gt;=Assumptions!$B$5,ISNUMBER($X110),$N110&lt;EDATE(Assumptions!$B$9,-Assumptions!$B$6*12)),($P110+$X110)*$V110,$P110*$V110),0)</f>
        <v>9750</v>
      </c>
      <c r="BN110" s="249">
        <f t="shared" si="43"/>
        <v>14250</v>
      </c>
      <c r="BO110" s="249">
        <f>IF(AND(BN110&gt;0,$N110&lt;&gt;""),IF((DATE(Assumptions!$B$4,9,28)-$N110)/365.25&lt;=Assumptions!$B$20,(DATE(Assumptions!$B$4,9,28)-$N110)/365.25*Assumptions!$B$18*BN110,(Assumptions!$B$20*Assumptions!$B$18+((DATE(Assumptions!$B$4,9,28)-$N110)/365.25-Assumptions!$B$20)*Assumptions!$B$19)*BN110),0)</f>
        <v>50908.880903490754</v>
      </c>
      <c r="BP110" s="249">
        <f>IF(BM110&gt;0,IF($M110="Saudi",MIN(BM110+$Q110*$V110,Assumptions!$B$14)*Assumptions!$B$12,MIN(BM110+$Q110*$V110,Assumptions!$B$14)*Assumptions!$B$13),0)</f>
        <v>0</v>
      </c>
      <c r="BQ110" s="249">
        <f>IF(AND(BM110&gt;0,$M110="Non-Saudi"),Assumptions!$B$25,0)</f>
        <v>910.41666666666663</v>
      </c>
      <c r="BR110" s="249">
        <f>IF(AND($D110="Contrat Local",$N110&lt;&gt;""),IF(AND(10&gt;=Assumptions!$B$5,ISNUMBER($X110),$N110&lt;EDATE(Assumptions!$B$9,-Assumptions!$B$6*12)),($P110+$X110)*$V110,$P110*$V110),0)</f>
        <v>9750</v>
      </c>
      <c r="BS110" s="249">
        <f t="shared" si="44"/>
        <v>14250</v>
      </c>
      <c r="BT110" s="249">
        <f>IF(AND(BS110&gt;0,$N110&lt;&gt;""),IF((DATE(Assumptions!$B$4,10,28)-$N110)/365.25&lt;=Assumptions!$B$20,(DATE(Assumptions!$B$4,10,28)-$N110)/365.25*Assumptions!$B$18*BS110,(Assumptions!$B$20*Assumptions!$B$18+((DATE(Assumptions!$B$4,10,28)-$N110)/365.25-Assumptions!$B$20)*Assumptions!$B$19)*BS110),0)</f>
        <v>52079.312114989734</v>
      </c>
      <c r="BU110" s="249">
        <f>IF(BR110&gt;0,IF($M110="Saudi",MIN(BR110+$Q110*$V110,Assumptions!$B$14)*Assumptions!$B$12,MIN(BR110+$Q110*$V110,Assumptions!$B$14)*Assumptions!$B$13),0)</f>
        <v>0</v>
      </c>
      <c r="BV110" s="249">
        <f>IF(AND(BR110&gt;0,$M110="Non-Saudi"),Assumptions!$B$25,0)</f>
        <v>910.41666666666663</v>
      </c>
      <c r="BW110" s="249">
        <f>IF(AND($D110="Contrat Local",$N110&lt;&gt;""),IF(AND(11&gt;=Assumptions!$B$5,ISNUMBER($X110),$N110&lt;EDATE(Assumptions!$B$9,-Assumptions!$B$6*12)),($P110+$X110)*$V110,$P110*$V110),0)</f>
        <v>9750</v>
      </c>
      <c r="BX110" s="249">
        <f t="shared" si="45"/>
        <v>14250</v>
      </c>
      <c r="BY110" s="249">
        <f>IF(AND(BX110&gt;0,$N110&lt;&gt;""),IF((DATE(Assumptions!$B$4,11,28)-$N110)/365.25&lt;=Assumptions!$B$20,(DATE(Assumptions!$B$4,11,28)-$N110)/365.25*Assumptions!$B$18*BX110,(Assumptions!$B$20*Assumptions!$B$18+((DATE(Assumptions!$B$4,11,28)-$N110)/365.25-Assumptions!$B$20)*Assumptions!$B$19)*BX110),0)</f>
        <v>53288.757700205344</v>
      </c>
      <c r="BZ110" s="249">
        <f>IF(BW110&gt;0,IF($M110="Saudi",MIN(BW110+$Q110*$V110,Assumptions!$B$14)*Assumptions!$B$12,MIN(BW110+$Q110*$V110,Assumptions!$B$14)*Assumptions!$B$13),0)</f>
        <v>0</v>
      </c>
      <c r="CA110" s="249">
        <f>IF(AND(BW110&gt;0,$M110="Non-Saudi"),Assumptions!$B$25,0)</f>
        <v>910.41666666666663</v>
      </c>
      <c r="CB110" s="249">
        <f>IF(AND($D110="Contrat Local",$N110&lt;&gt;""),IF(AND(12&gt;=Assumptions!$B$5,ISNUMBER($X110),$N110&lt;EDATE(Assumptions!$B$9,-Assumptions!$B$6*12)),($P110+$X110)*$V110,$P110*$V110),0)</f>
        <v>9750</v>
      </c>
      <c r="CC110" s="249">
        <f t="shared" si="46"/>
        <v>14250</v>
      </c>
      <c r="CD110" s="249">
        <f>IF(AND(CC110&gt;0,$N110&lt;&gt;""),IF((DATE(Assumptions!$B$4,12,28)-$N110)/365.25&lt;=Assumptions!$B$20,(DATE(Assumptions!$B$4,12,28)-$N110)/365.25*Assumptions!$B$18*CC110,(Assumptions!$B$20*Assumptions!$B$18+((DATE(Assumptions!$B$4,12,28)-$N110)/365.25-Assumptions!$B$20)*Assumptions!$B$19)*CC110),0)</f>
        <v>54459.18891170431</v>
      </c>
      <c r="CE110" s="249">
        <f>IF(CB110&gt;0,IF($M110="Saudi",MIN(CB110+$Q110*$V110,Assumptions!$B$14)*Assumptions!$B$12,MIN(CB110+$Q110*$V110,Assumptions!$B$14)*Assumptions!$B$13),0)</f>
        <v>0</v>
      </c>
      <c r="CF110" s="249">
        <f>IF(AND(CB110&gt;0,$M110="Non-Saudi"),Assumptions!$B$25,0)</f>
        <v>910.41666666666663</v>
      </c>
      <c r="CG110" s="249">
        <f t="shared" si="47"/>
        <v>115000</v>
      </c>
      <c r="CH110" s="249">
        <f t="shared" si="48"/>
        <v>169000</v>
      </c>
      <c r="CI110" s="249">
        <f>CD110-IF(AND(Z110&gt;0,$N110&lt;&gt;""),IF((DATE(Assumptions!$B$4-1,12,28)-$N110)/365.25&lt;=Assumptions!$B$20,(DATE(Assumptions!$B$4-1,12,28)-$N110)/365.25*Assumptions!$B$18*Z110,(Assumptions!$B$20*Assumptions!$B$18+((DATE(Assumptions!$B$4-1,12,28)-$N110)/365.25-Assumptions!$B$20)*Assumptions!$B$19)*Z110),0)</f>
        <v>14945.841889117044</v>
      </c>
      <c r="CJ110" s="249">
        <f t="shared" si="49"/>
        <v>0</v>
      </c>
      <c r="CK110" s="249">
        <f t="shared" si="50"/>
        <v>10924.999999999998</v>
      </c>
    </row>
    <row r="111" spans="1:89" x14ac:dyDescent="0.2">
      <c r="A111" s="270">
        <v>111</v>
      </c>
      <c r="B111" s="271" t="s">
        <v>523</v>
      </c>
      <c r="C111" s="271" t="s">
        <v>524</v>
      </c>
      <c r="D111" s="271" t="s">
        <v>250</v>
      </c>
      <c r="E111" s="271" t="s">
        <v>767</v>
      </c>
      <c r="F111" s="271" t="s">
        <v>322</v>
      </c>
      <c r="G111" s="271" t="s">
        <v>272</v>
      </c>
      <c r="H111" s="271" t="s">
        <v>323</v>
      </c>
      <c r="I111" s="285" t="s">
        <v>690</v>
      </c>
      <c r="J111" s="271"/>
      <c r="K111" s="271" t="s">
        <v>272</v>
      </c>
      <c r="L111" s="271" t="s">
        <v>255</v>
      </c>
      <c r="M111" s="271" t="str">
        <f t="shared" si="51"/>
        <v>Non-Saudi</v>
      </c>
      <c r="N111" s="272">
        <v>45901</v>
      </c>
      <c r="O111" s="273">
        <v>1.3</v>
      </c>
      <c r="P111" s="274">
        <v>8500</v>
      </c>
      <c r="Q111" s="274">
        <v>2500</v>
      </c>
      <c r="R111" s="274">
        <v>500</v>
      </c>
      <c r="S111" s="274"/>
      <c r="T111" s="274"/>
      <c r="U111" s="274">
        <v>11500</v>
      </c>
      <c r="V111" s="275">
        <v>1</v>
      </c>
      <c r="W111" s="271" t="s">
        <v>256</v>
      </c>
      <c r="X111" s="271" t="s">
        <v>268</v>
      </c>
      <c r="Y111" s="249">
        <f t="shared" si="27"/>
        <v>8500</v>
      </c>
      <c r="Z111" s="249">
        <f t="shared" si="28"/>
        <v>11500</v>
      </c>
      <c r="AA111" s="249">
        <f>IF(AND(Z111&gt;0,$N111&lt;&gt;""),IF((DATE(Assumptions!$B$4,1,28)-$N111)/365.25&lt;=Assumptions!$B$20,(DATE(Assumptions!$B$4,1,28)-$N111)/365.25*Assumptions!$B$18*Z111,(Assumptions!$B$20*Assumptions!$B$18+((DATE(Assumptions!$B$4,1,28)-$N111)/365.25-Assumptions!$B$20)*Assumptions!$B$19)*Z111),0)</f>
        <v>2345.653661875428</v>
      </c>
      <c r="AB111" s="249">
        <f>IF(Y111&gt;0,IF($M111="Saudi",MIN(Y111+$Q111*$V111,Assumptions!$B$14)*Assumptions!$B$12,MIN(Y111+$Q111*$V111,Assumptions!$B$14)*Assumptions!$B$13),0)</f>
        <v>0</v>
      </c>
      <c r="AC111" s="249">
        <f>IF(AND(Y111&gt;0,$M111="Non-Saudi"),Assumptions!$B$25,0)</f>
        <v>910.41666666666663</v>
      </c>
      <c r="AD111" s="249">
        <f t="shared" si="29"/>
        <v>8500</v>
      </c>
      <c r="AE111" s="249">
        <f t="shared" si="30"/>
        <v>11500</v>
      </c>
      <c r="AF111" s="249">
        <f>IF(AND(AE111&gt;0,$N111&lt;&gt;""),IF((DATE(Assumptions!$B$4,2,28)-$N111)/365.25&lt;=Assumptions!$B$20,(DATE(Assumptions!$B$4,2,28)-$N111)/365.25*Assumptions!$B$18*AE111,(Assumptions!$B$20*Assumptions!$B$18+((DATE(Assumptions!$B$4,2,28)-$N111)/365.25-Assumptions!$B$20)*Assumptions!$B$19)*AE111),0)</f>
        <v>2833.6755646817246</v>
      </c>
      <c r="AG111" s="249">
        <f>IF(AD111&gt;0,IF($M111="Saudi",MIN(AD111+$Q111*$V111,Assumptions!$B$14)*Assumptions!$B$12,MIN(AD111+$Q111*$V111,Assumptions!$B$14)*Assumptions!$B$13),0)</f>
        <v>0</v>
      </c>
      <c r="AH111" s="249">
        <f>IF(AND(AD111&gt;0,$M111="Non-Saudi"),Assumptions!$B$25,0)</f>
        <v>910.41666666666663</v>
      </c>
      <c r="AI111" s="249">
        <f t="shared" si="31"/>
        <v>8500</v>
      </c>
      <c r="AJ111" s="249">
        <f t="shared" si="32"/>
        <v>11500</v>
      </c>
      <c r="AK111" s="249">
        <f>IF(AND(AJ111&gt;0,$N111&lt;&gt;""),IF((DATE(Assumptions!$B$4,3,28)-$N111)/365.25&lt;=Assumptions!$B$20,(DATE(Assumptions!$B$4,3,28)-$N111)/365.25*Assumptions!$B$18*AJ111,(Assumptions!$B$20*Assumptions!$B$18+((DATE(Assumptions!$B$4,3,28)-$N111)/365.25-Assumptions!$B$20)*Assumptions!$B$19)*AJ111),0)</f>
        <v>3274.4695414099933</v>
      </c>
      <c r="AL111" s="249">
        <f>IF(AI111&gt;0,IF($M111="Saudi",MIN(AI111+$Q111*$V111,Assumptions!$B$14)*Assumptions!$B$12,MIN(AI111+$Q111*$V111,Assumptions!$B$14)*Assumptions!$B$13),0)</f>
        <v>0</v>
      </c>
      <c r="AM111" s="249">
        <f>IF(AND(AI111&gt;0,$M111="Non-Saudi"),Assumptions!$B$25,0)</f>
        <v>910.41666666666663</v>
      </c>
      <c r="AN111" s="249">
        <f t="shared" si="33"/>
        <v>8500</v>
      </c>
      <c r="AO111" s="249">
        <f t="shared" si="34"/>
        <v>11500</v>
      </c>
      <c r="AP111" s="249">
        <f>IF(AND(AO111&gt;0,$N111&lt;&gt;""),IF((DATE(Assumptions!$B$4,4,28)-$N111)/365.25&lt;=Assumptions!$B$20,(DATE(Assumptions!$B$4,4,28)-$N111)/365.25*Assumptions!$B$18*AO111,(Assumptions!$B$20*Assumptions!$B$18+((DATE(Assumptions!$B$4,4,28)-$N111)/365.25-Assumptions!$B$20)*Assumptions!$B$19)*AO111),0)</f>
        <v>3762.4914442162903</v>
      </c>
      <c r="AQ111" s="249">
        <f>IF(AN111&gt;0,IF($M111="Saudi",MIN(AN111+$Q111*$V111,Assumptions!$B$14)*Assumptions!$B$12,MIN(AN111+$Q111*$V111,Assumptions!$B$14)*Assumptions!$B$13),0)</f>
        <v>0</v>
      </c>
      <c r="AR111" s="249">
        <f>IF(AND(AN111&gt;0,$M111="Non-Saudi"),Assumptions!$B$25,0)</f>
        <v>910.41666666666663</v>
      </c>
      <c r="AS111" s="249">
        <f t="shared" si="35"/>
        <v>8500</v>
      </c>
      <c r="AT111" s="249">
        <f t="shared" si="36"/>
        <v>11500</v>
      </c>
      <c r="AU111" s="249">
        <f>IF(AND(AT111&gt;0,$N111&lt;&gt;""),IF((DATE(Assumptions!$B$4,5,28)-$N111)/365.25&lt;=Assumptions!$B$20,(DATE(Assumptions!$B$4,5,28)-$N111)/365.25*Assumptions!$B$18*AT111,(Assumptions!$B$20*Assumptions!$B$18+((DATE(Assumptions!$B$4,5,28)-$N111)/365.25-Assumptions!$B$20)*Assumptions!$B$19)*AT111),0)</f>
        <v>4234.7707049965775</v>
      </c>
      <c r="AV111" s="249">
        <f>IF(AS111&gt;0,IF($M111="Saudi",MIN(AS111+$Q111*$V111,Assumptions!$B$14)*Assumptions!$B$12,MIN(AS111+$Q111*$V111,Assumptions!$B$14)*Assumptions!$B$13),0)</f>
        <v>0</v>
      </c>
      <c r="AW111" s="249">
        <f>IF(AND(AS111&gt;0,$M111="Non-Saudi"),Assumptions!$B$25,0)</f>
        <v>910.41666666666663</v>
      </c>
      <c r="AX111" s="249">
        <f t="shared" si="37"/>
        <v>8500</v>
      </c>
      <c r="AY111" s="249">
        <f t="shared" si="38"/>
        <v>11500</v>
      </c>
      <c r="AZ111" s="249">
        <f>IF(AND(AY111&gt;0,$N111&lt;&gt;""),IF((DATE(Assumptions!$B$4,6,28)-$N111)/365.25&lt;=Assumptions!$B$20,(DATE(Assumptions!$B$4,6,28)-$N111)/365.25*Assumptions!$B$18*AY111,(Assumptions!$B$20*Assumptions!$B$18+((DATE(Assumptions!$B$4,6,28)-$N111)/365.25-Assumptions!$B$20)*Assumptions!$B$19)*AY111),0)</f>
        <v>4722.792607802875</v>
      </c>
      <c r="BA111" s="249">
        <f>IF(AX111&gt;0,IF($M111="Saudi",MIN(AX111+$Q111*$V111,Assumptions!$B$14)*Assumptions!$B$12,MIN(AX111+$Q111*$V111,Assumptions!$B$14)*Assumptions!$B$13),0)</f>
        <v>0</v>
      </c>
      <c r="BB111" s="249">
        <f>IF(AND(AX111&gt;0,$M111="Non-Saudi"),Assumptions!$B$25,0)</f>
        <v>910.41666666666663</v>
      </c>
      <c r="BC111" s="249">
        <f t="shared" si="39"/>
        <v>8500</v>
      </c>
      <c r="BD111" s="249">
        <f t="shared" si="40"/>
        <v>11500</v>
      </c>
      <c r="BE111" s="249">
        <f>IF(AND(BD111&gt;0,$N111&lt;&gt;""),IF((DATE(Assumptions!$B$4,7,28)-$N111)/365.25&lt;=Assumptions!$B$20,(DATE(Assumptions!$B$4,7,28)-$N111)/365.25*Assumptions!$B$18*BD111,(Assumptions!$B$20*Assumptions!$B$18+((DATE(Assumptions!$B$4,7,28)-$N111)/365.25-Assumptions!$B$20)*Assumptions!$B$19)*BD111),0)</f>
        <v>5195.0718685831616</v>
      </c>
      <c r="BF111" s="249">
        <f>IF(BC111&gt;0,IF($M111="Saudi",MIN(BC111+$Q111*$V111,Assumptions!$B$14)*Assumptions!$B$12,MIN(BC111+$Q111*$V111,Assumptions!$B$14)*Assumptions!$B$13),0)</f>
        <v>0</v>
      </c>
      <c r="BG111" s="249">
        <f>IF(AND(BC111&gt;0,$M111="Non-Saudi"),Assumptions!$B$25,0)</f>
        <v>910.41666666666663</v>
      </c>
      <c r="BH111" s="249">
        <f t="shared" si="41"/>
        <v>8500</v>
      </c>
      <c r="BI111" s="249">
        <f t="shared" si="42"/>
        <v>11500</v>
      </c>
      <c r="BJ111" s="249">
        <f>IF(AND(BI111&gt;0,$N111&lt;&gt;""),IF((DATE(Assumptions!$B$4,8,28)-$N111)/365.25&lt;=Assumptions!$B$20,(DATE(Assumptions!$B$4,8,28)-$N111)/365.25*Assumptions!$B$18*BI111,(Assumptions!$B$20*Assumptions!$B$18+((DATE(Assumptions!$B$4,8,28)-$N111)/365.25-Assumptions!$B$20)*Assumptions!$B$19)*BI111),0)</f>
        <v>5683.0937713894591</v>
      </c>
      <c r="BK111" s="249">
        <f>IF(BH111&gt;0,IF($M111="Saudi",MIN(BH111+$Q111*$V111,Assumptions!$B$14)*Assumptions!$B$12,MIN(BH111+$Q111*$V111,Assumptions!$B$14)*Assumptions!$B$13),0)</f>
        <v>0</v>
      </c>
      <c r="BL111" s="249">
        <f>IF(AND(BH111&gt;0,$M111="Non-Saudi"),Assumptions!$B$25,0)</f>
        <v>910.41666666666663</v>
      </c>
      <c r="BM111" s="249">
        <f>IF(AND($D111="Contrat Local",$N111&lt;&gt;""),IF(AND(9&gt;=Assumptions!$B$5,ISNUMBER($X111),$N111&lt;EDATE(Assumptions!$B$9,-Assumptions!$B$6*12)),($P111+$X111)*$V111,$P111*$V111),0)</f>
        <v>8500</v>
      </c>
      <c r="BN111" s="249">
        <f t="shared" si="43"/>
        <v>11500</v>
      </c>
      <c r="BO111" s="249">
        <f>IF(AND(BN111&gt;0,$N111&lt;&gt;""),IF((DATE(Assumptions!$B$4,9,28)-$N111)/365.25&lt;=Assumptions!$B$20,(DATE(Assumptions!$B$4,9,28)-$N111)/365.25*Assumptions!$B$18*BN111,(Assumptions!$B$20*Assumptions!$B$18+((DATE(Assumptions!$B$4,9,28)-$N111)/365.25-Assumptions!$B$20)*Assumptions!$B$19)*BN111),0)</f>
        <v>6171.1156741957566</v>
      </c>
      <c r="BP111" s="249">
        <f>IF(BM111&gt;0,IF($M111="Saudi",MIN(BM111+$Q111*$V111,Assumptions!$B$14)*Assumptions!$B$12,MIN(BM111+$Q111*$V111,Assumptions!$B$14)*Assumptions!$B$13),0)</f>
        <v>0</v>
      </c>
      <c r="BQ111" s="249">
        <f>IF(AND(BM111&gt;0,$M111="Non-Saudi"),Assumptions!$B$25,0)</f>
        <v>910.41666666666663</v>
      </c>
      <c r="BR111" s="249">
        <f>IF(AND($D111="Contrat Local",$N111&lt;&gt;""),IF(AND(10&gt;=Assumptions!$B$5,ISNUMBER($X111),$N111&lt;EDATE(Assumptions!$B$9,-Assumptions!$B$6*12)),($P111+$X111)*$V111,$P111*$V111),0)</f>
        <v>8500</v>
      </c>
      <c r="BS111" s="249">
        <f t="shared" si="44"/>
        <v>11500</v>
      </c>
      <c r="BT111" s="249">
        <f>IF(AND(BS111&gt;0,$N111&lt;&gt;""),IF((DATE(Assumptions!$B$4,10,28)-$N111)/365.25&lt;=Assumptions!$B$20,(DATE(Assumptions!$B$4,10,28)-$N111)/365.25*Assumptions!$B$18*BS111,(Assumptions!$B$20*Assumptions!$B$18+((DATE(Assumptions!$B$4,10,28)-$N111)/365.25-Assumptions!$B$20)*Assumptions!$B$19)*BS111),0)</f>
        <v>6643.3949349760442</v>
      </c>
      <c r="BU111" s="249">
        <f>IF(BR111&gt;0,IF($M111="Saudi",MIN(BR111+$Q111*$V111,Assumptions!$B$14)*Assumptions!$B$12,MIN(BR111+$Q111*$V111,Assumptions!$B$14)*Assumptions!$B$13),0)</f>
        <v>0</v>
      </c>
      <c r="BV111" s="249">
        <f>IF(AND(BR111&gt;0,$M111="Non-Saudi"),Assumptions!$B$25,0)</f>
        <v>910.41666666666663</v>
      </c>
      <c r="BW111" s="249">
        <f>IF(AND($D111="Contrat Local",$N111&lt;&gt;""),IF(AND(11&gt;=Assumptions!$B$5,ISNUMBER($X111),$N111&lt;EDATE(Assumptions!$B$9,-Assumptions!$B$6*12)),($P111+$X111)*$V111,$P111*$V111),0)</f>
        <v>8500</v>
      </c>
      <c r="BX111" s="249">
        <f t="shared" si="45"/>
        <v>11500</v>
      </c>
      <c r="BY111" s="249">
        <f>IF(AND(BX111&gt;0,$N111&lt;&gt;""),IF((DATE(Assumptions!$B$4,11,28)-$N111)/365.25&lt;=Assumptions!$B$20,(DATE(Assumptions!$B$4,11,28)-$N111)/365.25*Assumptions!$B$18*BX111,(Assumptions!$B$20*Assumptions!$B$18+((DATE(Assumptions!$B$4,11,28)-$N111)/365.25-Assumptions!$B$20)*Assumptions!$B$19)*BX111),0)</f>
        <v>7131.4168377823407</v>
      </c>
      <c r="BZ111" s="249">
        <f>IF(BW111&gt;0,IF($M111="Saudi",MIN(BW111+$Q111*$V111,Assumptions!$B$14)*Assumptions!$B$12,MIN(BW111+$Q111*$V111,Assumptions!$B$14)*Assumptions!$B$13),0)</f>
        <v>0</v>
      </c>
      <c r="CA111" s="249">
        <f>IF(AND(BW111&gt;0,$M111="Non-Saudi"),Assumptions!$B$25,0)</f>
        <v>910.41666666666663</v>
      </c>
      <c r="CB111" s="249">
        <f>IF(AND($D111="Contrat Local",$N111&lt;&gt;""),IF(AND(12&gt;=Assumptions!$B$5,ISNUMBER($X111),$N111&lt;EDATE(Assumptions!$B$9,-Assumptions!$B$6*12)),($P111+$X111)*$V111,$P111*$V111),0)</f>
        <v>8500</v>
      </c>
      <c r="CC111" s="249">
        <f t="shared" si="46"/>
        <v>11500</v>
      </c>
      <c r="CD111" s="249">
        <f>IF(AND(CC111&gt;0,$N111&lt;&gt;""),IF((DATE(Assumptions!$B$4,12,28)-$N111)/365.25&lt;=Assumptions!$B$20,(DATE(Assumptions!$B$4,12,28)-$N111)/365.25*Assumptions!$B$18*CC111,(Assumptions!$B$20*Assumptions!$B$18+((DATE(Assumptions!$B$4,12,28)-$N111)/365.25-Assumptions!$B$20)*Assumptions!$B$19)*CC111),0)</f>
        <v>7603.6960985626283</v>
      </c>
      <c r="CE111" s="249">
        <f>IF(CB111&gt;0,IF($M111="Saudi",MIN(CB111+$Q111*$V111,Assumptions!$B$14)*Assumptions!$B$12,MIN(CB111+$Q111*$V111,Assumptions!$B$14)*Assumptions!$B$13),0)</f>
        <v>0</v>
      </c>
      <c r="CF111" s="249">
        <f>IF(AND(CB111&gt;0,$M111="Non-Saudi"),Assumptions!$B$25,0)</f>
        <v>910.41666666666663</v>
      </c>
      <c r="CG111" s="249">
        <f t="shared" si="47"/>
        <v>102000</v>
      </c>
      <c r="CH111" s="249">
        <f t="shared" si="48"/>
        <v>138000</v>
      </c>
      <c r="CI111" s="249">
        <f>CD111-IF(AND(Z111&gt;0,$N111&lt;&gt;""),IF((DATE(Assumptions!$B$4-1,12,28)-$N111)/365.25&lt;=Assumptions!$B$20,(DATE(Assumptions!$B$4-1,12,28)-$N111)/365.25*Assumptions!$B$18*Z111,(Assumptions!$B$20*Assumptions!$B$18+((DATE(Assumptions!$B$4-1,12,28)-$N111)/365.25-Assumptions!$B$20)*Assumptions!$B$19)*Z111),0)</f>
        <v>5746.0643394934978</v>
      </c>
      <c r="CJ111" s="249">
        <f t="shared" si="49"/>
        <v>0</v>
      </c>
      <c r="CK111" s="249">
        <f t="shared" si="50"/>
        <v>10924.999999999998</v>
      </c>
    </row>
    <row r="112" spans="1:89" x14ac:dyDescent="0.2">
      <c r="A112" s="276">
        <v>112</v>
      </c>
      <c r="B112" s="277" t="s">
        <v>525</v>
      </c>
      <c r="C112" s="277" t="s">
        <v>526</v>
      </c>
      <c r="D112" s="277" t="s">
        <v>250</v>
      </c>
      <c r="E112" s="277" t="s">
        <v>767</v>
      </c>
      <c r="F112" s="277" t="s">
        <v>302</v>
      </c>
      <c r="G112" s="277" t="s">
        <v>303</v>
      </c>
      <c r="H112" s="277" t="s">
        <v>338</v>
      </c>
      <c r="I112" s="287" t="s">
        <v>691</v>
      </c>
      <c r="J112" s="277" t="s">
        <v>81</v>
      </c>
      <c r="K112" s="277" t="s">
        <v>254</v>
      </c>
      <c r="L112" s="277" t="s">
        <v>255</v>
      </c>
      <c r="M112" s="277" t="str">
        <f t="shared" si="51"/>
        <v>Non-Saudi</v>
      </c>
      <c r="N112" s="278">
        <v>44990</v>
      </c>
      <c r="O112" s="279">
        <v>3.8</v>
      </c>
      <c r="P112" s="280">
        <v>8750</v>
      </c>
      <c r="Q112" s="280">
        <v>2500</v>
      </c>
      <c r="R112" s="280">
        <v>500</v>
      </c>
      <c r="S112" s="280"/>
      <c r="T112" s="280">
        <v>500</v>
      </c>
      <c r="U112" s="280">
        <v>12250</v>
      </c>
      <c r="V112" s="281">
        <v>1</v>
      </c>
      <c r="W112" s="277" t="s">
        <v>256</v>
      </c>
      <c r="X112" s="277">
        <v>250</v>
      </c>
      <c r="Y112" s="249">
        <f t="shared" si="27"/>
        <v>8750</v>
      </c>
      <c r="Z112" s="249">
        <f t="shared" si="28"/>
        <v>12250</v>
      </c>
      <c r="AA112" s="249">
        <f>IF(AND(Z112&gt;0,$N112&lt;&gt;""),IF((DATE(Assumptions!$B$4,1,28)-$N112)/365.25&lt;=Assumptions!$B$20,(DATE(Assumptions!$B$4,1,28)-$N112)/365.25*Assumptions!$B$18*Z112,(Assumptions!$B$20*Assumptions!$B$18+((DATE(Assumptions!$B$4,1,28)-$N112)/365.25-Assumptions!$B$20)*Assumptions!$B$19)*Z112),0)</f>
        <v>17775.496235455168</v>
      </c>
      <c r="AB112" s="249">
        <f>IF(Y112&gt;0,IF($M112="Saudi",MIN(Y112+$Q112*$V112,Assumptions!$B$14)*Assumptions!$B$12,MIN(Y112+$Q112*$V112,Assumptions!$B$14)*Assumptions!$B$13),0)</f>
        <v>0</v>
      </c>
      <c r="AC112" s="249">
        <f>IF(AND(Y112&gt;0,$M112="Non-Saudi"),Assumptions!$B$25,0)</f>
        <v>910.41666666666663</v>
      </c>
      <c r="AD112" s="249">
        <f t="shared" si="29"/>
        <v>8750</v>
      </c>
      <c r="AE112" s="249">
        <f t="shared" si="30"/>
        <v>12250</v>
      </c>
      <c r="AF112" s="249">
        <f>IF(AND(AE112&gt;0,$N112&lt;&gt;""),IF((DATE(Assumptions!$B$4,2,28)-$N112)/365.25&lt;=Assumptions!$B$20,(DATE(Assumptions!$B$4,2,28)-$N112)/365.25*Assumptions!$B$18*AE112,(Assumptions!$B$20*Assumptions!$B$18+((DATE(Assumptions!$B$4,2,28)-$N112)/365.25-Assumptions!$B$20)*Assumptions!$B$19)*AE112),0)</f>
        <v>18295.345653661876</v>
      </c>
      <c r="AG112" s="249">
        <f>IF(AD112&gt;0,IF($M112="Saudi",MIN(AD112+$Q112*$V112,Assumptions!$B$14)*Assumptions!$B$12,MIN(AD112+$Q112*$V112,Assumptions!$B$14)*Assumptions!$B$13),0)</f>
        <v>0</v>
      </c>
      <c r="AH112" s="249">
        <f>IF(AND(AD112&gt;0,$M112="Non-Saudi"),Assumptions!$B$25,0)</f>
        <v>910.41666666666663</v>
      </c>
      <c r="AI112" s="249">
        <f t="shared" si="31"/>
        <v>8750</v>
      </c>
      <c r="AJ112" s="249">
        <f t="shared" si="32"/>
        <v>12250</v>
      </c>
      <c r="AK112" s="249">
        <f>IF(AND(AJ112&gt;0,$N112&lt;&gt;""),IF((DATE(Assumptions!$B$4,3,28)-$N112)/365.25&lt;=Assumptions!$B$20,(DATE(Assumptions!$B$4,3,28)-$N112)/365.25*Assumptions!$B$18*AJ112,(Assumptions!$B$20*Assumptions!$B$18+((DATE(Assumptions!$B$4,3,28)-$N112)/365.25-Assumptions!$B$20)*Assumptions!$B$19)*AJ112),0)</f>
        <v>18764.887063655031</v>
      </c>
      <c r="AL112" s="249">
        <f>IF(AI112&gt;0,IF($M112="Saudi",MIN(AI112+$Q112*$V112,Assumptions!$B$14)*Assumptions!$B$12,MIN(AI112+$Q112*$V112,Assumptions!$B$14)*Assumptions!$B$13),0)</f>
        <v>0</v>
      </c>
      <c r="AM112" s="249">
        <f>IF(AND(AI112&gt;0,$M112="Non-Saudi"),Assumptions!$B$25,0)</f>
        <v>910.41666666666663</v>
      </c>
      <c r="AN112" s="249">
        <f t="shared" si="33"/>
        <v>8750</v>
      </c>
      <c r="AO112" s="249">
        <f t="shared" si="34"/>
        <v>12250</v>
      </c>
      <c r="AP112" s="249">
        <f>IF(AND(AO112&gt;0,$N112&lt;&gt;""),IF((DATE(Assumptions!$B$4,4,28)-$N112)/365.25&lt;=Assumptions!$B$20,(DATE(Assumptions!$B$4,4,28)-$N112)/365.25*Assumptions!$B$18*AO112,(Assumptions!$B$20*Assumptions!$B$18+((DATE(Assumptions!$B$4,4,28)-$N112)/365.25-Assumptions!$B$20)*Assumptions!$B$19)*AO112),0)</f>
        <v>19284.736481861739</v>
      </c>
      <c r="AQ112" s="249">
        <f>IF(AN112&gt;0,IF($M112="Saudi",MIN(AN112+$Q112*$V112,Assumptions!$B$14)*Assumptions!$B$12,MIN(AN112+$Q112*$V112,Assumptions!$B$14)*Assumptions!$B$13),0)</f>
        <v>0</v>
      </c>
      <c r="AR112" s="249">
        <f>IF(AND(AN112&gt;0,$M112="Non-Saudi"),Assumptions!$B$25,0)</f>
        <v>910.41666666666663</v>
      </c>
      <c r="AS112" s="249">
        <f t="shared" si="35"/>
        <v>8750</v>
      </c>
      <c r="AT112" s="249">
        <f t="shared" si="36"/>
        <v>12250</v>
      </c>
      <c r="AU112" s="249">
        <f>IF(AND(AT112&gt;0,$N112&lt;&gt;""),IF((DATE(Assumptions!$B$4,5,28)-$N112)/365.25&lt;=Assumptions!$B$20,(DATE(Assumptions!$B$4,5,28)-$N112)/365.25*Assumptions!$B$18*AT112,(Assumptions!$B$20*Assumptions!$B$18+((DATE(Assumptions!$B$4,5,28)-$N112)/365.25-Assumptions!$B$20)*Assumptions!$B$19)*AT112),0)</f>
        <v>19787.816563997261</v>
      </c>
      <c r="AV112" s="249">
        <f>IF(AS112&gt;0,IF($M112="Saudi",MIN(AS112+$Q112*$V112,Assumptions!$B$14)*Assumptions!$B$12,MIN(AS112+$Q112*$V112,Assumptions!$B$14)*Assumptions!$B$13),0)</f>
        <v>0</v>
      </c>
      <c r="AW112" s="249">
        <f>IF(AND(AS112&gt;0,$M112="Non-Saudi"),Assumptions!$B$25,0)</f>
        <v>910.41666666666663</v>
      </c>
      <c r="AX112" s="249">
        <f t="shared" si="37"/>
        <v>8750</v>
      </c>
      <c r="AY112" s="249">
        <f t="shared" si="38"/>
        <v>12250</v>
      </c>
      <c r="AZ112" s="249">
        <f>IF(AND(AY112&gt;0,$N112&lt;&gt;""),IF((DATE(Assumptions!$B$4,6,28)-$N112)/365.25&lt;=Assumptions!$B$20,(DATE(Assumptions!$B$4,6,28)-$N112)/365.25*Assumptions!$B$18*AY112,(Assumptions!$B$20*Assumptions!$B$18+((DATE(Assumptions!$B$4,6,28)-$N112)/365.25-Assumptions!$B$20)*Assumptions!$B$19)*AY112),0)</f>
        <v>20307.665982203969</v>
      </c>
      <c r="BA112" s="249">
        <f>IF(AX112&gt;0,IF($M112="Saudi",MIN(AX112+$Q112*$V112,Assumptions!$B$14)*Assumptions!$B$12,MIN(AX112+$Q112*$V112,Assumptions!$B$14)*Assumptions!$B$13),0)</f>
        <v>0</v>
      </c>
      <c r="BB112" s="249">
        <f>IF(AND(AX112&gt;0,$M112="Non-Saudi"),Assumptions!$B$25,0)</f>
        <v>910.41666666666663</v>
      </c>
      <c r="BC112" s="249">
        <f t="shared" si="39"/>
        <v>8750</v>
      </c>
      <c r="BD112" s="249">
        <f t="shared" si="40"/>
        <v>12250</v>
      </c>
      <c r="BE112" s="249">
        <f>IF(AND(BD112&gt;0,$N112&lt;&gt;""),IF((DATE(Assumptions!$B$4,7,28)-$N112)/365.25&lt;=Assumptions!$B$20,(DATE(Assumptions!$B$4,7,28)-$N112)/365.25*Assumptions!$B$18*BD112,(Assumptions!$B$20*Assumptions!$B$18+((DATE(Assumptions!$B$4,7,28)-$N112)/365.25-Assumptions!$B$20)*Assumptions!$B$19)*BD112),0)</f>
        <v>20810.746064339492</v>
      </c>
      <c r="BF112" s="249">
        <f>IF(BC112&gt;0,IF($M112="Saudi",MIN(BC112+$Q112*$V112,Assumptions!$B$14)*Assumptions!$B$12,MIN(BC112+$Q112*$V112,Assumptions!$B$14)*Assumptions!$B$13),0)</f>
        <v>0</v>
      </c>
      <c r="BG112" s="249">
        <f>IF(AND(BC112&gt;0,$M112="Non-Saudi"),Assumptions!$B$25,0)</f>
        <v>910.41666666666663</v>
      </c>
      <c r="BH112" s="249">
        <f t="shared" si="41"/>
        <v>8750</v>
      </c>
      <c r="BI112" s="249">
        <f t="shared" si="42"/>
        <v>12250</v>
      </c>
      <c r="BJ112" s="249">
        <f>IF(AND(BI112&gt;0,$N112&lt;&gt;""),IF((DATE(Assumptions!$B$4,8,28)-$N112)/365.25&lt;=Assumptions!$B$20,(DATE(Assumptions!$B$4,8,28)-$N112)/365.25*Assumptions!$B$18*BI112,(Assumptions!$B$20*Assumptions!$B$18+((DATE(Assumptions!$B$4,8,28)-$N112)/365.25-Assumptions!$B$20)*Assumptions!$B$19)*BI112),0)</f>
        <v>21330.595482546203</v>
      </c>
      <c r="BK112" s="249">
        <f>IF(BH112&gt;0,IF($M112="Saudi",MIN(BH112+$Q112*$V112,Assumptions!$B$14)*Assumptions!$B$12,MIN(BH112+$Q112*$V112,Assumptions!$B$14)*Assumptions!$B$13),0)</f>
        <v>0</v>
      </c>
      <c r="BL112" s="249">
        <f>IF(AND(BH112&gt;0,$M112="Non-Saudi"),Assumptions!$B$25,0)</f>
        <v>910.41666666666663</v>
      </c>
      <c r="BM112" s="249">
        <f>IF(AND($D112="Contrat Local",$N112&lt;&gt;""),IF(AND(9&gt;=Assumptions!$B$5,ISNUMBER($X112),$N112&lt;EDATE(Assumptions!$B$9,-Assumptions!$B$6*12)),($P112+$X112)*$V112,$P112*$V112),0)</f>
        <v>9000</v>
      </c>
      <c r="BN112" s="249">
        <f t="shared" si="43"/>
        <v>12500</v>
      </c>
      <c r="BO112" s="249">
        <f>IF(AND(BN112&gt;0,$N112&lt;&gt;""),IF((DATE(Assumptions!$B$4,9,28)-$N112)/365.25&lt;=Assumptions!$B$20,(DATE(Assumptions!$B$4,9,28)-$N112)/365.25*Assumptions!$B$18*BN112,(Assumptions!$B$20*Assumptions!$B$18+((DATE(Assumptions!$B$4,9,28)-$N112)/365.25-Assumptions!$B$20)*Assumptions!$B$19)*BN112),0)</f>
        <v>22296.372347707049</v>
      </c>
      <c r="BP112" s="249">
        <f>IF(BM112&gt;0,IF($M112="Saudi",MIN(BM112+$Q112*$V112,Assumptions!$B$14)*Assumptions!$B$12,MIN(BM112+$Q112*$V112,Assumptions!$B$14)*Assumptions!$B$13),0)</f>
        <v>0</v>
      </c>
      <c r="BQ112" s="249">
        <f>IF(AND(BM112&gt;0,$M112="Non-Saudi"),Assumptions!$B$25,0)</f>
        <v>910.41666666666663</v>
      </c>
      <c r="BR112" s="249">
        <f>IF(AND($D112="Contrat Local",$N112&lt;&gt;""),IF(AND(10&gt;=Assumptions!$B$5,ISNUMBER($X112),$N112&lt;EDATE(Assumptions!$B$9,-Assumptions!$B$6*12)),($P112+$X112)*$V112,$P112*$V112),0)</f>
        <v>9000</v>
      </c>
      <c r="BS112" s="249">
        <f t="shared" si="44"/>
        <v>12500</v>
      </c>
      <c r="BT112" s="249">
        <f>IF(AND(BS112&gt;0,$N112&lt;&gt;""),IF((DATE(Assumptions!$B$4,10,28)-$N112)/365.25&lt;=Assumptions!$B$20,(DATE(Assumptions!$B$4,10,28)-$N112)/365.25*Assumptions!$B$18*BS112,(Assumptions!$B$20*Assumptions!$B$18+((DATE(Assumptions!$B$4,10,28)-$N112)/365.25-Assumptions!$B$20)*Assumptions!$B$19)*BS112),0)</f>
        <v>22809.719370294319</v>
      </c>
      <c r="BU112" s="249">
        <f>IF(BR112&gt;0,IF($M112="Saudi",MIN(BR112+$Q112*$V112,Assumptions!$B$14)*Assumptions!$B$12,MIN(BR112+$Q112*$V112,Assumptions!$B$14)*Assumptions!$B$13),0)</f>
        <v>0</v>
      </c>
      <c r="BV112" s="249">
        <f>IF(AND(BR112&gt;0,$M112="Non-Saudi"),Assumptions!$B$25,0)</f>
        <v>910.41666666666663</v>
      </c>
      <c r="BW112" s="249">
        <f>IF(AND($D112="Contrat Local",$N112&lt;&gt;""),IF(AND(11&gt;=Assumptions!$B$5,ISNUMBER($X112),$N112&lt;EDATE(Assumptions!$B$9,-Assumptions!$B$6*12)),($P112+$X112)*$V112,$P112*$V112),0)</f>
        <v>9000</v>
      </c>
      <c r="BX112" s="249">
        <f t="shared" si="45"/>
        <v>12500</v>
      </c>
      <c r="BY112" s="249">
        <f>IF(AND(BX112&gt;0,$N112&lt;&gt;""),IF((DATE(Assumptions!$B$4,11,28)-$N112)/365.25&lt;=Assumptions!$B$20,(DATE(Assumptions!$B$4,11,28)-$N112)/365.25*Assumptions!$B$18*BX112,(Assumptions!$B$20*Assumptions!$B$18+((DATE(Assumptions!$B$4,11,28)-$N112)/365.25-Assumptions!$B$20)*Assumptions!$B$19)*BX112),0)</f>
        <v>23340.177960301164</v>
      </c>
      <c r="BZ112" s="249">
        <f>IF(BW112&gt;0,IF($M112="Saudi",MIN(BW112+$Q112*$V112,Assumptions!$B$14)*Assumptions!$B$12,MIN(BW112+$Q112*$V112,Assumptions!$B$14)*Assumptions!$B$13),0)</f>
        <v>0</v>
      </c>
      <c r="CA112" s="249">
        <f>IF(AND(BW112&gt;0,$M112="Non-Saudi"),Assumptions!$B$25,0)</f>
        <v>910.41666666666663</v>
      </c>
      <c r="CB112" s="249">
        <f>IF(AND($D112="Contrat Local",$N112&lt;&gt;""),IF(AND(12&gt;=Assumptions!$B$5,ISNUMBER($X112),$N112&lt;EDATE(Assumptions!$B$9,-Assumptions!$B$6*12)),($P112+$X112)*$V112,$P112*$V112),0)</f>
        <v>9000</v>
      </c>
      <c r="CC112" s="249">
        <f t="shared" si="46"/>
        <v>12500</v>
      </c>
      <c r="CD112" s="249">
        <f>IF(AND(CC112&gt;0,$N112&lt;&gt;""),IF((DATE(Assumptions!$B$4,12,28)-$N112)/365.25&lt;=Assumptions!$B$20,(DATE(Assumptions!$B$4,12,28)-$N112)/365.25*Assumptions!$B$18*CC112,(Assumptions!$B$20*Assumptions!$B$18+((DATE(Assumptions!$B$4,12,28)-$N112)/365.25-Assumptions!$B$20)*Assumptions!$B$19)*CC112),0)</f>
        <v>23853.524982888433</v>
      </c>
      <c r="CE112" s="249">
        <f>IF(CB112&gt;0,IF($M112="Saudi",MIN(CB112+$Q112*$V112,Assumptions!$B$14)*Assumptions!$B$12,MIN(CB112+$Q112*$V112,Assumptions!$B$14)*Assumptions!$B$13),0)</f>
        <v>0</v>
      </c>
      <c r="CF112" s="249">
        <f>IF(AND(CB112&gt;0,$M112="Non-Saudi"),Assumptions!$B$25,0)</f>
        <v>910.41666666666663</v>
      </c>
      <c r="CG112" s="249">
        <f t="shared" si="47"/>
        <v>106000</v>
      </c>
      <c r="CH112" s="249">
        <f t="shared" si="48"/>
        <v>148000</v>
      </c>
      <c r="CI112" s="249">
        <f>CD112-IF(AND(Z112&gt;0,$N112&lt;&gt;""),IF((DATE(Assumptions!$B$4-1,12,28)-$N112)/365.25&lt;=Assumptions!$B$20,(DATE(Assumptions!$B$4-1,12,28)-$N112)/365.25*Assumptions!$B$18*Z112,(Assumptions!$B$20*Assumptions!$B$18+((DATE(Assumptions!$B$4-1,12,28)-$N112)/365.25-Assumptions!$B$20)*Assumptions!$B$19)*Z112),0)</f>
        <v>6597.8781656399733</v>
      </c>
      <c r="CJ112" s="249">
        <f t="shared" si="49"/>
        <v>0</v>
      </c>
      <c r="CK112" s="249">
        <f t="shared" si="50"/>
        <v>10924.999999999998</v>
      </c>
    </row>
    <row r="113" spans="1:89" x14ac:dyDescent="0.2">
      <c r="A113" s="276">
        <v>113</v>
      </c>
      <c r="B113" s="277" t="s">
        <v>527</v>
      </c>
      <c r="C113" s="277" t="s">
        <v>528</v>
      </c>
      <c r="D113" s="277" t="s">
        <v>250</v>
      </c>
      <c r="E113" s="277" t="s">
        <v>767</v>
      </c>
      <c r="F113" s="277" t="s">
        <v>315</v>
      </c>
      <c r="G113" s="277" t="s">
        <v>303</v>
      </c>
      <c r="H113" s="299" t="s">
        <v>44</v>
      </c>
      <c r="I113" s="287" t="s">
        <v>691</v>
      </c>
      <c r="J113" s="299" t="s">
        <v>68</v>
      </c>
      <c r="K113" s="277" t="s">
        <v>254</v>
      </c>
      <c r="L113" s="277" t="s">
        <v>255</v>
      </c>
      <c r="M113" s="277" t="str">
        <f t="shared" si="51"/>
        <v>Non-Saudi</v>
      </c>
      <c r="N113" s="278">
        <v>45901</v>
      </c>
      <c r="O113" s="279">
        <v>1.3</v>
      </c>
      <c r="P113" s="280">
        <v>4000</v>
      </c>
      <c r="Q113" s="280">
        <v>1250</v>
      </c>
      <c r="R113" s="280">
        <v>250</v>
      </c>
      <c r="S113" s="280"/>
      <c r="T113" s="280"/>
      <c r="U113" s="280">
        <v>5500</v>
      </c>
      <c r="V113" s="281">
        <v>0.5</v>
      </c>
      <c r="W113" s="277" t="s">
        <v>256</v>
      </c>
      <c r="X113" s="277" t="s">
        <v>268</v>
      </c>
      <c r="Y113" s="249">
        <f t="shared" si="27"/>
        <v>2000</v>
      </c>
      <c r="Z113" s="249">
        <f t="shared" si="28"/>
        <v>2750</v>
      </c>
      <c r="AA113" s="249">
        <f>IF(AND(Z113&gt;0,$N113&lt;&gt;""),IF((DATE(Assumptions!$B$4,1,28)-$N113)/365.25&lt;=Assumptions!$B$20,(DATE(Assumptions!$B$4,1,28)-$N113)/365.25*Assumptions!$B$18*Z113,(Assumptions!$B$20*Assumptions!$B$18+((DATE(Assumptions!$B$4,1,28)-$N113)/365.25-Assumptions!$B$20)*Assumptions!$B$19)*Z113),0)</f>
        <v>560.91718001368929</v>
      </c>
      <c r="AB113" s="249">
        <f>IF(Y113&gt;0,IF($M113="Saudi",MIN(Y113+$Q113*$V113,Assumptions!$B$14)*Assumptions!$B$12,MIN(Y113+$Q113*$V113,Assumptions!$B$14)*Assumptions!$B$13),0)</f>
        <v>0</v>
      </c>
      <c r="AC113" s="249">
        <f>IF(AND(Y113&gt;0,$M113="Non-Saudi"),Assumptions!$B$25,0)</f>
        <v>910.41666666666663</v>
      </c>
      <c r="AD113" s="249">
        <f t="shared" si="29"/>
        <v>2000</v>
      </c>
      <c r="AE113" s="249">
        <f t="shared" si="30"/>
        <v>2750</v>
      </c>
      <c r="AF113" s="249">
        <f>IF(AND(AE113&gt;0,$N113&lt;&gt;""),IF((DATE(Assumptions!$B$4,2,28)-$N113)/365.25&lt;=Assumptions!$B$20,(DATE(Assumptions!$B$4,2,28)-$N113)/365.25*Assumptions!$B$18*AE113,(Assumptions!$B$20*Assumptions!$B$18+((DATE(Assumptions!$B$4,2,28)-$N113)/365.25-Assumptions!$B$20)*Assumptions!$B$19)*AE113),0)</f>
        <v>677.61806981519499</v>
      </c>
      <c r="AG113" s="249">
        <f>IF(AD113&gt;0,IF($M113="Saudi",MIN(AD113+$Q113*$V113,Assumptions!$B$14)*Assumptions!$B$12,MIN(AD113+$Q113*$V113,Assumptions!$B$14)*Assumptions!$B$13),0)</f>
        <v>0</v>
      </c>
      <c r="AH113" s="249">
        <f>IF(AND(AD113&gt;0,$M113="Non-Saudi"),Assumptions!$B$25,0)</f>
        <v>910.41666666666663</v>
      </c>
      <c r="AI113" s="249">
        <f t="shared" si="31"/>
        <v>2000</v>
      </c>
      <c r="AJ113" s="249">
        <f t="shared" si="32"/>
        <v>2750</v>
      </c>
      <c r="AK113" s="249">
        <f>IF(AND(AJ113&gt;0,$N113&lt;&gt;""),IF((DATE(Assumptions!$B$4,3,28)-$N113)/365.25&lt;=Assumptions!$B$20,(DATE(Assumptions!$B$4,3,28)-$N113)/365.25*Assumptions!$B$18*AJ113,(Assumptions!$B$20*Assumptions!$B$18+((DATE(Assumptions!$B$4,3,28)-$N113)/365.25-Assumptions!$B$20)*Assumptions!$B$19)*AJ113),0)</f>
        <v>783.02532511978097</v>
      </c>
      <c r="AL113" s="249">
        <f>IF(AI113&gt;0,IF($M113="Saudi",MIN(AI113+$Q113*$V113,Assumptions!$B$14)*Assumptions!$B$12,MIN(AI113+$Q113*$V113,Assumptions!$B$14)*Assumptions!$B$13),0)</f>
        <v>0</v>
      </c>
      <c r="AM113" s="249">
        <f>IF(AND(AI113&gt;0,$M113="Non-Saudi"),Assumptions!$B$25,0)</f>
        <v>910.41666666666663</v>
      </c>
      <c r="AN113" s="249">
        <f t="shared" si="33"/>
        <v>2000</v>
      </c>
      <c r="AO113" s="249">
        <f t="shared" si="34"/>
        <v>2750</v>
      </c>
      <c r="AP113" s="249">
        <f>IF(AND(AO113&gt;0,$N113&lt;&gt;""),IF((DATE(Assumptions!$B$4,4,28)-$N113)/365.25&lt;=Assumptions!$B$20,(DATE(Assumptions!$B$4,4,28)-$N113)/365.25*Assumptions!$B$18*AO113,(Assumptions!$B$20*Assumptions!$B$18+((DATE(Assumptions!$B$4,4,28)-$N113)/365.25-Assumptions!$B$20)*Assumptions!$B$19)*AO113),0)</f>
        <v>899.72621492128678</v>
      </c>
      <c r="AQ113" s="249">
        <f>IF(AN113&gt;0,IF($M113="Saudi",MIN(AN113+$Q113*$V113,Assumptions!$B$14)*Assumptions!$B$12,MIN(AN113+$Q113*$V113,Assumptions!$B$14)*Assumptions!$B$13),0)</f>
        <v>0</v>
      </c>
      <c r="AR113" s="249">
        <f>IF(AND(AN113&gt;0,$M113="Non-Saudi"),Assumptions!$B$25,0)</f>
        <v>910.41666666666663</v>
      </c>
      <c r="AS113" s="249">
        <f t="shared" si="35"/>
        <v>2000</v>
      </c>
      <c r="AT113" s="249">
        <f t="shared" si="36"/>
        <v>2750</v>
      </c>
      <c r="AU113" s="249">
        <f>IF(AND(AT113&gt;0,$N113&lt;&gt;""),IF((DATE(Assumptions!$B$4,5,28)-$N113)/365.25&lt;=Assumptions!$B$20,(DATE(Assumptions!$B$4,5,28)-$N113)/365.25*Assumptions!$B$18*AT113,(Assumptions!$B$20*Assumptions!$B$18+((DATE(Assumptions!$B$4,5,28)-$N113)/365.25-Assumptions!$B$20)*Assumptions!$B$19)*AT113),0)</f>
        <v>1012.662559890486</v>
      </c>
      <c r="AV113" s="249">
        <f>IF(AS113&gt;0,IF($M113="Saudi",MIN(AS113+$Q113*$V113,Assumptions!$B$14)*Assumptions!$B$12,MIN(AS113+$Q113*$V113,Assumptions!$B$14)*Assumptions!$B$13),0)</f>
        <v>0</v>
      </c>
      <c r="AW113" s="249">
        <f>IF(AND(AS113&gt;0,$M113="Non-Saudi"),Assumptions!$B$25,0)</f>
        <v>910.41666666666663</v>
      </c>
      <c r="AX113" s="249">
        <f t="shared" si="37"/>
        <v>2000</v>
      </c>
      <c r="AY113" s="249">
        <f t="shared" si="38"/>
        <v>2750</v>
      </c>
      <c r="AZ113" s="249">
        <f>IF(AND(AY113&gt;0,$N113&lt;&gt;""),IF((DATE(Assumptions!$B$4,6,28)-$N113)/365.25&lt;=Assumptions!$B$20,(DATE(Assumptions!$B$4,6,28)-$N113)/365.25*Assumptions!$B$18*AY113,(Assumptions!$B$20*Assumptions!$B$18+((DATE(Assumptions!$B$4,6,28)-$N113)/365.25-Assumptions!$B$20)*Assumptions!$B$19)*AY113),0)</f>
        <v>1129.3634496919917</v>
      </c>
      <c r="BA113" s="249">
        <f>IF(AX113&gt;0,IF($M113="Saudi",MIN(AX113+$Q113*$V113,Assumptions!$B$14)*Assumptions!$B$12,MIN(AX113+$Q113*$V113,Assumptions!$B$14)*Assumptions!$B$13),0)</f>
        <v>0</v>
      </c>
      <c r="BB113" s="249">
        <f>IF(AND(AX113&gt;0,$M113="Non-Saudi"),Assumptions!$B$25,0)</f>
        <v>910.41666666666663</v>
      </c>
      <c r="BC113" s="249">
        <f t="shared" si="39"/>
        <v>2000</v>
      </c>
      <c r="BD113" s="249">
        <f t="shared" si="40"/>
        <v>2750</v>
      </c>
      <c r="BE113" s="249">
        <f>IF(AND(BD113&gt;0,$N113&lt;&gt;""),IF((DATE(Assumptions!$B$4,7,28)-$N113)/365.25&lt;=Assumptions!$B$20,(DATE(Assumptions!$B$4,7,28)-$N113)/365.25*Assumptions!$B$18*BD113,(Assumptions!$B$20*Assumptions!$B$18+((DATE(Assumptions!$B$4,7,28)-$N113)/365.25-Assumptions!$B$20)*Assumptions!$B$19)*BD113),0)</f>
        <v>1242.2997946611908</v>
      </c>
      <c r="BF113" s="249">
        <f>IF(BC113&gt;0,IF($M113="Saudi",MIN(BC113+$Q113*$V113,Assumptions!$B$14)*Assumptions!$B$12,MIN(BC113+$Q113*$V113,Assumptions!$B$14)*Assumptions!$B$13),0)</f>
        <v>0</v>
      </c>
      <c r="BG113" s="249">
        <f>IF(AND(BC113&gt;0,$M113="Non-Saudi"),Assumptions!$B$25,0)</f>
        <v>910.41666666666663</v>
      </c>
      <c r="BH113" s="249">
        <f t="shared" si="41"/>
        <v>2000</v>
      </c>
      <c r="BI113" s="249">
        <f t="shared" si="42"/>
        <v>2750</v>
      </c>
      <c r="BJ113" s="249">
        <f>IF(AND(BI113&gt;0,$N113&lt;&gt;""),IF((DATE(Assumptions!$B$4,8,28)-$N113)/365.25&lt;=Assumptions!$B$20,(DATE(Assumptions!$B$4,8,28)-$N113)/365.25*Assumptions!$B$18*BI113,(Assumptions!$B$20*Assumptions!$B$18+((DATE(Assumptions!$B$4,8,28)-$N113)/365.25-Assumptions!$B$20)*Assumptions!$B$19)*BI113),0)</f>
        <v>1359.0006844626969</v>
      </c>
      <c r="BK113" s="249">
        <f>IF(BH113&gt;0,IF($M113="Saudi",MIN(BH113+$Q113*$V113,Assumptions!$B$14)*Assumptions!$B$12,MIN(BH113+$Q113*$V113,Assumptions!$B$14)*Assumptions!$B$13),0)</f>
        <v>0</v>
      </c>
      <c r="BL113" s="249">
        <f>IF(AND(BH113&gt;0,$M113="Non-Saudi"),Assumptions!$B$25,0)</f>
        <v>910.41666666666663</v>
      </c>
      <c r="BM113" s="249">
        <f>IF(AND($D113="Contrat Local",$N113&lt;&gt;""),IF(AND(9&gt;=Assumptions!$B$5,ISNUMBER($X113),$N113&lt;EDATE(Assumptions!$B$9,-Assumptions!$B$6*12)),($P113+$X113)*$V113,$P113*$V113),0)</f>
        <v>2000</v>
      </c>
      <c r="BN113" s="249">
        <f t="shared" si="43"/>
        <v>2750</v>
      </c>
      <c r="BO113" s="249">
        <f>IF(AND(BN113&gt;0,$N113&lt;&gt;""),IF((DATE(Assumptions!$B$4,9,28)-$N113)/365.25&lt;=Assumptions!$B$20,(DATE(Assumptions!$B$4,9,28)-$N113)/365.25*Assumptions!$B$18*BN113,(Assumptions!$B$20*Assumptions!$B$18+((DATE(Assumptions!$B$4,9,28)-$N113)/365.25-Assumptions!$B$20)*Assumptions!$B$19)*BN113),0)</f>
        <v>1475.7015742642027</v>
      </c>
      <c r="BP113" s="249">
        <f>IF(BM113&gt;0,IF($M113="Saudi",MIN(BM113+$Q113*$V113,Assumptions!$B$14)*Assumptions!$B$12,MIN(BM113+$Q113*$V113,Assumptions!$B$14)*Assumptions!$B$13),0)</f>
        <v>0</v>
      </c>
      <c r="BQ113" s="249">
        <f>IF(AND(BM113&gt;0,$M113="Non-Saudi"),Assumptions!$B$25,0)</f>
        <v>910.41666666666663</v>
      </c>
      <c r="BR113" s="249">
        <f>IF(AND($D113="Contrat Local",$N113&lt;&gt;""),IF(AND(10&gt;=Assumptions!$B$5,ISNUMBER($X113),$N113&lt;EDATE(Assumptions!$B$9,-Assumptions!$B$6*12)),($P113+$X113)*$V113,$P113*$V113),0)</f>
        <v>2000</v>
      </c>
      <c r="BS113" s="249">
        <f t="shared" si="44"/>
        <v>2750</v>
      </c>
      <c r="BT113" s="249">
        <f>IF(AND(BS113&gt;0,$N113&lt;&gt;""),IF((DATE(Assumptions!$B$4,10,28)-$N113)/365.25&lt;=Assumptions!$B$20,(DATE(Assumptions!$B$4,10,28)-$N113)/365.25*Assumptions!$B$18*BS113,(Assumptions!$B$20*Assumptions!$B$18+((DATE(Assumptions!$B$4,10,28)-$N113)/365.25-Assumptions!$B$20)*Assumptions!$B$19)*BS113),0)</f>
        <v>1588.6379192334018</v>
      </c>
      <c r="BU113" s="249">
        <f>IF(BR113&gt;0,IF($M113="Saudi",MIN(BR113+$Q113*$V113,Assumptions!$B$14)*Assumptions!$B$12,MIN(BR113+$Q113*$V113,Assumptions!$B$14)*Assumptions!$B$13),0)</f>
        <v>0</v>
      </c>
      <c r="BV113" s="249">
        <f>IF(AND(BR113&gt;0,$M113="Non-Saudi"),Assumptions!$B$25,0)</f>
        <v>910.41666666666663</v>
      </c>
      <c r="BW113" s="249">
        <f>IF(AND($D113="Contrat Local",$N113&lt;&gt;""),IF(AND(11&gt;=Assumptions!$B$5,ISNUMBER($X113),$N113&lt;EDATE(Assumptions!$B$9,-Assumptions!$B$6*12)),($P113+$X113)*$V113,$P113*$V113),0)</f>
        <v>2000</v>
      </c>
      <c r="BX113" s="249">
        <f t="shared" si="45"/>
        <v>2750</v>
      </c>
      <c r="BY113" s="249">
        <f>IF(AND(BX113&gt;0,$N113&lt;&gt;""),IF((DATE(Assumptions!$B$4,11,28)-$N113)/365.25&lt;=Assumptions!$B$20,(DATE(Assumptions!$B$4,11,28)-$N113)/365.25*Assumptions!$B$18*BX113,(Assumptions!$B$20*Assumptions!$B$18+((DATE(Assumptions!$B$4,11,28)-$N113)/365.25-Assumptions!$B$20)*Assumptions!$B$19)*BX113),0)</f>
        <v>1705.3388090349076</v>
      </c>
      <c r="BZ113" s="249">
        <f>IF(BW113&gt;0,IF($M113="Saudi",MIN(BW113+$Q113*$V113,Assumptions!$B$14)*Assumptions!$B$12,MIN(BW113+$Q113*$V113,Assumptions!$B$14)*Assumptions!$B$13),0)</f>
        <v>0</v>
      </c>
      <c r="CA113" s="249">
        <f>IF(AND(BW113&gt;0,$M113="Non-Saudi"),Assumptions!$B$25,0)</f>
        <v>910.41666666666663</v>
      </c>
      <c r="CB113" s="249">
        <f>IF(AND($D113="Contrat Local",$N113&lt;&gt;""),IF(AND(12&gt;=Assumptions!$B$5,ISNUMBER($X113),$N113&lt;EDATE(Assumptions!$B$9,-Assumptions!$B$6*12)),($P113+$X113)*$V113,$P113*$V113),0)</f>
        <v>2000</v>
      </c>
      <c r="CC113" s="249">
        <f t="shared" si="46"/>
        <v>2750</v>
      </c>
      <c r="CD113" s="249">
        <f>IF(AND(CC113&gt;0,$N113&lt;&gt;""),IF((DATE(Assumptions!$B$4,12,28)-$N113)/365.25&lt;=Assumptions!$B$20,(DATE(Assumptions!$B$4,12,28)-$N113)/365.25*Assumptions!$B$18*CC113,(Assumptions!$B$20*Assumptions!$B$18+((DATE(Assumptions!$B$4,12,28)-$N113)/365.25-Assumptions!$B$20)*Assumptions!$B$19)*CC113),0)</f>
        <v>1818.2751540041068</v>
      </c>
      <c r="CE113" s="249">
        <f>IF(CB113&gt;0,IF($M113="Saudi",MIN(CB113+$Q113*$V113,Assumptions!$B$14)*Assumptions!$B$12,MIN(CB113+$Q113*$V113,Assumptions!$B$14)*Assumptions!$B$13),0)</f>
        <v>0</v>
      </c>
      <c r="CF113" s="249">
        <f>IF(AND(CB113&gt;0,$M113="Non-Saudi"),Assumptions!$B$25,0)</f>
        <v>910.41666666666663</v>
      </c>
      <c r="CG113" s="249">
        <f t="shared" si="47"/>
        <v>24000</v>
      </c>
      <c r="CH113" s="249">
        <f t="shared" si="48"/>
        <v>33000</v>
      </c>
      <c r="CI113" s="249">
        <f>CD113-IF(AND(Z113&gt;0,$N113&lt;&gt;""),IF((DATE(Assumptions!$B$4-1,12,28)-$N113)/365.25&lt;=Assumptions!$B$20,(DATE(Assumptions!$B$4-1,12,28)-$N113)/365.25*Assumptions!$B$18*Z113,(Assumptions!$B$20*Assumptions!$B$18+((DATE(Assumptions!$B$4-1,12,28)-$N113)/365.25-Assumptions!$B$20)*Assumptions!$B$19)*Z113),0)</f>
        <v>1374.0588637919234</v>
      </c>
      <c r="CJ113" s="249">
        <f t="shared" si="49"/>
        <v>0</v>
      </c>
      <c r="CK113" s="249">
        <f t="shared" si="50"/>
        <v>10924.999999999998</v>
      </c>
    </row>
    <row r="114" spans="1:89" x14ac:dyDescent="0.2">
      <c r="A114" s="276">
        <v>114</v>
      </c>
      <c r="B114" s="277" t="s">
        <v>529</v>
      </c>
      <c r="C114" s="277" t="s">
        <v>530</v>
      </c>
      <c r="D114" s="277" t="s">
        <v>250</v>
      </c>
      <c r="E114" s="277" t="s">
        <v>767</v>
      </c>
      <c r="F114" s="277" t="s">
        <v>302</v>
      </c>
      <c r="G114" s="277" t="s">
        <v>303</v>
      </c>
      <c r="H114" s="277" t="s">
        <v>349</v>
      </c>
      <c r="I114" s="287" t="s">
        <v>691</v>
      </c>
      <c r="J114" s="277" t="s">
        <v>73</v>
      </c>
      <c r="K114" s="277" t="s">
        <v>254</v>
      </c>
      <c r="L114" s="277" t="s">
        <v>255</v>
      </c>
      <c r="M114" s="277" t="str">
        <f t="shared" si="51"/>
        <v>Non-Saudi</v>
      </c>
      <c r="N114" s="278">
        <v>43344</v>
      </c>
      <c r="O114" s="279">
        <v>8.3000000000000007</v>
      </c>
      <c r="P114" s="280">
        <v>9750</v>
      </c>
      <c r="Q114" s="280">
        <v>2500</v>
      </c>
      <c r="R114" s="280">
        <v>500</v>
      </c>
      <c r="S114" s="280"/>
      <c r="T114" s="280">
        <v>2100</v>
      </c>
      <c r="U114" s="280">
        <v>14850</v>
      </c>
      <c r="V114" s="281">
        <v>1</v>
      </c>
      <c r="W114" s="277" t="s">
        <v>259</v>
      </c>
      <c r="X114" s="277">
        <v>250</v>
      </c>
      <c r="Y114" s="249">
        <f t="shared" si="27"/>
        <v>9750</v>
      </c>
      <c r="Z114" s="249">
        <f t="shared" si="28"/>
        <v>14850</v>
      </c>
      <c r="AA114" s="249">
        <f>IF(AND(Z114&gt;0,$N114&lt;&gt;""),IF((DATE(Assumptions!$B$4,1,28)-$N114)/365.25&lt;=Assumptions!$B$20,(DATE(Assumptions!$B$4,1,28)-$N114)/365.25*Assumptions!$B$18*Z114,(Assumptions!$B$20*Assumptions!$B$18+((DATE(Assumptions!$B$4,1,28)-$N114)/365.25-Assumptions!$B$20)*Assumptions!$B$19)*Z114),0)</f>
        <v>72893.069815195078</v>
      </c>
      <c r="AB114" s="249">
        <f>IF(Y114&gt;0,IF($M114="Saudi",MIN(Y114+$Q114*$V114,Assumptions!$B$14)*Assumptions!$B$12,MIN(Y114+$Q114*$V114,Assumptions!$B$14)*Assumptions!$B$13),0)</f>
        <v>0</v>
      </c>
      <c r="AC114" s="249">
        <f>IF(AND(Y114&gt;0,$M114="Non-Saudi"),Assumptions!$B$25,0)</f>
        <v>910.41666666666663</v>
      </c>
      <c r="AD114" s="249">
        <f t="shared" si="29"/>
        <v>9750</v>
      </c>
      <c r="AE114" s="249">
        <f t="shared" si="30"/>
        <v>14850</v>
      </c>
      <c r="AF114" s="249">
        <f>IF(AND(AE114&gt;0,$N114&lt;&gt;""),IF((DATE(Assumptions!$B$4,2,28)-$N114)/365.25&lt;=Assumptions!$B$20,(DATE(Assumptions!$B$4,2,28)-$N114)/365.25*Assumptions!$B$18*AE114,(Assumptions!$B$20*Assumptions!$B$18+((DATE(Assumptions!$B$4,2,28)-$N114)/365.25-Assumptions!$B$20)*Assumptions!$B$19)*AE114),0)</f>
        <v>74153.439425051329</v>
      </c>
      <c r="AG114" s="249">
        <f>IF(AD114&gt;0,IF($M114="Saudi",MIN(AD114+$Q114*$V114,Assumptions!$B$14)*Assumptions!$B$12,MIN(AD114+$Q114*$V114,Assumptions!$B$14)*Assumptions!$B$13),0)</f>
        <v>0</v>
      </c>
      <c r="AH114" s="249">
        <f>IF(AND(AD114&gt;0,$M114="Non-Saudi"),Assumptions!$B$25,0)</f>
        <v>910.41666666666663</v>
      </c>
      <c r="AI114" s="249">
        <f t="shared" si="31"/>
        <v>9750</v>
      </c>
      <c r="AJ114" s="249">
        <f t="shared" si="32"/>
        <v>14850</v>
      </c>
      <c r="AK114" s="249">
        <f>IF(AND(AJ114&gt;0,$N114&lt;&gt;""),IF((DATE(Assumptions!$B$4,3,28)-$N114)/365.25&lt;=Assumptions!$B$20,(DATE(Assumptions!$B$4,3,28)-$N114)/365.25*Assumptions!$B$18*AJ114,(Assumptions!$B$20*Assumptions!$B$18+((DATE(Assumptions!$B$4,3,28)-$N114)/365.25-Assumptions!$B$20)*Assumptions!$B$19)*AJ114),0)</f>
        <v>75291.837782340866</v>
      </c>
      <c r="AL114" s="249">
        <f>IF(AI114&gt;0,IF($M114="Saudi",MIN(AI114+$Q114*$V114,Assumptions!$B$14)*Assumptions!$B$12,MIN(AI114+$Q114*$V114,Assumptions!$B$14)*Assumptions!$B$13),0)</f>
        <v>0</v>
      </c>
      <c r="AM114" s="249">
        <f>IF(AND(AI114&gt;0,$M114="Non-Saudi"),Assumptions!$B$25,0)</f>
        <v>910.41666666666663</v>
      </c>
      <c r="AN114" s="249">
        <f t="shared" si="33"/>
        <v>9750</v>
      </c>
      <c r="AO114" s="249">
        <f t="shared" si="34"/>
        <v>14850</v>
      </c>
      <c r="AP114" s="249">
        <f>IF(AND(AO114&gt;0,$N114&lt;&gt;""),IF((DATE(Assumptions!$B$4,4,28)-$N114)/365.25&lt;=Assumptions!$B$20,(DATE(Assumptions!$B$4,4,28)-$N114)/365.25*Assumptions!$B$18*AO114,(Assumptions!$B$20*Assumptions!$B$18+((DATE(Assumptions!$B$4,4,28)-$N114)/365.25-Assumptions!$B$20)*Assumptions!$B$19)*AO114),0)</f>
        <v>76552.207392197117</v>
      </c>
      <c r="AQ114" s="249">
        <f>IF(AN114&gt;0,IF($M114="Saudi",MIN(AN114+$Q114*$V114,Assumptions!$B$14)*Assumptions!$B$12,MIN(AN114+$Q114*$V114,Assumptions!$B$14)*Assumptions!$B$13),0)</f>
        <v>0</v>
      </c>
      <c r="AR114" s="249">
        <f>IF(AND(AN114&gt;0,$M114="Non-Saudi"),Assumptions!$B$25,0)</f>
        <v>910.41666666666663</v>
      </c>
      <c r="AS114" s="249">
        <f t="shared" si="35"/>
        <v>9750</v>
      </c>
      <c r="AT114" s="249">
        <f t="shared" si="36"/>
        <v>14850</v>
      </c>
      <c r="AU114" s="249">
        <f>IF(AND(AT114&gt;0,$N114&lt;&gt;""),IF((DATE(Assumptions!$B$4,5,28)-$N114)/365.25&lt;=Assumptions!$B$20,(DATE(Assumptions!$B$4,5,28)-$N114)/365.25*Assumptions!$B$18*AT114,(Assumptions!$B$20*Assumptions!$B$18+((DATE(Assumptions!$B$4,5,28)-$N114)/365.25-Assumptions!$B$20)*Assumptions!$B$19)*AT114),0)</f>
        <v>77771.919917864478</v>
      </c>
      <c r="AV114" s="249">
        <f>IF(AS114&gt;0,IF($M114="Saudi",MIN(AS114+$Q114*$V114,Assumptions!$B$14)*Assumptions!$B$12,MIN(AS114+$Q114*$V114,Assumptions!$B$14)*Assumptions!$B$13),0)</f>
        <v>0</v>
      </c>
      <c r="AW114" s="249">
        <f>IF(AND(AS114&gt;0,$M114="Non-Saudi"),Assumptions!$B$25,0)</f>
        <v>910.41666666666663</v>
      </c>
      <c r="AX114" s="249">
        <f t="shared" si="37"/>
        <v>9750</v>
      </c>
      <c r="AY114" s="249">
        <f t="shared" si="38"/>
        <v>14850</v>
      </c>
      <c r="AZ114" s="249">
        <f>IF(AND(AY114&gt;0,$N114&lt;&gt;""),IF((DATE(Assumptions!$B$4,6,28)-$N114)/365.25&lt;=Assumptions!$B$20,(DATE(Assumptions!$B$4,6,28)-$N114)/365.25*Assumptions!$B$18*AY114,(Assumptions!$B$20*Assumptions!$B$18+((DATE(Assumptions!$B$4,6,28)-$N114)/365.25-Assumptions!$B$20)*Assumptions!$B$19)*AY114),0)</f>
        <v>79032.289527720743</v>
      </c>
      <c r="BA114" s="249">
        <f>IF(AX114&gt;0,IF($M114="Saudi",MIN(AX114+$Q114*$V114,Assumptions!$B$14)*Assumptions!$B$12,MIN(AX114+$Q114*$V114,Assumptions!$B$14)*Assumptions!$B$13),0)</f>
        <v>0</v>
      </c>
      <c r="BB114" s="249">
        <f>IF(AND(AX114&gt;0,$M114="Non-Saudi"),Assumptions!$B$25,0)</f>
        <v>910.41666666666663</v>
      </c>
      <c r="BC114" s="249">
        <f t="shared" si="39"/>
        <v>9750</v>
      </c>
      <c r="BD114" s="249">
        <f t="shared" si="40"/>
        <v>14850</v>
      </c>
      <c r="BE114" s="249">
        <f>IF(AND(BD114&gt;0,$N114&lt;&gt;""),IF((DATE(Assumptions!$B$4,7,28)-$N114)/365.25&lt;=Assumptions!$B$20,(DATE(Assumptions!$B$4,7,28)-$N114)/365.25*Assumptions!$B$18*BD114,(Assumptions!$B$20*Assumptions!$B$18+((DATE(Assumptions!$B$4,7,28)-$N114)/365.25-Assumptions!$B$20)*Assumptions!$B$19)*BD114),0)</f>
        <v>80252.002053388089</v>
      </c>
      <c r="BF114" s="249">
        <f>IF(BC114&gt;0,IF($M114="Saudi",MIN(BC114+$Q114*$V114,Assumptions!$B$14)*Assumptions!$B$12,MIN(BC114+$Q114*$V114,Assumptions!$B$14)*Assumptions!$B$13),0)</f>
        <v>0</v>
      </c>
      <c r="BG114" s="249">
        <f>IF(AND(BC114&gt;0,$M114="Non-Saudi"),Assumptions!$B$25,0)</f>
        <v>910.41666666666663</v>
      </c>
      <c r="BH114" s="249">
        <f t="shared" si="41"/>
        <v>9750</v>
      </c>
      <c r="BI114" s="249">
        <f t="shared" si="42"/>
        <v>14850</v>
      </c>
      <c r="BJ114" s="249">
        <f>IF(AND(BI114&gt;0,$N114&lt;&gt;""),IF((DATE(Assumptions!$B$4,8,28)-$N114)/365.25&lt;=Assumptions!$B$20,(DATE(Assumptions!$B$4,8,28)-$N114)/365.25*Assumptions!$B$18*BI114,(Assumptions!$B$20*Assumptions!$B$18+((DATE(Assumptions!$B$4,8,28)-$N114)/365.25-Assumptions!$B$20)*Assumptions!$B$19)*BI114),0)</f>
        <v>81512.371663244354</v>
      </c>
      <c r="BK114" s="249">
        <f>IF(BH114&gt;0,IF($M114="Saudi",MIN(BH114+$Q114*$V114,Assumptions!$B$14)*Assumptions!$B$12,MIN(BH114+$Q114*$V114,Assumptions!$B$14)*Assumptions!$B$13),0)</f>
        <v>0</v>
      </c>
      <c r="BL114" s="249">
        <f>IF(AND(BH114&gt;0,$M114="Non-Saudi"),Assumptions!$B$25,0)</f>
        <v>910.41666666666663</v>
      </c>
      <c r="BM114" s="249">
        <f>IF(AND($D114="Contrat Local",$N114&lt;&gt;""),IF(AND(9&gt;=Assumptions!$B$5,ISNUMBER($X114),$N114&lt;EDATE(Assumptions!$B$9,-Assumptions!$B$6*12)),($P114+$X114)*$V114,$P114*$V114),0)</f>
        <v>10000</v>
      </c>
      <c r="BN114" s="249">
        <f t="shared" si="43"/>
        <v>15100</v>
      </c>
      <c r="BO114" s="249">
        <f>IF(AND(BN114&gt;0,$N114&lt;&gt;""),IF((DATE(Assumptions!$B$4,9,28)-$N114)/365.25&lt;=Assumptions!$B$20,(DATE(Assumptions!$B$4,9,28)-$N114)/365.25*Assumptions!$B$18*BN114,(Assumptions!$B$20*Assumptions!$B$18+((DATE(Assumptions!$B$4,9,28)-$N114)/365.25-Assumptions!$B$20)*Assumptions!$B$19)*BN114),0)</f>
        <v>84166.221765913753</v>
      </c>
      <c r="BP114" s="249">
        <f>IF(BM114&gt;0,IF($M114="Saudi",MIN(BM114+$Q114*$V114,Assumptions!$B$14)*Assumptions!$B$12,MIN(BM114+$Q114*$V114,Assumptions!$B$14)*Assumptions!$B$13),0)</f>
        <v>0</v>
      </c>
      <c r="BQ114" s="249">
        <f>IF(AND(BM114&gt;0,$M114="Non-Saudi"),Assumptions!$B$25,0)</f>
        <v>910.41666666666663</v>
      </c>
      <c r="BR114" s="249">
        <f>IF(AND($D114="Contrat Local",$N114&lt;&gt;""),IF(AND(10&gt;=Assumptions!$B$5,ISNUMBER($X114),$N114&lt;EDATE(Assumptions!$B$9,-Assumptions!$B$6*12)),($P114+$X114)*$V114,$P114*$V114),0)</f>
        <v>10000</v>
      </c>
      <c r="BS114" s="249">
        <f t="shared" si="44"/>
        <v>15100</v>
      </c>
      <c r="BT114" s="249">
        <f>IF(AND(BS114&gt;0,$N114&lt;&gt;""),IF((DATE(Assumptions!$B$4,10,28)-$N114)/365.25&lt;=Assumptions!$B$20,(DATE(Assumptions!$B$4,10,28)-$N114)/365.25*Assumptions!$B$18*BS114,(Assumptions!$B$20*Assumptions!$B$18+((DATE(Assumptions!$B$4,10,28)-$N114)/365.25-Assumptions!$B$20)*Assumptions!$B$19)*BS114),0)</f>
        <v>85406.468172484616</v>
      </c>
      <c r="BU114" s="249">
        <f>IF(BR114&gt;0,IF($M114="Saudi",MIN(BR114+$Q114*$V114,Assumptions!$B$14)*Assumptions!$B$12,MIN(BR114+$Q114*$V114,Assumptions!$B$14)*Assumptions!$B$13),0)</f>
        <v>0</v>
      </c>
      <c r="BV114" s="249">
        <f>IF(AND(BR114&gt;0,$M114="Non-Saudi"),Assumptions!$B$25,0)</f>
        <v>910.41666666666663</v>
      </c>
      <c r="BW114" s="249">
        <f>IF(AND($D114="Contrat Local",$N114&lt;&gt;""),IF(AND(11&gt;=Assumptions!$B$5,ISNUMBER($X114),$N114&lt;EDATE(Assumptions!$B$9,-Assumptions!$B$6*12)),($P114+$X114)*$V114,$P114*$V114),0)</f>
        <v>10000</v>
      </c>
      <c r="BX114" s="249">
        <f t="shared" si="45"/>
        <v>15100</v>
      </c>
      <c r="BY114" s="249">
        <f>IF(AND(BX114&gt;0,$N114&lt;&gt;""),IF((DATE(Assumptions!$B$4,11,28)-$N114)/365.25&lt;=Assumptions!$B$20,(DATE(Assumptions!$B$4,11,28)-$N114)/365.25*Assumptions!$B$18*BX114,(Assumptions!$B$20*Assumptions!$B$18+((DATE(Assumptions!$B$4,11,28)-$N114)/365.25-Assumptions!$B$20)*Assumptions!$B$19)*BX114),0)</f>
        <v>86688.056125941148</v>
      </c>
      <c r="BZ114" s="249">
        <f>IF(BW114&gt;0,IF($M114="Saudi",MIN(BW114+$Q114*$V114,Assumptions!$B$14)*Assumptions!$B$12,MIN(BW114+$Q114*$V114,Assumptions!$B$14)*Assumptions!$B$13),0)</f>
        <v>0</v>
      </c>
      <c r="CA114" s="249">
        <f>IF(AND(BW114&gt;0,$M114="Non-Saudi"),Assumptions!$B$25,0)</f>
        <v>910.41666666666663</v>
      </c>
      <c r="CB114" s="249">
        <f>IF(AND($D114="Contrat Local",$N114&lt;&gt;""),IF(AND(12&gt;=Assumptions!$B$5,ISNUMBER($X114),$N114&lt;EDATE(Assumptions!$B$9,-Assumptions!$B$6*12)),($P114+$X114)*$V114,$P114*$V114),0)</f>
        <v>10000</v>
      </c>
      <c r="CC114" s="249">
        <f t="shared" si="46"/>
        <v>15100</v>
      </c>
      <c r="CD114" s="249">
        <f>IF(AND(CC114&gt;0,$N114&lt;&gt;""),IF((DATE(Assumptions!$B$4,12,28)-$N114)/365.25&lt;=Assumptions!$B$20,(DATE(Assumptions!$B$4,12,28)-$N114)/365.25*Assumptions!$B$18*CC114,(Assumptions!$B$20*Assumptions!$B$18+((DATE(Assumptions!$B$4,12,28)-$N114)/365.25-Assumptions!$B$20)*Assumptions!$B$19)*CC114),0)</f>
        <v>87928.302532511967</v>
      </c>
      <c r="CE114" s="249">
        <f>IF(CB114&gt;0,IF($M114="Saudi",MIN(CB114+$Q114*$V114,Assumptions!$B$14)*Assumptions!$B$12,MIN(CB114+$Q114*$V114,Assumptions!$B$14)*Assumptions!$B$13),0)</f>
        <v>0</v>
      </c>
      <c r="CF114" s="249">
        <f>IF(AND(CB114&gt;0,$M114="Non-Saudi"),Assumptions!$B$25,0)</f>
        <v>910.41666666666663</v>
      </c>
      <c r="CG114" s="249">
        <f t="shared" si="47"/>
        <v>118000</v>
      </c>
      <c r="CH114" s="249">
        <f t="shared" si="48"/>
        <v>179200</v>
      </c>
      <c r="CI114" s="249">
        <f>CD114-IF(AND(Z114&gt;0,$N114&lt;&gt;""),IF((DATE(Assumptions!$B$4-1,12,28)-$N114)/365.25&lt;=Assumptions!$B$20,(DATE(Assumptions!$B$4-1,12,28)-$N114)/365.25*Assumptions!$B$18*Z114,(Assumptions!$B$20*Assumptions!$B$18+((DATE(Assumptions!$B$4-1,12,28)-$N114)/365.25-Assumptions!$B$20)*Assumptions!$B$19)*Z114),0)</f>
        <v>16295.602327173154</v>
      </c>
      <c r="CJ114" s="249">
        <f t="shared" si="49"/>
        <v>0</v>
      </c>
      <c r="CK114" s="249">
        <f t="shared" si="50"/>
        <v>10924.999999999998</v>
      </c>
    </row>
    <row r="115" spans="1:89" x14ac:dyDescent="0.2">
      <c r="A115" s="270">
        <v>115</v>
      </c>
      <c r="B115" s="271" t="s">
        <v>531</v>
      </c>
      <c r="C115" s="271" t="s">
        <v>340</v>
      </c>
      <c r="D115" s="271" t="s">
        <v>250</v>
      </c>
      <c r="E115" s="271" t="s">
        <v>767</v>
      </c>
      <c r="F115" s="271" t="s">
        <v>532</v>
      </c>
      <c r="G115" s="271" t="s">
        <v>272</v>
      </c>
      <c r="H115" s="271" t="s">
        <v>493</v>
      </c>
      <c r="I115" s="285" t="s">
        <v>690</v>
      </c>
      <c r="J115" s="271"/>
      <c r="K115" s="271" t="s">
        <v>272</v>
      </c>
      <c r="L115" s="271" t="s">
        <v>255</v>
      </c>
      <c r="M115" s="271" t="str">
        <f t="shared" si="51"/>
        <v>Non-Saudi</v>
      </c>
      <c r="N115" s="272">
        <v>45907</v>
      </c>
      <c r="O115" s="273">
        <v>1.3</v>
      </c>
      <c r="P115" s="274">
        <v>9750</v>
      </c>
      <c r="Q115" s="274">
        <v>2500</v>
      </c>
      <c r="R115" s="274">
        <v>500</v>
      </c>
      <c r="S115" s="274"/>
      <c r="T115" s="274"/>
      <c r="U115" s="274">
        <v>12750</v>
      </c>
      <c r="V115" s="275">
        <v>1</v>
      </c>
      <c r="W115" s="271" t="s">
        <v>259</v>
      </c>
      <c r="X115" s="271" t="s">
        <v>268</v>
      </c>
      <c r="Y115" s="249">
        <f t="shared" si="27"/>
        <v>9750</v>
      </c>
      <c r="Z115" s="249">
        <f t="shared" si="28"/>
        <v>12750</v>
      </c>
      <c r="AA115" s="249">
        <f>IF(AND(Z115&gt;0,$N115&lt;&gt;""),IF((DATE(Assumptions!$B$4,1,28)-$N115)/365.25&lt;=Assumptions!$B$20,(DATE(Assumptions!$B$4,1,28)-$N115)/365.25*Assumptions!$B$18*Z115,(Assumptions!$B$20*Assumptions!$B$18+((DATE(Assumptions!$B$4,1,28)-$N115)/365.25-Assumptions!$B$20)*Assumptions!$B$19)*Z115),0)</f>
        <v>2495.893223819302</v>
      </c>
      <c r="AB115" s="249">
        <f>IF(Y115&gt;0,IF($M115="Saudi",MIN(Y115+$Q115*$V115,Assumptions!$B$14)*Assumptions!$B$12,MIN(Y115+$Q115*$V115,Assumptions!$B$14)*Assumptions!$B$13),0)</f>
        <v>0</v>
      </c>
      <c r="AC115" s="249">
        <f>IF(AND(Y115&gt;0,$M115="Non-Saudi"),Assumptions!$B$25,0)</f>
        <v>910.41666666666663</v>
      </c>
      <c r="AD115" s="249">
        <f t="shared" si="29"/>
        <v>9750</v>
      </c>
      <c r="AE115" s="249">
        <f t="shared" si="30"/>
        <v>12750</v>
      </c>
      <c r="AF115" s="249">
        <f>IF(AND(AE115&gt;0,$N115&lt;&gt;""),IF((DATE(Assumptions!$B$4,2,28)-$N115)/365.25&lt;=Assumptions!$B$20,(DATE(Assumptions!$B$4,2,28)-$N115)/365.25*Assumptions!$B$18*AE115,(Assumptions!$B$20*Assumptions!$B$18+((DATE(Assumptions!$B$4,2,28)-$N115)/365.25-Assumptions!$B$20)*Assumptions!$B$19)*AE115),0)</f>
        <v>3036.9609856262832</v>
      </c>
      <c r="AG115" s="249">
        <f>IF(AD115&gt;0,IF($M115="Saudi",MIN(AD115+$Q115*$V115,Assumptions!$B$14)*Assumptions!$B$12,MIN(AD115+$Q115*$V115,Assumptions!$B$14)*Assumptions!$B$13),0)</f>
        <v>0</v>
      </c>
      <c r="AH115" s="249">
        <f>IF(AND(AD115&gt;0,$M115="Non-Saudi"),Assumptions!$B$25,0)</f>
        <v>910.41666666666663</v>
      </c>
      <c r="AI115" s="249">
        <f t="shared" si="31"/>
        <v>9750</v>
      </c>
      <c r="AJ115" s="249">
        <f t="shared" si="32"/>
        <v>12750</v>
      </c>
      <c r="AK115" s="249">
        <f>IF(AND(AJ115&gt;0,$N115&lt;&gt;""),IF((DATE(Assumptions!$B$4,3,28)-$N115)/365.25&lt;=Assumptions!$B$20,(DATE(Assumptions!$B$4,3,28)-$N115)/365.25*Assumptions!$B$18*AJ115,(Assumptions!$B$20*Assumptions!$B$18+((DATE(Assumptions!$B$4,3,28)-$N115)/365.25-Assumptions!$B$20)*Assumptions!$B$19)*AJ115),0)</f>
        <v>3525.6673511293634</v>
      </c>
      <c r="AL115" s="249">
        <f>IF(AI115&gt;0,IF($M115="Saudi",MIN(AI115+$Q115*$V115,Assumptions!$B$14)*Assumptions!$B$12,MIN(AI115+$Q115*$V115,Assumptions!$B$14)*Assumptions!$B$13),0)</f>
        <v>0</v>
      </c>
      <c r="AM115" s="249">
        <f>IF(AND(AI115&gt;0,$M115="Non-Saudi"),Assumptions!$B$25,0)</f>
        <v>910.41666666666663</v>
      </c>
      <c r="AN115" s="249">
        <f t="shared" si="33"/>
        <v>9750</v>
      </c>
      <c r="AO115" s="249">
        <f t="shared" si="34"/>
        <v>12750</v>
      </c>
      <c r="AP115" s="249">
        <f>IF(AND(AO115&gt;0,$N115&lt;&gt;""),IF((DATE(Assumptions!$B$4,4,28)-$N115)/365.25&lt;=Assumptions!$B$20,(DATE(Assumptions!$B$4,4,28)-$N115)/365.25*Assumptions!$B$18*AO115,(Assumptions!$B$20*Assumptions!$B$18+((DATE(Assumptions!$B$4,4,28)-$N115)/365.25-Assumptions!$B$20)*Assumptions!$B$19)*AO115),0)</f>
        <v>4066.7351129363446</v>
      </c>
      <c r="AQ115" s="249">
        <f>IF(AN115&gt;0,IF($M115="Saudi",MIN(AN115+$Q115*$V115,Assumptions!$B$14)*Assumptions!$B$12,MIN(AN115+$Q115*$V115,Assumptions!$B$14)*Assumptions!$B$13),0)</f>
        <v>0</v>
      </c>
      <c r="AR115" s="249">
        <f>IF(AND(AN115&gt;0,$M115="Non-Saudi"),Assumptions!$B$25,0)</f>
        <v>910.41666666666663</v>
      </c>
      <c r="AS115" s="249">
        <f t="shared" si="35"/>
        <v>9750</v>
      </c>
      <c r="AT115" s="249">
        <f t="shared" si="36"/>
        <v>12750</v>
      </c>
      <c r="AU115" s="249">
        <f>IF(AND(AT115&gt;0,$N115&lt;&gt;""),IF((DATE(Assumptions!$B$4,5,28)-$N115)/365.25&lt;=Assumptions!$B$20,(DATE(Assumptions!$B$4,5,28)-$N115)/365.25*Assumptions!$B$18*AT115,(Assumptions!$B$20*Assumptions!$B$18+((DATE(Assumptions!$B$4,5,28)-$N115)/365.25-Assumptions!$B$20)*Assumptions!$B$19)*AT115),0)</f>
        <v>4590.3490759753595</v>
      </c>
      <c r="AV115" s="249">
        <f>IF(AS115&gt;0,IF($M115="Saudi",MIN(AS115+$Q115*$V115,Assumptions!$B$14)*Assumptions!$B$12,MIN(AS115+$Q115*$V115,Assumptions!$B$14)*Assumptions!$B$13),0)</f>
        <v>0</v>
      </c>
      <c r="AW115" s="249">
        <f>IF(AND(AS115&gt;0,$M115="Non-Saudi"),Assumptions!$B$25,0)</f>
        <v>910.41666666666663</v>
      </c>
      <c r="AX115" s="249">
        <f t="shared" si="37"/>
        <v>9750</v>
      </c>
      <c r="AY115" s="249">
        <f t="shared" si="38"/>
        <v>12750</v>
      </c>
      <c r="AZ115" s="249">
        <f>IF(AND(AY115&gt;0,$N115&lt;&gt;""),IF((DATE(Assumptions!$B$4,6,28)-$N115)/365.25&lt;=Assumptions!$B$20,(DATE(Assumptions!$B$4,6,28)-$N115)/365.25*Assumptions!$B$18*AY115,(Assumptions!$B$20*Assumptions!$B$18+((DATE(Assumptions!$B$4,6,28)-$N115)/365.25-Assumptions!$B$20)*Assumptions!$B$19)*AY115),0)</f>
        <v>5131.4168377823407</v>
      </c>
      <c r="BA115" s="249">
        <f>IF(AX115&gt;0,IF($M115="Saudi",MIN(AX115+$Q115*$V115,Assumptions!$B$14)*Assumptions!$B$12,MIN(AX115+$Q115*$V115,Assumptions!$B$14)*Assumptions!$B$13),0)</f>
        <v>0</v>
      </c>
      <c r="BB115" s="249">
        <f>IF(AND(AX115&gt;0,$M115="Non-Saudi"),Assumptions!$B$25,0)</f>
        <v>910.41666666666663</v>
      </c>
      <c r="BC115" s="249">
        <f t="shared" si="39"/>
        <v>9750</v>
      </c>
      <c r="BD115" s="249">
        <f t="shared" si="40"/>
        <v>12750</v>
      </c>
      <c r="BE115" s="249">
        <f>IF(AND(BD115&gt;0,$N115&lt;&gt;""),IF((DATE(Assumptions!$B$4,7,28)-$N115)/365.25&lt;=Assumptions!$B$20,(DATE(Assumptions!$B$4,7,28)-$N115)/365.25*Assumptions!$B$18*BD115,(Assumptions!$B$20*Assumptions!$B$18+((DATE(Assumptions!$B$4,7,28)-$N115)/365.25-Assumptions!$B$20)*Assumptions!$B$19)*BD115),0)</f>
        <v>5655.0308008213551</v>
      </c>
      <c r="BF115" s="249">
        <f>IF(BC115&gt;0,IF($M115="Saudi",MIN(BC115+$Q115*$V115,Assumptions!$B$14)*Assumptions!$B$12,MIN(BC115+$Q115*$V115,Assumptions!$B$14)*Assumptions!$B$13),0)</f>
        <v>0</v>
      </c>
      <c r="BG115" s="249">
        <f>IF(AND(BC115&gt;0,$M115="Non-Saudi"),Assumptions!$B$25,0)</f>
        <v>910.41666666666663</v>
      </c>
      <c r="BH115" s="249">
        <f t="shared" si="41"/>
        <v>9750</v>
      </c>
      <c r="BI115" s="249">
        <f t="shared" si="42"/>
        <v>12750</v>
      </c>
      <c r="BJ115" s="249">
        <f>IF(AND(BI115&gt;0,$N115&lt;&gt;""),IF((DATE(Assumptions!$B$4,8,28)-$N115)/365.25&lt;=Assumptions!$B$20,(DATE(Assumptions!$B$4,8,28)-$N115)/365.25*Assumptions!$B$18*BI115,(Assumptions!$B$20*Assumptions!$B$18+((DATE(Assumptions!$B$4,8,28)-$N115)/365.25-Assumptions!$B$20)*Assumptions!$B$19)*BI115),0)</f>
        <v>6196.0985626283364</v>
      </c>
      <c r="BK115" s="249">
        <f>IF(BH115&gt;0,IF($M115="Saudi",MIN(BH115+$Q115*$V115,Assumptions!$B$14)*Assumptions!$B$12,MIN(BH115+$Q115*$V115,Assumptions!$B$14)*Assumptions!$B$13),0)</f>
        <v>0</v>
      </c>
      <c r="BL115" s="249">
        <f>IF(AND(BH115&gt;0,$M115="Non-Saudi"),Assumptions!$B$25,0)</f>
        <v>910.41666666666663</v>
      </c>
      <c r="BM115" s="249">
        <f>IF(AND($D115="Contrat Local",$N115&lt;&gt;""),IF(AND(9&gt;=Assumptions!$B$5,ISNUMBER($X115),$N115&lt;EDATE(Assumptions!$B$9,-Assumptions!$B$6*12)),($P115+$X115)*$V115,$P115*$V115),0)</f>
        <v>9750</v>
      </c>
      <c r="BN115" s="249">
        <f t="shared" si="43"/>
        <v>12750</v>
      </c>
      <c r="BO115" s="249">
        <f>IF(AND(BN115&gt;0,$N115&lt;&gt;""),IF((DATE(Assumptions!$B$4,9,28)-$N115)/365.25&lt;=Assumptions!$B$20,(DATE(Assumptions!$B$4,9,28)-$N115)/365.25*Assumptions!$B$18*BN115,(Assumptions!$B$20*Assumptions!$B$18+((DATE(Assumptions!$B$4,9,28)-$N115)/365.25-Assumptions!$B$20)*Assumptions!$B$19)*BN115),0)</f>
        <v>6737.1663244353185</v>
      </c>
      <c r="BP115" s="249">
        <f>IF(BM115&gt;0,IF($M115="Saudi",MIN(BM115+$Q115*$V115,Assumptions!$B$14)*Assumptions!$B$12,MIN(BM115+$Q115*$V115,Assumptions!$B$14)*Assumptions!$B$13),0)</f>
        <v>0</v>
      </c>
      <c r="BQ115" s="249">
        <f>IF(AND(BM115&gt;0,$M115="Non-Saudi"),Assumptions!$B$25,0)</f>
        <v>910.41666666666663</v>
      </c>
      <c r="BR115" s="249">
        <f>IF(AND($D115="Contrat Local",$N115&lt;&gt;""),IF(AND(10&gt;=Assumptions!$B$5,ISNUMBER($X115),$N115&lt;EDATE(Assumptions!$B$9,-Assumptions!$B$6*12)),($P115+$X115)*$V115,$P115*$V115),0)</f>
        <v>9750</v>
      </c>
      <c r="BS115" s="249">
        <f t="shared" si="44"/>
        <v>12750</v>
      </c>
      <c r="BT115" s="249">
        <f>IF(AND(BS115&gt;0,$N115&lt;&gt;""),IF((DATE(Assumptions!$B$4,10,28)-$N115)/365.25&lt;=Assumptions!$B$20,(DATE(Assumptions!$B$4,10,28)-$N115)/365.25*Assumptions!$B$18*BS115,(Assumptions!$B$20*Assumptions!$B$18+((DATE(Assumptions!$B$4,10,28)-$N115)/365.25-Assumptions!$B$20)*Assumptions!$B$19)*BS115),0)</f>
        <v>7260.7802874743329</v>
      </c>
      <c r="BU115" s="249">
        <f>IF(BR115&gt;0,IF($M115="Saudi",MIN(BR115+$Q115*$V115,Assumptions!$B$14)*Assumptions!$B$12,MIN(BR115+$Q115*$V115,Assumptions!$B$14)*Assumptions!$B$13),0)</f>
        <v>0</v>
      </c>
      <c r="BV115" s="249">
        <f>IF(AND(BR115&gt;0,$M115="Non-Saudi"),Assumptions!$B$25,0)</f>
        <v>910.41666666666663</v>
      </c>
      <c r="BW115" s="249">
        <f>IF(AND($D115="Contrat Local",$N115&lt;&gt;""),IF(AND(11&gt;=Assumptions!$B$5,ISNUMBER($X115),$N115&lt;EDATE(Assumptions!$B$9,-Assumptions!$B$6*12)),($P115+$X115)*$V115,$P115*$V115),0)</f>
        <v>9750</v>
      </c>
      <c r="BX115" s="249">
        <f t="shared" si="45"/>
        <v>12750</v>
      </c>
      <c r="BY115" s="249">
        <f>IF(AND(BX115&gt;0,$N115&lt;&gt;""),IF((DATE(Assumptions!$B$4,11,28)-$N115)/365.25&lt;=Assumptions!$B$20,(DATE(Assumptions!$B$4,11,28)-$N115)/365.25*Assumptions!$B$18*BX115,(Assumptions!$B$20*Assumptions!$B$18+((DATE(Assumptions!$B$4,11,28)-$N115)/365.25-Assumptions!$B$20)*Assumptions!$B$19)*BX115),0)</f>
        <v>7801.8480492813142</v>
      </c>
      <c r="BZ115" s="249">
        <f>IF(BW115&gt;0,IF($M115="Saudi",MIN(BW115+$Q115*$V115,Assumptions!$B$14)*Assumptions!$B$12,MIN(BW115+$Q115*$V115,Assumptions!$B$14)*Assumptions!$B$13),0)</f>
        <v>0</v>
      </c>
      <c r="CA115" s="249">
        <f>IF(AND(BW115&gt;0,$M115="Non-Saudi"),Assumptions!$B$25,0)</f>
        <v>910.41666666666663</v>
      </c>
      <c r="CB115" s="249">
        <f>IF(AND($D115="Contrat Local",$N115&lt;&gt;""),IF(AND(12&gt;=Assumptions!$B$5,ISNUMBER($X115),$N115&lt;EDATE(Assumptions!$B$9,-Assumptions!$B$6*12)),($P115+$X115)*$V115,$P115*$V115),0)</f>
        <v>9750</v>
      </c>
      <c r="CC115" s="249">
        <f t="shared" si="46"/>
        <v>12750</v>
      </c>
      <c r="CD115" s="249">
        <f>IF(AND(CC115&gt;0,$N115&lt;&gt;""),IF((DATE(Assumptions!$B$4,12,28)-$N115)/365.25&lt;=Assumptions!$B$20,(DATE(Assumptions!$B$4,12,28)-$N115)/365.25*Assumptions!$B$18*CC115,(Assumptions!$B$20*Assumptions!$B$18+((DATE(Assumptions!$B$4,12,28)-$N115)/365.25-Assumptions!$B$20)*Assumptions!$B$19)*CC115),0)</f>
        <v>8325.4620123203294</v>
      </c>
      <c r="CE115" s="249">
        <f>IF(CB115&gt;0,IF($M115="Saudi",MIN(CB115+$Q115*$V115,Assumptions!$B$14)*Assumptions!$B$12,MIN(CB115+$Q115*$V115,Assumptions!$B$14)*Assumptions!$B$13),0)</f>
        <v>0</v>
      </c>
      <c r="CF115" s="249">
        <f>IF(AND(CB115&gt;0,$M115="Non-Saudi"),Assumptions!$B$25,0)</f>
        <v>910.41666666666663</v>
      </c>
      <c r="CG115" s="249">
        <f t="shared" si="47"/>
        <v>117000</v>
      </c>
      <c r="CH115" s="249">
        <f t="shared" si="48"/>
        <v>153000</v>
      </c>
      <c r="CI115" s="249">
        <f>CD115-IF(AND(Z115&gt;0,$N115&lt;&gt;""),IF((DATE(Assumptions!$B$4-1,12,28)-$N115)/365.25&lt;=Assumptions!$B$20,(DATE(Assumptions!$B$4-1,12,28)-$N115)/365.25*Assumptions!$B$18*Z115,(Assumptions!$B$20*Assumptions!$B$18+((DATE(Assumptions!$B$4-1,12,28)-$N115)/365.25-Assumptions!$B$20)*Assumptions!$B$19)*Z115),0)</f>
        <v>6370.6365503080087</v>
      </c>
      <c r="CJ115" s="249">
        <f t="shared" si="49"/>
        <v>0</v>
      </c>
      <c r="CK115" s="249">
        <f t="shared" si="50"/>
        <v>10924.999999999998</v>
      </c>
    </row>
    <row r="116" spans="1:89" x14ac:dyDescent="0.2">
      <c r="A116" s="252">
        <v>116</v>
      </c>
      <c r="B116" s="253" t="s">
        <v>533</v>
      </c>
      <c r="C116" s="253" t="s">
        <v>312</v>
      </c>
      <c r="D116" s="253" t="s">
        <v>250</v>
      </c>
      <c r="E116" s="253" t="s">
        <v>767</v>
      </c>
      <c r="F116" s="253" t="s">
        <v>534</v>
      </c>
      <c r="G116" s="253" t="s">
        <v>252</v>
      </c>
      <c r="H116" s="253" t="s">
        <v>535</v>
      </c>
      <c r="I116" s="282" t="s">
        <v>690</v>
      </c>
      <c r="J116" s="253"/>
      <c r="K116" s="253" t="s">
        <v>252</v>
      </c>
      <c r="L116" s="253" t="s">
        <v>255</v>
      </c>
      <c r="M116" s="253" t="str">
        <f t="shared" si="51"/>
        <v>Non-Saudi</v>
      </c>
      <c r="N116" s="254">
        <v>44805</v>
      </c>
      <c r="O116" s="255">
        <v>4.3</v>
      </c>
      <c r="P116" s="256">
        <v>6600</v>
      </c>
      <c r="Q116" s="256">
        <v>2500</v>
      </c>
      <c r="R116" s="256">
        <v>500</v>
      </c>
      <c r="S116" s="256"/>
      <c r="T116" s="256"/>
      <c r="U116" s="256">
        <v>9600</v>
      </c>
      <c r="V116" s="257">
        <v>1</v>
      </c>
      <c r="W116" s="253" t="s">
        <v>256</v>
      </c>
      <c r="X116" s="253">
        <v>200</v>
      </c>
      <c r="Y116" s="249">
        <f t="shared" si="27"/>
        <v>6600</v>
      </c>
      <c r="Z116" s="249">
        <f t="shared" si="28"/>
        <v>9600</v>
      </c>
      <c r="AA116" s="249">
        <f>IF(AND(Z116&gt;0,$N116&lt;&gt;""),IF((DATE(Assumptions!$B$4,1,28)-$N116)/365.25&lt;=Assumptions!$B$20,(DATE(Assumptions!$B$4,1,28)-$N116)/365.25*Assumptions!$B$18*Z116,(Assumptions!$B$20*Assumptions!$B$18+((DATE(Assumptions!$B$4,1,28)-$N116)/365.25-Assumptions!$B$20)*Assumptions!$B$19)*Z116),0)</f>
        <v>16361.396303901438</v>
      </c>
      <c r="AB116" s="249">
        <f>IF(Y116&gt;0,IF($M116="Saudi",MIN(Y116+$Q116*$V116,Assumptions!$B$14)*Assumptions!$B$12,MIN(Y116+$Q116*$V116,Assumptions!$B$14)*Assumptions!$B$13),0)</f>
        <v>0</v>
      </c>
      <c r="AC116" s="249">
        <f>IF(AND(Y116&gt;0,$M116="Non-Saudi"),Assumptions!$B$25,0)</f>
        <v>910.41666666666663</v>
      </c>
      <c r="AD116" s="249">
        <f t="shared" si="29"/>
        <v>6600</v>
      </c>
      <c r="AE116" s="249">
        <f t="shared" si="30"/>
        <v>9600</v>
      </c>
      <c r="AF116" s="249">
        <f>IF(AND(AE116&gt;0,$N116&lt;&gt;""),IF((DATE(Assumptions!$B$4,2,28)-$N116)/365.25&lt;=Assumptions!$B$20,(DATE(Assumptions!$B$4,2,28)-$N116)/365.25*Assumptions!$B$18*AE116,(Assumptions!$B$20*Assumptions!$B$18+((DATE(Assumptions!$B$4,2,28)-$N116)/365.25-Assumptions!$B$20)*Assumptions!$B$19)*AE116),0)</f>
        <v>16768.788501026695</v>
      </c>
      <c r="AG116" s="249">
        <f>IF(AD116&gt;0,IF($M116="Saudi",MIN(AD116+$Q116*$V116,Assumptions!$B$14)*Assumptions!$B$12,MIN(AD116+$Q116*$V116,Assumptions!$B$14)*Assumptions!$B$13),0)</f>
        <v>0</v>
      </c>
      <c r="AH116" s="249">
        <f>IF(AND(AD116&gt;0,$M116="Non-Saudi"),Assumptions!$B$25,0)</f>
        <v>910.41666666666663</v>
      </c>
      <c r="AI116" s="249">
        <f t="shared" si="31"/>
        <v>6600</v>
      </c>
      <c r="AJ116" s="249">
        <f t="shared" si="32"/>
        <v>9600</v>
      </c>
      <c r="AK116" s="249">
        <f>IF(AND(AJ116&gt;0,$N116&lt;&gt;""),IF((DATE(Assumptions!$B$4,3,28)-$N116)/365.25&lt;=Assumptions!$B$20,(DATE(Assumptions!$B$4,3,28)-$N116)/365.25*Assumptions!$B$18*AJ116,(Assumptions!$B$20*Assumptions!$B$18+((DATE(Assumptions!$B$4,3,28)-$N116)/365.25-Assumptions!$B$20)*Assumptions!$B$19)*AJ116),0)</f>
        <v>17136.755646817248</v>
      </c>
      <c r="AL116" s="249">
        <f>IF(AI116&gt;0,IF($M116="Saudi",MIN(AI116+$Q116*$V116,Assumptions!$B$14)*Assumptions!$B$12,MIN(AI116+$Q116*$V116,Assumptions!$B$14)*Assumptions!$B$13),0)</f>
        <v>0</v>
      </c>
      <c r="AM116" s="249">
        <f>IF(AND(AI116&gt;0,$M116="Non-Saudi"),Assumptions!$B$25,0)</f>
        <v>910.41666666666663</v>
      </c>
      <c r="AN116" s="249">
        <f t="shared" si="33"/>
        <v>6600</v>
      </c>
      <c r="AO116" s="249">
        <f t="shared" si="34"/>
        <v>9600</v>
      </c>
      <c r="AP116" s="249">
        <f>IF(AND(AO116&gt;0,$N116&lt;&gt;""),IF((DATE(Assumptions!$B$4,4,28)-$N116)/365.25&lt;=Assumptions!$B$20,(DATE(Assumptions!$B$4,4,28)-$N116)/365.25*Assumptions!$B$18*AO116,(Assumptions!$B$20*Assumptions!$B$18+((DATE(Assumptions!$B$4,4,28)-$N116)/365.25-Assumptions!$B$20)*Assumptions!$B$19)*AO116),0)</f>
        <v>17544.147843942505</v>
      </c>
      <c r="AQ116" s="249">
        <f>IF(AN116&gt;0,IF($M116="Saudi",MIN(AN116+$Q116*$V116,Assumptions!$B$14)*Assumptions!$B$12,MIN(AN116+$Q116*$V116,Assumptions!$B$14)*Assumptions!$B$13),0)</f>
        <v>0</v>
      </c>
      <c r="AR116" s="249">
        <f>IF(AND(AN116&gt;0,$M116="Non-Saudi"),Assumptions!$B$25,0)</f>
        <v>910.41666666666663</v>
      </c>
      <c r="AS116" s="249">
        <f t="shared" si="35"/>
        <v>6600</v>
      </c>
      <c r="AT116" s="249">
        <f t="shared" si="36"/>
        <v>9600</v>
      </c>
      <c r="AU116" s="249">
        <f>IF(AND(AT116&gt;0,$N116&lt;&gt;""),IF((DATE(Assumptions!$B$4,5,28)-$N116)/365.25&lt;=Assumptions!$B$20,(DATE(Assumptions!$B$4,5,28)-$N116)/365.25*Assumptions!$B$18*AT116,(Assumptions!$B$20*Assumptions!$B$18+((DATE(Assumptions!$B$4,5,28)-$N116)/365.25-Assumptions!$B$20)*Assumptions!$B$19)*AT116),0)</f>
        <v>17938.398357289527</v>
      </c>
      <c r="AV116" s="249">
        <f>IF(AS116&gt;0,IF($M116="Saudi",MIN(AS116+$Q116*$V116,Assumptions!$B$14)*Assumptions!$B$12,MIN(AS116+$Q116*$V116,Assumptions!$B$14)*Assumptions!$B$13),0)</f>
        <v>0</v>
      </c>
      <c r="AW116" s="249">
        <f>IF(AND(AS116&gt;0,$M116="Non-Saudi"),Assumptions!$B$25,0)</f>
        <v>910.41666666666663</v>
      </c>
      <c r="AX116" s="249">
        <f t="shared" si="37"/>
        <v>6600</v>
      </c>
      <c r="AY116" s="249">
        <f t="shared" si="38"/>
        <v>9600</v>
      </c>
      <c r="AZ116" s="249">
        <f>IF(AND(AY116&gt;0,$N116&lt;&gt;""),IF((DATE(Assumptions!$B$4,6,28)-$N116)/365.25&lt;=Assumptions!$B$20,(DATE(Assumptions!$B$4,6,28)-$N116)/365.25*Assumptions!$B$18*AY116,(Assumptions!$B$20*Assumptions!$B$18+((DATE(Assumptions!$B$4,6,28)-$N116)/365.25-Assumptions!$B$20)*Assumptions!$B$19)*AY116),0)</f>
        <v>18345.790554414783</v>
      </c>
      <c r="BA116" s="249">
        <f>IF(AX116&gt;0,IF($M116="Saudi",MIN(AX116+$Q116*$V116,Assumptions!$B$14)*Assumptions!$B$12,MIN(AX116+$Q116*$V116,Assumptions!$B$14)*Assumptions!$B$13),0)</f>
        <v>0</v>
      </c>
      <c r="BB116" s="249">
        <f>IF(AND(AX116&gt;0,$M116="Non-Saudi"),Assumptions!$B$25,0)</f>
        <v>910.41666666666663</v>
      </c>
      <c r="BC116" s="249">
        <f t="shared" si="39"/>
        <v>6600</v>
      </c>
      <c r="BD116" s="249">
        <f t="shared" si="40"/>
        <v>9600</v>
      </c>
      <c r="BE116" s="249">
        <f>IF(AND(BD116&gt;0,$N116&lt;&gt;""),IF((DATE(Assumptions!$B$4,7,28)-$N116)/365.25&lt;=Assumptions!$B$20,(DATE(Assumptions!$B$4,7,28)-$N116)/365.25*Assumptions!$B$18*BD116,(Assumptions!$B$20*Assumptions!$B$18+((DATE(Assumptions!$B$4,7,28)-$N116)/365.25-Assumptions!$B$20)*Assumptions!$B$19)*BD116),0)</f>
        <v>18740.041067761806</v>
      </c>
      <c r="BF116" s="249">
        <f>IF(BC116&gt;0,IF($M116="Saudi",MIN(BC116+$Q116*$V116,Assumptions!$B$14)*Assumptions!$B$12,MIN(BC116+$Q116*$V116,Assumptions!$B$14)*Assumptions!$B$13),0)</f>
        <v>0</v>
      </c>
      <c r="BG116" s="249">
        <f>IF(AND(BC116&gt;0,$M116="Non-Saudi"),Assumptions!$B$25,0)</f>
        <v>910.41666666666663</v>
      </c>
      <c r="BH116" s="249">
        <f t="shared" si="41"/>
        <v>6600</v>
      </c>
      <c r="BI116" s="249">
        <f t="shared" si="42"/>
        <v>9600</v>
      </c>
      <c r="BJ116" s="249">
        <f>IF(AND(BI116&gt;0,$N116&lt;&gt;""),IF((DATE(Assumptions!$B$4,8,28)-$N116)/365.25&lt;=Assumptions!$B$20,(DATE(Assumptions!$B$4,8,28)-$N116)/365.25*Assumptions!$B$18*BI116,(Assumptions!$B$20*Assumptions!$B$18+((DATE(Assumptions!$B$4,8,28)-$N116)/365.25-Assumptions!$B$20)*Assumptions!$B$19)*BI116),0)</f>
        <v>19147.433264887066</v>
      </c>
      <c r="BK116" s="249">
        <f>IF(BH116&gt;0,IF($M116="Saudi",MIN(BH116+$Q116*$V116,Assumptions!$B$14)*Assumptions!$B$12,MIN(BH116+$Q116*$V116,Assumptions!$B$14)*Assumptions!$B$13),0)</f>
        <v>0</v>
      </c>
      <c r="BL116" s="249">
        <f>IF(AND(BH116&gt;0,$M116="Non-Saudi"),Assumptions!$B$25,0)</f>
        <v>910.41666666666663</v>
      </c>
      <c r="BM116" s="249">
        <f>IF(AND($D116="Contrat Local",$N116&lt;&gt;""),IF(AND(9&gt;=Assumptions!$B$5,ISNUMBER($X116),$N116&lt;EDATE(Assumptions!$B$9,-Assumptions!$B$6*12)),($P116+$X116)*$V116,$P116*$V116),0)</f>
        <v>6800</v>
      </c>
      <c r="BN116" s="249">
        <f t="shared" si="43"/>
        <v>9800</v>
      </c>
      <c r="BO116" s="249">
        <f>IF(AND(BN116&gt;0,$N116&lt;&gt;""),IF((DATE(Assumptions!$B$4,9,28)-$N116)/365.25&lt;=Assumptions!$B$20,(DATE(Assumptions!$B$4,9,28)-$N116)/365.25*Assumptions!$B$18*BN116,(Assumptions!$B$20*Assumptions!$B$18+((DATE(Assumptions!$B$4,9,28)-$N116)/365.25-Assumptions!$B$20)*Assumptions!$B$19)*BN116),0)</f>
        <v>19962.217659137576</v>
      </c>
      <c r="BP116" s="249">
        <f>IF(BM116&gt;0,IF($M116="Saudi",MIN(BM116+$Q116*$V116,Assumptions!$B$14)*Assumptions!$B$12,MIN(BM116+$Q116*$V116,Assumptions!$B$14)*Assumptions!$B$13),0)</f>
        <v>0</v>
      </c>
      <c r="BQ116" s="249">
        <f>IF(AND(BM116&gt;0,$M116="Non-Saudi"),Assumptions!$B$25,0)</f>
        <v>910.41666666666663</v>
      </c>
      <c r="BR116" s="249">
        <f>IF(AND($D116="Contrat Local",$N116&lt;&gt;""),IF(AND(10&gt;=Assumptions!$B$5,ISNUMBER($X116),$N116&lt;EDATE(Assumptions!$B$9,-Assumptions!$B$6*12)),($P116+$X116)*$V116,$P116*$V116),0)</f>
        <v>6800</v>
      </c>
      <c r="BS116" s="249">
        <f t="shared" si="44"/>
        <v>9800</v>
      </c>
      <c r="BT116" s="249">
        <f>IF(AND(BS116&gt;0,$N116&lt;&gt;""),IF((DATE(Assumptions!$B$4,10,28)-$N116)/365.25&lt;=Assumptions!$B$20,(DATE(Assumptions!$B$4,10,28)-$N116)/365.25*Assumptions!$B$18*BS116,(Assumptions!$B$20*Assumptions!$B$18+((DATE(Assumptions!$B$4,10,28)-$N116)/365.25-Assumptions!$B$20)*Assumptions!$B$19)*BS116),0)</f>
        <v>20364.681724845996</v>
      </c>
      <c r="BU116" s="249">
        <f>IF(BR116&gt;0,IF($M116="Saudi",MIN(BR116+$Q116*$V116,Assumptions!$B$14)*Assumptions!$B$12,MIN(BR116+$Q116*$V116,Assumptions!$B$14)*Assumptions!$B$13),0)</f>
        <v>0</v>
      </c>
      <c r="BV116" s="249">
        <f>IF(AND(BR116&gt;0,$M116="Non-Saudi"),Assumptions!$B$25,0)</f>
        <v>910.41666666666663</v>
      </c>
      <c r="BW116" s="249">
        <f>IF(AND($D116="Contrat Local",$N116&lt;&gt;""),IF(AND(11&gt;=Assumptions!$B$5,ISNUMBER($X116),$N116&lt;EDATE(Assumptions!$B$9,-Assumptions!$B$6*12)),($P116+$X116)*$V116,$P116*$V116),0)</f>
        <v>6800</v>
      </c>
      <c r="BX116" s="249">
        <f t="shared" si="45"/>
        <v>9800</v>
      </c>
      <c r="BY116" s="249">
        <f>IF(AND(BX116&gt;0,$N116&lt;&gt;""),IF((DATE(Assumptions!$B$4,11,28)-$N116)/365.25&lt;=Assumptions!$B$20,(DATE(Assumptions!$B$4,11,28)-$N116)/365.25*Assumptions!$B$18*BX116,(Assumptions!$B$20*Assumptions!$B$18+((DATE(Assumptions!$B$4,11,28)-$N116)/365.25-Assumptions!$B$20)*Assumptions!$B$19)*BX116),0)</f>
        <v>20780.561259411359</v>
      </c>
      <c r="BZ116" s="249">
        <f>IF(BW116&gt;0,IF($M116="Saudi",MIN(BW116+$Q116*$V116,Assumptions!$B$14)*Assumptions!$B$12,MIN(BW116+$Q116*$V116,Assumptions!$B$14)*Assumptions!$B$13),0)</f>
        <v>0</v>
      </c>
      <c r="CA116" s="249">
        <f>IF(AND(BW116&gt;0,$M116="Non-Saudi"),Assumptions!$B$25,0)</f>
        <v>910.41666666666663</v>
      </c>
      <c r="CB116" s="249">
        <f>IF(AND($D116="Contrat Local",$N116&lt;&gt;""),IF(AND(12&gt;=Assumptions!$B$5,ISNUMBER($X116),$N116&lt;EDATE(Assumptions!$B$9,-Assumptions!$B$6*12)),($P116+$X116)*$V116,$P116*$V116),0)</f>
        <v>6800</v>
      </c>
      <c r="CC116" s="249">
        <f t="shared" si="46"/>
        <v>9800</v>
      </c>
      <c r="CD116" s="249">
        <f>IF(AND(CC116&gt;0,$N116&lt;&gt;""),IF((DATE(Assumptions!$B$4,12,28)-$N116)/365.25&lt;=Assumptions!$B$20,(DATE(Assumptions!$B$4,12,28)-$N116)/365.25*Assumptions!$B$18*CC116,(Assumptions!$B$20*Assumptions!$B$18+((DATE(Assumptions!$B$4,12,28)-$N116)/365.25-Assumptions!$B$20)*Assumptions!$B$19)*CC116),0)</f>
        <v>21183.025325119779</v>
      </c>
      <c r="CE116" s="249">
        <f>IF(CB116&gt;0,IF($M116="Saudi",MIN(CB116+$Q116*$V116,Assumptions!$B$14)*Assumptions!$B$12,MIN(CB116+$Q116*$V116,Assumptions!$B$14)*Assumptions!$B$13),0)</f>
        <v>0</v>
      </c>
      <c r="CF116" s="249">
        <f>IF(AND(CB116&gt;0,$M116="Non-Saudi"),Assumptions!$B$25,0)</f>
        <v>910.41666666666663</v>
      </c>
      <c r="CG116" s="249">
        <f t="shared" si="47"/>
        <v>80000</v>
      </c>
      <c r="CH116" s="249">
        <f t="shared" si="48"/>
        <v>116000</v>
      </c>
      <c r="CI116" s="249">
        <f>CD116-IF(AND(Z116&gt;0,$N116&lt;&gt;""),IF((DATE(Assumptions!$B$4-1,12,28)-$N116)/365.25&lt;=Assumptions!$B$20,(DATE(Assumptions!$B$4-1,12,28)-$N116)/365.25*Assumptions!$B$18*Z116,(Assumptions!$B$20*Assumptions!$B$18+((DATE(Assumptions!$B$4-1,12,28)-$N116)/365.25-Assumptions!$B$20)*Assumptions!$B$19)*Z116),0)</f>
        <v>5229.0212183435997</v>
      </c>
      <c r="CJ116" s="249">
        <f t="shared" si="49"/>
        <v>0</v>
      </c>
      <c r="CK116" s="249">
        <f t="shared" si="50"/>
        <v>10924.999999999998</v>
      </c>
    </row>
    <row r="117" spans="1:89" x14ac:dyDescent="0.2">
      <c r="A117" s="270">
        <v>117</v>
      </c>
      <c r="B117" s="271" t="s">
        <v>536</v>
      </c>
      <c r="C117" s="271" t="s">
        <v>537</v>
      </c>
      <c r="D117" s="271" t="s">
        <v>250</v>
      </c>
      <c r="E117" s="271" t="s">
        <v>767</v>
      </c>
      <c r="F117" s="271" t="s">
        <v>538</v>
      </c>
      <c r="G117" s="271" t="s">
        <v>272</v>
      </c>
      <c r="H117" s="271" t="s">
        <v>466</v>
      </c>
      <c r="I117" s="285" t="s">
        <v>690</v>
      </c>
      <c r="J117" s="271"/>
      <c r="K117" s="271" t="s">
        <v>272</v>
      </c>
      <c r="L117" s="271" t="s">
        <v>255</v>
      </c>
      <c r="M117" s="271" t="str">
        <f t="shared" si="51"/>
        <v>Non-Saudi</v>
      </c>
      <c r="N117" s="272">
        <v>45170</v>
      </c>
      <c r="O117" s="273">
        <v>3.3</v>
      </c>
      <c r="P117" s="274">
        <v>20000</v>
      </c>
      <c r="Q117" s="274">
        <v>2500</v>
      </c>
      <c r="R117" s="274">
        <v>500</v>
      </c>
      <c r="S117" s="274">
        <v>2500</v>
      </c>
      <c r="T117" s="274"/>
      <c r="U117" s="274">
        <v>25500</v>
      </c>
      <c r="V117" s="275">
        <v>1</v>
      </c>
      <c r="W117" s="271" t="s">
        <v>259</v>
      </c>
      <c r="X117" s="271">
        <v>250</v>
      </c>
      <c r="Y117" s="249">
        <f t="shared" si="27"/>
        <v>20000</v>
      </c>
      <c r="Z117" s="249">
        <f t="shared" si="28"/>
        <v>25500</v>
      </c>
      <c r="AA117" s="249">
        <f>IF(AND(Z117&gt;0,$N117&lt;&gt;""),IF((DATE(Assumptions!$B$4,1,28)-$N117)/365.25&lt;=Assumptions!$B$20,(DATE(Assumptions!$B$4,1,28)-$N117)/365.25*Assumptions!$B$18*Z117,(Assumptions!$B$20*Assumptions!$B$18+((DATE(Assumptions!$B$4,1,28)-$N117)/365.25-Assumptions!$B$20)*Assumptions!$B$19)*Z117),0)</f>
        <v>30718.685831622177</v>
      </c>
      <c r="AB117" s="249">
        <f>IF(Y117&gt;0,IF($M117="Saudi",MIN(Y117+$Q117*$V117,Assumptions!$B$14)*Assumptions!$B$12,MIN(Y117+$Q117*$V117,Assumptions!$B$14)*Assumptions!$B$13),0)</f>
        <v>0</v>
      </c>
      <c r="AC117" s="249">
        <f>IF(AND(Y117&gt;0,$M117="Non-Saudi"),Assumptions!$B$25,0)</f>
        <v>910.41666666666663</v>
      </c>
      <c r="AD117" s="249">
        <f t="shared" si="29"/>
        <v>20000</v>
      </c>
      <c r="AE117" s="249">
        <f t="shared" si="30"/>
        <v>25500</v>
      </c>
      <c r="AF117" s="249">
        <f>IF(AND(AE117&gt;0,$N117&lt;&gt;""),IF((DATE(Assumptions!$B$4,2,28)-$N117)/365.25&lt;=Assumptions!$B$20,(DATE(Assumptions!$B$4,2,28)-$N117)/365.25*Assumptions!$B$18*AE117,(Assumptions!$B$20*Assumptions!$B$18+((DATE(Assumptions!$B$4,2,28)-$N117)/365.25-Assumptions!$B$20)*Assumptions!$B$19)*AE117),0)</f>
        <v>31800.821355236141</v>
      </c>
      <c r="AG117" s="249">
        <f>IF(AD117&gt;0,IF($M117="Saudi",MIN(AD117+$Q117*$V117,Assumptions!$B$14)*Assumptions!$B$12,MIN(AD117+$Q117*$V117,Assumptions!$B$14)*Assumptions!$B$13),0)</f>
        <v>0</v>
      </c>
      <c r="AH117" s="249">
        <f>IF(AND(AD117&gt;0,$M117="Non-Saudi"),Assumptions!$B$25,0)</f>
        <v>910.41666666666663</v>
      </c>
      <c r="AI117" s="249">
        <f t="shared" si="31"/>
        <v>20000</v>
      </c>
      <c r="AJ117" s="249">
        <f t="shared" si="32"/>
        <v>25500</v>
      </c>
      <c r="AK117" s="249">
        <f>IF(AND(AJ117&gt;0,$N117&lt;&gt;""),IF((DATE(Assumptions!$B$4,3,28)-$N117)/365.25&lt;=Assumptions!$B$20,(DATE(Assumptions!$B$4,3,28)-$N117)/365.25*Assumptions!$B$18*AJ117,(Assumptions!$B$20*Assumptions!$B$18+((DATE(Assumptions!$B$4,3,28)-$N117)/365.25-Assumptions!$B$20)*Assumptions!$B$19)*AJ117),0)</f>
        <v>32778.234086242301</v>
      </c>
      <c r="AL117" s="249">
        <f>IF(AI117&gt;0,IF($M117="Saudi",MIN(AI117+$Q117*$V117,Assumptions!$B$14)*Assumptions!$B$12,MIN(AI117+$Q117*$V117,Assumptions!$B$14)*Assumptions!$B$13),0)</f>
        <v>0</v>
      </c>
      <c r="AM117" s="249">
        <f>IF(AND(AI117&gt;0,$M117="Non-Saudi"),Assumptions!$B$25,0)</f>
        <v>910.41666666666663</v>
      </c>
      <c r="AN117" s="249">
        <f t="shared" si="33"/>
        <v>20000</v>
      </c>
      <c r="AO117" s="249">
        <f t="shared" si="34"/>
        <v>25500</v>
      </c>
      <c r="AP117" s="249">
        <f>IF(AND(AO117&gt;0,$N117&lt;&gt;""),IF((DATE(Assumptions!$B$4,4,28)-$N117)/365.25&lt;=Assumptions!$B$20,(DATE(Assumptions!$B$4,4,28)-$N117)/365.25*Assumptions!$B$18*AO117,(Assumptions!$B$20*Assumptions!$B$18+((DATE(Assumptions!$B$4,4,28)-$N117)/365.25-Assumptions!$B$20)*Assumptions!$B$19)*AO117),0)</f>
        <v>33860.369609856265</v>
      </c>
      <c r="AQ117" s="249">
        <f>IF(AN117&gt;0,IF($M117="Saudi",MIN(AN117+$Q117*$V117,Assumptions!$B$14)*Assumptions!$B$12,MIN(AN117+$Q117*$V117,Assumptions!$B$14)*Assumptions!$B$13),0)</f>
        <v>0</v>
      </c>
      <c r="AR117" s="249">
        <f>IF(AND(AN117&gt;0,$M117="Non-Saudi"),Assumptions!$B$25,0)</f>
        <v>910.41666666666663</v>
      </c>
      <c r="AS117" s="249">
        <f t="shared" si="35"/>
        <v>20000</v>
      </c>
      <c r="AT117" s="249">
        <f t="shared" si="36"/>
        <v>25500</v>
      </c>
      <c r="AU117" s="249">
        <f>IF(AND(AT117&gt;0,$N117&lt;&gt;""),IF((DATE(Assumptions!$B$4,5,28)-$N117)/365.25&lt;=Assumptions!$B$20,(DATE(Assumptions!$B$4,5,28)-$N117)/365.25*Assumptions!$B$18*AT117,(Assumptions!$B$20*Assumptions!$B$18+((DATE(Assumptions!$B$4,5,28)-$N117)/365.25-Assumptions!$B$20)*Assumptions!$B$19)*AT117),0)</f>
        <v>34907.597535934292</v>
      </c>
      <c r="AV117" s="249">
        <f>IF(AS117&gt;0,IF($M117="Saudi",MIN(AS117+$Q117*$V117,Assumptions!$B$14)*Assumptions!$B$12,MIN(AS117+$Q117*$V117,Assumptions!$B$14)*Assumptions!$B$13),0)</f>
        <v>0</v>
      </c>
      <c r="AW117" s="249">
        <f>IF(AND(AS117&gt;0,$M117="Non-Saudi"),Assumptions!$B$25,0)</f>
        <v>910.41666666666663</v>
      </c>
      <c r="AX117" s="249">
        <f t="shared" si="37"/>
        <v>20000</v>
      </c>
      <c r="AY117" s="249">
        <f t="shared" si="38"/>
        <v>25500</v>
      </c>
      <c r="AZ117" s="249">
        <f>IF(AND(AY117&gt;0,$N117&lt;&gt;""),IF((DATE(Assumptions!$B$4,6,28)-$N117)/365.25&lt;=Assumptions!$B$20,(DATE(Assumptions!$B$4,6,28)-$N117)/365.25*Assumptions!$B$18*AY117,(Assumptions!$B$20*Assumptions!$B$18+((DATE(Assumptions!$B$4,6,28)-$N117)/365.25-Assumptions!$B$20)*Assumptions!$B$19)*AY117),0)</f>
        <v>35989.733059548256</v>
      </c>
      <c r="BA117" s="249">
        <f>IF(AX117&gt;0,IF($M117="Saudi",MIN(AX117+$Q117*$V117,Assumptions!$B$14)*Assumptions!$B$12,MIN(AX117+$Q117*$V117,Assumptions!$B$14)*Assumptions!$B$13),0)</f>
        <v>0</v>
      </c>
      <c r="BB117" s="249">
        <f>IF(AND(AX117&gt;0,$M117="Non-Saudi"),Assumptions!$B$25,0)</f>
        <v>910.41666666666663</v>
      </c>
      <c r="BC117" s="249">
        <f t="shared" si="39"/>
        <v>20000</v>
      </c>
      <c r="BD117" s="249">
        <f t="shared" si="40"/>
        <v>25500</v>
      </c>
      <c r="BE117" s="249">
        <f>IF(AND(BD117&gt;0,$N117&lt;&gt;""),IF((DATE(Assumptions!$B$4,7,28)-$N117)/365.25&lt;=Assumptions!$B$20,(DATE(Assumptions!$B$4,7,28)-$N117)/365.25*Assumptions!$B$18*BD117,(Assumptions!$B$20*Assumptions!$B$18+((DATE(Assumptions!$B$4,7,28)-$N117)/365.25-Assumptions!$B$20)*Assumptions!$B$19)*BD117),0)</f>
        <v>37036.960985626283</v>
      </c>
      <c r="BF117" s="249">
        <f>IF(BC117&gt;0,IF($M117="Saudi",MIN(BC117+$Q117*$V117,Assumptions!$B$14)*Assumptions!$B$12,MIN(BC117+$Q117*$V117,Assumptions!$B$14)*Assumptions!$B$13),0)</f>
        <v>0</v>
      </c>
      <c r="BG117" s="249">
        <f>IF(AND(BC117&gt;0,$M117="Non-Saudi"),Assumptions!$B$25,0)</f>
        <v>910.41666666666663</v>
      </c>
      <c r="BH117" s="249">
        <f t="shared" si="41"/>
        <v>20000</v>
      </c>
      <c r="BI117" s="249">
        <f t="shared" si="42"/>
        <v>25500</v>
      </c>
      <c r="BJ117" s="249">
        <f>IF(AND(BI117&gt;0,$N117&lt;&gt;""),IF((DATE(Assumptions!$B$4,8,28)-$N117)/365.25&lt;=Assumptions!$B$20,(DATE(Assumptions!$B$4,8,28)-$N117)/365.25*Assumptions!$B$18*BI117,(Assumptions!$B$20*Assumptions!$B$18+((DATE(Assumptions!$B$4,8,28)-$N117)/365.25-Assumptions!$B$20)*Assumptions!$B$19)*BI117),0)</f>
        <v>38119.096509240248</v>
      </c>
      <c r="BK117" s="249">
        <f>IF(BH117&gt;0,IF($M117="Saudi",MIN(BH117+$Q117*$V117,Assumptions!$B$14)*Assumptions!$B$12,MIN(BH117+$Q117*$V117,Assumptions!$B$14)*Assumptions!$B$13),0)</f>
        <v>0</v>
      </c>
      <c r="BL117" s="249">
        <f>IF(AND(BH117&gt;0,$M117="Non-Saudi"),Assumptions!$B$25,0)</f>
        <v>910.41666666666663</v>
      </c>
      <c r="BM117" s="249">
        <f>IF(AND($D117="Contrat Local",$N117&lt;&gt;""),IF(AND(9&gt;=Assumptions!$B$5,ISNUMBER($X117),$N117&lt;EDATE(Assumptions!$B$9,-Assumptions!$B$6*12)),($P117+$X117)*$V117,$P117*$V117),0)</f>
        <v>20250</v>
      </c>
      <c r="BN117" s="249">
        <f t="shared" si="43"/>
        <v>25750</v>
      </c>
      <c r="BO117" s="249">
        <f>IF(AND(BN117&gt;0,$N117&lt;&gt;""),IF((DATE(Assumptions!$B$4,9,28)-$N117)/365.25&lt;=Assumptions!$B$20,(DATE(Assumptions!$B$4,9,28)-$N117)/365.25*Assumptions!$B$18*BN117,(Assumptions!$B$20*Assumptions!$B$18+((DATE(Assumptions!$B$4,9,28)-$N117)/365.25-Assumptions!$B$20)*Assumptions!$B$19)*BN117),0)</f>
        <v>39585.557837097884</v>
      </c>
      <c r="BP117" s="249">
        <f>IF(BM117&gt;0,IF($M117="Saudi",MIN(BM117+$Q117*$V117,Assumptions!$B$14)*Assumptions!$B$12,MIN(BM117+$Q117*$V117,Assumptions!$B$14)*Assumptions!$B$13),0)</f>
        <v>0</v>
      </c>
      <c r="BQ117" s="249">
        <f>IF(AND(BM117&gt;0,$M117="Non-Saudi"),Assumptions!$B$25,0)</f>
        <v>910.41666666666663</v>
      </c>
      <c r="BR117" s="249">
        <f>IF(AND($D117="Contrat Local",$N117&lt;&gt;""),IF(AND(10&gt;=Assumptions!$B$5,ISNUMBER($X117),$N117&lt;EDATE(Assumptions!$B$9,-Assumptions!$B$6*12)),($P117+$X117)*$V117,$P117*$V117),0)</f>
        <v>20250</v>
      </c>
      <c r="BS117" s="249">
        <f t="shared" si="44"/>
        <v>25750</v>
      </c>
      <c r="BT117" s="249">
        <f>IF(AND(BS117&gt;0,$N117&lt;&gt;""),IF((DATE(Assumptions!$B$4,10,28)-$N117)/365.25&lt;=Assumptions!$B$20,(DATE(Assumptions!$B$4,10,28)-$N117)/365.25*Assumptions!$B$18*BS117,(Assumptions!$B$20*Assumptions!$B$18+((DATE(Assumptions!$B$4,10,28)-$N117)/365.25-Assumptions!$B$20)*Assumptions!$B$19)*BS117),0)</f>
        <v>40643.052703627654</v>
      </c>
      <c r="BU117" s="249">
        <f>IF(BR117&gt;0,IF($M117="Saudi",MIN(BR117+$Q117*$V117,Assumptions!$B$14)*Assumptions!$B$12,MIN(BR117+$Q117*$V117,Assumptions!$B$14)*Assumptions!$B$13),0)</f>
        <v>0</v>
      </c>
      <c r="BV117" s="249">
        <f>IF(AND(BR117&gt;0,$M117="Non-Saudi"),Assumptions!$B$25,0)</f>
        <v>910.41666666666663</v>
      </c>
      <c r="BW117" s="249">
        <f>IF(AND($D117="Contrat Local",$N117&lt;&gt;""),IF(AND(11&gt;=Assumptions!$B$5,ISNUMBER($X117),$N117&lt;EDATE(Assumptions!$B$9,-Assumptions!$B$6*12)),($P117+$X117)*$V117,$P117*$V117),0)</f>
        <v>20250</v>
      </c>
      <c r="BX117" s="249">
        <f t="shared" si="45"/>
        <v>25750</v>
      </c>
      <c r="BY117" s="249">
        <f>IF(AND(BX117&gt;0,$N117&lt;&gt;""),IF((DATE(Assumptions!$B$4,11,28)-$N117)/365.25&lt;=Assumptions!$B$20,(DATE(Assumptions!$B$4,11,28)-$N117)/365.25*Assumptions!$B$18*BX117,(Assumptions!$B$20*Assumptions!$B$18+((DATE(Assumptions!$B$4,11,28)-$N117)/365.25-Assumptions!$B$20)*Assumptions!$B$19)*BX117),0)</f>
        <v>41735.797399041752</v>
      </c>
      <c r="BZ117" s="249">
        <f>IF(BW117&gt;0,IF($M117="Saudi",MIN(BW117+$Q117*$V117,Assumptions!$B$14)*Assumptions!$B$12,MIN(BW117+$Q117*$V117,Assumptions!$B$14)*Assumptions!$B$13),0)</f>
        <v>0</v>
      </c>
      <c r="CA117" s="249">
        <f>IF(AND(BW117&gt;0,$M117="Non-Saudi"),Assumptions!$B$25,0)</f>
        <v>910.41666666666663</v>
      </c>
      <c r="CB117" s="249">
        <f>IF(AND($D117="Contrat Local",$N117&lt;&gt;""),IF(AND(12&gt;=Assumptions!$B$5,ISNUMBER($X117),$N117&lt;EDATE(Assumptions!$B$9,-Assumptions!$B$6*12)),($P117+$X117)*$V117,$P117*$V117),0)</f>
        <v>20250</v>
      </c>
      <c r="CC117" s="249">
        <f t="shared" si="46"/>
        <v>25750</v>
      </c>
      <c r="CD117" s="249">
        <f>IF(AND(CC117&gt;0,$N117&lt;&gt;""),IF((DATE(Assumptions!$B$4,12,28)-$N117)/365.25&lt;=Assumptions!$B$20,(DATE(Assumptions!$B$4,12,28)-$N117)/365.25*Assumptions!$B$18*CC117,(Assumptions!$B$20*Assumptions!$B$18+((DATE(Assumptions!$B$4,12,28)-$N117)/365.25-Assumptions!$B$20)*Assumptions!$B$19)*CC117),0)</f>
        <v>42793.292265571523</v>
      </c>
      <c r="CE117" s="249">
        <f>IF(CB117&gt;0,IF($M117="Saudi",MIN(CB117+$Q117*$V117,Assumptions!$B$14)*Assumptions!$B$12,MIN(CB117+$Q117*$V117,Assumptions!$B$14)*Assumptions!$B$13),0)</f>
        <v>0</v>
      </c>
      <c r="CF117" s="249">
        <f>IF(AND(CB117&gt;0,$M117="Non-Saudi"),Assumptions!$B$25,0)</f>
        <v>910.41666666666663</v>
      </c>
      <c r="CG117" s="249">
        <f t="shared" si="47"/>
        <v>241000</v>
      </c>
      <c r="CH117" s="249">
        <f t="shared" si="48"/>
        <v>307000</v>
      </c>
      <c r="CI117" s="249">
        <f>CD117-IF(AND(Z117&gt;0,$N117&lt;&gt;""),IF((DATE(Assumptions!$B$4-1,12,28)-$N117)/365.25&lt;=Assumptions!$B$20,(DATE(Assumptions!$B$4-1,12,28)-$N117)/365.25*Assumptions!$B$18*Z117,(Assumptions!$B$20*Assumptions!$B$18+((DATE(Assumptions!$B$4-1,12,28)-$N117)/365.25-Assumptions!$B$20)*Assumptions!$B$19)*Z117),0)</f>
        <v>13156.74195756331</v>
      </c>
      <c r="CJ117" s="249">
        <f t="shared" si="49"/>
        <v>0</v>
      </c>
      <c r="CK117" s="249">
        <f t="shared" si="50"/>
        <v>10924.999999999998</v>
      </c>
    </row>
    <row r="118" spans="1:89" x14ac:dyDescent="0.2">
      <c r="A118" s="258">
        <v>118</v>
      </c>
      <c r="B118" s="259" t="s">
        <v>536</v>
      </c>
      <c r="C118" s="259" t="s">
        <v>357</v>
      </c>
      <c r="D118" s="259" t="s">
        <v>250</v>
      </c>
      <c r="E118" s="259" t="s">
        <v>767</v>
      </c>
      <c r="F118" s="259" t="s">
        <v>344</v>
      </c>
      <c r="G118" s="259" t="s">
        <v>4</v>
      </c>
      <c r="H118" s="259" t="s">
        <v>120</v>
      </c>
      <c r="I118" s="288" t="s">
        <v>691</v>
      </c>
      <c r="J118" s="259" t="s">
        <v>344</v>
      </c>
      <c r="K118" s="259" t="s">
        <v>4</v>
      </c>
      <c r="L118" s="259" t="s">
        <v>255</v>
      </c>
      <c r="M118" s="259" t="str">
        <f t="shared" si="51"/>
        <v>Non-Saudi</v>
      </c>
      <c r="N118" s="260">
        <v>45170</v>
      </c>
      <c r="O118" s="261">
        <v>3.3</v>
      </c>
      <c r="P118" s="262">
        <v>6800</v>
      </c>
      <c r="Q118" s="262">
        <v>2500</v>
      </c>
      <c r="R118" s="262">
        <v>500</v>
      </c>
      <c r="S118" s="262"/>
      <c r="T118" s="262"/>
      <c r="U118" s="262">
        <v>9800</v>
      </c>
      <c r="V118" s="263">
        <v>1</v>
      </c>
      <c r="W118" s="259" t="s">
        <v>259</v>
      </c>
      <c r="X118" s="259">
        <v>200</v>
      </c>
      <c r="Y118" s="249">
        <f t="shared" si="27"/>
        <v>6800</v>
      </c>
      <c r="Z118" s="249">
        <f t="shared" si="28"/>
        <v>9800</v>
      </c>
      <c r="AA118" s="249">
        <f>IF(AND(Z118&gt;0,$N118&lt;&gt;""),IF((DATE(Assumptions!$B$4,1,28)-$N118)/365.25&lt;=Assumptions!$B$20,(DATE(Assumptions!$B$4,1,28)-$N118)/365.25*Assumptions!$B$18*Z118,(Assumptions!$B$20*Assumptions!$B$18+((DATE(Assumptions!$B$4,1,28)-$N118)/365.25-Assumptions!$B$20)*Assumptions!$B$19)*Z118),0)</f>
        <v>11805.61259411362</v>
      </c>
      <c r="AB118" s="249">
        <f>IF(Y118&gt;0,IF($M118="Saudi",MIN(Y118+$Q118*$V118,Assumptions!$B$14)*Assumptions!$B$12,MIN(Y118+$Q118*$V118,Assumptions!$B$14)*Assumptions!$B$13),0)</f>
        <v>0</v>
      </c>
      <c r="AC118" s="249">
        <f>IF(AND(Y118&gt;0,$M118="Non-Saudi"),Assumptions!$B$25,0)</f>
        <v>910.41666666666663</v>
      </c>
      <c r="AD118" s="249">
        <f t="shared" si="29"/>
        <v>6800</v>
      </c>
      <c r="AE118" s="249">
        <f t="shared" si="30"/>
        <v>9800</v>
      </c>
      <c r="AF118" s="249">
        <f>IF(AND(AE118&gt;0,$N118&lt;&gt;""),IF((DATE(Assumptions!$B$4,2,28)-$N118)/365.25&lt;=Assumptions!$B$20,(DATE(Assumptions!$B$4,2,28)-$N118)/365.25*Assumptions!$B$18*AE118,(Assumptions!$B$20*Assumptions!$B$18+((DATE(Assumptions!$B$4,2,28)-$N118)/365.25-Assumptions!$B$20)*Assumptions!$B$19)*AE118),0)</f>
        <v>12221.492128678989</v>
      </c>
      <c r="AG118" s="249">
        <f>IF(AD118&gt;0,IF($M118="Saudi",MIN(AD118+$Q118*$V118,Assumptions!$B$14)*Assumptions!$B$12,MIN(AD118+$Q118*$V118,Assumptions!$B$14)*Assumptions!$B$13),0)</f>
        <v>0</v>
      </c>
      <c r="AH118" s="249">
        <f>IF(AND(AD118&gt;0,$M118="Non-Saudi"),Assumptions!$B$25,0)</f>
        <v>910.41666666666663</v>
      </c>
      <c r="AI118" s="249">
        <f t="shared" si="31"/>
        <v>6800</v>
      </c>
      <c r="AJ118" s="249">
        <f t="shared" si="32"/>
        <v>9800</v>
      </c>
      <c r="AK118" s="249">
        <f>IF(AND(AJ118&gt;0,$N118&lt;&gt;""),IF((DATE(Assumptions!$B$4,3,28)-$N118)/365.25&lt;=Assumptions!$B$20,(DATE(Assumptions!$B$4,3,28)-$N118)/365.25*Assumptions!$B$18*AJ118,(Assumptions!$B$20*Assumptions!$B$18+((DATE(Assumptions!$B$4,3,28)-$N118)/365.25-Assumptions!$B$20)*Assumptions!$B$19)*AJ118),0)</f>
        <v>12597.125256673511</v>
      </c>
      <c r="AL118" s="249">
        <f>IF(AI118&gt;0,IF($M118="Saudi",MIN(AI118+$Q118*$V118,Assumptions!$B$14)*Assumptions!$B$12,MIN(AI118+$Q118*$V118,Assumptions!$B$14)*Assumptions!$B$13),0)</f>
        <v>0</v>
      </c>
      <c r="AM118" s="249">
        <f>IF(AND(AI118&gt;0,$M118="Non-Saudi"),Assumptions!$B$25,0)</f>
        <v>910.41666666666663</v>
      </c>
      <c r="AN118" s="249">
        <f t="shared" si="33"/>
        <v>6800</v>
      </c>
      <c r="AO118" s="249">
        <f t="shared" si="34"/>
        <v>9800</v>
      </c>
      <c r="AP118" s="249">
        <f>IF(AND(AO118&gt;0,$N118&lt;&gt;""),IF((DATE(Assumptions!$B$4,4,28)-$N118)/365.25&lt;=Assumptions!$B$20,(DATE(Assumptions!$B$4,4,28)-$N118)/365.25*Assumptions!$B$18*AO118,(Assumptions!$B$20*Assumptions!$B$18+((DATE(Assumptions!$B$4,4,28)-$N118)/365.25-Assumptions!$B$20)*Assumptions!$B$19)*AO118),0)</f>
        <v>13013.004791238878</v>
      </c>
      <c r="AQ118" s="249">
        <f>IF(AN118&gt;0,IF($M118="Saudi",MIN(AN118+$Q118*$V118,Assumptions!$B$14)*Assumptions!$B$12,MIN(AN118+$Q118*$V118,Assumptions!$B$14)*Assumptions!$B$13),0)</f>
        <v>0</v>
      </c>
      <c r="AR118" s="249">
        <f>IF(AND(AN118&gt;0,$M118="Non-Saudi"),Assumptions!$B$25,0)</f>
        <v>910.41666666666663</v>
      </c>
      <c r="AS118" s="249">
        <f t="shared" si="35"/>
        <v>6800</v>
      </c>
      <c r="AT118" s="249">
        <f t="shared" si="36"/>
        <v>9800</v>
      </c>
      <c r="AU118" s="249">
        <f>IF(AND(AT118&gt;0,$N118&lt;&gt;""),IF((DATE(Assumptions!$B$4,5,28)-$N118)/365.25&lt;=Assumptions!$B$20,(DATE(Assumptions!$B$4,5,28)-$N118)/365.25*Assumptions!$B$18*AT118,(Assumptions!$B$20*Assumptions!$B$18+((DATE(Assumptions!$B$4,5,28)-$N118)/365.25-Assumptions!$B$20)*Assumptions!$B$19)*AT118),0)</f>
        <v>13415.468856947296</v>
      </c>
      <c r="AV118" s="249">
        <f>IF(AS118&gt;0,IF($M118="Saudi",MIN(AS118+$Q118*$V118,Assumptions!$B$14)*Assumptions!$B$12,MIN(AS118+$Q118*$V118,Assumptions!$B$14)*Assumptions!$B$13),0)</f>
        <v>0</v>
      </c>
      <c r="AW118" s="249">
        <f>IF(AND(AS118&gt;0,$M118="Non-Saudi"),Assumptions!$B$25,0)</f>
        <v>910.41666666666663</v>
      </c>
      <c r="AX118" s="249">
        <f t="shared" si="37"/>
        <v>6800</v>
      </c>
      <c r="AY118" s="249">
        <f t="shared" si="38"/>
        <v>9800</v>
      </c>
      <c r="AZ118" s="249">
        <f>IF(AND(AY118&gt;0,$N118&lt;&gt;""),IF((DATE(Assumptions!$B$4,6,28)-$N118)/365.25&lt;=Assumptions!$B$20,(DATE(Assumptions!$B$4,6,28)-$N118)/365.25*Assumptions!$B$18*AY118,(Assumptions!$B$20*Assumptions!$B$18+((DATE(Assumptions!$B$4,6,28)-$N118)/365.25-Assumptions!$B$20)*Assumptions!$B$19)*AY118),0)</f>
        <v>13831.348391512664</v>
      </c>
      <c r="BA118" s="249">
        <f>IF(AX118&gt;0,IF($M118="Saudi",MIN(AX118+$Q118*$V118,Assumptions!$B$14)*Assumptions!$B$12,MIN(AX118+$Q118*$V118,Assumptions!$B$14)*Assumptions!$B$13),0)</f>
        <v>0</v>
      </c>
      <c r="BB118" s="249">
        <f>IF(AND(AX118&gt;0,$M118="Non-Saudi"),Assumptions!$B$25,0)</f>
        <v>910.41666666666663</v>
      </c>
      <c r="BC118" s="249">
        <f t="shared" si="39"/>
        <v>6800</v>
      </c>
      <c r="BD118" s="249">
        <f t="shared" si="40"/>
        <v>9800</v>
      </c>
      <c r="BE118" s="249">
        <f>IF(AND(BD118&gt;0,$N118&lt;&gt;""),IF((DATE(Assumptions!$B$4,7,28)-$N118)/365.25&lt;=Assumptions!$B$20,(DATE(Assumptions!$B$4,7,28)-$N118)/365.25*Assumptions!$B$18*BD118,(Assumptions!$B$20*Assumptions!$B$18+((DATE(Assumptions!$B$4,7,28)-$N118)/365.25-Assumptions!$B$20)*Assumptions!$B$19)*BD118),0)</f>
        <v>14233.812457221082</v>
      </c>
      <c r="BF118" s="249">
        <f>IF(BC118&gt;0,IF($M118="Saudi",MIN(BC118+$Q118*$V118,Assumptions!$B$14)*Assumptions!$B$12,MIN(BC118+$Q118*$V118,Assumptions!$B$14)*Assumptions!$B$13),0)</f>
        <v>0</v>
      </c>
      <c r="BG118" s="249">
        <f>IF(AND(BC118&gt;0,$M118="Non-Saudi"),Assumptions!$B$25,0)</f>
        <v>910.41666666666663</v>
      </c>
      <c r="BH118" s="249">
        <f t="shared" si="41"/>
        <v>6800</v>
      </c>
      <c r="BI118" s="249">
        <f t="shared" si="42"/>
        <v>9800</v>
      </c>
      <c r="BJ118" s="249">
        <f>IF(AND(BI118&gt;0,$N118&lt;&gt;""),IF((DATE(Assumptions!$B$4,8,28)-$N118)/365.25&lt;=Assumptions!$B$20,(DATE(Assumptions!$B$4,8,28)-$N118)/365.25*Assumptions!$B$18*BI118,(Assumptions!$B$20*Assumptions!$B$18+((DATE(Assumptions!$B$4,8,28)-$N118)/365.25-Assumptions!$B$20)*Assumptions!$B$19)*BI118),0)</f>
        <v>14649.691991786447</v>
      </c>
      <c r="BK118" s="249">
        <f>IF(BH118&gt;0,IF($M118="Saudi",MIN(BH118+$Q118*$V118,Assumptions!$B$14)*Assumptions!$B$12,MIN(BH118+$Q118*$V118,Assumptions!$B$14)*Assumptions!$B$13),0)</f>
        <v>0</v>
      </c>
      <c r="BL118" s="249">
        <f>IF(AND(BH118&gt;0,$M118="Non-Saudi"),Assumptions!$B$25,0)</f>
        <v>910.41666666666663</v>
      </c>
      <c r="BM118" s="249">
        <f>IF(AND($D118="Contrat Local",$N118&lt;&gt;""),IF(AND(9&gt;=Assumptions!$B$5,ISNUMBER($X118),$N118&lt;EDATE(Assumptions!$B$9,-Assumptions!$B$6*12)),($P118+$X118)*$V118,$P118*$V118),0)</f>
        <v>7000</v>
      </c>
      <c r="BN118" s="249">
        <f t="shared" si="43"/>
        <v>10000</v>
      </c>
      <c r="BO118" s="249">
        <f>IF(AND(BN118&gt;0,$N118&lt;&gt;""),IF((DATE(Assumptions!$B$4,9,28)-$N118)/365.25&lt;=Assumptions!$B$20,(DATE(Assumptions!$B$4,9,28)-$N118)/365.25*Assumptions!$B$18*BN118,(Assumptions!$B$20*Assumptions!$B$18+((DATE(Assumptions!$B$4,9,28)-$N118)/365.25-Assumptions!$B$20)*Assumptions!$B$19)*BN118),0)</f>
        <v>15373.03216974675</v>
      </c>
      <c r="BP118" s="249">
        <f>IF(BM118&gt;0,IF($M118="Saudi",MIN(BM118+$Q118*$V118,Assumptions!$B$14)*Assumptions!$B$12,MIN(BM118+$Q118*$V118,Assumptions!$B$14)*Assumptions!$B$13),0)</f>
        <v>0</v>
      </c>
      <c r="BQ118" s="249">
        <f>IF(AND(BM118&gt;0,$M118="Non-Saudi"),Assumptions!$B$25,0)</f>
        <v>910.41666666666663</v>
      </c>
      <c r="BR118" s="249">
        <f>IF(AND($D118="Contrat Local",$N118&lt;&gt;""),IF(AND(10&gt;=Assumptions!$B$5,ISNUMBER($X118),$N118&lt;EDATE(Assumptions!$B$9,-Assumptions!$B$6*12)),($P118+$X118)*$V118,$P118*$V118),0)</f>
        <v>7000</v>
      </c>
      <c r="BS118" s="249">
        <f t="shared" si="44"/>
        <v>10000</v>
      </c>
      <c r="BT118" s="249">
        <f>IF(AND(BS118&gt;0,$N118&lt;&gt;""),IF((DATE(Assumptions!$B$4,10,28)-$N118)/365.25&lt;=Assumptions!$B$20,(DATE(Assumptions!$B$4,10,28)-$N118)/365.25*Assumptions!$B$18*BS118,(Assumptions!$B$20*Assumptions!$B$18+((DATE(Assumptions!$B$4,10,28)-$N118)/365.25-Assumptions!$B$20)*Assumptions!$B$19)*BS118),0)</f>
        <v>15783.709787816564</v>
      </c>
      <c r="BU118" s="249">
        <f>IF(BR118&gt;0,IF($M118="Saudi",MIN(BR118+$Q118*$V118,Assumptions!$B$14)*Assumptions!$B$12,MIN(BR118+$Q118*$V118,Assumptions!$B$14)*Assumptions!$B$13),0)</f>
        <v>0</v>
      </c>
      <c r="BV118" s="249">
        <f>IF(AND(BR118&gt;0,$M118="Non-Saudi"),Assumptions!$B$25,0)</f>
        <v>910.41666666666663</v>
      </c>
      <c r="BW118" s="249">
        <f>IF(AND($D118="Contrat Local",$N118&lt;&gt;""),IF(AND(11&gt;=Assumptions!$B$5,ISNUMBER($X118),$N118&lt;EDATE(Assumptions!$B$9,-Assumptions!$B$6*12)),($P118+$X118)*$V118,$P118*$V118),0)</f>
        <v>7000</v>
      </c>
      <c r="BX118" s="249">
        <f t="shared" si="45"/>
        <v>10000</v>
      </c>
      <c r="BY118" s="249">
        <f>IF(AND(BX118&gt;0,$N118&lt;&gt;""),IF((DATE(Assumptions!$B$4,11,28)-$N118)/365.25&lt;=Assumptions!$B$20,(DATE(Assumptions!$B$4,11,28)-$N118)/365.25*Assumptions!$B$18*BX118,(Assumptions!$B$20*Assumptions!$B$18+((DATE(Assumptions!$B$4,11,28)-$N118)/365.25-Assumptions!$B$20)*Assumptions!$B$19)*BX118),0)</f>
        <v>16208.07665982204</v>
      </c>
      <c r="BZ118" s="249">
        <f>IF(BW118&gt;0,IF($M118="Saudi",MIN(BW118+$Q118*$V118,Assumptions!$B$14)*Assumptions!$B$12,MIN(BW118+$Q118*$V118,Assumptions!$B$14)*Assumptions!$B$13),0)</f>
        <v>0</v>
      </c>
      <c r="CA118" s="249">
        <f>IF(AND(BW118&gt;0,$M118="Non-Saudi"),Assumptions!$B$25,0)</f>
        <v>910.41666666666663</v>
      </c>
      <c r="CB118" s="249">
        <f>IF(AND($D118="Contrat Local",$N118&lt;&gt;""),IF(AND(12&gt;=Assumptions!$B$5,ISNUMBER($X118),$N118&lt;EDATE(Assumptions!$B$9,-Assumptions!$B$6*12)),($P118+$X118)*$V118,$P118*$V118),0)</f>
        <v>7000</v>
      </c>
      <c r="CC118" s="249">
        <f t="shared" si="46"/>
        <v>10000</v>
      </c>
      <c r="CD118" s="249">
        <f>IF(AND(CC118&gt;0,$N118&lt;&gt;""),IF((DATE(Assumptions!$B$4,12,28)-$N118)/365.25&lt;=Assumptions!$B$20,(DATE(Assumptions!$B$4,12,28)-$N118)/365.25*Assumptions!$B$18*CC118,(Assumptions!$B$20*Assumptions!$B$18+((DATE(Assumptions!$B$4,12,28)-$N118)/365.25-Assumptions!$B$20)*Assumptions!$B$19)*CC118),0)</f>
        <v>16618.754277891854</v>
      </c>
      <c r="CE118" s="249">
        <f>IF(CB118&gt;0,IF($M118="Saudi",MIN(CB118+$Q118*$V118,Assumptions!$B$14)*Assumptions!$B$12,MIN(CB118+$Q118*$V118,Assumptions!$B$14)*Assumptions!$B$13),0)</f>
        <v>0</v>
      </c>
      <c r="CF118" s="249">
        <f>IF(AND(CB118&gt;0,$M118="Non-Saudi"),Assumptions!$B$25,0)</f>
        <v>910.41666666666663</v>
      </c>
      <c r="CG118" s="249">
        <f t="shared" si="47"/>
        <v>82400</v>
      </c>
      <c r="CH118" s="249">
        <f t="shared" si="48"/>
        <v>118400</v>
      </c>
      <c r="CI118" s="249">
        <f>CD118-IF(AND(Z118&gt;0,$N118&lt;&gt;""),IF((DATE(Assumptions!$B$4-1,12,28)-$N118)/365.25&lt;=Assumptions!$B$20,(DATE(Assumptions!$B$4-1,12,28)-$N118)/365.25*Assumptions!$B$18*Z118,(Assumptions!$B$20*Assumptions!$B$18+((DATE(Assumptions!$B$4-1,12,28)-$N118)/365.25-Assumptions!$B$20)*Assumptions!$B$19)*Z118),0)</f>
        <v>5229.0212183435997</v>
      </c>
      <c r="CJ118" s="249">
        <f t="shared" si="49"/>
        <v>0</v>
      </c>
      <c r="CK118" s="249">
        <f t="shared" si="50"/>
        <v>10924.999999999998</v>
      </c>
    </row>
    <row r="119" spans="1:89" x14ac:dyDescent="0.2">
      <c r="A119" s="252">
        <v>119</v>
      </c>
      <c r="B119" s="253" t="s">
        <v>539</v>
      </c>
      <c r="C119" s="253" t="s">
        <v>477</v>
      </c>
      <c r="D119" s="253" t="s">
        <v>250</v>
      </c>
      <c r="E119" s="253" t="s">
        <v>767</v>
      </c>
      <c r="F119" s="253" t="s">
        <v>540</v>
      </c>
      <c r="G119" s="253" t="s">
        <v>252</v>
      </c>
      <c r="H119" s="253" t="s">
        <v>541</v>
      </c>
      <c r="I119" s="282" t="s">
        <v>690</v>
      </c>
      <c r="J119" s="253"/>
      <c r="K119" s="253" t="s">
        <v>252</v>
      </c>
      <c r="L119" s="253" t="s">
        <v>255</v>
      </c>
      <c r="M119" s="253" t="str">
        <f t="shared" si="51"/>
        <v>Non-Saudi</v>
      </c>
      <c r="N119" s="254">
        <v>44075</v>
      </c>
      <c r="O119" s="255">
        <v>6.3</v>
      </c>
      <c r="P119" s="256">
        <v>10500</v>
      </c>
      <c r="Q119" s="256">
        <v>2500</v>
      </c>
      <c r="R119" s="256">
        <v>500</v>
      </c>
      <c r="S119" s="256"/>
      <c r="T119" s="256"/>
      <c r="U119" s="256">
        <v>13500</v>
      </c>
      <c r="V119" s="257">
        <v>1</v>
      </c>
      <c r="W119" s="253" t="s">
        <v>256</v>
      </c>
      <c r="X119" s="253">
        <v>250</v>
      </c>
      <c r="Y119" s="249">
        <f t="shared" si="27"/>
        <v>10500</v>
      </c>
      <c r="Z119" s="249">
        <f t="shared" si="28"/>
        <v>13500</v>
      </c>
      <c r="AA119" s="249">
        <f>IF(AND(Z119&gt;0,$N119&lt;&gt;""),IF((DATE(Assumptions!$B$4,1,28)-$N119)/365.25&lt;=Assumptions!$B$20,(DATE(Assumptions!$B$4,1,28)-$N119)/365.25*Assumptions!$B$18*Z119,(Assumptions!$B$20*Assumptions!$B$18+((DATE(Assumptions!$B$4,1,28)-$N119)/365.25-Assumptions!$B$20)*Assumptions!$B$19)*Z119),0)</f>
        <v>39247.946611909647</v>
      </c>
      <c r="AB119" s="249">
        <f>IF(Y119&gt;0,IF($M119="Saudi",MIN(Y119+$Q119*$V119,Assumptions!$B$14)*Assumptions!$B$12,MIN(Y119+$Q119*$V119,Assumptions!$B$14)*Assumptions!$B$13),0)</f>
        <v>0</v>
      </c>
      <c r="AC119" s="249">
        <f>IF(AND(Y119&gt;0,$M119="Non-Saudi"),Assumptions!$B$25,0)</f>
        <v>910.41666666666663</v>
      </c>
      <c r="AD119" s="249">
        <f t="shared" si="29"/>
        <v>10500</v>
      </c>
      <c r="AE119" s="249">
        <f t="shared" si="30"/>
        <v>13500</v>
      </c>
      <c r="AF119" s="249">
        <f>IF(AND(AE119&gt;0,$N119&lt;&gt;""),IF((DATE(Assumptions!$B$4,2,28)-$N119)/365.25&lt;=Assumptions!$B$20,(DATE(Assumptions!$B$4,2,28)-$N119)/365.25*Assumptions!$B$18*AE119,(Assumptions!$B$20*Assumptions!$B$18+((DATE(Assumptions!$B$4,2,28)-$N119)/365.25-Assumptions!$B$20)*Assumptions!$B$19)*AE119),0)</f>
        <v>40393.737166324441</v>
      </c>
      <c r="AG119" s="249">
        <f>IF(AD119&gt;0,IF($M119="Saudi",MIN(AD119+$Q119*$V119,Assumptions!$B$14)*Assumptions!$B$12,MIN(AD119+$Q119*$V119,Assumptions!$B$14)*Assumptions!$B$13),0)</f>
        <v>0</v>
      </c>
      <c r="AH119" s="249">
        <f>IF(AND(AD119&gt;0,$M119="Non-Saudi"),Assumptions!$B$25,0)</f>
        <v>910.41666666666663</v>
      </c>
      <c r="AI119" s="249">
        <f t="shared" si="31"/>
        <v>10500</v>
      </c>
      <c r="AJ119" s="249">
        <f t="shared" si="32"/>
        <v>13500</v>
      </c>
      <c r="AK119" s="249">
        <f>IF(AND(AJ119&gt;0,$N119&lt;&gt;""),IF((DATE(Assumptions!$B$4,3,28)-$N119)/365.25&lt;=Assumptions!$B$20,(DATE(Assumptions!$B$4,3,28)-$N119)/365.25*Assumptions!$B$18*AJ119,(Assumptions!$B$20*Assumptions!$B$18+((DATE(Assumptions!$B$4,3,28)-$N119)/365.25-Assumptions!$B$20)*Assumptions!$B$19)*AJ119),0)</f>
        <v>41428.644763860371</v>
      </c>
      <c r="AL119" s="249">
        <f>IF(AI119&gt;0,IF($M119="Saudi",MIN(AI119+$Q119*$V119,Assumptions!$B$14)*Assumptions!$B$12,MIN(AI119+$Q119*$V119,Assumptions!$B$14)*Assumptions!$B$13),0)</f>
        <v>0</v>
      </c>
      <c r="AM119" s="249">
        <f>IF(AND(AI119&gt;0,$M119="Non-Saudi"),Assumptions!$B$25,0)</f>
        <v>910.41666666666663</v>
      </c>
      <c r="AN119" s="249">
        <f t="shared" si="33"/>
        <v>10500</v>
      </c>
      <c r="AO119" s="249">
        <f t="shared" si="34"/>
        <v>13500</v>
      </c>
      <c r="AP119" s="249">
        <f>IF(AND(AO119&gt;0,$N119&lt;&gt;""),IF((DATE(Assumptions!$B$4,4,28)-$N119)/365.25&lt;=Assumptions!$B$20,(DATE(Assumptions!$B$4,4,28)-$N119)/365.25*Assumptions!$B$18*AO119,(Assumptions!$B$20*Assumptions!$B$18+((DATE(Assumptions!$B$4,4,28)-$N119)/365.25-Assumptions!$B$20)*Assumptions!$B$19)*AO119),0)</f>
        <v>42574.435318275158</v>
      </c>
      <c r="AQ119" s="249">
        <f>IF(AN119&gt;0,IF($M119="Saudi",MIN(AN119+$Q119*$V119,Assumptions!$B$14)*Assumptions!$B$12,MIN(AN119+$Q119*$V119,Assumptions!$B$14)*Assumptions!$B$13),0)</f>
        <v>0</v>
      </c>
      <c r="AR119" s="249">
        <f>IF(AND(AN119&gt;0,$M119="Non-Saudi"),Assumptions!$B$25,0)</f>
        <v>910.41666666666663</v>
      </c>
      <c r="AS119" s="249">
        <f t="shared" si="35"/>
        <v>10500</v>
      </c>
      <c r="AT119" s="249">
        <f t="shared" si="36"/>
        <v>13500</v>
      </c>
      <c r="AU119" s="249">
        <f>IF(AND(AT119&gt;0,$N119&lt;&gt;""),IF((DATE(Assumptions!$B$4,5,28)-$N119)/365.25&lt;=Assumptions!$B$20,(DATE(Assumptions!$B$4,5,28)-$N119)/365.25*Assumptions!$B$18*AT119,(Assumptions!$B$20*Assumptions!$B$18+((DATE(Assumptions!$B$4,5,28)-$N119)/365.25-Assumptions!$B$20)*Assumptions!$B$19)*AT119),0)</f>
        <v>43683.264887063655</v>
      </c>
      <c r="AV119" s="249">
        <f>IF(AS119&gt;0,IF($M119="Saudi",MIN(AS119+$Q119*$V119,Assumptions!$B$14)*Assumptions!$B$12,MIN(AS119+$Q119*$V119,Assumptions!$B$14)*Assumptions!$B$13),0)</f>
        <v>0</v>
      </c>
      <c r="AW119" s="249">
        <f>IF(AND(AS119&gt;0,$M119="Non-Saudi"),Assumptions!$B$25,0)</f>
        <v>910.41666666666663</v>
      </c>
      <c r="AX119" s="249">
        <f t="shared" si="37"/>
        <v>10500</v>
      </c>
      <c r="AY119" s="249">
        <f t="shared" si="38"/>
        <v>13500</v>
      </c>
      <c r="AZ119" s="249">
        <f>IF(AND(AY119&gt;0,$N119&lt;&gt;""),IF((DATE(Assumptions!$B$4,6,28)-$N119)/365.25&lt;=Assumptions!$B$20,(DATE(Assumptions!$B$4,6,28)-$N119)/365.25*Assumptions!$B$18*AY119,(Assumptions!$B$20*Assumptions!$B$18+((DATE(Assumptions!$B$4,6,28)-$N119)/365.25-Assumptions!$B$20)*Assumptions!$B$19)*AY119),0)</f>
        <v>44829.055441478442</v>
      </c>
      <c r="BA119" s="249">
        <f>IF(AX119&gt;0,IF($M119="Saudi",MIN(AX119+$Q119*$V119,Assumptions!$B$14)*Assumptions!$B$12,MIN(AX119+$Q119*$V119,Assumptions!$B$14)*Assumptions!$B$13),0)</f>
        <v>0</v>
      </c>
      <c r="BB119" s="249">
        <f>IF(AND(AX119&gt;0,$M119="Non-Saudi"),Assumptions!$B$25,0)</f>
        <v>910.41666666666663</v>
      </c>
      <c r="BC119" s="249">
        <f t="shared" si="39"/>
        <v>10500</v>
      </c>
      <c r="BD119" s="249">
        <f t="shared" si="40"/>
        <v>13500</v>
      </c>
      <c r="BE119" s="249">
        <f>IF(AND(BD119&gt;0,$N119&lt;&gt;""),IF((DATE(Assumptions!$B$4,7,28)-$N119)/365.25&lt;=Assumptions!$B$20,(DATE(Assumptions!$B$4,7,28)-$N119)/365.25*Assumptions!$B$18*BD119,(Assumptions!$B$20*Assumptions!$B$18+((DATE(Assumptions!$B$4,7,28)-$N119)/365.25-Assumptions!$B$20)*Assumptions!$B$19)*BD119),0)</f>
        <v>45937.885010266938</v>
      </c>
      <c r="BF119" s="249">
        <f>IF(BC119&gt;0,IF($M119="Saudi",MIN(BC119+$Q119*$V119,Assumptions!$B$14)*Assumptions!$B$12,MIN(BC119+$Q119*$V119,Assumptions!$B$14)*Assumptions!$B$13),0)</f>
        <v>0</v>
      </c>
      <c r="BG119" s="249">
        <f>IF(AND(BC119&gt;0,$M119="Non-Saudi"),Assumptions!$B$25,0)</f>
        <v>910.41666666666663</v>
      </c>
      <c r="BH119" s="249">
        <f t="shared" si="41"/>
        <v>10500</v>
      </c>
      <c r="BI119" s="249">
        <f t="shared" si="42"/>
        <v>13500</v>
      </c>
      <c r="BJ119" s="249">
        <f>IF(AND(BI119&gt;0,$N119&lt;&gt;""),IF((DATE(Assumptions!$B$4,8,28)-$N119)/365.25&lt;=Assumptions!$B$20,(DATE(Assumptions!$B$4,8,28)-$N119)/365.25*Assumptions!$B$18*BI119,(Assumptions!$B$20*Assumptions!$B$18+((DATE(Assumptions!$B$4,8,28)-$N119)/365.25-Assumptions!$B$20)*Assumptions!$B$19)*BI119),0)</f>
        <v>47083.675564681718</v>
      </c>
      <c r="BK119" s="249">
        <f>IF(BH119&gt;0,IF($M119="Saudi",MIN(BH119+$Q119*$V119,Assumptions!$B$14)*Assumptions!$B$12,MIN(BH119+$Q119*$V119,Assumptions!$B$14)*Assumptions!$B$13),0)</f>
        <v>0</v>
      </c>
      <c r="BL119" s="249">
        <f>IF(AND(BH119&gt;0,$M119="Non-Saudi"),Assumptions!$B$25,0)</f>
        <v>910.41666666666663</v>
      </c>
      <c r="BM119" s="249">
        <f>IF(AND($D119="Contrat Local",$N119&lt;&gt;""),IF(AND(9&gt;=Assumptions!$B$5,ISNUMBER($X119),$N119&lt;EDATE(Assumptions!$B$9,-Assumptions!$B$6*12)),($P119+$X119)*$V119,$P119*$V119),0)</f>
        <v>10750</v>
      </c>
      <c r="BN119" s="249">
        <f t="shared" si="43"/>
        <v>13750</v>
      </c>
      <c r="BO119" s="249">
        <f>IF(AND(BN119&gt;0,$N119&lt;&gt;""),IF((DATE(Assumptions!$B$4,9,28)-$N119)/365.25&lt;=Assumptions!$B$20,(DATE(Assumptions!$B$4,9,28)-$N119)/365.25*Assumptions!$B$18*BN119,(Assumptions!$B$20*Assumptions!$B$18+((DATE(Assumptions!$B$4,9,28)-$N119)/365.25-Assumptions!$B$20)*Assumptions!$B$19)*BN119),0)</f>
        <v>49122.60438056125</v>
      </c>
      <c r="BP119" s="249">
        <f>IF(BM119&gt;0,IF($M119="Saudi",MIN(BM119+$Q119*$V119,Assumptions!$B$14)*Assumptions!$B$12,MIN(BM119+$Q119*$V119,Assumptions!$B$14)*Assumptions!$B$13),0)</f>
        <v>0</v>
      </c>
      <c r="BQ119" s="249">
        <f>IF(AND(BM119&gt;0,$M119="Non-Saudi"),Assumptions!$B$25,0)</f>
        <v>910.41666666666663</v>
      </c>
      <c r="BR119" s="249">
        <f>IF(AND($D119="Contrat Local",$N119&lt;&gt;""),IF(AND(10&gt;=Assumptions!$B$5,ISNUMBER($X119),$N119&lt;EDATE(Assumptions!$B$9,-Assumptions!$B$6*12)),($P119+$X119)*$V119,$P119*$V119),0)</f>
        <v>10750</v>
      </c>
      <c r="BS119" s="249">
        <f t="shared" si="44"/>
        <v>13750</v>
      </c>
      <c r="BT119" s="249">
        <f>IF(AND(BS119&gt;0,$N119&lt;&gt;""),IF((DATE(Assumptions!$B$4,10,28)-$N119)/365.25&lt;=Assumptions!$B$20,(DATE(Assumptions!$B$4,10,28)-$N119)/365.25*Assumptions!$B$18*BS119,(Assumptions!$B$20*Assumptions!$B$18+((DATE(Assumptions!$B$4,10,28)-$N119)/365.25-Assumptions!$B$20)*Assumptions!$B$19)*BS119),0)</f>
        <v>50251.967830253256</v>
      </c>
      <c r="BU119" s="249">
        <f>IF(BR119&gt;0,IF($M119="Saudi",MIN(BR119+$Q119*$V119,Assumptions!$B$14)*Assumptions!$B$12,MIN(BR119+$Q119*$V119,Assumptions!$B$14)*Assumptions!$B$13),0)</f>
        <v>0</v>
      </c>
      <c r="BV119" s="249">
        <f>IF(AND(BR119&gt;0,$M119="Non-Saudi"),Assumptions!$B$25,0)</f>
        <v>910.41666666666663</v>
      </c>
      <c r="BW119" s="249">
        <f>IF(AND($D119="Contrat Local",$N119&lt;&gt;""),IF(AND(11&gt;=Assumptions!$B$5,ISNUMBER($X119),$N119&lt;EDATE(Assumptions!$B$9,-Assumptions!$B$6*12)),($P119+$X119)*$V119,$P119*$V119),0)</f>
        <v>10750</v>
      </c>
      <c r="BX119" s="249">
        <f t="shared" si="45"/>
        <v>13750</v>
      </c>
      <c r="BY119" s="249">
        <f>IF(AND(BX119&gt;0,$N119&lt;&gt;""),IF((DATE(Assumptions!$B$4,11,28)-$N119)/365.25&lt;=Assumptions!$B$20,(DATE(Assumptions!$B$4,11,28)-$N119)/365.25*Assumptions!$B$18*BX119,(Assumptions!$B$20*Assumptions!$B$18+((DATE(Assumptions!$B$4,11,28)-$N119)/365.25-Assumptions!$B$20)*Assumptions!$B$19)*BX119),0)</f>
        <v>51418.97672826831</v>
      </c>
      <c r="BZ119" s="249">
        <f>IF(BW119&gt;0,IF($M119="Saudi",MIN(BW119+$Q119*$V119,Assumptions!$B$14)*Assumptions!$B$12,MIN(BW119+$Q119*$V119,Assumptions!$B$14)*Assumptions!$B$13),0)</f>
        <v>0</v>
      </c>
      <c r="CA119" s="249">
        <f>IF(AND(BW119&gt;0,$M119="Non-Saudi"),Assumptions!$B$25,0)</f>
        <v>910.41666666666663</v>
      </c>
      <c r="CB119" s="249">
        <f>IF(AND($D119="Contrat Local",$N119&lt;&gt;""),IF(AND(12&gt;=Assumptions!$B$5,ISNUMBER($X119),$N119&lt;EDATE(Assumptions!$B$9,-Assumptions!$B$6*12)),($P119+$X119)*$V119,$P119*$V119),0)</f>
        <v>10750</v>
      </c>
      <c r="CC119" s="249">
        <f t="shared" si="46"/>
        <v>13750</v>
      </c>
      <c r="CD119" s="249">
        <f>IF(AND(CC119&gt;0,$N119&lt;&gt;""),IF((DATE(Assumptions!$B$4,12,28)-$N119)/365.25&lt;=Assumptions!$B$20,(DATE(Assumptions!$B$4,12,28)-$N119)/365.25*Assumptions!$B$18*CC119,(Assumptions!$B$20*Assumptions!$B$18+((DATE(Assumptions!$B$4,12,28)-$N119)/365.25-Assumptions!$B$20)*Assumptions!$B$19)*CC119),0)</f>
        <v>52548.340177960301</v>
      </c>
      <c r="CE119" s="249">
        <f>IF(CB119&gt;0,IF($M119="Saudi",MIN(CB119+$Q119*$V119,Assumptions!$B$14)*Assumptions!$B$12,MIN(CB119+$Q119*$V119,Assumptions!$B$14)*Assumptions!$B$13),0)</f>
        <v>0</v>
      </c>
      <c r="CF119" s="249">
        <f>IF(AND(CB119&gt;0,$M119="Non-Saudi"),Assumptions!$B$25,0)</f>
        <v>910.41666666666663</v>
      </c>
      <c r="CG119" s="249">
        <f t="shared" si="47"/>
        <v>127000</v>
      </c>
      <c r="CH119" s="249">
        <f t="shared" si="48"/>
        <v>163000</v>
      </c>
      <c r="CI119" s="249">
        <f>CD119-IF(AND(Z119&gt;0,$N119&lt;&gt;""),IF((DATE(Assumptions!$B$4-1,12,28)-$N119)/365.25&lt;=Assumptions!$B$20,(DATE(Assumptions!$B$4-1,12,28)-$N119)/365.25*Assumptions!$B$18*Z119,(Assumptions!$B$20*Assumptions!$B$18+((DATE(Assumptions!$B$4-1,12,28)-$N119)/365.25-Assumptions!$B$20)*Assumptions!$B$19)*Z119),0)</f>
        <v>14446.184120465434</v>
      </c>
      <c r="CJ119" s="249">
        <f t="shared" si="49"/>
        <v>0</v>
      </c>
      <c r="CK119" s="249">
        <f t="shared" si="50"/>
        <v>10924.999999999998</v>
      </c>
    </row>
    <row r="120" spans="1:89" x14ac:dyDescent="0.2">
      <c r="A120" s="276">
        <v>120</v>
      </c>
      <c r="B120" s="277" t="s">
        <v>542</v>
      </c>
      <c r="C120" s="277" t="s">
        <v>543</v>
      </c>
      <c r="D120" s="277" t="s">
        <v>250</v>
      </c>
      <c r="E120" s="277" t="s">
        <v>767</v>
      </c>
      <c r="F120" s="277" t="s">
        <v>302</v>
      </c>
      <c r="G120" s="277" t="s">
        <v>303</v>
      </c>
      <c r="H120" s="299" t="s">
        <v>42</v>
      </c>
      <c r="I120" s="287" t="s">
        <v>691</v>
      </c>
      <c r="J120" s="299" t="s">
        <v>85</v>
      </c>
      <c r="K120" s="277" t="s">
        <v>254</v>
      </c>
      <c r="L120" s="277" t="s">
        <v>255</v>
      </c>
      <c r="M120" s="277" t="str">
        <f t="shared" si="51"/>
        <v>Non-Saudi</v>
      </c>
      <c r="N120" s="278">
        <v>45298</v>
      </c>
      <c r="O120" s="279">
        <v>3</v>
      </c>
      <c r="P120" s="280">
        <v>9000</v>
      </c>
      <c r="Q120" s="280">
        <v>2500</v>
      </c>
      <c r="R120" s="280">
        <v>500</v>
      </c>
      <c r="S120" s="280"/>
      <c r="T120" s="280"/>
      <c r="U120" s="280">
        <v>12000</v>
      </c>
      <c r="V120" s="281">
        <v>1</v>
      </c>
      <c r="W120" s="277" t="s">
        <v>259</v>
      </c>
      <c r="X120" s="277" t="s">
        <v>268</v>
      </c>
      <c r="Y120" s="249">
        <f t="shared" si="27"/>
        <v>9000</v>
      </c>
      <c r="Z120" s="249">
        <f t="shared" si="28"/>
        <v>12000</v>
      </c>
      <c r="AA120" s="249">
        <f>IF(AND(Z120&gt;0,$N120&lt;&gt;""),IF((DATE(Assumptions!$B$4,1,28)-$N120)/365.25&lt;=Assumptions!$B$20,(DATE(Assumptions!$B$4,1,28)-$N120)/365.25*Assumptions!$B$18*Z120,(Assumptions!$B$20*Assumptions!$B$18+((DATE(Assumptions!$B$4,1,28)-$N120)/365.25-Assumptions!$B$20)*Assumptions!$B$19)*Z120),0)</f>
        <v>12353.182751540042</v>
      </c>
      <c r="AB120" s="249">
        <f>IF(Y120&gt;0,IF($M120="Saudi",MIN(Y120+$Q120*$V120,Assumptions!$B$14)*Assumptions!$B$12,MIN(Y120+$Q120*$V120,Assumptions!$B$14)*Assumptions!$B$13),0)</f>
        <v>0</v>
      </c>
      <c r="AC120" s="249">
        <f>IF(AND(Y120&gt;0,$M120="Non-Saudi"),Assumptions!$B$25,0)</f>
        <v>910.41666666666663</v>
      </c>
      <c r="AD120" s="249">
        <f t="shared" si="29"/>
        <v>9000</v>
      </c>
      <c r="AE120" s="249">
        <f t="shared" si="30"/>
        <v>12000</v>
      </c>
      <c r="AF120" s="249">
        <f>IF(AND(AE120&gt;0,$N120&lt;&gt;""),IF((DATE(Assumptions!$B$4,2,28)-$N120)/365.25&lt;=Assumptions!$B$20,(DATE(Assumptions!$B$4,2,28)-$N120)/365.25*Assumptions!$B$18*AE120,(Assumptions!$B$20*Assumptions!$B$18+((DATE(Assumptions!$B$4,2,28)-$N120)/365.25-Assumptions!$B$20)*Assumptions!$B$19)*AE120),0)</f>
        <v>12862.422997946613</v>
      </c>
      <c r="AG120" s="249">
        <f>IF(AD120&gt;0,IF($M120="Saudi",MIN(AD120+$Q120*$V120,Assumptions!$B$14)*Assumptions!$B$12,MIN(AD120+$Q120*$V120,Assumptions!$B$14)*Assumptions!$B$13),0)</f>
        <v>0</v>
      </c>
      <c r="AH120" s="249">
        <f>IF(AND(AD120&gt;0,$M120="Non-Saudi"),Assumptions!$B$25,0)</f>
        <v>910.41666666666663</v>
      </c>
      <c r="AI120" s="249">
        <f t="shared" si="31"/>
        <v>9000</v>
      </c>
      <c r="AJ120" s="249">
        <f t="shared" si="32"/>
        <v>12000</v>
      </c>
      <c r="AK120" s="249">
        <f>IF(AND(AJ120&gt;0,$N120&lt;&gt;""),IF((DATE(Assumptions!$B$4,3,28)-$N120)/365.25&lt;=Assumptions!$B$20,(DATE(Assumptions!$B$4,3,28)-$N120)/365.25*Assumptions!$B$18*AJ120,(Assumptions!$B$20*Assumptions!$B$18+((DATE(Assumptions!$B$4,3,28)-$N120)/365.25-Assumptions!$B$20)*Assumptions!$B$19)*AJ120),0)</f>
        <v>13322.381930184805</v>
      </c>
      <c r="AL120" s="249">
        <f>IF(AI120&gt;0,IF($M120="Saudi",MIN(AI120+$Q120*$V120,Assumptions!$B$14)*Assumptions!$B$12,MIN(AI120+$Q120*$V120,Assumptions!$B$14)*Assumptions!$B$13),0)</f>
        <v>0</v>
      </c>
      <c r="AM120" s="249">
        <f>IF(AND(AI120&gt;0,$M120="Non-Saudi"),Assumptions!$B$25,0)</f>
        <v>910.41666666666663</v>
      </c>
      <c r="AN120" s="249">
        <f t="shared" si="33"/>
        <v>9000</v>
      </c>
      <c r="AO120" s="249">
        <f t="shared" si="34"/>
        <v>12000</v>
      </c>
      <c r="AP120" s="249">
        <f>IF(AND(AO120&gt;0,$N120&lt;&gt;""),IF((DATE(Assumptions!$B$4,4,28)-$N120)/365.25&lt;=Assumptions!$B$20,(DATE(Assumptions!$B$4,4,28)-$N120)/365.25*Assumptions!$B$18*AO120,(Assumptions!$B$20*Assumptions!$B$18+((DATE(Assumptions!$B$4,4,28)-$N120)/365.25-Assumptions!$B$20)*Assumptions!$B$19)*AO120),0)</f>
        <v>13831.622176591374</v>
      </c>
      <c r="AQ120" s="249">
        <f>IF(AN120&gt;0,IF($M120="Saudi",MIN(AN120+$Q120*$V120,Assumptions!$B$14)*Assumptions!$B$12,MIN(AN120+$Q120*$V120,Assumptions!$B$14)*Assumptions!$B$13),0)</f>
        <v>0</v>
      </c>
      <c r="AR120" s="249">
        <f>IF(AND(AN120&gt;0,$M120="Non-Saudi"),Assumptions!$B$25,0)</f>
        <v>910.41666666666663</v>
      </c>
      <c r="AS120" s="249">
        <f t="shared" si="35"/>
        <v>9000</v>
      </c>
      <c r="AT120" s="249">
        <f t="shared" si="36"/>
        <v>12000</v>
      </c>
      <c r="AU120" s="249">
        <f>IF(AND(AT120&gt;0,$N120&lt;&gt;""),IF((DATE(Assumptions!$B$4,5,28)-$N120)/365.25&lt;=Assumptions!$B$20,(DATE(Assumptions!$B$4,5,28)-$N120)/365.25*Assumptions!$B$18*AT120,(Assumptions!$B$20*Assumptions!$B$18+((DATE(Assumptions!$B$4,5,28)-$N120)/365.25-Assumptions!$B$20)*Assumptions!$B$19)*AT120),0)</f>
        <v>14324.435318275155</v>
      </c>
      <c r="AV120" s="249">
        <f>IF(AS120&gt;0,IF($M120="Saudi",MIN(AS120+$Q120*$V120,Assumptions!$B$14)*Assumptions!$B$12,MIN(AS120+$Q120*$V120,Assumptions!$B$14)*Assumptions!$B$13),0)</f>
        <v>0</v>
      </c>
      <c r="AW120" s="249">
        <f>IF(AND(AS120&gt;0,$M120="Non-Saudi"),Assumptions!$B$25,0)</f>
        <v>910.41666666666663</v>
      </c>
      <c r="AX120" s="249">
        <f t="shared" si="37"/>
        <v>9000</v>
      </c>
      <c r="AY120" s="249">
        <f t="shared" si="38"/>
        <v>12000</v>
      </c>
      <c r="AZ120" s="249">
        <f>IF(AND(AY120&gt;0,$N120&lt;&gt;""),IF((DATE(Assumptions!$B$4,6,28)-$N120)/365.25&lt;=Assumptions!$B$20,(DATE(Assumptions!$B$4,6,28)-$N120)/365.25*Assumptions!$B$18*AY120,(Assumptions!$B$20*Assumptions!$B$18+((DATE(Assumptions!$B$4,6,28)-$N120)/365.25-Assumptions!$B$20)*Assumptions!$B$19)*AY120),0)</f>
        <v>14833.675564681726</v>
      </c>
      <c r="BA120" s="249">
        <f>IF(AX120&gt;0,IF($M120="Saudi",MIN(AX120+$Q120*$V120,Assumptions!$B$14)*Assumptions!$B$12,MIN(AX120+$Q120*$V120,Assumptions!$B$14)*Assumptions!$B$13),0)</f>
        <v>0</v>
      </c>
      <c r="BB120" s="249">
        <f>IF(AND(AX120&gt;0,$M120="Non-Saudi"),Assumptions!$B$25,0)</f>
        <v>910.41666666666663</v>
      </c>
      <c r="BC120" s="249">
        <f t="shared" si="39"/>
        <v>9000</v>
      </c>
      <c r="BD120" s="249">
        <f t="shared" si="40"/>
        <v>12000</v>
      </c>
      <c r="BE120" s="249">
        <f>IF(AND(BD120&gt;0,$N120&lt;&gt;""),IF((DATE(Assumptions!$B$4,7,28)-$N120)/365.25&lt;=Assumptions!$B$20,(DATE(Assumptions!$B$4,7,28)-$N120)/365.25*Assumptions!$B$18*BD120,(Assumptions!$B$20*Assumptions!$B$18+((DATE(Assumptions!$B$4,7,28)-$N120)/365.25-Assumptions!$B$20)*Assumptions!$B$19)*BD120),0)</f>
        <v>15326.488706365502</v>
      </c>
      <c r="BF120" s="249">
        <f>IF(BC120&gt;0,IF($M120="Saudi",MIN(BC120+$Q120*$V120,Assumptions!$B$14)*Assumptions!$B$12,MIN(BC120+$Q120*$V120,Assumptions!$B$14)*Assumptions!$B$13),0)</f>
        <v>0</v>
      </c>
      <c r="BG120" s="249">
        <f>IF(AND(BC120&gt;0,$M120="Non-Saudi"),Assumptions!$B$25,0)</f>
        <v>910.41666666666663</v>
      </c>
      <c r="BH120" s="249">
        <f t="shared" si="41"/>
        <v>9000</v>
      </c>
      <c r="BI120" s="249">
        <f t="shared" si="42"/>
        <v>12000</v>
      </c>
      <c r="BJ120" s="249">
        <f>IF(AND(BI120&gt;0,$N120&lt;&gt;""),IF((DATE(Assumptions!$B$4,8,28)-$N120)/365.25&lt;=Assumptions!$B$20,(DATE(Assumptions!$B$4,8,28)-$N120)/365.25*Assumptions!$B$18*BI120,(Assumptions!$B$20*Assumptions!$B$18+((DATE(Assumptions!$B$4,8,28)-$N120)/365.25-Assumptions!$B$20)*Assumptions!$B$19)*BI120),0)</f>
        <v>15835.728952772075</v>
      </c>
      <c r="BK120" s="249">
        <f>IF(BH120&gt;0,IF($M120="Saudi",MIN(BH120+$Q120*$V120,Assumptions!$B$14)*Assumptions!$B$12,MIN(BH120+$Q120*$V120,Assumptions!$B$14)*Assumptions!$B$13),0)</f>
        <v>0</v>
      </c>
      <c r="BL120" s="249">
        <f>IF(AND(BH120&gt;0,$M120="Non-Saudi"),Assumptions!$B$25,0)</f>
        <v>910.41666666666663</v>
      </c>
      <c r="BM120" s="249">
        <f>IF(AND($D120="Contrat Local",$N120&lt;&gt;""),IF(AND(9&gt;=Assumptions!$B$5,ISNUMBER($X120),$N120&lt;EDATE(Assumptions!$B$9,-Assumptions!$B$6*12)),($P120+$X120)*$V120,$P120*$V120),0)</f>
        <v>9000</v>
      </c>
      <c r="BN120" s="249">
        <f t="shared" si="43"/>
        <v>12000</v>
      </c>
      <c r="BO120" s="249">
        <f>IF(AND(BN120&gt;0,$N120&lt;&gt;""),IF((DATE(Assumptions!$B$4,9,28)-$N120)/365.25&lt;=Assumptions!$B$20,(DATE(Assumptions!$B$4,9,28)-$N120)/365.25*Assumptions!$B$18*BN120,(Assumptions!$B$20*Assumptions!$B$18+((DATE(Assumptions!$B$4,9,28)-$N120)/365.25-Assumptions!$B$20)*Assumptions!$B$19)*BN120),0)</f>
        <v>16344.969199178646</v>
      </c>
      <c r="BP120" s="249">
        <f>IF(BM120&gt;0,IF($M120="Saudi",MIN(BM120+$Q120*$V120,Assumptions!$B$14)*Assumptions!$B$12,MIN(BM120+$Q120*$V120,Assumptions!$B$14)*Assumptions!$B$13),0)</f>
        <v>0</v>
      </c>
      <c r="BQ120" s="249">
        <f>IF(AND(BM120&gt;0,$M120="Non-Saudi"),Assumptions!$B$25,0)</f>
        <v>910.41666666666663</v>
      </c>
      <c r="BR120" s="249">
        <f>IF(AND($D120="Contrat Local",$N120&lt;&gt;""),IF(AND(10&gt;=Assumptions!$B$5,ISNUMBER($X120),$N120&lt;EDATE(Assumptions!$B$9,-Assumptions!$B$6*12)),($P120+$X120)*$V120,$P120*$V120),0)</f>
        <v>9000</v>
      </c>
      <c r="BS120" s="249">
        <f t="shared" si="44"/>
        <v>12000</v>
      </c>
      <c r="BT120" s="249">
        <f>IF(AND(BS120&gt;0,$N120&lt;&gt;""),IF((DATE(Assumptions!$B$4,10,28)-$N120)/365.25&lt;=Assumptions!$B$20,(DATE(Assumptions!$B$4,10,28)-$N120)/365.25*Assumptions!$B$18*BS120,(Assumptions!$B$20*Assumptions!$B$18+((DATE(Assumptions!$B$4,10,28)-$N120)/365.25-Assumptions!$B$20)*Assumptions!$B$19)*BS120),0)</f>
        <v>16837.782340862421</v>
      </c>
      <c r="BU120" s="249">
        <f>IF(BR120&gt;0,IF($M120="Saudi",MIN(BR120+$Q120*$V120,Assumptions!$B$14)*Assumptions!$B$12,MIN(BR120+$Q120*$V120,Assumptions!$B$14)*Assumptions!$B$13),0)</f>
        <v>0</v>
      </c>
      <c r="BV120" s="249">
        <f>IF(AND(BR120&gt;0,$M120="Non-Saudi"),Assumptions!$B$25,0)</f>
        <v>910.41666666666663</v>
      </c>
      <c r="BW120" s="249">
        <f>IF(AND($D120="Contrat Local",$N120&lt;&gt;""),IF(AND(11&gt;=Assumptions!$B$5,ISNUMBER($X120),$N120&lt;EDATE(Assumptions!$B$9,-Assumptions!$B$6*12)),($P120+$X120)*$V120,$P120*$V120),0)</f>
        <v>9000</v>
      </c>
      <c r="BX120" s="249">
        <f t="shared" si="45"/>
        <v>12000</v>
      </c>
      <c r="BY120" s="249">
        <f>IF(AND(BX120&gt;0,$N120&lt;&gt;""),IF((DATE(Assumptions!$B$4,11,28)-$N120)/365.25&lt;=Assumptions!$B$20,(DATE(Assumptions!$B$4,11,28)-$N120)/365.25*Assumptions!$B$18*BX120,(Assumptions!$B$20*Assumptions!$B$18+((DATE(Assumptions!$B$4,11,28)-$N120)/365.25-Assumptions!$B$20)*Assumptions!$B$19)*BX120),0)</f>
        <v>17347.022587268995</v>
      </c>
      <c r="BZ120" s="249">
        <f>IF(BW120&gt;0,IF($M120="Saudi",MIN(BW120+$Q120*$V120,Assumptions!$B$14)*Assumptions!$B$12,MIN(BW120+$Q120*$V120,Assumptions!$B$14)*Assumptions!$B$13),0)</f>
        <v>0</v>
      </c>
      <c r="CA120" s="249">
        <f>IF(AND(BW120&gt;0,$M120="Non-Saudi"),Assumptions!$B$25,0)</f>
        <v>910.41666666666663</v>
      </c>
      <c r="CB120" s="249">
        <f>IF(AND($D120="Contrat Local",$N120&lt;&gt;""),IF(AND(12&gt;=Assumptions!$B$5,ISNUMBER($X120),$N120&lt;EDATE(Assumptions!$B$9,-Assumptions!$B$6*12)),($P120+$X120)*$V120,$P120*$V120),0)</f>
        <v>9000</v>
      </c>
      <c r="CC120" s="249">
        <f t="shared" si="46"/>
        <v>12000</v>
      </c>
      <c r="CD120" s="249">
        <f>IF(AND(CC120&gt;0,$N120&lt;&gt;""),IF((DATE(Assumptions!$B$4,12,28)-$N120)/365.25&lt;=Assumptions!$B$20,(DATE(Assumptions!$B$4,12,28)-$N120)/365.25*Assumptions!$B$18*CC120,(Assumptions!$B$20*Assumptions!$B$18+((DATE(Assumptions!$B$4,12,28)-$N120)/365.25-Assumptions!$B$20)*Assumptions!$B$19)*CC120),0)</f>
        <v>17839.835728952774</v>
      </c>
      <c r="CE120" s="249">
        <f>IF(CB120&gt;0,IF($M120="Saudi",MIN(CB120+$Q120*$V120,Assumptions!$B$14)*Assumptions!$B$12,MIN(CB120+$Q120*$V120,Assumptions!$B$14)*Assumptions!$B$13),0)</f>
        <v>0</v>
      </c>
      <c r="CF120" s="249">
        <f>IF(AND(CB120&gt;0,$M120="Non-Saudi"),Assumptions!$B$25,0)</f>
        <v>910.41666666666663</v>
      </c>
      <c r="CG120" s="249">
        <f t="shared" si="47"/>
        <v>108000</v>
      </c>
      <c r="CH120" s="249">
        <f t="shared" si="48"/>
        <v>144000</v>
      </c>
      <c r="CI120" s="249">
        <f>CD120-IF(AND(Z120&gt;0,$N120&lt;&gt;""),IF((DATE(Assumptions!$B$4-1,12,28)-$N120)/365.25&lt;=Assumptions!$B$20,(DATE(Assumptions!$B$4-1,12,28)-$N120)/365.25*Assumptions!$B$18*Z120,(Assumptions!$B$20*Assumptions!$B$18+((DATE(Assumptions!$B$4-1,12,28)-$N120)/365.25-Assumptions!$B$20)*Assumptions!$B$19)*Z120),0)</f>
        <v>5995.8932238193029</v>
      </c>
      <c r="CJ120" s="249">
        <f t="shared" si="49"/>
        <v>0</v>
      </c>
      <c r="CK120" s="249">
        <f t="shared" si="50"/>
        <v>10924.999999999998</v>
      </c>
    </row>
    <row r="121" spans="1:89" x14ac:dyDescent="0.2">
      <c r="A121" s="258">
        <v>121</v>
      </c>
      <c r="B121" s="259" t="s">
        <v>544</v>
      </c>
      <c r="C121" s="259" t="s">
        <v>545</v>
      </c>
      <c r="D121" s="259" t="s">
        <v>250</v>
      </c>
      <c r="E121" s="259" t="s">
        <v>767</v>
      </c>
      <c r="F121" s="259" t="s">
        <v>344</v>
      </c>
      <c r="G121" s="259" t="s">
        <v>4</v>
      </c>
      <c r="H121" s="259" t="s">
        <v>120</v>
      </c>
      <c r="I121" s="288" t="s">
        <v>691</v>
      </c>
      <c r="J121" s="259" t="s">
        <v>344</v>
      </c>
      <c r="K121" s="259" t="s">
        <v>4</v>
      </c>
      <c r="L121" s="259" t="s">
        <v>255</v>
      </c>
      <c r="M121" s="259" t="str">
        <f t="shared" si="51"/>
        <v>Non-Saudi</v>
      </c>
      <c r="N121" s="260">
        <v>44875</v>
      </c>
      <c r="O121" s="261">
        <v>4.0999999999999996</v>
      </c>
      <c r="P121" s="262">
        <v>6600</v>
      </c>
      <c r="Q121" s="262">
        <v>2500</v>
      </c>
      <c r="R121" s="262">
        <v>500</v>
      </c>
      <c r="S121" s="262"/>
      <c r="T121" s="262"/>
      <c r="U121" s="262">
        <v>9600</v>
      </c>
      <c r="V121" s="263">
        <v>1</v>
      </c>
      <c r="W121" s="259" t="s">
        <v>259</v>
      </c>
      <c r="X121" s="259">
        <v>200</v>
      </c>
      <c r="Y121" s="249">
        <f t="shared" si="27"/>
        <v>6600</v>
      </c>
      <c r="Z121" s="249">
        <f t="shared" si="28"/>
        <v>9600</v>
      </c>
      <c r="AA121" s="249">
        <f>IF(AND(Z121&gt;0,$N121&lt;&gt;""),IF((DATE(Assumptions!$B$4,1,28)-$N121)/365.25&lt;=Assumptions!$B$20,(DATE(Assumptions!$B$4,1,28)-$N121)/365.25*Assumptions!$B$18*Z121,(Assumptions!$B$20*Assumptions!$B$18+((DATE(Assumptions!$B$4,1,28)-$N121)/365.25-Assumptions!$B$20)*Assumptions!$B$19)*Z121),0)</f>
        <v>15441.478439425051</v>
      </c>
      <c r="AB121" s="249">
        <f>IF(Y121&gt;0,IF($M121="Saudi",MIN(Y121+$Q121*$V121,Assumptions!$B$14)*Assumptions!$B$12,MIN(Y121+$Q121*$V121,Assumptions!$B$14)*Assumptions!$B$13),0)</f>
        <v>0</v>
      </c>
      <c r="AC121" s="249">
        <f>IF(AND(Y121&gt;0,$M121="Non-Saudi"),Assumptions!$B$25,0)</f>
        <v>910.41666666666663</v>
      </c>
      <c r="AD121" s="249">
        <f t="shared" si="29"/>
        <v>6600</v>
      </c>
      <c r="AE121" s="249">
        <f t="shared" si="30"/>
        <v>9600</v>
      </c>
      <c r="AF121" s="249">
        <f>IF(AND(AE121&gt;0,$N121&lt;&gt;""),IF((DATE(Assumptions!$B$4,2,28)-$N121)/365.25&lt;=Assumptions!$B$20,(DATE(Assumptions!$B$4,2,28)-$N121)/365.25*Assumptions!$B$18*AE121,(Assumptions!$B$20*Assumptions!$B$18+((DATE(Assumptions!$B$4,2,28)-$N121)/365.25-Assumptions!$B$20)*Assumptions!$B$19)*AE121),0)</f>
        <v>15848.870636550308</v>
      </c>
      <c r="AG121" s="249">
        <f>IF(AD121&gt;0,IF($M121="Saudi",MIN(AD121+$Q121*$V121,Assumptions!$B$14)*Assumptions!$B$12,MIN(AD121+$Q121*$V121,Assumptions!$B$14)*Assumptions!$B$13),0)</f>
        <v>0</v>
      </c>
      <c r="AH121" s="249">
        <f>IF(AND(AD121&gt;0,$M121="Non-Saudi"),Assumptions!$B$25,0)</f>
        <v>910.41666666666663</v>
      </c>
      <c r="AI121" s="249">
        <f t="shared" si="31"/>
        <v>6600</v>
      </c>
      <c r="AJ121" s="249">
        <f t="shared" si="32"/>
        <v>9600</v>
      </c>
      <c r="AK121" s="249">
        <f>IF(AND(AJ121&gt;0,$N121&lt;&gt;""),IF((DATE(Assumptions!$B$4,3,28)-$N121)/365.25&lt;=Assumptions!$B$20,(DATE(Assumptions!$B$4,3,28)-$N121)/365.25*Assumptions!$B$18*AJ121,(Assumptions!$B$20*Assumptions!$B$18+((DATE(Assumptions!$B$4,3,28)-$N121)/365.25-Assumptions!$B$20)*Assumptions!$B$19)*AJ121),0)</f>
        <v>16216.837782340863</v>
      </c>
      <c r="AL121" s="249">
        <f>IF(AI121&gt;0,IF($M121="Saudi",MIN(AI121+$Q121*$V121,Assumptions!$B$14)*Assumptions!$B$12,MIN(AI121+$Q121*$V121,Assumptions!$B$14)*Assumptions!$B$13),0)</f>
        <v>0</v>
      </c>
      <c r="AM121" s="249">
        <f>IF(AND(AI121&gt;0,$M121="Non-Saudi"),Assumptions!$B$25,0)</f>
        <v>910.41666666666663</v>
      </c>
      <c r="AN121" s="249">
        <f t="shared" si="33"/>
        <v>6600</v>
      </c>
      <c r="AO121" s="249">
        <f t="shared" si="34"/>
        <v>9600</v>
      </c>
      <c r="AP121" s="249">
        <f>IF(AND(AO121&gt;0,$N121&lt;&gt;""),IF((DATE(Assumptions!$B$4,4,28)-$N121)/365.25&lt;=Assumptions!$B$20,(DATE(Assumptions!$B$4,4,28)-$N121)/365.25*Assumptions!$B$18*AO121,(Assumptions!$B$20*Assumptions!$B$18+((DATE(Assumptions!$B$4,4,28)-$N121)/365.25-Assumptions!$B$20)*Assumptions!$B$19)*AO121),0)</f>
        <v>16624.229979466119</v>
      </c>
      <c r="AQ121" s="249">
        <f>IF(AN121&gt;0,IF($M121="Saudi",MIN(AN121+$Q121*$V121,Assumptions!$B$14)*Assumptions!$B$12,MIN(AN121+$Q121*$V121,Assumptions!$B$14)*Assumptions!$B$13),0)</f>
        <v>0</v>
      </c>
      <c r="AR121" s="249">
        <f>IF(AND(AN121&gt;0,$M121="Non-Saudi"),Assumptions!$B$25,0)</f>
        <v>910.41666666666663</v>
      </c>
      <c r="AS121" s="249">
        <f t="shared" si="35"/>
        <v>6600</v>
      </c>
      <c r="AT121" s="249">
        <f t="shared" si="36"/>
        <v>9600</v>
      </c>
      <c r="AU121" s="249">
        <f>IF(AND(AT121&gt;0,$N121&lt;&gt;""),IF((DATE(Assumptions!$B$4,5,28)-$N121)/365.25&lt;=Assumptions!$B$20,(DATE(Assumptions!$B$4,5,28)-$N121)/365.25*Assumptions!$B$18*AT121,(Assumptions!$B$20*Assumptions!$B$18+((DATE(Assumptions!$B$4,5,28)-$N121)/365.25-Assumptions!$B$20)*Assumptions!$B$19)*AT121),0)</f>
        <v>17018.480492813142</v>
      </c>
      <c r="AV121" s="249">
        <f>IF(AS121&gt;0,IF($M121="Saudi",MIN(AS121+$Q121*$V121,Assumptions!$B$14)*Assumptions!$B$12,MIN(AS121+$Q121*$V121,Assumptions!$B$14)*Assumptions!$B$13),0)</f>
        <v>0</v>
      </c>
      <c r="AW121" s="249">
        <f>IF(AND(AS121&gt;0,$M121="Non-Saudi"),Assumptions!$B$25,0)</f>
        <v>910.41666666666663</v>
      </c>
      <c r="AX121" s="249">
        <f t="shared" si="37"/>
        <v>6600</v>
      </c>
      <c r="AY121" s="249">
        <f t="shared" si="38"/>
        <v>9600</v>
      </c>
      <c r="AZ121" s="249">
        <f>IF(AND(AY121&gt;0,$N121&lt;&gt;""),IF((DATE(Assumptions!$B$4,6,28)-$N121)/365.25&lt;=Assumptions!$B$20,(DATE(Assumptions!$B$4,6,28)-$N121)/365.25*Assumptions!$B$18*AY121,(Assumptions!$B$20*Assumptions!$B$18+((DATE(Assumptions!$B$4,6,28)-$N121)/365.25-Assumptions!$B$20)*Assumptions!$B$19)*AY121),0)</f>
        <v>17425.872689938398</v>
      </c>
      <c r="BA121" s="249">
        <f>IF(AX121&gt;0,IF($M121="Saudi",MIN(AX121+$Q121*$V121,Assumptions!$B$14)*Assumptions!$B$12,MIN(AX121+$Q121*$V121,Assumptions!$B$14)*Assumptions!$B$13),0)</f>
        <v>0</v>
      </c>
      <c r="BB121" s="249">
        <f>IF(AND(AX121&gt;0,$M121="Non-Saudi"),Assumptions!$B$25,0)</f>
        <v>910.41666666666663</v>
      </c>
      <c r="BC121" s="249">
        <f t="shared" si="39"/>
        <v>6600</v>
      </c>
      <c r="BD121" s="249">
        <f t="shared" si="40"/>
        <v>9600</v>
      </c>
      <c r="BE121" s="249">
        <f>IF(AND(BD121&gt;0,$N121&lt;&gt;""),IF((DATE(Assumptions!$B$4,7,28)-$N121)/365.25&lt;=Assumptions!$B$20,(DATE(Assumptions!$B$4,7,28)-$N121)/365.25*Assumptions!$B$18*BD121,(Assumptions!$B$20*Assumptions!$B$18+((DATE(Assumptions!$B$4,7,28)-$N121)/365.25-Assumptions!$B$20)*Assumptions!$B$19)*BD121),0)</f>
        <v>17820.12320328542</v>
      </c>
      <c r="BF121" s="249">
        <f>IF(BC121&gt;0,IF($M121="Saudi",MIN(BC121+$Q121*$V121,Assumptions!$B$14)*Assumptions!$B$12,MIN(BC121+$Q121*$V121,Assumptions!$B$14)*Assumptions!$B$13),0)</f>
        <v>0</v>
      </c>
      <c r="BG121" s="249">
        <f>IF(AND(BC121&gt;0,$M121="Non-Saudi"),Assumptions!$B$25,0)</f>
        <v>910.41666666666663</v>
      </c>
      <c r="BH121" s="249">
        <f t="shared" si="41"/>
        <v>6600</v>
      </c>
      <c r="BI121" s="249">
        <f t="shared" si="42"/>
        <v>9600</v>
      </c>
      <c r="BJ121" s="249">
        <f>IF(AND(BI121&gt;0,$N121&lt;&gt;""),IF((DATE(Assumptions!$B$4,8,28)-$N121)/365.25&lt;=Assumptions!$B$20,(DATE(Assumptions!$B$4,8,28)-$N121)/365.25*Assumptions!$B$18*BI121,(Assumptions!$B$20*Assumptions!$B$18+((DATE(Assumptions!$B$4,8,28)-$N121)/365.25-Assumptions!$B$20)*Assumptions!$B$19)*BI121),0)</f>
        <v>18227.515400410677</v>
      </c>
      <c r="BK121" s="249">
        <f>IF(BH121&gt;0,IF($M121="Saudi",MIN(BH121+$Q121*$V121,Assumptions!$B$14)*Assumptions!$B$12,MIN(BH121+$Q121*$V121,Assumptions!$B$14)*Assumptions!$B$13),0)</f>
        <v>0</v>
      </c>
      <c r="BL121" s="249">
        <f>IF(AND(BH121&gt;0,$M121="Non-Saudi"),Assumptions!$B$25,0)</f>
        <v>910.41666666666663</v>
      </c>
      <c r="BM121" s="249">
        <f>IF(AND($D121="Contrat Local",$N121&lt;&gt;""),IF(AND(9&gt;=Assumptions!$B$5,ISNUMBER($X121),$N121&lt;EDATE(Assumptions!$B$9,-Assumptions!$B$6*12)),($P121+$X121)*$V121,$P121*$V121),0)</f>
        <v>6800</v>
      </c>
      <c r="BN121" s="249">
        <f t="shared" si="43"/>
        <v>9800</v>
      </c>
      <c r="BO121" s="249">
        <f>IF(AND(BN121&gt;0,$N121&lt;&gt;""),IF((DATE(Assumptions!$B$4,9,28)-$N121)/365.25&lt;=Assumptions!$B$20,(DATE(Assumptions!$B$4,9,28)-$N121)/365.25*Assumptions!$B$18*BN121,(Assumptions!$B$20*Assumptions!$B$18+((DATE(Assumptions!$B$4,9,28)-$N121)/365.25-Assumptions!$B$20)*Assumptions!$B$19)*BN121),0)</f>
        <v>19023.134839151266</v>
      </c>
      <c r="BP121" s="249">
        <f>IF(BM121&gt;0,IF($M121="Saudi",MIN(BM121+$Q121*$V121,Assumptions!$B$14)*Assumptions!$B$12,MIN(BM121+$Q121*$V121,Assumptions!$B$14)*Assumptions!$B$13),0)</f>
        <v>0</v>
      </c>
      <c r="BQ121" s="249">
        <f>IF(AND(BM121&gt;0,$M121="Non-Saudi"),Assumptions!$B$25,0)</f>
        <v>910.41666666666663</v>
      </c>
      <c r="BR121" s="249">
        <f>IF(AND($D121="Contrat Local",$N121&lt;&gt;""),IF(AND(10&gt;=Assumptions!$B$5,ISNUMBER($X121),$N121&lt;EDATE(Assumptions!$B$9,-Assumptions!$B$6*12)),($P121+$X121)*$V121,$P121*$V121),0)</f>
        <v>6800</v>
      </c>
      <c r="BS121" s="249">
        <f t="shared" si="44"/>
        <v>9800</v>
      </c>
      <c r="BT121" s="249">
        <f>IF(AND(BS121&gt;0,$N121&lt;&gt;""),IF((DATE(Assumptions!$B$4,10,28)-$N121)/365.25&lt;=Assumptions!$B$20,(DATE(Assumptions!$B$4,10,28)-$N121)/365.25*Assumptions!$B$18*BS121,(Assumptions!$B$20*Assumptions!$B$18+((DATE(Assumptions!$B$4,10,28)-$N121)/365.25-Assumptions!$B$20)*Assumptions!$B$19)*BS121),0)</f>
        <v>19425.598904859686</v>
      </c>
      <c r="BU121" s="249">
        <f>IF(BR121&gt;0,IF($M121="Saudi",MIN(BR121+$Q121*$V121,Assumptions!$B$14)*Assumptions!$B$12,MIN(BR121+$Q121*$V121,Assumptions!$B$14)*Assumptions!$B$13),0)</f>
        <v>0</v>
      </c>
      <c r="BV121" s="249">
        <f>IF(AND(BR121&gt;0,$M121="Non-Saudi"),Assumptions!$B$25,0)</f>
        <v>910.41666666666663</v>
      </c>
      <c r="BW121" s="249">
        <f>IF(AND($D121="Contrat Local",$N121&lt;&gt;""),IF(AND(11&gt;=Assumptions!$B$5,ISNUMBER($X121),$N121&lt;EDATE(Assumptions!$B$9,-Assumptions!$B$6*12)),($P121+$X121)*$V121,$P121*$V121),0)</f>
        <v>6800</v>
      </c>
      <c r="BX121" s="249">
        <f t="shared" si="45"/>
        <v>9800</v>
      </c>
      <c r="BY121" s="249">
        <f>IF(AND(BX121&gt;0,$N121&lt;&gt;""),IF((DATE(Assumptions!$B$4,11,28)-$N121)/365.25&lt;=Assumptions!$B$20,(DATE(Assumptions!$B$4,11,28)-$N121)/365.25*Assumptions!$B$18*BX121,(Assumptions!$B$20*Assumptions!$B$18+((DATE(Assumptions!$B$4,11,28)-$N121)/365.25-Assumptions!$B$20)*Assumptions!$B$19)*BX121),0)</f>
        <v>19841.478439425053</v>
      </c>
      <c r="BZ121" s="249">
        <f>IF(BW121&gt;0,IF($M121="Saudi",MIN(BW121+$Q121*$V121,Assumptions!$B$14)*Assumptions!$B$12,MIN(BW121+$Q121*$V121,Assumptions!$B$14)*Assumptions!$B$13),0)</f>
        <v>0</v>
      </c>
      <c r="CA121" s="249">
        <f>IF(AND(BW121&gt;0,$M121="Non-Saudi"),Assumptions!$B$25,0)</f>
        <v>910.41666666666663</v>
      </c>
      <c r="CB121" s="249">
        <f>IF(AND($D121="Contrat Local",$N121&lt;&gt;""),IF(AND(12&gt;=Assumptions!$B$5,ISNUMBER($X121),$N121&lt;EDATE(Assumptions!$B$9,-Assumptions!$B$6*12)),($P121+$X121)*$V121,$P121*$V121),0)</f>
        <v>6800</v>
      </c>
      <c r="CC121" s="249">
        <f t="shared" si="46"/>
        <v>9800</v>
      </c>
      <c r="CD121" s="249">
        <f>IF(AND(CC121&gt;0,$N121&lt;&gt;""),IF((DATE(Assumptions!$B$4,12,28)-$N121)/365.25&lt;=Assumptions!$B$20,(DATE(Assumptions!$B$4,12,28)-$N121)/365.25*Assumptions!$B$18*CC121,(Assumptions!$B$20*Assumptions!$B$18+((DATE(Assumptions!$B$4,12,28)-$N121)/365.25-Assumptions!$B$20)*Assumptions!$B$19)*CC121),0)</f>
        <v>20243.942505133473</v>
      </c>
      <c r="CE121" s="249">
        <f>IF(CB121&gt;0,IF($M121="Saudi",MIN(CB121+$Q121*$V121,Assumptions!$B$14)*Assumptions!$B$12,MIN(CB121+$Q121*$V121,Assumptions!$B$14)*Assumptions!$B$13),0)</f>
        <v>0</v>
      </c>
      <c r="CF121" s="249">
        <f>IF(AND(CB121&gt;0,$M121="Non-Saudi"),Assumptions!$B$25,0)</f>
        <v>910.41666666666663</v>
      </c>
      <c r="CG121" s="249">
        <f t="shared" si="47"/>
        <v>80000</v>
      </c>
      <c r="CH121" s="249">
        <f t="shared" si="48"/>
        <v>116000</v>
      </c>
      <c r="CI121" s="249">
        <f>CD121-IF(AND(Z121&gt;0,$N121&lt;&gt;""),IF((DATE(Assumptions!$B$4-1,12,28)-$N121)/365.25&lt;=Assumptions!$B$20,(DATE(Assumptions!$B$4-1,12,28)-$N121)/365.25*Assumptions!$B$18*Z121,(Assumptions!$B$20*Assumptions!$B$18+((DATE(Assumptions!$B$4-1,12,28)-$N121)/365.25-Assumptions!$B$20)*Assumptions!$B$19)*Z121),0)</f>
        <v>5209.8562628336786</v>
      </c>
      <c r="CJ121" s="249">
        <f t="shared" si="49"/>
        <v>0</v>
      </c>
      <c r="CK121" s="249">
        <f t="shared" si="50"/>
        <v>10924.999999999998</v>
      </c>
    </row>
    <row r="122" spans="1:89" x14ac:dyDescent="0.2">
      <c r="A122" s="270">
        <v>122</v>
      </c>
      <c r="B122" s="271" t="s">
        <v>546</v>
      </c>
      <c r="C122" s="271" t="s">
        <v>429</v>
      </c>
      <c r="D122" s="271" t="s">
        <v>250</v>
      </c>
      <c r="E122" s="271" t="s">
        <v>767</v>
      </c>
      <c r="F122" s="271" t="s">
        <v>547</v>
      </c>
      <c r="G122" s="271" t="s">
        <v>272</v>
      </c>
      <c r="H122" s="271" t="s">
        <v>548</v>
      </c>
      <c r="I122" s="285" t="s">
        <v>690</v>
      </c>
      <c r="J122" s="271"/>
      <c r="K122" s="271" t="s">
        <v>272</v>
      </c>
      <c r="L122" s="271" t="s">
        <v>255</v>
      </c>
      <c r="M122" s="271" t="str">
        <f t="shared" si="51"/>
        <v>Non-Saudi</v>
      </c>
      <c r="N122" s="272">
        <v>44440</v>
      </c>
      <c r="O122" s="273">
        <v>5.3</v>
      </c>
      <c r="P122" s="274">
        <v>12500</v>
      </c>
      <c r="Q122" s="274">
        <v>2500</v>
      </c>
      <c r="R122" s="274">
        <v>500</v>
      </c>
      <c r="S122" s="274">
        <v>500</v>
      </c>
      <c r="T122" s="274"/>
      <c r="U122" s="274">
        <v>16000</v>
      </c>
      <c r="V122" s="275">
        <v>1</v>
      </c>
      <c r="W122" s="271" t="s">
        <v>256</v>
      </c>
      <c r="X122" s="271" t="s">
        <v>549</v>
      </c>
      <c r="Y122" s="249">
        <f t="shared" si="27"/>
        <v>12500</v>
      </c>
      <c r="Z122" s="249">
        <f t="shared" si="28"/>
        <v>16000</v>
      </c>
      <c r="AA122" s="249">
        <f>IF(AND(Z122&gt;0,$N122&lt;&gt;""),IF((DATE(Assumptions!$B$4,1,28)-$N122)/365.25&lt;=Assumptions!$B$20,(DATE(Assumptions!$B$4,1,28)-$N122)/365.25*Assumptions!$B$18*Z122,(Assumptions!$B$20*Assumptions!$B$18+((DATE(Assumptions!$B$4,1,28)-$N122)/365.25-Assumptions!$B$20)*Assumptions!$B$19)*Z122),0)</f>
        <v>35263.518138261468</v>
      </c>
      <c r="AB122" s="249">
        <f>IF(Y122&gt;0,IF($M122="Saudi",MIN(Y122+$Q122*$V122,Assumptions!$B$14)*Assumptions!$B$12,MIN(Y122+$Q122*$V122,Assumptions!$B$14)*Assumptions!$B$13),0)</f>
        <v>0</v>
      </c>
      <c r="AC122" s="249">
        <f>IF(AND(Y122&gt;0,$M122="Non-Saudi"),Assumptions!$B$25,0)</f>
        <v>910.41666666666663</v>
      </c>
      <c r="AD122" s="249">
        <f t="shared" si="29"/>
        <v>12500</v>
      </c>
      <c r="AE122" s="249">
        <f t="shared" si="30"/>
        <v>16000</v>
      </c>
      <c r="AF122" s="249">
        <f>IF(AND(AE122&gt;0,$N122&lt;&gt;""),IF((DATE(Assumptions!$B$4,2,28)-$N122)/365.25&lt;=Assumptions!$B$20,(DATE(Assumptions!$B$4,2,28)-$N122)/365.25*Assumptions!$B$18*AE122,(Assumptions!$B$20*Assumptions!$B$18+((DATE(Assumptions!$B$4,2,28)-$N122)/365.25-Assumptions!$B$20)*Assumptions!$B$19)*AE122),0)</f>
        <v>35942.505133470229</v>
      </c>
      <c r="AG122" s="249">
        <f>IF(AD122&gt;0,IF($M122="Saudi",MIN(AD122+$Q122*$V122,Assumptions!$B$14)*Assumptions!$B$12,MIN(AD122+$Q122*$V122,Assumptions!$B$14)*Assumptions!$B$13),0)</f>
        <v>0</v>
      </c>
      <c r="AH122" s="249">
        <f>IF(AND(AD122&gt;0,$M122="Non-Saudi"),Assumptions!$B$25,0)</f>
        <v>910.41666666666663</v>
      </c>
      <c r="AI122" s="249">
        <f t="shared" si="31"/>
        <v>12500</v>
      </c>
      <c r="AJ122" s="249">
        <f t="shared" si="32"/>
        <v>16000</v>
      </c>
      <c r="AK122" s="249">
        <f>IF(AND(AJ122&gt;0,$N122&lt;&gt;""),IF((DATE(Assumptions!$B$4,3,28)-$N122)/365.25&lt;=Assumptions!$B$20,(DATE(Assumptions!$B$4,3,28)-$N122)/365.25*Assumptions!$B$18*AJ122,(Assumptions!$B$20*Assumptions!$B$18+((DATE(Assumptions!$B$4,3,28)-$N122)/365.25-Assumptions!$B$20)*Assumptions!$B$19)*AJ122),0)</f>
        <v>36555.783709787815</v>
      </c>
      <c r="AL122" s="249">
        <f>IF(AI122&gt;0,IF($M122="Saudi",MIN(AI122+$Q122*$V122,Assumptions!$B$14)*Assumptions!$B$12,MIN(AI122+$Q122*$V122,Assumptions!$B$14)*Assumptions!$B$13),0)</f>
        <v>0</v>
      </c>
      <c r="AM122" s="249">
        <f>IF(AND(AI122&gt;0,$M122="Non-Saudi"),Assumptions!$B$25,0)</f>
        <v>910.41666666666663</v>
      </c>
      <c r="AN122" s="249">
        <f t="shared" si="33"/>
        <v>12500</v>
      </c>
      <c r="AO122" s="249">
        <f t="shared" si="34"/>
        <v>16000</v>
      </c>
      <c r="AP122" s="249">
        <f>IF(AND(AO122&gt;0,$N122&lt;&gt;""),IF((DATE(Assumptions!$B$4,4,28)-$N122)/365.25&lt;=Assumptions!$B$20,(DATE(Assumptions!$B$4,4,28)-$N122)/365.25*Assumptions!$B$18*AO122,(Assumptions!$B$20*Assumptions!$B$18+((DATE(Assumptions!$B$4,4,28)-$N122)/365.25-Assumptions!$B$20)*Assumptions!$B$19)*AO122),0)</f>
        <v>37234.770704996576</v>
      </c>
      <c r="AQ122" s="249">
        <f>IF(AN122&gt;0,IF($M122="Saudi",MIN(AN122+$Q122*$V122,Assumptions!$B$14)*Assumptions!$B$12,MIN(AN122+$Q122*$V122,Assumptions!$B$14)*Assumptions!$B$13),0)</f>
        <v>0</v>
      </c>
      <c r="AR122" s="249">
        <f>IF(AND(AN122&gt;0,$M122="Non-Saudi"),Assumptions!$B$25,0)</f>
        <v>910.41666666666663</v>
      </c>
      <c r="AS122" s="249">
        <f t="shared" si="35"/>
        <v>12500</v>
      </c>
      <c r="AT122" s="249">
        <f t="shared" si="36"/>
        <v>16000</v>
      </c>
      <c r="AU122" s="249">
        <f>IF(AND(AT122&gt;0,$N122&lt;&gt;""),IF((DATE(Assumptions!$B$4,5,28)-$N122)/365.25&lt;=Assumptions!$B$20,(DATE(Assumptions!$B$4,5,28)-$N122)/365.25*Assumptions!$B$18*AT122,(Assumptions!$B$20*Assumptions!$B$18+((DATE(Assumptions!$B$4,5,28)-$N122)/365.25-Assumptions!$B$20)*Assumptions!$B$19)*AT122),0)</f>
        <v>37891.854893908283</v>
      </c>
      <c r="AV122" s="249">
        <f>IF(AS122&gt;0,IF($M122="Saudi",MIN(AS122+$Q122*$V122,Assumptions!$B$14)*Assumptions!$B$12,MIN(AS122+$Q122*$V122,Assumptions!$B$14)*Assumptions!$B$13),0)</f>
        <v>0</v>
      </c>
      <c r="AW122" s="249">
        <f>IF(AND(AS122&gt;0,$M122="Non-Saudi"),Assumptions!$B$25,0)</f>
        <v>910.41666666666663</v>
      </c>
      <c r="AX122" s="249">
        <f t="shared" si="37"/>
        <v>12500</v>
      </c>
      <c r="AY122" s="249">
        <f t="shared" si="38"/>
        <v>16000</v>
      </c>
      <c r="AZ122" s="249">
        <f>IF(AND(AY122&gt;0,$N122&lt;&gt;""),IF((DATE(Assumptions!$B$4,6,28)-$N122)/365.25&lt;=Assumptions!$B$20,(DATE(Assumptions!$B$4,6,28)-$N122)/365.25*Assumptions!$B$18*AY122,(Assumptions!$B$20*Assumptions!$B$18+((DATE(Assumptions!$B$4,6,28)-$N122)/365.25-Assumptions!$B$20)*Assumptions!$B$19)*AY122),0)</f>
        <v>38570.841889117044</v>
      </c>
      <c r="BA122" s="249">
        <f>IF(AX122&gt;0,IF($M122="Saudi",MIN(AX122+$Q122*$V122,Assumptions!$B$14)*Assumptions!$B$12,MIN(AX122+$Q122*$V122,Assumptions!$B$14)*Assumptions!$B$13),0)</f>
        <v>0</v>
      </c>
      <c r="BB122" s="249">
        <f>IF(AND(AX122&gt;0,$M122="Non-Saudi"),Assumptions!$B$25,0)</f>
        <v>910.41666666666663</v>
      </c>
      <c r="BC122" s="249">
        <f t="shared" si="39"/>
        <v>12500</v>
      </c>
      <c r="BD122" s="249">
        <f t="shared" si="40"/>
        <v>16000</v>
      </c>
      <c r="BE122" s="249">
        <f>IF(AND(BD122&gt;0,$N122&lt;&gt;""),IF((DATE(Assumptions!$B$4,7,28)-$N122)/365.25&lt;=Assumptions!$B$20,(DATE(Assumptions!$B$4,7,28)-$N122)/365.25*Assumptions!$B$18*BD122,(Assumptions!$B$20*Assumptions!$B$18+((DATE(Assumptions!$B$4,7,28)-$N122)/365.25-Assumptions!$B$20)*Assumptions!$B$19)*BD122),0)</f>
        <v>39227.926078028744</v>
      </c>
      <c r="BF122" s="249">
        <f>IF(BC122&gt;0,IF($M122="Saudi",MIN(BC122+$Q122*$V122,Assumptions!$B$14)*Assumptions!$B$12,MIN(BC122+$Q122*$V122,Assumptions!$B$14)*Assumptions!$B$13),0)</f>
        <v>0</v>
      </c>
      <c r="BG122" s="249">
        <f>IF(AND(BC122&gt;0,$M122="Non-Saudi"),Assumptions!$B$25,0)</f>
        <v>910.41666666666663</v>
      </c>
      <c r="BH122" s="249">
        <f t="shared" si="41"/>
        <v>12500</v>
      </c>
      <c r="BI122" s="249">
        <f t="shared" si="42"/>
        <v>16000</v>
      </c>
      <c r="BJ122" s="249">
        <f>IF(AND(BI122&gt;0,$N122&lt;&gt;""),IF((DATE(Assumptions!$B$4,8,28)-$N122)/365.25&lt;=Assumptions!$B$20,(DATE(Assumptions!$B$4,8,28)-$N122)/365.25*Assumptions!$B$18*BI122,(Assumptions!$B$20*Assumptions!$B$18+((DATE(Assumptions!$B$4,8,28)-$N122)/365.25-Assumptions!$B$20)*Assumptions!$B$19)*BI122),0)</f>
        <v>39906.913073237512</v>
      </c>
      <c r="BK122" s="249">
        <f>IF(BH122&gt;0,IF($M122="Saudi",MIN(BH122+$Q122*$V122,Assumptions!$B$14)*Assumptions!$B$12,MIN(BH122+$Q122*$V122,Assumptions!$B$14)*Assumptions!$B$13),0)</f>
        <v>0</v>
      </c>
      <c r="BL122" s="249">
        <f>IF(AND(BH122&gt;0,$M122="Non-Saudi"),Assumptions!$B$25,0)</f>
        <v>910.41666666666663</v>
      </c>
      <c r="BM122" s="249">
        <f>IF(AND($D122="Contrat Local",$N122&lt;&gt;""),IF(AND(9&gt;=Assumptions!$B$5,ISNUMBER($X122),$N122&lt;EDATE(Assumptions!$B$9,-Assumptions!$B$6*12)),($P122+$X122)*$V122,$P122*$V122),0)</f>
        <v>12500</v>
      </c>
      <c r="BN122" s="249">
        <f t="shared" si="43"/>
        <v>16000</v>
      </c>
      <c r="BO122" s="249">
        <f>IF(AND(BN122&gt;0,$N122&lt;&gt;""),IF((DATE(Assumptions!$B$4,9,28)-$N122)/365.25&lt;=Assumptions!$B$20,(DATE(Assumptions!$B$4,9,28)-$N122)/365.25*Assumptions!$B$18*BN122,(Assumptions!$B$20*Assumptions!$B$18+((DATE(Assumptions!$B$4,9,28)-$N122)/365.25-Assumptions!$B$20)*Assumptions!$B$19)*BN122),0)</f>
        <v>41171.80013689254</v>
      </c>
      <c r="BP122" s="249">
        <f>IF(BM122&gt;0,IF($M122="Saudi",MIN(BM122+$Q122*$V122,Assumptions!$B$14)*Assumptions!$B$12,MIN(BM122+$Q122*$V122,Assumptions!$B$14)*Assumptions!$B$13),0)</f>
        <v>0</v>
      </c>
      <c r="BQ122" s="249">
        <f>IF(AND(BM122&gt;0,$M122="Non-Saudi"),Assumptions!$B$25,0)</f>
        <v>910.41666666666663</v>
      </c>
      <c r="BR122" s="249">
        <f>IF(AND($D122="Contrat Local",$N122&lt;&gt;""),IF(AND(10&gt;=Assumptions!$B$5,ISNUMBER($X122),$N122&lt;EDATE(Assumptions!$B$9,-Assumptions!$B$6*12)),($P122+$X122)*$V122,$P122*$V122),0)</f>
        <v>12500</v>
      </c>
      <c r="BS122" s="249">
        <f t="shared" si="44"/>
        <v>16000</v>
      </c>
      <c r="BT122" s="249">
        <f>IF(AND(BS122&gt;0,$N122&lt;&gt;""),IF((DATE(Assumptions!$B$4,10,28)-$N122)/365.25&lt;=Assumptions!$B$20,(DATE(Assumptions!$B$4,10,28)-$N122)/365.25*Assumptions!$B$18*BS122,(Assumptions!$B$20*Assumptions!$B$18+((DATE(Assumptions!$B$4,10,28)-$N122)/365.25-Assumptions!$B$20)*Assumptions!$B$19)*BS122),0)</f>
        <v>42485.968514715947</v>
      </c>
      <c r="BU122" s="249">
        <f>IF(BR122&gt;0,IF($M122="Saudi",MIN(BR122+$Q122*$V122,Assumptions!$B$14)*Assumptions!$B$12,MIN(BR122+$Q122*$V122,Assumptions!$B$14)*Assumptions!$B$13),0)</f>
        <v>0</v>
      </c>
      <c r="BV122" s="249">
        <f>IF(AND(BR122&gt;0,$M122="Non-Saudi"),Assumptions!$B$25,0)</f>
        <v>910.41666666666663</v>
      </c>
      <c r="BW122" s="249">
        <f>IF(AND($D122="Contrat Local",$N122&lt;&gt;""),IF(AND(11&gt;=Assumptions!$B$5,ISNUMBER($X122),$N122&lt;EDATE(Assumptions!$B$9,-Assumptions!$B$6*12)),($P122+$X122)*$V122,$P122*$V122),0)</f>
        <v>12500</v>
      </c>
      <c r="BX122" s="249">
        <f t="shared" si="45"/>
        <v>16000</v>
      </c>
      <c r="BY122" s="249">
        <f>IF(AND(BX122&gt;0,$N122&lt;&gt;""),IF((DATE(Assumptions!$B$4,11,28)-$N122)/365.25&lt;=Assumptions!$B$20,(DATE(Assumptions!$B$4,11,28)-$N122)/365.25*Assumptions!$B$18*BX122,(Assumptions!$B$20*Assumptions!$B$18+((DATE(Assumptions!$B$4,11,28)-$N122)/365.25-Assumptions!$B$20)*Assumptions!$B$19)*BX122),0)</f>
        <v>43843.942505133469</v>
      </c>
      <c r="BZ122" s="249">
        <f>IF(BW122&gt;0,IF($M122="Saudi",MIN(BW122+$Q122*$V122,Assumptions!$B$14)*Assumptions!$B$12,MIN(BW122+$Q122*$V122,Assumptions!$B$14)*Assumptions!$B$13),0)</f>
        <v>0</v>
      </c>
      <c r="CA122" s="249">
        <f>IF(AND(BW122&gt;0,$M122="Non-Saudi"),Assumptions!$B$25,0)</f>
        <v>910.41666666666663</v>
      </c>
      <c r="CB122" s="249">
        <f>IF(AND($D122="Contrat Local",$N122&lt;&gt;""),IF(AND(12&gt;=Assumptions!$B$5,ISNUMBER($X122),$N122&lt;EDATE(Assumptions!$B$9,-Assumptions!$B$6*12)),($P122+$X122)*$V122,$P122*$V122),0)</f>
        <v>12500</v>
      </c>
      <c r="CC122" s="249">
        <f t="shared" si="46"/>
        <v>16000</v>
      </c>
      <c r="CD122" s="249">
        <f>IF(AND(CC122&gt;0,$N122&lt;&gt;""),IF((DATE(Assumptions!$B$4,12,28)-$N122)/365.25&lt;=Assumptions!$B$20,(DATE(Assumptions!$B$4,12,28)-$N122)/365.25*Assumptions!$B$18*CC122,(Assumptions!$B$20*Assumptions!$B$18+((DATE(Assumptions!$B$4,12,28)-$N122)/365.25-Assumptions!$B$20)*Assumptions!$B$19)*CC122),0)</f>
        <v>45158.110882956877</v>
      </c>
      <c r="CE122" s="249">
        <f>IF(CB122&gt;0,IF($M122="Saudi",MIN(CB122+$Q122*$V122,Assumptions!$B$14)*Assumptions!$B$12,MIN(CB122+$Q122*$V122,Assumptions!$B$14)*Assumptions!$B$13),0)</f>
        <v>0</v>
      </c>
      <c r="CF122" s="249">
        <f>IF(AND(CB122&gt;0,$M122="Non-Saudi"),Assumptions!$B$25,0)</f>
        <v>910.41666666666663</v>
      </c>
      <c r="CG122" s="249">
        <f t="shared" si="47"/>
        <v>150000</v>
      </c>
      <c r="CH122" s="249">
        <f t="shared" si="48"/>
        <v>192000</v>
      </c>
      <c r="CI122" s="249">
        <f>CD122-IF(AND(Z122&gt;0,$N122&lt;&gt;""),IF((DATE(Assumptions!$B$4-1,12,28)-$N122)/365.25&lt;=Assumptions!$B$20,(DATE(Assumptions!$B$4-1,12,28)-$N122)/365.25*Assumptions!$B$18*Z122,(Assumptions!$B$20*Assumptions!$B$18+((DATE(Assumptions!$B$4-1,12,28)-$N122)/365.25-Assumptions!$B$20)*Assumptions!$B$19)*Z122),0)</f>
        <v>10573.579739904177</v>
      </c>
      <c r="CJ122" s="249">
        <f t="shared" si="49"/>
        <v>0</v>
      </c>
      <c r="CK122" s="249">
        <f t="shared" si="50"/>
        <v>10924.999999999998</v>
      </c>
    </row>
    <row r="123" spans="1:89" x14ac:dyDescent="0.2">
      <c r="A123" s="276">
        <v>123</v>
      </c>
      <c r="B123" s="277" t="s">
        <v>550</v>
      </c>
      <c r="C123" s="277" t="s">
        <v>551</v>
      </c>
      <c r="D123" s="277" t="s">
        <v>250</v>
      </c>
      <c r="E123" s="277" t="s">
        <v>767</v>
      </c>
      <c r="F123" s="277" t="s">
        <v>315</v>
      </c>
      <c r="G123" s="277" t="s">
        <v>303</v>
      </c>
      <c r="H123" s="277" t="s">
        <v>43</v>
      </c>
      <c r="I123" s="287" t="s">
        <v>691</v>
      </c>
      <c r="J123" s="277" t="s">
        <v>65</v>
      </c>
      <c r="K123" s="277" t="s">
        <v>254</v>
      </c>
      <c r="L123" s="277" t="s">
        <v>255</v>
      </c>
      <c r="M123" s="277" t="str">
        <f t="shared" si="51"/>
        <v>Non-Saudi</v>
      </c>
      <c r="N123" s="278">
        <v>44440</v>
      </c>
      <c r="O123" s="279">
        <v>5.3</v>
      </c>
      <c r="P123" s="280">
        <v>8250</v>
      </c>
      <c r="Q123" s="280">
        <v>2500</v>
      </c>
      <c r="R123" s="280">
        <v>500</v>
      </c>
      <c r="S123" s="280"/>
      <c r="T123" s="280">
        <v>1100</v>
      </c>
      <c r="U123" s="280">
        <v>12350</v>
      </c>
      <c r="V123" s="281">
        <v>1</v>
      </c>
      <c r="W123" s="277" t="s">
        <v>259</v>
      </c>
      <c r="X123" s="277">
        <v>250</v>
      </c>
      <c r="Y123" s="249">
        <f t="shared" si="27"/>
        <v>8250</v>
      </c>
      <c r="Z123" s="249">
        <f t="shared" si="28"/>
        <v>12350</v>
      </c>
      <c r="AA123" s="249">
        <f>IF(AND(Z123&gt;0,$N123&lt;&gt;""),IF((DATE(Assumptions!$B$4,1,28)-$N123)/365.25&lt;=Assumptions!$B$20,(DATE(Assumptions!$B$4,1,28)-$N123)/365.25*Assumptions!$B$18*Z123,(Assumptions!$B$20*Assumptions!$B$18+((DATE(Assumptions!$B$4,1,28)-$N123)/365.25-Assumptions!$B$20)*Assumptions!$B$19)*Z123),0)</f>
        <v>27219.02806297057</v>
      </c>
      <c r="AB123" s="249">
        <f>IF(Y123&gt;0,IF($M123="Saudi",MIN(Y123+$Q123*$V123,Assumptions!$B$14)*Assumptions!$B$12,MIN(Y123+$Q123*$V123,Assumptions!$B$14)*Assumptions!$B$13),0)</f>
        <v>0</v>
      </c>
      <c r="AC123" s="249">
        <f>IF(AND(Y123&gt;0,$M123="Non-Saudi"),Assumptions!$B$25,0)</f>
        <v>910.41666666666663</v>
      </c>
      <c r="AD123" s="249">
        <f t="shared" si="29"/>
        <v>8250</v>
      </c>
      <c r="AE123" s="249">
        <f t="shared" si="30"/>
        <v>12350</v>
      </c>
      <c r="AF123" s="249">
        <f>IF(AND(AE123&gt;0,$N123&lt;&gt;""),IF((DATE(Assumptions!$B$4,2,28)-$N123)/365.25&lt;=Assumptions!$B$20,(DATE(Assumptions!$B$4,2,28)-$N123)/365.25*Assumptions!$B$18*AE123,(Assumptions!$B$20*Assumptions!$B$18+((DATE(Assumptions!$B$4,2,28)-$N123)/365.25-Assumptions!$B$20)*Assumptions!$B$19)*AE123),0)</f>
        <v>27743.121149897332</v>
      </c>
      <c r="AG123" s="249">
        <f>IF(AD123&gt;0,IF($M123="Saudi",MIN(AD123+$Q123*$V123,Assumptions!$B$14)*Assumptions!$B$12,MIN(AD123+$Q123*$V123,Assumptions!$B$14)*Assumptions!$B$13),0)</f>
        <v>0</v>
      </c>
      <c r="AH123" s="249">
        <f>IF(AND(AD123&gt;0,$M123="Non-Saudi"),Assumptions!$B$25,0)</f>
        <v>910.41666666666663</v>
      </c>
      <c r="AI123" s="249">
        <f t="shared" si="31"/>
        <v>8250</v>
      </c>
      <c r="AJ123" s="249">
        <f t="shared" si="32"/>
        <v>12350</v>
      </c>
      <c r="AK123" s="249">
        <f>IF(AND(AJ123&gt;0,$N123&lt;&gt;""),IF((DATE(Assumptions!$B$4,3,28)-$N123)/365.25&lt;=Assumptions!$B$20,(DATE(Assumptions!$B$4,3,28)-$N123)/365.25*Assumptions!$B$18*AJ123,(Assumptions!$B$20*Assumptions!$B$18+((DATE(Assumptions!$B$4,3,28)-$N123)/365.25-Assumptions!$B$20)*Assumptions!$B$19)*AJ123),0)</f>
        <v>28216.495550992473</v>
      </c>
      <c r="AL123" s="249">
        <f>IF(AI123&gt;0,IF($M123="Saudi",MIN(AI123+$Q123*$V123,Assumptions!$B$14)*Assumptions!$B$12,MIN(AI123+$Q123*$V123,Assumptions!$B$14)*Assumptions!$B$13),0)</f>
        <v>0</v>
      </c>
      <c r="AM123" s="249">
        <f>IF(AND(AI123&gt;0,$M123="Non-Saudi"),Assumptions!$B$25,0)</f>
        <v>910.41666666666663</v>
      </c>
      <c r="AN123" s="249">
        <f t="shared" si="33"/>
        <v>8250</v>
      </c>
      <c r="AO123" s="249">
        <f t="shared" si="34"/>
        <v>12350</v>
      </c>
      <c r="AP123" s="249">
        <f>IF(AND(AO123&gt;0,$N123&lt;&gt;""),IF((DATE(Assumptions!$B$4,4,28)-$N123)/365.25&lt;=Assumptions!$B$20,(DATE(Assumptions!$B$4,4,28)-$N123)/365.25*Assumptions!$B$18*AO123,(Assumptions!$B$20*Assumptions!$B$18+((DATE(Assumptions!$B$4,4,28)-$N123)/365.25-Assumptions!$B$20)*Assumptions!$B$19)*AO123),0)</f>
        <v>28740.588637919234</v>
      </c>
      <c r="AQ123" s="249">
        <f>IF(AN123&gt;0,IF($M123="Saudi",MIN(AN123+$Q123*$V123,Assumptions!$B$14)*Assumptions!$B$12,MIN(AN123+$Q123*$V123,Assumptions!$B$14)*Assumptions!$B$13),0)</f>
        <v>0</v>
      </c>
      <c r="AR123" s="249">
        <f>IF(AND(AN123&gt;0,$M123="Non-Saudi"),Assumptions!$B$25,0)</f>
        <v>910.41666666666663</v>
      </c>
      <c r="AS123" s="249">
        <f t="shared" si="35"/>
        <v>8250</v>
      </c>
      <c r="AT123" s="249">
        <f t="shared" si="36"/>
        <v>12350</v>
      </c>
      <c r="AU123" s="249">
        <f>IF(AND(AT123&gt;0,$N123&lt;&gt;""),IF((DATE(Assumptions!$B$4,5,28)-$N123)/365.25&lt;=Assumptions!$B$20,(DATE(Assumptions!$B$4,5,28)-$N123)/365.25*Assumptions!$B$18*AT123,(Assumptions!$B$20*Assumptions!$B$18+((DATE(Assumptions!$B$4,5,28)-$N123)/365.25-Assumptions!$B$20)*Assumptions!$B$19)*AT123),0)</f>
        <v>29247.775496235456</v>
      </c>
      <c r="AV123" s="249">
        <f>IF(AS123&gt;0,IF($M123="Saudi",MIN(AS123+$Q123*$V123,Assumptions!$B$14)*Assumptions!$B$12,MIN(AS123+$Q123*$V123,Assumptions!$B$14)*Assumptions!$B$13),0)</f>
        <v>0</v>
      </c>
      <c r="AW123" s="249">
        <f>IF(AND(AS123&gt;0,$M123="Non-Saudi"),Assumptions!$B$25,0)</f>
        <v>910.41666666666663</v>
      </c>
      <c r="AX123" s="249">
        <f t="shared" si="37"/>
        <v>8250</v>
      </c>
      <c r="AY123" s="249">
        <f t="shared" si="38"/>
        <v>12350</v>
      </c>
      <c r="AZ123" s="249">
        <f>IF(AND(AY123&gt;0,$N123&lt;&gt;""),IF((DATE(Assumptions!$B$4,6,28)-$N123)/365.25&lt;=Assumptions!$B$20,(DATE(Assumptions!$B$4,6,28)-$N123)/365.25*Assumptions!$B$18*AY123,(Assumptions!$B$20*Assumptions!$B$18+((DATE(Assumptions!$B$4,6,28)-$N123)/365.25-Assumptions!$B$20)*Assumptions!$B$19)*AY123),0)</f>
        <v>29771.868583162217</v>
      </c>
      <c r="BA123" s="249">
        <f>IF(AX123&gt;0,IF($M123="Saudi",MIN(AX123+$Q123*$V123,Assumptions!$B$14)*Assumptions!$B$12,MIN(AX123+$Q123*$V123,Assumptions!$B$14)*Assumptions!$B$13),0)</f>
        <v>0</v>
      </c>
      <c r="BB123" s="249">
        <f>IF(AND(AX123&gt;0,$M123="Non-Saudi"),Assumptions!$B$25,0)</f>
        <v>910.41666666666663</v>
      </c>
      <c r="BC123" s="249">
        <f t="shared" si="39"/>
        <v>8250</v>
      </c>
      <c r="BD123" s="249">
        <f t="shared" si="40"/>
        <v>12350</v>
      </c>
      <c r="BE123" s="249">
        <f>IF(AND(BD123&gt;0,$N123&lt;&gt;""),IF((DATE(Assumptions!$B$4,7,28)-$N123)/365.25&lt;=Assumptions!$B$20,(DATE(Assumptions!$B$4,7,28)-$N123)/365.25*Assumptions!$B$18*BD123,(Assumptions!$B$20*Assumptions!$B$18+((DATE(Assumptions!$B$4,7,28)-$N123)/365.25-Assumptions!$B$20)*Assumptions!$B$19)*BD123),0)</f>
        <v>30279.055441478438</v>
      </c>
      <c r="BF123" s="249">
        <f>IF(BC123&gt;0,IF($M123="Saudi",MIN(BC123+$Q123*$V123,Assumptions!$B$14)*Assumptions!$B$12,MIN(BC123+$Q123*$V123,Assumptions!$B$14)*Assumptions!$B$13),0)</f>
        <v>0</v>
      </c>
      <c r="BG123" s="249">
        <f>IF(AND(BC123&gt;0,$M123="Non-Saudi"),Assumptions!$B$25,0)</f>
        <v>910.41666666666663</v>
      </c>
      <c r="BH123" s="249">
        <f t="shared" si="41"/>
        <v>8250</v>
      </c>
      <c r="BI123" s="249">
        <f t="shared" si="42"/>
        <v>12350</v>
      </c>
      <c r="BJ123" s="249">
        <f>IF(AND(BI123&gt;0,$N123&lt;&gt;""),IF((DATE(Assumptions!$B$4,8,28)-$N123)/365.25&lt;=Assumptions!$B$20,(DATE(Assumptions!$B$4,8,28)-$N123)/365.25*Assumptions!$B$18*BI123,(Assumptions!$B$20*Assumptions!$B$18+((DATE(Assumptions!$B$4,8,28)-$N123)/365.25-Assumptions!$B$20)*Assumptions!$B$19)*BI123),0)</f>
        <v>30803.148528405203</v>
      </c>
      <c r="BK123" s="249">
        <f>IF(BH123&gt;0,IF($M123="Saudi",MIN(BH123+$Q123*$V123,Assumptions!$B$14)*Assumptions!$B$12,MIN(BH123+$Q123*$V123,Assumptions!$B$14)*Assumptions!$B$13),0)</f>
        <v>0</v>
      </c>
      <c r="BL123" s="249">
        <f>IF(AND(BH123&gt;0,$M123="Non-Saudi"),Assumptions!$B$25,0)</f>
        <v>910.41666666666663</v>
      </c>
      <c r="BM123" s="249">
        <f>IF(AND($D123="Contrat Local",$N123&lt;&gt;""),IF(AND(9&gt;=Assumptions!$B$5,ISNUMBER($X123),$N123&lt;EDATE(Assumptions!$B$9,-Assumptions!$B$6*12)),($P123+$X123)*$V123,$P123*$V123),0)</f>
        <v>8500</v>
      </c>
      <c r="BN123" s="249">
        <f t="shared" si="43"/>
        <v>12600</v>
      </c>
      <c r="BO123" s="249">
        <f>IF(AND(BN123&gt;0,$N123&lt;&gt;""),IF((DATE(Assumptions!$B$4,9,28)-$N123)/365.25&lt;=Assumptions!$B$20,(DATE(Assumptions!$B$4,9,28)-$N123)/365.25*Assumptions!$B$18*BN123,(Assumptions!$B$20*Assumptions!$B$18+((DATE(Assumptions!$B$4,9,28)-$N123)/365.25-Assumptions!$B$20)*Assumptions!$B$19)*BN123),0)</f>
        <v>32422.792607802876</v>
      </c>
      <c r="BP123" s="249">
        <f>IF(BM123&gt;0,IF($M123="Saudi",MIN(BM123+$Q123*$V123,Assumptions!$B$14)*Assumptions!$B$12,MIN(BM123+$Q123*$V123,Assumptions!$B$14)*Assumptions!$B$13),0)</f>
        <v>0</v>
      </c>
      <c r="BQ123" s="249">
        <f>IF(AND(BM123&gt;0,$M123="Non-Saudi"),Assumptions!$B$25,0)</f>
        <v>910.41666666666663</v>
      </c>
      <c r="BR123" s="249">
        <f>IF(AND($D123="Contrat Local",$N123&lt;&gt;""),IF(AND(10&gt;=Assumptions!$B$5,ISNUMBER($X123),$N123&lt;EDATE(Assumptions!$B$9,-Assumptions!$B$6*12)),($P123+$X123)*$V123,$P123*$V123),0)</f>
        <v>8500</v>
      </c>
      <c r="BS123" s="249">
        <f t="shared" si="44"/>
        <v>12600</v>
      </c>
      <c r="BT123" s="249">
        <f>IF(AND(BS123&gt;0,$N123&lt;&gt;""),IF((DATE(Assumptions!$B$4,10,28)-$N123)/365.25&lt;=Assumptions!$B$20,(DATE(Assumptions!$B$4,10,28)-$N123)/365.25*Assumptions!$B$18*BS123,(Assumptions!$B$20*Assumptions!$B$18+((DATE(Assumptions!$B$4,10,28)-$N123)/365.25-Assumptions!$B$20)*Assumptions!$B$19)*BS123),0)</f>
        <v>33457.700205338813</v>
      </c>
      <c r="BU123" s="249">
        <f>IF(BR123&gt;0,IF($M123="Saudi",MIN(BR123+$Q123*$V123,Assumptions!$B$14)*Assumptions!$B$12,MIN(BR123+$Q123*$V123,Assumptions!$B$14)*Assumptions!$B$13),0)</f>
        <v>0</v>
      </c>
      <c r="BV123" s="249">
        <f>IF(AND(BR123&gt;0,$M123="Non-Saudi"),Assumptions!$B$25,0)</f>
        <v>910.41666666666663</v>
      </c>
      <c r="BW123" s="249">
        <f>IF(AND($D123="Contrat Local",$N123&lt;&gt;""),IF(AND(11&gt;=Assumptions!$B$5,ISNUMBER($X123),$N123&lt;EDATE(Assumptions!$B$9,-Assumptions!$B$6*12)),($P123+$X123)*$V123,$P123*$V123),0)</f>
        <v>8500</v>
      </c>
      <c r="BX123" s="249">
        <f t="shared" si="45"/>
        <v>12600</v>
      </c>
      <c r="BY123" s="249">
        <f>IF(AND(BX123&gt;0,$N123&lt;&gt;""),IF((DATE(Assumptions!$B$4,11,28)-$N123)/365.25&lt;=Assumptions!$B$20,(DATE(Assumptions!$B$4,11,28)-$N123)/365.25*Assumptions!$B$18*BX123,(Assumptions!$B$20*Assumptions!$B$18+((DATE(Assumptions!$B$4,11,28)-$N123)/365.25-Assumptions!$B$20)*Assumptions!$B$19)*BX123),0)</f>
        <v>34527.10472279261</v>
      </c>
      <c r="BZ123" s="249">
        <f>IF(BW123&gt;0,IF($M123="Saudi",MIN(BW123+$Q123*$V123,Assumptions!$B$14)*Assumptions!$B$12,MIN(BW123+$Q123*$V123,Assumptions!$B$14)*Assumptions!$B$13),0)</f>
        <v>0</v>
      </c>
      <c r="CA123" s="249">
        <f>IF(AND(BW123&gt;0,$M123="Non-Saudi"),Assumptions!$B$25,0)</f>
        <v>910.41666666666663</v>
      </c>
      <c r="CB123" s="249">
        <f>IF(AND($D123="Contrat Local",$N123&lt;&gt;""),IF(AND(12&gt;=Assumptions!$B$5,ISNUMBER($X123),$N123&lt;EDATE(Assumptions!$B$9,-Assumptions!$B$6*12)),($P123+$X123)*$V123,$P123*$V123),0)</f>
        <v>8500</v>
      </c>
      <c r="CC123" s="249">
        <f t="shared" si="46"/>
        <v>12600</v>
      </c>
      <c r="CD123" s="249">
        <f>IF(AND(CC123&gt;0,$N123&lt;&gt;""),IF((DATE(Assumptions!$B$4,12,28)-$N123)/365.25&lt;=Assumptions!$B$20,(DATE(Assumptions!$B$4,12,28)-$N123)/365.25*Assumptions!$B$18*CC123,(Assumptions!$B$20*Assumptions!$B$18+((DATE(Assumptions!$B$4,12,28)-$N123)/365.25-Assumptions!$B$20)*Assumptions!$B$19)*CC123),0)</f>
        <v>35562.01232032854</v>
      </c>
      <c r="CE123" s="249">
        <f>IF(CB123&gt;0,IF($M123="Saudi",MIN(CB123+$Q123*$V123,Assumptions!$B$14)*Assumptions!$B$12,MIN(CB123+$Q123*$V123,Assumptions!$B$14)*Assumptions!$B$13),0)</f>
        <v>0</v>
      </c>
      <c r="CF123" s="249">
        <f>IF(AND(CB123&gt;0,$M123="Non-Saudi"),Assumptions!$B$25,0)</f>
        <v>910.41666666666663</v>
      </c>
      <c r="CG123" s="249">
        <f t="shared" si="47"/>
        <v>100000</v>
      </c>
      <c r="CH123" s="249">
        <f t="shared" si="48"/>
        <v>149200</v>
      </c>
      <c r="CI123" s="249">
        <f>CD123-IF(AND(Z123&gt;0,$N123&lt;&gt;""),IF((DATE(Assumptions!$B$4-1,12,28)-$N123)/365.25&lt;=Assumptions!$B$20,(DATE(Assumptions!$B$4-1,12,28)-$N123)/365.25*Assumptions!$B$18*Z123,(Assumptions!$B$20*Assumptions!$B$18+((DATE(Assumptions!$B$4-1,12,28)-$N123)/365.25-Assumptions!$B$20)*Assumptions!$B$19)*Z123),0)</f>
        <v>8867.0773442847385</v>
      </c>
      <c r="CJ123" s="249">
        <f t="shared" si="49"/>
        <v>0</v>
      </c>
      <c r="CK123" s="249">
        <f t="shared" si="50"/>
        <v>10924.999999999998</v>
      </c>
    </row>
    <row r="124" spans="1:89" x14ac:dyDescent="0.2">
      <c r="A124" s="252">
        <v>124</v>
      </c>
      <c r="B124" s="253" t="s">
        <v>552</v>
      </c>
      <c r="C124" s="253" t="s">
        <v>553</v>
      </c>
      <c r="D124" s="253" t="s">
        <v>250</v>
      </c>
      <c r="E124" s="253" t="s">
        <v>767</v>
      </c>
      <c r="F124" s="253" t="s">
        <v>424</v>
      </c>
      <c r="G124" s="253" t="s">
        <v>252</v>
      </c>
      <c r="H124" s="253" t="s">
        <v>425</v>
      </c>
      <c r="I124" s="282" t="s">
        <v>690</v>
      </c>
      <c r="J124" s="253"/>
      <c r="K124" s="253" t="s">
        <v>252</v>
      </c>
      <c r="L124" s="253" t="s">
        <v>255</v>
      </c>
      <c r="M124" s="253" t="str">
        <f t="shared" si="51"/>
        <v>Non-Saudi</v>
      </c>
      <c r="N124" s="254">
        <v>44440</v>
      </c>
      <c r="O124" s="255">
        <v>5.3</v>
      </c>
      <c r="P124" s="256">
        <v>9500</v>
      </c>
      <c r="Q124" s="256">
        <v>2500</v>
      </c>
      <c r="R124" s="256">
        <v>500</v>
      </c>
      <c r="S124" s="256"/>
      <c r="T124" s="256"/>
      <c r="U124" s="256">
        <v>12500</v>
      </c>
      <c r="V124" s="257">
        <v>1</v>
      </c>
      <c r="W124" s="253" t="s">
        <v>256</v>
      </c>
      <c r="X124" s="253">
        <v>250</v>
      </c>
      <c r="Y124" s="249">
        <f t="shared" si="27"/>
        <v>9500</v>
      </c>
      <c r="Z124" s="249">
        <f t="shared" si="28"/>
        <v>12500</v>
      </c>
      <c r="AA124" s="249">
        <f>IF(AND(Z124&gt;0,$N124&lt;&gt;""),IF((DATE(Assumptions!$B$4,1,28)-$N124)/365.25&lt;=Assumptions!$B$20,(DATE(Assumptions!$B$4,1,28)-$N124)/365.25*Assumptions!$B$18*Z124,(Assumptions!$B$20*Assumptions!$B$18+((DATE(Assumptions!$B$4,1,28)-$N124)/365.25-Assumptions!$B$20)*Assumptions!$B$19)*Z124),0)</f>
        <v>27549.62354551677</v>
      </c>
      <c r="AB124" s="249">
        <f>IF(Y124&gt;0,IF($M124="Saudi",MIN(Y124+$Q124*$V124,Assumptions!$B$14)*Assumptions!$B$12,MIN(Y124+$Q124*$V124,Assumptions!$B$14)*Assumptions!$B$13),0)</f>
        <v>0</v>
      </c>
      <c r="AC124" s="249">
        <f>IF(AND(Y124&gt;0,$M124="Non-Saudi"),Assumptions!$B$25,0)</f>
        <v>910.41666666666663</v>
      </c>
      <c r="AD124" s="249">
        <f t="shared" si="29"/>
        <v>9500</v>
      </c>
      <c r="AE124" s="249">
        <f t="shared" si="30"/>
        <v>12500</v>
      </c>
      <c r="AF124" s="249">
        <f>IF(AND(AE124&gt;0,$N124&lt;&gt;""),IF((DATE(Assumptions!$B$4,2,28)-$N124)/365.25&lt;=Assumptions!$B$20,(DATE(Assumptions!$B$4,2,28)-$N124)/365.25*Assumptions!$B$18*AE124,(Assumptions!$B$20*Assumptions!$B$18+((DATE(Assumptions!$B$4,2,28)-$N124)/365.25-Assumptions!$B$20)*Assumptions!$B$19)*AE124),0)</f>
        <v>28080.082135523615</v>
      </c>
      <c r="AG124" s="249">
        <f>IF(AD124&gt;0,IF($M124="Saudi",MIN(AD124+$Q124*$V124,Assumptions!$B$14)*Assumptions!$B$12,MIN(AD124+$Q124*$V124,Assumptions!$B$14)*Assumptions!$B$13),0)</f>
        <v>0</v>
      </c>
      <c r="AH124" s="249">
        <f>IF(AND(AD124&gt;0,$M124="Non-Saudi"),Assumptions!$B$25,0)</f>
        <v>910.41666666666663</v>
      </c>
      <c r="AI124" s="249">
        <f t="shared" si="31"/>
        <v>9500</v>
      </c>
      <c r="AJ124" s="249">
        <f t="shared" si="32"/>
        <v>12500</v>
      </c>
      <c r="AK124" s="249">
        <f>IF(AND(AJ124&gt;0,$N124&lt;&gt;""),IF((DATE(Assumptions!$B$4,3,28)-$N124)/365.25&lt;=Assumptions!$B$20,(DATE(Assumptions!$B$4,3,28)-$N124)/365.25*Assumptions!$B$18*AJ124,(Assumptions!$B$20*Assumptions!$B$18+((DATE(Assumptions!$B$4,3,28)-$N124)/365.25-Assumptions!$B$20)*Assumptions!$B$19)*AJ124),0)</f>
        <v>28559.206023271734</v>
      </c>
      <c r="AL124" s="249">
        <f>IF(AI124&gt;0,IF($M124="Saudi",MIN(AI124+$Q124*$V124,Assumptions!$B$14)*Assumptions!$B$12,MIN(AI124+$Q124*$V124,Assumptions!$B$14)*Assumptions!$B$13),0)</f>
        <v>0</v>
      </c>
      <c r="AM124" s="249">
        <f>IF(AND(AI124&gt;0,$M124="Non-Saudi"),Assumptions!$B$25,0)</f>
        <v>910.41666666666663</v>
      </c>
      <c r="AN124" s="249">
        <f t="shared" si="33"/>
        <v>9500</v>
      </c>
      <c r="AO124" s="249">
        <f t="shared" si="34"/>
        <v>12500</v>
      </c>
      <c r="AP124" s="249">
        <f>IF(AND(AO124&gt;0,$N124&lt;&gt;""),IF((DATE(Assumptions!$B$4,4,28)-$N124)/365.25&lt;=Assumptions!$B$20,(DATE(Assumptions!$B$4,4,28)-$N124)/365.25*Assumptions!$B$18*AO124,(Assumptions!$B$20*Assumptions!$B$18+((DATE(Assumptions!$B$4,4,28)-$N124)/365.25-Assumptions!$B$20)*Assumptions!$B$19)*AO124),0)</f>
        <v>29089.664613278575</v>
      </c>
      <c r="AQ124" s="249">
        <f>IF(AN124&gt;0,IF($M124="Saudi",MIN(AN124+$Q124*$V124,Assumptions!$B$14)*Assumptions!$B$12,MIN(AN124+$Q124*$V124,Assumptions!$B$14)*Assumptions!$B$13),0)</f>
        <v>0</v>
      </c>
      <c r="AR124" s="249">
        <f>IF(AND(AN124&gt;0,$M124="Non-Saudi"),Assumptions!$B$25,0)</f>
        <v>910.41666666666663</v>
      </c>
      <c r="AS124" s="249">
        <f t="shared" si="35"/>
        <v>9500</v>
      </c>
      <c r="AT124" s="249">
        <f t="shared" si="36"/>
        <v>12500</v>
      </c>
      <c r="AU124" s="249">
        <f>IF(AND(AT124&gt;0,$N124&lt;&gt;""),IF((DATE(Assumptions!$B$4,5,28)-$N124)/365.25&lt;=Assumptions!$B$20,(DATE(Assumptions!$B$4,5,28)-$N124)/365.25*Assumptions!$B$18*AT124,(Assumptions!$B$20*Assumptions!$B$18+((DATE(Assumptions!$B$4,5,28)-$N124)/365.25-Assumptions!$B$20)*Assumptions!$B$19)*AT124),0)</f>
        <v>29603.011635865845</v>
      </c>
      <c r="AV124" s="249">
        <f>IF(AS124&gt;0,IF($M124="Saudi",MIN(AS124+$Q124*$V124,Assumptions!$B$14)*Assumptions!$B$12,MIN(AS124+$Q124*$V124,Assumptions!$B$14)*Assumptions!$B$13),0)</f>
        <v>0</v>
      </c>
      <c r="AW124" s="249">
        <f>IF(AND(AS124&gt;0,$M124="Non-Saudi"),Assumptions!$B$25,0)</f>
        <v>910.41666666666663</v>
      </c>
      <c r="AX124" s="249">
        <f t="shared" si="37"/>
        <v>9500</v>
      </c>
      <c r="AY124" s="249">
        <f t="shared" si="38"/>
        <v>12500</v>
      </c>
      <c r="AZ124" s="249">
        <f>IF(AND(AY124&gt;0,$N124&lt;&gt;""),IF((DATE(Assumptions!$B$4,6,28)-$N124)/365.25&lt;=Assumptions!$B$20,(DATE(Assumptions!$B$4,6,28)-$N124)/365.25*Assumptions!$B$18*AY124,(Assumptions!$B$20*Assumptions!$B$18+((DATE(Assumptions!$B$4,6,28)-$N124)/365.25-Assumptions!$B$20)*Assumptions!$B$19)*AY124),0)</f>
        <v>30133.470225872687</v>
      </c>
      <c r="BA124" s="249">
        <f>IF(AX124&gt;0,IF($M124="Saudi",MIN(AX124+$Q124*$V124,Assumptions!$B$14)*Assumptions!$B$12,MIN(AX124+$Q124*$V124,Assumptions!$B$14)*Assumptions!$B$13),0)</f>
        <v>0</v>
      </c>
      <c r="BB124" s="249">
        <f>IF(AND(AX124&gt;0,$M124="Non-Saudi"),Assumptions!$B$25,0)</f>
        <v>910.41666666666663</v>
      </c>
      <c r="BC124" s="249">
        <f t="shared" si="39"/>
        <v>9500</v>
      </c>
      <c r="BD124" s="249">
        <f t="shared" si="40"/>
        <v>12500</v>
      </c>
      <c r="BE124" s="249">
        <f>IF(AND(BD124&gt;0,$N124&lt;&gt;""),IF((DATE(Assumptions!$B$4,7,28)-$N124)/365.25&lt;=Assumptions!$B$20,(DATE(Assumptions!$B$4,7,28)-$N124)/365.25*Assumptions!$B$18*BD124,(Assumptions!$B$20*Assumptions!$B$18+((DATE(Assumptions!$B$4,7,28)-$N124)/365.25-Assumptions!$B$20)*Assumptions!$B$19)*BD124),0)</f>
        <v>30646.817248459956</v>
      </c>
      <c r="BF124" s="249">
        <f>IF(BC124&gt;0,IF($M124="Saudi",MIN(BC124+$Q124*$V124,Assumptions!$B$14)*Assumptions!$B$12,MIN(BC124+$Q124*$V124,Assumptions!$B$14)*Assumptions!$B$13),0)</f>
        <v>0</v>
      </c>
      <c r="BG124" s="249">
        <f>IF(AND(BC124&gt;0,$M124="Non-Saudi"),Assumptions!$B$25,0)</f>
        <v>910.41666666666663</v>
      </c>
      <c r="BH124" s="249">
        <f t="shared" si="41"/>
        <v>9500</v>
      </c>
      <c r="BI124" s="249">
        <f t="shared" si="42"/>
        <v>12500</v>
      </c>
      <c r="BJ124" s="249">
        <f>IF(AND(BI124&gt;0,$N124&lt;&gt;""),IF((DATE(Assumptions!$B$4,8,28)-$N124)/365.25&lt;=Assumptions!$B$20,(DATE(Assumptions!$B$4,8,28)-$N124)/365.25*Assumptions!$B$18*BI124,(Assumptions!$B$20*Assumptions!$B$18+((DATE(Assumptions!$B$4,8,28)-$N124)/365.25-Assumptions!$B$20)*Assumptions!$B$19)*BI124),0)</f>
        <v>31177.275838466805</v>
      </c>
      <c r="BK124" s="249">
        <f>IF(BH124&gt;0,IF($M124="Saudi",MIN(BH124+$Q124*$V124,Assumptions!$B$14)*Assumptions!$B$12,MIN(BH124+$Q124*$V124,Assumptions!$B$14)*Assumptions!$B$13),0)</f>
        <v>0</v>
      </c>
      <c r="BL124" s="249">
        <f>IF(AND(BH124&gt;0,$M124="Non-Saudi"),Assumptions!$B$25,0)</f>
        <v>910.41666666666663</v>
      </c>
      <c r="BM124" s="249">
        <f>IF(AND($D124="Contrat Local",$N124&lt;&gt;""),IF(AND(9&gt;=Assumptions!$B$5,ISNUMBER($X124),$N124&lt;EDATE(Assumptions!$B$9,-Assumptions!$B$6*12)),($P124+$X124)*$V124,$P124*$V124),0)</f>
        <v>9750</v>
      </c>
      <c r="BN124" s="249">
        <f t="shared" si="43"/>
        <v>12750</v>
      </c>
      <c r="BO124" s="249">
        <f>IF(AND(BN124&gt;0,$N124&lt;&gt;""),IF((DATE(Assumptions!$B$4,9,28)-$N124)/365.25&lt;=Assumptions!$B$20,(DATE(Assumptions!$B$4,9,28)-$N124)/365.25*Assumptions!$B$18*BN124,(Assumptions!$B$20*Assumptions!$B$18+((DATE(Assumptions!$B$4,9,28)-$N124)/365.25-Assumptions!$B$20)*Assumptions!$B$19)*BN124),0)</f>
        <v>32808.778234086247</v>
      </c>
      <c r="BP124" s="249">
        <f>IF(BM124&gt;0,IF($M124="Saudi",MIN(BM124+$Q124*$V124,Assumptions!$B$14)*Assumptions!$B$12,MIN(BM124+$Q124*$V124,Assumptions!$B$14)*Assumptions!$B$13),0)</f>
        <v>0</v>
      </c>
      <c r="BQ124" s="249">
        <f>IF(AND(BM124&gt;0,$M124="Non-Saudi"),Assumptions!$B$25,0)</f>
        <v>910.41666666666663</v>
      </c>
      <c r="BR124" s="249">
        <f>IF(AND($D124="Contrat Local",$N124&lt;&gt;""),IF(AND(10&gt;=Assumptions!$B$5,ISNUMBER($X124),$N124&lt;EDATE(Assumptions!$B$9,-Assumptions!$B$6*12)),($P124+$X124)*$V124,$P124*$V124),0)</f>
        <v>9750</v>
      </c>
      <c r="BS124" s="249">
        <f t="shared" si="44"/>
        <v>12750</v>
      </c>
      <c r="BT124" s="249">
        <f>IF(AND(BS124&gt;0,$N124&lt;&gt;""),IF((DATE(Assumptions!$B$4,10,28)-$N124)/365.25&lt;=Assumptions!$B$20,(DATE(Assumptions!$B$4,10,28)-$N124)/365.25*Assumptions!$B$18*BS124,(Assumptions!$B$20*Assumptions!$B$18+((DATE(Assumptions!$B$4,10,28)-$N124)/365.25-Assumptions!$B$20)*Assumptions!$B$19)*BS124),0)</f>
        <v>33856.006160164274</v>
      </c>
      <c r="BU124" s="249">
        <f>IF(BR124&gt;0,IF($M124="Saudi",MIN(BR124+$Q124*$V124,Assumptions!$B$14)*Assumptions!$B$12,MIN(BR124+$Q124*$V124,Assumptions!$B$14)*Assumptions!$B$13),0)</f>
        <v>0</v>
      </c>
      <c r="BV124" s="249">
        <f>IF(AND(BR124&gt;0,$M124="Non-Saudi"),Assumptions!$B$25,0)</f>
        <v>910.41666666666663</v>
      </c>
      <c r="BW124" s="249">
        <f>IF(AND($D124="Contrat Local",$N124&lt;&gt;""),IF(AND(11&gt;=Assumptions!$B$5,ISNUMBER($X124),$N124&lt;EDATE(Assumptions!$B$9,-Assumptions!$B$6*12)),($P124+$X124)*$V124,$P124*$V124),0)</f>
        <v>9750</v>
      </c>
      <c r="BX124" s="249">
        <f t="shared" si="45"/>
        <v>12750</v>
      </c>
      <c r="BY124" s="249">
        <f>IF(AND(BX124&gt;0,$N124&lt;&gt;""),IF((DATE(Assumptions!$B$4,11,28)-$N124)/365.25&lt;=Assumptions!$B$20,(DATE(Assumptions!$B$4,11,28)-$N124)/365.25*Assumptions!$B$18*BX124,(Assumptions!$B$20*Assumptions!$B$18+((DATE(Assumptions!$B$4,11,28)-$N124)/365.25-Assumptions!$B$20)*Assumptions!$B$19)*BX124),0)</f>
        <v>34938.141683778231</v>
      </c>
      <c r="BZ124" s="249">
        <f>IF(BW124&gt;0,IF($M124="Saudi",MIN(BW124+$Q124*$V124,Assumptions!$B$14)*Assumptions!$B$12,MIN(BW124+$Q124*$V124,Assumptions!$B$14)*Assumptions!$B$13),0)</f>
        <v>0</v>
      </c>
      <c r="CA124" s="249">
        <f>IF(AND(BW124&gt;0,$M124="Non-Saudi"),Assumptions!$B$25,0)</f>
        <v>910.41666666666663</v>
      </c>
      <c r="CB124" s="249">
        <f>IF(AND($D124="Contrat Local",$N124&lt;&gt;""),IF(AND(12&gt;=Assumptions!$B$5,ISNUMBER($X124),$N124&lt;EDATE(Assumptions!$B$9,-Assumptions!$B$6*12)),($P124+$X124)*$V124,$P124*$V124),0)</f>
        <v>9750</v>
      </c>
      <c r="CC124" s="249">
        <f t="shared" si="46"/>
        <v>12750</v>
      </c>
      <c r="CD124" s="249">
        <f>IF(AND(CC124&gt;0,$N124&lt;&gt;""),IF((DATE(Assumptions!$B$4,12,28)-$N124)/365.25&lt;=Assumptions!$B$20,(DATE(Assumptions!$B$4,12,28)-$N124)/365.25*Assumptions!$B$18*CC124,(Assumptions!$B$20*Assumptions!$B$18+((DATE(Assumptions!$B$4,12,28)-$N124)/365.25-Assumptions!$B$20)*Assumptions!$B$19)*CC124),0)</f>
        <v>35985.369609856258</v>
      </c>
      <c r="CE124" s="249">
        <f>IF(CB124&gt;0,IF($M124="Saudi",MIN(CB124+$Q124*$V124,Assumptions!$B$14)*Assumptions!$B$12,MIN(CB124+$Q124*$V124,Assumptions!$B$14)*Assumptions!$B$13),0)</f>
        <v>0</v>
      </c>
      <c r="CF124" s="249">
        <f>IF(AND(CB124&gt;0,$M124="Non-Saudi"),Assumptions!$B$25,0)</f>
        <v>910.41666666666663</v>
      </c>
      <c r="CG124" s="249">
        <f t="shared" si="47"/>
        <v>115000</v>
      </c>
      <c r="CH124" s="249">
        <f t="shared" si="48"/>
        <v>151000</v>
      </c>
      <c r="CI124" s="249">
        <f>CD124-IF(AND(Z124&gt;0,$N124&lt;&gt;""),IF((DATE(Assumptions!$B$4-1,12,28)-$N124)/365.25&lt;=Assumptions!$B$20,(DATE(Assumptions!$B$4-1,12,28)-$N124)/365.25*Assumptions!$B$18*Z124,(Assumptions!$B$20*Assumptions!$B$18+((DATE(Assumptions!$B$4-1,12,28)-$N124)/365.25-Assumptions!$B$20)*Assumptions!$B$19)*Z124),0)</f>
        <v>8966.2046543463366</v>
      </c>
      <c r="CJ124" s="249">
        <f t="shared" si="49"/>
        <v>0</v>
      </c>
      <c r="CK124" s="249">
        <f t="shared" si="50"/>
        <v>10924.999999999998</v>
      </c>
    </row>
    <row r="125" spans="1:89" x14ac:dyDescent="0.2">
      <c r="A125" s="276">
        <v>126</v>
      </c>
      <c r="B125" s="277" t="s">
        <v>554</v>
      </c>
      <c r="C125" s="277" t="s">
        <v>555</v>
      </c>
      <c r="D125" s="277" t="s">
        <v>250</v>
      </c>
      <c r="E125" s="277" t="s">
        <v>767</v>
      </c>
      <c r="F125" s="277" t="s">
        <v>556</v>
      </c>
      <c r="G125" s="277" t="s">
        <v>557</v>
      </c>
      <c r="H125" s="277" t="s">
        <v>558</v>
      </c>
      <c r="I125" s="287" t="s">
        <v>691</v>
      </c>
      <c r="J125" s="277" t="s">
        <v>79</v>
      </c>
      <c r="K125" s="277" t="s">
        <v>254</v>
      </c>
      <c r="L125" s="277" t="s">
        <v>255</v>
      </c>
      <c r="M125" s="277" t="str">
        <f t="shared" si="51"/>
        <v>Non-Saudi</v>
      </c>
      <c r="N125" s="278">
        <v>43709</v>
      </c>
      <c r="O125" s="279">
        <v>7.3</v>
      </c>
      <c r="P125" s="280">
        <v>8750</v>
      </c>
      <c r="Q125" s="280">
        <v>2500</v>
      </c>
      <c r="R125" s="280">
        <v>500</v>
      </c>
      <c r="S125" s="280"/>
      <c r="T125" s="280"/>
      <c r="U125" s="280">
        <v>11750</v>
      </c>
      <c r="V125" s="281">
        <v>1</v>
      </c>
      <c r="W125" s="277" t="s">
        <v>259</v>
      </c>
      <c r="X125" s="277">
        <v>250</v>
      </c>
      <c r="Y125" s="249">
        <f t="shared" si="27"/>
        <v>8750</v>
      </c>
      <c r="Z125" s="249">
        <f t="shared" si="28"/>
        <v>11750</v>
      </c>
      <c r="AA125" s="249">
        <f>IF(AND(Z125&gt;0,$N125&lt;&gt;""),IF((DATE(Assumptions!$B$4,1,28)-$N125)/365.25&lt;=Assumptions!$B$20,(DATE(Assumptions!$B$4,1,28)-$N125)/365.25*Assumptions!$B$18*Z125,(Assumptions!$B$20*Assumptions!$B$18+((DATE(Assumptions!$B$4,1,28)-$N125)/365.25-Assumptions!$B$20)*Assumptions!$B$19)*Z125),0)</f>
        <v>45934.377138945929</v>
      </c>
      <c r="AB125" s="249">
        <f>IF(Y125&gt;0,IF($M125="Saudi",MIN(Y125+$Q125*$V125,Assumptions!$B$14)*Assumptions!$B$12,MIN(Y125+$Q125*$V125,Assumptions!$B$14)*Assumptions!$B$13),0)</f>
        <v>0</v>
      </c>
      <c r="AC125" s="249">
        <f>IF(AND(Y125&gt;0,$M125="Non-Saudi"),Assumptions!$B$25,0)</f>
        <v>910.41666666666663</v>
      </c>
      <c r="AD125" s="249">
        <f t="shared" si="29"/>
        <v>8750</v>
      </c>
      <c r="AE125" s="249">
        <f t="shared" si="30"/>
        <v>11750</v>
      </c>
      <c r="AF125" s="249">
        <f>IF(AND(AE125&gt;0,$N125&lt;&gt;""),IF((DATE(Assumptions!$B$4,2,28)-$N125)/365.25&lt;=Assumptions!$B$20,(DATE(Assumptions!$B$4,2,28)-$N125)/365.25*Assumptions!$B$18*AE125,(Assumptions!$B$20*Assumptions!$B$18+((DATE(Assumptions!$B$4,2,28)-$N125)/365.25-Assumptions!$B$20)*Assumptions!$B$19)*AE125),0)</f>
        <v>46931.639288158789</v>
      </c>
      <c r="AG125" s="249">
        <f>IF(AD125&gt;0,IF($M125="Saudi",MIN(AD125+$Q125*$V125,Assumptions!$B$14)*Assumptions!$B$12,MIN(AD125+$Q125*$V125,Assumptions!$B$14)*Assumptions!$B$13),0)</f>
        <v>0</v>
      </c>
      <c r="AH125" s="249">
        <f>IF(AND(AD125&gt;0,$M125="Non-Saudi"),Assumptions!$B$25,0)</f>
        <v>910.41666666666663</v>
      </c>
      <c r="AI125" s="249">
        <f t="shared" si="31"/>
        <v>8750</v>
      </c>
      <c r="AJ125" s="249">
        <f t="shared" si="32"/>
        <v>11750</v>
      </c>
      <c r="AK125" s="249">
        <f>IF(AND(AJ125&gt;0,$N125&lt;&gt;""),IF((DATE(Assumptions!$B$4,3,28)-$N125)/365.25&lt;=Assumptions!$B$20,(DATE(Assumptions!$B$4,3,28)-$N125)/365.25*Assumptions!$B$18*AJ125,(Assumptions!$B$20*Assumptions!$B$18+((DATE(Assumptions!$B$4,3,28)-$N125)/365.25-Assumptions!$B$20)*Assumptions!$B$19)*AJ125),0)</f>
        <v>47832.392197125257</v>
      </c>
      <c r="AL125" s="249">
        <f>IF(AI125&gt;0,IF($M125="Saudi",MIN(AI125+$Q125*$V125,Assumptions!$B$14)*Assumptions!$B$12,MIN(AI125+$Q125*$V125,Assumptions!$B$14)*Assumptions!$B$13),0)</f>
        <v>0</v>
      </c>
      <c r="AM125" s="249">
        <f>IF(AND(AI125&gt;0,$M125="Non-Saudi"),Assumptions!$B$25,0)</f>
        <v>910.41666666666663</v>
      </c>
      <c r="AN125" s="249">
        <f t="shared" si="33"/>
        <v>8750</v>
      </c>
      <c r="AO125" s="249">
        <f t="shared" si="34"/>
        <v>11750</v>
      </c>
      <c r="AP125" s="249">
        <f>IF(AND(AO125&gt;0,$N125&lt;&gt;""),IF((DATE(Assumptions!$B$4,4,28)-$N125)/365.25&lt;=Assumptions!$B$20,(DATE(Assumptions!$B$4,4,28)-$N125)/365.25*Assumptions!$B$18*AO125,(Assumptions!$B$20*Assumptions!$B$18+((DATE(Assumptions!$B$4,4,28)-$N125)/365.25-Assumptions!$B$20)*Assumptions!$B$19)*AO125),0)</f>
        <v>48829.654346338131</v>
      </c>
      <c r="AQ125" s="249">
        <f>IF(AN125&gt;0,IF($M125="Saudi",MIN(AN125+$Q125*$V125,Assumptions!$B$14)*Assumptions!$B$12,MIN(AN125+$Q125*$V125,Assumptions!$B$14)*Assumptions!$B$13),0)</f>
        <v>0</v>
      </c>
      <c r="AR125" s="249">
        <f>IF(AND(AN125&gt;0,$M125="Non-Saudi"),Assumptions!$B$25,0)</f>
        <v>910.41666666666663</v>
      </c>
      <c r="AS125" s="249">
        <f t="shared" si="35"/>
        <v>8750</v>
      </c>
      <c r="AT125" s="249">
        <f t="shared" si="36"/>
        <v>11750</v>
      </c>
      <c r="AU125" s="249">
        <f>IF(AND(AT125&gt;0,$N125&lt;&gt;""),IF((DATE(Assumptions!$B$4,5,28)-$N125)/365.25&lt;=Assumptions!$B$20,(DATE(Assumptions!$B$4,5,28)-$N125)/365.25*Assumptions!$B$18*AT125,(Assumptions!$B$20*Assumptions!$B$18+((DATE(Assumptions!$B$4,5,28)-$N125)/365.25-Assumptions!$B$20)*Assumptions!$B$19)*AT125),0)</f>
        <v>49794.746748802194</v>
      </c>
      <c r="AV125" s="249">
        <f>IF(AS125&gt;0,IF($M125="Saudi",MIN(AS125+$Q125*$V125,Assumptions!$B$14)*Assumptions!$B$12,MIN(AS125+$Q125*$V125,Assumptions!$B$14)*Assumptions!$B$13),0)</f>
        <v>0</v>
      </c>
      <c r="AW125" s="249">
        <f>IF(AND(AS125&gt;0,$M125="Non-Saudi"),Assumptions!$B$25,0)</f>
        <v>910.41666666666663</v>
      </c>
      <c r="AX125" s="249">
        <f t="shared" si="37"/>
        <v>8750</v>
      </c>
      <c r="AY125" s="249">
        <f t="shared" si="38"/>
        <v>11750</v>
      </c>
      <c r="AZ125" s="249">
        <f>IF(AND(AY125&gt;0,$N125&lt;&gt;""),IF((DATE(Assumptions!$B$4,6,28)-$N125)/365.25&lt;=Assumptions!$B$20,(DATE(Assumptions!$B$4,6,28)-$N125)/365.25*Assumptions!$B$18*AY125,(Assumptions!$B$20*Assumptions!$B$18+((DATE(Assumptions!$B$4,6,28)-$N125)/365.25-Assumptions!$B$20)*Assumptions!$B$19)*AY125),0)</f>
        <v>50792.008898015061</v>
      </c>
      <c r="BA125" s="249">
        <f>IF(AX125&gt;0,IF($M125="Saudi",MIN(AX125+$Q125*$V125,Assumptions!$B$14)*Assumptions!$B$12,MIN(AX125+$Q125*$V125,Assumptions!$B$14)*Assumptions!$B$13),0)</f>
        <v>0</v>
      </c>
      <c r="BB125" s="249">
        <f>IF(AND(AX125&gt;0,$M125="Non-Saudi"),Assumptions!$B$25,0)</f>
        <v>910.41666666666663</v>
      </c>
      <c r="BC125" s="249">
        <f t="shared" si="39"/>
        <v>8750</v>
      </c>
      <c r="BD125" s="249">
        <f t="shared" si="40"/>
        <v>11750</v>
      </c>
      <c r="BE125" s="249">
        <f>IF(AND(BD125&gt;0,$N125&lt;&gt;""),IF((DATE(Assumptions!$B$4,7,28)-$N125)/365.25&lt;=Assumptions!$B$20,(DATE(Assumptions!$B$4,7,28)-$N125)/365.25*Assumptions!$B$18*BD125,(Assumptions!$B$20*Assumptions!$B$18+((DATE(Assumptions!$B$4,7,28)-$N125)/365.25-Assumptions!$B$20)*Assumptions!$B$19)*BD125),0)</f>
        <v>51757.101300479124</v>
      </c>
      <c r="BF125" s="249">
        <f>IF(BC125&gt;0,IF($M125="Saudi",MIN(BC125+$Q125*$V125,Assumptions!$B$14)*Assumptions!$B$12,MIN(BC125+$Q125*$V125,Assumptions!$B$14)*Assumptions!$B$13),0)</f>
        <v>0</v>
      </c>
      <c r="BG125" s="249">
        <f>IF(AND(BC125&gt;0,$M125="Non-Saudi"),Assumptions!$B$25,0)</f>
        <v>910.41666666666663</v>
      </c>
      <c r="BH125" s="249">
        <f t="shared" si="41"/>
        <v>8750</v>
      </c>
      <c r="BI125" s="249">
        <f t="shared" si="42"/>
        <v>11750</v>
      </c>
      <c r="BJ125" s="249">
        <f>IF(AND(BI125&gt;0,$N125&lt;&gt;""),IF((DATE(Assumptions!$B$4,8,28)-$N125)/365.25&lt;=Assumptions!$B$20,(DATE(Assumptions!$B$4,8,28)-$N125)/365.25*Assumptions!$B$18*BI125,(Assumptions!$B$20*Assumptions!$B$18+((DATE(Assumptions!$B$4,8,28)-$N125)/365.25-Assumptions!$B$20)*Assumptions!$B$19)*BI125),0)</f>
        <v>52754.363449691991</v>
      </c>
      <c r="BK125" s="249">
        <f>IF(BH125&gt;0,IF($M125="Saudi",MIN(BH125+$Q125*$V125,Assumptions!$B$14)*Assumptions!$B$12,MIN(BH125+$Q125*$V125,Assumptions!$B$14)*Assumptions!$B$13),0)</f>
        <v>0</v>
      </c>
      <c r="BL125" s="249">
        <f>IF(AND(BH125&gt;0,$M125="Non-Saudi"),Assumptions!$B$25,0)</f>
        <v>910.41666666666663</v>
      </c>
      <c r="BM125" s="249">
        <f>IF(AND($D125="Contrat Local",$N125&lt;&gt;""),IF(AND(9&gt;=Assumptions!$B$5,ISNUMBER($X125),$N125&lt;EDATE(Assumptions!$B$9,-Assumptions!$B$6*12)),($P125+$X125)*$V125,$P125*$V125),0)</f>
        <v>9000</v>
      </c>
      <c r="BN125" s="249">
        <f t="shared" si="43"/>
        <v>12000</v>
      </c>
      <c r="BO125" s="249">
        <f>IF(AND(BN125&gt;0,$N125&lt;&gt;""),IF((DATE(Assumptions!$B$4,9,28)-$N125)/365.25&lt;=Assumptions!$B$20,(DATE(Assumptions!$B$4,9,28)-$N125)/365.25*Assumptions!$B$18*BN125,(Assumptions!$B$20*Assumptions!$B$18+((DATE(Assumptions!$B$4,9,28)-$N125)/365.25-Assumptions!$B$20)*Assumptions!$B$19)*BN125),0)</f>
        <v>54895.277207392195</v>
      </c>
      <c r="BP125" s="249">
        <f>IF(BM125&gt;0,IF($M125="Saudi",MIN(BM125+$Q125*$V125,Assumptions!$B$14)*Assumptions!$B$12,MIN(BM125+$Q125*$V125,Assumptions!$B$14)*Assumptions!$B$13),0)</f>
        <v>0</v>
      </c>
      <c r="BQ125" s="249">
        <f>IF(AND(BM125&gt;0,$M125="Non-Saudi"),Assumptions!$B$25,0)</f>
        <v>910.41666666666663</v>
      </c>
      <c r="BR125" s="249">
        <f>IF(AND($D125="Contrat Local",$N125&lt;&gt;""),IF(AND(10&gt;=Assumptions!$B$5,ISNUMBER($X125),$N125&lt;EDATE(Assumptions!$B$9,-Assumptions!$B$6*12)),($P125+$X125)*$V125,$P125*$V125),0)</f>
        <v>9000</v>
      </c>
      <c r="BS125" s="249">
        <f t="shared" si="44"/>
        <v>12000</v>
      </c>
      <c r="BT125" s="249">
        <f>IF(AND(BS125&gt;0,$N125&lt;&gt;""),IF((DATE(Assumptions!$B$4,10,28)-$N125)/365.25&lt;=Assumptions!$B$20,(DATE(Assumptions!$B$4,10,28)-$N125)/365.25*Assumptions!$B$18*BS125,(Assumptions!$B$20*Assumptions!$B$18+((DATE(Assumptions!$B$4,10,28)-$N125)/365.25-Assumptions!$B$20)*Assumptions!$B$19)*BS125),0)</f>
        <v>55880.903490759752</v>
      </c>
      <c r="BU125" s="249">
        <f>IF(BR125&gt;0,IF($M125="Saudi",MIN(BR125+$Q125*$V125,Assumptions!$B$14)*Assumptions!$B$12,MIN(BR125+$Q125*$V125,Assumptions!$B$14)*Assumptions!$B$13),0)</f>
        <v>0</v>
      </c>
      <c r="BV125" s="249">
        <f>IF(AND(BR125&gt;0,$M125="Non-Saudi"),Assumptions!$B$25,0)</f>
        <v>910.41666666666663</v>
      </c>
      <c r="BW125" s="249">
        <f>IF(AND($D125="Contrat Local",$N125&lt;&gt;""),IF(AND(11&gt;=Assumptions!$B$5,ISNUMBER($X125),$N125&lt;EDATE(Assumptions!$B$9,-Assumptions!$B$6*12)),($P125+$X125)*$V125,$P125*$V125),0)</f>
        <v>9000</v>
      </c>
      <c r="BX125" s="249">
        <f t="shared" si="45"/>
        <v>12000</v>
      </c>
      <c r="BY125" s="249">
        <f>IF(AND(BX125&gt;0,$N125&lt;&gt;""),IF((DATE(Assumptions!$B$4,11,28)-$N125)/365.25&lt;=Assumptions!$B$20,(DATE(Assumptions!$B$4,11,28)-$N125)/365.25*Assumptions!$B$18*BX125,(Assumptions!$B$20*Assumptions!$B$18+((DATE(Assumptions!$B$4,11,28)-$N125)/365.25-Assumptions!$B$20)*Assumptions!$B$19)*BX125),0)</f>
        <v>56899.383983572901</v>
      </c>
      <c r="BZ125" s="249">
        <f>IF(BW125&gt;0,IF($M125="Saudi",MIN(BW125+$Q125*$V125,Assumptions!$B$14)*Assumptions!$B$12,MIN(BW125+$Q125*$V125,Assumptions!$B$14)*Assumptions!$B$13),0)</f>
        <v>0</v>
      </c>
      <c r="CA125" s="249">
        <f>IF(AND(BW125&gt;0,$M125="Non-Saudi"),Assumptions!$B$25,0)</f>
        <v>910.41666666666663</v>
      </c>
      <c r="CB125" s="249">
        <f>IF(AND($D125="Contrat Local",$N125&lt;&gt;""),IF(AND(12&gt;=Assumptions!$B$5,ISNUMBER($X125),$N125&lt;EDATE(Assumptions!$B$9,-Assumptions!$B$6*12)),($P125+$X125)*$V125,$P125*$V125),0)</f>
        <v>9000</v>
      </c>
      <c r="CC125" s="249">
        <f t="shared" si="46"/>
        <v>12000</v>
      </c>
      <c r="CD125" s="249">
        <f>IF(AND(CC125&gt;0,$N125&lt;&gt;""),IF((DATE(Assumptions!$B$4,12,28)-$N125)/365.25&lt;=Assumptions!$B$20,(DATE(Assumptions!$B$4,12,28)-$N125)/365.25*Assumptions!$B$18*CC125,(Assumptions!$B$20*Assumptions!$B$18+((DATE(Assumptions!$B$4,12,28)-$N125)/365.25-Assumptions!$B$20)*Assumptions!$B$19)*CC125),0)</f>
        <v>57885.010266940451</v>
      </c>
      <c r="CE125" s="249">
        <f>IF(CB125&gt;0,IF($M125="Saudi",MIN(CB125+$Q125*$V125,Assumptions!$B$14)*Assumptions!$B$12,MIN(CB125+$Q125*$V125,Assumptions!$B$14)*Assumptions!$B$13),0)</f>
        <v>0</v>
      </c>
      <c r="CF125" s="249">
        <f>IF(AND(CB125&gt;0,$M125="Non-Saudi"),Assumptions!$B$25,0)</f>
        <v>910.41666666666663</v>
      </c>
      <c r="CG125" s="249">
        <f t="shared" si="47"/>
        <v>106000</v>
      </c>
      <c r="CH125" s="249">
        <f t="shared" si="48"/>
        <v>142000</v>
      </c>
      <c r="CI125" s="249">
        <f>CD125-IF(AND(Z125&gt;0,$N125&lt;&gt;""),IF((DATE(Assumptions!$B$4-1,12,28)-$N125)/365.25&lt;=Assumptions!$B$20,(DATE(Assumptions!$B$4-1,12,28)-$N125)/365.25*Assumptions!$B$18*Z125,(Assumptions!$B$20*Assumptions!$B$18+((DATE(Assumptions!$B$4-1,12,28)-$N125)/365.25-Assumptions!$B$20)*Assumptions!$B$19)*Z125),0)</f>
        <v>12947.89527720739</v>
      </c>
      <c r="CJ125" s="249">
        <f t="shared" si="49"/>
        <v>0</v>
      </c>
      <c r="CK125" s="249">
        <f t="shared" si="50"/>
        <v>10924.999999999998</v>
      </c>
    </row>
    <row r="126" spans="1:89" x14ac:dyDescent="0.2">
      <c r="A126" s="252">
        <v>127</v>
      </c>
      <c r="B126" s="253" t="s">
        <v>559</v>
      </c>
      <c r="C126" s="253" t="s">
        <v>560</v>
      </c>
      <c r="D126" s="253" t="s">
        <v>250</v>
      </c>
      <c r="E126" s="253" t="s">
        <v>767</v>
      </c>
      <c r="F126" s="253" t="s">
        <v>409</v>
      </c>
      <c r="G126" s="253" t="s">
        <v>303</v>
      </c>
      <c r="H126" s="253" t="s">
        <v>253</v>
      </c>
      <c r="I126" s="282" t="s">
        <v>690</v>
      </c>
      <c r="J126" s="253"/>
      <c r="K126" s="253" t="s">
        <v>252</v>
      </c>
      <c r="L126" s="253" t="s">
        <v>255</v>
      </c>
      <c r="M126" s="253" t="str">
        <f t="shared" si="51"/>
        <v>Non-Saudi</v>
      </c>
      <c r="N126" s="254">
        <v>45170</v>
      </c>
      <c r="O126" s="255">
        <v>3.3</v>
      </c>
      <c r="P126" s="256">
        <v>10500</v>
      </c>
      <c r="Q126" s="256">
        <v>2500</v>
      </c>
      <c r="R126" s="256">
        <v>500</v>
      </c>
      <c r="S126" s="256">
        <v>2500</v>
      </c>
      <c r="T126" s="256"/>
      <c r="U126" s="256">
        <v>16000</v>
      </c>
      <c r="V126" s="257">
        <v>1</v>
      </c>
      <c r="W126" s="253" t="s">
        <v>259</v>
      </c>
      <c r="X126" s="253" t="s">
        <v>561</v>
      </c>
      <c r="Y126" s="249">
        <f t="shared" si="27"/>
        <v>10500</v>
      </c>
      <c r="Z126" s="249">
        <f t="shared" si="28"/>
        <v>16000</v>
      </c>
      <c r="AA126" s="249">
        <f>IF(AND(Z126&gt;0,$N126&lt;&gt;""),IF((DATE(Assumptions!$B$4,1,28)-$N126)/365.25&lt;=Assumptions!$B$20,(DATE(Assumptions!$B$4,1,28)-$N126)/365.25*Assumptions!$B$18*Z126,(Assumptions!$B$20*Assumptions!$B$18+((DATE(Assumptions!$B$4,1,28)-$N126)/365.25-Assumptions!$B$20)*Assumptions!$B$19)*Z126),0)</f>
        <v>19274.469541409992</v>
      </c>
      <c r="AB126" s="249">
        <f>IF(Y126&gt;0,IF($M126="Saudi",MIN(Y126+$Q126*$V126,Assumptions!$B$14)*Assumptions!$B$12,MIN(Y126+$Q126*$V126,Assumptions!$B$14)*Assumptions!$B$13),0)</f>
        <v>0</v>
      </c>
      <c r="AC126" s="249">
        <f>IF(AND(Y126&gt;0,$M126="Non-Saudi"),Assumptions!$B$25,0)</f>
        <v>910.41666666666663</v>
      </c>
      <c r="AD126" s="249">
        <f t="shared" si="29"/>
        <v>10500</v>
      </c>
      <c r="AE126" s="249">
        <f t="shared" si="30"/>
        <v>16000</v>
      </c>
      <c r="AF126" s="249">
        <f>IF(AND(AE126&gt;0,$N126&lt;&gt;""),IF((DATE(Assumptions!$B$4,2,28)-$N126)/365.25&lt;=Assumptions!$B$20,(DATE(Assumptions!$B$4,2,28)-$N126)/365.25*Assumptions!$B$18*AE126,(Assumptions!$B$20*Assumptions!$B$18+((DATE(Assumptions!$B$4,2,28)-$N126)/365.25-Assumptions!$B$20)*Assumptions!$B$19)*AE126),0)</f>
        <v>19953.456536618756</v>
      </c>
      <c r="AG126" s="249">
        <f>IF(AD126&gt;0,IF($M126="Saudi",MIN(AD126+$Q126*$V126,Assumptions!$B$14)*Assumptions!$B$12,MIN(AD126+$Q126*$V126,Assumptions!$B$14)*Assumptions!$B$13),0)</f>
        <v>0</v>
      </c>
      <c r="AH126" s="249">
        <f>IF(AND(AD126&gt;0,$M126="Non-Saudi"),Assumptions!$B$25,0)</f>
        <v>910.41666666666663</v>
      </c>
      <c r="AI126" s="249">
        <f t="shared" si="31"/>
        <v>10500</v>
      </c>
      <c r="AJ126" s="249">
        <f t="shared" si="32"/>
        <v>16000</v>
      </c>
      <c r="AK126" s="249">
        <f>IF(AND(AJ126&gt;0,$N126&lt;&gt;""),IF((DATE(Assumptions!$B$4,3,28)-$N126)/365.25&lt;=Assumptions!$B$20,(DATE(Assumptions!$B$4,3,28)-$N126)/365.25*Assumptions!$B$18*AJ126,(Assumptions!$B$20*Assumptions!$B$18+((DATE(Assumptions!$B$4,3,28)-$N126)/365.25-Assumptions!$B$20)*Assumptions!$B$19)*AJ126),0)</f>
        <v>20566.735112936345</v>
      </c>
      <c r="AL126" s="249">
        <f>IF(AI126&gt;0,IF($M126="Saudi",MIN(AI126+$Q126*$V126,Assumptions!$B$14)*Assumptions!$B$12,MIN(AI126+$Q126*$V126,Assumptions!$B$14)*Assumptions!$B$13),0)</f>
        <v>0</v>
      </c>
      <c r="AM126" s="249">
        <f>IF(AND(AI126&gt;0,$M126="Non-Saudi"),Assumptions!$B$25,0)</f>
        <v>910.41666666666663</v>
      </c>
      <c r="AN126" s="249">
        <f t="shared" si="33"/>
        <v>10500</v>
      </c>
      <c r="AO126" s="249">
        <f t="shared" si="34"/>
        <v>16000</v>
      </c>
      <c r="AP126" s="249">
        <f>IF(AND(AO126&gt;0,$N126&lt;&gt;""),IF((DATE(Assumptions!$B$4,4,28)-$N126)/365.25&lt;=Assumptions!$B$20,(DATE(Assumptions!$B$4,4,28)-$N126)/365.25*Assumptions!$B$18*AO126,(Assumptions!$B$20*Assumptions!$B$18+((DATE(Assumptions!$B$4,4,28)-$N126)/365.25-Assumptions!$B$20)*Assumptions!$B$19)*AO126),0)</f>
        <v>21245.722108145106</v>
      </c>
      <c r="AQ126" s="249">
        <f>IF(AN126&gt;0,IF($M126="Saudi",MIN(AN126+$Q126*$V126,Assumptions!$B$14)*Assumptions!$B$12,MIN(AN126+$Q126*$V126,Assumptions!$B$14)*Assumptions!$B$13),0)</f>
        <v>0</v>
      </c>
      <c r="AR126" s="249">
        <f>IF(AND(AN126&gt;0,$M126="Non-Saudi"),Assumptions!$B$25,0)</f>
        <v>910.41666666666663</v>
      </c>
      <c r="AS126" s="249">
        <f t="shared" si="35"/>
        <v>10500</v>
      </c>
      <c r="AT126" s="249">
        <f t="shared" si="36"/>
        <v>16000</v>
      </c>
      <c r="AU126" s="249">
        <f>IF(AND(AT126&gt;0,$N126&lt;&gt;""),IF((DATE(Assumptions!$B$4,5,28)-$N126)/365.25&lt;=Assumptions!$B$20,(DATE(Assumptions!$B$4,5,28)-$N126)/365.25*Assumptions!$B$18*AT126,(Assumptions!$B$20*Assumptions!$B$18+((DATE(Assumptions!$B$4,5,28)-$N126)/365.25-Assumptions!$B$20)*Assumptions!$B$19)*AT126),0)</f>
        <v>21902.80629705681</v>
      </c>
      <c r="AV126" s="249">
        <f>IF(AS126&gt;0,IF($M126="Saudi",MIN(AS126+$Q126*$V126,Assumptions!$B$14)*Assumptions!$B$12,MIN(AS126+$Q126*$V126,Assumptions!$B$14)*Assumptions!$B$13),0)</f>
        <v>0</v>
      </c>
      <c r="AW126" s="249">
        <f>IF(AND(AS126&gt;0,$M126="Non-Saudi"),Assumptions!$B$25,0)</f>
        <v>910.41666666666663</v>
      </c>
      <c r="AX126" s="249">
        <f t="shared" si="37"/>
        <v>10500</v>
      </c>
      <c r="AY126" s="249">
        <f t="shared" si="38"/>
        <v>16000</v>
      </c>
      <c r="AZ126" s="249">
        <f>IF(AND(AY126&gt;0,$N126&lt;&gt;""),IF((DATE(Assumptions!$B$4,6,28)-$N126)/365.25&lt;=Assumptions!$B$20,(DATE(Assumptions!$B$4,6,28)-$N126)/365.25*Assumptions!$B$18*AY126,(Assumptions!$B$20*Assumptions!$B$18+((DATE(Assumptions!$B$4,6,28)-$N126)/365.25-Assumptions!$B$20)*Assumptions!$B$19)*AY126),0)</f>
        <v>22581.793292265575</v>
      </c>
      <c r="BA126" s="249">
        <f>IF(AX126&gt;0,IF($M126="Saudi",MIN(AX126+$Q126*$V126,Assumptions!$B$14)*Assumptions!$B$12,MIN(AX126+$Q126*$V126,Assumptions!$B$14)*Assumptions!$B$13),0)</f>
        <v>0</v>
      </c>
      <c r="BB126" s="249">
        <f>IF(AND(AX126&gt;0,$M126="Non-Saudi"),Assumptions!$B$25,0)</f>
        <v>910.41666666666663</v>
      </c>
      <c r="BC126" s="249">
        <f t="shared" si="39"/>
        <v>10500</v>
      </c>
      <c r="BD126" s="249">
        <f t="shared" si="40"/>
        <v>16000</v>
      </c>
      <c r="BE126" s="249">
        <f>IF(AND(BD126&gt;0,$N126&lt;&gt;""),IF((DATE(Assumptions!$B$4,7,28)-$N126)/365.25&lt;=Assumptions!$B$20,(DATE(Assumptions!$B$4,7,28)-$N126)/365.25*Assumptions!$B$18*BD126,(Assumptions!$B$20*Assumptions!$B$18+((DATE(Assumptions!$B$4,7,28)-$N126)/365.25-Assumptions!$B$20)*Assumptions!$B$19)*BD126),0)</f>
        <v>23238.877481177275</v>
      </c>
      <c r="BF126" s="249">
        <f>IF(BC126&gt;0,IF($M126="Saudi",MIN(BC126+$Q126*$V126,Assumptions!$B$14)*Assumptions!$B$12,MIN(BC126+$Q126*$V126,Assumptions!$B$14)*Assumptions!$B$13),0)</f>
        <v>0</v>
      </c>
      <c r="BG126" s="249">
        <f>IF(AND(BC126&gt;0,$M126="Non-Saudi"),Assumptions!$B$25,0)</f>
        <v>910.41666666666663</v>
      </c>
      <c r="BH126" s="249">
        <f t="shared" si="41"/>
        <v>10500</v>
      </c>
      <c r="BI126" s="249">
        <f t="shared" si="42"/>
        <v>16000</v>
      </c>
      <c r="BJ126" s="249">
        <f>IF(AND(BI126&gt;0,$N126&lt;&gt;""),IF((DATE(Assumptions!$B$4,8,28)-$N126)/365.25&lt;=Assumptions!$B$20,(DATE(Assumptions!$B$4,8,28)-$N126)/365.25*Assumptions!$B$18*BI126,(Assumptions!$B$20*Assumptions!$B$18+((DATE(Assumptions!$B$4,8,28)-$N126)/365.25-Assumptions!$B$20)*Assumptions!$B$19)*BI126),0)</f>
        <v>23917.864476386036</v>
      </c>
      <c r="BK126" s="249">
        <f>IF(BH126&gt;0,IF($M126="Saudi",MIN(BH126+$Q126*$V126,Assumptions!$B$14)*Assumptions!$B$12,MIN(BH126+$Q126*$V126,Assumptions!$B$14)*Assumptions!$B$13),0)</f>
        <v>0</v>
      </c>
      <c r="BL126" s="249">
        <f>IF(AND(BH126&gt;0,$M126="Non-Saudi"),Assumptions!$B$25,0)</f>
        <v>910.41666666666663</v>
      </c>
      <c r="BM126" s="249">
        <f>IF(AND($D126="Contrat Local",$N126&lt;&gt;""),IF(AND(9&gt;=Assumptions!$B$5,ISNUMBER($X126),$N126&lt;EDATE(Assumptions!$B$9,-Assumptions!$B$6*12)),($P126+$X126)*$V126,$P126*$V126),0)</f>
        <v>10500</v>
      </c>
      <c r="BN126" s="249">
        <f t="shared" si="43"/>
        <v>16000</v>
      </c>
      <c r="BO126" s="249">
        <f>IF(AND(BN126&gt;0,$N126&lt;&gt;""),IF((DATE(Assumptions!$B$4,9,28)-$N126)/365.25&lt;=Assumptions!$B$20,(DATE(Assumptions!$B$4,9,28)-$N126)/365.25*Assumptions!$B$18*BN126,(Assumptions!$B$20*Assumptions!$B$18+((DATE(Assumptions!$B$4,9,28)-$N126)/365.25-Assumptions!$B$20)*Assumptions!$B$19)*BN126),0)</f>
        <v>24596.8514715948</v>
      </c>
      <c r="BP126" s="249">
        <f>IF(BM126&gt;0,IF($M126="Saudi",MIN(BM126+$Q126*$V126,Assumptions!$B$14)*Assumptions!$B$12,MIN(BM126+$Q126*$V126,Assumptions!$B$14)*Assumptions!$B$13),0)</f>
        <v>0</v>
      </c>
      <c r="BQ126" s="249">
        <f>IF(AND(BM126&gt;0,$M126="Non-Saudi"),Assumptions!$B$25,0)</f>
        <v>910.41666666666663</v>
      </c>
      <c r="BR126" s="249">
        <f>IF(AND($D126="Contrat Local",$N126&lt;&gt;""),IF(AND(10&gt;=Assumptions!$B$5,ISNUMBER($X126),$N126&lt;EDATE(Assumptions!$B$9,-Assumptions!$B$6*12)),($P126+$X126)*$V126,$P126*$V126),0)</f>
        <v>10500</v>
      </c>
      <c r="BS126" s="249">
        <f t="shared" si="44"/>
        <v>16000</v>
      </c>
      <c r="BT126" s="249">
        <f>IF(AND(BS126&gt;0,$N126&lt;&gt;""),IF((DATE(Assumptions!$B$4,10,28)-$N126)/365.25&lt;=Assumptions!$B$20,(DATE(Assumptions!$B$4,10,28)-$N126)/365.25*Assumptions!$B$18*BS126,(Assumptions!$B$20*Assumptions!$B$18+((DATE(Assumptions!$B$4,10,28)-$N126)/365.25-Assumptions!$B$20)*Assumptions!$B$19)*BS126),0)</f>
        <v>25253.935660506504</v>
      </c>
      <c r="BU126" s="249">
        <f>IF(BR126&gt;0,IF($M126="Saudi",MIN(BR126+$Q126*$V126,Assumptions!$B$14)*Assumptions!$B$12,MIN(BR126+$Q126*$V126,Assumptions!$B$14)*Assumptions!$B$13),0)</f>
        <v>0</v>
      </c>
      <c r="BV126" s="249">
        <f>IF(AND(BR126&gt;0,$M126="Non-Saudi"),Assumptions!$B$25,0)</f>
        <v>910.41666666666663</v>
      </c>
      <c r="BW126" s="249">
        <f>IF(AND($D126="Contrat Local",$N126&lt;&gt;""),IF(AND(11&gt;=Assumptions!$B$5,ISNUMBER($X126),$N126&lt;EDATE(Assumptions!$B$9,-Assumptions!$B$6*12)),($P126+$X126)*$V126,$P126*$V126),0)</f>
        <v>10500</v>
      </c>
      <c r="BX126" s="249">
        <f t="shared" si="45"/>
        <v>16000</v>
      </c>
      <c r="BY126" s="249">
        <f>IF(AND(BX126&gt;0,$N126&lt;&gt;""),IF((DATE(Assumptions!$B$4,11,28)-$N126)/365.25&lt;=Assumptions!$B$20,(DATE(Assumptions!$B$4,11,28)-$N126)/365.25*Assumptions!$B$18*BX126,(Assumptions!$B$20*Assumptions!$B$18+((DATE(Assumptions!$B$4,11,28)-$N126)/365.25-Assumptions!$B$20)*Assumptions!$B$19)*BX126),0)</f>
        <v>25932.922655715261</v>
      </c>
      <c r="BZ126" s="249">
        <f>IF(BW126&gt;0,IF($M126="Saudi",MIN(BW126+$Q126*$V126,Assumptions!$B$14)*Assumptions!$B$12,MIN(BW126+$Q126*$V126,Assumptions!$B$14)*Assumptions!$B$13),0)</f>
        <v>0</v>
      </c>
      <c r="CA126" s="249">
        <f>IF(AND(BW126&gt;0,$M126="Non-Saudi"),Assumptions!$B$25,0)</f>
        <v>910.41666666666663</v>
      </c>
      <c r="CB126" s="249">
        <f>IF(AND($D126="Contrat Local",$N126&lt;&gt;""),IF(AND(12&gt;=Assumptions!$B$5,ISNUMBER($X126),$N126&lt;EDATE(Assumptions!$B$9,-Assumptions!$B$6*12)),($P126+$X126)*$V126,$P126*$V126),0)</f>
        <v>10500</v>
      </c>
      <c r="CC126" s="249">
        <f t="shared" si="46"/>
        <v>16000</v>
      </c>
      <c r="CD126" s="249">
        <f>IF(AND(CC126&gt;0,$N126&lt;&gt;""),IF((DATE(Assumptions!$B$4,12,28)-$N126)/365.25&lt;=Assumptions!$B$20,(DATE(Assumptions!$B$4,12,28)-$N126)/365.25*Assumptions!$B$18*CC126,(Assumptions!$B$20*Assumptions!$B$18+((DATE(Assumptions!$B$4,12,28)-$N126)/365.25-Assumptions!$B$20)*Assumptions!$B$19)*CC126),0)</f>
        <v>26590.006844626965</v>
      </c>
      <c r="CE126" s="249">
        <f>IF(CB126&gt;0,IF($M126="Saudi",MIN(CB126+$Q126*$V126,Assumptions!$B$14)*Assumptions!$B$12,MIN(CB126+$Q126*$V126,Assumptions!$B$14)*Assumptions!$B$13),0)</f>
        <v>0</v>
      </c>
      <c r="CF126" s="249">
        <f>IF(AND(CB126&gt;0,$M126="Non-Saudi"),Assumptions!$B$25,0)</f>
        <v>910.41666666666663</v>
      </c>
      <c r="CG126" s="249">
        <f t="shared" si="47"/>
        <v>126000</v>
      </c>
      <c r="CH126" s="249">
        <f t="shared" si="48"/>
        <v>192000</v>
      </c>
      <c r="CI126" s="249">
        <f>CD126-IF(AND(Z126&gt;0,$N126&lt;&gt;""),IF((DATE(Assumptions!$B$4-1,12,28)-$N126)/365.25&lt;=Assumptions!$B$20,(DATE(Assumptions!$B$4-1,12,28)-$N126)/365.25*Assumptions!$B$18*Z126,(Assumptions!$B$20*Assumptions!$B$18+((DATE(Assumptions!$B$4-1,12,28)-$N126)/365.25-Assumptions!$B$20)*Assumptions!$B$19)*Z126),0)</f>
        <v>7994.5242984257311</v>
      </c>
      <c r="CJ126" s="249">
        <f t="shared" si="49"/>
        <v>0</v>
      </c>
      <c r="CK126" s="249">
        <f t="shared" si="50"/>
        <v>10924.999999999998</v>
      </c>
    </row>
    <row r="127" spans="1:89" x14ac:dyDescent="0.2">
      <c r="A127" s="276">
        <v>128</v>
      </c>
      <c r="B127" s="277" t="s">
        <v>562</v>
      </c>
      <c r="C127" s="277" t="s">
        <v>508</v>
      </c>
      <c r="D127" s="277" t="s">
        <v>250</v>
      </c>
      <c r="E127" s="277" t="s">
        <v>767</v>
      </c>
      <c r="F127" s="277" t="s">
        <v>563</v>
      </c>
      <c r="G127" s="277" t="s">
        <v>252</v>
      </c>
      <c r="H127" s="277" t="s">
        <v>564</v>
      </c>
      <c r="I127" s="290" t="s">
        <v>690</v>
      </c>
      <c r="J127" s="277"/>
      <c r="K127" s="277" t="s">
        <v>254</v>
      </c>
      <c r="L127" s="277" t="s">
        <v>255</v>
      </c>
      <c r="M127" s="277" t="str">
        <f t="shared" si="51"/>
        <v>Non-Saudi</v>
      </c>
      <c r="N127" s="278">
        <v>41885</v>
      </c>
      <c r="O127" s="279">
        <v>12.3</v>
      </c>
      <c r="P127" s="280">
        <v>7935</v>
      </c>
      <c r="Q127" s="280">
        <v>2035</v>
      </c>
      <c r="R127" s="280">
        <v>407</v>
      </c>
      <c r="S127" s="280"/>
      <c r="T127" s="280"/>
      <c r="U127" s="280">
        <v>10377</v>
      </c>
      <c r="V127" s="281">
        <v>0.81388888888888899</v>
      </c>
      <c r="W127" s="277" t="s">
        <v>259</v>
      </c>
      <c r="X127" s="277">
        <v>250</v>
      </c>
      <c r="Y127" s="249">
        <f t="shared" si="27"/>
        <v>6458.2083333333339</v>
      </c>
      <c r="Z127" s="249">
        <f t="shared" si="28"/>
        <v>8445.7250000000004</v>
      </c>
      <c r="AA127" s="249">
        <f>IF(AND(Z127&gt;0,$N127&lt;&gt;""),IF((DATE(Assumptions!$B$4,1,28)-$N127)/365.25&lt;=Assumptions!$B$20,(DATE(Assumptions!$B$4,1,28)-$N127)/365.25*Assumptions!$B$18*Z127,(Assumptions!$B$20*Assumptions!$B$18+((DATE(Assumptions!$B$4,1,28)-$N127)/365.25-Assumptions!$B$20)*Assumptions!$B$19)*Z127),0)</f>
        <v>75193.544105065026</v>
      </c>
      <c r="AB127" s="249">
        <f>IF(Y127&gt;0,IF($M127="Saudi",MIN(Y127+$Q127*$V127,Assumptions!$B$14)*Assumptions!$B$12,MIN(Y127+$Q127*$V127,Assumptions!$B$14)*Assumptions!$B$13),0)</f>
        <v>0</v>
      </c>
      <c r="AC127" s="249">
        <f>IF(AND(Y127&gt;0,$M127="Non-Saudi"),Assumptions!$B$25,0)</f>
        <v>910.41666666666663</v>
      </c>
      <c r="AD127" s="249">
        <f t="shared" si="29"/>
        <v>6458.2083333333339</v>
      </c>
      <c r="AE127" s="249">
        <f t="shared" si="30"/>
        <v>8445.7250000000004</v>
      </c>
      <c r="AF127" s="249">
        <f>IF(AND(AE127&gt;0,$N127&lt;&gt;""),IF((DATE(Assumptions!$B$4,2,28)-$N127)/365.25&lt;=Assumptions!$B$20,(DATE(Assumptions!$B$4,2,28)-$N127)/365.25*Assumptions!$B$18*AE127,(Assumptions!$B$20*Assumptions!$B$18+((DATE(Assumptions!$B$4,2,28)-$N127)/365.25-Assumptions!$B$20)*Assumptions!$B$19)*AE127),0)</f>
        <v>75910.361285078718</v>
      </c>
      <c r="AG127" s="249">
        <f>IF(AD127&gt;0,IF($M127="Saudi",MIN(AD127+$Q127*$V127,Assumptions!$B$14)*Assumptions!$B$12,MIN(AD127+$Q127*$V127,Assumptions!$B$14)*Assumptions!$B$13),0)</f>
        <v>0</v>
      </c>
      <c r="AH127" s="249">
        <f>IF(AND(AD127&gt;0,$M127="Non-Saudi"),Assumptions!$B$25,0)</f>
        <v>910.41666666666663</v>
      </c>
      <c r="AI127" s="249">
        <f t="shared" si="31"/>
        <v>6458.2083333333339</v>
      </c>
      <c r="AJ127" s="249">
        <f t="shared" si="32"/>
        <v>8445.7250000000004</v>
      </c>
      <c r="AK127" s="249">
        <f>IF(AND(AJ127&gt;0,$N127&lt;&gt;""),IF((DATE(Assumptions!$B$4,3,28)-$N127)/365.25&lt;=Assumptions!$B$20,(DATE(Assumptions!$B$4,3,28)-$N127)/365.25*Assumptions!$B$18*AJ127,(Assumptions!$B$20*Assumptions!$B$18+((DATE(Assumptions!$B$4,3,28)-$N127)/365.25-Assumptions!$B$20)*Assumptions!$B$19)*AJ127),0)</f>
        <v>76557.80906057496</v>
      </c>
      <c r="AL127" s="249">
        <f>IF(AI127&gt;0,IF($M127="Saudi",MIN(AI127+$Q127*$V127,Assumptions!$B$14)*Assumptions!$B$12,MIN(AI127+$Q127*$V127,Assumptions!$B$14)*Assumptions!$B$13),0)</f>
        <v>0</v>
      </c>
      <c r="AM127" s="249">
        <f>IF(AND(AI127&gt;0,$M127="Non-Saudi"),Assumptions!$B$25,0)</f>
        <v>910.41666666666663</v>
      </c>
      <c r="AN127" s="249">
        <f t="shared" si="33"/>
        <v>6458.2083333333339</v>
      </c>
      <c r="AO127" s="249">
        <f t="shared" si="34"/>
        <v>8445.7250000000004</v>
      </c>
      <c r="AP127" s="249">
        <f>IF(AND(AO127&gt;0,$N127&lt;&gt;""),IF((DATE(Assumptions!$B$4,4,28)-$N127)/365.25&lt;=Assumptions!$B$20,(DATE(Assumptions!$B$4,4,28)-$N127)/365.25*Assumptions!$B$18*AO127,(Assumptions!$B$20*Assumptions!$B$18+((DATE(Assumptions!$B$4,4,28)-$N127)/365.25-Assumptions!$B$20)*Assumptions!$B$19)*AO127),0)</f>
        <v>77274.626240588652</v>
      </c>
      <c r="AQ127" s="249">
        <f>IF(AN127&gt;0,IF($M127="Saudi",MIN(AN127+$Q127*$V127,Assumptions!$B$14)*Assumptions!$B$12,MIN(AN127+$Q127*$V127,Assumptions!$B$14)*Assumptions!$B$13),0)</f>
        <v>0</v>
      </c>
      <c r="AR127" s="249">
        <f>IF(AND(AN127&gt;0,$M127="Non-Saudi"),Assumptions!$B$25,0)</f>
        <v>910.41666666666663</v>
      </c>
      <c r="AS127" s="249">
        <f t="shared" si="35"/>
        <v>6458.2083333333339</v>
      </c>
      <c r="AT127" s="249">
        <f t="shared" si="36"/>
        <v>8445.7250000000004</v>
      </c>
      <c r="AU127" s="249">
        <f>IF(AND(AT127&gt;0,$N127&lt;&gt;""),IF((DATE(Assumptions!$B$4,5,28)-$N127)/365.25&lt;=Assumptions!$B$20,(DATE(Assumptions!$B$4,5,28)-$N127)/365.25*Assumptions!$B$18*AT127,(Assumptions!$B$20*Assumptions!$B$18+((DATE(Assumptions!$B$4,5,28)-$N127)/365.25-Assumptions!$B$20)*Assumptions!$B$19)*AT127),0)</f>
        <v>77968.320285763184</v>
      </c>
      <c r="AV127" s="249">
        <f>IF(AS127&gt;0,IF($M127="Saudi",MIN(AS127+$Q127*$V127,Assumptions!$B$14)*Assumptions!$B$12,MIN(AS127+$Q127*$V127,Assumptions!$B$14)*Assumptions!$B$13),0)</f>
        <v>0</v>
      </c>
      <c r="AW127" s="249">
        <f>IF(AND(AS127&gt;0,$M127="Non-Saudi"),Assumptions!$B$25,0)</f>
        <v>910.41666666666663</v>
      </c>
      <c r="AX127" s="249">
        <f t="shared" si="37"/>
        <v>6458.2083333333339</v>
      </c>
      <c r="AY127" s="249">
        <f t="shared" si="38"/>
        <v>8445.7250000000004</v>
      </c>
      <c r="AZ127" s="249">
        <f>IF(AND(AY127&gt;0,$N127&lt;&gt;""),IF((DATE(Assumptions!$B$4,6,28)-$N127)/365.25&lt;=Assumptions!$B$20,(DATE(Assumptions!$B$4,6,28)-$N127)/365.25*Assumptions!$B$18*AY127,(Assumptions!$B$20*Assumptions!$B$18+((DATE(Assumptions!$B$4,6,28)-$N127)/365.25-Assumptions!$B$20)*Assumptions!$B$19)*AY127),0)</f>
        <v>78685.137465776861</v>
      </c>
      <c r="BA127" s="249">
        <f>IF(AX127&gt;0,IF($M127="Saudi",MIN(AX127+$Q127*$V127,Assumptions!$B$14)*Assumptions!$B$12,MIN(AX127+$Q127*$V127,Assumptions!$B$14)*Assumptions!$B$13),0)</f>
        <v>0</v>
      </c>
      <c r="BB127" s="249">
        <f>IF(AND(AX127&gt;0,$M127="Non-Saudi"),Assumptions!$B$25,0)</f>
        <v>910.41666666666663</v>
      </c>
      <c r="BC127" s="249">
        <f t="shared" si="39"/>
        <v>6458.2083333333339</v>
      </c>
      <c r="BD127" s="249">
        <f t="shared" si="40"/>
        <v>8445.7250000000004</v>
      </c>
      <c r="BE127" s="249">
        <f>IF(AND(BD127&gt;0,$N127&lt;&gt;""),IF((DATE(Assumptions!$B$4,7,28)-$N127)/365.25&lt;=Assumptions!$B$20,(DATE(Assumptions!$B$4,7,28)-$N127)/365.25*Assumptions!$B$18*BD127,(Assumptions!$B$20*Assumptions!$B$18+((DATE(Assumptions!$B$4,7,28)-$N127)/365.25-Assumptions!$B$20)*Assumptions!$B$19)*BD127),0)</f>
        <v>79378.831510951408</v>
      </c>
      <c r="BF127" s="249">
        <f>IF(BC127&gt;0,IF($M127="Saudi",MIN(BC127+$Q127*$V127,Assumptions!$B$14)*Assumptions!$B$12,MIN(BC127+$Q127*$V127,Assumptions!$B$14)*Assumptions!$B$13),0)</f>
        <v>0</v>
      </c>
      <c r="BG127" s="249">
        <f>IF(AND(BC127&gt;0,$M127="Non-Saudi"),Assumptions!$B$25,0)</f>
        <v>910.41666666666663</v>
      </c>
      <c r="BH127" s="249">
        <f t="shared" si="41"/>
        <v>6458.2083333333339</v>
      </c>
      <c r="BI127" s="249">
        <f t="shared" si="42"/>
        <v>8445.7250000000004</v>
      </c>
      <c r="BJ127" s="249">
        <f>IF(AND(BI127&gt;0,$N127&lt;&gt;""),IF((DATE(Assumptions!$B$4,8,28)-$N127)/365.25&lt;=Assumptions!$B$20,(DATE(Assumptions!$B$4,8,28)-$N127)/365.25*Assumptions!$B$18*BI127,(Assumptions!$B$20*Assumptions!$B$18+((DATE(Assumptions!$B$4,8,28)-$N127)/365.25-Assumptions!$B$20)*Assumptions!$B$19)*BI127),0)</f>
        <v>80095.648690965099</v>
      </c>
      <c r="BK127" s="249">
        <f>IF(BH127&gt;0,IF($M127="Saudi",MIN(BH127+$Q127*$V127,Assumptions!$B$14)*Assumptions!$B$12,MIN(BH127+$Q127*$V127,Assumptions!$B$14)*Assumptions!$B$13),0)</f>
        <v>0</v>
      </c>
      <c r="BL127" s="249">
        <f>IF(AND(BH127&gt;0,$M127="Non-Saudi"),Assumptions!$B$25,0)</f>
        <v>910.41666666666663</v>
      </c>
      <c r="BM127" s="249">
        <f>IF(AND($D127="Contrat Local",$N127&lt;&gt;""),IF(AND(9&gt;=Assumptions!$B$5,ISNUMBER($X127),$N127&lt;EDATE(Assumptions!$B$9,-Assumptions!$B$6*12)),($P127+$X127)*$V127,$P127*$V127),0)</f>
        <v>6661.6805555555566</v>
      </c>
      <c r="BN127" s="249">
        <f t="shared" si="43"/>
        <v>8649.197222222223</v>
      </c>
      <c r="BO127" s="249">
        <f>IF(AND(BN127&gt;0,$N127&lt;&gt;""),IF((DATE(Assumptions!$B$4,9,28)-$N127)/365.25&lt;=Assumptions!$B$20,(DATE(Assumptions!$B$4,9,28)-$N127)/365.25*Assumptions!$B$18*BN127,(Assumptions!$B$20*Assumptions!$B$18+((DATE(Assumptions!$B$4,9,28)-$N127)/365.25-Assumptions!$B$20)*Assumptions!$B$19)*BN127),0)</f>
        <v>82759.378896684168</v>
      </c>
      <c r="BP127" s="249">
        <f>IF(BM127&gt;0,IF($M127="Saudi",MIN(BM127+$Q127*$V127,Assumptions!$B$14)*Assumptions!$B$12,MIN(BM127+$Q127*$V127,Assumptions!$B$14)*Assumptions!$B$13),0)</f>
        <v>0</v>
      </c>
      <c r="BQ127" s="249">
        <f>IF(AND(BM127&gt;0,$M127="Non-Saudi"),Assumptions!$B$25,0)</f>
        <v>910.41666666666663</v>
      </c>
      <c r="BR127" s="249">
        <f>IF(AND($D127="Contrat Local",$N127&lt;&gt;""),IF(AND(10&gt;=Assumptions!$B$5,ISNUMBER($X127),$N127&lt;EDATE(Assumptions!$B$9,-Assumptions!$B$6*12)),($P127+$X127)*$V127,$P127*$V127),0)</f>
        <v>6661.6805555555566</v>
      </c>
      <c r="BS127" s="249">
        <f t="shared" si="44"/>
        <v>8649.197222222223</v>
      </c>
      <c r="BT127" s="249">
        <f>IF(AND(BS127&gt;0,$N127&lt;&gt;""),IF((DATE(Assumptions!$B$4,10,28)-$N127)/365.25&lt;=Assumptions!$B$20,(DATE(Assumptions!$B$4,10,28)-$N127)/365.25*Assumptions!$B$18*BS127,(Assumptions!$B$20*Assumptions!$B$18+((DATE(Assumptions!$B$4,10,28)-$N127)/365.25-Assumptions!$B$20)*Assumptions!$B$19)*BS127),0)</f>
        <v>83469.785239371835</v>
      </c>
      <c r="BU127" s="249">
        <f>IF(BR127&gt;0,IF($M127="Saudi",MIN(BR127+$Q127*$V127,Assumptions!$B$14)*Assumptions!$B$12,MIN(BR127+$Q127*$V127,Assumptions!$B$14)*Assumptions!$B$13),0)</f>
        <v>0</v>
      </c>
      <c r="BV127" s="249">
        <f>IF(AND(BR127&gt;0,$M127="Non-Saudi"),Assumptions!$B$25,0)</f>
        <v>910.41666666666663</v>
      </c>
      <c r="BW127" s="249">
        <f>IF(AND($D127="Contrat Local",$N127&lt;&gt;""),IF(AND(11&gt;=Assumptions!$B$5,ISNUMBER($X127),$N127&lt;EDATE(Assumptions!$B$9,-Assumptions!$B$6*12)),($P127+$X127)*$V127,$P127*$V127),0)</f>
        <v>6661.6805555555566</v>
      </c>
      <c r="BX127" s="249">
        <f t="shared" si="45"/>
        <v>8649.197222222223</v>
      </c>
      <c r="BY127" s="249">
        <f>IF(AND(BX127&gt;0,$N127&lt;&gt;""),IF((DATE(Assumptions!$B$4,11,28)-$N127)/365.25&lt;=Assumptions!$B$20,(DATE(Assumptions!$B$4,11,28)-$N127)/365.25*Assumptions!$B$18*BX127,(Assumptions!$B$20*Assumptions!$B$18+((DATE(Assumptions!$B$4,11,28)-$N127)/365.25-Assumptions!$B$20)*Assumptions!$B$19)*BX127),0)</f>
        <v>84203.871793482409</v>
      </c>
      <c r="BZ127" s="249">
        <f>IF(BW127&gt;0,IF($M127="Saudi",MIN(BW127+$Q127*$V127,Assumptions!$B$14)*Assumptions!$B$12,MIN(BW127+$Q127*$V127,Assumptions!$B$14)*Assumptions!$B$13),0)</f>
        <v>0</v>
      </c>
      <c r="CA127" s="249">
        <f>IF(AND(BW127&gt;0,$M127="Non-Saudi"),Assumptions!$B$25,0)</f>
        <v>910.41666666666663</v>
      </c>
      <c r="CB127" s="249">
        <f>IF(AND($D127="Contrat Local",$N127&lt;&gt;""),IF(AND(12&gt;=Assumptions!$B$5,ISNUMBER($X127),$N127&lt;EDATE(Assumptions!$B$9,-Assumptions!$B$6*12)),($P127+$X127)*$V127,$P127*$V127),0)</f>
        <v>6661.6805555555566</v>
      </c>
      <c r="CC127" s="249">
        <f t="shared" si="46"/>
        <v>8649.197222222223</v>
      </c>
      <c r="CD127" s="249">
        <f>IF(AND(CC127&gt;0,$N127&lt;&gt;""),IF((DATE(Assumptions!$B$4,12,28)-$N127)/365.25&lt;=Assumptions!$B$20,(DATE(Assumptions!$B$4,12,28)-$N127)/365.25*Assumptions!$B$18*CC127,(Assumptions!$B$20*Assumptions!$B$18+((DATE(Assumptions!$B$4,12,28)-$N127)/365.25-Assumptions!$B$20)*Assumptions!$B$19)*CC127),0)</f>
        <v>84914.278136170062</v>
      </c>
      <c r="CE127" s="249">
        <f>IF(CB127&gt;0,IF($M127="Saudi",MIN(CB127+$Q127*$V127,Assumptions!$B$14)*Assumptions!$B$12,MIN(CB127+$Q127*$V127,Assumptions!$B$14)*Assumptions!$B$13),0)</f>
        <v>0</v>
      </c>
      <c r="CF127" s="249">
        <f>IF(AND(CB127&gt;0,$M127="Non-Saudi"),Assumptions!$B$25,0)</f>
        <v>910.41666666666663</v>
      </c>
      <c r="CG127" s="249">
        <f t="shared" si="47"/>
        <v>78312.388888888905</v>
      </c>
      <c r="CH127" s="249">
        <f t="shared" si="48"/>
        <v>102162.5888888889</v>
      </c>
      <c r="CI127" s="249">
        <f>CD127-IF(AND(Z127&gt;0,$N127&lt;&gt;""),IF((DATE(Assumptions!$B$4-1,12,28)-$N127)/365.25&lt;=Assumptions!$B$20,(DATE(Assumptions!$B$4-1,12,28)-$N127)/365.25*Assumptions!$B$18*Z127,(Assumptions!$B$20*Assumptions!$B$18+((DATE(Assumptions!$B$4-1,12,28)-$N127)/365.25-Assumptions!$B$20)*Assumptions!$B$19)*Z127),0)</f>
        <v>10437.551211118727</v>
      </c>
      <c r="CJ127" s="249">
        <f t="shared" si="49"/>
        <v>0</v>
      </c>
      <c r="CK127" s="249">
        <f t="shared" si="50"/>
        <v>10924.999999999998</v>
      </c>
    </row>
    <row r="128" spans="1:89" x14ac:dyDescent="0.2">
      <c r="A128" s="276">
        <v>129</v>
      </c>
      <c r="B128" s="277" t="s">
        <v>565</v>
      </c>
      <c r="C128" s="277" t="s">
        <v>362</v>
      </c>
      <c r="D128" s="277" t="s">
        <v>250</v>
      </c>
      <c r="E128" s="277" t="s">
        <v>767</v>
      </c>
      <c r="F128" s="277" t="s">
        <v>302</v>
      </c>
      <c r="G128" s="277" t="s">
        <v>303</v>
      </c>
      <c r="H128" s="299" t="s">
        <v>304</v>
      </c>
      <c r="I128" s="287" t="s">
        <v>691</v>
      </c>
      <c r="J128" s="299" t="s">
        <v>101</v>
      </c>
      <c r="K128" s="277" t="s">
        <v>254</v>
      </c>
      <c r="L128" s="277" t="s">
        <v>255</v>
      </c>
      <c r="M128" s="277" t="str">
        <f t="shared" si="51"/>
        <v>Non-Saudi</v>
      </c>
      <c r="N128" s="278">
        <v>45901</v>
      </c>
      <c r="O128" s="279">
        <v>1.3</v>
      </c>
      <c r="P128" s="280">
        <v>10000</v>
      </c>
      <c r="Q128" s="280">
        <v>2500</v>
      </c>
      <c r="R128" s="280">
        <v>500</v>
      </c>
      <c r="S128" s="280"/>
      <c r="T128" s="280"/>
      <c r="U128" s="280">
        <v>13000</v>
      </c>
      <c r="V128" s="281">
        <v>1</v>
      </c>
      <c r="W128" s="277" t="s">
        <v>259</v>
      </c>
      <c r="X128" s="277" t="s">
        <v>268</v>
      </c>
      <c r="Y128" s="249">
        <f t="shared" si="27"/>
        <v>10000</v>
      </c>
      <c r="Z128" s="249">
        <f t="shared" si="28"/>
        <v>13000</v>
      </c>
      <c r="AA128" s="249">
        <f>IF(AND(Z128&gt;0,$N128&lt;&gt;""),IF((DATE(Assumptions!$B$4,1,28)-$N128)/365.25&lt;=Assumptions!$B$20,(DATE(Assumptions!$B$4,1,28)-$N128)/365.25*Assumptions!$B$18*Z128,(Assumptions!$B$20*Assumptions!$B$18+((DATE(Assumptions!$B$4,1,28)-$N128)/365.25-Assumptions!$B$20)*Assumptions!$B$19)*Z128),0)</f>
        <v>2651.6084873374402</v>
      </c>
      <c r="AB128" s="249">
        <f>IF(Y128&gt;0,IF($M128="Saudi",MIN(Y128+$Q128*$V128,Assumptions!$B$14)*Assumptions!$B$12,MIN(Y128+$Q128*$V128,Assumptions!$B$14)*Assumptions!$B$13),0)</f>
        <v>0</v>
      </c>
      <c r="AC128" s="249">
        <f>IF(AND(Y128&gt;0,$M128="Non-Saudi"),Assumptions!$B$25,0)</f>
        <v>910.41666666666663</v>
      </c>
      <c r="AD128" s="249">
        <f t="shared" si="29"/>
        <v>10000</v>
      </c>
      <c r="AE128" s="249">
        <f t="shared" si="30"/>
        <v>13000</v>
      </c>
      <c r="AF128" s="249">
        <f>IF(AND(AE128&gt;0,$N128&lt;&gt;""),IF((DATE(Assumptions!$B$4,2,28)-$N128)/365.25&lt;=Assumptions!$B$20,(DATE(Assumptions!$B$4,2,28)-$N128)/365.25*Assumptions!$B$18*AE128,(Assumptions!$B$20*Assumptions!$B$18+((DATE(Assumptions!$B$4,2,28)-$N128)/365.25-Assumptions!$B$20)*Assumptions!$B$19)*AE128),0)</f>
        <v>3203.2854209445582</v>
      </c>
      <c r="AG128" s="249">
        <f>IF(AD128&gt;0,IF($M128="Saudi",MIN(AD128+$Q128*$V128,Assumptions!$B$14)*Assumptions!$B$12,MIN(AD128+$Q128*$V128,Assumptions!$B$14)*Assumptions!$B$13),0)</f>
        <v>0</v>
      </c>
      <c r="AH128" s="249">
        <f>IF(AND(AD128&gt;0,$M128="Non-Saudi"),Assumptions!$B$25,0)</f>
        <v>910.41666666666663</v>
      </c>
      <c r="AI128" s="249">
        <f t="shared" si="31"/>
        <v>10000</v>
      </c>
      <c r="AJ128" s="249">
        <f t="shared" si="32"/>
        <v>13000</v>
      </c>
      <c r="AK128" s="249">
        <f>IF(AND(AJ128&gt;0,$N128&lt;&gt;""),IF((DATE(Assumptions!$B$4,3,28)-$N128)/365.25&lt;=Assumptions!$B$20,(DATE(Assumptions!$B$4,3,28)-$N128)/365.25*Assumptions!$B$18*AJ128,(Assumptions!$B$20*Assumptions!$B$18+((DATE(Assumptions!$B$4,3,28)-$N128)/365.25-Assumptions!$B$20)*Assumptions!$B$19)*AJ128),0)</f>
        <v>3701.5742642026012</v>
      </c>
      <c r="AL128" s="249">
        <f>IF(AI128&gt;0,IF($M128="Saudi",MIN(AI128+$Q128*$V128,Assumptions!$B$14)*Assumptions!$B$12,MIN(AI128+$Q128*$V128,Assumptions!$B$14)*Assumptions!$B$13),0)</f>
        <v>0</v>
      </c>
      <c r="AM128" s="249">
        <f>IF(AND(AI128&gt;0,$M128="Non-Saudi"),Assumptions!$B$25,0)</f>
        <v>910.41666666666663</v>
      </c>
      <c r="AN128" s="249">
        <f t="shared" si="33"/>
        <v>10000</v>
      </c>
      <c r="AO128" s="249">
        <f t="shared" si="34"/>
        <v>13000</v>
      </c>
      <c r="AP128" s="249">
        <f>IF(AND(AO128&gt;0,$N128&lt;&gt;""),IF((DATE(Assumptions!$B$4,4,28)-$N128)/365.25&lt;=Assumptions!$B$20,(DATE(Assumptions!$B$4,4,28)-$N128)/365.25*Assumptions!$B$18*AO128,(Assumptions!$B$20*Assumptions!$B$18+((DATE(Assumptions!$B$4,4,28)-$N128)/365.25-Assumptions!$B$20)*Assumptions!$B$19)*AO128),0)</f>
        <v>4253.2511978097191</v>
      </c>
      <c r="AQ128" s="249">
        <f>IF(AN128&gt;0,IF($M128="Saudi",MIN(AN128+$Q128*$V128,Assumptions!$B$14)*Assumptions!$B$12,MIN(AN128+$Q128*$V128,Assumptions!$B$14)*Assumptions!$B$13),0)</f>
        <v>0</v>
      </c>
      <c r="AR128" s="249">
        <f>IF(AND(AN128&gt;0,$M128="Non-Saudi"),Assumptions!$B$25,0)</f>
        <v>910.41666666666663</v>
      </c>
      <c r="AS128" s="249">
        <f t="shared" si="35"/>
        <v>10000</v>
      </c>
      <c r="AT128" s="249">
        <f t="shared" si="36"/>
        <v>13000</v>
      </c>
      <c r="AU128" s="249">
        <f>IF(AND(AT128&gt;0,$N128&lt;&gt;""),IF((DATE(Assumptions!$B$4,5,28)-$N128)/365.25&lt;=Assumptions!$B$20,(DATE(Assumptions!$B$4,5,28)-$N128)/365.25*Assumptions!$B$18*AT128,(Assumptions!$B$20*Assumptions!$B$18+((DATE(Assumptions!$B$4,5,28)-$N128)/365.25-Assumptions!$B$20)*Assumptions!$B$19)*AT128),0)</f>
        <v>4787.132101300479</v>
      </c>
      <c r="AV128" s="249">
        <f>IF(AS128&gt;0,IF($M128="Saudi",MIN(AS128+$Q128*$V128,Assumptions!$B$14)*Assumptions!$B$12,MIN(AS128+$Q128*$V128,Assumptions!$B$14)*Assumptions!$B$13),0)</f>
        <v>0</v>
      </c>
      <c r="AW128" s="249">
        <f>IF(AND(AS128&gt;0,$M128="Non-Saudi"),Assumptions!$B$25,0)</f>
        <v>910.41666666666663</v>
      </c>
      <c r="AX128" s="249">
        <f t="shared" si="37"/>
        <v>10000</v>
      </c>
      <c r="AY128" s="249">
        <f t="shared" si="38"/>
        <v>13000</v>
      </c>
      <c r="AZ128" s="249">
        <f>IF(AND(AY128&gt;0,$N128&lt;&gt;""),IF((DATE(Assumptions!$B$4,6,28)-$N128)/365.25&lt;=Assumptions!$B$20,(DATE(Assumptions!$B$4,6,28)-$N128)/365.25*Assumptions!$B$18*AY128,(Assumptions!$B$20*Assumptions!$B$18+((DATE(Assumptions!$B$4,6,28)-$N128)/365.25-Assumptions!$B$20)*Assumptions!$B$19)*AY128),0)</f>
        <v>5338.8090349075974</v>
      </c>
      <c r="BA128" s="249">
        <f>IF(AX128&gt;0,IF($M128="Saudi",MIN(AX128+$Q128*$V128,Assumptions!$B$14)*Assumptions!$B$12,MIN(AX128+$Q128*$V128,Assumptions!$B$14)*Assumptions!$B$13),0)</f>
        <v>0</v>
      </c>
      <c r="BB128" s="249">
        <f>IF(AND(AX128&gt;0,$M128="Non-Saudi"),Assumptions!$B$25,0)</f>
        <v>910.41666666666663</v>
      </c>
      <c r="BC128" s="249">
        <f t="shared" si="39"/>
        <v>10000</v>
      </c>
      <c r="BD128" s="249">
        <f t="shared" si="40"/>
        <v>13000</v>
      </c>
      <c r="BE128" s="249">
        <f>IF(AND(BD128&gt;0,$N128&lt;&gt;""),IF((DATE(Assumptions!$B$4,7,28)-$N128)/365.25&lt;=Assumptions!$B$20,(DATE(Assumptions!$B$4,7,28)-$N128)/365.25*Assumptions!$B$18*BD128,(Assumptions!$B$20*Assumptions!$B$18+((DATE(Assumptions!$B$4,7,28)-$N128)/365.25-Assumptions!$B$20)*Assumptions!$B$19)*BD128),0)</f>
        <v>5872.6899383983573</v>
      </c>
      <c r="BF128" s="249">
        <f>IF(BC128&gt;0,IF($M128="Saudi",MIN(BC128+$Q128*$V128,Assumptions!$B$14)*Assumptions!$B$12,MIN(BC128+$Q128*$V128,Assumptions!$B$14)*Assumptions!$B$13),0)</f>
        <v>0</v>
      </c>
      <c r="BG128" s="249">
        <f>IF(AND(BC128&gt;0,$M128="Non-Saudi"),Assumptions!$B$25,0)</f>
        <v>910.41666666666663</v>
      </c>
      <c r="BH128" s="249">
        <f t="shared" si="41"/>
        <v>10000</v>
      </c>
      <c r="BI128" s="249">
        <f t="shared" si="42"/>
        <v>13000</v>
      </c>
      <c r="BJ128" s="249">
        <f>IF(AND(BI128&gt;0,$N128&lt;&gt;""),IF((DATE(Assumptions!$B$4,8,28)-$N128)/365.25&lt;=Assumptions!$B$20,(DATE(Assumptions!$B$4,8,28)-$N128)/365.25*Assumptions!$B$18*BI128,(Assumptions!$B$20*Assumptions!$B$18+((DATE(Assumptions!$B$4,8,28)-$N128)/365.25-Assumptions!$B$20)*Assumptions!$B$19)*BI128),0)</f>
        <v>6424.3668720054757</v>
      </c>
      <c r="BK128" s="249">
        <f>IF(BH128&gt;0,IF($M128="Saudi",MIN(BH128+$Q128*$V128,Assumptions!$B$14)*Assumptions!$B$12,MIN(BH128+$Q128*$V128,Assumptions!$B$14)*Assumptions!$B$13),0)</f>
        <v>0</v>
      </c>
      <c r="BL128" s="249">
        <f>IF(AND(BH128&gt;0,$M128="Non-Saudi"),Assumptions!$B$25,0)</f>
        <v>910.41666666666663</v>
      </c>
      <c r="BM128" s="249">
        <f>IF(AND($D128="Contrat Local",$N128&lt;&gt;""),IF(AND(9&gt;=Assumptions!$B$5,ISNUMBER($X128),$N128&lt;EDATE(Assumptions!$B$9,-Assumptions!$B$6*12)),($P128+$X128)*$V128,$P128*$V128),0)</f>
        <v>10000</v>
      </c>
      <c r="BN128" s="249">
        <f t="shared" si="43"/>
        <v>13000</v>
      </c>
      <c r="BO128" s="249">
        <f>IF(AND(BN128&gt;0,$N128&lt;&gt;""),IF((DATE(Assumptions!$B$4,9,28)-$N128)/365.25&lt;=Assumptions!$B$20,(DATE(Assumptions!$B$4,9,28)-$N128)/365.25*Assumptions!$B$18*BN128,(Assumptions!$B$20*Assumptions!$B$18+((DATE(Assumptions!$B$4,9,28)-$N128)/365.25-Assumptions!$B$20)*Assumptions!$B$19)*BN128),0)</f>
        <v>6976.043805612594</v>
      </c>
      <c r="BP128" s="249">
        <f>IF(BM128&gt;0,IF($M128="Saudi",MIN(BM128+$Q128*$V128,Assumptions!$B$14)*Assumptions!$B$12,MIN(BM128+$Q128*$V128,Assumptions!$B$14)*Assumptions!$B$13),0)</f>
        <v>0</v>
      </c>
      <c r="BQ128" s="249">
        <f>IF(AND(BM128&gt;0,$M128="Non-Saudi"),Assumptions!$B$25,0)</f>
        <v>910.41666666666663</v>
      </c>
      <c r="BR128" s="249">
        <f>IF(AND($D128="Contrat Local",$N128&lt;&gt;""),IF(AND(10&gt;=Assumptions!$B$5,ISNUMBER($X128),$N128&lt;EDATE(Assumptions!$B$9,-Assumptions!$B$6*12)),($P128+$X128)*$V128,$P128*$V128),0)</f>
        <v>10000</v>
      </c>
      <c r="BS128" s="249">
        <f t="shared" si="44"/>
        <v>13000</v>
      </c>
      <c r="BT128" s="249">
        <f>IF(AND(BS128&gt;0,$N128&lt;&gt;""),IF((DATE(Assumptions!$B$4,10,28)-$N128)/365.25&lt;=Assumptions!$B$20,(DATE(Assumptions!$B$4,10,28)-$N128)/365.25*Assumptions!$B$18*BS128,(Assumptions!$B$20*Assumptions!$B$18+((DATE(Assumptions!$B$4,10,28)-$N128)/365.25-Assumptions!$B$20)*Assumptions!$B$19)*BS128),0)</f>
        <v>7509.9247091033549</v>
      </c>
      <c r="BU128" s="249">
        <f>IF(BR128&gt;0,IF($M128="Saudi",MIN(BR128+$Q128*$V128,Assumptions!$B$14)*Assumptions!$B$12,MIN(BR128+$Q128*$V128,Assumptions!$B$14)*Assumptions!$B$13),0)</f>
        <v>0</v>
      </c>
      <c r="BV128" s="249">
        <f>IF(AND(BR128&gt;0,$M128="Non-Saudi"),Assumptions!$B$25,0)</f>
        <v>910.41666666666663</v>
      </c>
      <c r="BW128" s="249">
        <f>IF(AND($D128="Contrat Local",$N128&lt;&gt;""),IF(AND(11&gt;=Assumptions!$B$5,ISNUMBER($X128),$N128&lt;EDATE(Assumptions!$B$9,-Assumptions!$B$6*12)),($P128+$X128)*$V128,$P128*$V128),0)</f>
        <v>10000</v>
      </c>
      <c r="BX128" s="249">
        <f t="shared" si="45"/>
        <v>13000</v>
      </c>
      <c r="BY128" s="249">
        <f>IF(AND(BX128&gt;0,$N128&lt;&gt;""),IF((DATE(Assumptions!$B$4,11,28)-$N128)/365.25&lt;=Assumptions!$B$20,(DATE(Assumptions!$B$4,11,28)-$N128)/365.25*Assumptions!$B$18*BX128,(Assumptions!$B$20*Assumptions!$B$18+((DATE(Assumptions!$B$4,11,28)-$N128)/365.25-Assumptions!$B$20)*Assumptions!$B$19)*BX128),0)</f>
        <v>8061.6016427104723</v>
      </c>
      <c r="BZ128" s="249">
        <f>IF(BW128&gt;0,IF($M128="Saudi",MIN(BW128+$Q128*$V128,Assumptions!$B$14)*Assumptions!$B$12,MIN(BW128+$Q128*$V128,Assumptions!$B$14)*Assumptions!$B$13),0)</f>
        <v>0</v>
      </c>
      <c r="CA128" s="249">
        <f>IF(AND(BW128&gt;0,$M128="Non-Saudi"),Assumptions!$B$25,0)</f>
        <v>910.41666666666663</v>
      </c>
      <c r="CB128" s="249">
        <f>IF(AND($D128="Contrat Local",$N128&lt;&gt;""),IF(AND(12&gt;=Assumptions!$B$5,ISNUMBER($X128),$N128&lt;EDATE(Assumptions!$B$9,-Assumptions!$B$6*12)),($P128+$X128)*$V128,$P128*$V128),0)</f>
        <v>10000</v>
      </c>
      <c r="CC128" s="249">
        <f t="shared" si="46"/>
        <v>13000</v>
      </c>
      <c r="CD128" s="249">
        <f>IF(AND(CC128&gt;0,$N128&lt;&gt;""),IF((DATE(Assumptions!$B$4,12,28)-$N128)/365.25&lt;=Assumptions!$B$20,(DATE(Assumptions!$B$4,12,28)-$N128)/365.25*Assumptions!$B$18*CC128,(Assumptions!$B$20*Assumptions!$B$18+((DATE(Assumptions!$B$4,12,28)-$N128)/365.25-Assumptions!$B$20)*Assumptions!$B$19)*CC128),0)</f>
        <v>8595.4825462012323</v>
      </c>
      <c r="CE128" s="249">
        <f>IF(CB128&gt;0,IF($M128="Saudi",MIN(CB128+$Q128*$V128,Assumptions!$B$14)*Assumptions!$B$12,MIN(CB128+$Q128*$V128,Assumptions!$B$14)*Assumptions!$B$13),0)</f>
        <v>0</v>
      </c>
      <c r="CF128" s="249">
        <f>IF(AND(CB128&gt;0,$M128="Non-Saudi"),Assumptions!$B$25,0)</f>
        <v>910.41666666666663</v>
      </c>
      <c r="CG128" s="249">
        <f t="shared" si="47"/>
        <v>120000</v>
      </c>
      <c r="CH128" s="249">
        <f t="shared" si="48"/>
        <v>156000</v>
      </c>
      <c r="CI128" s="249">
        <f>CD128-IF(AND(Z128&gt;0,$N128&lt;&gt;""),IF((DATE(Assumptions!$B$4-1,12,28)-$N128)/365.25&lt;=Assumptions!$B$20,(DATE(Assumptions!$B$4-1,12,28)-$N128)/365.25*Assumptions!$B$18*Z128,(Assumptions!$B$20*Assumptions!$B$18+((DATE(Assumptions!$B$4-1,12,28)-$N128)/365.25-Assumptions!$B$20)*Assumptions!$B$19)*Z128),0)</f>
        <v>6495.5509924709104</v>
      </c>
      <c r="CJ128" s="249">
        <f t="shared" si="49"/>
        <v>0</v>
      </c>
      <c r="CK128" s="249">
        <f t="shared" si="50"/>
        <v>10924.999999999998</v>
      </c>
    </row>
    <row r="129" spans="1:89" x14ac:dyDescent="0.2">
      <c r="A129" s="276">
        <v>130</v>
      </c>
      <c r="B129" s="277" t="s">
        <v>566</v>
      </c>
      <c r="C129" s="277" t="s">
        <v>567</v>
      </c>
      <c r="D129" s="277" t="s">
        <v>250</v>
      </c>
      <c r="E129" s="277" t="s">
        <v>767</v>
      </c>
      <c r="F129" s="277" t="s">
        <v>302</v>
      </c>
      <c r="G129" s="277" t="s">
        <v>303</v>
      </c>
      <c r="H129" s="277" t="s">
        <v>307</v>
      </c>
      <c r="I129" s="287" t="s">
        <v>691</v>
      </c>
      <c r="J129" s="286" t="s">
        <v>307</v>
      </c>
      <c r="K129" s="277" t="s">
        <v>254</v>
      </c>
      <c r="L129" s="277" t="s">
        <v>255</v>
      </c>
      <c r="M129" s="277" t="str">
        <f t="shared" si="51"/>
        <v>Non-Saudi</v>
      </c>
      <c r="N129" s="278">
        <v>45921</v>
      </c>
      <c r="O129" s="279">
        <v>1.3</v>
      </c>
      <c r="P129" s="280">
        <v>7911.33</v>
      </c>
      <c r="Q129" s="280">
        <v>2472.2199999999998</v>
      </c>
      <c r="R129" s="280">
        <v>494.44</v>
      </c>
      <c r="S129" s="280"/>
      <c r="T129" s="280"/>
      <c r="U129" s="280">
        <v>10878</v>
      </c>
      <c r="V129" s="281">
        <v>0.9889</v>
      </c>
      <c r="W129" s="277" t="s">
        <v>256</v>
      </c>
      <c r="X129" s="277" t="s">
        <v>268</v>
      </c>
      <c r="Y129" s="249">
        <f t="shared" si="27"/>
        <v>7823.5142370000003</v>
      </c>
      <c r="Z129" s="249">
        <f t="shared" si="28"/>
        <v>10757.244311</v>
      </c>
      <c r="AA129" s="249">
        <f>IF(AND(Z129&gt;0,$N129&lt;&gt;""),IF((DATE(Assumptions!$B$4,1,28)-$N129)/365.25&lt;=Assumptions!$B$20,(DATE(Assumptions!$B$4,1,28)-$N129)/365.25*Assumptions!$B$18*Z129,(Assumptions!$B$20*Assumptions!$B$18+((DATE(Assumptions!$B$4,1,28)-$N129)/365.25-Assumptions!$B$20)*Assumptions!$B$19)*Z129),0)</f>
        <v>1899.6365723737167</v>
      </c>
      <c r="AB129" s="249">
        <f>IF(Y129&gt;0,IF($M129="Saudi",MIN(Y129+$Q129*$V129,Assumptions!$B$14)*Assumptions!$B$12,MIN(Y129+$Q129*$V129,Assumptions!$B$14)*Assumptions!$B$13),0)</f>
        <v>0</v>
      </c>
      <c r="AC129" s="249">
        <f>IF(AND(Y129&gt;0,$M129="Non-Saudi"),Assumptions!$B$25,0)</f>
        <v>910.41666666666663</v>
      </c>
      <c r="AD129" s="249">
        <f t="shared" si="29"/>
        <v>7823.5142370000003</v>
      </c>
      <c r="AE129" s="249">
        <f t="shared" si="30"/>
        <v>10757.244311</v>
      </c>
      <c r="AF129" s="249">
        <f>IF(AND(AE129&gt;0,$N129&lt;&gt;""),IF((DATE(Assumptions!$B$4,2,28)-$N129)/365.25&lt;=Assumptions!$B$20,(DATE(Assumptions!$B$4,2,28)-$N129)/365.25*Assumptions!$B$18*AE129,(Assumptions!$B$20*Assumptions!$B$18+((DATE(Assumptions!$B$4,2,28)-$N129)/365.25-Assumptions!$B$20)*Assumptions!$B$19)*AE129),0)</f>
        <v>2356.1383843394933</v>
      </c>
      <c r="AG129" s="249">
        <f>IF(AD129&gt;0,IF($M129="Saudi",MIN(AD129+$Q129*$V129,Assumptions!$B$14)*Assumptions!$B$12,MIN(AD129+$Q129*$V129,Assumptions!$B$14)*Assumptions!$B$13),0)</f>
        <v>0</v>
      </c>
      <c r="AH129" s="249">
        <f>IF(AND(AD129&gt;0,$M129="Non-Saudi"),Assumptions!$B$25,0)</f>
        <v>910.41666666666663</v>
      </c>
      <c r="AI129" s="249">
        <f t="shared" si="31"/>
        <v>7823.5142370000003</v>
      </c>
      <c r="AJ129" s="249">
        <f t="shared" si="32"/>
        <v>10757.244311</v>
      </c>
      <c r="AK129" s="249">
        <f>IF(AND(AJ129&gt;0,$N129&lt;&gt;""),IF((DATE(Assumptions!$B$4,3,28)-$N129)/365.25&lt;=Assumptions!$B$20,(DATE(Assumptions!$B$4,3,28)-$N129)/365.25*Assumptions!$B$18*AJ129,(Assumptions!$B$20*Assumptions!$B$18+((DATE(Assumptions!$B$4,3,28)-$N129)/365.25-Assumptions!$B$20)*Assumptions!$B$19)*AJ129),0)</f>
        <v>2768.4626015989052</v>
      </c>
      <c r="AL129" s="249">
        <f>IF(AI129&gt;0,IF($M129="Saudi",MIN(AI129+$Q129*$V129,Assumptions!$B$14)*Assumptions!$B$12,MIN(AI129+$Q129*$V129,Assumptions!$B$14)*Assumptions!$B$13),0)</f>
        <v>0</v>
      </c>
      <c r="AM129" s="249">
        <f>IF(AND(AI129&gt;0,$M129="Non-Saudi"),Assumptions!$B$25,0)</f>
        <v>910.41666666666663</v>
      </c>
      <c r="AN129" s="249">
        <f t="shared" si="33"/>
        <v>7823.5142370000003</v>
      </c>
      <c r="AO129" s="249">
        <f t="shared" si="34"/>
        <v>10757.244311</v>
      </c>
      <c r="AP129" s="249">
        <f>IF(AND(AO129&gt;0,$N129&lt;&gt;""),IF((DATE(Assumptions!$B$4,4,28)-$N129)/365.25&lt;=Assumptions!$B$20,(DATE(Assumptions!$B$4,4,28)-$N129)/365.25*Assumptions!$B$18*AO129,(Assumptions!$B$20*Assumptions!$B$18+((DATE(Assumptions!$B$4,4,28)-$N129)/365.25-Assumptions!$B$20)*Assumptions!$B$19)*AO129),0)</f>
        <v>3224.9644135646818</v>
      </c>
      <c r="AQ129" s="249">
        <f>IF(AN129&gt;0,IF($M129="Saudi",MIN(AN129+$Q129*$V129,Assumptions!$B$14)*Assumptions!$B$12,MIN(AN129+$Q129*$V129,Assumptions!$B$14)*Assumptions!$B$13),0)</f>
        <v>0</v>
      </c>
      <c r="AR129" s="249">
        <f>IF(AND(AN129&gt;0,$M129="Non-Saudi"),Assumptions!$B$25,0)</f>
        <v>910.41666666666663</v>
      </c>
      <c r="AS129" s="249">
        <f t="shared" si="35"/>
        <v>7823.5142370000003</v>
      </c>
      <c r="AT129" s="249">
        <f t="shared" si="36"/>
        <v>10757.244311</v>
      </c>
      <c r="AU129" s="249">
        <f>IF(AND(AT129&gt;0,$N129&lt;&gt;""),IF((DATE(Assumptions!$B$4,5,28)-$N129)/365.25&lt;=Assumptions!$B$20,(DATE(Assumptions!$B$4,5,28)-$N129)/365.25*Assumptions!$B$18*AT129,(Assumptions!$B$20*Assumptions!$B$18+((DATE(Assumptions!$B$4,5,28)-$N129)/365.25-Assumptions!$B$20)*Assumptions!$B$19)*AT129),0)</f>
        <v>3666.7403606283369</v>
      </c>
      <c r="AV129" s="249">
        <f>IF(AS129&gt;0,IF($M129="Saudi",MIN(AS129+$Q129*$V129,Assumptions!$B$14)*Assumptions!$B$12,MIN(AS129+$Q129*$V129,Assumptions!$B$14)*Assumptions!$B$13),0)</f>
        <v>0</v>
      </c>
      <c r="AW129" s="249">
        <f>IF(AND(AS129&gt;0,$M129="Non-Saudi"),Assumptions!$B$25,0)</f>
        <v>910.41666666666663</v>
      </c>
      <c r="AX129" s="249">
        <f t="shared" si="37"/>
        <v>7823.5142370000003</v>
      </c>
      <c r="AY129" s="249">
        <f t="shared" si="38"/>
        <v>10757.244311</v>
      </c>
      <c r="AZ129" s="249">
        <f>IF(AND(AY129&gt;0,$N129&lt;&gt;""),IF((DATE(Assumptions!$B$4,6,28)-$N129)/365.25&lt;=Assumptions!$B$20,(DATE(Assumptions!$B$4,6,28)-$N129)/365.25*Assumptions!$B$18*AY129,(Assumptions!$B$20*Assumptions!$B$18+((DATE(Assumptions!$B$4,6,28)-$N129)/365.25-Assumptions!$B$20)*Assumptions!$B$19)*AY129),0)</f>
        <v>4123.242172594114</v>
      </c>
      <c r="BA129" s="249">
        <f>IF(AX129&gt;0,IF($M129="Saudi",MIN(AX129+$Q129*$V129,Assumptions!$B$14)*Assumptions!$B$12,MIN(AX129+$Q129*$V129,Assumptions!$B$14)*Assumptions!$B$13),0)</f>
        <v>0</v>
      </c>
      <c r="BB129" s="249">
        <f>IF(AND(AX129&gt;0,$M129="Non-Saudi"),Assumptions!$B$25,0)</f>
        <v>910.41666666666663</v>
      </c>
      <c r="BC129" s="249">
        <f t="shared" si="39"/>
        <v>7823.5142370000003</v>
      </c>
      <c r="BD129" s="249">
        <f t="shared" si="40"/>
        <v>10757.244311</v>
      </c>
      <c r="BE129" s="249">
        <f>IF(AND(BD129&gt;0,$N129&lt;&gt;""),IF((DATE(Assumptions!$B$4,7,28)-$N129)/365.25&lt;=Assumptions!$B$20,(DATE(Assumptions!$B$4,7,28)-$N129)/365.25*Assumptions!$B$18*BD129,(Assumptions!$B$20*Assumptions!$B$18+((DATE(Assumptions!$B$4,7,28)-$N129)/365.25-Assumptions!$B$20)*Assumptions!$B$19)*BD129),0)</f>
        <v>4565.0181196577687</v>
      </c>
      <c r="BF129" s="249">
        <f>IF(BC129&gt;0,IF($M129="Saudi",MIN(BC129+$Q129*$V129,Assumptions!$B$14)*Assumptions!$B$12,MIN(BC129+$Q129*$V129,Assumptions!$B$14)*Assumptions!$B$13),0)</f>
        <v>0</v>
      </c>
      <c r="BG129" s="249">
        <f>IF(AND(BC129&gt;0,$M129="Non-Saudi"),Assumptions!$B$25,0)</f>
        <v>910.41666666666663</v>
      </c>
      <c r="BH129" s="249">
        <f t="shared" si="41"/>
        <v>7823.5142370000003</v>
      </c>
      <c r="BI129" s="249">
        <f t="shared" si="42"/>
        <v>10757.244311</v>
      </c>
      <c r="BJ129" s="249">
        <f>IF(AND(BI129&gt;0,$N129&lt;&gt;""),IF((DATE(Assumptions!$B$4,8,28)-$N129)/365.25&lt;=Assumptions!$B$20,(DATE(Assumptions!$B$4,8,28)-$N129)/365.25*Assumptions!$B$18*BI129,(Assumptions!$B$20*Assumptions!$B$18+((DATE(Assumptions!$B$4,8,28)-$N129)/365.25-Assumptions!$B$20)*Assumptions!$B$19)*BI129),0)</f>
        <v>5021.5199316235457</v>
      </c>
      <c r="BK129" s="249">
        <f>IF(BH129&gt;0,IF($M129="Saudi",MIN(BH129+$Q129*$V129,Assumptions!$B$14)*Assumptions!$B$12,MIN(BH129+$Q129*$V129,Assumptions!$B$14)*Assumptions!$B$13),0)</f>
        <v>0</v>
      </c>
      <c r="BL129" s="249">
        <f>IF(AND(BH129&gt;0,$M129="Non-Saudi"),Assumptions!$B$25,0)</f>
        <v>910.41666666666663</v>
      </c>
      <c r="BM129" s="249">
        <f>IF(AND($D129="Contrat Local",$N129&lt;&gt;""),IF(AND(9&gt;=Assumptions!$B$5,ISNUMBER($X129),$N129&lt;EDATE(Assumptions!$B$9,-Assumptions!$B$6*12)),($P129+$X129)*$V129,$P129*$V129),0)</f>
        <v>7823.5142370000003</v>
      </c>
      <c r="BN129" s="249">
        <f t="shared" si="43"/>
        <v>10757.244311</v>
      </c>
      <c r="BO129" s="249">
        <f>IF(AND(BN129&gt;0,$N129&lt;&gt;""),IF((DATE(Assumptions!$B$4,9,28)-$N129)/365.25&lt;=Assumptions!$B$20,(DATE(Assumptions!$B$4,9,28)-$N129)/365.25*Assumptions!$B$18*BN129,(Assumptions!$B$20*Assumptions!$B$18+((DATE(Assumptions!$B$4,9,28)-$N129)/365.25-Assumptions!$B$20)*Assumptions!$B$19)*BN129),0)</f>
        <v>5478.0217435893228</v>
      </c>
      <c r="BP129" s="249">
        <f>IF(BM129&gt;0,IF($M129="Saudi",MIN(BM129+$Q129*$V129,Assumptions!$B$14)*Assumptions!$B$12,MIN(BM129+$Q129*$V129,Assumptions!$B$14)*Assumptions!$B$13),0)</f>
        <v>0</v>
      </c>
      <c r="BQ129" s="249">
        <f>IF(AND(BM129&gt;0,$M129="Non-Saudi"),Assumptions!$B$25,0)</f>
        <v>910.41666666666663</v>
      </c>
      <c r="BR129" s="249">
        <f>IF(AND($D129="Contrat Local",$N129&lt;&gt;""),IF(AND(10&gt;=Assumptions!$B$5,ISNUMBER($X129),$N129&lt;EDATE(Assumptions!$B$9,-Assumptions!$B$6*12)),($P129+$X129)*$V129,$P129*$V129),0)</f>
        <v>7823.5142370000003</v>
      </c>
      <c r="BS129" s="249">
        <f t="shared" si="44"/>
        <v>10757.244311</v>
      </c>
      <c r="BT129" s="249">
        <f>IF(AND(BS129&gt;0,$N129&lt;&gt;""),IF((DATE(Assumptions!$B$4,10,28)-$N129)/365.25&lt;=Assumptions!$B$20,(DATE(Assumptions!$B$4,10,28)-$N129)/365.25*Assumptions!$B$18*BS129,(Assumptions!$B$20*Assumptions!$B$18+((DATE(Assumptions!$B$4,10,28)-$N129)/365.25-Assumptions!$B$20)*Assumptions!$B$19)*BS129),0)</f>
        <v>5919.7976906529784</v>
      </c>
      <c r="BU129" s="249">
        <f>IF(BR129&gt;0,IF($M129="Saudi",MIN(BR129+$Q129*$V129,Assumptions!$B$14)*Assumptions!$B$12,MIN(BR129+$Q129*$V129,Assumptions!$B$14)*Assumptions!$B$13),0)</f>
        <v>0</v>
      </c>
      <c r="BV129" s="249">
        <f>IF(AND(BR129&gt;0,$M129="Non-Saudi"),Assumptions!$B$25,0)</f>
        <v>910.41666666666663</v>
      </c>
      <c r="BW129" s="249">
        <f>IF(AND($D129="Contrat Local",$N129&lt;&gt;""),IF(AND(11&gt;=Assumptions!$B$5,ISNUMBER($X129),$N129&lt;EDATE(Assumptions!$B$9,-Assumptions!$B$6*12)),($P129+$X129)*$V129,$P129*$V129),0)</f>
        <v>7823.5142370000003</v>
      </c>
      <c r="BX129" s="249">
        <f t="shared" si="45"/>
        <v>10757.244311</v>
      </c>
      <c r="BY129" s="249">
        <f>IF(AND(BX129&gt;0,$N129&lt;&gt;""),IF((DATE(Assumptions!$B$4,11,28)-$N129)/365.25&lt;=Assumptions!$B$20,(DATE(Assumptions!$B$4,11,28)-$N129)/365.25*Assumptions!$B$18*BX129,(Assumptions!$B$20*Assumptions!$B$18+((DATE(Assumptions!$B$4,11,28)-$N129)/365.25-Assumptions!$B$20)*Assumptions!$B$19)*BX129),0)</f>
        <v>6376.2995026187546</v>
      </c>
      <c r="BZ129" s="249">
        <f>IF(BW129&gt;0,IF($M129="Saudi",MIN(BW129+$Q129*$V129,Assumptions!$B$14)*Assumptions!$B$12,MIN(BW129+$Q129*$V129,Assumptions!$B$14)*Assumptions!$B$13),0)</f>
        <v>0</v>
      </c>
      <c r="CA129" s="249">
        <f>IF(AND(BW129&gt;0,$M129="Non-Saudi"),Assumptions!$B$25,0)</f>
        <v>910.41666666666663</v>
      </c>
      <c r="CB129" s="249">
        <f>IF(AND($D129="Contrat Local",$N129&lt;&gt;""),IF(AND(12&gt;=Assumptions!$B$5,ISNUMBER($X129),$N129&lt;EDATE(Assumptions!$B$9,-Assumptions!$B$6*12)),($P129+$X129)*$V129,$P129*$V129),0)</f>
        <v>7823.5142370000003</v>
      </c>
      <c r="CC129" s="249">
        <f t="shared" si="46"/>
        <v>10757.244311</v>
      </c>
      <c r="CD129" s="249">
        <f>IF(AND(CC129&gt;0,$N129&lt;&gt;""),IF((DATE(Assumptions!$B$4,12,28)-$N129)/365.25&lt;=Assumptions!$B$20,(DATE(Assumptions!$B$4,12,28)-$N129)/365.25*Assumptions!$B$18*CC129,(Assumptions!$B$20*Assumptions!$B$18+((DATE(Assumptions!$B$4,12,28)-$N129)/365.25-Assumptions!$B$20)*Assumptions!$B$19)*CC129),0)</f>
        <v>6818.0754496824102</v>
      </c>
      <c r="CE129" s="249">
        <f>IF(CB129&gt;0,IF($M129="Saudi",MIN(CB129+$Q129*$V129,Assumptions!$B$14)*Assumptions!$B$12,MIN(CB129+$Q129*$V129,Assumptions!$B$14)*Assumptions!$B$13),0)</f>
        <v>0</v>
      </c>
      <c r="CF129" s="249">
        <f>IF(AND(CB129&gt;0,$M129="Non-Saudi"),Assumptions!$B$25,0)</f>
        <v>910.41666666666663</v>
      </c>
      <c r="CG129" s="249">
        <f t="shared" si="47"/>
        <v>93882.170843999993</v>
      </c>
      <c r="CH129" s="249">
        <f t="shared" si="48"/>
        <v>129086.93173200001</v>
      </c>
      <c r="CI129" s="249">
        <f>CD129-IF(AND(Z129&gt;0,$N129&lt;&gt;""),IF((DATE(Assumptions!$B$4-1,12,28)-$N129)/365.25&lt;=Assumptions!$B$20,(DATE(Assumptions!$B$4-1,12,28)-$N129)/365.25*Assumptions!$B$18*Z129,(Assumptions!$B$20*Assumptions!$B$18+((DATE(Assumptions!$B$4-1,12,28)-$N129)/365.25-Assumptions!$B$20)*Assumptions!$B$19)*Z129),0)</f>
        <v>5374.9406892744701</v>
      </c>
      <c r="CJ129" s="249">
        <f t="shared" si="49"/>
        <v>0</v>
      </c>
      <c r="CK129" s="249">
        <f t="shared" si="50"/>
        <v>10924.999999999998</v>
      </c>
    </row>
    <row r="130" spans="1:89" x14ac:dyDescent="0.2">
      <c r="A130" s="258">
        <v>131</v>
      </c>
      <c r="B130" s="259" t="s">
        <v>568</v>
      </c>
      <c r="C130" s="259" t="s">
        <v>569</v>
      </c>
      <c r="D130" s="259" t="s">
        <v>250</v>
      </c>
      <c r="E130" s="259" t="s">
        <v>767</v>
      </c>
      <c r="F130" s="259" t="s">
        <v>264</v>
      </c>
      <c r="G130" s="259" t="s">
        <v>8</v>
      </c>
      <c r="H130" s="259" t="s">
        <v>265</v>
      </c>
      <c r="I130" s="283" t="s">
        <v>691</v>
      </c>
      <c r="J130" s="259" t="s">
        <v>58</v>
      </c>
      <c r="K130" s="259" t="s">
        <v>4</v>
      </c>
      <c r="L130" s="259" t="s">
        <v>255</v>
      </c>
      <c r="M130" s="259" t="str">
        <f t="shared" si="51"/>
        <v>Non-Saudi</v>
      </c>
      <c r="N130" s="260">
        <v>44805</v>
      </c>
      <c r="O130" s="261">
        <v>4.3</v>
      </c>
      <c r="P130" s="262">
        <v>10500</v>
      </c>
      <c r="Q130" s="262">
        <v>2500</v>
      </c>
      <c r="R130" s="262">
        <v>500</v>
      </c>
      <c r="S130" s="262"/>
      <c r="T130" s="262"/>
      <c r="U130" s="262">
        <v>13500</v>
      </c>
      <c r="V130" s="263">
        <v>1</v>
      </c>
      <c r="W130" s="259" t="s">
        <v>256</v>
      </c>
      <c r="X130" s="259">
        <v>250</v>
      </c>
      <c r="Y130" s="249">
        <f t="shared" si="27"/>
        <v>10500</v>
      </c>
      <c r="Z130" s="249">
        <f t="shared" si="28"/>
        <v>13500</v>
      </c>
      <c r="AA130" s="249">
        <f>IF(AND(Z130&gt;0,$N130&lt;&gt;""),IF((DATE(Assumptions!$B$4,1,28)-$N130)/365.25&lt;=Assumptions!$B$20,(DATE(Assumptions!$B$4,1,28)-$N130)/365.25*Assumptions!$B$18*Z130,(Assumptions!$B$20*Assumptions!$B$18+((DATE(Assumptions!$B$4,1,28)-$N130)/365.25-Assumptions!$B$20)*Assumptions!$B$19)*Z130),0)</f>
        <v>23008.213552361398</v>
      </c>
      <c r="AB130" s="249">
        <f>IF(Y130&gt;0,IF($M130="Saudi",MIN(Y130+$Q130*$V130,Assumptions!$B$14)*Assumptions!$B$12,MIN(Y130+$Q130*$V130,Assumptions!$B$14)*Assumptions!$B$13),0)</f>
        <v>0</v>
      </c>
      <c r="AC130" s="249">
        <f>IF(AND(Y130&gt;0,$M130="Non-Saudi"),Assumptions!$B$25,0)</f>
        <v>910.41666666666663</v>
      </c>
      <c r="AD130" s="249">
        <f t="shared" si="29"/>
        <v>10500</v>
      </c>
      <c r="AE130" s="249">
        <f t="shared" si="30"/>
        <v>13500</v>
      </c>
      <c r="AF130" s="249">
        <f>IF(AND(AE130&gt;0,$N130&lt;&gt;""),IF((DATE(Assumptions!$B$4,2,28)-$N130)/365.25&lt;=Assumptions!$B$20,(DATE(Assumptions!$B$4,2,28)-$N130)/365.25*Assumptions!$B$18*AE130,(Assumptions!$B$20*Assumptions!$B$18+((DATE(Assumptions!$B$4,2,28)-$N130)/365.25-Assumptions!$B$20)*Assumptions!$B$19)*AE130),0)</f>
        <v>23581.108829568788</v>
      </c>
      <c r="AG130" s="249">
        <f>IF(AD130&gt;0,IF($M130="Saudi",MIN(AD130+$Q130*$V130,Assumptions!$B$14)*Assumptions!$B$12,MIN(AD130+$Q130*$V130,Assumptions!$B$14)*Assumptions!$B$13),0)</f>
        <v>0</v>
      </c>
      <c r="AH130" s="249">
        <f>IF(AND(AD130&gt;0,$M130="Non-Saudi"),Assumptions!$B$25,0)</f>
        <v>910.41666666666663</v>
      </c>
      <c r="AI130" s="249">
        <f t="shared" si="31"/>
        <v>10500</v>
      </c>
      <c r="AJ130" s="249">
        <f t="shared" si="32"/>
        <v>13500</v>
      </c>
      <c r="AK130" s="249">
        <f>IF(AND(AJ130&gt;0,$N130&lt;&gt;""),IF((DATE(Assumptions!$B$4,3,28)-$N130)/365.25&lt;=Assumptions!$B$20,(DATE(Assumptions!$B$4,3,28)-$N130)/365.25*Assumptions!$B$18*AJ130,(Assumptions!$B$20*Assumptions!$B$18+((DATE(Assumptions!$B$4,3,28)-$N130)/365.25-Assumptions!$B$20)*Assumptions!$B$19)*AJ130),0)</f>
        <v>24098.562628336756</v>
      </c>
      <c r="AL130" s="249">
        <f>IF(AI130&gt;0,IF($M130="Saudi",MIN(AI130+$Q130*$V130,Assumptions!$B$14)*Assumptions!$B$12,MIN(AI130+$Q130*$V130,Assumptions!$B$14)*Assumptions!$B$13),0)</f>
        <v>0</v>
      </c>
      <c r="AM130" s="249">
        <f>IF(AND(AI130&gt;0,$M130="Non-Saudi"),Assumptions!$B$25,0)</f>
        <v>910.41666666666663</v>
      </c>
      <c r="AN130" s="249">
        <f t="shared" si="33"/>
        <v>10500</v>
      </c>
      <c r="AO130" s="249">
        <f t="shared" si="34"/>
        <v>13500</v>
      </c>
      <c r="AP130" s="249">
        <f>IF(AND(AO130&gt;0,$N130&lt;&gt;""),IF((DATE(Assumptions!$B$4,4,28)-$N130)/365.25&lt;=Assumptions!$B$20,(DATE(Assumptions!$B$4,4,28)-$N130)/365.25*Assumptions!$B$18*AO130,(Assumptions!$B$20*Assumptions!$B$18+((DATE(Assumptions!$B$4,4,28)-$N130)/365.25-Assumptions!$B$20)*Assumptions!$B$19)*AO130),0)</f>
        <v>24671.45790554415</v>
      </c>
      <c r="AQ130" s="249">
        <f>IF(AN130&gt;0,IF($M130="Saudi",MIN(AN130+$Q130*$V130,Assumptions!$B$14)*Assumptions!$B$12,MIN(AN130+$Q130*$V130,Assumptions!$B$14)*Assumptions!$B$13),0)</f>
        <v>0</v>
      </c>
      <c r="AR130" s="249">
        <f>IF(AND(AN130&gt;0,$M130="Non-Saudi"),Assumptions!$B$25,0)</f>
        <v>910.41666666666663</v>
      </c>
      <c r="AS130" s="249">
        <f t="shared" si="35"/>
        <v>10500</v>
      </c>
      <c r="AT130" s="249">
        <f t="shared" si="36"/>
        <v>13500</v>
      </c>
      <c r="AU130" s="249">
        <f>IF(AND(AT130&gt;0,$N130&lt;&gt;""),IF((DATE(Assumptions!$B$4,5,28)-$N130)/365.25&lt;=Assumptions!$B$20,(DATE(Assumptions!$B$4,5,28)-$N130)/365.25*Assumptions!$B$18*AT130,(Assumptions!$B$20*Assumptions!$B$18+((DATE(Assumptions!$B$4,5,28)-$N130)/365.25-Assumptions!$B$20)*Assumptions!$B$19)*AT130),0)</f>
        <v>25225.872689938398</v>
      </c>
      <c r="AV130" s="249">
        <f>IF(AS130&gt;0,IF($M130="Saudi",MIN(AS130+$Q130*$V130,Assumptions!$B$14)*Assumptions!$B$12,MIN(AS130+$Q130*$V130,Assumptions!$B$14)*Assumptions!$B$13),0)</f>
        <v>0</v>
      </c>
      <c r="AW130" s="249">
        <f>IF(AND(AS130&gt;0,$M130="Non-Saudi"),Assumptions!$B$25,0)</f>
        <v>910.41666666666663</v>
      </c>
      <c r="AX130" s="249">
        <f t="shared" si="37"/>
        <v>10500</v>
      </c>
      <c r="AY130" s="249">
        <f t="shared" si="38"/>
        <v>13500</v>
      </c>
      <c r="AZ130" s="249">
        <f>IF(AND(AY130&gt;0,$N130&lt;&gt;""),IF((DATE(Assumptions!$B$4,6,28)-$N130)/365.25&lt;=Assumptions!$B$20,(DATE(Assumptions!$B$4,6,28)-$N130)/365.25*Assumptions!$B$18*AY130,(Assumptions!$B$20*Assumptions!$B$18+((DATE(Assumptions!$B$4,6,28)-$N130)/365.25-Assumptions!$B$20)*Assumptions!$B$19)*AY130),0)</f>
        <v>25798.767967145792</v>
      </c>
      <c r="BA130" s="249">
        <f>IF(AX130&gt;0,IF($M130="Saudi",MIN(AX130+$Q130*$V130,Assumptions!$B$14)*Assumptions!$B$12,MIN(AX130+$Q130*$V130,Assumptions!$B$14)*Assumptions!$B$13),0)</f>
        <v>0</v>
      </c>
      <c r="BB130" s="249">
        <f>IF(AND(AX130&gt;0,$M130="Non-Saudi"),Assumptions!$B$25,0)</f>
        <v>910.41666666666663</v>
      </c>
      <c r="BC130" s="249">
        <f t="shared" si="39"/>
        <v>10500</v>
      </c>
      <c r="BD130" s="249">
        <f t="shared" si="40"/>
        <v>13500</v>
      </c>
      <c r="BE130" s="249">
        <f>IF(AND(BD130&gt;0,$N130&lt;&gt;""),IF((DATE(Assumptions!$B$4,7,28)-$N130)/365.25&lt;=Assumptions!$B$20,(DATE(Assumptions!$B$4,7,28)-$N130)/365.25*Assumptions!$B$18*BD130,(Assumptions!$B$20*Assumptions!$B$18+((DATE(Assumptions!$B$4,7,28)-$N130)/365.25-Assumptions!$B$20)*Assumptions!$B$19)*BD130),0)</f>
        <v>26353.18275154004</v>
      </c>
      <c r="BF130" s="249">
        <f>IF(BC130&gt;0,IF($M130="Saudi",MIN(BC130+$Q130*$V130,Assumptions!$B$14)*Assumptions!$B$12,MIN(BC130+$Q130*$V130,Assumptions!$B$14)*Assumptions!$B$13),0)</f>
        <v>0</v>
      </c>
      <c r="BG130" s="249">
        <f>IF(AND(BC130&gt;0,$M130="Non-Saudi"),Assumptions!$B$25,0)</f>
        <v>910.41666666666663</v>
      </c>
      <c r="BH130" s="249">
        <f t="shared" si="41"/>
        <v>10500</v>
      </c>
      <c r="BI130" s="249">
        <f t="shared" si="42"/>
        <v>13500</v>
      </c>
      <c r="BJ130" s="249">
        <f>IF(AND(BI130&gt;0,$N130&lt;&gt;""),IF((DATE(Assumptions!$B$4,8,28)-$N130)/365.25&lt;=Assumptions!$B$20,(DATE(Assumptions!$B$4,8,28)-$N130)/365.25*Assumptions!$B$18*BI130,(Assumptions!$B$20*Assumptions!$B$18+((DATE(Assumptions!$B$4,8,28)-$N130)/365.25-Assumptions!$B$20)*Assumptions!$B$19)*BI130),0)</f>
        <v>26926.078028747434</v>
      </c>
      <c r="BK130" s="249">
        <f>IF(BH130&gt;0,IF($M130="Saudi",MIN(BH130+$Q130*$V130,Assumptions!$B$14)*Assumptions!$B$12,MIN(BH130+$Q130*$V130,Assumptions!$B$14)*Assumptions!$B$13),0)</f>
        <v>0</v>
      </c>
      <c r="BL130" s="249">
        <f>IF(AND(BH130&gt;0,$M130="Non-Saudi"),Assumptions!$B$25,0)</f>
        <v>910.41666666666663</v>
      </c>
      <c r="BM130" s="249">
        <f>IF(AND($D130="Contrat Local",$N130&lt;&gt;""),IF(AND(9&gt;=Assumptions!$B$5,ISNUMBER($X130),$N130&lt;EDATE(Assumptions!$B$9,-Assumptions!$B$6*12)),($P130+$X130)*$V130,$P130*$V130),0)</f>
        <v>10750</v>
      </c>
      <c r="BN130" s="249">
        <f t="shared" si="43"/>
        <v>13750</v>
      </c>
      <c r="BO130" s="249">
        <f>IF(AND(BN130&gt;0,$N130&lt;&gt;""),IF((DATE(Assumptions!$B$4,9,28)-$N130)/365.25&lt;=Assumptions!$B$20,(DATE(Assumptions!$B$4,9,28)-$N130)/365.25*Assumptions!$B$18*BN130,(Assumptions!$B$20*Assumptions!$B$18+((DATE(Assumptions!$B$4,9,28)-$N130)/365.25-Assumptions!$B$20)*Assumptions!$B$19)*BN130),0)</f>
        <v>28008.213552361398</v>
      </c>
      <c r="BP130" s="249">
        <f>IF(BM130&gt;0,IF($M130="Saudi",MIN(BM130+$Q130*$V130,Assumptions!$B$14)*Assumptions!$B$12,MIN(BM130+$Q130*$V130,Assumptions!$B$14)*Assumptions!$B$13),0)</f>
        <v>0</v>
      </c>
      <c r="BQ130" s="249">
        <f>IF(AND(BM130&gt;0,$M130="Non-Saudi"),Assumptions!$B$25,0)</f>
        <v>910.41666666666663</v>
      </c>
      <c r="BR130" s="249">
        <f>IF(AND($D130="Contrat Local",$N130&lt;&gt;""),IF(AND(10&gt;=Assumptions!$B$5,ISNUMBER($X130),$N130&lt;EDATE(Assumptions!$B$9,-Assumptions!$B$6*12)),($P130+$X130)*$V130,$P130*$V130),0)</f>
        <v>10750</v>
      </c>
      <c r="BS130" s="249">
        <f t="shared" si="44"/>
        <v>13750</v>
      </c>
      <c r="BT130" s="249">
        <f>IF(AND(BS130&gt;0,$N130&lt;&gt;""),IF((DATE(Assumptions!$B$4,10,28)-$N130)/365.25&lt;=Assumptions!$B$20,(DATE(Assumptions!$B$4,10,28)-$N130)/365.25*Assumptions!$B$18*BS130,(Assumptions!$B$20*Assumptions!$B$18+((DATE(Assumptions!$B$4,10,28)-$N130)/365.25-Assumptions!$B$20)*Assumptions!$B$19)*BS130),0)</f>
        <v>28572.89527720739</v>
      </c>
      <c r="BU130" s="249">
        <f>IF(BR130&gt;0,IF($M130="Saudi",MIN(BR130+$Q130*$V130,Assumptions!$B$14)*Assumptions!$B$12,MIN(BR130+$Q130*$V130,Assumptions!$B$14)*Assumptions!$B$13),0)</f>
        <v>0</v>
      </c>
      <c r="BV130" s="249">
        <f>IF(AND(BR130&gt;0,$M130="Non-Saudi"),Assumptions!$B$25,0)</f>
        <v>910.41666666666663</v>
      </c>
      <c r="BW130" s="249">
        <f>IF(AND($D130="Contrat Local",$N130&lt;&gt;""),IF(AND(11&gt;=Assumptions!$B$5,ISNUMBER($X130),$N130&lt;EDATE(Assumptions!$B$9,-Assumptions!$B$6*12)),($P130+$X130)*$V130,$P130*$V130),0)</f>
        <v>10750</v>
      </c>
      <c r="BX130" s="249">
        <f t="shared" si="45"/>
        <v>13750</v>
      </c>
      <c r="BY130" s="249">
        <f>IF(AND(BX130&gt;0,$N130&lt;&gt;""),IF((DATE(Assumptions!$B$4,11,28)-$N130)/365.25&lt;=Assumptions!$B$20,(DATE(Assumptions!$B$4,11,28)-$N130)/365.25*Assumptions!$B$18*BX130,(Assumptions!$B$20*Assumptions!$B$18+((DATE(Assumptions!$B$4,11,28)-$N130)/365.25-Assumptions!$B$20)*Assumptions!$B$19)*BX130),0)</f>
        <v>29156.399726214921</v>
      </c>
      <c r="BZ130" s="249">
        <f>IF(BW130&gt;0,IF($M130="Saudi",MIN(BW130+$Q130*$V130,Assumptions!$B$14)*Assumptions!$B$12,MIN(BW130+$Q130*$V130,Assumptions!$B$14)*Assumptions!$B$13),0)</f>
        <v>0</v>
      </c>
      <c r="CA130" s="249">
        <f>IF(AND(BW130&gt;0,$M130="Non-Saudi"),Assumptions!$B$25,0)</f>
        <v>910.41666666666663</v>
      </c>
      <c r="CB130" s="249">
        <f>IF(AND($D130="Contrat Local",$N130&lt;&gt;""),IF(AND(12&gt;=Assumptions!$B$5,ISNUMBER($X130),$N130&lt;EDATE(Assumptions!$B$9,-Assumptions!$B$6*12)),($P130+$X130)*$V130,$P130*$V130),0)</f>
        <v>10750</v>
      </c>
      <c r="CC130" s="249">
        <f t="shared" si="46"/>
        <v>13750</v>
      </c>
      <c r="CD130" s="249">
        <f>IF(AND(CC130&gt;0,$N130&lt;&gt;""),IF((DATE(Assumptions!$B$4,12,28)-$N130)/365.25&lt;=Assumptions!$B$20,(DATE(Assumptions!$B$4,12,28)-$N130)/365.25*Assumptions!$B$18*CC130,(Assumptions!$B$20*Assumptions!$B$18+((DATE(Assumptions!$B$4,12,28)-$N130)/365.25-Assumptions!$B$20)*Assumptions!$B$19)*CC130),0)</f>
        <v>29721.081451060916</v>
      </c>
      <c r="CE130" s="249">
        <f>IF(CB130&gt;0,IF($M130="Saudi",MIN(CB130+$Q130*$V130,Assumptions!$B$14)*Assumptions!$B$12,MIN(CB130+$Q130*$V130,Assumptions!$B$14)*Assumptions!$B$13),0)</f>
        <v>0</v>
      </c>
      <c r="CF130" s="249">
        <f>IF(AND(CB130&gt;0,$M130="Non-Saudi"),Assumptions!$B$25,0)</f>
        <v>910.41666666666663</v>
      </c>
      <c r="CG130" s="249">
        <f t="shared" si="47"/>
        <v>127000</v>
      </c>
      <c r="CH130" s="249">
        <f t="shared" si="48"/>
        <v>163000</v>
      </c>
      <c r="CI130" s="249">
        <f>CD130-IF(AND(Z130&gt;0,$N130&lt;&gt;""),IF((DATE(Assumptions!$B$4-1,12,28)-$N130)/365.25&lt;=Assumptions!$B$20,(DATE(Assumptions!$B$4-1,12,28)-$N130)/365.25*Assumptions!$B$18*Z130,(Assumptions!$B$20*Assumptions!$B$18+((DATE(Assumptions!$B$4-1,12,28)-$N130)/365.25-Assumptions!$B$20)*Assumptions!$B$19)*Z130),0)</f>
        <v>7285.7631759069118</v>
      </c>
      <c r="CJ130" s="249">
        <f t="shared" si="49"/>
        <v>0</v>
      </c>
      <c r="CK130" s="249">
        <f t="shared" si="50"/>
        <v>10924.999999999998</v>
      </c>
    </row>
    <row r="131" spans="1:89" x14ac:dyDescent="0.2">
      <c r="A131" s="270">
        <v>132</v>
      </c>
      <c r="B131" s="271" t="s">
        <v>570</v>
      </c>
      <c r="C131" s="271" t="s">
        <v>571</v>
      </c>
      <c r="D131" s="271" t="s">
        <v>250</v>
      </c>
      <c r="E131" s="271" t="s">
        <v>767</v>
      </c>
      <c r="F131" s="271" t="s">
        <v>572</v>
      </c>
      <c r="G131" s="271" t="s">
        <v>272</v>
      </c>
      <c r="H131" s="271" t="s">
        <v>273</v>
      </c>
      <c r="I131" s="285" t="s">
        <v>690</v>
      </c>
      <c r="J131" s="271"/>
      <c r="K131" s="271" t="s">
        <v>272</v>
      </c>
      <c r="L131" s="271" t="s">
        <v>255</v>
      </c>
      <c r="M131" s="271" t="str">
        <f t="shared" si="51"/>
        <v>Non-Saudi</v>
      </c>
      <c r="N131" s="272">
        <v>44836</v>
      </c>
      <c r="O131" s="273">
        <v>4.2</v>
      </c>
      <c r="P131" s="274">
        <v>9000</v>
      </c>
      <c r="Q131" s="274">
        <v>2500</v>
      </c>
      <c r="R131" s="274">
        <v>500</v>
      </c>
      <c r="S131" s="274"/>
      <c r="T131" s="274"/>
      <c r="U131" s="274">
        <v>12000</v>
      </c>
      <c r="V131" s="275">
        <v>1</v>
      </c>
      <c r="W131" s="271" t="s">
        <v>256</v>
      </c>
      <c r="X131" s="271">
        <v>250</v>
      </c>
      <c r="Y131" s="249">
        <f t="shared" si="27"/>
        <v>9000</v>
      </c>
      <c r="Z131" s="249">
        <f t="shared" si="28"/>
        <v>12000</v>
      </c>
      <c r="AA131" s="249">
        <f>IF(AND(Z131&gt;0,$N131&lt;&gt;""),IF((DATE(Assumptions!$B$4,1,28)-$N131)/365.25&lt;=Assumptions!$B$20,(DATE(Assumptions!$B$4,1,28)-$N131)/365.25*Assumptions!$B$18*Z131,(Assumptions!$B$20*Assumptions!$B$18+((DATE(Assumptions!$B$4,1,28)-$N131)/365.25-Assumptions!$B$20)*Assumptions!$B$19)*Z131),0)</f>
        <v>19942.505133470226</v>
      </c>
      <c r="AB131" s="249">
        <f>IF(Y131&gt;0,IF($M131="Saudi",MIN(Y131+$Q131*$V131,Assumptions!$B$14)*Assumptions!$B$12,MIN(Y131+$Q131*$V131,Assumptions!$B$14)*Assumptions!$B$13),0)</f>
        <v>0</v>
      </c>
      <c r="AC131" s="249">
        <f>IF(AND(Y131&gt;0,$M131="Non-Saudi"),Assumptions!$B$25,0)</f>
        <v>910.41666666666663</v>
      </c>
      <c r="AD131" s="249">
        <f t="shared" si="29"/>
        <v>9000</v>
      </c>
      <c r="AE131" s="249">
        <f t="shared" si="30"/>
        <v>12000</v>
      </c>
      <c r="AF131" s="249">
        <f>IF(AND(AE131&gt;0,$N131&lt;&gt;""),IF((DATE(Assumptions!$B$4,2,28)-$N131)/365.25&lt;=Assumptions!$B$20,(DATE(Assumptions!$B$4,2,28)-$N131)/365.25*Assumptions!$B$18*AE131,(Assumptions!$B$20*Assumptions!$B$18+((DATE(Assumptions!$B$4,2,28)-$N131)/365.25-Assumptions!$B$20)*Assumptions!$B$19)*AE131),0)</f>
        <v>20451.745379876797</v>
      </c>
      <c r="AG131" s="249">
        <f>IF(AD131&gt;0,IF($M131="Saudi",MIN(AD131+$Q131*$V131,Assumptions!$B$14)*Assumptions!$B$12,MIN(AD131+$Q131*$V131,Assumptions!$B$14)*Assumptions!$B$13),0)</f>
        <v>0</v>
      </c>
      <c r="AH131" s="249">
        <f>IF(AND(AD131&gt;0,$M131="Non-Saudi"),Assumptions!$B$25,0)</f>
        <v>910.41666666666663</v>
      </c>
      <c r="AI131" s="249">
        <f t="shared" si="31"/>
        <v>9000</v>
      </c>
      <c r="AJ131" s="249">
        <f t="shared" si="32"/>
        <v>12000</v>
      </c>
      <c r="AK131" s="249">
        <f>IF(AND(AJ131&gt;0,$N131&lt;&gt;""),IF((DATE(Assumptions!$B$4,3,28)-$N131)/365.25&lt;=Assumptions!$B$20,(DATE(Assumptions!$B$4,3,28)-$N131)/365.25*Assumptions!$B$18*AJ131,(Assumptions!$B$20*Assumptions!$B$18+((DATE(Assumptions!$B$4,3,28)-$N131)/365.25-Assumptions!$B$20)*Assumptions!$B$19)*AJ131),0)</f>
        <v>20911.704312114991</v>
      </c>
      <c r="AL131" s="249">
        <f>IF(AI131&gt;0,IF($M131="Saudi",MIN(AI131+$Q131*$V131,Assumptions!$B$14)*Assumptions!$B$12,MIN(AI131+$Q131*$V131,Assumptions!$B$14)*Assumptions!$B$13),0)</f>
        <v>0</v>
      </c>
      <c r="AM131" s="249">
        <f>IF(AND(AI131&gt;0,$M131="Non-Saudi"),Assumptions!$B$25,0)</f>
        <v>910.41666666666663</v>
      </c>
      <c r="AN131" s="249">
        <f t="shared" si="33"/>
        <v>9000</v>
      </c>
      <c r="AO131" s="249">
        <f t="shared" si="34"/>
        <v>12000</v>
      </c>
      <c r="AP131" s="249">
        <f>IF(AND(AO131&gt;0,$N131&lt;&gt;""),IF((DATE(Assumptions!$B$4,4,28)-$N131)/365.25&lt;=Assumptions!$B$20,(DATE(Assumptions!$B$4,4,28)-$N131)/365.25*Assumptions!$B$18*AO131,(Assumptions!$B$20*Assumptions!$B$18+((DATE(Assumptions!$B$4,4,28)-$N131)/365.25-Assumptions!$B$20)*Assumptions!$B$19)*AO131),0)</f>
        <v>21420.944558521562</v>
      </c>
      <c r="AQ131" s="249">
        <f>IF(AN131&gt;0,IF($M131="Saudi",MIN(AN131+$Q131*$V131,Assumptions!$B$14)*Assumptions!$B$12,MIN(AN131+$Q131*$V131,Assumptions!$B$14)*Assumptions!$B$13),0)</f>
        <v>0</v>
      </c>
      <c r="AR131" s="249">
        <f>IF(AND(AN131&gt;0,$M131="Non-Saudi"),Assumptions!$B$25,0)</f>
        <v>910.41666666666663</v>
      </c>
      <c r="AS131" s="249">
        <f t="shared" si="35"/>
        <v>9000</v>
      </c>
      <c r="AT131" s="249">
        <f t="shared" si="36"/>
        <v>12000</v>
      </c>
      <c r="AU131" s="249">
        <f>IF(AND(AT131&gt;0,$N131&lt;&gt;""),IF((DATE(Assumptions!$B$4,5,28)-$N131)/365.25&lt;=Assumptions!$B$20,(DATE(Assumptions!$B$4,5,28)-$N131)/365.25*Assumptions!$B$18*AT131,(Assumptions!$B$20*Assumptions!$B$18+((DATE(Assumptions!$B$4,5,28)-$N131)/365.25-Assumptions!$B$20)*Assumptions!$B$19)*AT131),0)</f>
        <v>21913.757700205337</v>
      </c>
      <c r="AV131" s="249">
        <f>IF(AS131&gt;0,IF($M131="Saudi",MIN(AS131+$Q131*$V131,Assumptions!$B$14)*Assumptions!$B$12,MIN(AS131+$Q131*$V131,Assumptions!$B$14)*Assumptions!$B$13),0)</f>
        <v>0</v>
      </c>
      <c r="AW131" s="249">
        <f>IF(AND(AS131&gt;0,$M131="Non-Saudi"),Assumptions!$B$25,0)</f>
        <v>910.41666666666663</v>
      </c>
      <c r="AX131" s="249">
        <f t="shared" si="37"/>
        <v>9000</v>
      </c>
      <c r="AY131" s="249">
        <f t="shared" si="38"/>
        <v>12000</v>
      </c>
      <c r="AZ131" s="249">
        <f>IF(AND(AY131&gt;0,$N131&lt;&gt;""),IF((DATE(Assumptions!$B$4,6,28)-$N131)/365.25&lt;=Assumptions!$B$20,(DATE(Assumptions!$B$4,6,28)-$N131)/365.25*Assumptions!$B$18*AY131,(Assumptions!$B$20*Assumptions!$B$18+((DATE(Assumptions!$B$4,6,28)-$N131)/365.25-Assumptions!$B$20)*Assumptions!$B$19)*AY131),0)</f>
        <v>22422.997946611911</v>
      </c>
      <c r="BA131" s="249">
        <f>IF(AX131&gt;0,IF($M131="Saudi",MIN(AX131+$Q131*$V131,Assumptions!$B$14)*Assumptions!$B$12,MIN(AX131+$Q131*$V131,Assumptions!$B$14)*Assumptions!$B$13),0)</f>
        <v>0</v>
      </c>
      <c r="BB131" s="249">
        <f>IF(AND(AX131&gt;0,$M131="Non-Saudi"),Assumptions!$B$25,0)</f>
        <v>910.41666666666663</v>
      </c>
      <c r="BC131" s="249">
        <f t="shared" si="39"/>
        <v>9000</v>
      </c>
      <c r="BD131" s="249">
        <f t="shared" si="40"/>
        <v>12000</v>
      </c>
      <c r="BE131" s="249">
        <f>IF(AND(BD131&gt;0,$N131&lt;&gt;""),IF((DATE(Assumptions!$B$4,7,28)-$N131)/365.25&lt;=Assumptions!$B$20,(DATE(Assumptions!$B$4,7,28)-$N131)/365.25*Assumptions!$B$18*BD131,(Assumptions!$B$20*Assumptions!$B$18+((DATE(Assumptions!$B$4,7,28)-$N131)/365.25-Assumptions!$B$20)*Assumptions!$B$19)*BD131),0)</f>
        <v>22915.811088295686</v>
      </c>
      <c r="BF131" s="249">
        <f>IF(BC131&gt;0,IF($M131="Saudi",MIN(BC131+$Q131*$V131,Assumptions!$B$14)*Assumptions!$B$12,MIN(BC131+$Q131*$V131,Assumptions!$B$14)*Assumptions!$B$13),0)</f>
        <v>0</v>
      </c>
      <c r="BG131" s="249">
        <f>IF(AND(BC131&gt;0,$M131="Non-Saudi"),Assumptions!$B$25,0)</f>
        <v>910.41666666666663</v>
      </c>
      <c r="BH131" s="249">
        <f t="shared" si="41"/>
        <v>9000</v>
      </c>
      <c r="BI131" s="249">
        <f t="shared" si="42"/>
        <v>12000</v>
      </c>
      <c r="BJ131" s="249">
        <f>IF(AND(BI131&gt;0,$N131&lt;&gt;""),IF((DATE(Assumptions!$B$4,8,28)-$N131)/365.25&lt;=Assumptions!$B$20,(DATE(Assumptions!$B$4,8,28)-$N131)/365.25*Assumptions!$B$18*BI131,(Assumptions!$B$20*Assumptions!$B$18+((DATE(Assumptions!$B$4,8,28)-$N131)/365.25-Assumptions!$B$20)*Assumptions!$B$19)*BI131),0)</f>
        <v>23425.051334702257</v>
      </c>
      <c r="BK131" s="249">
        <f>IF(BH131&gt;0,IF($M131="Saudi",MIN(BH131+$Q131*$V131,Assumptions!$B$14)*Assumptions!$B$12,MIN(BH131+$Q131*$V131,Assumptions!$B$14)*Assumptions!$B$13),0)</f>
        <v>0</v>
      </c>
      <c r="BL131" s="249">
        <f>IF(AND(BH131&gt;0,$M131="Non-Saudi"),Assumptions!$B$25,0)</f>
        <v>910.41666666666663</v>
      </c>
      <c r="BM131" s="249">
        <f>IF(AND($D131="Contrat Local",$N131&lt;&gt;""),IF(AND(9&gt;=Assumptions!$B$5,ISNUMBER($X131),$N131&lt;EDATE(Assumptions!$B$9,-Assumptions!$B$6*12)),($P131+$X131)*$V131,$P131*$V131),0)</f>
        <v>9250</v>
      </c>
      <c r="BN131" s="249">
        <f t="shared" si="43"/>
        <v>12250</v>
      </c>
      <c r="BO131" s="249">
        <f>IF(AND(BN131&gt;0,$N131&lt;&gt;""),IF((DATE(Assumptions!$B$4,9,28)-$N131)/365.25&lt;=Assumptions!$B$20,(DATE(Assumptions!$B$4,9,28)-$N131)/365.25*Assumptions!$B$18*BN131,(Assumptions!$B$20*Assumptions!$B$18+((DATE(Assumptions!$B$4,9,28)-$N131)/365.25-Assumptions!$B$20)*Assumptions!$B$19)*BN131),0)</f>
        <v>24432.922655715265</v>
      </c>
      <c r="BP131" s="249">
        <f>IF(BM131&gt;0,IF($M131="Saudi",MIN(BM131+$Q131*$V131,Assumptions!$B$14)*Assumptions!$B$12,MIN(BM131+$Q131*$V131,Assumptions!$B$14)*Assumptions!$B$13),0)</f>
        <v>0</v>
      </c>
      <c r="BQ131" s="249">
        <f>IF(AND(BM131&gt;0,$M131="Non-Saudi"),Assumptions!$B$25,0)</f>
        <v>910.41666666666663</v>
      </c>
      <c r="BR131" s="249">
        <f>IF(AND($D131="Contrat Local",$N131&lt;&gt;""),IF(AND(10&gt;=Assumptions!$B$5,ISNUMBER($X131),$N131&lt;EDATE(Assumptions!$B$9,-Assumptions!$B$6*12)),($P131+$X131)*$V131,$P131*$V131),0)</f>
        <v>9250</v>
      </c>
      <c r="BS131" s="249">
        <f t="shared" si="44"/>
        <v>12250</v>
      </c>
      <c r="BT131" s="249">
        <f>IF(AND(BS131&gt;0,$N131&lt;&gt;""),IF((DATE(Assumptions!$B$4,10,28)-$N131)/365.25&lt;=Assumptions!$B$20,(DATE(Assumptions!$B$4,10,28)-$N131)/365.25*Assumptions!$B$18*BS131,(Assumptions!$B$20*Assumptions!$B$18+((DATE(Assumptions!$B$4,10,28)-$N131)/365.25-Assumptions!$B$20)*Assumptions!$B$19)*BS131),0)</f>
        <v>24936.002737850788</v>
      </c>
      <c r="BU131" s="249">
        <f>IF(BR131&gt;0,IF($M131="Saudi",MIN(BR131+$Q131*$V131,Assumptions!$B$14)*Assumptions!$B$12,MIN(BR131+$Q131*$V131,Assumptions!$B$14)*Assumptions!$B$13),0)</f>
        <v>0</v>
      </c>
      <c r="BV131" s="249">
        <f>IF(AND(BR131&gt;0,$M131="Non-Saudi"),Assumptions!$B$25,0)</f>
        <v>910.41666666666663</v>
      </c>
      <c r="BW131" s="249">
        <f>IF(AND($D131="Contrat Local",$N131&lt;&gt;""),IF(AND(11&gt;=Assumptions!$B$5,ISNUMBER($X131),$N131&lt;EDATE(Assumptions!$B$9,-Assumptions!$B$6*12)),($P131+$X131)*$V131,$P131*$V131),0)</f>
        <v>9250</v>
      </c>
      <c r="BX131" s="249">
        <f t="shared" si="45"/>
        <v>12250</v>
      </c>
      <c r="BY131" s="249">
        <f>IF(AND(BX131&gt;0,$N131&lt;&gt;""),IF((DATE(Assumptions!$B$4,11,28)-$N131)/365.25&lt;=Assumptions!$B$20,(DATE(Assumptions!$B$4,11,28)-$N131)/365.25*Assumptions!$B$18*BX131,(Assumptions!$B$20*Assumptions!$B$18+((DATE(Assumptions!$B$4,11,28)-$N131)/365.25-Assumptions!$B$20)*Assumptions!$B$19)*BX131),0)</f>
        <v>25455.852156057495</v>
      </c>
      <c r="BZ131" s="249">
        <f>IF(BW131&gt;0,IF($M131="Saudi",MIN(BW131+$Q131*$V131,Assumptions!$B$14)*Assumptions!$B$12,MIN(BW131+$Q131*$V131,Assumptions!$B$14)*Assumptions!$B$13),0)</f>
        <v>0</v>
      </c>
      <c r="CA131" s="249">
        <f>IF(AND(BW131&gt;0,$M131="Non-Saudi"),Assumptions!$B$25,0)</f>
        <v>910.41666666666663</v>
      </c>
      <c r="CB131" s="249">
        <f>IF(AND($D131="Contrat Local",$N131&lt;&gt;""),IF(AND(12&gt;=Assumptions!$B$5,ISNUMBER($X131),$N131&lt;EDATE(Assumptions!$B$9,-Assumptions!$B$6*12)),($P131+$X131)*$V131,$P131*$V131),0)</f>
        <v>9250</v>
      </c>
      <c r="CC131" s="249">
        <f t="shared" si="46"/>
        <v>12250</v>
      </c>
      <c r="CD131" s="249">
        <f>IF(AND(CC131&gt;0,$N131&lt;&gt;""),IF((DATE(Assumptions!$B$4,12,28)-$N131)/365.25&lt;=Assumptions!$B$20,(DATE(Assumptions!$B$4,12,28)-$N131)/365.25*Assumptions!$B$18*CC131,(Assumptions!$B$20*Assumptions!$B$18+((DATE(Assumptions!$B$4,12,28)-$N131)/365.25-Assumptions!$B$20)*Assumptions!$B$19)*CC131),0)</f>
        <v>25958.932238193018</v>
      </c>
      <c r="CE131" s="249">
        <f>IF(CB131&gt;0,IF($M131="Saudi",MIN(CB131+$Q131*$V131,Assumptions!$B$14)*Assumptions!$B$12,MIN(CB131+$Q131*$V131,Assumptions!$B$14)*Assumptions!$B$13),0)</f>
        <v>0</v>
      </c>
      <c r="CF131" s="249">
        <f>IF(AND(CB131&gt;0,$M131="Non-Saudi"),Assumptions!$B$25,0)</f>
        <v>910.41666666666663</v>
      </c>
      <c r="CG131" s="249">
        <f t="shared" si="47"/>
        <v>109000</v>
      </c>
      <c r="CH131" s="249">
        <f t="shared" si="48"/>
        <v>145000</v>
      </c>
      <c r="CI131" s="249">
        <f>CD131-IF(AND(Z131&gt;0,$N131&lt;&gt;""),IF((DATE(Assumptions!$B$4-1,12,28)-$N131)/365.25&lt;=Assumptions!$B$20,(DATE(Assumptions!$B$4-1,12,28)-$N131)/365.25*Assumptions!$B$18*Z131,(Assumptions!$B$20*Assumptions!$B$18+((DATE(Assumptions!$B$4-1,12,28)-$N131)/365.25-Assumptions!$B$20)*Assumptions!$B$19)*Z131),0)</f>
        <v>6525.6673511293629</v>
      </c>
      <c r="CJ131" s="249">
        <f t="shared" si="49"/>
        <v>0</v>
      </c>
      <c r="CK131" s="249">
        <f t="shared" si="50"/>
        <v>10924.999999999998</v>
      </c>
    </row>
    <row r="132" spans="1:89" x14ac:dyDescent="0.2">
      <c r="A132" s="276">
        <v>133</v>
      </c>
      <c r="B132" s="277" t="s">
        <v>573</v>
      </c>
      <c r="C132" s="277" t="s">
        <v>545</v>
      </c>
      <c r="D132" s="277" t="s">
        <v>250</v>
      </c>
      <c r="E132" s="277" t="s">
        <v>767</v>
      </c>
      <c r="F132" s="277" t="s">
        <v>302</v>
      </c>
      <c r="G132" s="277" t="s">
        <v>303</v>
      </c>
      <c r="H132" s="277" t="s">
        <v>307</v>
      </c>
      <c r="I132" s="287" t="s">
        <v>691</v>
      </c>
      <c r="J132" s="286" t="s">
        <v>307</v>
      </c>
      <c r="K132" s="277" t="s">
        <v>254</v>
      </c>
      <c r="L132" s="277" t="s">
        <v>255</v>
      </c>
      <c r="M132" s="277" t="str">
        <f t="shared" si="51"/>
        <v>Non-Saudi</v>
      </c>
      <c r="N132" s="278">
        <v>45901</v>
      </c>
      <c r="O132" s="279">
        <v>1.3</v>
      </c>
      <c r="P132" s="280">
        <v>9000</v>
      </c>
      <c r="Q132" s="280">
        <v>2500</v>
      </c>
      <c r="R132" s="280">
        <v>500</v>
      </c>
      <c r="S132" s="280"/>
      <c r="T132" s="280">
        <v>700</v>
      </c>
      <c r="U132" s="280">
        <v>12700</v>
      </c>
      <c r="V132" s="281">
        <v>1</v>
      </c>
      <c r="W132" s="277" t="s">
        <v>259</v>
      </c>
      <c r="X132" s="277" t="s">
        <v>268</v>
      </c>
      <c r="Y132" s="249">
        <f t="shared" si="27"/>
        <v>9000</v>
      </c>
      <c r="Z132" s="249">
        <f t="shared" si="28"/>
        <v>12700</v>
      </c>
      <c r="AA132" s="249">
        <f>IF(AND(Z132&gt;0,$N132&lt;&gt;""),IF((DATE(Assumptions!$B$4,1,28)-$N132)/365.25&lt;=Assumptions!$B$20,(DATE(Assumptions!$B$4,1,28)-$N132)/365.25*Assumptions!$B$18*Z132,(Assumptions!$B$20*Assumptions!$B$18+((DATE(Assumptions!$B$4,1,28)-$N132)/365.25-Assumptions!$B$20)*Assumptions!$B$19)*Z132),0)</f>
        <v>2590.4175222450376</v>
      </c>
      <c r="AB132" s="249">
        <f>IF(Y132&gt;0,IF($M132="Saudi",MIN(Y132+$Q132*$V132,Assumptions!$B$14)*Assumptions!$B$12,MIN(Y132+$Q132*$V132,Assumptions!$B$14)*Assumptions!$B$13),0)</f>
        <v>0</v>
      </c>
      <c r="AC132" s="249">
        <f>IF(AND(Y132&gt;0,$M132="Non-Saudi"),Assumptions!$B$25,0)</f>
        <v>910.41666666666663</v>
      </c>
      <c r="AD132" s="249">
        <f t="shared" si="29"/>
        <v>9000</v>
      </c>
      <c r="AE132" s="249">
        <f t="shared" si="30"/>
        <v>12700</v>
      </c>
      <c r="AF132" s="249">
        <f>IF(AND(AE132&gt;0,$N132&lt;&gt;""),IF((DATE(Assumptions!$B$4,2,28)-$N132)/365.25&lt;=Assumptions!$B$20,(DATE(Assumptions!$B$4,2,28)-$N132)/365.25*Assumptions!$B$18*AE132,(Assumptions!$B$20*Assumptions!$B$18+((DATE(Assumptions!$B$4,2,28)-$N132)/365.25-Assumptions!$B$20)*Assumptions!$B$19)*AE132),0)</f>
        <v>3129.3634496919917</v>
      </c>
      <c r="AG132" s="249">
        <f>IF(AD132&gt;0,IF($M132="Saudi",MIN(AD132+$Q132*$V132,Assumptions!$B$14)*Assumptions!$B$12,MIN(AD132+$Q132*$V132,Assumptions!$B$14)*Assumptions!$B$13),0)</f>
        <v>0</v>
      </c>
      <c r="AH132" s="249">
        <f>IF(AND(AD132&gt;0,$M132="Non-Saudi"),Assumptions!$B$25,0)</f>
        <v>910.41666666666663</v>
      </c>
      <c r="AI132" s="249">
        <f t="shared" si="31"/>
        <v>9000</v>
      </c>
      <c r="AJ132" s="249">
        <f t="shared" si="32"/>
        <v>12700</v>
      </c>
      <c r="AK132" s="249">
        <f>IF(AND(AJ132&gt;0,$N132&lt;&gt;""),IF((DATE(Assumptions!$B$4,3,28)-$N132)/365.25&lt;=Assumptions!$B$20,(DATE(Assumptions!$B$4,3,28)-$N132)/365.25*Assumptions!$B$18*AJ132,(Assumptions!$B$20*Assumptions!$B$18+((DATE(Assumptions!$B$4,3,28)-$N132)/365.25-Assumptions!$B$20)*Assumptions!$B$19)*AJ132),0)</f>
        <v>3616.1533196440796</v>
      </c>
      <c r="AL132" s="249">
        <f>IF(AI132&gt;0,IF($M132="Saudi",MIN(AI132+$Q132*$V132,Assumptions!$B$14)*Assumptions!$B$12,MIN(AI132+$Q132*$V132,Assumptions!$B$14)*Assumptions!$B$13),0)</f>
        <v>0</v>
      </c>
      <c r="AM132" s="249">
        <f>IF(AND(AI132&gt;0,$M132="Non-Saudi"),Assumptions!$B$25,0)</f>
        <v>910.41666666666663</v>
      </c>
      <c r="AN132" s="249">
        <f t="shared" si="33"/>
        <v>9000</v>
      </c>
      <c r="AO132" s="249">
        <f t="shared" si="34"/>
        <v>12700</v>
      </c>
      <c r="AP132" s="249">
        <f>IF(AND(AO132&gt;0,$N132&lt;&gt;""),IF((DATE(Assumptions!$B$4,4,28)-$N132)/365.25&lt;=Assumptions!$B$20,(DATE(Assumptions!$B$4,4,28)-$N132)/365.25*Assumptions!$B$18*AO132,(Assumptions!$B$20*Assumptions!$B$18+((DATE(Assumptions!$B$4,4,28)-$N132)/365.25-Assumptions!$B$20)*Assumptions!$B$19)*AO132),0)</f>
        <v>4155.0992470910332</v>
      </c>
      <c r="AQ132" s="249">
        <f>IF(AN132&gt;0,IF($M132="Saudi",MIN(AN132+$Q132*$V132,Assumptions!$B$14)*Assumptions!$B$12,MIN(AN132+$Q132*$V132,Assumptions!$B$14)*Assumptions!$B$13),0)</f>
        <v>0</v>
      </c>
      <c r="AR132" s="249">
        <f>IF(AND(AN132&gt;0,$M132="Non-Saudi"),Assumptions!$B$25,0)</f>
        <v>910.41666666666663</v>
      </c>
      <c r="AS132" s="249">
        <f t="shared" si="35"/>
        <v>9000</v>
      </c>
      <c r="AT132" s="249">
        <f t="shared" si="36"/>
        <v>12700</v>
      </c>
      <c r="AU132" s="249">
        <f>IF(AND(AT132&gt;0,$N132&lt;&gt;""),IF((DATE(Assumptions!$B$4,5,28)-$N132)/365.25&lt;=Assumptions!$B$20,(DATE(Assumptions!$B$4,5,28)-$N132)/365.25*Assumptions!$B$18*AT132,(Assumptions!$B$20*Assumptions!$B$18+((DATE(Assumptions!$B$4,5,28)-$N132)/365.25-Assumptions!$B$20)*Assumptions!$B$19)*AT132),0)</f>
        <v>4676.6598220396991</v>
      </c>
      <c r="AV132" s="249">
        <f>IF(AS132&gt;0,IF($M132="Saudi",MIN(AS132+$Q132*$V132,Assumptions!$B$14)*Assumptions!$B$12,MIN(AS132+$Q132*$V132,Assumptions!$B$14)*Assumptions!$B$13),0)</f>
        <v>0</v>
      </c>
      <c r="AW132" s="249">
        <f>IF(AND(AS132&gt;0,$M132="Non-Saudi"),Assumptions!$B$25,0)</f>
        <v>910.41666666666663</v>
      </c>
      <c r="AX132" s="249">
        <f t="shared" si="37"/>
        <v>9000</v>
      </c>
      <c r="AY132" s="249">
        <f t="shared" si="38"/>
        <v>12700</v>
      </c>
      <c r="AZ132" s="249">
        <f>IF(AND(AY132&gt;0,$N132&lt;&gt;""),IF((DATE(Assumptions!$B$4,6,28)-$N132)/365.25&lt;=Assumptions!$B$20,(DATE(Assumptions!$B$4,6,28)-$N132)/365.25*Assumptions!$B$18*AY132,(Assumptions!$B$20*Assumptions!$B$18+((DATE(Assumptions!$B$4,6,28)-$N132)/365.25-Assumptions!$B$20)*Assumptions!$B$19)*AY132),0)</f>
        <v>5215.6057494866527</v>
      </c>
      <c r="BA132" s="249">
        <f>IF(AX132&gt;0,IF($M132="Saudi",MIN(AX132+$Q132*$V132,Assumptions!$B$14)*Assumptions!$B$12,MIN(AX132+$Q132*$V132,Assumptions!$B$14)*Assumptions!$B$13),0)</f>
        <v>0</v>
      </c>
      <c r="BB132" s="249">
        <f>IF(AND(AX132&gt;0,$M132="Non-Saudi"),Assumptions!$B$25,0)</f>
        <v>910.41666666666663</v>
      </c>
      <c r="BC132" s="249">
        <f t="shared" si="39"/>
        <v>9000</v>
      </c>
      <c r="BD132" s="249">
        <f t="shared" si="40"/>
        <v>12700</v>
      </c>
      <c r="BE132" s="249">
        <f>IF(AND(BD132&gt;0,$N132&lt;&gt;""),IF((DATE(Assumptions!$B$4,7,28)-$N132)/365.25&lt;=Assumptions!$B$20,(DATE(Assumptions!$B$4,7,28)-$N132)/365.25*Assumptions!$B$18*BD132,(Assumptions!$B$20*Assumptions!$B$18+((DATE(Assumptions!$B$4,7,28)-$N132)/365.25-Assumptions!$B$20)*Assumptions!$B$19)*BD132),0)</f>
        <v>5737.1663244353176</v>
      </c>
      <c r="BF132" s="249">
        <f>IF(BC132&gt;0,IF($M132="Saudi",MIN(BC132+$Q132*$V132,Assumptions!$B$14)*Assumptions!$B$12,MIN(BC132+$Q132*$V132,Assumptions!$B$14)*Assumptions!$B$13),0)</f>
        <v>0</v>
      </c>
      <c r="BG132" s="249">
        <f>IF(AND(BC132&gt;0,$M132="Non-Saudi"),Assumptions!$B$25,0)</f>
        <v>910.41666666666663</v>
      </c>
      <c r="BH132" s="249">
        <f t="shared" si="41"/>
        <v>9000</v>
      </c>
      <c r="BI132" s="249">
        <f t="shared" si="42"/>
        <v>12700</v>
      </c>
      <c r="BJ132" s="249">
        <f>IF(AND(BI132&gt;0,$N132&lt;&gt;""),IF((DATE(Assumptions!$B$4,8,28)-$N132)/365.25&lt;=Assumptions!$B$20,(DATE(Assumptions!$B$4,8,28)-$N132)/365.25*Assumptions!$B$18*BI132,(Assumptions!$B$20*Assumptions!$B$18+((DATE(Assumptions!$B$4,8,28)-$N132)/365.25-Assumptions!$B$20)*Assumptions!$B$19)*BI132),0)</f>
        <v>6276.1122518822722</v>
      </c>
      <c r="BK132" s="249">
        <f>IF(BH132&gt;0,IF($M132="Saudi",MIN(BH132+$Q132*$V132,Assumptions!$B$14)*Assumptions!$B$12,MIN(BH132+$Q132*$V132,Assumptions!$B$14)*Assumptions!$B$13),0)</f>
        <v>0</v>
      </c>
      <c r="BL132" s="249">
        <f>IF(AND(BH132&gt;0,$M132="Non-Saudi"),Assumptions!$B$25,0)</f>
        <v>910.41666666666663</v>
      </c>
      <c r="BM132" s="249">
        <f>IF(AND($D132="Contrat Local",$N132&lt;&gt;""),IF(AND(9&gt;=Assumptions!$B$5,ISNUMBER($X132),$N132&lt;EDATE(Assumptions!$B$9,-Assumptions!$B$6*12)),($P132+$X132)*$V132,$P132*$V132),0)</f>
        <v>9000</v>
      </c>
      <c r="BN132" s="249">
        <f t="shared" si="43"/>
        <v>12700</v>
      </c>
      <c r="BO132" s="249">
        <f>IF(AND(BN132&gt;0,$N132&lt;&gt;""),IF((DATE(Assumptions!$B$4,9,28)-$N132)/365.25&lt;=Assumptions!$B$20,(DATE(Assumptions!$B$4,9,28)-$N132)/365.25*Assumptions!$B$18*BN132,(Assumptions!$B$20*Assumptions!$B$18+((DATE(Assumptions!$B$4,9,28)-$N132)/365.25-Assumptions!$B$20)*Assumptions!$B$19)*BN132),0)</f>
        <v>6815.0581793292267</v>
      </c>
      <c r="BP132" s="249">
        <f>IF(BM132&gt;0,IF($M132="Saudi",MIN(BM132+$Q132*$V132,Assumptions!$B$14)*Assumptions!$B$12,MIN(BM132+$Q132*$V132,Assumptions!$B$14)*Assumptions!$B$13),0)</f>
        <v>0</v>
      </c>
      <c r="BQ132" s="249">
        <f>IF(AND(BM132&gt;0,$M132="Non-Saudi"),Assumptions!$B$25,0)</f>
        <v>910.41666666666663</v>
      </c>
      <c r="BR132" s="249">
        <f>IF(AND($D132="Contrat Local",$N132&lt;&gt;""),IF(AND(10&gt;=Assumptions!$B$5,ISNUMBER($X132),$N132&lt;EDATE(Assumptions!$B$9,-Assumptions!$B$6*12)),($P132+$X132)*$V132,$P132*$V132),0)</f>
        <v>9000</v>
      </c>
      <c r="BS132" s="249">
        <f t="shared" si="44"/>
        <v>12700</v>
      </c>
      <c r="BT132" s="249">
        <f>IF(AND(BS132&gt;0,$N132&lt;&gt;""),IF((DATE(Assumptions!$B$4,10,28)-$N132)/365.25&lt;=Assumptions!$B$20,(DATE(Assumptions!$B$4,10,28)-$N132)/365.25*Assumptions!$B$18*BS132,(Assumptions!$B$20*Assumptions!$B$18+((DATE(Assumptions!$B$4,10,28)-$N132)/365.25-Assumptions!$B$20)*Assumptions!$B$19)*BS132),0)</f>
        <v>7336.6187542778925</v>
      </c>
      <c r="BU132" s="249">
        <f>IF(BR132&gt;0,IF($M132="Saudi",MIN(BR132+$Q132*$V132,Assumptions!$B$14)*Assumptions!$B$12,MIN(BR132+$Q132*$V132,Assumptions!$B$14)*Assumptions!$B$13),0)</f>
        <v>0</v>
      </c>
      <c r="BV132" s="249">
        <f>IF(AND(BR132&gt;0,$M132="Non-Saudi"),Assumptions!$B$25,0)</f>
        <v>910.41666666666663</v>
      </c>
      <c r="BW132" s="249">
        <f>IF(AND($D132="Contrat Local",$N132&lt;&gt;""),IF(AND(11&gt;=Assumptions!$B$5,ISNUMBER($X132),$N132&lt;EDATE(Assumptions!$B$9,-Assumptions!$B$6*12)),($P132+$X132)*$V132,$P132*$V132),0)</f>
        <v>9000</v>
      </c>
      <c r="BX132" s="249">
        <f t="shared" si="45"/>
        <v>12700</v>
      </c>
      <c r="BY132" s="249">
        <f>IF(AND(BX132&gt;0,$N132&lt;&gt;""),IF((DATE(Assumptions!$B$4,11,28)-$N132)/365.25&lt;=Assumptions!$B$20,(DATE(Assumptions!$B$4,11,28)-$N132)/365.25*Assumptions!$B$18*BX132,(Assumptions!$B$20*Assumptions!$B$18+((DATE(Assumptions!$B$4,11,28)-$N132)/365.25-Assumptions!$B$20)*Assumptions!$B$19)*BX132),0)</f>
        <v>7875.5646817248453</v>
      </c>
      <c r="BZ132" s="249">
        <f>IF(BW132&gt;0,IF($M132="Saudi",MIN(BW132+$Q132*$V132,Assumptions!$B$14)*Assumptions!$B$12,MIN(BW132+$Q132*$V132,Assumptions!$B$14)*Assumptions!$B$13),0)</f>
        <v>0</v>
      </c>
      <c r="CA132" s="249">
        <f>IF(AND(BW132&gt;0,$M132="Non-Saudi"),Assumptions!$B$25,0)</f>
        <v>910.41666666666663</v>
      </c>
      <c r="CB132" s="249">
        <f>IF(AND($D132="Contrat Local",$N132&lt;&gt;""),IF(AND(12&gt;=Assumptions!$B$5,ISNUMBER($X132),$N132&lt;EDATE(Assumptions!$B$9,-Assumptions!$B$6*12)),($P132+$X132)*$V132,$P132*$V132),0)</f>
        <v>9000</v>
      </c>
      <c r="CC132" s="249">
        <f t="shared" si="46"/>
        <v>12700</v>
      </c>
      <c r="CD132" s="249">
        <f>IF(AND(CC132&gt;0,$N132&lt;&gt;""),IF((DATE(Assumptions!$B$4,12,28)-$N132)/365.25&lt;=Assumptions!$B$20,(DATE(Assumptions!$B$4,12,28)-$N132)/365.25*Assumptions!$B$18*CC132,(Assumptions!$B$20*Assumptions!$B$18+((DATE(Assumptions!$B$4,12,28)-$N132)/365.25-Assumptions!$B$20)*Assumptions!$B$19)*CC132),0)</f>
        <v>8397.1252566735111</v>
      </c>
      <c r="CE132" s="249">
        <f>IF(CB132&gt;0,IF($M132="Saudi",MIN(CB132+$Q132*$V132,Assumptions!$B$14)*Assumptions!$B$12,MIN(CB132+$Q132*$V132,Assumptions!$B$14)*Assumptions!$B$13),0)</f>
        <v>0</v>
      </c>
      <c r="CF132" s="249">
        <f>IF(AND(CB132&gt;0,$M132="Non-Saudi"),Assumptions!$B$25,0)</f>
        <v>910.41666666666663</v>
      </c>
      <c r="CG132" s="249">
        <f t="shared" si="47"/>
        <v>108000</v>
      </c>
      <c r="CH132" s="249">
        <f t="shared" si="48"/>
        <v>152400</v>
      </c>
      <c r="CI132" s="249">
        <f>CD132-IF(AND(Z132&gt;0,$N132&lt;&gt;""),IF((DATE(Assumptions!$B$4-1,12,28)-$N132)/365.25&lt;=Assumptions!$B$20,(DATE(Assumptions!$B$4-1,12,28)-$N132)/365.25*Assumptions!$B$18*Z132,(Assumptions!$B$20*Assumptions!$B$18+((DATE(Assumptions!$B$4-1,12,28)-$N132)/365.25-Assumptions!$B$20)*Assumptions!$B$19)*Z132),0)</f>
        <v>6345.6536618754271</v>
      </c>
      <c r="CJ132" s="249">
        <f t="shared" si="49"/>
        <v>0</v>
      </c>
      <c r="CK132" s="249">
        <f t="shared" si="50"/>
        <v>10924.999999999998</v>
      </c>
    </row>
    <row r="133" spans="1:89" x14ac:dyDescent="0.2">
      <c r="A133" s="276">
        <v>134</v>
      </c>
      <c r="B133" s="277" t="s">
        <v>768</v>
      </c>
      <c r="C133" s="277" t="s">
        <v>571</v>
      </c>
      <c r="D133" s="277" t="s">
        <v>250</v>
      </c>
      <c r="E133" s="277" t="s">
        <v>767</v>
      </c>
      <c r="F133" s="277" t="s">
        <v>302</v>
      </c>
      <c r="G133" s="277" t="s">
        <v>303</v>
      </c>
      <c r="H133" s="277" t="s">
        <v>349</v>
      </c>
      <c r="I133" s="287" t="s">
        <v>691</v>
      </c>
      <c r="J133" s="277" t="s">
        <v>73</v>
      </c>
      <c r="K133" s="277" t="s">
        <v>254</v>
      </c>
      <c r="L133" s="277" t="s">
        <v>255</v>
      </c>
      <c r="M133" s="277" t="str">
        <f t="shared" ref="M133:M157" si="52">IF(D133="Titulaire EN","",IF(OR(B133="AL OSSAIMI AL OTAIBI",B133="ALAMRI"),"Saudi","Non-Saudi"))</f>
        <v>Non-Saudi</v>
      </c>
      <c r="N133" s="278">
        <v>45536</v>
      </c>
      <c r="O133" s="279">
        <v>2.2999999999999998</v>
      </c>
      <c r="P133" s="280">
        <v>8250</v>
      </c>
      <c r="Q133" s="280">
        <v>2500</v>
      </c>
      <c r="R133" s="280">
        <v>500</v>
      </c>
      <c r="S133" s="280"/>
      <c r="T133" s="280">
        <v>1300</v>
      </c>
      <c r="U133" s="280">
        <v>12550</v>
      </c>
      <c r="V133" s="281">
        <v>1</v>
      </c>
      <c r="W133" s="277" t="s">
        <v>256</v>
      </c>
      <c r="X133" s="277">
        <v>250</v>
      </c>
      <c r="Y133" s="249">
        <f t="shared" si="27"/>
        <v>8250</v>
      </c>
      <c r="Z133" s="249">
        <f t="shared" si="28"/>
        <v>12550</v>
      </c>
      <c r="AA133" s="249">
        <f>IF(AND(Z133&gt;0,$N133&lt;&gt;""),IF((DATE(Assumptions!$B$4,1,28)-$N133)/365.25&lt;=Assumptions!$B$20,(DATE(Assumptions!$B$4,1,28)-$N133)/365.25*Assumptions!$B$18*Z133,(Assumptions!$B$20*Assumptions!$B$18+((DATE(Assumptions!$B$4,1,28)-$N133)/365.25-Assumptions!$B$20)*Assumptions!$B$19)*Z133),0)</f>
        <v>8830.5270362765223</v>
      </c>
      <c r="AB133" s="249">
        <f>IF(Y133&gt;0,IF($M133="Saudi",MIN(Y133+$Q133*$V133,Assumptions!$B$14)*Assumptions!$B$12,MIN(Y133+$Q133*$V133,Assumptions!$B$14)*Assumptions!$B$13),0)</f>
        <v>0</v>
      </c>
      <c r="AC133" s="249">
        <f>IF(AND(Y133&gt;0,$M133="Non-Saudi"),Assumptions!$B$25,0)</f>
        <v>910.41666666666663</v>
      </c>
      <c r="AD133" s="249">
        <f t="shared" si="29"/>
        <v>8250</v>
      </c>
      <c r="AE133" s="249">
        <f t="shared" si="30"/>
        <v>12550</v>
      </c>
      <c r="AF133" s="249">
        <f>IF(AND(AE133&gt;0,$N133&lt;&gt;""),IF((DATE(Assumptions!$B$4,2,28)-$N133)/365.25&lt;=Assumptions!$B$20,(DATE(Assumptions!$B$4,2,28)-$N133)/365.25*Assumptions!$B$18*AE133,(Assumptions!$B$20*Assumptions!$B$18+((DATE(Assumptions!$B$4,2,28)-$N133)/365.25-Assumptions!$B$20)*Assumptions!$B$19)*AE133),0)</f>
        <v>9363.107460643394</v>
      </c>
      <c r="AG133" s="249">
        <f>IF(AD133&gt;0,IF($M133="Saudi",MIN(AD133+$Q133*$V133,Assumptions!$B$14)*Assumptions!$B$12,MIN(AD133+$Q133*$V133,Assumptions!$B$14)*Assumptions!$B$13),0)</f>
        <v>0</v>
      </c>
      <c r="AH133" s="249">
        <f>IF(AND(AD133&gt;0,$M133="Non-Saudi"),Assumptions!$B$25,0)</f>
        <v>910.41666666666663</v>
      </c>
      <c r="AI133" s="249">
        <f t="shared" si="31"/>
        <v>8250</v>
      </c>
      <c r="AJ133" s="249">
        <f t="shared" si="32"/>
        <v>12550</v>
      </c>
      <c r="AK133" s="249">
        <f>IF(AND(AJ133&gt;0,$N133&lt;&gt;""),IF((DATE(Assumptions!$B$4,3,28)-$N133)/365.25&lt;=Assumptions!$B$20,(DATE(Assumptions!$B$4,3,28)-$N133)/365.25*Assumptions!$B$18*AJ133,(Assumptions!$B$20*Assumptions!$B$18+((DATE(Assumptions!$B$4,3,28)-$N133)/365.25-Assumptions!$B$20)*Assumptions!$B$19)*AJ133),0)</f>
        <v>9844.1478439425046</v>
      </c>
      <c r="AL133" s="249">
        <f>IF(AI133&gt;0,IF($M133="Saudi",MIN(AI133+$Q133*$V133,Assumptions!$B$14)*Assumptions!$B$12,MIN(AI133+$Q133*$V133,Assumptions!$B$14)*Assumptions!$B$13),0)</f>
        <v>0</v>
      </c>
      <c r="AM133" s="249">
        <f>IF(AND(AI133&gt;0,$M133="Non-Saudi"),Assumptions!$B$25,0)</f>
        <v>910.41666666666663</v>
      </c>
      <c r="AN133" s="249">
        <f t="shared" si="33"/>
        <v>8250</v>
      </c>
      <c r="AO133" s="249">
        <f t="shared" si="34"/>
        <v>12550</v>
      </c>
      <c r="AP133" s="249">
        <f>IF(AND(AO133&gt;0,$N133&lt;&gt;""),IF((DATE(Assumptions!$B$4,4,28)-$N133)/365.25&lt;=Assumptions!$B$20,(DATE(Assumptions!$B$4,4,28)-$N133)/365.25*Assumptions!$B$18*AO133,(Assumptions!$B$20*Assumptions!$B$18+((DATE(Assumptions!$B$4,4,28)-$N133)/365.25-Assumptions!$B$20)*Assumptions!$B$19)*AO133),0)</f>
        <v>10376.728268309378</v>
      </c>
      <c r="AQ133" s="249">
        <f>IF(AN133&gt;0,IF($M133="Saudi",MIN(AN133+$Q133*$V133,Assumptions!$B$14)*Assumptions!$B$12,MIN(AN133+$Q133*$V133,Assumptions!$B$14)*Assumptions!$B$13),0)</f>
        <v>0</v>
      </c>
      <c r="AR133" s="249">
        <f>IF(AND(AN133&gt;0,$M133="Non-Saudi"),Assumptions!$B$25,0)</f>
        <v>910.41666666666663</v>
      </c>
      <c r="AS133" s="249">
        <f t="shared" si="35"/>
        <v>8250</v>
      </c>
      <c r="AT133" s="249">
        <f t="shared" si="36"/>
        <v>12550</v>
      </c>
      <c r="AU133" s="249">
        <f>IF(AND(AT133&gt;0,$N133&lt;&gt;""),IF((DATE(Assumptions!$B$4,5,28)-$N133)/365.25&lt;=Assumptions!$B$20,(DATE(Assumptions!$B$4,5,28)-$N133)/365.25*Assumptions!$B$18*AT133,(Assumptions!$B$20*Assumptions!$B$18+((DATE(Assumptions!$B$4,5,28)-$N133)/365.25-Assumptions!$B$20)*Assumptions!$B$19)*AT133),0)</f>
        <v>10892.128678986994</v>
      </c>
      <c r="AV133" s="249">
        <f>IF(AS133&gt;0,IF($M133="Saudi",MIN(AS133+$Q133*$V133,Assumptions!$B$14)*Assumptions!$B$12,MIN(AS133+$Q133*$V133,Assumptions!$B$14)*Assumptions!$B$13),0)</f>
        <v>0</v>
      </c>
      <c r="AW133" s="249">
        <f>IF(AND(AS133&gt;0,$M133="Non-Saudi"),Assumptions!$B$25,0)</f>
        <v>910.41666666666663</v>
      </c>
      <c r="AX133" s="249">
        <f t="shared" si="37"/>
        <v>8250</v>
      </c>
      <c r="AY133" s="249">
        <f t="shared" si="38"/>
        <v>12550</v>
      </c>
      <c r="AZ133" s="249">
        <f>IF(AND(AY133&gt;0,$N133&lt;&gt;""),IF((DATE(Assumptions!$B$4,6,28)-$N133)/365.25&lt;=Assumptions!$B$20,(DATE(Assumptions!$B$4,6,28)-$N133)/365.25*Assumptions!$B$18*AY133,(Assumptions!$B$20*Assumptions!$B$18+((DATE(Assumptions!$B$4,6,28)-$N133)/365.25-Assumptions!$B$20)*Assumptions!$B$19)*AY133),0)</f>
        <v>11424.709103353867</v>
      </c>
      <c r="BA133" s="249">
        <f>IF(AX133&gt;0,IF($M133="Saudi",MIN(AX133+$Q133*$V133,Assumptions!$B$14)*Assumptions!$B$12,MIN(AX133+$Q133*$V133,Assumptions!$B$14)*Assumptions!$B$13),0)</f>
        <v>0</v>
      </c>
      <c r="BB133" s="249">
        <f>IF(AND(AX133&gt;0,$M133="Non-Saudi"),Assumptions!$B$25,0)</f>
        <v>910.41666666666663</v>
      </c>
      <c r="BC133" s="249">
        <f t="shared" si="39"/>
        <v>8250</v>
      </c>
      <c r="BD133" s="249">
        <f t="shared" si="40"/>
        <v>12550</v>
      </c>
      <c r="BE133" s="249">
        <f>IF(AND(BD133&gt;0,$N133&lt;&gt;""),IF((DATE(Assumptions!$B$4,7,28)-$N133)/365.25&lt;=Assumptions!$B$20,(DATE(Assumptions!$B$4,7,28)-$N133)/365.25*Assumptions!$B$18*BD133,(Assumptions!$B$20*Assumptions!$B$18+((DATE(Assumptions!$B$4,7,28)-$N133)/365.25-Assumptions!$B$20)*Assumptions!$B$19)*BD133),0)</f>
        <v>11940.109514031486</v>
      </c>
      <c r="BF133" s="249">
        <f>IF(BC133&gt;0,IF($M133="Saudi",MIN(BC133+$Q133*$V133,Assumptions!$B$14)*Assumptions!$B$12,MIN(BC133+$Q133*$V133,Assumptions!$B$14)*Assumptions!$B$13),0)</f>
        <v>0</v>
      </c>
      <c r="BG133" s="249">
        <f>IF(AND(BC133&gt;0,$M133="Non-Saudi"),Assumptions!$B$25,0)</f>
        <v>910.41666666666663</v>
      </c>
      <c r="BH133" s="249">
        <f t="shared" si="41"/>
        <v>8250</v>
      </c>
      <c r="BI133" s="249">
        <f t="shared" si="42"/>
        <v>12550</v>
      </c>
      <c r="BJ133" s="249">
        <f>IF(AND(BI133&gt;0,$N133&lt;&gt;""),IF((DATE(Assumptions!$B$4,8,28)-$N133)/365.25&lt;=Assumptions!$B$20,(DATE(Assumptions!$B$4,8,28)-$N133)/365.25*Assumptions!$B$18*BI133,(Assumptions!$B$20*Assumptions!$B$18+((DATE(Assumptions!$B$4,8,28)-$N133)/365.25-Assumptions!$B$20)*Assumptions!$B$19)*BI133),0)</f>
        <v>12472.689938398356</v>
      </c>
      <c r="BK133" s="249">
        <f>IF(BH133&gt;0,IF($M133="Saudi",MIN(BH133+$Q133*$V133,Assumptions!$B$14)*Assumptions!$B$12,MIN(BH133+$Q133*$V133,Assumptions!$B$14)*Assumptions!$B$13),0)</f>
        <v>0</v>
      </c>
      <c r="BL133" s="249">
        <f>IF(AND(BH133&gt;0,$M133="Non-Saudi"),Assumptions!$B$25,0)</f>
        <v>910.41666666666663</v>
      </c>
      <c r="BM133" s="249">
        <f>IF(AND($D133="Contrat Local",$N133&lt;&gt;""),IF(AND(9&gt;=Assumptions!$B$5,ISNUMBER($X133),$N133&lt;EDATE(Assumptions!$B$9,-Assumptions!$B$6*12)),($P133+$X133)*$V133,$P133*$V133),0)</f>
        <v>8500</v>
      </c>
      <c r="BN133" s="249">
        <f t="shared" si="43"/>
        <v>12800</v>
      </c>
      <c r="BO133" s="249">
        <f>IF(AND(BN133&gt;0,$N133&lt;&gt;""),IF((DATE(Assumptions!$B$4,9,28)-$N133)/365.25&lt;=Assumptions!$B$20,(DATE(Assumptions!$B$4,9,28)-$N133)/365.25*Assumptions!$B$18*BN133,(Assumptions!$B$20*Assumptions!$B$18+((DATE(Assumptions!$B$4,9,28)-$N133)/365.25-Assumptions!$B$20)*Assumptions!$B$19)*BN133),0)</f>
        <v>13264.339493497604</v>
      </c>
      <c r="BP133" s="249">
        <f>IF(BM133&gt;0,IF($M133="Saudi",MIN(BM133+$Q133*$V133,Assumptions!$B$14)*Assumptions!$B$12,MIN(BM133+$Q133*$V133,Assumptions!$B$14)*Assumptions!$B$13),0)</f>
        <v>0</v>
      </c>
      <c r="BQ133" s="249">
        <f>IF(AND(BM133&gt;0,$M133="Non-Saudi"),Assumptions!$B$25,0)</f>
        <v>910.41666666666663</v>
      </c>
      <c r="BR133" s="249">
        <f>IF(AND($D133="Contrat Local",$N133&lt;&gt;""),IF(AND(10&gt;=Assumptions!$B$5,ISNUMBER($X133),$N133&lt;EDATE(Assumptions!$B$9,-Assumptions!$B$6*12)),($P133+$X133)*$V133,$P133*$V133),0)</f>
        <v>8500</v>
      </c>
      <c r="BS133" s="249">
        <f t="shared" si="44"/>
        <v>12800</v>
      </c>
      <c r="BT133" s="249">
        <f>IF(AND(BS133&gt;0,$N133&lt;&gt;""),IF((DATE(Assumptions!$B$4,10,28)-$N133)/365.25&lt;=Assumptions!$B$20,(DATE(Assumptions!$B$4,10,28)-$N133)/365.25*Assumptions!$B$18*BS133,(Assumptions!$B$20*Assumptions!$B$18+((DATE(Assumptions!$B$4,10,28)-$N133)/365.25-Assumptions!$B$20)*Assumptions!$B$19)*BS133),0)</f>
        <v>13790.006844626967</v>
      </c>
      <c r="BU133" s="249">
        <f>IF(BR133&gt;0,IF($M133="Saudi",MIN(BR133+$Q133*$V133,Assumptions!$B$14)*Assumptions!$B$12,MIN(BR133+$Q133*$V133,Assumptions!$B$14)*Assumptions!$B$13),0)</f>
        <v>0</v>
      </c>
      <c r="BV133" s="249">
        <f>IF(AND(BR133&gt;0,$M133="Non-Saudi"),Assumptions!$B$25,0)</f>
        <v>910.41666666666663</v>
      </c>
      <c r="BW133" s="249">
        <f>IF(AND($D133="Contrat Local",$N133&lt;&gt;""),IF(AND(11&gt;=Assumptions!$B$5,ISNUMBER($X133),$N133&lt;EDATE(Assumptions!$B$9,-Assumptions!$B$6*12)),($P133+$X133)*$V133,$P133*$V133),0)</f>
        <v>8500</v>
      </c>
      <c r="BX133" s="249">
        <f t="shared" si="45"/>
        <v>12800</v>
      </c>
      <c r="BY133" s="249">
        <f>IF(AND(BX133&gt;0,$N133&lt;&gt;""),IF((DATE(Assumptions!$B$4,11,28)-$N133)/365.25&lt;=Assumptions!$B$20,(DATE(Assumptions!$B$4,11,28)-$N133)/365.25*Assumptions!$B$18*BX133,(Assumptions!$B$20*Assumptions!$B$18+((DATE(Assumptions!$B$4,11,28)-$N133)/365.25-Assumptions!$B$20)*Assumptions!$B$19)*BX133),0)</f>
        <v>14333.196440793978</v>
      </c>
      <c r="BZ133" s="249">
        <f>IF(BW133&gt;0,IF($M133="Saudi",MIN(BW133+$Q133*$V133,Assumptions!$B$14)*Assumptions!$B$12,MIN(BW133+$Q133*$V133,Assumptions!$B$14)*Assumptions!$B$13),0)</f>
        <v>0</v>
      </c>
      <c r="CA133" s="249">
        <f>IF(AND(BW133&gt;0,$M133="Non-Saudi"),Assumptions!$B$25,0)</f>
        <v>910.41666666666663</v>
      </c>
      <c r="CB133" s="249">
        <f>IF(AND($D133="Contrat Local",$N133&lt;&gt;""),IF(AND(12&gt;=Assumptions!$B$5,ISNUMBER($X133),$N133&lt;EDATE(Assumptions!$B$9,-Assumptions!$B$6*12)),($P133+$X133)*$V133,$P133*$V133),0)</f>
        <v>8500</v>
      </c>
      <c r="CC133" s="249">
        <f t="shared" si="46"/>
        <v>12800</v>
      </c>
      <c r="CD133" s="249">
        <f>IF(AND(CC133&gt;0,$N133&lt;&gt;""),IF((DATE(Assumptions!$B$4,12,28)-$N133)/365.25&lt;=Assumptions!$B$20,(DATE(Assumptions!$B$4,12,28)-$N133)/365.25*Assumptions!$B$18*CC133,(Assumptions!$B$20*Assumptions!$B$18+((DATE(Assumptions!$B$4,12,28)-$N133)/365.25-Assumptions!$B$20)*Assumptions!$B$19)*CC133),0)</f>
        <v>14858.863791923341</v>
      </c>
      <c r="CE133" s="249">
        <f>IF(CB133&gt;0,IF($M133="Saudi",MIN(CB133+$Q133*$V133,Assumptions!$B$14)*Assumptions!$B$12,MIN(CB133+$Q133*$V133,Assumptions!$B$14)*Assumptions!$B$13),0)</f>
        <v>0</v>
      </c>
      <c r="CF133" s="249">
        <f>IF(AND(CB133&gt;0,$M133="Non-Saudi"),Assumptions!$B$25,0)</f>
        <v>910.41666666666663</v>
      </c>
      <c r="CG133" s="249">
        <f t="shared" si="47"/>
        <v>100000</v>
      </c>
      <c r="CH133" s="249">
        <f t="shared" si="48"/>
        <v>151600</v>
      </c>
      <c r="CI133" s="249">
        <f>CD133-IF(AND(Z133&gt;0,$N133&lt;&gt;""),IF((DATE(Assumptions!$B$4-1,12,28)-$N133)/365.25&lt;=Assumptions!$B$20,(DATE(Assumptions!$B$4-1,12,28)-$N133)/365.25*Assumptions!$B$18*Z133,(Assumptions!$B$20*Assumptions!$B$18+((DATE(Assumptions!$B$4-1,12,28)-$N133)/365.25-Assumptions!$B$20)*Assumptions!$B$19)*Z133),0)</f>
        <v>6560.9171800136901</v>
      </c>
      <c r="CJ133" s="249">
        <f t="shared" si="49"/>
        <v>0</v>
      </c>
      <c r="CK133" s="249">
        <f t="shared" si="50"/>
        <v>10924.999999999998</v>
      </c>
    </row>
    <row r="134" spans="1:89" x14ac:dyDescent="0.2">
      <c r="A134" s="264">
        <v>135</v>
      </c>
      <c r="B134" s="265" t="s">
        <v>574</v>
      </c>
      <c r="C134" s="265" t="s">
        <v>575</v>
      </c>
      <c r="D134" s="265" t="s">
        <v>250</v>
      </c>
      <c r="E134" s="265" t="s">
        <v>767</v>
      </c>
      <c r="F134" s="265" t="s">
        <v>264</v>
      </c>
      <c r="G134" s="265" t="s">
        <v>8</v>
      </c>
      <c r="H134" s="265" t="s">
        <v>265</v>
      </c>
      <c r="I134" s="284" t="s">
        <v>691</v>
      </c>
      <c r="J134" s="265" t="s">
        <v>58</v>
      </c>
      <c r="K134" s="265" t="s">
        <v>8</v>
      </c>
      <c r="L134" s="265" t="s">
        <v>255</v>
      </c>
      <c r="M134" s="265" t="str">
        <f t="shared" si="52"/>
        <v>Non-Saudi</v>
      </c>
      <c r="N134" s="266">
        <v>45170</v>
      </c>
      <c r="O134" s="267">
        <v>3.3</v>
      </c>
      <c r="P134" s="268">
        <v>9250</v>
      </c>
      <c r="Q134" s="268">
        <v>2500</v>
      </c>
      <c r="R134" s="268">
        <v>500</v>
      </c>
      <c r="S134" s="268"/>
      <c r="T134" s="268"/>
      <c r="U134" s="268">
        <v>12250</v>
      </c>
      <c r="V134" s="269">
        <v>1</v>
      </c>
      <c r="W134" s="265" t="s">
        <v>259</v>
      </c>
      <c r="X134" s="265">
        <v>250</v>
      </c>
      <c r="Y134" s="249">
        <f t="shared" ref="Y134:Y164" si="53">IF(AND($D134="Contrat Local",$N134&lt;&gt;""),$P134*$V134,0)</f>
        <v>9250</v>
      </c>
      <c r="Z134" s="249">
        <f t="shared" ref="Z134:Z164" si="54">IF(Y134&gt;0,Y134+($Q134+$R134+IF(ISNUMBER($S134),$S134,0)+IF(ISNUMBER($T134),$T134,0))*$V134,0)</f>
        <v>12250</v>
      </c>
      <c r="AA134" s="249">
        <f>IF(AND(Z134&gt;0,$N134&lt;&gt;""),IF((DATE(Assumptions!$B$4,1,28)-$N134)/365.25&lt;=Assumptions!$B$20,(DATE(Assumptions!$B$4,1,28)-$N134)/365.25*Assumptions!$B$18*Z134,(Assumptions!$B$20*Assumptions!$B$18+((DATE(Assumptions!$B$4,1,28)-$N134)/365.25-Assumptions!$B$20)*Assumptions!$B$19)*Z134),0)</f>
        <v>14757.015742642025</v>
      </c>
      <c r="AB134" s="249">
        <f>IF(Y134&gt;0,IF($M134="Saudi",MIN(Y134+$Q134*$V134,Assumptions!$B$14)*Assumptions!$B$12,MIN(Y134+$Q134*$V134,Assumptions!$B$14)*Assumptions!$B$13),0)</f>
        <v>0</v>
      </c>
      <c r="AC134" s="249">
        <f>IF(AND(Y134&gt;0,$M134="Non-Saudi"),Assumptions!$B$25,0)</f>
        <v>910.41666666666663</v>
      </c>
      <c r="AD134" s="249">
        <f t="shared" ref="AD134:AD164" si="55">IF(AND($D134="Contrat Local",$N134&lt;&gt;""),$P134*$V134,0)</f>
        <v>9250</v>
      </c>
      <c r="AE134" s="249">
        <f t="shared" ref="AE134:AE164" si="56">IF(AD134&gt;0,AD134+($Q134+$R134+IF(ISNUMBER($S134),$S134,0)+IF(ISNUMBER($T134),$T134,0))*$V134,0)</f>
        <v>12250</v>
      </c>
      <c r="AF134" s="249">
        <f>IF(AND(AE134&gt;0,$N134&lt;&gt;""),IF((DATE(Assumptions!$B$4,2,28)-$N134)/365.25&lt;=Assumptions!$B$20,(DATE(Assumptions!$B$4,2,28)-$N134)/365.25*Assumptions!$B$18*AE134,(Assumptions!$B$20*Assumptions!$B$18+((DATE(Assumptions!$B$4,2,28)-$N134)/365.25-Assumptions!$B$20)*Assumptions!$B$19)*AE134),0)</f>
        <v>15276.865160848734</v>
      </c>
      <c r="AG134" s="249">
        <f>IF(AD134&gt;0,IF($M134="Saudi",MIN(AD134+$Q134*$V134,Assumptions!$B$14)*Assumptions!$B$12,MIN(AD134+$Q134*$V134,Assumptions!$B$14)*Assumptions!$B$13),0)</f>
        <v>0</v>
      </c>
      <c r="AH134" s="249">
        <f>IF(AND(AD134&gt;0,$M134="Non-Saudi"),Assumptions!$B$25,0)</f>
        <v>910.41666666666663</v>
      </c>
      <c r="AI134" s="249">
        <f t="shared" ref="AI134:AI164" si="57">IF(AND($D134="Contrat Local",$N134&lt;&gt;""),$P134*$V134,0)</f>
        <v>9250</v>
      </c>
      <c r="AJ134" s="249">
        <f t="shared" ref="AJ134:AJ164" si="58">IF(AI134&gt;0,AI134+($Q134+$R134+IF(ISNUMBER($S134),$S134,0)+IF(ISNUMBER($T134),$T134,0))*$V134,0)</f>
        <v>12250</v>
      </c>
      <c r="AK134" s="249">
        <f>IF(AND(AJ134&gt;0,$N134&lt;&gt;""),IF((DATE(Assumptions!$B$4,3,28)-$N134)/365.25&lt;=Assumptions!$B$20,(DATE(Assumptions!$B$4,3,28)-$N134)/365.25*Assumptions!$B$18*AJ134,(Assumptions!$B$20*Assumptions!$B$18+((DATE(Assumptions!$B$4,3,28)-$N134)/365.25-Assumptions!$B$20)*Assumptions!$B$19)*AJ134),0)</f>
        <v>15746.406570841889</v>
      </c>
      <c r="AL134" s="249">
        <f>IF(AI134&gt;0,IF($M134="Saudi",MIN(AI134+$Q134*$V134,Assumptions!$B$14)*Assumptions!$B$12,MIN(AI134+$Q134*$V134,Assumptions!$B$14)*Assumptions!$B$13),0)</f>
        <v>0</v>
      </c>
      <c r="AM134" s="249">
        <f>IF(AND(AI134&gt;0,$M134="Non-Saudi"),Assumptions!$B$25,0)</f>
        <v>910.41666666666663</v>
      </c>
      <c r="AN134" s="249">
        <f t="shared" ref="AN134:AN164" si="59">IF(AND($D134="Contrat Local",$N134&lt;&gt;""),$P134*$V134,0)</f>
        <v>9250</v>
      </c>
      <c r="AO134" s="249">
        <f t="shared" ref="AO134:AO164" si="60">IF(AN134&gt;0,AN134+($Q134+$R134+IF(ISNUMBER($S134),$S134,0)+IF(ISNUMBER($T134),$T134,0))*$V134,0)</f>
        <v>12250</v>
      </c>
      <c r="AP134" s="249">
        <f>IF(AND(AO134&gt;0,$N134&lt;&gt;""),IF((DATE(Assumptions!$B$4,4,28)-$N134)/365.25&lt;=Assumptions!$B$20,(DATE(Assumptions!$B$4,4,28)-$N134)/365.25*Assumptions!$B$18*AO134,(Assumptions!$B$20*Assumptions!$B$18+((DATE(Assumptions!$B$4,4,28)-$N134)/365.25-Assumptions!$B$20)*Assumptions!$B$19)*AO134),0)</f>
        <v>16266.255989048597</v>
      </c>
      <c r="AQ134" s="249">
        <f>IF(AN134&gt;0,IF($M134="Saudi",MIN(AN134+$Q134*$V134,Assumptions!$B$14)*Assumptions!$B$12,MIN(AN134+$Q134*$V134,Assumptions!$B$14)*Assumptions!$B$13),0)</f>
        <v>0</v>
      </c>
      <c r="AR134" s="249">
        <f>IF(AND(AN134&gt;0,$M134="Non-Saudi"),Assumptions!$B$25,0)</f>
        <v>910.41666666666663</v>
      </c>
      <c r="AS134" s="249">
        <f t="shared" ref="AS134:AS164" si="61">IF(AND($D134="Contrat Local",$N134&lt;&gt;""),$P134*$V134,0)</f>
        <v>9250</v>
      </c>
      <c r="AT134" s="249">
        <f t="shared" ref="AT134:AT164" si="62">IF(AS134&gt;0,AS134+($Q134+$R134+IF(ISNUMBER($S134),$S134,0)+IF(ISNUMBER($T134),$T134,0))*$V134,0)</f>
        <v>12250</v>
      </c>
      <c r="AU134" s="249">
        <f>IF(AND(AT134&gt;0,$N134&lt;&gt;""),IF((DATE(Assumptions!$B$4,5,28)-$N134)/365.25&lt;=Assumptions!$B$20,(DATE(Assumptions!$B$4,5,28)-$N134)/365.25*Assumptions!$B$18*AT134,(Assumptions!$B$20*Assumptions!$B$18+((DATE(Assumptions!$B$4,5,28)-$N134)/365.25-Assumptions!$B$20)*Assumptions!$B$19)*AT134),0)</f>
        <v>16769.33607118412</v>
      </c>
      <c r="AV134" s="249">
        <f>IF(AS134&gt;0,IF($M134="Saudi",MIN(AS134+$Q134*$V134,Assumptions!$B$14)*Assumptions!$B$12,MIN(AS134+$Q134*$V134,Assumptions!$B$14)*Assumptions!$B$13),0)</f>
        <v>0</v>
      </c>
      <c r="AW134" s="249">
        <f>IF(AND(AS134&gt;0,$M134="Non-Saudi"),Assumptions!$B$25,0)</f>
        <v>910.41666666666663</v>
      </c>
      <c r="AX134" s="249">
        <f t="shared" ref="AX134:AX164" si="63">IF(AND($D134="Contrat Local",$N134&lt;&gt;""),$P134*$V134,0)</f>
        <v>9250</v>
      </c>
      <c r="AY134" s="249">
        <f t="shared" ref="AY134:AY164" si="64">IF(AX134&gt;0,AX134+($Q134+$R134+IF(ISNUMBER($S134),$S134,0)+IF(ISNUMBER($T134),$T134,0))*$V134,0)</f>
        <v>12250</v>
      </c>
      <c r="AZ134" s="249">
        <f>IF(AND(AY134&gt;0,$N134&lt;&gt;""),IF((DATE(Assumptions!$B$4,6,28)-$N134)/365.25&lt;=Assumptions!$B$20,(DATE(Assumptions!$B$4,6,28)-$N134)/365.25*Assumptions!$B$18*AY134,(Assumptions!$B$20*Assumptions!$B$18+((DATE(Assumptions!$B$4,6,28)-$N134)/365.25-Assumptions!$B$20)*Assumptions!$B$19)*AY134),0)</f>
        <v>17289.185489390828</v>
      </c>
      <c r="BA134" s="249">
        <f>IF(AX134&gt;0,IF($M134="Saudi",MIN(AX134+$Q134*$V134,Assumptions!$B$14)*Assumptions!$B$12,MIN(AX134+$Q134*$V134,Assumptions!$B$14)*Assumptions!$B$13),0)</f>
        <v>0</v>
      </c>
      <c r="BB134" s="249">
        <f>IF(AND(AX134&gt;0,$M134="Non-Saudi"),Assumptions!$B$25,0)</f>
        <v>910.41666666666663</v>
      </c>
      <c r="BC134" s="249">
        <f t="shared" ref="BC134:BC164" si="65">IF(AND($D134="Contrat Local",$N134&lt;&gt;""),$P134*$V134,0)</f>
        <v>9250</v>
      </c>
      <c r="BD134" s="249">
        <f t="shared" ref="BD134:BD190" si="66">IF(BC134&gt;0,BC134+($Q134+$R134+IF(ISNUMBER($S134),$S134,0)+IF(ISNUMBER($T134),$T134,0))*$V134,0)</f>
        <v>12250</v>
      </c>
      <c r="BE134" s="249">
        <f>IF(AND(BD134&gt;0,$N134&lt;&gt;""),IF((DATE(Assumptions!$B$4,7,28)-$N134)/365.25&lt;=Assumptions!$B$20,(DATE(Assumptions!$B$4,7,28)-$N134)/365.25*Assumptions!$B$18*BD134,(Assumptions!$B$20*Assumptions!$B$18+((DATE(Assumptions!$B$4,7,28)-$N134)/365.25-Assumptions!$B$20)*Assumptions!$B$19)*BD134),0)</f>
        <v>17792.265571526354</v>
      </c>
      <c r="BF134" s="249">
        <f>IF(BC134&gt;0,IF($M134="Saudi",MIN(BC134+$Q134*$V134,Assumptions!$B$14)*Assumptions!$B$12,MIN(BC134+$Q134*$V134,Assumptions!$B$14)*Assumptions!$B$13),0)</f>
        <v>0</v>
      </c>
      <c r="BG134" s="249">
        <f>IF(AND(BC134&gt;0,$M134="Non-Saudi"),Assumptions!$B$25,0)</f>
        <v>910.41666666666663</v>
      </c>
      <c r="BH134" s="249">
        <f t="shared" ref="BH134:BH190" si="67">IF(AND($D134="Contrat Local",$N134&lt;&gt;""),$P134*$V134,0)</f>
        <v>9250</v>
      </c>
      <c r="BI134" s="249">
        <f t="shared" ref="BI134:BI190" si="68">IF(BH134&gt;0,BH134+($Q134+$R134+IF(ISNUMBER($S134),$S134,0)+IF(ISNUMBER($T134),$T134,0))*$V134,0)</f>
        <v>12250</v>
      </c>
      <c r="BJ134" s="249">
        <f>IF(AND(BI134&gt;0,$N134&lt;&gt;""),IF((DATE(Assumptions!$B$4,8,28)-$N134)/365.25&lt;=Assumptions!$B$20,(DATE(Assumptions!$B$4,8,28)-$N134)/365.25*Assumptions!$B$18*BI134,(Assumptions!$B$20*Assumptions!$B$18+((DATE(Assumptions!$B$4,8,28)-$N134)/365.25-Assumptions!$B$20)*Assumptions!$B$19)*BI134),0)</f>
        <v>18312.114989733058</v>
      </c>
      <c r="BK134" s="249">
        <f>IF(BH134&gt;0,IF($M134="Saudi",MIN(BH134+$Q134*$V134,Assumptions!$B$14)*Assumptions!$B$12,MIN(BH134+$Q134*$V134,Assumptions!$B$14)*Assumptions!$B$13),0)</f>
        <v>0</v>
      </c>
      <c r="BL134" s="249">
        <f>IF(AND(BH134&gt;0,$M134="Non-Saudi"),Assumptions!$B$25,0)</f>
        <v>910.41666666666663</v>
      </c>
      <c r="BM134" s="249">
        <f>IF(AND($D134="Contrat Local",$N134&lt;&gt;""),IF(AND(9&gt;=Assumptions!$B$5,ISNUMBER($X134),$N134&lt;EDATE(Assumptions!$B$9,-Assumptions!$B$6*12)),($P134+$X134)*$V134,$P134*$V134),0)</f>
        <v>9500</v>
      </c>
      <c r="BN134" s="249">
        <f t="shared" ref="BN134:BN190" si="69">IF(BM134&gt;0,BM134+($Q134+$R134+IF(ISNUMBER($S134),$S134,0)+IF(ISNUMBER($T134),$T134,0))*$V134,0)</f>
        <v>12500</v>
      </c>
      <c r="BO134" s="249">
        <f>IF(AND(BN134&gt;0,$N134&lt;&gt;""),IF((DATE(Assumptions!$B$4,9,28)-$N134)/365.25&lt;=Assumptions!$B$20,(DATE(Assumptions!$B$4,9,28)-$N134)/365.25*Assumptions!$B$18*BN134,(Assumptions!$B$20*Assumptions!$B$18+((DATE(Assumptions!$B$4,9,28)-$N134)/365.25-Assumptions!$B$20)*Assumptions!$B$19)*BN134),0)</f>
        <v>19216.290212183438</v>
      </c>
      <c r="BP134" s="249">
        <f>IF(BM134&gt;0,IF($M134="Saudi",MIN(BM134+$Q134*$V134,Assumptions!$B$14)*Assumptions!$B$12,MIN(BM134+$Q134*$V134,Assumptions!$B$14)*Assumptions!$B$13),0)</f>
        <v>0</v>
      </c>
      <c r="BQ134" s="249">
        <f>IF(AND(BM134&gt;0,$M134="Non-Saudi"),Assumptions!$B$25,0)</f>
        <v>910.41666666666663</v>
      </c>
      <c r="BR134" s="249">
        <f>IF(AND($D134="Contrat Local",$N134&lt;&gt;""),IF(AND(10&gt;=Assumptions!$B$5,ISNUMBER($X134),$N134&lt;EDATE(Assumptions!$B$9,-Assumptions!$B$6*12)),($P134+$X134)*$V134,$P134*$V134),0)</f>
        <v>9500</v>
      </c>
      <c r="BS134" s="249">
        <f t="shared" ref="BS134:BS190" si="70">IF(BR134&gt;0,BR134+($Q134+$R134+IF(ISNUMBER($S134),$S134,0)+IF(ISNUMBER($T134),$T134,0))*$V134,0)</f>
        <v>12500</v>
      </c>
      <c r="BT134" s="249">
        <f>IF(AND(BS134&gt;0,$N134&lt;&gt;""),IF((DATE(Assumptions!$B$4,10,28)-$N134)/365.25&lt;=Assumptions!$B$20,(DATE(Assumptions!$B$4,10,28)-$N134)/365.25*Assumptions!$B$18*BS134,(Assumptions!$B$20*Assumptions!$B$18+((DATE(Assumptions!$B$4,10,28)-$N134)/365.25-Assumptions!$B$20)*Assumptions!$B$19)*BS134),0)</f>
        <v>19729.637234770704</v>
      </c>
      <c r="BU134" s="249">
        <f>IF(BR134&gt;0,IF($M134="Saudi",MIN(BR134+$Q134*$V134,Assumptions!$B$14)*Assumptions!$B$12,MIN(BR134+$Q134*$V134,Assumptions!$B$14)*Assumptions!$B$13),0)</f>
        <v>0</v>
      </c>
      <c r="BV134" s="249">
        <f>IF(AND(BR134&gt;0,$M134="Non-Saudi"),Assumptions!$B$25,0)</f>
        <v>910.41666666666663</v>
      </c>
      <c r="BW134" s="249">
        <f>IF(AND($D134="Contrat Local",$N134&lt;&gt;""),IF(AND(11&gt;=Assumptions!$B$5,ISNUMBER($X134),$N134&lt;EDATE(Assumptions!$B$9,-Assumptions!$B$6*12)),($P134+$X134)*$V134,$P134*$V134),0)</f>
        <v>9500</v>
      </c>
      <c r="BX134" s="249">
        <f t="shared" ref="BX134:BX190" si="71">IF(BW134&gt;0,BW134+($Q134+$R134+IF(ISNUMBER($S134),$S134,0)+IF(ISNUMBER($T134),$T134,0))*$V134,0)</f>
        <v>12500</v>
      </c>
      <c r="BY134" s="249">
        <f>IF(AND(BX134&gt;0,$N134&lt;&gt;""),IF((DATE(Assumptions!$B$4,11,28)-$N134)/365.25&lt;=Assumptions!$B$20,(DATE(Assumptions!$B$4,11,28)-$N134)/365.25*Assumptions!$B$18*BX134,(Assumptions!$B$20*Assumptions!$B$18+((DATE(Assumptions!$B$4,11,28)-$N134)/365.25-Assumptions!$B$20)*Assumptions!$B$19)*BX134),0)</f>
        <v>20260.095824777549</v>
      </c>
      <c r="BZ134" s="249">
        <f>IF(BW134&gt;0,IF($M134="Saudi",MIN(BW134+$Q134*$V134,Assumptions!$B$14)*Assumptions!$B$12,MIN(BW134+$Q134*$V134,Assumptions!$B$14)*Assumptions!$B$13),0)</f>
        <v>0</v>
      </c>
      <c r="CA134" s="249">
        <f>IF(AND(BW134&gt;0,$M134="Non-Saudi"),Assumptions!$B$25,0)</f>
        <v>910.41666666666663</v>
      </c>
      <c r="CB134" s="249">
        <f>IF(AND($D134="Contrat Local",$N134&lt;&gt;""),IF(AND(12&gt;=Assumptions!$B$5,ISNUMBER($X134),$N134&lt;EDATE(Assumptions!$B$9,-Assumptions!$B$6*12)),($P134+$X134)*$V134,$P134*$V134),0)</f>
        <v>9500</v>
      </c>
      <c r="CC134" s="249">
        <f t="shared" ref="CC134:CC190" si="72">IF(CB134&gt;0,CB134+($Q134+$R134+IF(ISNUMBER($S134),$S134,0)+IF(ISNUMBER($T134),$T134,0))*$V134,0)</f>
        <v>12500</v>
      </c>
      <c r="CD134" s="249">
        <f>IF(AND(CC134&gt;0,$N134&lt;&gt;""),IF((DATE(Assumptions!$B$4,12,28)-$N134)/365.25&lt;=Assumptions!$B$20,(DATE(Assumptions!$B$4,12,28)-$N134)/365.25*Assumptions!$B$18*CC134,(Assumptions!$B$20*Assumptions!$B$18+((DATE(Assumptions!$B$4,12,28)-$N134)/365.25-Assumptions!$B$20)*Assumptions!$B$19)*CC134),0)</f>
        <v>20773.442847364819</v>
      </c>
      <c r="CE134" s="249">
        <f>IF(CB134&gt;0,IF($M134="Saudi",MIN(CB134+$Q134*$V134,Assumptions!$B$14)*Assumptions!$B$12,MIN(CB134+$Q134*$V134,Assumptions!$B$14)*Assumptions!$B$13),0)</f>
        <v>0</v>
      </c>
      <c r="CF134" s="249">
        <f>IF(AND(CB134&gt;0,$M134="Non-Saudi"),Assumptions!$B$25,0)</f>
        <v>910.41666666666663</v>
      </c>
      <c r="CG134" s="249">
        <f t="shared" ref="CG134:CG164" si="73">Y134+AD134+AI134+AN134+AS134+AX134+BC134+BH134+BM134+BR134+BW134+CB134</f>
        <v>112000</v>
      </c>
      <c r="CH134" s="249">
        <f t="shared" ref="CH134:CH164" si="74">Z134+AE134+AJ134+AO134+AT134+AY134+BD134+BI134+BN134+BS134+BX134+CC134</f>
        <v>148000</v>
      </c>
      <c r="CI134" s="249">
        <f>CD134-IF(AND(Z134&gt;0,$N134&lt;&gt;""),IF((DATE(Assumptions!$B$4-1,12,28)-$N134)/365.25&lt;=Assumptions!$B$20,(DATE(Assumptions!$B$4-1,12,28)-$N134)/365.25*Assumptions!$B$18*Z134,(Assumptions!$B$20*Assumptions!$B$18+((DATE(Assumptions!$B$4-1,12,28)-$N134)/365.25-Assumptions!$B$20)*Assumptions!$B$19)*Z134),0)</f>
        <v>6536.2765229295001</v>
      </c>
      <c r="CJ134" s="249">
        <f t="shared" ref="CJ134:CJ164" si="75">AB134+AG134+AL134+AQ134+AV134+BA134+BF134+BK134+BP134+BU134+BZ134+CE134</f>
        <v>0</v>
      </c>
      <c r="CK134" s="249">
        <f t="shared" ref="CK134:CK164" si="76">AC134+AH134+AM134+AR134+AW134+BB134+BG134+BL134+BQ134+BV134+CA134+CF134</f>
        <v>10924.999999999998</v>
      </c>
    </row>
    <row r="135" spans="1:89" x14ac:dyDescent="0.2">
      <c r="A135" s="264">
        <v>136</v>
      </c>
      <c r="B135" s="265" t="s">
        <v>576</v>
      </c>
      <c r="C135" s="265" t="s">
        <v>577</v>
      </c>
      <c r="D135" s="265" t="s">
        <v>250</v>
      </c>
      <c r="E135" s="265" t="s">
        <v>767</v>
      </c>
      <c r="F135" s="265" t="s">
        <v>264</v>
      </c>
      <c r="G135" s="265" t="s">
        <v>8</v>
      </c>
      <c r="H135" s="265" t="s">
        <v>265</v>
      </c>
      <c r="I135" s="284" t="s">
        <v>691</v>
      </c>
      <c r="J135" s="265" t="s">
        <v>58</v>
      </c>
      <c r="K135" s="265" t="s">
        <v>8</v>
      </c>
      <c r="L135" s="265" t="s">
        <v>255</v>
      </c>
      <c r="M135" s="265" t="str">
        <f t="shared" si="52"/>
        <v>Non-Saudi</v>
      </c>
      <c r="N135" s="266">
        <v>45536</v>
      </c>
      <c r="O135" s="267">
        <v>2.2999999999999998</v>
      </c>
      <c r="P135" s="268">
        <v>8250</v>
      </c>
      <c r="Q135" s="268">
        <v>2500</v>
      </c>
      <c r="R135" s="268">
        <v>500</v>
      </c>
      <c r="S135" s="268"/>
      <c r="T135" s="268"/>
      <c r="U135" s="268">
        <v>11250</v>
      </c>
      <c r="V135" s="269">
        <v>1</v>
      </c>
      <c r="W135" s="265" t="s">
        <v>256</v>
      </c>
      <c r="X135" s="265">
        <v>250</v>
      </c>
      <c r="Y135" s="249">
        <f t="shared" si="53"/>
        <v>8250</v>
      </c>
      <c r="Z135" s="249">
        <f t="shared" si="54"/>
        <v>11250</v>
      </c>
      <c r="AA135" s="249">
        <f>IF(AND(Z135&gt;0,$N135&lt;&gt;""),IF((DATE(Assumptions!$B$4,1,28)-$N135)/365.25&lt;=Assumptions!$B$20,(DATE(Assumptions!$B$4,1,28)-$N135)/365.25*Assumptions!$B$18*Z135,(Assumptions!$B$20*Assumptions!$B$18+((DATE(Assumptions!$B$4,1,28)-$N135)/365.25-Assumptions!$B$20)*Assumptions!$B$19)*Z135),0)</f>
        <v>7915.8110882956871</v>
      </c>
      <c r="AB135" s="249">
        <f>IF(Y135&gt;0,IF($M135="Saudi",MIN(Y135+$Q135*$V135,Assumptions!$B$14)*Assumptions!$B$12,MIN(Y135+$Q135*$V135,Assumptions!$B$14)*Assumptions!$B$13),0)</f>
        <v>0</v>
      </c>
      <c r="AC135" s="249">
        <f>IF(AND(Y135&gt;0,$M135="Non-Saudi"),Assumptions!$B$25,0)</f>
        <v>910.41666666666663</v>
      </c>
      <c r="AD135" s="249">
        <f t="shared" si="55"/>
        <v>8250</v>
      </c>
      <c r="AE135" s="249">
        <f t="shared" si="56"/>
        <v>11250</v>
      </c>
      <c r="AF135" s="249">
        <f>IF(AND(AE135&gt;0,$N135&lt;&gt;""),IF((DATE(Assumptions!$B$4,2,28)-$N135)/365.25&lt;=Assumptions!$B$20,(DATE(Assumptions!$B$4,2,28)-$N135)/365.25*Assumptions!$B$18*AE135,(Assumptions!$B$20*Assumptions!$B$18+((DATE(Assumptions!$B$4,2,28)-$N135)/365.25-Assumptions!$B$20)*Assumptions!$B$19)*AE135),0)</f>
        <v>8393.2238193018475</v>
      </c>
      <c r="AG135" s="249">
        <f>IF(AD135&gt;0,IF($M135="Saudi",MIN(AD135+$Q135*$V135,Assumptions!$B$14)*Assumptions!$B$12,MIN(AD135+$Q135*$V135,Assumptions!$B$14)*Assumptions!$B$13),0)</f>
        <v>0</v>
      </c>
      <c r="AH135" s="249">
        <f>IF(AND(AD135&gt;0,$M135="Non-Saudi"),Assumptions!$B$25,0)</f>
        <v>910.41666666666663</v>
      </c>
      <c r="AI135" s="249">
        <f t="shared" si="57"/>
        <v>8250</v>
      </c>
      <c r="AJ135" s="249">
        <f t="shared" si="58"/>
        <v>11250</v>
      </c>
      <c r="AK135" s="249">
        <f>IF(AND(AJ135&gt;0,$N135&lt;&gt;""),IF((DATE(Assumptions!$B$4,3,28)-$N135)/365.25&lt;=Assumptions!$B$20,(DATE(Assumptions!$B$4,3,28)-$N135)/365.25*Assumptions!$B$18*AJ135,(Assumptions!$B$20*Assumptions!$B$18+((DATE(Assumptions!$B$4,3,28)-$N135)/365.25-Assumptions!$B$20)*Assumptions!$B$19)*AJ135),0)</f>
        <v>8824.4353182751529</v>
      </c>
      <c r="AL135" s="249">
        <f>IF(AI135&gt;0,IF($M135="Saudi",MIN(AI135+$Q135*$V135,Assumptions!$B$14)*Assumptions!$B$12,MIN(AI135+$Q135*$V135,Assumptions!$B$14)*Assumptions!$B$13),0)</f>
        <v>0</v>
      </c>
      <c r="AM135" s="249">
        <f>IF(AND(AI135&gt;0,$M135="Non-Saudi"),Assumptions!$B$25,0)</f>
        <v>910.41666666666663</v>
      </c>
      <c r="AN135" s="249">
        <f t="shared" si="59"/>
        <v>8250</v>
      </c>
      <c r="AO135" s="249">
        <f t="shared" si="60"/>
        <v>11250</v>
      </c>
      <c r="AP135" s="249">
        <f>IF(AND(AO135&gt;0,$N135&lt;&gt;""),IF((DATE(Assumptions!$B$4,4,28)-$N135)/365.25&lt;=Assumptions!$B$20,(DATE(Assumptions!$B$4,4,28)-$N135)/365.25*Assumptions!$B$18*AO135,(Assumptions!$B$20*Assumptions!$B$18+((DATE(Assumptions!$B$4,4,28)-$N135)/365.25-Assumptions!$B$20)*Assumptions!$B$19)*AO135),0)</f>
        <v>9301.8480492813142</v>
      </c>
      <c r="AQ135" s="249">
        <f>IF(AN135&gt;0,IF($M135="Saudi",MIN(AN135+$Q135*$V135,Assumptions!$B$14)*Assumptions!$B$12,MIN(AN135+$Q135*$V135,Assumptions!$B$14)*Assumptions!$B$13),0)</f>
        <v>0</v>
      </c>
      <c r="AR135" s="249">
        <f>IF(AND(AN135&gt;0,$M135="Non-Saudi"),Assumptions!$B$25,0)</f>
        <v>910.41666666666663</v>
      </c>
      <c r="AS135" s="249">
        <f t="shared" si="61"/>
        <v>8250</v>
      </c>
      <c r="AT135" s="249">
        <f t="shared" si="62"/>
        <v>11250</v>
      </c>
      <c r="AU135" s="249">
        <f>IF(AND(AT135&gt;0,$N135&lt;&gt;""),IF((DATE(Assumptions!$B$4,5,28)-$N135)/365.25&lt;=Assumptions!$B$20,(DATE(Assumptions!$B$4,5,28)-$N135)/365.25*Assumptions!$B$18*AT135,(Assumptions!$B$20*Assumptions!$B$18+((DATE(Assumptions!$B$4,5,28)-$N135)/365.25-Assumptions!$B$20)*Assumptions!$B$19)*AT135),0)</f>
        <v>9763.8603696098562</v>
      </c>
      <c r="AV135" s="249">
        <f>IF(AS135&gt;0,IF($M135="Saudi",MIN(AS135+$Q135*$V135,Assumptions!$B$14)*Assumptions!$B$12,MIN(AS135+$Q135*$V135,Assumptions!$B$14)*Assumptions!$B$13),0)</f>
        <v>0</v>
      </c>
      <c r="AW135" s="249">
        <f>IF(AND(AS135&gt;0,$M135="Non-Saudi"),Assumptions!$B$25,0)</f>
        <v>910.41666666666663</v>
      </c>
      <c r="AX135" s="249">
        <f t="shared" si="63"/>
        <v>8250</v>
      </c>
      <c r="AY135" s="249">
        <f t="shared" si="64"/>
        <v>11250</v>
      </c>
      <c r="AZ135" s="249">
        <f>IF(AND(AY135&gt;0,$N135&lt;&gt;""),IF((DATE(Assumptions!$B$4,6,28)-$N135)/365.25&lt;=Assumptions!$B$20,(DATE(Assumptions!$B$4,6,28)-$N135)/365.25*Assumptions!$B$18*AY135,(Assumptions!$B$20*Assumptions!$B$18+((DATE(Assumptions!$B$4,6,28)-$N135)/365.25-Assumptions!$B$20)*Assumptions!$B$19)*AY135),0)</f>
        <v>10241.273100616016</v>
      </c>
      <c r="BA135" s="249">
        <f>IF(AX135&gt;0,IF($M135="Saudi",MIN(AX135+$Q135*$V135,Assumptions!$B$14)*Assumptions!$B$12,MIN(AX135+$Q135*$V135,Assumptions!$B$14)*Assumptions!$B$13),0)</f>
        <v>0</v>
      </c>
      <c r="BB135" s="249">
        <f>IF(AND(AX135&gt;0,$M135="Non-Saudi"),Assumptions!$B$25,0)</f>
        <v>910.41666666666663</v>
      </c>
      <c r="BC135" s="249">
        <f t="shared" si="65"/>
        <v>8250</v>
      </c>
      <c r="BD135" s="249">
        <f t="shared" si="66"/>
        <v>11250</v>
      </c>
      <c r="BE135" s="249">
        <f>IF(AND(BD135&gt;0,$N135&lt;&gt;""),IF((DATE(Assumptions!$B$4,7,28)-$N135)/365.25&lt;=Assumptions!$B$20,(DATE(Assumptions!$B$4,7,28)-$N135)/365.25*Assumptions!$B$18*BD135,(Assumptions!$B$20*Assumptions!$B$18+((DATE(Assumptions!$B$4,7,28)-$N135)/365.25-Assumptions!$B$20)*Assumptions!$B$19)*BD135),0)</f>
        <v>10703.28542094456</v>
      </c>
      <c r="BF135" s="249">
        <f>IF(BC135&gt;0,IF($M135="Saudi",MIN(BC135+$Q135*$V135,Assumptions!$B$14)*Assumptions!$B$12,MIN(BC135+$Q135*$V135,Assumptions!$B$14)*Assumptions!$B$13),0)</f>
        <v>0</v>
      </c>
      <c r="BG135" s="249">
        <f>IF(AND(BC135&gt;0,$M135="Non-Saudi"),Assumptions!$B$25,0)</f>
        <v>910.41666666666663</v>
      </c>
      <c r="BH135" s="249">
        <f t="shared" si="67"/>
        <v>8250</v>
      </c>
      <c r="BI135" s="249">
        <f t="shared" si="68"/>
        <v>11250</v>
      </c>
      <c r="BJ135" s="249">
        <f>IF(AND(BI135&gt;0,$N135&lt;&gt;""),IF((DATE(Assumptions!$B$4,8,28)-$N135)/365.25&lt;=Assumptions!$B$20,(DATE(Assumptions!$B$4,8,28)-$N135)/365.25*Assumptions!$B$18*BI135,(Assumptions!$B$20*Assumptions!$B$18+((DATE(Assumptions!$B$4,8,28)-$N135)/365.25-Assumptions!$B$20)*Assumptions!$B$19)*BI135),0)</f>
        <v>11180.698151950719</v>
      </c>
      <c r="BK135" s="249">
        <f>IF(BH135&gt;0,IF($M135="Saudi",MIN(BH135+$Q135*$V135,Assumptions!$B$14)*Assumptions!$B$12,MIN(BH135+$Q135*$V135,Assumptions!$B$14)*Assumptions!$B$13),0)</f>
        <v>0</v>
      </c>
      <c r="BL135" s="249">
        <f>IF(AND(BH135&gt;0,$M135="Non-Saudi"),Assumptions!$B$25,0)</f>
        <v>910.41666666666663</v>
      </c>
      <c r="BM135" s="249">
        <f>IF(AND($D135="Contrat Local",$N135&lt;&gt;""),IF(AND(9&gt;=Assumptions!$B$5,ISNUMBER($X135),$N135&lt;EDATE(Assumptions!$B$9,-Assumptions!$B$6*12)),($P135+$X135)*$V135,$P135*$V135),0)</f>
        <v>8500</v>
      </c>
      <c r="BN135" s="249">
        <f t="shared" si="69"/>
        <v>11500</v>
      </c>
      <c r="BO135" s="249">
        <f>IF(AND(BN135&gt;0,$N135&lt;&gt;""),IF((DATE(Assumptions!$B$4,9,28)-$N135)/365.25&lt;=Assumptions!$B$20,(DATE(Assumptions!$B$4,9,28)-$N135)/365.25*Assumptions!$B$18*BN135,(Assumptions!$B$20*Assumptions!$B$18+((DATE(Assumptions!$B$4,9,28)-$N135)/365.25-Assumptions!$B$20)*Assumptions!$B$19)*BN135),0)</f>
        <v>11917.180013689254</v>
      </c>
      <c r="BP135" s="249">
        <f>IF(BM135&gt;0,IF($M135="Saudi",MIN(BM135+$Q135*$V135,Assumptions!$B$14)*Assumptions!$B$12,MIN(BM135+$Q135*$V135,Assumptions!$B$14)*Assumptions!$B$13),0)</f>
        <v>0</v>
      </c>
      <c r="BQ135" s="249">
        <f>IF(AND(BM135&gt;0,$M135="Non-Saudi"),Assumptions!$B$25,0)</f>
        <v>910.41666666666663</v>
      </c>
      <c r="BR135" s="249">
        <f>IF(AND($D135="Contrat Local",$N135&lt;&gt;""),IF(AND(10&gt;=Assumptions!$B$5,ISNUMBER($X135),$N135&lt;EDATE(Assumptions!$B$9,-Assumptions!$B$6*12)),($P135+$X135)*$V135,$P135*$V135),0)</f>
        <v>8500</v>
      </c>
      <c r="BS135" s="249">
        <f t="shared" si="70"/>
        <v>11500</v>
      </c>
      <c r="BT135" s="249">
        <f>IF(AND(BS135&gt;0,$N135&lt;&gt;""),IF((DATE(Assumptions!$B$4,10,28)-$N135)/365.25&lt;=Assumptions!$B$20,(DATE(Assumptions!$B$4,10,28)-$N135)/365.25*Assumptions!$B$18*BS135,(Assumptions!$B$20*Assumptions!$B$18+((DATE(Assumptions!$B$4,10,28)-$N135)/365.25-Assumptions!$B$20)*Assumptions!$B$19)*BS135),0)</f>
        <v>12389.45927446954</v>
      </c>
      <c r="BU135" s="249">
        <f>IF(BR135&gt;0,IF($M135="Saudi",MIN(BR135+$Q135*$V135,Assumptions!$B$14)*Assumptions!$B$12,MIN(BR135+$Q135*$V135,Assumptions!$B$14)*Assumptions!$B$13),0)</f>
        <v>0</v>
      </c>
      <c r="BV135" s="249">
        <f>IF(AND(BR135&gt;0,$M135="Non-Saudi"),Assumptions!$B$25,0)</f>
        <v>910.41666666666663</v>
      </c>
      <c r="BW135" s="249">
        <f>IF(AND($D135="Contrat Local",$N135&lt;&gt;""),IF(AND(11&gt;=Assumptions!$B$5,ISNUMBER($X135),$N135&lt;EDATE(Assumptions!$B$9,-Assumptions!$B$6*12)),($P135+$X135)*$V135,$P135*$V135),0)</f>
        <v>8500</v>
      </c>
      <c r="BX135" s="249">
        <f t="shared" si="71"/>
        <v>11500</v>
      </c>
      <c r="BY135" s="249">
        <f>IF(AND(BX135&gt;0,$N135&lt;&gt;""),IF((DATE(Assumptions!$B$4,11,28)-$N135)/365.25&lt;=Assumptions!$B$20,(DATE(Assumptions!$B$4,11,28)-$N135)/365.25*Assumptions!$B$18*BX135,(Assumptions!$B$20*Assumptions!$B$18+((DATE(Assumptions!$B$4,11,28)-$N135)/365.25-Assumptions!$B$20)*Assumptions!$B$19)*BX135),0)</f>
        <v>12877.48117727584</v>
      </c>
      <c r="BZ135" s="249">
        <f>IF(BW135&gt;0,IF($M135="Saudi",MIN(BW135+$Q135*$V135,Assumptions!$B$14)*Assumptions!$B$12,MIN(BW135+$Q135*$V135,Assumptions!$B$14)*Assumptions!$B$13),0)</f>
        <v>0</v>
      </c>
      <c r="CA135" s="249">
        <f>IF(AND(BW135&gt;0,$M135="Non-Saudi"),Assumptions!$B$25,0)</f>
        <v>910.41666666666663</v>
      </c>
      <c r="CB135" s="249">
        <f>IF(AND($D135="Contrat Local",$N135&lt;&gt;""),IF(AND(12&gt;=Assumptions!$B$5,ISNUMBER($X135),$N135&lt;EDATE(Assumptions!$B$9,-Assumptions!$B$6*12)),($P135+$X135)*$V135,$P135*$V135),0)</f>
        <v>8500</v>
      </c>
      <c r="CC135" s="249">
        <f t="shared" si="72"/>
        <v>11500</v>
      </c>
      <c r="CD135" s="249">
        <f>IF(AND(CC135&gt;0,$N135&lt;&gt;""),IF((DATE(Assumptions!$B$4,12,28)-$N135)/365.25&lt;=Assumptions!$B$20,(DATE(Assumptions!$B$4,12,28)-$N135)/365.25*Assumptions!$B$18*CC135,(Assumptions!$B$20*Assumptions!$B$18+((DATE(Assumptions!$B$4,12,28)-$N135)/365.25-Assumptions!$B$20)*Assumptions!$B$19)*CC135),0)</f>
        <v>13349.760438056126</v>
      </c>
      <c r="CE135" s="249">
        <f>IF(CB135&gt;0,IF($M135="Saudi",MIN(CB135+$Q135*$V135,Assumptions!$B$14)*Assumptions!$B$12,MIN(CB135+$Q135*$V135,Assumptions!$B$14)*Assumptions!$B$13),0)</f>
        <v>0</v>
      </c>
      <c r="CF135" s="249">
        <f>IF(AND(CB135&gt;0,$M135="Non-Saudi"),Assumptions!$B$25,0)</f>
        <v>910.41666666666663</v>
      </c>
      <c r="CG135" s="249">
        <f t="shared" si="73"/>
        <v>100000</v>
      </c>
      <c r="CH135" s="249">
        <f t="shared" si="74"/>
        <v>136000</v>
      </c>
      <c r="CI135" s="249">
        <f>CD135-IF(AND(Z135&gt;0,$N135&lt;&gt;""),IF((DATE(Assumptions!$B$4-1,12,28)-$N135)/365.25&lt;=Assumptions!$B$20,(DATE(Assumptions!$B$4-1,12,28)-$N135)/365.25*Assumptions!$B$18*Z135,(Assumptions!$B$20*Assumptions!$B$18+((DATE(Assumptions!$B$4-1,12,28)-$N135)/365.25-Assumptions!$B$20)*Assumptions!$B$19)*Z135),0)</f>
        <v>5911.3620807665984</v>
      </c>
      <c r="CJ135" s="249">
        <f t="shared" si="75"/>
        <v>0</v>
      </c>
      <c r="CK135" s="249">
        <f t="shared" si="76"/>
        <v>10924.999999999998</v>
      </c>
    </row>
    <row r="136" spans="1:89" x14ac:dyDescent="0.2">
      <c r="A136" s="276">
        <v>137</v>
      </c>
      <c r="B136" s="277" t="s">
        <v>578</v>
      </c>
      <c r="C136" s="277" t="s">
        <v>553</v>
      </c>
      <c r="D136" s="277" t="s">
        <v>250</v>
      </c>
      <c r="E136" s="277" t="s">
        <v>767</v>
      </c>
      <c r="F136" s="277" t="s">
        <v>302</v>
      </c>
      <c r="G136" s="277" t="s">
        <v>303</v>
      </c>
      <c r="H136" s="277" t="s">
        <v>40</v>
      </c>
      <c r="I136" s="287" t="s">
        <v>691</v>
      </c>
      <c r="J136" s="277" t="s">
        <v>71</v>
      </c>
      <c r="K136" s="277" t="s">
        <v>254</v>
      </c>
      <c r="L136" s="277" t="s">
        <v>255</v>
      </c>
      <c r="M136" s="277" t="str">
        <f t="shared" si="52"/>
        <v>Non-Saudi</v>
      </c>
      <c r="N136" s="278">
        <v>43344</v>
      </c>
      <c r="O136" s="279">
        <v>8.3000000000000007</v>
      </c>
      <c r="P136" s="280">
        <v>9750</v>
      </c>
      <c r="Q136" s="280">
        <v>2500</v>
      </c>
      <c r="R136" s="280">
        <v>500</v>
      </c>
      <c r="S136" s="280"/>
      <c r="T136" s="280">
        <v>1300</v>
      </c>
      <c r="U136" s="280">
        <v>14050</v>
      </c>
      <c r="V136" s="281">
        <v>1</v>
      </c>
      <c r="W136" s="277" t="s">
        <v>259</v>
      </c>
      <c r="X136" s="277">
        <v>250</v>
      </c>
      <c r="Y136" s="249">
        <f t="shared" si="53"/>
        <v>9750</v>
      </c>
      <c r="Z136" s="249">
        <f t="shared" si="54"/>
        <v>14050</v>
      </c>
      <c r="AA136" s="249">
        <f>IF(AND(Z136&gt;0,$N136&lt;&gt;""),IF((DATE(Assumptions!$B$4,1,28)-$N136)/365.25&lt;=Assumptions!$B$20,(DATE(Assumptions!$B$4,1,28)-$N136)/365.25*Assumptions!$B$18*Z136,(Assumptions!$B$20*Assumptions!$B$18+((DATE(Assumptions!$B$4,1,28)-$N136)/365.25-Assumptions!$B$20)*Assumptions!$B$19)*Z136),0)</f>
        <v>68966.170431211503</v>
      </c>
      <c r="AB136" s="249">
        <f>IF(Y136&gt;0,IF($M136="Saudi",MIN(Y136+$Q136*$V136,Assumptions!$B$14)*Assumptions!$B$12,MIN(Y136+$Q136*$V136,Assumptions!$B$14)*Assumptions!$B$13),0)</f>
        <v>0</v>
      </c>
      <c r="AC136" s="249">
        <f>IF(AND(Y136&gt;0,$M136="Non-Saudi"),Assumptions!$B$25,0)</f>
        <v>910.41666666666663</v>
      </c>
      <c r="AD136" s="249">
        <f t="shared" si="55"/>
        <v>9750</v>
      </c>
      <c r="AE136" s="249">
        <f t="shared" si="56"/>
        <v>14050</v>
      </c>
      <c r="AF136" s="249">
        <f>IF(AND(AE136&gt;0,$N136&lt;&gt;""),IF((DATE(Assumptions!$B$4,2,28)-$N136)/365.25&lt;=Assumptions!$B$20,(DATE(Assumptions!$B$4,2,28)-$N136)/365.25*Assumptions!$B$18*AE136,(Assumptions!$B$20*Assumptions!$B$18+((DATE(Assumptions!$B$4,2,28)-$N136)/365.25-Assumptions!$B$20)*Assumptions!$B$19)*AE136),0)</f>
        <v>70158.641341546885</v>
      </c>
      <c r="AG136" s="249">
        <f>IF(AD136&gt;0,IF($M136="Saudi",MIN(AD136+$Q136*$V136,Assumptions!$B$14)*Assumptions!$B$12,MIN(AD136+$Q136*$V136,Assumptions!$B$14)*Assumptions!$B$13),0)</f>
        <v>0</v>
      </c>
      <c r="AH136" s="249">
        <f>IF(AND(AD136&gt;0,$M136="Non-Saudi"),Assumptions!$B$25,0)</f>
        <v>910.41666666666663</v>
      </c>
      <c r="AI136" s="249">
        <f t="shared" si="57"/>
        <v>9750</v>
      </c>
      <c r="AJ136" s="249">
        <f t="shared" si="58"/>
        <v>14050</v>
      </c>
      <c r="AK136" s="249">
        <f>IF(AND(AJ136&gt;0,$N136&lt;&gt;""),IF((DATE(Assumptions!$B$4,3,28)-$N136)/365.25&lt;=Assumptions!$B$20,(DATE(Assumptions!$B$4,3,28)-$N136)/365.25*Assumptions!$B$18*AJ136,(Assumptions!$B$20*Assumptions!$B$18+((DATE(Assumptions!$B$4,3,28)-$N136)/365.25-Assumptions!$B$20)*Assumptions!$B$19)*AJ136),0)</f>
        <v>71235.711841204655</v>
      </c>
      <c r="AL136" s="249">
        <f>IF(AI136&gt;0,IF($M136="Saudi",MIN(AI136+$Q136*$V136,Assumptions!$B$14)*Assumptions!$B$12,MIN(AI136+$Q136*$V136,Assumptions!$B$14)*Assumptions!$B$13),0)</f>
        <v>0</v>
      </c>
      <c r="AM136" s="249">
        <f>IF(AND(AI136&gt;0,$M136="Non-Saudi"),Assumptions!$B$25,0)</f>
        <v>910.41666666666663</v>
      </c>
      <c r="AN136" s="249">
        <f t="shared" si="59"/>
        <v>9750</v>
      </c>
      <c r="AO136" s="249">
        <f t="shared" si="60"/>
        <v>14050</v>
      </c>
      <c r="AP136" s="249">
        <f>IF(AND(AO136&gt;0,$N136&lt;&gt;""),IF((DATE(Assumptions!$B$4,4,28)-$N136)/365.25&lt;=Assumptions!$B$20,(DATE(Assumptions!$B$4,4,28)-$N136)/365.25*Assumptions!$B$18*AO136,(Assumptions!$B$20*Assumptions!$B$18+((DATE(Assumptions!$B$4,4,28)-$N136)/365.25-Assumptions!$B$20)*Assumptions!$B$19)*AO136),0)</f>
        <v>72428.182751540036</v>
      </c>
      <c r="AQ136" s="249">
        <f>IF(AN136&gt;0,IF($M136="Saudi",MIN(AN136+$Q136*$V136,Assumptions!$B$14)*Assumptions!$B$12,MIN(AN136+$Q136*$V136,Assumptions!$B$14)*Assumptions!$B$13),0)</f>
        <v>0</v>
      </c>
      <c r="AR136" s="249">
        <f>IF(AND(AN136&gt;0,$M136="Non-Saudi"),Assumptions!$B$25,0)</f>
        <v>910.41666666666663</v>
      </c>
      <c r="AS136" s="249">
        <f t="shared" si="61"/>
        <v>9750</v>
      </c>
      <c r="AT136" s="249">
        <f t="shared" si="62"/>
        <v>14050</v>
      </c>
      <c r="AU136" s="249">
        <f>IF(AND(AT136&gt;0,$N136&lt;&gt;""),IF((DATE(Assumptions!$B$4,5,28)-$N136)/365.25&lt;=Assumptions!$B$20,(DATE(Assumptions!$B$4,5,28)-$N136)/365.25*Assumptions!$B$18*AT136,(Assumptions!$B$20*Assumptions!$B$18+((DATE(Assumptions!$B$4,5,28)-$N136)/365.25-Assumptions!$B$20)*Assumptions!$B$19)*AT136),0)</f>
        <v>73582.186858316214</v>
      </c>
      <c r="AV136" s="249">
        <f>IF(AS136&gt;0,IF($M136="Saudi",MIN(AS136+$Q136*$V136,Assumptions!$B$14)*Assumptions!$B$12,MIN(AS136+$Q136*$V136,Assumptions!$B$14)*Assumptions!$B$13),0)</f>
        <v>0</v>
      </c>
      <c r="AW136" s="249">
        <f>IF(AND(AS136&gt;0,$M136="Non-Saudi"),Assumptions!$B$25,0)</f>
        <v>910.41666666666663</v>
      </c>
      <c r="AX136" s="249">
        <f t="shared" si="63"/>
        <v>9750</v>
      </c>
      <c r="AY136" s="249">
        <f t="shared" si="64"/>
        <v>14050</v>
      </c>
      <c r="AZ136" s="249">
        <f>IF(AND(AY136&gt;0,$N136&lt;&gt;""),IF((DATE(Assumptions!$B$4,6,28)-$N136)/365.25&lt;=Assumptions!$B$20,(DATE(Assumptions!$B$4,6,28)-$N136)/365.25*Assumptions!$B$18*AY136,(Assumptions!$B$20*Assumptions!$B$18+((DATE(Assumptions!$B$4,6,28)-$N136)/365.25-Assumptions!$B$20)*Assumptions!$B$19)*AY136),0)</f>
        <v>74774.65776865161</v>
      </c>
      <c r="BA136" s="249">
        <f>IF(AX136&gt;0,IF($M136="Saudi",MIN(AX136+$Q136*$V136,Assumptions!$B$14)*Assumptions!$B$12,MIN(AX136+$Q136*$V136,Assumptions!$B$14)*Assumptions!$B$13),0)</f>
        <v>0</v>
      </c>
      <c r="BB136" s="249">
        <f>IF(AND(AX136&gt;0,$M136="Non-Saudi"),Assumptions!$B$25,0)</f>
        <v>910.41666666666663</v>
      </c>
      <c r="BC136" s="249">
        <f t="shared" si="65"/>
        <v>9750</v>
      </c>
      <c r="BD136" s="249">
        <f t="shared" si="66"/>
        <v>14050</v>
      </c>
      <c r="BE136" s="249">
        <f>IF(AND(BD136&gt;0,$N136&lt;&gt;""),IF((DATE(Assumptions!$B$4,7,28)-$N136)/365.25&lt;=Assumptions!$B$20,(DATE(Assumptions!$B$4,7,28)-$N136)/365.25*Assumptions!$B$18*BD136,(Assumptions!$B$20*Assumptions!$B$18+((DATE(Assumptions!$B$4,7,28)-$N136)/365.25-Assumptions!$B$20)*Assumptions!$B$19)*BD136),0)</f>
        <v>75928.661875427788</v>
      </c>
      <c r="BF136" s="249">
        <f>IF(BC136&gt;0,IF($M136="Saudi",MIN(BC136+$Q136*$V136,Assumptions!$B$14)*Assumptions!$B$12,MIN(BC136+$Q136*$V136,Assumptions!$B$14)*Assumptions!$B$13),0)</f>
        <v>0</v>
      </c>
      <c r="BG136" s="249">
        <f>IF(AND(BC136&gt;0,$M136="Non-Saudi"),Assumptions!$B$25,0)</f>
        <v>910.41666666666663</v>
      </c>
      <c r="BH136" s="249">
        <f t="shared" si="67"/>
        <v>9750</v>
      </c>
      <c r="BI136" s="249">
        <f t="shared" si="68"/>
        <v>14050</v>
      </c>
      <c r="BJ136" s="249">
        <f>IF(AND(BI136&gt;0,$N136&lt;&gt;""),IF((DATE(Assumptions!$B$4,8,28)-$N136)/365.25&lt;=Assumptions!$B$20,(DATE(Assumptions!$B$4,8,28)-$N136)/365.25*Assumptions!$B$18*BI136,(Assumptions!$B$20*Assumptions!$B$18+((DATE(Assumptions!$B$4,8,28)-$N136)/365.25-Assumptions!$B$20)*Assumptions!$B$19)*BI136),0)</f>
        <v>77121.132785763184</v>
      </c>
      <c r="BK136" s="249">
        <f>IF(BH136&gt;0,IF($M136="Saudi",MIN(BH136+$Q136*$V136,Assumptions!$B$14)*Assumptions!$B$12,MIN(BH136+$Q136*$V136,Assumptions!$B$14)*Assumptions!$B$13),0)</f>
        <v>0</v>
      </c>
      <c r="BL136" s="249">
        <f>IF(AND(BH136&gt;0,$M136="Non-Saudi"),Assumptions!$B$25,0)</f>
        <v>910.41666666666663</v>
      </c>
      <c r="BM136" s="249">
        <f>IF(AND($D136="Contrat Local",$N136&lt;&gt;""),IF(AND(9&gt;=Assumptions!$B$5,ISNUMBER($X136),$N136&lt;EDATE(Assumptions!$B$9,-Assumptions!$B$6*12)),($P136+$X136)*$V136,$P136*$V136),0)</f>
        <v>10000</v>
      </c>
      <c r="BN136" s="249">
        <f t="shared" si="69"/>
        <v>14300</v>
      </c>
      <c r="BO136" s="249">
        <f>IF(AND(BN136&gt;0,$N136&lt;&gt;""),IF((DATE(Assumptions!$B$4,9,28)-$N136)/365.25&lt;=Assumptions!$B$20,(DATE(Assumptions!$B$4,9,28)-$N136)/365.25*Assumptions!$B$18*BN136,(Assumptions!$B$20*Assumptions!$B$18+((DATE(Assumptions!$B$4,9,28)-$N136)/365.25-Assumptions!$B$20)*Assumptions!$B$19)*BN136),0)</f>
        <v>79707.0841889117</v>
      </c>
      <c r="BP136" s="249">
        <f>IF(BM136&gt;0,IF($M136="Saudi",MIN(BM136+$Q136*$V136,Assumptions!$B$14)*Assumptions!$B$12,MIN(BM136+$Q136*$V136,Assumptions!$B$14)*Assumptions!$B$13),0)</f>
        <v>0</v>
      </c>
      <c r="BQ136" s="249">
        <f>IF(AND(BM136&gt;0,$M136="Non-Saudi"),Assumptions!$B$25,0)</f>
        <v>910.41666666666663</v>
      </c>
      <c r="BR136" s="249">
        <f>IF(AND($D136="Contrat Local",$N136&lt;&gt;""),IF(AND(10&gt;=Assumptions!$B$5,ISNUMBER($X136),$N136&lt;EDATE(Assumptions!$B$9,-Assumptions!$B$6*12)),($P136+$X136)*$V136,$P136*$V136),0)</f>
        <v>10000</v>
      </c>
      <c r="BS136" s="249">
        <f t="shared" si="70"/>
        <v>14300</v>
      </c>
      <c r="BT136" s="249">
        <f>IF(AND(BS136&gt;0,$N136&lt;&gt;""),IF((DATE(Assumptions!$B$4,10,28)-$N136)/365.25&lt;=Assumptions!$B$20,(DATE(Assumptions!$B$4,10,28)-$N136)/365.25*Assumptions!$B$18*BS136,(Assumptions!$B$20*Assumptions!$B$18+((DATE(Assumptions!$B$4,10,28)-$N136)/365.25-Assumptions!$B$20)*Assumptions!$B$19)*BS136),0)</f>
        <v>80881.62217659138</v>
      </c>
      <c r="BU136" s="249">
        <f>IF(BR136&gt;0,IF($M136="Saudi",MIN(BR136+$Q136*$V136,Assumptions!$B$14)*Assumptions!$B$12,MIN(BR136+$Q136*$V136,Assumptions!$B$14)*Assumptions!$B$13),0)</f>
        <v>0</v>
      </c>
      <c r="BV136" s="249">
        <f>IF(AND(BR136&gt;0,$M136="Non-Saudi"),Assumptions!$B$25,0)</f>
        <v>910.41666666666663</v>
      </c>
      <c r="BW136" s="249">
        <f>IF(AND($D136="Contrat Local",$N136&lt;&gt;""),IF(AND(11&gt;=Assumptions!$B$5,ISNUMBER($X136),$N136&lt;EDATE(Assumptions!$B$9,-Assumptions!$B$6*12)),($P136+$X136)*$V136,$P136*$V136),0)</f>
        <v>10000</v>
      </c>
      <c r="BX136" s="249">
        <f t="shared" si="71"/>
        <v>14300</v>
      </c>
      <c r="BY136" s="249">
        <f>IF(AND(BX136&gt;0,$N136&lt;&gt;""),IF((DATE(Assumptions!$B$4,11,28)-$N136)/365.25&lt;=Assumptions!$B$20,(DATE(Assumptions!$B$4,11,28)-$N136)/365.25*Assumptions!$B$18*BX136,(Assumptions!$B$20*Assumptions!$B$18+((DATE(Assumptions!$B$4,11,28)-$N136)/365.25-Assumptions!$B$20)*Assumptions!$B$19)*BX136),0)</f>
        <v>82095.311430527043</v>
      </c>
      <c r="BZ136" s="249">
        <f>IF(BW136&gt;0,IF($M136="Saudi",MIN(BW136+$Q136*$V136,Assumptions!$B$14)*Assumptions!$B$12,MIN(BW136+$Q136*$V136,Assumptions!$B$14)*Assumptions!$B$13),0)</f>
        <v>0</v>
      </c>
      <c r="CA136" s="249">
        <f>IF(AND(BW136&gt;0,$M136="Non-Saudi"),Assumptions!$B$25,0)</f>
        <v>910.41666666666663</v>
      </c>
      <c r="CB136" s="249">
        <f>IF(AND($D136="Contrat Local",$N136&lt;&gt;""),IF(AND(12&gt;=Assumptions!$B$5,ISNUMBER($X136),$N136&lt;EDATE(Assumptions!$B$9,-Assumptions!$B$6*12)),($P136+$X136)*$V136,$P136*$V136),0)</f>
        <v>10000</v>
      </c>
      <c r="CC136" s="249">
        <f t="shared" si="72"/>
        <v>14300</v>
      </c>
      <c r="CD136" s="249">
        <f>IF(AND(CC136&gt;0,$N136&lt;&gt;""),IF((DATE(Assumptions!$B$4,12,28)-$N136)/365.25&lt;=Assumptions!$B$20,(DATE(Assumptions!$B$4,12,28)-$N136)/365.25*Assumptions!$B$18*CC136,(Assumptions!$B$20*Assumptions!$B$18+((DATE(Assumptions!$B$4,12,28)-$N136)/365.25-Assumptions!$B$20)*Assumptions!$B$19)*CC136),0)</f>
        <v>83269.849418206708</v>
      </c>
      <c r="CE136" s="249">
        <f>IF(CB136&gt;0,IF($M136="Saudi",MIN(CB136+$Q136*$V136,Assumptions!$B$14)*Assumptions!$B$12,MIN(CB136+$Q136*$V136,Assumptions!$B$14)*Assumptions!$B$13),0)</f>
        <v>0</v>
      </c>
      <c r="CF136" s="249">
        <f>IF(AND(CB136&gt;0,$M136="Non-Saudi"),Assumptions!$B$25,0)</f>
        <v>910.41666666666663</v>
      </c>
      <c r="CG136" s="249">
        <f t="shared" si="73"/>
        <v>118000</v>
      </c>
      <c r="CH136" s="249">
        <f t="shared" si="74"/>
        <v>169600</v>
      </c>
      <c r="CI136" s="249">
        <f>CD136-IF(AND(Z136&gt;0,$N136&lt;&gt;""),IF((DATE(Assumptions!$B$4-1,12,28)-$N136)/365.25&lt;=Assumptions!$B$20,(DATE(Assumptions!$B$4-1,12,28)-$N136)/365.25*Assumptions!$B$18*Z136,(Assumptions!$B$20*Assumptions!$B$18+((DATE(Assumptions!$B$4-1,12,28)-$N136)/365.25-Assumptions!$B$20)*Assumptions!$B$19)*Z136),0)</f>
        <v>15496.149897330586</v>
      </c>
      <c r="CJ136" s="249">
        <f t="shared" si="75"/>
        <v>0</v>
      </c>
      <c r="CK136" s="249">
        <f t="shared" si="76"/>
        <v>10924.999999999998</v>
      </c>
    </row>
    <row r="137" spans="1:89" x14ac:dyDescent="0.2">
      <c r="A137" s="276">
        <v>138</v>
      </c>
      <c r="B137" s="277" t="s">
        <v>579</v>
      </c>
      <c r="C137" s="277" t="s">
        <v>580</v>
      </c>
      <c r="D137" s="277" t="s">
        <v>250</v>
      </c>
      <c r="E137" s="277" t="s">
        <v>767</v>
      </c>
      <c r="F137" s="277" t="s">
        <v>302</v>
      </c>
      <c r="G137" s="277" t="s">
        <v>303</v>
      </c>
      <c r="H137" s="277" t="s">
        <v>461</v>
      </c>
      <c r="I137" s="287" t="s">
        <v>691</v>
      </c>
      <c r="J137" s="277" t="s">
        <v>75</v>
      </c>
      <c r="K137" s="277" t="s">
        <v>254</v>
      </c>
      <c r="L137" s="277" t="s">
        <v>255</v>
      </c>
      <c r="M137" s="277" t="str">
        <f t="shared" si="52"/>
        <v>Non-Saudi</v>
      </c>
      <c r="N137" s="278">
        <v>42979</v>
      </c>
      <c r="O137" s="279">
        <v>9.3000000000000007</v>
      </c>
      <c r="P137" s="280">
        <v>10500</v>
      </c>
      <c r="Q137" s="280">
        <v>2500</v>
      </c>
      <c r="R137" s="280">
        <v>500</v>
      </c>
      <c r="S137" s="280"/>
      <c r="T137" s="280">
        <v>1900</v>
      </c>
      <c r="U137" s="280">
        <v>15400</v>
      </c>
      <c r="V137" s="281">
        <v>1</v>
      </c>
      <c r="W137" s="277" t="s">
        <v>256</v>
      </c>
      <c r="X137" s="277">
        <v>250</v>
      </c>
      <c r="Y137" s="249">
        <f t="shared" si="53"/>
        <v>10500</v>
      </c>
      <c r="Z137" s="249">
        <f t="shared" si="54"/>
        <v>15400</v>
      </c>
      <c r="AA137" s="249">
        <f>IF(AND(Z137&gt;0,$N137&lt;&gt;""),IF((DATE(Assumptions!$B$4,1,28)-$N137)/365.25&lt;=Assumptions!$B$20,(DATE(Assumptions!$B$4,1,28)-$N137)/365.25*Assumptions!$B$18*Z137,(Assumptions!$B$20*Assumptions!$B$18+((DATE(Assumptions!$B$4,1,28)-$N137)/365.25-Assumptions!$B$20)*Assumptions!$B$19)*Z137),0)</f>
        <v>90982.272416153311</v>
      </c>
      <c r="AB137" s="249">
        <f>IF(Y137&gt;0,IF($M137="Saudi",MIN(Y137+$Q137*$V137,Assumptions!$B$14)*Assumptions!$B$12,MIN(Y137+$Q137*$V137,Assumptions!$B$14)*Assumptions!$B$13),0)</f>
        <v>0</v>
      </c>
      <c r="AC137" s="249">
        <f>IF(AND(Y137&gt;0,$M137="Non-Saudi"),Assumptions!$B$25,0)</f>
        <v>910.41666666666663</v>
      </c>
      <c r="AD137" s="249">
        <f t="shared" si="55"/>
        <v>10500</v>
      </c>
      <c r="AE137" s="249">
        <f t="shared" si="56"/>
        <v>15400</v>
      </c>
      <c r="AF137" s="249">
        <f>IF(AND(AE137&gt;0,$N137&lt;&gt;""),IF((DATE(Assumptions!$B$4,2,28)-$N137)/365.25&lt;=Assumptions!$B$20,(DATE(Assumptions!$B$4,2,28)-$N137)/365.25*Assumptions!$B$18*AE137,(Assumptions!$B$20*Assumptions!$B$18+((DATE(Assumptions!$B$4,2,28)-$N137)/365.25-Assumptions!$B$20)*Assumptions!$B$19)*AE137),0)</f>
        <v>92289.322381930178</v>
      </c>
      <c r="AG137" s="249">
        <f>IF(AD137&gt;0,IF($M137="Saudi",MIN(AD137+$Q137*$V137,Assumptions!$B$14)*Assumptions!$B$12,MIN(AD137+$Q137*$V137,Assumptions!$B$14)*Assumptions!$B$13),0)</f>
        <v>0</v>
      </c>
      <c r="AH137" s="249">
        <f>IF(AND(AD137&gt;0,$M137="Non-Saudi"),Assumptions!$B$25,0)</f>
        <v>910.41666666666663</v>
      </c>
      <c r="AI137" s="249">
        <f t="shared" si="57"/>
        <v>10500</v>
      </c>
      <c r="AJ137" s="249">
        <f t="shared" si="58"/>
        <v>15400</v>
      </c>
      <c r="AK137" s="249">
        <f>IF(AND(AJ137&gt;0,$N137&lt;&gt;""),IF((DATE(Assumptions!$B$4,3,28)-$N137)/365.25&lt;=Assumptions!$B$20,(DATE(Assumptions!$B$4,3,28)-$N137)/365.25*Assumptions!$B$18*AJ137,(Assumptions!$B$20*Assumptions!$B$18+((DATE(Assumptions!$B$4,3,28)-$N137)/365.25-Assumptions!$B$20)*Assumptions!$B$19)*AJ137),0)</f>
        <v>93469.883641341556</v>
      </c>
      <c r="AL137" s="249">
        <f>IF(AI137&gt;0,IF($M137="Saudi",MIN(AI137+$Q137*$V137,Assumptions!$B$14)*Assumptions!$B$12,MIN(AI137+$Q137*$V137,Assumptions!$B$14)*Assumptions!$B$13),0)</f>
        <v>0</v>
      </c>
      <c r="AM137" s="249">
        <f>IF(AND(AI137&gt;0,$M137="Non-Saudi"),Assumptions!$B$25,0)</f>
        <v>910.41666666666663</v>
      </c>
      <c r="AN137" s="249">
        <f t="shared" si="59"/>
        <v>10500</v>
      </c>
      <c r="AO137" s="249">
        <f t="shared" si="60"/>
        <v>15400</v>
      </c>
      <c r="AP137" s="249">
        <f>IF(AND(AO137&gt;0,$N137&lt;&gt;""),IF((DATE(Assumptions!$B$4,4,28)-$N137)/365.25&lt;=Assumptions!$B$20,(DATE(Assumptions!$B$4,4,28)-$N137)/365.25*Assumptions!$B$18*AO137,(Assumptions!$B$20*Assumptions!$B$18+((DATE(Assumptions!$B$4,4,28)-$N137)/365.25-Assumptions!$B$20)*Assumptions!$B$19)*AO137),0)</f>
        <v>94776.933607118408</v>
      </c>
      <c r="AQ137" s="249">
        <f>IF(AN137&gt;0,IF($M137="Saudi",MIN(AN137+$Q137*$V137,Assumptions!$B$14)*Assumptions!$B$12,MIN(AN137+$Q137*$V137,Assumptions!$B$14)*Assumptions!$B$13),0)</f>
        <v>0</v>
      </c>
      <c r="AR137" s="249">
        <f>IF(AND(AN137&gt;0,$M137="Non-Saudi"),Assumptions!$B$25,0)</f>
        <v>910.41666666666663</v>
      </c>
      <c r="AS137" s="249">
        <f t="shared" si="61"/>
        <v>10500</v>
      </c>
      <c r="AT137" s="249">
        <f t="shared" si="62"/>
        <v>15400</v>
      </c>
      <c r="AU137" s="249">
        <f>IF(AND(AT137&gt;0,$N137&lt;&gt;""),IF((DATE(Assumptions!$B$4,5,28)-$N137)/365.25&lt;=Assumptions!$B$20,(DATE(Assumptions!$B$4,5,28)-$N137)/365.25*Assumptions!$B$18*AT137,(Assumptions!$B$20*Assumptions!$B$18+((DATE(Assumptions!$B$4,5,28)-$N137)/365.25-Assumptions!$B$20)*Assumptions!$B$19)*AT137),0)</f>
        <v>96041.82067077345</v>
      </c>
      <c r="AV137" s="249">
        <f>IF(AS137&gt;0,IF($M137="Saudi",MIN(AS137+$Q137*$V137,Assumptions!$B$14)*Assumptions!$B$12,MIN(AS137+$Q137*$V137,Assumptions!$B$14)*Assumptions!$B$13),0)</f>
        <v>0</v>
      </c>
      <c r="AW137" s="249">
        <f>IF(AND(AS137&gt;0,$M137="Non-Saudi"),Assumptions!$B$25,0)</f>
        <v>910.41666666666663</v>
      </c>
      <c r="AX137" s="249">
        <f t="shared" si="63"/>
        <v>10500</v>
      </c>
      <c r="AY137" s="249">
        <f t="shared" si="64"/>
        <v>15400</v>
      </c>
      <c r="AZ137" s="249">
        <f>IF(AND(AY137&gt;0,$N137&lt;&gt;""),IF((DATE(Assumptions!$B$4,6,28)-$N137)/365.25&lt;=Assumptions!$B$20,(DATE(Assumptions!$B$4,6,28)-$N137)/365.25*Assumptions!$B$18*AY137,(Assumptions!$B$20*Assumptions!$B$18+((DATE(Assumptions!$B$4,6,28)-$N137)/365.25-Assumptions!$B$20)*Assumptions!$B$19)*AY137),0)</f>
        <v>97348.870636550317</v>
      </c>
      <c r="BA137" s="249">
        <f>IF(AX137&gt;0,IF($M137="Saudi",MIN(AX137+$Q137*$V137,Assumptions!$B$14)*Assumptions!$B$12,MIN(AX137+$Q137*$V137,Assumptions!$B$14)*Assumptions!$B$13),0)</f>
        <v>0</v>
      </c>
      <c r="BB137" s="249">
        <f>IF(AND(AX137&gt;0,$M137="Non-Saudi"),Assumptions!$B$25,0)</f>
        <v>910.41666666666663</v>
      </c>
      <c r="BC137" s="249">
        <f t="shared" si="65"/>
        <v>10500</v>
      </c>
      <c r="BD137" s="249">
        <f t="shared" si="66"/>
        <v>15400</v>
      </c>
      <c r="BE137" s="249">
        <f>IF(AND(BD137&gt;0,$N137&lt;&gt;""),IF((DATE(Assumptions!$B$4,7,28)-$N137)/365.25&lt;=Assumptions!$B$20,(DATE(Assumptions!$B$4,7,28)-$N137)/365.25*Assumptions!$B$18*BD137,(Assumptions!$B$20*Assumptions!$B$18+((DATE(Assumptions!$B$4,7,28)-$N137)/365.25-Assumptions!$B$20)*Assumptions!$B$19)*BD137),0)</f>
        <v>98613.757700205329</v>
      </c>
      <c r="BF137" s="249">
        <f>IF(BC137&gt;0,IF($M137="Saudi",MIN(BC137+$Q137*$V137,Assumptions!$B$14)*Assumptions!$B$12,MIN(BC137+$Q137*$V137,Assumptions!$B$14)*Assumptions!$B$13),0)</f>
        <v>0</v>
      </c>
      <c r="BG137" s="249">
        <f>IF(AND(BC137&gt;0,$M137="Non-Saudi"),Assumptions!$B$25,0)</f>
        <v>910.41666666666663</v>
      </c>
      <c r="BH137" s="249">
        <f t="shared" si="67"/>
        <v>10500</v>
      </c>
      <c r="BI137" s="249">
        <f t="shared" si="68"/>
        <v>15400</v>
      </c>
      <c r="BJ137" s="249">
        <f>IF(AND(BI137&gt;0,$N137&lt;&gt;""),IF((DATE(Assumptions!$B$4,8,28)-$N137)/365.25&lt;=Assumptions!$B$20,(DATE(Assumptions!$B$4,8,28)-$N137)/365.25*Assumptions!$B$18*BI137,(Assumptions!$B$20*Assumptions!$B$18+((DATE(Assumptions!$B$4,8,28)-$N137)/365.25-Assumptions!$B$20)*Assumptions!$B$19)*BI137),0)</f>
        <v>99920.807665982196</v>
      </c>
      <c r="BK137" s="249">
        <f>IF(BH137&gt;0,IF($M137="Saudi",MIN(BH137+$Q137*$V137,Assumptions!$B$14)*Assumptions!$B$12,MIN(BH137+$Q137*$V137,Assumptions!$B$14)*Assumptions!$B$13),0)</f>
        <v>0</v>
      </c>
      <c r="BL137" s="249">
        <f>IF(AND(BH137&gt;0,$M137="Non-Saudi"),Assumptions!$B$25,0)</f>
        <v>910.41666666666663</v>
      </c>
      <c r="BM137" s="249">
        <f>IF(AND($D137="Contrat Local",$N137&lt;&gt;""),IF(AND(9&gt;=Assumptions!$B$5,ISNUMBER($X137),$N137&lt;EDATE(Assumptions!$B$9,-Assumptions!$B$6*12)),($P137+$X137)*$V137,$P137*$V137),0)</f>
        <v>10750</v>
      </c>
      <c r="BN137" s="249">
        <f t="shared" si="69"/>
        <v>15650</v>
      </c>
      <c r="BO137" s="249">
        <f>IF(AND(BN137&gt;0,$N137&lt;&gt;""),IF((DATE(Assumptions!$B$4,9,28)-$N137)/365.25&lt;=Assumptions!$B$20,(DATE(Assumptions!$B$4,9,28)-$N137)/365.25*Assumptions!$B$18*BN137,(Assumptions!$B$20*Assumptions!$B$18+((DATE(Assumptions!$B$4,9,28)-$N137)/365.25-Assumptions!$B$20)*Assumptions!$B$19)*BN137),0)</f>
        <v>102871.167008898</v>
      </c>
      <c r="BP137" s="249">
        <f>IF(BM137&gt;0,IF($M137="Saudi",MIN(BM137+$Q137*$V137,Assumptions!$B$14)*Assumptions!$B$12,MIN(BM137+$Q137*$V137,Assumptions!$B$14)*Assumptions!$B$13),0)</f>
        <v>0</v>
      </c>
      <c r="BQ137" s="249">
        <f>IF(AND(BM137&gt;0,$M137="Non-Saudi"),Assumptions!$B$25,0)</f>
        <v>910.41666666666663</v>
      </c>
      <c r="BR137" s="249">
        <f>IF(AND($D137="Contrat Local",$N137&lt;&gt;""),IF(AND(10&gt;=Assumptions!$B$5,ISNUMBER($X137),$N137&lt;EDATE(Assumptions!$B$9,-Assumptions!$B$6*12)),($P137+$X137)*$V137,$P137*$V137),0)</f>
        <v>10750</v>
      </c>
      <c r="BS137" s="249">
        <f t="shared" si="70"/>
        <v>15650</v>
      </c>
      <c r="BT137" s="249">
        <f>IF(AND(BS137&gt;0,$N137&lt;&gt;""),IF((DATE(Assumptions!$B$4,10,28)-$N137)/365.25&lt;=Assumptions!$B$20,(DATE(Assumptions!$B$4,10,28)-$N137)/365.25*Assumptions!$B$18*BS137,(Assumptions!$B$20*Assumptions!$B$18+((DATE(Assumptions!$B$4,10,28)-$N137)/365.25-Assumptions!$B$20)*Assumptions!$B$19)*BS137),0)</f>
        <v>104156.58795345653</v>
      </c>
      <c r="BU137" s="249">
        <f>IF(BR137&gt;0,IF($M137="Saudi",MIN(BR137+$Q137*$V137,Assumptions!$B$14)*Assumptions!$B$12,MIN(BR137+$Q137*$V137,Assumptions!$B$14)*Assumptions!$B$13),0)</f>
        <v>0</v>
      </c>
      <c r="BV137" s="249">
        <f>IF(AND(BR137&gt;0,$M137="Non-Saudi"),Assumptions!$B$25,0)</f>
        <v>910.41666666666663</v>
      </c>
      <c r="BW137" s="249">
        <f>IF(AND($D137="Contrat Local",$N137&lt;&gt;""),IF(AND(11&gt;=Assumptions!$B$5,ISNUMBER($X137),$N137&lt;EDATE(Assumptions!$B$9,-Assumptions!$B$6*12)),($P137+$X137)*$V137,$P137*$V137),0)</f>
        <v>10750</v>
      </c>
      <c r="BX137" s="249">
        <f t="shared" si="71"/>
        <v>15650</v>
      </c>
      <c r="BY137" s="249">
        <f>IF(AND(BX137&gt;0,$N137&lt;&gt;""),IF((DATE(Assumptions!$B$4,11,28)-$N137)/365.25&lt;=Assumptions!$B$20,(DATE(Assumptions!$B$4,11,28)-$N137)/365.25*Assumptions!$B$18*BX137,(Assumptions!$B$20*Assumptions!$B$18+((DATE(Assumptions!$B$4,11,28)-$N137)/365.25-Assumptions!$B$20)*Assumptions!$B$19)*BX137),0)</f>
        <v>105484.85626283368</v>
      </c>
      <c r="BZ137" s="249">
        <f>IF(BW137&gt;0,IF($M137="Saudi",MIN(BW137+$Q137*$V137,Assumptions!$B$14)*Assumptions!$B$12,MIN(BW137+$Q137*$V137,Assumptions!$B$14)*Assumptions!$B$13),0)</f>
        <v>0</v>
      </c>
      <c r="CA137" s="249">
        <f>IF(AND(BW137&gt;0,$M137="Non-Saudi"),Assumptions!$B$25,0)</f>
        <v>910.41666666666663</v>
      </c>
      <c r="CB137" s="249">
        <f>IF(AND($D137="Contrat Local",$N137&lt;&gt;""),IF(AND(12&gt;=Assumptions!$B$5,ISNUMBER($X137),$N137&lt;EDATE(Assumptions!$B$9,-Assumptions!$B$6*12)),($P137+$X137)*$V137,$P137*$V137),0)</f>
        <v>10750</v>
      </c>
      <c r="CC137" s="249">
        <f t="shared" si="72"/>
        <v>15650</v>
      </c>
      <c r="CD137" s="249">
        <f>IF(AND(CC137&gt;0,$N137&lt;&gt;""),IF((DATE(Assumptions!$B$4,12,28)-$N137)/365.25&lt;=Assumptions!$B$20,(DATE(Assumptions!$B$4,12,28)-$N137)/365.25*Assumptions!$B$18*CC137,(Assumptions!$B$20*Assumptions!$B$18+((DATE(Assumptions!$B$4,12,28)-$N137)/365.25-Assumptions!$B$20)*Assumptions!$B$19)*CC137),0)</f>
        <v>106770.27720739221</v>
      </c>
      <c r="CE137" s="249">
        <f>IF(CB137&gt;0,IF($M137="Saudi",MIN(CB137+$Q137*$V137,Assumptions!$B$14)*Assumptions!$B$12,MIN(CB137+$Q137*$V137,Assumptions!$B$14)*Assumptions!$B$13),0)</f>
        <v>0</v>
      </c>
      <c r="CF137" s="249">
        <f>IF(AND(CB137&gt;0,$M137="Non-Saudi"),Assumptions!$B$25,0)</f>
        <v>910.41666666666663</v>
      </c>
      <c r="CG137" s="249">
        <f t="shared" si="73"/>
        <v>127000</v>
      </c>
      <c r="CH137" s="249">
        <f t="shared" si="74"/>
        <v>185800</v>
      </c>
      <c r="CI137" s="249">
        <f>CD137-IF(AND(Z137&gt;0,$N137&lt;&gt;""),IF((DATE(Assumptions!$B$4-1,12,28)-$N137)/365.25&lt;=Assumptions!$B$20,(DATE(Assumptions!$B$4-1,12,28)-$N137)/365.25*Assumptions!$B$18*Z137,(Assumptions!$B$20*Assumptions!$B$18+((DATE(Assumptions!$B$4-1,12,28)-$N137)/365.25-Assumptions!$B$20)*Assumptions!$B$19)*Z137),0)</f>
        <v>17095.054757015765</v>
      </c>
      <c r="CJ137" s="249">
        <f t="shared" si="75"/>
        <v>0</v>
      </c>
      <c r="CK137" s="249">
        <f t="shared" si="76"/>
        <v>10924.999999999998</v>
      </c>
    </row>
    <row r="138" spans="1:89" x14ac:dyDescent="0.2">
      <c r="A138" s="264">
        <v>140</v>
      </c>
      <c r="B138" s="265" t="s">
        <v>581</v>
      </c>
      <c r="C138" s="265" t="s">
        <v>582</v>
      </c>
      <c r="D138" s="265" t="s">
        <v>250</v>
      </c>
      <c r="E138" s="265" t="s">
        <v>767</v>
      </c>
      <c r="F138" s="265" t="s">
        <v>281</v>
      </c>
      <c r="G138" s="265" t="s">
        <v>8</v>
      </c>
      <c r="H138" s="265" t="s">
        <v>43</v>
      </c>
      <c r="I138" s="284" t="s">
        <v>691</v>
      </c>
      <c r="J138" s="286" t="s">
        <v>694</v>
      </c>
      <c r="K138" s="265" t="s">
        <v>282</v>
      </c>
      <c r="L138" s="265" t="s">
        <v>255</v>
      </c>
      <c r="M138" s="265" t="str">
        <f t="shared" si="52"/>
        <v>Non-Saudi</v>
      </c>
      <c r="N138" s="266">
        <v>42248</v>
      </c>
      <c r="O138" s="267">
        <v>11.3</v>
      </c>
      <c r="P138" s="268">
        <v>9750</v>
      </c>
      <c r="Q138" s="268">
        <v>2500</v>
      </c>
      <c r="R138" s="268">
        <v>500</v>
      </c>
      <c r="S138" s="268"/>
      <c r="T138" s="268">
        <v>796</v>
      </c>
      <c r="U138" s="268">
        <v>13546</v>
      </c>
      <c r="V138" s="269">
        <v>1</v>
      </c>
      <c r="W138" s="265" t="s">
        <v>259</v>
      </c>
      <c r="X138" s="265">
        <v>250</v>
      </c>
      <c r="Y138" s="249">
        <f t="shared" si="53"/>
        <v>9750</v>
      </c>
      <c r="Z138" s="249">
        <f t="shared" si="54"/>
        <v>13546</v>
      </c>
      <c r="AA138" s="249">
        <f>IF(AND(Z138&gt;0,$N138&lt;&gt;""),IF((DATE(Assumptions!$B$4,1,28)-$N138)/365.25&lt;=Assumptions!$B$20,(DATE(Assumptions!$B$4,1,28)-$N138)/365.25*Assumptions!$B$18*Z138,(Assumptions!$B$20*Assumptions!$B$18+((DATE(Assumptions!$B$4,1,28)-$N138)/365.25-Assumptions!$B$20)*Assumptions!$B$19)*Z138),0)</f>
        <v>107139.49555099248</v>
      </c>
      <c r="AB138" s="249">
        <f>IF(Y138&gt;0,IF($M138="Saudi",MIN(Y138+$Q138*$V138,Assumptions!$B$14)*Assumptions!$B$12,MIN(Y138+$Q138*$V138,Assumptions!$B$14)*Assumptions!$B$13),0)</f>
        <v>0</v>
      </c>
      <c r="AC138" s="249">
        <f>IF(AND(Y138&gt;0,$M138="Non-Saudi"),Assumptions!$B$25,0)</f>
        <v>910.41666666666663</v>
      </c>
      <c r="AD138" s="249">
        <f t="shared" si="55"/>
        <v>9750</v>
      </c>
      <c r="AE138" s="249">
        <f t="shared" si="56"/>
        <v>13546</v>
      </c>
      <c r="AF138" s="249">
        <f>IF(AND(AE138&gt;0,$N138&lt;&gt;""),IF((DATE(Assumptions!$B$4,2,28)-$N138)/365.25&lt;=Assumptions!$B$20,(DATE(Assumptions!$B$4,2,28)-$N138)/365.25*Assumptions!$B$18*AE138,(Assumptions!$B$20*Assumptions!$B$18+((DATE(Assumptions!$B$4,2,28)-$N138)/365.25-Assumptions!$B$20)*Assumptions!$B$19)*AE138),0)</f>
        <v>108289.19028062971</v>
      </c>
      <c r="AG138" s="249">
        <f>IF(AD138&gt;0,IF($M138="Saudi",MIN(AD138+$Q138*$V138,Assumptions!$B$14)*Assumptions!$B$12,MIN(AD138+$Q138*$V138,Assumptions!$B$14)*Assumptions!$B$13),0)</f>
        <v>0</v>
      </c>
      <c r="AH138" s="249">
        <f>IF(AND(AD138&gt;0,$M138="Non-Saudi"),Assumptions!$B$25,0)</f>
        <v>910.41666666666663</v>
      </c>
      <c r="AI138" s="249">
        <f t="shared" si="57"/>
        <v>9750</v>
      </c>
      <c r="AJ138" s="249">
        <f t="shared" si="58"/>
        <v>13546</v>
      </c>
      <c r="AK138" s="249">
        <f>IF(AND(AJ138&gt;0,$N138&lt;&gt;""),IF((DATE(Assumptions!$B$4,3,28)-$N138)/365.25&lt;=Assumptions!$B$20,(DATE(Assumptions!$B$4,3,28)-$N138)/365.25*Assumptions!$B$18*AJ138,(Assumptions!$B$20*Assumptions!$B$18+((DATE(Assumptions!$B$4,3,28)-$N138)/365.25-Assumptions!$B$20)*Assumptions!$B$19)*AJ138),0)</f>
        <v>109327.62422997947</v>
      </c>
      <c r="AL138" s="249">
        <f>IF(AI138&gt;0,IF($M138="Saudi",MIN(AI138+$Q138*$V138,Assumptions!$B$14)*Assumptions!$B$12,MIN(AI138+$Q138*$V138,Assumptions!$B$14)*Assumptions!$B$13),0)</f>
        <v>0</v>
      </c>
      <c r="AM138" s="249">
        <f>IF(AND(AI138&gt;0,$M138="Non-Saudi"),Assumptions!$B$25,0)</f>
        <v>910.41666666666663</v>
      </c>
      <c r="AN138" s="249">
        <f t="shared" si="59"/>
        <v>9750</v>
      </c>
      <c r="AO138" s="249">
        <f t="shared" si="60"/>
        <v>13546</v>
      </c>
      <c r="AP138" s="249">
        <f>IF(AND(AO138&gt;0,$N138&lt;&gt;""),IF((DATE(Assumptions!$B$4,4,28)-$N138)/365.25&lt;=Assumptions!$B$20,(DATE(Assumptions!$B$4,4,28)-$N138)/365.25*Assumptions!$B$18*AO138,(Assumptions!$B$20*Assumptions!$B$18+((DATE(Assumptions!$B$4,4,28)-$N138)/365.25-Assumptions!$B$20)*Assumptions!$B$19)*AO138),0)</f>
        <v>110477.31895961669</v>
      </c>
      <c r="AQ138" s="249">
        <f>IF(AN138&gt;0,IF($M138="Saudi",MIN(AN138+$Q138*$V138,Assumptions!$B$14)*Assumptions!$B$12,MIN(AN138+$Q138*$V138,Assumptions!$B$14)*Assumptions!$B$13),0)</f>
        <v>0</v>
      </c>
      <c r="AR138" s="249">
        <f>IF(AND(AN138&gt;0,$M138="Non-Saudi"),Assumptions!$B$25,0)</f>
        <v>910.41666666666663</v>
      </c>
      <c r="AS138" s="249">
        <f t="shared" si="61"/>
        <v>9750</v>
      </c>
      <c r="AT138" s="249">
        <f t="shared" si="62"/>
        <v>13546</v>
      </c>
      <c r="AU138" s="249">
        <f>IF(AND(AT138&gt;0,$N138&lt;&gt;""),IF((DATE(Assumptions!$B$4,5,28)-$N138)/365.25&lt;=Assumptions!$B$20,(DATE(Assumptions!$B$4,5,28)-$N138)/365.25*Assumptions!$B$18*AT138,(Assumptions!$B$20*Assumptions!$B$18+((DATE(Assumptions!$B$4,5,28)-$N138)/365.25-Assumptions!$B$20)*Assumptions!$B$19)*AT138),0)</f>
        <v>111589.92676249145</v>
      </c>
      <c r="AV138" s="249">
        <f>IF(AS138&gt;0,IF($M138="Saudi",MIN(AS138+$Q138*$V138,Assumptions!$B$14)*Assumptions!$B$12,MIN(AS138+$Q138*$V138,Assumptions!$B$14)*Assumptions!$B$13),0)</f>
        <v>0</v>
      </c>
      <c r="AW138" s="249">
        <f>IF(AND(AS138&gt;0,$M138="Non-Saudi"),Assumptions!$B$25,0)</f>
        <v>910.41666666666663</v>
      </c>
      <c r="AX138" s="249">
        <f t="shared" si="63"/>
        <v>9750</v>
      </c>
      <c r="AY138" s="249">
        <f t="shared" si="64"/>
        <v>13546</v>
      </c>
      <c r="AZ138" s="249">
        <f>IF(AND(AY138&gt;0,$N138&lt;&gt;""),IF((DATE(Assumptions!$B$4,6,28)-$N138)/365.25&lt;=Assumptions!$B$20,(DATE(Assumptions!$B$4,6,28)-$N138)/365.25*Assumptions!$B$18*AY138,(Assumptions!$B$20*Assumptions!$B$18+((DATE(Assumptions!$B$4,6,28)-$N138)/365.25-Assumptions!$B$20)*Assumptions!$B$19)*AY138),0)</f>
        <v>112739.62149212869</v>
      </c>
      <c r="BA138" s="249">
        <f>IF(AX138&gt;0,IF($M138="Saudi",MIN(AX138+$Q138*$V138,Assumptions!$B$14)*Assumptions!$B$12,MIN(AX138+$Q138*$V138,Assumptions!$B$14)*Assumptions!$B$13),0)</f>
        <v>0</v>
      </c>
      <c r="BB138" s="249">
        <f>IF(AND(AX138&gt;0,$M138="Non-Saudi"),Assumptions!$B$25,0)</f>
        <v>910.41666666666663</v>
      </c>
      <c r="BC138" s="249">
        <f t="shared" si="65"/>
        <v>9750</v>
      </c>
      <c r="BD138" s="249">
        <f t="shared" si="66"/>
        <v>13546</v>
      </c>
      <c r="BE138" s="249">
        <f>IF(AND(BD138&gt;0,$N138&lt;&gt;""),IF((DATE(Assumptions!$B$4,7,28)-$N138)/365.25&lt;=Assumptions!$B$20,(DATE(Assumptions!$B$4,7,28)-$N138)/365.25*Assumptions!$B$18*BD138,(Assumptions!$B$20*Assumptions!$B$18+((DATE(Assumptions!$B$4,7,28)-$N138)/365.25-Assumptions!$B$20)*Assumptions!$B$19)*BD138),0)</f>
        <v>113852.22929500342</v>
      </c>
      <c r="BF138" s="249">
        <f>IF(BC138&gt;0,IF($M138="Saudi",MIN(BC138+$Q138*$V138,Assumptions!$B$14)*Assumptions!$B$12,MIN(BC138+$Q138*$V138,Assumptions!$B$14)*Assumptions!$B$13),0)</f>
        <v>0</v>
      </c>
      <c r="BG138" s="249">
        <f>IF(AND(BC138&gt;0,$M138="Non-Saudi"),Assumptions!$B$25,0)</f>
        <v>910.41666666666663</v>
      </c>
      <c r="BH138" s="249">
        <f t="shared" si="67"/>
        <v>9750</v>
      </c>
      <c r="BI138" s="249">
        <f t="shared" si="68"/>
        <v>13546</v>
      </c>
      <c r="BJ138" s="249">
        <f>IF(AND(BI138&gt;0,$N138&lt;&gt;""),IF((DATE(Assumptions!$B$4,8,28)-$N138)/365.25&lt;=Assumptions!$B$20,(DATE(Assumptions!$B$4,8,28)-$N138)/365.25*Assumptions!$B$18*BI138,(Assumptions!$B$20*Assumptions!$B$18+((DATE(Assumptions!$B$4,8,28)-$N138)/365.25-Assumptions!$B$20)*Assumptions!$B$19)*BI138),0)</f>
        <v>115001.92402464067</v>
      </c>
      <c r="BK138" s="249">
        <f>IF(BH138&gt;0,IF($M138="Saudi",MIN(BH138+$Q138*$V138,Assumptions!$B$14)*Assumptions!$B$12,MIN(BH138+$Q138*$V138,Assumptions!$B$14)*Assumptions!$B$13),0)</f>
        <v>0</v>
      </c>
      <c r="BL138" s="249">
        <f>IF(AND(BH138&gt;0,$M138="Non-Saudi"),Assumptions!$B$25,0)</f>
        <v>910.41666666666663</v>
      </c>
      <c r="BM138" s="249">
        <f>IF(AND($D138="Contrat Local",$N138&lt;&gt;""),IF(AND(9&gt;=Assumptions!$B$5,ISNUMBER($X138),$N138&lt;EDATE(Assumptions!$B$9,-Assumptions!$B$6*12)),($P138+$X138)*$V138,$P138*$V138),0)</f>
        <v>10000</v>
      </c>
      <c r="BN138" s="249">
        <f t="shared" si="69"/>
        <v>13796</v>
      </c>
      <c r="BO138" s="249">
        <f>IF(AND(BN138&gt;0,$N138&lt;&gt;""),IF((DATE(Assumptions!$B$4,9,28)-$N138)/365.25&lt;=Assumptions!$B$20,(DATE(Assumptions!$B$4,9,28)-$N138)/365.25*Assumptions!$B$18*BN138,(Assumptions!$B$20*Assumptions!$B$18+((DATE(Assumptions!$B$4,9,28)-$N138)/365.25-Assumptions!$B$20)*Assumptions!$B$19)*BN138),0)</f>
        <v>118295.27036276524</v>
      </c>
      <c r="BP138" s="249">
        <f>IF(BM138&gt;0,IF($M138="Saudi",MIN(BM138+$Q138*$V138,Assumptions!$B$14)*Assumptions!$B$12,MIN(BM138+$Q138*$V138,Assumptions!$B$14)*Assumptions!$B$13),0)</f>
        <v>0</v>
      </c>
      <c r="BQ138" s="249">
        <f>IF(AND(BM138&gt;0,$M138="Non-Saudi"),Assumptions!$B$25,0)</f>
        <v>910.41666666666663</v>
      </c>
      <c r="BR138" s="249">
        <f>IF(AND($D138="Contrat Local",$N138&lt;&gt;""),IF(AND(10&gt;=Assumptions!$B$5,ISNUMBER($X138),$N138&lt;EDATE(Assumptions!$B$9,-Assumptions!$B$6*12)),($P138+$X138)*$V138,$P138*$V138),0)</f>
        <v>10000</v>
      </c>
      <c r="BS138" s="249">
        <f t="shared" si="70"/>
        <v>13796</v>
      </c>
      <c r="BT138" s="249">
        <f>IF(AND(BS138&gt;0,$N138&lt;&gt;""),IF((DATE(Assumptions!$B$4,10,28)-$N138)/365.25&lt;=Assumptions!$B$20,(DATE(Assumptions!$B$4,10,28)-$N138)/365.25*Assumptions!$B$18*BS138,(Assumptions!$B$20*Assumptions!$B$18+((DATE(Assumptions!$B$4,10,28)-$N138)/365.25-Assumptions!$B$20)*Assumptions!$B$19)*BS138),0)</f>
        <v>119428.41204654345</v>
      </c>
      <c r="BU138" s="249">
        <f>IF(BR138&gt;0,IF($M138="Saudi",MIN(BR138+$Q138*$V138,Assumptions!$B$14)*Assumptions!$B$12,MIN(BR138+$Q138*$V138,Assumptions!$B$14)*Assumptions!$B$13),0)</f>
        <v>0</v>
      </c>
      <c r="BV138" s="249">
        <f>IF(AND(BR138&gt;0,$M138="Non-Saudi"),Assumptions!$B$25,0)</f>
        <v>910.41666666666663</v>
      </c>
      <c r="BW138" s="249">
        <f>IF(AND($D138="Contrat Local",$N138&lt;&gt;""),IF(AND(11&gt;=Assumptions!$B$5,ISNUMBER($X138),$N138&lt;EDATE(Assumptions!$B$9,-Assumptions!$B$6*12)),($P138+$X138)*$V138,$P138*$V138),0)</f>
        <v>10000</v>
      </c>
      <c r="BX138" s="249">
        <f t="shared" si="71"/>
        <v>13796</v>
      </c>
      <c r="BY138" s="249">
        <f>IF(AND(BX138&gt;0,$N138&lt;&gt;""),IF((DATE(Assumptions!$B$4,11,28)-$N138)/365.25&lt;=Assumptions!$B$20,(DATE(Assumptions!$B$4,11,28)-$N138)/365.25*Assumptions!$B$18*BX138,(Assumptions!$B$20*Assumptions!$B$18+((DATE(Assumptions!$B$4,11,28)-$N138)/365.25-Assumptions!$B$20)*Assumptions!$B$19)*BX138),0)</f>
        <v>120599.32511978096</v>
      </c>
      <c r="BZ138" s="249">
        <f>IF(BW138&gt;0,IF($M138="Saudi",MIN(BW138+$Q138*$V138,Assumptions!$B$14)*Assumptions!$B$12,MIN(BW138+$Q138*$V138,Assumptions!$B$14)*Assumptions!$B$13),0)</f>
        <v>0</v>
      </c>
      <c r="CA138" s="249">
        <f>IF(AND(BW138&gt;0,$M138="Non-Saudi"),Assumptions!$B$25,0)</f>
        <v>910.41666666666663</v>
      </c>
      <c r="CB138" s="249">
        <f>IF(AND($D138="Contrat Local",$N138&lt;&gt;""),IF(AND(12&gt;=Assumptions!$B$5,ISNUMBER($X138),$N138&lt;EDATE(Assumptions!$B$9,-Assumptions!$B$6*12)),($P138+$X138)*$V138,$P138*$V138),0)</f>
        <v>10000</v>
      </c>
      <c r="CC138" s="249">
        <f t="shared" si="72"/>
        <v>13796</v>
      </c>
      <c r="CD138" s="249">
        <f>IF(AND(CC138&gt;0,$N138&lt;&gt;""),IF((DATE(Assumptions!$B$4,12,28)-$N138)/365.25&lt;=Assumptions!$B$20,(DATE(Assumptions!$B$4,12,28)-$N138)/365.25*Assumptions!$B$18*CC138,(Assumptions!$B$20*Assumptions!$B$18+((DATE(Assumptions!$B$4,12,28)-$N138)/365.25-Assumptions!$B$20)*Assumptions!$B$19)*CC138),0)</f>
        <v>121732.4668035592</v>
      </c>
      <c r="CE138" s="249">
        <f>IF(CB138&gt;0,IF($M138="Saudi",MIN(CB138+$Q138*$V138,Assumptions!$B$14)*Assumptions!$B$12,MIN(CB138+$Q138*$V138,Assumptions!$B$14)*Assumptions!$B$13),0)</f>
        <v>0</v>
      </c>
      <c r="CF138" s="249">
        <f>IF(AND(CB138&gt;0,$M138="Non-Saudi"),Assumptions!$B$25,0)</f>
        <v>910.41666666666663</v>
      </c>
      <c r="CG138" s="249">
        <f t="shared" si="73"/>
        <v>118000</v>
      </c>
      <c r="CH138" s="249">
        <f t="shared" si="74"/>
        <v>163552</v>
      </c>
      <c r="CI138" s="249">
        <f>CD138-IF(AND(Z138&gt;0,$N138&lt;&gt;""),IF((DATE(Assumptions!$B$4-1,12,28)-$N138)/365.25&lt;=Assumptions!$B$20,(DATE(Assumptions!$B$4-1,12,28)-$N138)/365.25*Assumptions!$B$18*Z138,(Assumptions!$B$20*Assumptions!$B$18+((DATE(Assumptions!$B$4-1,12,28)-$N138)/365.25-Assumptions!$B$20)*Assumptions!$B$19)*Z138),0)</f>
        <v>15742.66598220398</v>
      </c>
      <c r="CJ138" s="249">
        <f t="shared" si="75"/>
        <v>0</v>
      </c>
      <c r="CK138" s="249">
        <f t="shared" si="76"/>
        <v>10924.999999999998</v>
      </c>
    </row>
    <row r="139" spans="1:89" x14ac:dyDescent="0.2">
      <c r="A139" s="276">
        <v>141</v>
      </c>
      <c r="B139" s="277" t="s">
        <v>583</v>
      </c>
      <c r="C139" s="277" t="s">
        <v>584</v>
      </c>
      <c r="D139" s="277" t="s">
        <v>250</v>
      </c>
      <c r="E139" s="277" t="s">
        <v>767</v>
      </c>
      <c r="F139" s="277" t="s">
        <v>302</v>
      </c>
      <c r="G139" s="277" t="s">
        <v>303</v>
      </c>
      <c r="H139" s="277" t="s">
        <v>585</v>
      </c>
      <c r="I139" s="287" t="s">
        <v>691</v>
      </c>
      <c r="J139" s="277" t="s">
        <v>79</v>
      </c>
      <c r="K139" s="277" t="s">
        <v>254</v>
      </c>
      <c r="L139" s="277" t="s">
        <v>255</v>
      </c>
      <c r="M139" s="277" t="str">
        <f t="shared" si="52"/>
        <v>Non-Saudi</v>
      </c>
      <c r="N139" s="278">
        <v>45194</v>
      </c>
      <c r="O139" s="279">
        <v>3.3</v>
      </c>
      <c r="P139" s="280">
        <v>8250</v>
      </c>
      <c r="Q139" s="280">
        <v>2500</v>
      </c>
      <c r="R139" s="280">
        <v>500</v>
      </c>
      <c r="S139" s="280"/>
      <c r="T139" s="280">
        <v>1700</v>
      </c>
      <c r="U139" s="280">
        <v>12950</v>
      </c>
      <c r="V139" s="281">
        <v>1</v>
      </c>
      <c r="W139" s="277" t="s">
        <v>259</v>
      </c>
      <c r="X139" s="277">
        <v>250</v>
      </c>
      <c r="Y139" s="249">
        <f t="shared" si="53"/>
        <v>8250</v>
      </c>
      <c r="Z139" s="249">
        <f t="shared" si="54"/>
        <v>12950</v>
      </c>
      <c r="AA139" s="249">
        <f>IF(AND(Z139&gt;0,$N139&lt;&gt;""),IF((DATE(Assumptions!$B$4,1,28)-$N139)/365.25&lt;=Assumptions!$B$20,(DATE(Assumptions!$B$4,1,28)-$N139)/365.25*Assumptions!$B$18*Z139,(Assumptions!$B$20*Assumptions!$B$18+((DATE(Assumptions!$B$4,1,28)-$N139)/365.25-Assumptions!$B$20)*Assumptions!$B$19)*Z139),0)</f>
        <v>15174.811772758383</v>
      </c>
      <c r="AB139" s="249">
        <f>IF(Y139&gt;0,IF($M139="Saudi",MIN(Y139+$Q139*$V139,Assumptions!$B$14)*Assumptions!$B$12,MIN(Y139+$Q139*$V139,Assumptions!$B$14)*Assumptions!$B$13),0)</f>
        <v>0</v>
      </c>
      <c r="AC139" s="249">
        <f>IF(AND(Y139&gt;0,$M139="Non-Saudi"),Assumptions!$B$25,0)</f>
        <v>910.41666666666663</v>
      </c>
      <c r="AD139" s="249">
        <f t="shared" si="55"/>
        <v>8250</v>
      </c>
      <c r="AE139" s="249">
        <f t="shared" si="56"/>
        <v>12950</v>
      </c>
      <c r="AF139" s="249">
        <f>IF(AND(AE139&gt;0,$N139&lt;&gt;""),IF((DATE(Assumptions!$B$4,2,28)-$N139)/365.25&lt;=Assumptions!$B$20,(DATE(Assumptions!$B$4,2,28)-$N139)/365.25*Assumptions!$B$18*AE139,(Assumptions!$B$20*Assumptions!$B$18+((DATE(Assumptions!$B$4,2,28)-$N139)/365.25-Assumptions!$B$20)*Assumptions!$B$19)*AE139),0)</f>
        <v>15724.366872005476</v>
      </c>
      <c r="AG139" s="249">
        <f>IF(AD139&gt;0,IF($M139="Saudi",MIN(AD139+$Q139*$V139,Assumptions!$B$14)*Assumptions!$B$12,MIN(AD139+$Q139*$V139,Assumptions!$B$14)*Assumptions!$B$13),0)</f>
        <v>0</v>
      </c>
      <c r="AH139" s="249">
        <f>IF(AND(AD139&gt;0,$M139="Non-Saudi"),Assumptions!$B$25,0)</f>
        <v>910.41666666666663</v>
      </c>
      <c r="AI139" s="249">
        <f t="shared" si="57"/>
        <v>8250</v>
      </c>
      <c r="AJ139" s="249">
        <f t="shared" si="58"/>
        <v>12950</v>
      </c>
      <c r="AK139" s="249">
        <f>IF(AND(AJ139&gt;0,$N139&lt;&gt;""),IF((DATE(Assumptions!$B$4,3,28)-$N139)/365.25&lt;=Assumptions!$B$20,(DATE(Assumptions!$B$4,3,28)-$N139)/365.25*Assumptions!$B$18*AJ139,(Assumptions!$B$20*Assumptions!$B$18+((DATE(Assumptions!$B$4,3,28)-$N139)/365.25-Assumptions!$B$20)*Assumptions!$B$19)*AJ139),0)</f>
        <v>16220.739219712526</v>
      </c>
      <c r="AL139" s="249">
        <f>IF(AI139&gt;0,IF($M139="Saudi",MIN(AI139+$Q139*$V139,Assumptions!$B$14)*Assumptions!$B$12,MIN(AI139+$Q139*$V139,Assumptions!$B$14)*Assumptions!$B$13),0)</f>
        <v>0</v>
      </c>
      <c r="AM139" s="249">
        <f>IF(AND(AI139&gt;0,$M139="Non-Saudi"),Assumptions!$B$25,0)</f>
        <v>910.41666666666663</v>
      </c>
      <c r="AN139" s="249">
        <f t="shared" si="59"/>
        <v>8250</v>
      </c>
      <c r="AO139" s="249">
        <f t="shared" si="60"/>
        <v>12950</v>
      </c>
      <c r="AP139" s="249">
        <f>IF(AND(AO139&gt;0,$N139&lt;&gt;""),IF((DATE(Assumptions!$B$4,4,28)-$N139)/365.25&lt;=Assumptions!$B$20,(DATE(Assumptions!$B$4,4,28)-$N139)/365.25*Assumptions!$B$18*AO139,(Assumptions!$B$20*Assumptions!$B$18+((DATE(Assumptions!$B$4,4,28)-$N139)/365.25-Assumptions!$B$20)*Assumptions!$B$19)*AO139),0)</f>
        <v>16770.294318959615</v>
      </c>
      <c r="AQ139" s="249">
        <f>IF(AN139&gt;0,IF($M139="Saudi",MIN(AN139+$Q139*$V139,Assumptions!$B$14)*Assumptions!$B$12,MIN(AN139+$Q139*$V139,Assumptions!$B$14)*Assumptions!$B$13),0)</f>
        <v>0</v>
      </c>
      <c r="AR139" s="249">
        <f>IF(AND(AN139&gt;0,$M139="Non-Saudi"),Assumptions!$B$25,0)</f>
        <v>910.41666666666663</v>
      </c>
      <c r="AS139" s="249">
        <f t="shared" si="61"/>
        <v>8250</v>
      </c>
      <c r="AT139" s="249">
        <f t="shared" si="62"/>
        <v>12950</v>
      </c>
      <c r="AU139" s="249">
        <f>IF(AND(AT139&gt;0,$N139&lt;&gt;""),IF((DATE(Assumptions!$B$4,5,28)-$N139)/365.25&lt;=Assumptions!$B$20,(DATE(Assumptions!$B$4,5,28)-$N139)/365.25*Assumptions!$B$18*AT139,(Assumptions!$B$20*Assumptions!$B$18+((DATE(Assumptions!$B$4,5,28)-$N139)/365.25-Assumptions!$B$20)*Assumptions!$B$19)*AT139),0)</f>
        <v>17302.121834360027</v>
      </c>
      <c r="AV139" s="249">
        <f>IF(AS139&gt;0,IF($M139="Saudi",MIN(AS139+$Q139*$V139,Assumptions!$B$14)*Assumptions!$B$12,MIN(AS139+$Q139*$V139,Assumptions!$B$14)*Assumptions!$B$13),0)</f>
        <v>0</v>
      </c>
      <c r="AW139" s="249">
        <f>IF(AND(AS139&gt;0,$M139="Non-Saudi"),Assumptions!$B$25,0)</f>
        <v>910.41666666666663</v>
      </c>
      <c r="AX139" s="249">
        <f t="shared" si="63"/>
        <v>8250</v>
      </c>
      <c r="AY139" s="249">
        <f t="shared" si="64"/>
        <v>12950</v>
      </c>
      <c r="AZ139" s="249">
        <f>IF(AND(AY139&gt;0,$N139&lt;&gt;""),IF((DATE(Assumptions!$B$4,6,28)-$N139)/365.25&lt;=Assumptions!$B$20,(DATE(Assumptions!$B$4,6,28)-$N139)/365.25*Assumptions!$B$18*AY139,(Assumptions!$B$20*Assumptions!$B$18+((DATE(Assumptions!$B$4,6,28)-$N139)/365.25-Assumptions!$B$20)*Assumptions!$B$19)*AY139),0)</f>
        <v>17851.676933607119</v>
      </c>
      <c r="BA139" s="249">
        <f>IF(AX139&gt;0,IF($M139="Saudi",MIN(AX139+$Q139*$V139,Assumptions!$B$14)*Assumptions!$B$12,MIN(AX139+$Q139*$V139,Assumptions!$B$14)*Assumptions!$B$13),0)</f>
        <v>0</v>
      </c>
      <c r="BB139" s="249">
        <f>IF(AND(AX139&gt;0,$M139="Non-Saudi"),Assumptions!$B$25,0)</f>
        <v>910.41666666666663</v>
      </c>
      <c r="BC139" s="249">
        <f t="shared" si="65"/>
        <v>8250</v>
      </c>
      <c r="BD139" s="249">
        <f t="shared" si="66"/>
        <v>12950</v>
      </c>
      <c r="BE139" s="249">
        <f>IF(AND(BD139&gt;0,$N139&lt;&gt;""),IF((DATE(Assumptions!$B$4,7,28)-$N139)/365.25&lt;=Assumptions!$B$20,(DATE(Assumptions!$B$4,7,28)-$N139)/365.25*Assumptions!$B$18*BD139,(Assumptions!$B$20*Assumptions!$B$18+((DATE(Assumptions!$B$4,7,28)-$N139)/365.25-Assumptions!$B$20)*Assumptions!$B$19)*BD139),0)</f>
        <v>18383.504449007531</v>
      </c>
      <c r="BF139" s="249">
        <f>IF(BC139&gt;0,IF($M139="Saudi",MIN(BC139+$Q139*$V139,Assumptions!$B$14)*Assumptions!$B$12,MIN(BC139+$Q139*$V139,Assumptions!$B$14)*Assumptions!$B$13),0)</f>
        <v>0</v>
      </c>
      <c r="BG139" s="249">
        <f>IF(AND(BC139&gt;0,$M139="Non-Saudi"),Assumptions!$B$25,0)</f>
        <v>910.41666666666663</v>
      </c>
      <c r="BH139" s="249">
        <f t="shared" si="67"/>
        <v>8250</v>
      </c>
      <c r="BI139" s="249">
        <f t="shared" si="68"/>
        <v>12950</v>
      </c>
      <c r="BJ139" s="249">
        <f>IF(AND(BI139&gt;0,$N139&lt;&gt;""),IF((DATE(Assumptions!$B$4,8,28)-$N139)/365.25&lt;=Assumptions!$B$20,(DATE(Assumptions!$B$4,8,28)-$N139)/365.25*Assumptions!$B$18*BI139,(Assumptions!$B$20*Assumptions!$B$18+((DATE(Assumptions!$B$4,8,28)-$N139)/365.25-Assumptions!$B$20)*Assumptions!$B$19)*BI139),0)</f>
        <v>18933.05954825462</v>
      </c>
      <c r="BK139" s="249">
        <f>IF(BH139&gt;0,IF($M139="Saudi",MIN(BH139+$Q139*$V139,Assumptions!$B$14)*Assumptions!$B$12,MIN(BH139+$Q139*$V139,Assumptions!$B$14)*Assumptions!$B$13),0)</f>
        <v>0</v>
      </c>
      <c r="BL139" s="249">
        <f>IF(AND(BH139&gt;0,$M139="Non-Saudi"),Assumptions!$B$25,0)</f>
        <v>910.41666666666663</v>
      </c>
      <c r="BM139" s="249">
        <f>IF(AND($D139="Contrat Local",$N139&lt;&gt;""),IF(AND(9&gt;=Assumptions!$B$5,ISNUMBER($X139),$N139&lt;EDATE(Assumptions!$B$9,-Assumptions!$B$6*12)),($P139+$X139)*$V139,$P139*$V139),0)</f>
        <v>8500</v>
      </c>
      <c r="BN139" s="249">
        <f t="shared" si="69"/>
        <v>13200</v>
      </c>
      <c r="BO139" s="249">
        <f>IF(AND(BN139&gt;0,$N139&lt;&gt;""),IF((DATE(Assumptions!$B$4,9,28)-$N139)/365.25&lt;=Assumptions!$B$20,(DATE(Assumptions!$B$4,9,28)-$N139)/365.25*Assumptions!$B$18*BN139,(Assumptions!$B$20*Assumptions!$B$18+((DATE(Assumptions!$B$4,9,28)-$N139)/365.25-Assumptions!$B$20)*Assumptions!$B$19)*BN139),0)</f>
        <v>19858.726899383983</v>
      </c>
      <c r="BP139" s="249">
        <f>IF(BM139&gt;0,IF($M139="Saudi",MIN(BM139+$Q139*$V139,Assumptions!$B$14)*Assumptions!$B$12,MIN(BM139+$Q139*$V139,Assumptions!$B$14)*Assumptions!$B$13),0)</f>
        <v>0</v>
      </c>
      <c r="BQ139" s="249">
        <f>IF(AND(BM139&gt;0,$M139="Non-Saudi"),Assumptions!$B$25,0)</f>
        <v>910.41666666666663</v>
      </c>
      <c r="BR139" s="249">
        <f>IF(AND($D139="Contrat Local",$N139&lt;&gt;""),IF(AND(10&gt;=Assumptions!$B$5,ISNUMBER($X139),$N139&lt;EDATE(Assumptions!$B$9,-Assumptions!$B$6*12)),($P139+$X139)*$V139,$P139*$V139),0)</f>
        <v>8500</v>
      </c>
      <c r="BS139" s="249">
        <f t="shared" si="70"/>
        <v>13200</v>
      </c>
      <c r="BT139" s="249">
        <f>IF(AND(BS139&gt;0,$N139&lt;&gt;""),IF((DATE(Assumptions!$B$4,10,28)-$N139)/365.25&lt;=Assumptions!$B$20,(DATE(Assumptions!$B$4,10,28)-$N139)/365.25*Assumptions!$B$18*BS139,(Assumptions!$B$20*Assumptions!$B$18+((DATE(Assumptions!$B$4,10,28)-$N139)/365.25-Assumptions!$B$20)*Assumptions!$B$19)*BS139),0)</f>
        <v>20400.821355236141</v>
      </c>
      <c r="BU139" s="249">
        <f>IF(BR139&gt;0,IF($M139="Saudi",MIN(BR139+$Q139*$V139,Assumptions!$B$14)*Assumptions!$B$12,MIN(BR139+$Q139*$V139,Assumptions!$B$14)*Assumptions!$B$13),0)</f>
        <v>0</v>
      </c>
      <c r="BV139" s="249">
        <f>IF(AND(BR139&gt;0,$M139="Non-Saudi"),Assumptions!$B$25,0)</f>
        <v>910.41666666666663</v>
      </c>
      <c r="BW139" s="249">
        <f>IF(AND($D139="Contrat Local",$N139&lt;&gt;""),IF(AND(11&gt;=Assumptions!$B$5,ISNUMBER($X139),$N139&lt;EDATE(Assumptions!$B$9,-Assumptions!$B$6*12)),($P139+$X139)*$V139,$P139*$V139),0)</f>
        <v>8500</v>
      </c>
      <c r="BX139" s="249">
        <f t="shared" si="71"/>
        <v>13200</v>
      </c>
      <c r="BY139" s="249">
        <f>IF(AND(BX139&gt;0,$N139&lt;&gt;""),IF((DATE(Assumptions!$B$4,11,28)-$N139)/365.25&lt;=Assumptions!$B$20,(DATE(Assumptions!$B$4,11,28)-$N139)/365.25*Assumptions!$B$18*BX139,(Assumptions!$B$20*Assumptions!$B$18+((DATE(Assumptions!$B$4,11,28)-$N139)/365.25-Assumptions!$B$20)*Assumptions!$B$19)*BX139),0)</f>
        <v>20960.985626283367</v>
      </c>
      <c r="BZ139" s="249">
        <f>IF(BW139&gt;0,IF($M139="Saudi",MIN(BW139+$Q139*$V139,Assumptions!$B$14)*Assumptions!$B$12,MIN(BW139+$Q139*$V139,Assumptions!$B$14)*Assumptions!$B$13),0)</f>
        <v>0</v>
      </c>
      <c r="CA139" s="249">
        <f>IF(AND(BW139&gt;0,$M139="Non-Saudi"),Assumptions!$B$25,0)</f>
        <v>910.41666666666663</v>
      </c>
      <c r="CB139" s="249">
        <f>IF(AND($D139="Contrat Local",$N139&lt;&gt;""),IF(AND(12&gt;=Assumptions!$B$5,ISNUMBER($X139),$N139&lt;EDATE(Assumptions!$B$9,-Assumptions!$B$6*12)),($P139+$X139)*$V139,$P139*$V139),0)</f>
        <v>8500</v>
      </c>
      <c r="CC139" s="249">
        <f t="shared" si="72"/>
        <v>13200</v>
      </c>
      <c r="CD139" s="249">
        <f>IF(AND(CC139&gt;0,$N139&lt;&gt;""),IF((DATE(Assumptions!$B$4,12,28)-$N139)/365.25&lt;=Assumptions!$B$20,(DATE(Assumptions!$B$4,12,28)-$N139)/365.25*Assumptions!$B$18*CC139,(Assumptions!$B$20*Assumptions!$B$18+((DATE(Assumptions!$B$4,12,28)-$N139)/365.25-Assumptions!$B$20)*Assumptions!$B$19)*CC139),0)</f>
        <v>21503.080082135526</v>
      </c>
      <c r="CE139" s="249">
        <f>IF(CB139&gt;0,IF($M139="Saudi",MIN(CB139+$Q139*$V139,Assumptions!$B$14)*Assumptions!$B$12,MIN(CB139+$Q139*$V139,Assumptions!$B$14)*Assumptions!$B$13),0)</f>
        <v>0</v>
      </c>
      <c r="CF139" s="249">
        <f>IF(AND(CB139&gt;0,$M139="Non-Saudi"),Assumptions!$B$25,0)</f>
        <v>910.41666666666663</v>
      </c>
      <c r="CG139" s="249">
        <f t="shared" si="73"/>
        <v>100000</v>
      </c>
      <c r="CH139" s="249">
        <f t="shared" si="74"/>
        <v>156400</v>
      </c>
      <c r="CI139" s="249">
        <f>CD139-IF(AND(Z139&gt;0,$N139&lt;&gt;""),IF((DATE(Assumptions!$B$4-1,12,28)-$N139)/365.25&lt;=Assumptions!$B$20,(DATE(Assumptions!$B$4-1,12,28)-$N139)/365.25*Assumptions!$B$18*Z139,(Assumptions!$B$20*Assumptions!$B$18+((DATE(Assumptions!$B$4-1,12,28)-$N139)/365.25-Assumptions!$B$20)*Assumptions!$B$19)*Z139),0)</f>
        <v>6877.8234086242319</v>
      </c>
      <c r="CJ139" s="249">
        <f t="shared" si="75"/>
        <v>0</v>
      </c>
      <c r="CK139" s="249">
        <f t="shared" si="76"/>
        <v>10924.999999999998</v>
      </c>
    </row>
    <row r="140" spans="1:89" x14ac:dyDescent="0.2">
      <c r="A140" s="276">
        <v>142</v>
      </c>
      <c r="B140" s="277" t="s">
        <v>586</v>
      </c>
      <c r="C140" s="277" t="s">
        <v>587</v>
      </c>
      <c r="D140" s="277" t="s">
        <v>250</v>
      </c>
      <c r="E140" s="277" t="s">
        <v>767</v>
      </c>
      <c r="F140" s="277" t="s">
        <v>315</v>
      </c>
      <c r="G140" s="277" t="s">
        <v>303</v>
      </c>
      <c r="H140" s="277" t="s">
        <v>588</v>
      </c>
      <c r="I140" s="287" t="s">
        <v>691</v>
      </c>
      <c r="J140" s="277" t="s">
        <v>222</v>
      </c>
      <c r="K140" s="277" t="s">
        <v>254</v>
      </c>
      <c r="L140" s="277" t="s">
        <v>255</v>
      </c>
      <c r="M140" s="277" t="str">
        <f t="shared" si="52"/>
        <v>Non-Saudi</v>
      </c>
      <c r="N140" s="278">
        <v>43023</v>
      </c>
      <c r="O140" s="279">
        <v>9.1999999999999993</v>
      </c>
      <c r="P140" s="280">
        <v>9500</v>
      </c>
      <c r="Q140" s="280">
        <v>2500</v>
      </c>
      <c r="R140" s="280">
        <v>500</v>
      </c>
      <c r="S140" s="280"/>
      <c r="T140" s="280">
        <v>580</v>
      </c>
      <c r="U140" s="280">
        <v>13080</v>
      </c>
      <c r="V140" s="281">
        <v>1</v>
      </c>
      <c r="W140" s="277" t="s">
        <v>256</v>
      </c>
      <c r="X140" s="277">
        <v>250</v>
      </c>
      <c r="Y140" s="249">
        <f t="shared" si="53"/>
        <v>9500</v>
      </c>
      <c r="Z140" s="249">
        <f t="shared" si="54"/>
        <v>13080</v>
      </c>
      <c r="AA140" s="249">
        <f>IF(AND(Z140&gt;0,$N140&lt;&gt;""),IF((DATE(Assumptions!$B$4,1,28)-$N140)/365.25&lt;=Assumptions!$B$20,(DATE(Assumptions!$B$4,1,28)-$N140)/365.25*Assumptions!$B$18*Z140,(Assumptions!$B$20*Assumptions!$B$18+((DATE(Assumptions!$B$4,1,28)-$N140)/365.25-Assumptions!$B$20)*Assumptions!$B$19)*Z140),0)</f>
        <v>75700.164271047222</v>
      </c>
      <c r="AB140" s="249">
        <f>IF(Y140&gt;0,IF($M140="Saudi",MIN(Y140+$Q140*$V140,Assumptions!$B$14)*Assumptions!$B$12,MIN(Y140+$Q140*$V140,Assumptions!$B$14)*Assumptions!$B$13),0)</f>
        <v>0</v>
      </c>
      <c r="AC140" s="249">
        <f>IF(AND(Y140&gt;0,$M140="Non-Saudi"),Assumptions!$B$25,0)</f>
        <v>910.41666666666663</v>
      </c>
      <c r="AD140" s="249">
        <f t="shared" si="55"/>
        <v>9500</v>
      </c>
      <c r="AE140" s="249">
        <f t="shared" si="56"/>
        <v>13080</v>
      </c>
      <c r="AF140" s="249">
        <f>IF(AND(AE140&gt;0,$N140&lt;&gt;""),IF((DATE(Assumptions!$B$4,2,28)-$N140)/365.25&lt;=Assumptions!$B$20,(DATE(Assumptions!$B$4,2,28)-$N140)/365.25*Assumptions!$B$18*AE140,(Assumptions!$B$20*Assumptions!$B$18+((DATE(Assumptions!$B$4,2,28)-$N140)/365.25-Assumptions!$B$20)*Assumptions!$B$19)*AE140),0)</f>
        <v>76810.308008213557</v>
      </c>
      <c r="AG140" s="249">
        <f>IF(AD140&gt;0,IF($M140="Saudi",MIN(AD140+$Q140*$V140,Assumptions!$B$14)*Assumptions!$B$12,MIN(AD140+$Q140*$V140,Assumptions!$B$14)*Assumptions!$B$13),0)</f>
        <v>0</v>
      </c>
      <c r="AH140" s="249">
        <f>IF(AND(AD140&gt;0,$M140="Non-Saudi"),Assumptions!$B$25,0)</f>
        <v>910.41666666666663</v>
      </c>
      <c r="AI140" s="249">
        <f t="shared" si="57"/>
        <v>9500</v>
      </c>
      <c r="AJ140" s="249">
        <f t="shared" si="58"/>
        <v>13080</v>
      </c>
      <c r="AK140" s="249">
        <f>IF(AND(AJ140&gt;0,$N140&lt;&gt;""),IF((DATE(Assumptions!$B$4,3,28)-$N140)/365.25&lt;=Assumptions!$B$20,(DATE(Assumptions!$B$4,3,28)-$N140)/365.25*Assumptions!$B$18*AJ140,(Assumptions!$B$20*Assumptions!$B$18+((DATE(Assumptions!$B$4,3,28)-$N140)/365.25-Assumptions!$B$20)*Assumptions!$B$19)*AJ140),0)</f>
        <v>77813.018480492814</v>
      </c>
      <c r="AL140" s="249">
        <f>IF(AI140&gt;0,IF($M140="Saudi",MIN(AI140+$Q140*$V140,Assumptions!$B$14)*Assumptions!$B$12,MIN(AI140+$Q140*$V140,Assumptions!$B$14)*Assumptions!$B$13),0)</f>
        <v>0</v>
      </c>
      <c r="AM140" s="249">
        <f>IF(AND(AI140&gt;0,$M140="Non-Saudi"),Assumptions!$B$25,0)</f>
        <v>910.41666666666663</v>
      </c>
      <c r="AN140" s="249">
        <f t="shared" si="59"/>
        <v>9500</v>
      </c>
      <c r="AO140" s="249">
        <f t="shared" si="60"/>
        <v>13080</v>
      </c>
      <c r="AP140" s="249">
        <f>IF(AND(AO140&gt;0,$N140&lt;&gt;""),IF((DATE(Assumptions!$B$4,4,28)-$N140)/365.25&lt;=Assumptions!$B$20,(DATE(Assumptions!$B$4,4,28)-$N140)/365.25*Assumptions!$B$18*AO140,(Assumptions!$B$20*Assumptions!$B$18+((DATE(Assumptions!$B$4,4,28)-$N140)/365.25-Assumptions!$B$20)*Assumptions!$B$19)*AO140),0)</f>
        <v>78923.162217659134</v>
      </c>
      <c r="AQ140" s="249">
        <f>IF(AN140&gt;0,IF($M140="Saudi",MIN(AN140+$Q140*$V140,Assumptions!$B$14)*Assumptions!$B$12,MIN(AN140+$Q140*$V140,Assumptions!$B$14)*Assumptions!$B$13),0)</f>
        <v>0</v>
      </c>
      <c r="AR140" s="249">
        <f>IF(AND(AN140&gt;0,$M140="Non-Saudi"),Assumptions!$B$25,0)</f>
        <v>910.41666666666663</v>
      </c>
      <c r="AS140" s="249">
        <f t="shared" si="61"/>
        <v>9500</v>
      </c>
      <c r="AT140" s="249">
        <f t="shared" si="62"/>
        <v>13080</v>
      </c>
      <c r="AU140" s="249">
        <f>IF(AND(AT140&gt;0,$N140&lt;&gt;""),IF((DATE(Assumptions!$B$4,5,28)-$N140)/365.25&lt;=Assumptions!$B$20,(DATE(Assumptions!$B$4,5,28)-$N140)/365.25*Assumptions!$B$18*AT140,(Assumptions!$B$20*Assumptions!$B$18+((DATE(Assumptions!$B$4,5,28)-$N140)/365.25-Assumptions!$B$20)*Assumptions!$B$19)*AT140),0)</f>
        <v>79997.494866529785</v>
      </c>
      <c r="AV140" s="249">
        <f>IF(AS140&gt;0,IF($M140="Saudi",MIN(AS140+$Q140*$V140,Assumptions!$B$14)*Assumptions!$B$12,MIN(AS140+$Q140*$V140,Assumptions!$B$14)*Assumptions!$B$13),0)</f>
        <v>0</v>
      </c>
      <c r="AW140" s="249">
        <f>IF(AND(AS140&gt;0,$M140="Non-Saudi"),Assumptions!$B$25,0)</f>
        <v>910.41666666666663</v>
      </c>
      <c r="AX140" s="249">
        <f t="shared" si="63"/>
        <v>9500</v>
      </c>
      <c r="AY140" s="249">
        <f t="shared" si="64"/>
        <v>13080</v>
      </c>
      <c r="AZ140" s="249">
        <f>IF(AND(AY140&gt;0,$N140&lt;&gt;""),IF((DATE(Assumptions!$B$4,6,28)-$N140)/365.25&lt;=Assumptions!$B$20,(DATE(Assumptions!$B$4,6,28)-$N140)/365.25*Assumptions!$B$18*AY140,(Assumptions!$B$20*Assumptions!$B$18+((DATE(Assumptions!$B$4,6,28)-$N140)/365.25-Assumptions!$B$20)*Assumptions!$B$19)*AY140),0)</f>
        <v>81107.638603696105</v>
      </c>
      <c r="BA140" s="249">
        <f>IF(AX140&gt;0,IF($M140="Saudi",MIN(AX140+$Q140*$V140,Assumptions!$B$14)*Assumptions!$B$12,MIN(AX140+$Q140*$V140,Assumptions!$B$14)*Assumptions!$B$13),0)</f>
        <v>0</v>
      </c>
      <c r="BB140" s="249">
        <f>IF(AND(AX140&gt;0,$M140="Non-Saudi"),Assumptions!$B$25,0)</f>
        <v>910.41666666666663</v>
      </c>
      <c r="BC140" s="249">
        <f t="shared" si="65"/>
        <v>9500</v>
      </c>
      <c r="BD140" s="249">
        <f t="shared" si="66"/>
        <v>13080</v>
      </c>
      <c r="BE140" s="249">
        <f>IF(AND(BD140&gt;0,$N140&lt;&gt;""),IF((DATE(Assumptions!$B$4,7,28)-$N140)/365.25&lt;=Assumptions!$B$20,(DATE(Assumptions!$B$4,7,28)-$N140)/365.25*Assumptions!$B$18*BD140,(Assumptions!$B$20*Assumptions!$B$18+((DATE(Assumptions!$B$4,7,28)-$N140)/365.25-Assumptions!$B$20)*Assumptions!$B$19)*BD140),0)</f>
        <v>82181.971252566727</v>
      </c>
      <c r="BF140" s="249">
        <f>IF(BC140&gt;0,IF($M140="Saudi",MIN(BC140+$Q140*$V140,Assumptions!$B$14)*Assumptions!$B$12,MIN(BC140+$Q140*$V140,Assumptions!$B$14)*Assumptions!$B$13),0)</f>
        <v>0</v>
      </c>
      <c r="BG140" s="249">
        <f>IF(AND(BC140&gt;0,$M140="Non-Saudi"),Assumptions!$B$25,0)</f>
        <v>910.41666666666663</v>
      </c>
      <c r="BH140" s="249">
        <f t="shared" si="67"/>
        <v>9500</v>
      </c>
      <c r="BI140" s="249">
        <f t="shared" si="68"/>
        <v>13080</v>
      </c>
      <c r="BJ140" s="249">
        <f>IF(AND(BI140&gt;0,$N140&lt;&gt;""),IF((DATE(Assumptions!$B$4,8,28)-$N140)/365.25&lt;=Assumptions!$B$20,(DATE(Assumptions!$B$4,8,28)-$N140)/365.25*Assumptions!$B$18*BI140,(Assumptions!$B$20*Assumptions!$B$18+((DATE(Assumptions!$B$4,8,28)-$N140)/365.25-Assumptions!$B$20)*Assumptions!$B$19)*BI140),0)</f>
        <v>83292.114989733047</v>
      </c>
      <c r="BK140" s="249">
        <f>IF(BH140&gt;0,IF($M140="Saudi",MIN(BH140+$Q140*$V140,Assumptions!$B$14)*Assumptions!$B$12,MIN(BH140+$Q140*$V140,Assumptions!$B$14)*Assumptions!$B$13),0)</f>
        <v>0</v>
      </c>
      <c r="BL140" s="249">
        <f>IF(AND(BH140&gt;0,$M140="Non-Saudi"),Assumptions!$B$25,0)</f>
        <v>910.41666666666663</v>
      </c>
      <c r="BM140" s="249">
        <f>IF(AND($D140="Contrat Local",$N140&lt;&gt;""),IF(AND(9&gt;=Assumptions!$B$5,ISNUMBER($X140),$N140&lt;EDATE(Assumptions!$B$9,-Assumptions!$B$6*12)),($P140+$X140)*$V140,$P140*$V140),0)</f>
        <v>9750</v>
      </c>
      <c r="BN140" s="249">
        <f t="shared" si="69"/>
        <v>13330</v>
      </c>
      <c r="BO140" s="249">
        <f>IF(AND(BN140&gt;0,$N140&lt;&gt;""),IF((DATE(Assumptions!$B$4,9,28)-$N140)/365.25&lt;=Assumptions!$B$20,(DATE(Assumptions!$B$4,9,28)-$N140)/365.25*Assumptions!$B$18*BN140,(Assumptions!$B$20*Assumptions!$B$18+((DATE(Assumptions!$B$4,9,28)-$N140)/365.25-Assumptions!$B$20)*Assumptions!$B$19)*BN140),0)</f>
        <v>86015.451745379891</v>
      </c>
      <c r="BP140" s="249">
        <f>IF(BM140&gt;0,IF($M140="Saudi",MIN(BM140+$Q140*$V140,Assumptions!$B$14)*Assumptions!$B$12,MIN(BM140+$Q140*$V140,Assumptions!$B$14)*Assumptions!$B$13),0)</f>
        <v>0</v>
      </c>
      <c r="BQ140" s="249">
        <f>IF(AND(BM140&gt;0,$M140="Non-Saudi"),Assumptions!$B$25,0)</f>
        <v>910.41666666666663</v>
      </c>
      <c r="BR140" s="249">
        <f>IF(AND($D140="Contrat Local",$N140&lt;&gt;""),IF(AND(10&gt;=Assumptions!$B$5,ISNUMBER($X140),$N140&lt;EDATE(Assumptions!$B$9,-Assumptions!$B$6*12)),($P140+$X140)*$V140,$P140*$V140),0)</f>
        <v>9750</v>
      </c>
      <c r="BS140" s="249">
        <f t="shared" si="70"/>
        <v>13330</v>
      </c>
      <c r="BT140" s="249">
        <f>IF(AND(BS140&gt;0,$N140&lt;&gt;""),IF((DATE(Assumptions!$B$4,10,28)-$N140)/365.25&lt;=Assumptions!$B$20,(DATE(Assumptions!$B$4,10,28)-$N140)/365.25*Assumptions!$B$18*BS140,(Assumptions!$B$20*Assumptions!$B$18+((DATE(Assumptions!$B$4,10,28)-$N140)/365.25-Assumptions!$B$20)*Assumptions!$B$19)*BS140),0)</f>
        <v>87110.318275154001</v>
      </c>
      <c r="BU140" s="249">
        <f>IF(BR140&gt;0,IF($M140="Saudi",MIN(BR140+$Q140*$V140,Assumptions!$B$14)*Assumptions!$B$12,MIN(BR140+$Q140*$V140,Assumptions!$B$14)*Assumptions!$B$13),0)</f>
        <v>0</v>
      </c>
      <c r="BV140" s="249">
        <f>IF(AND(BR140&gt;0,$M140="Non-Saudi"),Assumptions!$B$25,0)</f>
        <v>910.41666666666663</v>
      </c>
      <c r="BW140" s="249">
        <f>IF(AND($D140="Contrat Local",$N140&lt;&gt;""),IF(AND(11&gt;=Assumptions!$B$5,ISNUMBER($X140),$N140&lt;EDATE(Assumptions!$B$9,-Assumptions!$B$6*12)),($P140+$X140)*$V140,$P140*$V140),0)</f>
        <v>9750</v>
      </c>
      <c r="BX140" s="249">
        <f t="shared" si="71"/>
        <v>13330</v>
      </c>
      <c r="BY140" s="249">
        <f>IF(AND(BX140&gt;0,$N140&lt;&gt;""),IF((DATE(Assumptions!$B$4,11,28)-$N140)/365.25&lt;=Assumptions!$B$20,(DATE(Assumptions!$B$4,11,28)-$N140)/365.25*Assumptions!$B$18*BX140,(Assumptions!$B$20*Assumptions!$B$18+((DATE(Assumptions!$B$4,11,28)-$N140)/365.25-Assumptions!$B$20)*Assumptions!$B$19)*BX140),0)</f>
        <v>88241.680355920602</v>
      </c>
      <c r="BZ140" s="249">
        <f>IF(BW140&gt;0,IF($M140="Saudi",MIN(BW140+$Q140*$V140,Assumptions!$B$14)*Assumptions!$B$12,MIN(BW140+$Q140*$V140,Assumptions!$B$14)*Assumptions!$B$13),0)</f>
        <v>0</v>
      </c>
      <c r="CA140" s="249">
        <f>IF(AND(BW140&gt;0,$M140="Non-Saudi"),Assumptions!$B$25,0)</f>
        <v>910.41666666666663</v>
      </c>
      <c r="CB140" s="249">
        <f>IF(AND($D140="Contrat Local",$N140&lt;&gt;""),IF(AND(12&gt;=Assumptions!$B$5,ISNUMBER($X140),$N140&lt;EDATE(Assumptions!$B$9,-Assumptions!$B$6*12)),($P140+$X140)*$V140,$P140*$V140),0)</f>
        <v>9750</v>
      </c>
      <c r="CC140" s="249">
        <f t="shared" si="72"/>
        <v>13330</v>
      </c>
      <c r="CD140" s="249">
        <f>IF(AND(CC140&gt;0,$N140&lt;&gt;""),IF((DATE(Assumptions!$B$4,12,28)-$N140)/365.25&lt;=Assumptions!$B$20,(DATE(Assumptions!$B$4,12,28)-$N140)/365.25*Assumptions!$B$18*CC140,(Assumptions!$B$20*Assumptions!$B$18+((DATE(Assumptions!$B$4,12,28)-$N140)/365.25-Assumptions!$B$20)*Assumptions!$B$19)*CC140),0)</f>
        <v>89336.546885694741</v>
      </c>
      <c r="CE140" s="249">
        <f>IF(CB140&gt;0,IF($M140="Saudi",MIN(CB140+$Q140*$V140,Assumptions!$B$14)*Assumptions!$B$12,MIN(CB140+$Q140*$V140,Assumptions!$B$14)*Assumptions!$B$13),0)</f>
        <v>0</v>
      </c>
      <c r="CF140" s="249">
        <f>IF(AND(CB140&gt;0,$M140="Non-Saudi"),Assumptions!$B$25,0)</f>
        <v>910.41666666666663</v>
      </c>
      <c r="CG140" s="249">
        <f t="shared" si="73"/>
        <v>115000</v>
      </c>
      <c r="CH140" s="249">
        <f t="shared" si="74"/>
        <v>157960</v>
      </c>
      <c r="CI140" s="249">
        <f>CD140-IF(AND(Z140&gt;0,$N140&lt;&gt;""),IF((DATE(Assumptions!$B$4-1,12,28)-$N140)/365.25&lt;=Assumptions!$B$20,(DATE(Assumptions!$B$4-1,12,28)-$N140)/365.25*Assumptions!$B$18*Z140,(Assumptions!$B$20*Assumptions!$B$18+((DATE(Assumptions!$B$4-1,12,28)-$N140)/365.25-Assumptions!$B$20)*Assumptions!$B$19)*Z140),0)</f>
        <v>14746.526351813853</v>
      </c>
      <c r="CJ140" s="249">
        <f t="shared" si="75"/>
        <v>0</v>
      </c>
      <c r="CK140" s="249">
        <f t="shared" si="76"/>
        <v>10924.999999999998</v>
      </c>
    </row>
    <row r="141" spans="1:89" x14ac:dyDescent="0.2">
      <c r="A141" s="252">
        <v>144</v>
      </c>
      <c r="B141" s="253" t="s">
        <v>589</v>
      </c>
      <c r="C141" s="253" t="s">
        <v>590</v>
      </c>
      <c r="D141" s="253" t="s">
        <v>250</v>
      </c>
      <c r="E141" s="253" t="s">
        <v>767</v>
      </c>
      <c r="F141" s="253" t="s">
        <v>251</v>
      </c>
      <c r="G141" s="253" t="s">
        <v>252</v>
      </c>
      <c r="H141" s="253" t="s">
        <v>253</v>
      </c>
      <c r="I141" s="282" t="s">
        <v>690</v>
      </c>
      <c r="J141" s="253"/>
      <c r="K141" s="253" t="s">
        <v>252</v>
      </c>
      <c r="L141" s="253" t="s">
        <v>255</v>
      </c>
      <c r="M141" s="253" t="str">
        <f t="shared" si="52"/>
        <v>Non-Saudi</v>
      </c>
      <c r="N141" s="254">
        <v>45536</v>
      </c>
      <c r="O141" s="255">
        <v>2.2999999999999998</v>
      </c>
      <c r="P141" s="256">
        <v>8250</v>
      </c>
      <c r="Q141" s="256">
        <v>2500</v>
      </c>
      <c r="R141" s="256">
        <v>500</v>
      </c>
      <c r="S141" s="256"/>
      <c r="T141" s="256"/>
      <c r="U141" s="256">
        <v>11250</v>
      </c>
      <c r="V141" s="257">
        <v>1</v>
      </c>
      <c r="W141" s="253" t="s">
        <v>259</v>
      </c>
      <c r="X141" s="253">
        <v>250</v>
      </c>
      <c r="Y141" s="249">
        <f t="shared" si="53"/>
        <v>8250</v>
      </c>
      <c r="Z141" s="249">
        <f t="shared" si="54"/>
        <v>11250</v>
      </c>
      <c r="AA141" s="249">
        <f>IF(AND(Z141&gt;0,$N141&lt;&gt;""),IF((DATE(Assumptions!$B$4,1,28)-$N141)/365.25&lt;=Assumptions!$B$20,(DATE(Assumptions!$B$4,1,28)-$N141)/365.25*Assumptions!$B$18*Z141,(Assumptions!$B$20*Assumptions!$B$18+((DATE(Assumptions!$B$4,1,28)-$N141)/365.25-Assumptions!$B$20)*Assumptions!$B$19)*Z141),0)</f>
        <v>7915.8110882956871</v>
      </c>
      <c r="AB141" s="249">
        <f>IF(Y141&gt;0,IF($M141="Saudi",MIN(Y141+$Q141*$V141,Assumptions!$B$14)*Assumptions!$B$12,MIN(Y141+$Q141*$V141,Assumptions!$B$14)*Assumptions!$B$13),0)</f>
        <v>0</v>
      </c>
      <c r="AC141" s="249">
        <f>IF(AND(Y141&gt;0,$M141="Non-Saudi"),Assumptions!$B$25,0)</f>
        <v>910.41666666666663</v>
      </c>
      <c r="AD141" s="249">
        <f t="shared" si="55"/>
        <v>8250</v>
      </c>
      <c r="AE141" s="249">
        <f t="shared" si="56"/>
        <v>11250</v>
      </c>
      <c r="AF141" s="249">
        <f>IF(AND(AE141&gt;0,$N141&lt;&gt;""),IF((DATE(Assumptions!$B$4,2,28)-$N141)/365.25&lt;=Assumptions!$B$20,(DATE(Assumptions!$B$4,2,28)-$N141)/365.25*Assumptions!$B$18*AE141,(Assumptions!$B$20*Assumptions!$B$18+((DATE(Assumptions!$B$4,2,28)-$N141)/365.25-Assumptions!$B$20)*Assumptions!$B$19)*AE141),0)</f>
        <v>8393.2238193018475</v>
      </c>
      <c r="AG141" s="249">
        <f>IF(AD141&gt;0,IF($M141="Saudi",MIN(AD141+$Q141*$V141,Assumptions!$B$14)*Assumptions!$B$12,MIN(AD141+$Q141*$V141,Assumptions!$B$14)*Assumptions!$B$13),0)</f>
        <v>0</v>
      </c>
      <c r="AH141" s="249">
        <f>IF(AND(AD141&gt;0,$M141="Non-Saudi"),Assumptions!$B$25,0)</f>
        <v>910.41666666666663</v>
      </c>
      <c r="AI141" s="249">
        <f t="shared" si="57"/>
        <v>8250</v>
      </c>
      <c r="AJ141" s="249">
        <f t="shared" si="58"/>
        <v>11250</v>
      </c>
      <c r="AK141" s="249">
        <f>IF(AND(AJ141&gt;0,$N141&lt;&gt;""),IF((DATE(Assumptions!$B$4,3,28)-$N141)/365.25&lt;=Assumptions!$B$20,(DATE(Assumptions!$B$4,3,28)-$N141)/365.25*Assumptions!$B$18*AJ141,(Assumptions!$B$20*Assumptions!$B$18+((DATE(Assumptions!$B$4,3,28)-$N141)/365.25-Assumptions!$B$20)*Assumptions!$B$19)*AJ141),0)</f>
        <v>8824.4353182751529</v>
      </c>
      <c r="AL141" s="249">
        <f>IF(AI141&gt;0,IF($M141="Saudi",MIN(AI141+$Q141*$V141,Assumptions!$B$14)*Assumptions!$B$12,MIN(AI141+$Q141*$V141,Assumptions!$B$14)*Assumptions!$B$13),0)</f>
        <v>0</v>
      </c>
      <c r="AM141" s="249">
        <f>IF(AND(AI141&gt;0,$M141="Non-Saudi"),Assumptions!$B$25,0)</f>
        <v>910.41666666666663</v>
      </c>
      <c r="AN141" s="249">
        <f t="shared" si="59"/>
        <v>8250</v>
      </c>
      <c r="AO141" s="249">
        <f t="shared" si="60"/>
        <v>11250</v>
      </c>
      <c r="AP141" s="249">
        <f>IF(AND(AO141&gt;0,$N141&lt;&gt;""),IF((DATE(Assumptions!$B$4,4,28)-$N141)/365.25&lt;=Assumptions!$B$20,(DATE(Assumptions!$B$4,4,28)-$N141)/365.25*Assumptions!$B$18*AO141,(Assumptions!$B$20*Assumptions!$B$18+((DATE(Assumptions!$B$4,4,28)-$N141)/365.25-Assumptions!$B$20)*Assumptions!$B$19)*AO141),0)</f>
        <v>9301.8480492813142</v>
      </c>
      <c r="AQ141" s="249">
        <f>IF(AN141&gt;0,IF($M141="Saudi",MIN(AN141+$Q141*$V141,Assumptions!$B$14)*Assumptions!$B$12,MIN(AN141+$Q141*$V141,Assumptions!$B$14)*Assumptions!$B$13),0)</f>
        <v>0</v>
      </c>
      <c r="AR141" s="249">
        <f>IF(AND(AN141&gt;0,$M141="Non-Saudi"),Assumptions!$B$25,0)</f>
        <v>910.41666666666663</v>
      </c>
      <c r="AS141" s="249">
        <f t="shared" si="61"/>
        <v>8250</v>
      </c>
      <c r="AT141" s="249">
        <f t="shared" si="62"/>
        <v>11250</v>
      </c>
      <c r="AU141" s="249">
        <f>IF(AND(AT141&gt;0,$N141&lt;&gt;""),IF((DATE(Assumptions!$B$4,5,28)-$N141)/365.25&lt;=Assumptions!$B$20,(DATE(Assumptions!$B$4,5,28)-$N141)/365.25*Assumptions!$B$18*AT141,(Assumptions!$B$20*Assumptions!$B$18+((DATE(Assumptions!$B$4,5,28)-$N141)/365.25-Assumptions!$B$20)*Assumptions!$B$19)*AT141),0)</f>
        <v>9763.8603696098562</v>
      </c>
      <c r="AV141" s="249">
        <f>IF(AS141&gt;0,IF($M141="Saudi",MIN(AS141+$Q141*$V141,Assumptions!$B$14)*Assumptions!$B$12,MIN(AS141+$Q141*$V141,Assumptions!$B$14)*Assumptions!$B$13),0)</f>
        <v>0</v>
      </c>
      <c r="AW141" s="249">
        <f>IF(AND(AS141&gt;0,$M141="Non-Saudi"),Assumptions!$B$25,0)</f>
        <v>910.41666666666663</v>
      </c>
      <c r="AX141" s="249">
        <f t="shared" si="63"/>
        <v>8250</v>
      </c>
      <c r="AY141" s="249">
        <f t="shared" si="64"/>
        <v>11250</v>
      </c>
      <c r="AZ141" s="249">
        <f>IF(AND(AY141&gt;0,$N141&lt;&gt;""),IF((DATE(Assumptions!$B$4,6,28)-$N141)/365.25&lt;=Assumptions!$B$20,(DATE(Assumptions!$B$4,6,28)-$N141)/365.25*Assumptions!$B$18*AY141,(Assumptions!$B$20*Assumptions!$B$18+((DATE(Assumptions!$B$4,6,28)-$N141)/365.25-Assumptions!$B$20)*Assumptions!$B$19)*AY141),0)</f>
        <v>10241.273100616016</v>
      </c>
      <c r="BA141" s="249">
        <f>IF(AX141&gt;0,IF($M141="Saudi",MIN(AX141+$Q141*$V141,Assumptions!$B$14)*Assumptions!$B$12,MIN(AX141+$Q141*$V141,Assumptions!$B$14)*Assumptions!$B$13),0)</f>
        <v>0</v>
      </c>
      <c r="BB141" s="249">
        <f>IF(AND(AX141&gt;0,$M141="Non-Saudi"),Assumptions!$B$25,0)</f>
        <v>910.41666666666663</v>
      </c>
      <c r="BC141" s="249">
        <f t="shared" si="65"/>
        <v>8250</v>
      </c>
      <c r="BD141" s="249">
        <f t="shared" si="66"/>
        <v>11250</v>
      </c>
      <c r="BE141" s="249">
        <f>IF(AND(BD141&gt;0,$N141&lt;&gt;""),IF((DATE(Assumptions!$B$4,7,28)-$N141)/365.25&lt;=Assumptions!$B$20,(DATE(Assumptions!$B$4,7,28)-$N141)/365.25*Assumptions!$B$18*BD141,(Assumptions!$B$20*Assumptions!$B$18+((DATE(Assumptions!$B$4,7,28)-$N141)/365.25-Assumptions!$B$20)*Assumptions!$B$19)*BD141),0)</f>
        <v>10703.28542094456</v>
      </c>
      <c r="BF141" s="249">
        <f>IF(BC141&gt;0,IF($M141="Saudi",MIN(BC141+$Q141*$V141,Assumptions!$B$14)*Assumptions!$B$12,MIN(BC141+$Q141*$V141,Assumptions!$B$14)*Assumptions!$B$13),0)</f>
        <v>0</v>
      </c>
      <c r="BG141" s="249">
        <f>IF(AND(BC141&gt;0,$M141="Non-Saudi"),Assumptions!$B$25,0)</f>
        <v>910.41666666666663</v>
      </c>
      <c r="BH141" s="249">
        <f t="shared" si="67"/>
        <v>8250</v>
      </c>
      <c r="BI141" s="249">
        <f t="shared" si="68"/>
        <v>11250</v>
      </c>
      <c r="BJ141" s="249">
        <f>IF(AND(BI141&gt;0,$N141&lt;&gt;""),IF((DATE(Assumptions!$B$4,8,28)-$N141)/365.25&lt;=Assumptions!$B$20,(DATE(Assumptions!$B$4,8,28)-$N141)/365.25*Assumptions!$B$18*BI141,(Assumptions!$B$20*Assumptions!$B$18+((DATE(Assumptions!$B$4,8,28)-$N141)/365.25-Assumptions!$B$20)*Assumptions!$B$19)*BI141),0)</f>
        <v>11180.698151950719</v>
      </c>
      <c r="BK141" s="249">
        <f>IF(BH141&gt;0,IF($M141="Saudi",MIN(BH141+$Q141*$V141,Assumptions!$B$14)*Assumptions!$B$12,MIN(BH141+$Q141*$V141,Assumptions!$B$14)*Assumptions!$B$13),0)</f>
        <v>0</v>
      </c>
      <c r="BL141" s="249">
        <f>IF(AND(BH141&gt;0,$M141="Non-Saudi"),Assumptions!$B$25,0)</f>
        <v>910.41666666666663</v>
      </c>
      <c r="BM141" s="249">
        <f>IF(AND($D141="Contrat Local",$N141&lt;&gt;""),IF(AND(9&gt;=Assumptions!$B$5,ISNUMBER($X141),$N141&lt;EDATE(Assumptions!$B$9,-Assumptions!$B$6*12)),($P141+$X141)*$V141,$P141*$V141),0)</f>
        <v>8500</v>
      </c>
      <c r="BN141" s="249">
        <f t="shared" si="69"/>
        <v>11500</v>
      </c>
      <c r="BO141" s="249">
        <f>IF(AND(BN141&gt;0,$N141&lt;&gt;""),IF((DATE(Assumptions!$B$4,9,28)-$N141)/365.25&lt;=Assumptions!$B$20,(DATE(Assumptions!$B$4,9,28)-$N141)/365.25*Assumptions!$B$18*BN141,(Assumptions!$B$20*Assumptions!$B$18+((DATE(Assumptions!$B$4,9,28)-$N141)/365.25-Assumptions!$B$20)*Assumptions!$B$19)*BN141),0)</f>
        <v>11917.180013689254</v>
      </c>
      <c r="BP141" s="249">
        <f>IF(BM141&gt;0,IF($M141="Saudi",MIN(BM141+$Q141*$V141,Assumptions!$B$14)*Assumptions!$B$12,MIN(BM141+$Q141*$V141,Assumptions!$B$14)*Assumptions!$B$13),0)</f>
        <v>0</v>
      </c>
      <c r="BQ141" s="249">
        <f>IF(AND(BM141&gt;0,$M141="Non-Saudi"),Assumptions!$B$25,0)</f>
        <v>910.41666666666663</v>
      </c>
      <c r="BR141" s="249">
        <f>IF(AND($D141="Contrat Local",$N141&lt;&gt;""),IF(AND(10&gt;=Assumptions!$B$5,ISNUMBER($X141),$N141&lt;EDATE(Assumptions!$B$9,-Assumptions!$B$6*12)),($P141+$X141)*$V141,$P141*$V141),0)</f>
        <v>8500</v>
      </c>
      <c r="BS141" s="249">
        <f t="shared" si="70"/>
        <v>11500</v>
      </c>
      <c r="BT141" s="249">
        <f>IF(AND(BS141&gt;0,$N141&lt;&gt;""),IF((DATE(Assumptions!$B$4,10,28)-$N141)/365.25&lt;=Assumptions!$B$20,(DATE(Assumptions!$B$4,10,28)-$N141)/365.25*Assumptions!$B$18*BS141,(Assumptions!$B$20*Assumptions!$B$18+((DATE(Assumptions!$B$4,10,28)-$N141)/365.25-Assumptions!$B$20)*Assumptions!$B$19)*BS141),0)</f>
        <v>12389.45927446954</v>
      </c>
      <c r="BU141" s="249">
        <f>IF(BR141&gt;0,IF($M141="Saudi",MIN(BR141+$Q141*$V141,Assumptions!$B$14)*Assumptions!$B$12,MIN(BR141+$Q141*$V141,Assumptions!$B$14)*Assumptions!$B$13),0)</f>
        <v>0</v>
      </c>
      <c r="BV141" s="249">
        <f>IF(AND(BR141&gt;0,$M141="Non-Saudi"),Assumptions!$B$25,0)</f>
        <v>910.41666666666663</v>
      </c>
      <c r="BW141" s="249">
        <f>IF(AND($D141="Contrat Local",$N141&lt;&gt;""),IF(AND(11&gt;=Assumptions!$B$5,ISNUMBER($X141),$N141&lt;EDATE(Assumptions!$B$9,-Assumptions!$B$6*12)),($P141+$X141)*$V141,$P141*$V141),0)</f>
        <v>8500</v>
      </c>
      <c r="BX141" s="249">
        <f t="shared" si="71"/>
        <v>11500</v>
      </c>
      <c r="BY141" s="249">
        <f>IF(AND(BX141&gt;0,$N141&lt;&gt;""),IF((DATE(Assumptions!$B$4,11,28)-$N141)/365.25&lt;=Assumptions!$B$20,(DATE(Assumptions!$B$4,11,28)-$N141)/365.25*Assumptions!$B$18*BX141,(Assumptions!$B$20*Assumptions!$B$18+((DATE(Assumptions!$B$4,11,28)-$N141)/365.25-Assumptions!$B$20)*Assumptions!$B$19)*BX141),0)</f>
        <v>12877.48117727584</v>
      </c>
      <c r="BZ141" s="249">
        <f>IF(BW141&gt;0,IF($M141="Saudi",MIN(BW141+$Q141*$V141,Assumptions!$B$14)*Assumptions!$B$12,MIN(BW141+$Q141*$V141,Assumptions!$B$14)*Assumptions!$B$13),0)</f>
        <v>0</v>
      </c>
      <c r="CA141" s="249">
        <f>IF(AND(BW141&gt;0,$M141="Non-Saudi"),Assumptions!$B$25,0)</f>
        <v>910.41666666666663</v>
      </c>
      <c r="CB141" s="249">
        <f>IF(AND($D141="Contrat Local",$N141&lt;&gt;""),IF(AND(12&gt;=Assumptions!$B$5,ISNUMBER($X141),$N141&lt;EDATE(Assumptions!$B$9,-Assumptions!$B$6*12)),($P141+$X141)*$V141,$P141*$V141),0)</f>
        <v>8500</v>
      </c>
      <c r="CC141" s="249">
        <f t="shared" si="72"/>
        <v>11500</v>
      </c>
      <c r="CD141" s="249">
        <f>IF(AND(CC141&gt;0,$N141&lt;&gt;""),IF((DATE(Assumptions!$B$4,12,28)-$N141)/365.25&lt;=Assumptions!$B$20,(DATE(Assumptions!$B$4,12,28)-$N141)/365.25*Assumptions!$B$18*CC141,(Assumptions!$B$20*Assumptions!$B$18+((DATE(Assumptions!$B$4,12,28)-$N141)/365.25-Assumptions!$B$20)*Assumptions!$B$19)*CC141),0)</f>
        <v>13349.760438056126</v>
      </c>
      <c r="CE141" s="249">
        <f>IF(CB141&gt;0,IF($M141="Saudi",MIN(CB141+$Q141*$V141,Assumptions!$B$14)*Assumptions!$B$12,MIN(CB141+$Q141*$V141,Assumptions!$B$14)*Assumptions!$B$13),0)</f>
        <v>0</v>
      </c>
      <c r="CF141" s="249">
        <f>IF(AND(CB141&gt;0,$M141="Non-Saudi"),Assumptions!$B$25,0)</f>
        <v>910.41666666666663</v>
      </c>
      <c r="CG141" s="249">
        <f t="shared" si="73"/>
        <v>100000</v>
      </c>
      <c r="CH141" s="249">
        <f t="shared" si="74"/>
        <v>136000</v>
      </c>
      <c r="CI141" s="249">
        <f>CD141-IF(AND(Z141&gt;0,$N141&lt;&gt;""),IF((DATE(Assumptions!$B$4-1,12,28)-$N141)/365.25&lt;=Assumptions!$B$20,(DATE(Assumptions!$B$4-1,12,28)-$N141)/365.25*Assumptions!$B$18*Z141,(Assumptions!$B$20*Assumptions!$B$18+((DATE(Assumptions!$B$4-1,12,28)-$N141)/365.25-Assumptions!$B$20)*Assumptions!$B$19)*Z141),0)</f>
        <v>5911.3620807665984</v>
      </c>
      <c r="CJ141" s="249">
        <f t="shared" si="75"/>
        <v>0</v>
      </c>
      <c r="CK141" s="249">
        <f t="shared" si="76"/>
        <v>10924.999999999998</v>
      </c>
    </row>
    <row r="142" spans="1:89" x14ac:dyDescent="0.2">
      <c r="A142" s="276">
        <v>145</v>
      </c>
      <c r="B142" s="277" t="s">
        <v>591</v>
      </c>
      <c r="C142" s="277" t="s">
        <v>592</v>
      </c>
      <c r="D142" s="277" t="s">
        <v>250</v>
      </c>
      <c r="E142" s="277" t="s">
        <v>767</v>
      </c>
      <c r="F142" s="277" t="s">
        <v>302</v>
      </c>
      <c r="G142" s="277" t="s">
        <v>303</v>
      </c>
      <c r="H142" s="277" t="s">
        <v>40</v>
      </c>
      <c r="I142" s="287" t="s">
        <v>691</v>
      </c>
      <c r="J142" s="277" t="s">
        <v>71</v>
      </c>
      <c r="K142" s="277" t="s">
        <v>254</v>
      </c>
      <c r="L142" s="277" t="s">
        <v>255</v>
      </c>
      <c r="M142" s="277" t="str">
        <f t="shared" si="52"/>
        <v>Non-Saudi</v>
      </c>
      <c r="N142" s="278">
        <v>42248</v>
      </c>
      <c r="O142" s="279">
        <v>11.3</v>
      </c>
      <c r="P142" s="280">
        <v>10500</v>
      </c>
      <c r="Q142" s="280">
        <v>2500</v>
      </c>
      <c r="R142" s="280">
        <v>500</v>
      </c>
      <c r="S142" s="280"/>
      <c r="T142" s="280">
        <v>1300</v>
      </c>
      <c r="U142" s="280">
        <v>14800</v>
      </c>
      <c r="V142" s="281">
        <v>1</v>
      </c>
      <c r="W142" s="277" t="s">
        <v>259</v>
      </c>
      <c r="X142" s="277">
        <v>250</v>
      </c>
      <c r="Y142" s="249">
        <f t="shared" si="53"/>
        <v>10500</v>
      </c>
      <c r="Z142" s="249">
        <f t="shared" si="54"/>
        <v>14800</v>
      </c>
      <c r="AA142" s="249">
        <f>IF(AND(Z142&gt;0,$N142&lt;&gt;""),IF((DATE(Assumptions!$B$4,1,28)-$N142)/365.25&lt;=Assumptions!$B$20,(DATE(Assumptions!$B$4,1,28)-$N142)/365.25*Assumptions!$B$18*Z142,(Assumptions!$B$20*Assumptions!$B$18+((DATE(Assumptions!$B$4,1,28)-$N142)/365.25-Assumptions!$B$20)*Assumptions!$B$19)*Z142),0)</f>
        <v>117057.76865160849</v>
      </c>
      <c r="AB142" s="249">
        <f>IF(Y142&gt;0,IF($M142="Saudi",MIN(Y142+$Q142*$V142,Assumptions!$B$14)*Assumptions!$B$12,MIN(Y142+$Q142*$V142,Assumptions!$B$14)*Assumptions!$B$13),0)</f>
        <v>0</v>
      </c>
      <c r="AC142" s="249">
        <f>IF(AND(Y142&gt;0,$M142="Non-Saudi"),Assumptions!$B$25,0)</f>
        <v>910.41666666666663</v>
      </c>
      <c r="AD142" s="249">
        <f t="shared" si="55"/>
        <v>10500</v>
      </c>
      <c r="AE142" s="249">
        <f t="shared" si="56"/>
        <v>14800</v>
      </c>
      <c r="AF142" s="249">
        <f>IF(AND(AE142&gt;0,$N142&lt;&gt;""),IF((DATE(Assumptions!$B$4,2,28)-$N142)/365.25&lt;=Assumptions!$B$20,(DATE(Assumptions!$B$4,2,28)-$N142)/365.25*Assumptions!$B$18*AE142,(Assumptions!$B$20*Assumptions!$B$18+((DATE(Assumptions!$B$4,2,28)-$N142)/365.25-Assumptions!$B$20)*Assumptions!$B$19)*AE142),0)</f>
        <v>118313.89459274471</v>
      </c>
      <c r="AG142" s="249">
        <f>IF(AD142&gt;0,IF($M142="Saudi",MIN(AD142+$Q142*$V142,Assumptions!$B$14)*Assumptions!$B$12,MIN(AD142+$Q142*$V142,Assumptions!$B$14)*Assumptions!$B$13),0)</f>
        <v>0</v>
      </c>
      <c r="AH142" s="249">
        <f>IF(AND(AD142&gt;0,$M142="Non-Saudi"),Assumptions!$B$25,0)</f>
        <v>910.41666666666663</v>
      </c>
      <c r="AI142" s="249">
        <f t="shared" si="57"/>
        <v>10500</v>
      </c>
      <c r="AJ142" s="249">
        <f t="shared" si="58"/>
        <v>14800</v>
      </c>
      <c r="AK142" s="249">
        <f>IF(AND(AJ142&gt;0,$N142&lt;&gt;""),IF((DATE(Assumptions!$B$4,3,28)-$N142)/365.25&lt;=Assumptions!$B$20,(DATE(Assumptions!$B$4,3,28)-$N142)/365.25*Assumptions!$B$18*AJ142,(Assumptions!$B$20*Assumptions!$B$18+((DATE(Assumptions!$B$4,3,28)-$N142)/365.25-Assumptions!$B$20)*Assumptions!$B$19)*AJ142),0)</f>
        <v>119448.45995893223</v>
      </c>
      <c r="AL142" s="249">
        <f>IF(AI142&gt;0,IF($M142="Saudi",MIN(AI142+$Q142*$V142,Assumptions!$B$14)*Assumptions!$B$12,MIN(AI142+$Q142*$V142,Assumptions!$B$14)*Assumptions!$B$13),0)</f>
        <v>0</v>
      </c>
      <c r="AM142" s="249">
        <f>IF(AND(AI142&gt;0,$M142="Non-Saudi"),Assumptions!$B$25,0)</f>
        <v>910.41666666666663</v>
      </c>
      <c r="AN142" s="249">
        <f t="shared" si="59"/>
        <v>10500</v>
      </c>
      <c r="AO142" s="249">
        <f t="shared" si="60"/>
        <v>14800</v>
      </c>
      <c r="AP142" s="249">
        <f>IF(AND(AO142&gt;0,$N142&lt;&gt;""),IF((DATE(Assumptions!$B$4,4,28)-$N142)/365.25&lt;=Assumptions!$B$20,(DATE(Assumptions!$B$4,4,28)-$N142)/365.25*Assumptions!$B$18*AO142,(Assumptions!$B$20*Assumptions!$B$18+((DATE(Assumptions!$B$4,4,28)-$N142)/365.25-Assumptions!$B$20)*Assumptions!$B$19)*AO142),0)</f>
        <v>120704.58590006844</v>
      </c>
      <c r="AQ142" s="249">
        <f>IF(AN142&gt;0,IF($M142="Saudi",MIN(AN142+$Q142*$V142,Assumptions!$B$14)*Assumptions!$B$12,MIN(AN142+$Q142*$V142,Assumptions!$B$14)*Assumptions!$B$13),0)</f>
        <v>0</v>
      </c>
      <c r="AR142" s="249">
        <f>IF(AND(AN142&gt;0,$M142="Non-Saudi"),Assumptions!$B$25,0)</f>
        <v>910.41666666666663</v>
      </c>
      <c r="AS142" s="249">
        <f t="shared" si="61"/>
        <v>10500</v>
      </c>
      <c r="AT142" s="249">
        <f t="shared" si="62"/>
        <v>14800</v>
      </c>
      <c r="AU142" s="249">
        <f>IF(AND(AT142&gt;0,$N142&lt;&gt;""),IF((DATE(Assumptions!$B$4,5,28)-$N142)/365.25&lt;=Assumptions!$B$20,(DATE(Assumptions!$B$4,5,28)-$N142)/365.25*Assumptions!$B$18*AT142,(Assumptions!$B$20*Assumptions!$B$18+((DATE(Assumptions!$B$4,5,28)-$N142)/365.25-Assumptions!$B$20)*Assumptions!$B$19)*AT142),0)</f>
        <v>121920.1916495551</v>
      </c>
      <c r="AV142" s="249">
        <f>IF(AS142&gt;0,IF($M142="Saudi",MIN(AS142+$Q142*$V142,Assumptions!$B$14)*Assumptions!$B$12,MIN(AS142+$Q142*$V142,Assumptions!$B$14)*Assumptions!$B$13),0)</f>
        <v>0</v>
      </c>
      <c r="AW142" s="249">
        <f>IF(AND(AS142&gt;0,$M142="Non-Saudi"),Assumptions!$B$25,0)</f>
        <v>910.41666666666663</v>
      </c>
      <c r="AX142" s="249">
        <f t="shared" si="63"/>
        <v>10500</v>
      </c>
      <c r="AY142" s="249">
        <f t="shared" si="64"/>
        <v>14800</v>
      </c>
      <c r="AZ142" s="249">
        <f>IF(AND(AY142&gt;0,$N142&lt;&gt;""),IF((DATE(Assumptions!$B$4,6,28)-$N142)/365.25&lt;=Assumptions!$B$20,(DATE(Assumptions!$B$4,6,28)-$N142)/365.25*Assumptions!$B$18*AY142,(Assumptions!$B$20*Assumptions!$B$18+((DATE(Assumptions!$B$4,6,28)-$N142)/365.25-Assumptions!$B$20)*Assumptions!$B$19)*AY142),0)</f>
        <v>123176.31759069131</v>
      </c>
      <c r="BA142" s="249">
        <f>IF(AX142&gt;0,IF($M142="Saudi",MIN(AX142+$Q142*$V142,Assumptions!$B$14)*Assumptions!$B$12,MIN(AX142+$Q142*$V142,Assumptions!$B$14)*Assumptions!$B$13),0)</f>
        <v>0</v>
      </c>
      <c r="BB142" s="249">
        <f>IF(AND(AX142&gt;0,$M142="Non-Saudi"),Assumptions!$B$25,0)</f>
        <v>910.41666666666663</v>
      </c>
      <c r="BC142" s="249">
        <f t="shared" si="65"/>
        <v>10500</v>
      </c>
      <c r="BD142" s="249">
        <f t="shared" si="66"/>
        <v>14800</v>
      </c>
      <c r="BE142" s="249">
        <f>IF(AND(BD142&gt;0,$N142&lt;&gt;""),IF((DATE(Assumptions!$B$4,7,28)-$N142)/365.25&lt;=Assumptions!$B$20,(DATE(Assumptions!$B$4,7,28)-$N142)/365.25*Assumptions!$B$18*BD142,(Assumptions!$B$20*Assumptions!$B$18+((DATE(Assumptions!$B$4,7,28)-$N142)/365.25-Assumptions!$B$20)*Assumptions!$B$19)*BD142),0)</f>
        <v>124391.92334017795</v>
      </c>
      <c r="BF142" s="249">
        <f>IF(BC142&gt;0,IF($M142="Saudi",MIN(BC142+$Q142*$V142,Assumptions!$B$14)*Assumptions!$B$12,MIN(BC142+$Q142*$V142,Assumptions!$B$14)*Assumptions!$B$13),0)</f>
        <v>0</v>
      </c>
      <c r="BG142" s="249">
        <f>IF(AND(BC142&gt;0,$M142="Non-Saudi"),Assumptions!$B$25,0)</f>
        <v>910.41666666666663</v>
      </c>
      <c r="BH142" s="249">
        <f t="shared" si="67"/>
        <v>10500</v>
      </c>
      <c r="BI142" s="249">
        <f t="shared" si="68"/>
        <v>14800</v>
      </c>
      <c r="BJ142" s="249">
        <f>IF(AND(BI142&gt;0,$N142&lt;&gt;""),IF((DATE(Assumptions!$B$4,8,28)-$N142)/365.25&lt;=Assumptions!$B$20,(DATE(Assumptions!$B$4,8,28)-$N142)/365.25*Assumptions!$B$18*BI142,(Assumptions!$B$20*Assumptions!$B$18+((DATE(Assumptions!$B$4,8,28)-$N142)/365.25-Assumptions!$B$20)*Assumptions!$B$19)*BI142),0)</f>
        <v>125648.04928131418</v>
      </c>
      <c r="BK142" s="249">
        <f>IF(BH142&gt;0,IF($M142="Saudi",MIN(BH142+$Q142*$V142,Assumptions!$B$14)*Assumptions!$B$12,MIN(BH142+$Q142*$V142,Assumptions!$B$14)*Assumptions!$B$13),0)</f>
        <v>0</v>
      </c>
      <c r="BL142" s="249">
        <f>IF(AND(BH142&gt;0,$M142="Non-Saudi"),Assumptions!$B$25,0)</f>
        <v>910.41666666666663</v>
      </c>
      <c r="BM142" s="249">
        <f>IF(AND($D142="Contrat Local",$N142&lt;&gt;""),IF(AND(9&gt;=Assumptions!$B$5,ISNUMBER($X142),$N142&lt;EDATE(Assumptions!$B$9,-Assumptions!$B$6*12)),($P142+$X142)*$V142,$P142*$V142),0)</f>
        <v>10750</v>
      </c>
      <c r="BN142" s="249">
        <f t="shared" si="69"/>
        <v>15050</v>
      </c>
      <c r="BO142" s="249">
        <f>IF(AND(BN142&gt;0,$N142&lt;&gt;""),IF((DATE(Assumptions!$B$4,9,28)-$N142)/365.25&lt;=Assumptions!$B$20,(DATE(Assumptions!$B$4,9,28)-$N142)/365.25*Assumptions!$B$18*BN142,(Assumptions!$B$20*Assumptions!$B$18+((DATE(Assumptions!$B$4,9,28)-$N142)/365.25-Assumptions!$B$20)*Assumptions!$B$19)*BN142),0)</f>
        <v>129047.82683093773</v>
      </c>
      <c r="BP142" s="249">
        <f>IF(BM142&gt;0,IF($M142="Saudi",MIN(BM142+$Q142*$V142,Assumptions!$B$14)*Assumptions!$B$12,MIN(BM142+$Q142*$V142,Assumptions!$B$14)*Assumptions!$B$13),0)</f>
        <v>0</v>
      </c>
      <c r="BQ142" s="249">
        <f>IF(AND(BM142&gt;0,$M142="Non-Saudi"),Assumptions!$B$25,0)</f>
        <v>910.41666666666663</v>
      </c>
      <c r="BR142" s="249">
        <f>IF(AND($D142="Contrat Local",$N142&lt;&gt;""),IF(AND(10&gt;=Assumptions!$B$5,ISNUMBER($X142),$N142&lt;EDATE(Assumptions!$B$9,-Assumptions!$B$6*12)),($P142+$X142)*$V142,$P142*$V142),0)</f>
        <v>10750</v>
      </c>
      <c r="BS142" s="249">
        <f t="shared" si="70"/>
        <v>15050</v>
      </c>
      <c r="BT142" s="249">
        <f>IF(AND(BS142&gt;0,$N142&lt;&gt;""),IF((DATE(Assumptions!$B$4,10,28)-$N142)/365.25&lt;=Assumptions!$B$20,(DATE(Assumptions!$B$4,10,28)-$N142)/365.25*Assumptions!$B$18*BS142,(Assumptions!$B$20*Assumptions!$B$18+((DATE(Assumptions!$B$4,10,28)-$N142)/365.25-Assumptions!$B$20)*Assumptions!$B$19)*BS142),0)</f>
        <v>130283.96646132786</v>
      </c>
      <c r="BU142" s="249">
        <f>IF(BR142&gt;0,IF($M142="Saudi",MIN(BR142+$Q142*$V142,Assumptions!$B$14)*Assumptions!$B$12,MIN(BR142+$Q142*$V142,Assumptions!$B$14)*Assumptions!$B$13),0)</f>
        <v>0</v>
      </c>
      <c r="BV142" s="249">
        <f>IF(AND(BR142&gt;0,$M142="Non-Saudi"),Assumptions!$B$25,0)</f>
        <v>910.41666666666663</v>
      </c>
      <c r="BW142" s="249">
        <f>IF(AND($D142="Contrat Local",$N142&lt;&gt;""),IF(AND(11&gt;=Assumptions!$B$5,ISNUMBER($X142),$N142&lt;EDATE(Assumptions!$B$9,-Assumptions!$B$6*12)),($P142+$X142)*$V142,$P142*$V142),0)</f>
        <v>10750</v>
      </c>
      <c r="BX142" s="249">
        <f t="shared" si="71"/>
        <v>15050</v>
      </c>
      <c r="BY142" s="249">
        <f>IF(AND(BX142&gt;0,$N142&lt;&gt;""),IF((DATE(Assumptions!$B$4,11,28)-$N142)/365.25&lt;=Assumptions!$B$20,(DATE(Assumptions!$B$4,11,28)-$N142)/365.25*Assumptions!$B$18*BX142,(Assumptions!$B$20*Assumptions!$B$18+((DATE(Assumptions!$B$4,11,28)-$N142)/365.25-Assumptions!$B$20)*Assumptions!$B$19)*BX142),0)</f>
        <v>131561.31074606432</v>
      </c>
      <c r="BZ142" s="249">
        <f>IF(BW142&gt;0,IF($M142="Saudi",MIN(BW142+$Q142*$V142,Assumptions!$B$14)*Assumptions!$B$12,MIN(BW142+$Q142*$V142,Assumptions!$B$14)*Assumptions!$B$13),0)</f>
        <v>0</v>
      </c>
      <c r="CA142" s="249">
        <f>IF(AND(BW142&gt;0,$M142="Non-Saudi"),Assumptions!$B$25,0)</f>
        <v>910.41666666666663</v>
      </c>
      <c r="CB142" s="249">
        <f>IF(AND($D142="Contrat Local",$N142&lt;&gt;""),IF(AND(12&gt;=Assumptions!$B$5,ISNUMBER($X142),$N142&lt;EDATE(Assumptions!$B$9,-Assumptions!$B$6*12)),($P142+$X142)*$V142,$P142*$V142),0)</f>
        <v>10750</v>
      </c>
      <c r="CC142" s="249">
        <f t="shared" si="72"/>
        <v>15050</v>
      </c>
      <c r="CD142" s="249">
        <f>IF(AND(CC142&gt;0,$N142&lt;&gt;""),IF((DATE(Assumptions!$B$4,12,28)-$N142)/365.25&lt;=Assumptions!$B$20,(DATE(Assumptions!$B$4,12,28)-$N142)/365.25*Assumptions!$B$18*CC142,(Assumptions!$B$20*Assumptions!$B$18+((DATE(Assumptions!$B$4,12,28)-$N142)/365.25-Assumptions!$B$20)*Assumptions!$B$19)*CC142),0)</f>
        <v>132797.45037645448</v>
      </c>
      <c r="CE142" s="249">
        <f>IF(CB142&gt;0,IF($M142="Saudi",MIN(CB142+$Q142*$V142,Assumptions!$B$14)*Assumptions!$B$12,MIN(CB142+$Q142*$V142,Assumptions!$B$14)*Assumptions!$B$13),0)</f>
        <v>0</v>
      </c>
      <c r="CF142" s="249">
        <f>IF(AND(CB142&gt;0,$M142="Non-Saudi"),Assumptions!$B$25,0)</f>
        <v>910.41666666666663</v>
      </c>
      <c r="CG142" s="249">
        <f t="shared" si="73"/>
        <v>127000</v>
      </c>
      <c r="CH142" s="249">
        <f t="shared" si="74"/>
        <v>178600</v>
      </c>
      <c r="CI142" s="249">
        <f>CD142-IF(AND(Z142&gt;0,$N142&lt;&gt;""),IF((DATE(Assumptions!$B$4-1,12,28)-$N142)/365.25&lt;=Assumptions!$B$20,(DATE(Assumptions!$B$4-1,12,28)-$N142)/365.25*Assumptions!$B$18*Z142,(Assumptions!$B$20*Assumptions!$B$18+((DATE(Assumptions!$B$4-1,12,28)-$N142)/365.25-Assumptions!$B$20)*Assumptions!$B$19)*Z142),0)</f>
        <v>16995.807665982211</v>
      </c>
      <c r="CJ142" s="249">
        <f t="shared" si="75"/>
        <v>0</v>
      </c>
      <c r="CK142" s="249">
        <f t="shared" si="76"/>
        <v>10924.999999999998</v>
      </c>
    </row>
    <row r="143" spans="1:89" x14ac:dyDescent="0.2">
      <c r="A143" s="264">
        <v>146</v>
      </c>
      <c r="B143" s="265" t="s">
        <v>593</v>
      </c>
      <c r="C143" s="265" t="s">
        <v>594</v>
      </c>
      <c r="D143" s="265" t="s">
        <v>250</v>
      </c>
      <c r="E143" s="265" t="s">
        <v>767</v>
      </c>
      <c r="F143" s="265" t="s">
        <v>281</v>
      </c>
      <c r="G143" s="265" t="s">
        <v>8</v>
      </c>
      <c r="H143" s="265" t="s">
        <v>318</v>
      </c>
      <c r="I143" s="284" t="s">
        <v>691</v>
      </c>
      <c r="J143" s="286" t="s">
        <v>694</v>
      </c>
      <c r="K143" s="265" t="s">
        <v>282</v>
      </c>
      <c r="L143" s="265" t="s">
        <v>255</v>
      </c>
      <c r="M143" s="265" t="str">
        <f t="shared" si="52"/>
        <v>Non-Saudi</v>
      </c>
      <c r="N143" s="266">
        <v>34943</v>
      </c>
      <c r="O143" s="267">
        <v>31.3</v>
      </c>
      <c r="P143" s="268">
        <v>14250</v>
      </c>
      <c r="Q143" s="268">
        <v>2500</v>
      </c>
      <c r="R143" s="268">
        <v>500</v>
      </c>
      <c r="S143" s="268"/>
      <c r="T143" s="268">
        <v>1576</v>
      </c>
      <c r="U143" s="268">
        <v>18826</v>
      </c>
      <c r="V143" s="269">
        <v>1</v>
      </c>
      <c r="W143" s="265" t="s">
        <v>259</v>
      </c>
      <c r="X143" s="265">
        <v>250</v>
      </c>
      <c r="Y143" s="249">
        <f t="shared" si="53"/>
        <v>14250</v>
      </c>
      <c r="Z143" s="249">
        <f t="shared" si="54"/>
        <v>18826</v>
      </c>
      <c r="AA143" s="249">
        <f>IF(AND(Z143&gt;0,$N143&lt;&gt;""),IF((DATE(Assumptions!$B$4,1,28)-$N143)/365.25&lt;=Assumptions!$B$20,(DATE(Assumptions!$B$4,1,28)-$N143)/365.25*Assumptions!$B$18*Z143,(Assumptions!$B$20*Assumptions!$B$18+((DATE(Assumptions!$B$4,1,28)-$N143)/365.25-Assumptions!$B$20)*Assumptions!$B$19)*Z143),0)</f>
        <v>525420.64544832299</v>
      </c>
      <c r="AB143" s="249">
        <f>IF(Y143&gt;0,IF($M143="Saudi",MIN(Y143+$Q143*$V143,Assumptions!$B$14)*Assumptions!$B$12,MIN(Y143+$Q143*$V143,Assumptions!$B$14)*Assumptions!$B$13),0)</f>
        <v>0</v>
      </c>
      <c r="AC143" s="249">
        <f>IF(AND(Y143&gt;0,$M143="Non-Saudi"),Assumptions!$B$25,0)</f>
        <v>910.41666666666663</v>
      </c>
      <c r="AD143" s="249">
        <f t="shared" si="55"/>
        <v>14250</v>
      </c>
      <c r="AE143" s="249">
        <f t="shared" si="56"/>
        <v>18826</v>
      </c>
      <c r="AF143" s="249">
        <f>IF(AND(AE143&gt;0,$N143&lt;&gt;""),IF((DATE(Assumptions!$B$4,2,28)-$N143)/365.25&lt;=Assumptions!$B$20,(DATE(Assumptions!$B$4,2,28)-$N143)/365.25*Assumptions!$B$18*AE143,(Assumptions!$B$20*Assumptions!$B$18+((DATE(Assumptions!$B$4,2,28)-$N143)/365.25-Assumptions!$B$20)*Assumptions!$B$19)*AE143),0)</f>
        <v>527018.47159479803</v>
      </c>
      <c r="AG143" s="249">
        <f>IF(AD143&gt;0,IF($M143="Saudi",MIN(AD143+$Q143*$V143,Assumptions!$B$14)*Assumptions!$B$12,MIN(AD143+$Q143*$V143,Assumptions!$B$14)*Assumptions!$B$13),0)</f>
        <v>0</v>
      </c>
      <c r="AH143" s="249">
        <f>IF(AND(AD143&gt;0,$M143="Non-Saudi"),Assumptions!$B$25,0)</f>
        <v>910.41666666666663</v>
      </c>
      <c r="AI143" s="249">
        <f t="shared" si="57"/>
        <v>14250</v>
      </c>
      <c r="AJ143" s="249">
        <f t="shared" si="58"/>
        <v>18826</v>
      </c>
      <c r="AK143" s="249">
        <f>IF(AND(AJ143&gt;0,$N143&lt;&gt;""),IF((DATE(Assumptions!$B$4,3,28)-$N143)/365.25&lt;=Assumptions!$B$20,(DATE(Assumptions!$B$4,3,28)-$N143)/365.25*Assumptions!$B$18*AJ143,(Assumptions!$B$20*Assumptions!$B$18+((DATE(Assumptions!$B$4,3,28)-$N143)/365.25-Assumptions!$B$20)*Assumptions!$B$19)*AJ143),0)</f>
        <v>528461.66940451751</v>
      </c>
      <c r="AL143" s="249">
        <f>IF(AI143&gt;0,IF($M143="Saudi",MIN(AI143+$Q143*$V143,Assumptions!$B$14)*Assumptions!$B$12,MIN(AI143+$Q143*$V143,Assumptions!$B$14)*Assumptions!$B$13),0)</f>
        <v>0</v>
      </c>
      <c r="AM143" s="249">
        <f>IF(AND(AI143&gt;0,$M143="Non-Saudi"),Assumptions!$B$25,0)</f>
        <v>910.41666666666663</v>
      </c>
      <c r="AN143" s="249">
        <f t="shared" si="59"/>
        <v>14250</v>
      </c>
      <c r="AO143" s="249">
        <f t="shared" si="60"/>
        <v>18826</v>
      </c>
      <c r="AP143" s="249">
        <f>IF(AND(AO143&gt;0,$N143&lt;&gt;""),IF((DATE(Assumptions!$B$4,4,28)-$N143)/365.25&lt;=Assumptions!$B$20,(DATE(Assumptions!$B$4,4,28)-$N143)/365.25*Assumptions!$B$18*AO143,(Assumptions!$B$20*Assumptions!$B$18+((DATE(Assumptions!$B$4,4,28)-$N143)/365.25-Assumptions!$B$20)*Assumptions!$B$19)*AO143),0)</f>
        <v>530059.49555099255</v>
      </c>
      <c r="AQ143" s="249">
        <f>IF(AN143&gt;0,IF($M143="Saudi",MIN(AN143+$Q143*$V143,Assumptions!$B$14)*Assumptions!$B$12,MIN(AN143+$Q143*$V143,Assumptions!$B$14)*Assumptions!$B$13),0)</f>
        <v>0</v>
      </c>
      <c r="AR143" s="249">
        <f>IF(AND(AN143&gt;0,$M143="Non-Saudi"),Assumptions!$B$25,0)</f>
        <v>910.41666666666663</v>
      </c>
      <c r="AS143" s="249">
        <f t="shared" si="61"/>
        <v>14250</v>
      </c>
      <c r="AT143" s="249">
        <f t="shared" si="62"/>
        <v>18826</v>
      </c>
      <c r="AU143" s="249">
        <f>IF(AND(AT143&gt;0,$N143&lt;&gt;""),IF((DATE(Assumptions!$B$4,5,28)-$N143)/365.25&lt;=Assumptions!$B$20,(DATE(Assumptions!$B$4,5,28)-$N143)/365.25*Assumptions!$B$18*AT143,(Assumptions!$B$20*Assumptions!$B$18+((DATE(Assumptions!$B$4,5,28)-$N143)/365.25-Assumptions!$B$20)*Assumptions!$B$19)*AT143),0)</f>
        <v>531605.77891854895</v>
      </c>
      <c r="AV143" s="249">
        <f>IF(AS143&gt;0,IF($M143="Saudi",MIN(AS143+$Q143*$V143,Assumptions!$B$14)*Assumptions!$B$12,MIN(AS143+$Q143*$V143,Assumptions!$B$14)*Assumptions!$B$13),0)</f>
        <v>0</v>
      </c>
      <c r="AW143" s="249">
        <f>IF(AND(AS143&gt;0,$M143="Non-Saudi"),Assumptions!$B$25,0)</f>
        <v>910.41666666666663</v>
      </c>
      <c r="AX143" s="249">
        <f t="shared" si="63"/>
        <v>14250</v>
      </c>
      <c r="AY143" s="249">
        <f t="shared" si="64"/>
        <v>18826</v>
      </c>
      <c r="AZ143" s="249">
        <f>IF(AND(AY143&gt;0,$N143&lt;&gt;""),IF((DATE(Assumptions!$B$4,6,28)-$N143)/365.25&lt;=Assumptions!$B$20,(DATE(Assumptions!$B$4,6,28)-$N143)/365.25*Assumptions!$B$18*AY143,(Assumptions!$B$20*Assumptions!$B$18+((DATE(Assumptions!$B$4,6,28)-$N143)/365.25-Assumptions!$B$20)*Assumptions!$B$19)*AY143),0)</f>
        <v>533203.60506502388</v>
      </c>
      <c r="BA143" s="249">
        <f>IF(AX143&gt;0,IF($M143="Saudi",MIN(AX143+$Q143*$V143,Assumptions!$B$14)*Assumptions!$B$12,MIN(AX143+$Q143*$V143,Assumptions!$B$14)*Assumptions!$B$13),0)</f>
        <v>0</v>
      </c>
      <c r="BB143" s="249">
        <f>IF(AND(AX143&gt;0,$M143="Non-Saudi"),Assumptions!$B$25,0)</f>
        <v>910.41666666666663</v>
      </c>
      <c r="BC143" s="249">
        <f t="shared" si="65"/>
        <v>14250</v>
      </c>
      <c r="BD143" s="249">
        <f t="shared" si="66"/>
        <v>18826</v>
      </c>
      <c r="BE143" s="249">
        <f>IF(AND(BD143&gt;0,$N143&lt;&gt;""),IF((DATE(Assumptions!$B$4,7,28)-$N143)/365.25&lt;=Assumptions!$B$20,(DATE(Assumptions!$B$4,7,28)-$N143)/365.25*Assumptions!$B$18*BD143,(Assumptions!$B$20*Assumptions!$B$18+((DATE(Assumptions!$B$4,7,28)-$N143)/365.25-Assumptions!$B$20)*Assumptions!$B$19)*BD143),0)</f>
        <v>534749.8884325804</v>
      </c>
      <c r="BF143" s="249">
        <f>IF(BC143&gt;0,IF($M143="Saudi",MIN(BC143+$Q143*$V143,Assumptions!$B$14)*Assumptions!$B$12,MIN(BC143+$Q143*$V143,Assumptions!$B$14)*Assumptions!$B$13),0)</f>
        <v>0</v>
      </c>
      <c r="BG143" s="249">
        <f>IF(AND(BC143&gt;0,$M143="Non-Saudi"),Assumptions!$B$25,0)</f>
        <v>910.41666666666663</v>
      </c>
      <c r="BH143" s="249">
        <f t="shared" si="67"/>
        <v>14250</v>
      </c>
      <c r="BI143" s="249">
        <f t="shared" si="68"/>
        <v>18826</v>
      </c>
      <c r="BJ143" s="249">
        <f>IF(AND(BI143&gt;0,$N143&lt;&gt;""),IF((DATE(Assumptions!$B$4,8,28)-$N143)/365.25&lt;=Assumptions!$B$20,(DATE(Assumptions!$B$4,8,28)-$N143)/365.25*Assumptions!$B$18*BI143,(Assumptions!$B$20*Assumptions!$B$18+((DATE(Assumptions!$B$4,8,28)-$N143)/365.25-Assumptions!$B$20)*Assumptions!$B$19)*BI143),0)</f>
        <v>536347.71457905544</v>
      </c>
      <c r="BK143" s="249">
        <f>IF(BH143&gt;0,IF($M143="Saudi",MIN(BH143+$Q143*$V143,Assumptions!$B$14)*Assumptions!$B$12,MIN(BH143+$Q143*$V143,Assumptions!$B$14)*Assumptions!$B$13),0)</f>
        <v>0</v>
      </c>
      <c r="BL143" s="249">
        <f>IF(AND(BH143&gt;0,$M143="Non-Saudi"),Assumptions!$B$25,0)</f>
        <v>910.41666666666663</v>
      </c>
      <c r="BM143" s="249">
        <f>IF(AND($D143="Contrat Local",$N143&lt;&gt;""),IF(AND(9&gt;=Assumptions!$B$5,ISNUMBER($X143),$N143&lt;EDATE(Assumptions!$B$9,-Assumptions!$B$6*12)),($P143+$X143)*$V143,$P143*$V143),0)</f>
        <v>14500</v>
      </c>
      <c r="BN143" s="249">
        <f t="shared" si="69"/>
        <v>19076</v>
      </c>
      <c r="BO143" s="249">
        <f>IF(AND(BN143&gt;0,$N143&lt;&gt;""),IF((DATE(Assumptions!$B$4,9,28)-$N143)/365.25&lt;=Assumptions!$B$20,(DATE(Assumptions!$B$4,9,28)-$N143)/365.25*Assumptions!$B$18*BN143,(Assumptions!$B$20*Assumptions!$B$18+((DATE(Assumptions!$B$4,9,28)-$N143)/365.25-Assumptions!$B$20)*Assumptions!$B$19)*BN143),0)</f>
        <v>545089.19233401772</v>
      </c>
      <c r="BP143" s="249">
        <f>IF(BM143&gt;0,IF($M143="Saudi",MIN(BM143+$Q143*$V143,Assumptions!$B$14)*Assumptions!$B$12,MIN(BM143+$Q143*$V143,Assumptions!$B$14)*Assumptions!$B$13),0)</f>
        <v>0</v>
      </c>
      <c r="BQ143" s="249">
        <f>IF(AND(BM143&gt;0,$M143="Non-Saudi"),Assumptions!$B$25,0)</f>
        <v>910.41666666666663</v>
      </c>
      <c r="BR143" s="249">
        <f>IF(AND($D143="Contrat Local",$N143&lt;&gt;""),IF(AND(10&gt;=Assumptions!$B$5,ISNUMBER($X143),$N143&lt;EDATE(Assumptions!$B$9,-Assumptions!$B$6*12)),($P143+$X143)*$V143,$P143*$V143),0)</f>
        <v>14500</v>
      </c>
      <c r="BS143" s="249">
        <f t="shared" si="70"/>
        <v>19076</v>
      </c>
      <c r="BT143" s="249">
        <f>IF(AND(BS143&gt;0,$N143&lt;&gt;""),IF((DATE(Assumptions!$B$4,10,28)-$N143)/365.25&lt;=Assumptions!$B$20,(DATE(Assumptions!$B$4,10,28)-$N143)/365.25*Assumptions!$B$18*BS143,(Assumptions!$B$20*Assumptions!$B$18+((DATE(Assumptions!$B$4,10,28)-$N143)/365.25-Assumptions!$B$20)*Assumptions!$B$19)*BS143),0)</f>
        <v>546656.00958247774</v>
      </c>
      <c r="BU143" s="249">
        <f>IF(BR143&gt;0,IF($M143="Saudi",MIN(BR143+$Q143*$V143,Assumptions!$B$14)*Assumptions!$B$12,MIN(BR143+$Q143*$V143,Assumptions!$B$14)*Assumptions!$B$13),0)</f>
        <v>0</v>
      </c>
      <c r="BV143" s="249">
        <f>IF(AND(BR143&gt;0,$M143="Non-Saudi"),Assumptions!$B$25,0)</f>
        <v>910.41666666666663</v>
      </c>
      <c r="BW143" s="249">
        <f>IF(AND($D143="Contrat Local",$N143&lt;&gt;""),IF(AND(11&gt;=Assumptions!$B$5,ISNUMBER($X143),$N143&lt;EDATE(Assumptions!$B$9,-Assumptions!$B$6*12)),($P143+$X143)*$V143,$P143*$V143),0)</f>
        <v>14500</v>
      </c>
      <c r="BX143" s="249">
        <f t="shared" si="71"/>
        <v>19076</v>
      </c>
      <c r="BY143" s="249">
        <f>IF(AND(BX143&gt;0,$N143&lt;&gt;""),IF((DATE(Assumptions!$B$4,11,28)-$N143)/365.25&lt;=Assumptions!$B$20,(DATE(Assumptions!$B$4,11,28)-$N143)/365.25*Assumptions!$B$18*BX143,(Assumptions!$B$20*Assumptions!$B$18+((DATE(Assumptions!$B$4,11,28)-$N143)/365.25-Assumptions!$B$20)*Assumptions!$B$19)*BX143),0)</f>
        <v>548275.05407255306</v>
      </c>
      <c r="BZ143" s="249">
        <f>IF(BW143&gt;0,IF($M143="Saudi",MIN(BW143+$Q143*$V143,Assumptions!$B$14)*Assumptions!$B$12,MIN(BW143+$Q143*$V143,Assumptions!$B$14)*Assumptions!$B$13),0)</f>
        <v>0</v>
      </c>
      <c r="CA143" s="249">
        <f>IF(AND(BW143&gt;0,$M143="Non-Saudi"),Assumptions!$B$25,0)</f>
        <v>910.41666666666663</v>
      </c>
      <c r="CB143" s="249">
        <f>IF(AND($D143="Contrat Local",$N143&lt;&gt;""),IF(AND(12&gt;=Assumptions!$B$5,ISNUMBER($X143),$N143&lt;EDATE(Assumptions!$B$9,-Assumptions!$B$6*12)),($P143+$X143)*$V143,$P143*$V143),0)</f>
        <v>14500</v>
      </c>
      <c r="CC143" s="249">
        <f t="shared" si="72"/>
        <v>19076</v>
      </c>
      <c r="CD143" s="249">
        <f>IF(AND(CC143&gt;0,$N143&lt;&gt;""),IF((DATE(Assumptions!$B$4,12,28)-$N143)/365.25&lt;=Assumptions!$B$20,(DATE(Assumptions!$B$4,12,28)-$N143)/365.25*Assumptions!$B$18*CC143,(Assumptions!$B$20*Assumptions!$B$18+((DATE(Assumptions!$B$4,12,28)-$N143)/365.25-Assumptions!$B$20)*Assumptions!$B$19)*CC143),0)</f>
        <v>549841.87132101296</v>
      </c>
      <c r="CE143" s="249">
        <f>IF(CB143&gt;0,IF($M143="Saudi",MIN(CB143+$Q143*$V143,Assumptions!$B$14)*Assumptions!$B$12,MIN(CB143+$Q143*$V143,Assumptions!$B$14)*Assumptions!$B$13),0)</f>
        <v>0</v>
      </c>
      <c r="CF143" s="249">
        <f>IF(AND(CB143&gt;0,$M143="Non-Saudi"),Assumptions!$B$25,0)</f>
        <v>910.41666666666663</v>
      </c>
      <c r="CG143" s="249">
        <f t="shared" si="73"/>
        <v>172000</v>
      </c>
      <c r="CH143" s="249">
        <f t="shared" si="74"/>
        <v>226912</v>
      </c>
      <c r="CI143" s="249">
        <f>CD143-IF(AND(Z143&gt;0,$N143&lt;&gt;""),IF((DATE(Assumptions!$B$4-1,12,28)-$N143)/365.25&lt;=Assumptions!$B$20,(DATE(Assumptions!$B$4-1,12,28)-$N143)/365.25*Assumptions!$B$18*Z143,(Assumptions!$B$20*Assumptions!$B$18+((DATE(Assumptions!$B$4-1,12,28)-$N143)/365.25-Assumptions!$B$20)*Assumptions!$B$19)*Z143),0)</f>
        <v>26019.052019164956</v>
      </c>
      <c r="CJ143" s="249">
        <f t="shared" si="75"/>
        <v>0</v>
      </c>
      <c r="CK143" s="249">
        <f t="shared" si="76"/>
        <v>10924.999999999998</v>
      </c>
    </row>
    <row r="144" spans="1:89" x14ac:dyDescent="0.2">
      <c r="A144" s="276">
        <v>147</v>
      </c>
      <c r="B144" s="277" t="s">
        <v>595</v>
      </c>
      <c r="C144" s="277" t="s">
        <v>596</v>
      </c>
      <c r="D144" s="277" t="s">
        <v>250</v>
      </c>
      <c r="E144" s="277" t="s">
        <v>767</v>
      </c>
      <c r="F144" s="277" t="s">
        <v>302</v>
      </c>
      <c r="G144" s="277" t="s">
        <v>303</v>
      </c>
      <c r="H144" s="277" t="s">
        <v>40</v>
      </c>
      <c r="I144" s="287" t="s">
        <v>691</v>
      </c>
      <c r="J144" s="277" t="s">
        <v>71</v>
      </c>
      <c r="K144" s="277" t="s">
        <v>254</v>
      </c>
      <c r="L144" s="277" t="s">
        <v>255</v>
      </c>
      <c r="M144" s="277" t="str">
        <f t="shared" si="52"/>
        <v>Non-Saudi</v>
      </c>
      <c r="N144" s="278">
        <v>41153</v>
      </c>
      <c r="O144" s="279">
        <v>14.3</v>
      </c>
      <c r="P144" s="280">
        <v>11250</v>
      </c>
      <c r="Q144" s="280">
        <v>2500</v>
      </c>
      <c r="R144" s="280">
        <v>500</v>
      </c>
      <c r="S144" s="280"/>
      <c r="T144" s="280">
        <v>350</v>
      </c>
      <c r="U144" s="280">
        <v>14600</v>
      </c>
      <c r="V144" s="281">
        <v>1</v>
      </c>
      <c r="W144" s="277" t="s">
        <v>259</v>
      </c>
      <c r="X144" s="277">
        <v>250</v>
      </c>
      <c r="Y144" s="249">
        <f t="shared" si="53"/>
        <v>11250</v>
      </c>
      <c r="Z144" s="249">
        <f t="shared" si="54"/>
        <v>14600</v>
      </c>
      <c r="AA144" s="249">
        <f>IF(AND(Z144&gt;0,$N144&lt;&gt;""),IF((DATE(Assumptions!$B$4,1,28)-$N144)/365.25&lt;=Assumptions!$B$20,(DATE(Assumptions!$B$4,1,28)-$N144)/365.25*Assumptions!$B$18*Z144,(Assumptions!$B$20*Assumptions!$B$18+((DATE(Assumptions!$B$4,1,28)-$N144)/365.25-Assumptions!$B$20)*Assumptions!$B$19)*Z144),0)</f>
        <v>159245.92744695416</v>
      </c>
      <c r="AB144" s="249">
        <f>IF(Y144&gt;0,IF($M144="Saudi",MIN(Y144+$Q144*$V144,Assumptions!$B$14)*Assumptions!$B$12,MIN(Y144+$Q144*$V144,Assumptions!$B$14)*Assumptions!$B$13),0)</f>
        <v>0</v>
      </c>
      <c r="AC144" s="249">
        <f>IF(AND(Y144&gt;0,$M144="Non-Saudi"),Assumptions!$B$25,0)</f>
        <v>910.41666666666663</v>
      </c>
      <c r="AD144" s="249">
        <f t="shared" si="55"/>
        <v>11250</v>
      </c>
      <c r="AE144" s="249">
        <f t="shared" si="56"/>
        <v>14600</v>
      </c>
      <c r="AF144" s="249">
        <f>IF(AND(AE144&gt;0,$N144&lt;&gt;""),IF((DATE(Assumptions!$B$4,2,28)-$N144)/365.25&lt;=Assumptions!$B$20,(DATE(Assumptions!$B$4,2,28)-$N144)/365.25*Assumptions!$B$18*AE144,(Assumptions!$B$20*Assumptions!$B$18+((DATE(Assumptions!$B$4,2,28)-$N144)/365.25-Assumptions!$B$20)*Assumptions!$B$19)*AE144),0)</f>
        <v>160485.07871321012</v>
      </c>
      <c r="AG144" s="249">
        <f>IF(AD144&gt;0,IF($M144="Saudi",MIN(AD144+$Q144*$V144,Assumptions!$B$14)*Assumptions!$B$12,MIN(AD144+$Q144*$V144,Assumptions!$B$14)*Assumptions!$B$13),0)</f>
        <v>0</v>
      </c>
      <c r="AH144" s="249">
        <f>IF(AND(AD144&gt;0,$M144="Non-Saudi"),Assumptions!$B$25,0)</f>
        <v>910.41666666666663</v>
      </c>
      <c r="AI144" s="249">
        <f t="shared" si="57"/>
        <v>11250</v>
      </c>
      <c r="AJ144" s="249">
        <f t="shared" si="58"/>
        <v>14600</v>
      </c>
      <c r="AK144" s="249">
        <f>IF(AND(AJ144&gt;0,$N144&lt;&gt;""),IF((DATE(Assumptions!$B$4,3,28)-$N144)/365.25&lt;=Assumptions!$B$20,(DATE(Assumptions!$B$4,3,28)-$N144)/365.25*Assumptions!$B$18*AJ144,(Assumptions!$B$20*Assumptions!$B$18+((DATE(Assumptions!$B$4,3,28)-$N144)/365.25-Assumptions!$B$20)*Assumptions!$B$19)*AJ144),0)</f>
        <v>161604.31211498973</v>
      </c>
      <c r="AL144" s="249">
        <f>IF(AI144&gt;0,IF($M144="Saudi",MIN(AI144+$Q144*$V144,Assumptions!$B$14)*Assumptions!$B$12,MIN(AI144+$Q144*$V144,Assumptions!$B$14)*Assumptions!$B$13),0)</f>
        <v>0</v>
      </c>
      <c r="AM144" s="249">
        <f>IF(AND(AI144&gt;0,$M144="Non-Saudi"),Assumptions!$B$25,0)</f>
        <v>910.41666666666663</v>
      </c>
      <c r="AN144" s="249">
        <f t="shared" si="59"/>
        <v>11250</v>
      </c>
      <c r="AO144" s="249">
        <f t="shared" si="60"/>
        <v>14600</v>
      </c>
      <c r="AP144" s="249">
        <f>IF(AND(AO144&gt;0,$N144&lt;&gt;""),IF((DATE(Assumptions!$B$4,4,28)-$N144)/365.25&lt;=Assumptions!$B$20,(DATE(Assumptions!$B$4,4,28)-$N144)/365.25*Assumptions!$B$18*AO144,(Assumptions!$B$20*Assumptions!$B$18+((DATE(Assumptions!$B$4,4,28)-$N144)/365.25-Assumptions!$B$20)*Assumptions!$B$19)*AO144),0)</f>
        <v>162843.4633812457</v>
      </c>
      <c r="AQ144" s="249">
        <f>IF(AN144&gt;0,IF($M144="Saudi",MIN(AN144+$Q144*$V144,Assumptions!$B$14)*Assumptions!$B$12,MIN(AN144+$Q144*$V144,Assumptions!$B$14)*Assumptions!$B$13),0)</f>
        <v>0</v>
      </c>
      <c r="AR144" s="249">
        <f>IF(AND(AN144&gt;0,$M144="Non-Saudi"),Assumptions!$B$25,0)</f>
        <v>910.41666666666663</v>
      </c>
      <c r="AS144" s="249">
        <f t="shared" si="61"/>
        <v>11250</v>
      </c>
      <c r="AT144" s="249">
        <f t="shared" si="62"/>
        <v>14600</v>
      </c>
      <c r="AU144" s="249">
        <f>IF(AND(AT144&gt;0,$N144&lt;&gt;""),IF((DATE(Assumptions!$B$4,5,28)-$N144)/365.25&lt;=Assumptions!$B$20,(DATE(Assumptions!$B$4,5,28)-$N144)/365.25*Assumptions!$B$18*AT144,(Assumptions!$B$20*Assumptions!$B$18+((DATE(Assumptions!$B$4,5,28)-$N144)/365.25-Assumptions!$B$20)*Assumptions!$B$19)*AT144),0)</f>
        <v>164042.64202600959</v>
      </c>
      <c r="AV144" s="249">
        <f>IF(AS144&gt;0,IF($M144="Saudi",MIN(AS144+$Q144*$V144,Assumptions!$B$14)*Assumptions!$B$12,MIN(AS144+$Q144*$V144,Assumptions!$B$14)*Assumptions!$B$13),0)</f>
        <v>0</v>
      </c>
      <c r="AW144" s="249">
        <f>IF(AND(AS144&gt;0,$M144="Non-Saudi"),Assumptions!$B$25,0)</f>
        <v>910.41666666666663</v>
      </c>
      <c r="AX144" s="249">
        <f t="shared" si="63"/>
        <v>11250</v>
      </c>
      <c r="AY144" s="249">
        <f t="shared" si="64"/>
        <v>14600</v>
      </c>
      <c r="AZ144" s="249">
        <f>IF(AND(AY144&gt;0,$N144&lt;&gt;""),IF((DATE(Assumptions!$B$4,6,28)-$N144)/365.25&lt;=Assumptions!$B$20,(DATE(Assumptions!$B$4,6,28)-$N144)/365.25*Assumptions!$B$18*AY144,(Assumptions!$B$20*Assumptions!$B$18+((DATE(Assumptions!$B$4,6,28)-$N144)/365.25-Assumptions!$B$20)*Assumptions!$B$19)*AY144),0)</f>
        <v>165281.79329226556</v>
      </c>
      <c r="BA144" s="249">
        <f>IF(AX144&gt;0,IF($M144="Saudi",MIN(AX144+$Q144*$V144,Assumptions!$B$14)*Assumptions!$B$12,MIN(AX144+$Q144*$V144,Assumptions!$B$14)*Assumptions!$B$13),0)</f>
        <v>0</v>
      </c>
      <c r="BB144" s="249">
        <f>IF(AND(AX144&gt;0,$M144="Non-Saudi"),Assumptions!$B$25,0)</f>
        <v>910.41666666666663</v>
      </c>
      <c r="BC144" s="249">
        <f t="shared" si="65"/>
        <v>11250</v>
      </c>
      <c r="BD144" s="249">
        <f t="shared" si="66"/>
        <v>14600</v>
      </c>
      <c r="BE144" s="249">
        <f>IF(AND(BD144&gt;0,$N144&lt;&gt;""),IF((DATE(Assumptions!$B$4,7,28)-$N144)/365.25&lt;=Assumptions!$B$20,(DATE(Assumptions!$B$4,7,28)-$N144)/365.25*Assumptions!$B$18*BD144,(Assumptions!$B$20*Assumptions!$B$18+((DATE(Assumptions!$B$4,7,28)-$N144)/365.25-Assumptions!$B$20)*Assumptions!$B$19)*BD144),0)</f>
        <v>166480.97193702945</v>
      </c>
      <c r="BF144" s="249">
        <f>IF(BC144&gt;0,IF($M144="Saudi",MIN(BC144+$Q144*$V144,Assumptions!$B$14)*Assumptions!$B$12,MIN(BC144+$Q144*$V144,Assumptions!$B$14)*Assumptions!$B$13),0)</f>
        <v>0</v>
      </c>
      <c r="BG144" s="249">
        <f>IF(AND(BC144&gt;0,$M144="Non-Saudi"),Assumptions!$B$25,0)</f>
        <v>910.41666666666663</v>
      </c>
      <c r="BH144" s="249">
        <f t="shared" si="67"/>
        <v>11250</v>
      </c>
      <c r="BI144" s="249">
        <f t="shared" si="68"/>
        <v>14600</v>
      </c>
      <c r="BJ144" s="249">
        <f>IF(AND(BI144&gt;0,$N144&lt;&gt;""),IF((DATE(Assumptions!$B$4,8,28)-$N144)/365.25&lt;=Assumptions!$B$20,(DATE(Assumptions!$B$4,8,28)-$N144)/365.25*Assumptions!$B$18*BI144,(Assumptions!$B$20*Assumptions!$B$18+((DATE(Assumptions!$B$4,8,28)-$N144)/365.25-Assumptions!$B$20)*Assumptions!$B$19)*BI144),0)</f>
        <v>167720.12320328542</v>
      </c>
      <c r="BK144" s="249">
        <f>IF(BH144&gt;0,IF($M144="Saudi",MIN(BH144+$Q144*$V144,Assumptions!$B$14)*Assumptions!$B$12,MIN(BH144+$Q144*$V144,Assumptions!$B$14)*Assumptions!$B$13),0)</f>
        <v>0</v>
      </c>
      <c r="BL144" s="249">
        <f>IF(AND(BH144&gt;0,$M144="Non-Saudi"),Assumptions!$B$25,0)</f>
        <v>910.41666666666663</v>
      </c>
      <c r="BM144" s="249">
        <f>IF(AND($D144="Contrat Local",$N144&lt;&gt;""),IF(AND(9&gt;=Assumptions!$B$5,ISNUMBER($X144),$N144&lt;EDATE(Assumptions!$B$9,-Assumptions!$B$6*12)),($P144+$X144)*$V144,$P144*$V144),0)</f>
        <v>11500</v>
      </c>
      <c r="BN144" s="249">
        <f t="shared" si="69"/>
        <v>14850</v>
      </c>
      <c r="BO144" s="249">
        <f>IF(AND(BN144&gt;0,$N144&lt;&gt;""),IF((DATE(Assumptions!$B$4,9,28)-$N144)/365.25&lt;=Assumptions!$B$20,(DATE(Assumptions!$B$4,9,28)-$N144)/365.25*Assumptions!$B$18*BN144,(Assumptions!$B$20*Assumptions!$B$18+((DATE(Assumptions!$B$4,9,28)-$N144)/365.25-Assumptions!$B$20)*Assumptions!$B$19)*BN144),0)</f>
        <v>171852.41273100616</v>
      </c>
      <c r="BP144" s="249">
        <f>IF(BM144&gt;0,IF($M144="Saudi",MIN(BM144+$Q144*$V144,Assumptions!$B$14)*Assumptions!$B$12,MIN(BM144+$Q144*$V144,Assumptions!$B$14)*Assumptions!$B$13),0)</f>
        <v>0</v>
      </c>
      <c r="BQ144" s="249">
        <f>IF(AND(BM144&gt;0,$M144="Non-Saudi"),Assumptions!$B$25,0)</f>
        <v>910.41666666666663</v>
      </c>
      <c r="BR144" s="249">
        <f>IF(AND($D144="Contrat Local",$N144&lt;&gt;""),IF(AND(10&gt;=Assumptions!$B$5,ISNUMBER($X144),$N144&lt;EDATE(Assumptions!$B$9,-Assumptions!$B$6*12)),($P144+$X144)*$V144,$P144*$V144),0)</f>
        <v>11500</v>
      </c>
      <c r="BS144" s="249">
        <f t="shared" si="70"/>
        <v>14850</v>
      </c>
      <c r="BT144" s="249">
        <f>IF(AND(BS144&gt;0,$N144&lt;&gt;""),IF((DATE(Assumptions!$B$4,10,28)-$N144)/365.25&lt;=Assumptions!$B$20,(DATE(Assumptions!$B$4,10,28)-$N144)/365.25*Assumptions!$B$18*BS144,(Assumptions!$B$20*Assumptions!$B$18+((DATE(Assumptions!$B$4,10,28)-$N144)/365.25-Assumptions!$B$20)*Assumptions!$B$19)*BS144),0)</f>
        <v>173072.12525667349</v>
      </c>
      <c r="BU144" s="249">
        <f>IF(BR144&gt;0,IF($M144="Saudi",MIN(BR144+$Q144*$V144,Assumptions!$B$14)*Assumptions!$B$12,MIN(BR144+$Q144*$V144,Assumptions!$B$14)*Assumptions!$B$13),0)</f>
        <v>0</v>
      </c>
      <c r="BV144" s="249">
        <f>IF(AND(BR144&gt;0,$M144="Non-Saudi"),Assumptions!$B$25,0)</f>
        <v>910.41666666666663</v>
      </c>
      <c r="BW144" s="249">
        <f>IF(AND($D144="Contrat Local",$N144&lt;&gt;""),IF(AND(11&gt;=Assumptions!$B$5,ISNUMBER($X144),$N144&lt;EDATE(Assumptions!$B$9,-Assumptions!$B$6*12)),($P144+$X144)*$V144,$P144*$V144),0)</f>
        <v>11500</v>
      </c>
      <c r="BX144" s="249">
        <f t="shared" si="71"/>
        <v>14850</v>
      </c>
      <c r="BY144" s="249">
        <f>IF(AND(BX144&gt;0,$N144&lt;&gt;""),IF((DATE(Assumptions!$B$4,11,28)-$N144)/365.25&lt;=Assumptions!$B$20,(DATE(Assumptions!$B$4,11,28)-$N144)/365.25*Assumptions!$B$18*BX144,(Assumptions!$B$20*Assumptions!$B$18+((DATE(Assumptions!$B$4,11,28)-$N144)/365.25-Assumptions!$B$20)*Assumptions!$B$19)*BX144),0)</f>
        <v>174332.49486652977</v>
      </c>
      <c r="BZ144" s="249">
        <f>IF(BW144&gt;0,IF($M144="Saudi",MIN(BW144+$Q144*$V144,Assumptions!$B$14)*Assumptions!$B$12,MIN(BW144+$Q144*$V144,Assumptions!$B$14)*Assumptions!$B$13),0)</f>
        <v>0</v>
      </c>
      <c r="CA144" s="249">
        <f>IF(AND(BW144&gt;0,$M144="Non-Saudi"),Assumptions!$B$25,0)</f>
        <v>910.41666666666663</v>
      </c>
      <c r="CB144" s="249">
        <f>IF(AND($D144="Contrat Local",$N144&lt;&gt;""),IF(AND(12&gt;=Assumptions!$B$5,ISNUMBER($X144),$N144&lt;EDATE(Assumptions!$B$9,-Assumptions!$B$6*12)),($P144+$X144)*$V144,$P144*$V144),0)</f>
        <v>11500</v>
      </c>
      <c r="CC144" s="249">
        <f t="shared" si="72"/>
        <v>14850</v>
      </c>
      <c r="CD144" s="249">
        <f>IF(AND(CC144&gt;0,$N144&lt;&gt;""),IF((DATE(Assumptions!$B$4,12,28)-$N144)/365.25&lt;=Assumptions!$B$20,(DATE(Assumptions!$B$4,12,28)-$N144)/365.25*Assumptions!$B$18*CC144,(Assumptions!$B$20*Assumptions!$B$18+((DATE(Assumptions!$B$4,12,28)-$N144)/365.25-Assumptions!$B$20)*Assumptions!$B$19)*CC144),0)</f>
        <v>175552.20739219713</v>
      </c>
      <c r="CE144" s="249">
        <f>IF(CB144&gt;0,IF($M144="Saudi",MIN(CB144+$Q144*$V144,Assumptions!$B$14)*Assumptions!$B$12,MIN(CB144+$Q144*$V144,Assumptions!$B$14)*Assumptions!$B$13),0)</f>
        <v>0</v>
      </c>
      <c r="CF144" s="249">
        <f>IF(AND(CB144&gt;0,$M144="Non-Saudi"),Assumptions!$B$25,0)</f>
        <v>910.41666666666663</v>
      </c>
      <c r="CG144" s="249">
        <f t="shared" si="73"/>
        <v>136000</v>
      </c>
      <c r="CH144" s="249">
        <f t="shared" si="74"/>
        <v>176200</v>
      </c>
      <c r="CI144" s="249">
        <f>CD144-IF(AND(Z144&gt;0,$N144&lt;&gt;""),IF((DATE(Assumptions!$B$4-1,12,28)-$N144)/365.25&lt;=Assumptions!$B$20,(DATE(Assumptions!$B$4-1,12,28)-$N144)/365.25*Assumptions!$B$18*Z144,(Assumptions!$B$20*Assumptions!$B$18+((DATE(Assumptions!$B$4-1,12,28)-$N144)/365.25-Assumptions!$B$20)*Assumptions!$B$19)*Z144),0)</f>
        <v>17545.431211498973</v>
      </c>
      <c r="CJ144" s="249">
        <f t="shared" si="75"/>
        <v>0</v>
      </c>
      <c r="CK144" s="249">
        <f t="shared" si="76"/>
        <v>10924.999999999998</v>
      </c>
    </row>
    <row r="145" spans="1:89" x14ac:dyDescent="0.2">
      <c r="A145" s="264">
        <v>148</v>
      </c>
      <c r="B145" s="265" t="s">
        <v>597</v>
      </c>
      <c r="C145" s="265" t="s">
        <v>598</v>
      </c>
      <c r="D145" s="265" t="s">
        <v>250</v>
      </c>
      <c r="E145" s="265" t="s">
        <v>767</v>
      </c>
      <c r="F145" s="265" t="s">
        <v>281</v>
      </c>
      <c r="G145" s="265" t="s">
        <v>8</v>
      </c>
      <c r="H145" s="265" t="s">
        <v>599</v>
      </c>
      <c r="I145" s="284" t="s">
        <v>691</v>
      </c>
      <c r="J145" s="265" t="s">
        <v>67</v>
      </c>
      <c r="K145" s="265" t="s">
        <v>282</v>
      </c>
      <c r="L145" s="265" t="s">
        <v>255</v>
      </c>
      <c r="M145" s="265" t="str">
        <f t="shared" si="52"/>
        <v>Non-Saudi</v>
      </c>
      <c r="N145" s="266">
        <v>39692</v>
      </c>
      <c r="O145" s="267">
        <v>18.3</v>
      </c>
      <c r="P145" s="268">
        <v>11250</v>
      </c>
      <c r="Q145" s="268">
        <v>2500</v>
      </c>
      <c r="R145" s="268">
        <v>500</v>
      </c>
      <c r="S145" s="268"/>
      <c r="T145" s="268">
        <v>2380</v>
      </c>
      <c r="U145" s="268">
        <v>16630</v>
      </c>
      <c r="V145" s="269">
        <v>1</v>
      </c>
      <c r="W145" s="265" t="s">
        <v>259</v>
      </c>
      <c r="X145" s="265">
        <v>250</v>
      </c>
      <c r="Y145" s="249">
        <f t="shared" si="53"/>
        <v>11250</v>
      </c>
      <c r="Z145" s="249">
        <f t="shared" si="54"/>
        <v>16630</v>
      </c>
      <c r="AA145" s="249">
        <f>IF(AND(Z145&gt;0,$N145&lt;&gt;""),IF((DATE(Assumptions!$B$4,1,28)-$N145)/365.25&lt;=Assumptions!$B$20,(DATE(Assumptions!$B$4,1,28)-$N145)/365.25*Assumptions!$B$18*Z145,(Assumptions!$B$20*Assumptions!$B$18+((DATE(Assumptions!$B$4,1,28)-$N145)/365.25-Assumptions!$B$20)*Assumptions!$B$19)*Z145),0)</f>
        <v>247907.65571526351</v>
      </c>
      <c r="AB145" s="249">
        <f>IF(Y145&gt;0,IF($M145="Saudi",MIN(Y145+$Q145*$V145,Assumptions!$B$14)*Assumptions!$B$12,MIN(Y145+$Q145*$V145,Assumptions!$B$14)*Assumptions!$B$13),0)</f>
        <v>0</v>
      </c>
      <c r="AC145" s="249">
        <f>IF(AND(Y145&gt;0,$M145="Non-Saudi"),Assumptions!$B$25,0)</f>
        <v>910.41666666666663</v>
      </c>
      <c r="AD145" s="249">
        <f t="shared" si="55"/>
        <v>11250</v>
      </c>
      <c r="AE145" s="249">
        <f t="shared" si="56"/>
        <v>16630</v>
      </c>
      <c r="AF145" s="249">
        <f>IF(AND(AE145&gt;0,$N145&lt;&gt;""),IF((DATE(Assumptions!$B$4,2,28)-$N145)/365.25&lt;=Assumptions!$B$20,(DATE(Assumptions!$B$4,2,28)-$N145)/365.25*Assumptions!$B$18*AE145,(Assumptions!$B$20*Assumptions!$B$18+((DATE(Assumptions!$B$4,2,28)-$N145)/365.25-Assumptions!$B$20)*Assumptions!$B$19)*AE145),0)</f>
        <v>249319.0999315537</v>
      </c>
      <c r="AG145" s="249">
        <f>IF(AD145&gt;0,IF($M145="Saudi",MIN(AD145+$Q145*$V145,Assumptions!$B$14)*Assumptions!$B$12,MIN(AD145+$Q145*$V145,Assumptions!$B$14)*Assumptions!$B$13),0)</f>
        <v>0</v>
      </c>
      <c r="AH145" s="249">
        <f>IF(AND(AD145&gt;0,$M145="Non-Saudi"),Assumptions!$B$25,0)</f>
        <v>910.41666666666663</v>
      </c>
      <c r="AI145" s="249">
        <f t="shared" si="57"/>
        <v>11250</v>
      </c>
      <c r="AJ145" s="249">
        <f t="shared" si="58"/>
        <v>16630</v>
      </c>
      <c r="AK145" s="249">
        <f>IF(AND(AJ145&gt;0,$N145&lt;&gt;""),IF((DATE(Assumptions!$B$4,3,28)-$N145)/365.25&lt;=Assumptions!$B$20,(DATE(Assumptions!$B$4,3,28)-$N145)/365.25*Assumptions!$B$18*AJ145,(Assumptions!$B$20*Assumptions!$B$18+((DATE(Assumptions!$B$4,3,28)-$N145)/365.25-Assumptions!$B$20)*Assumptions!$B$19)*AJ145),0)</f>
        <v>250593.95277207394</v>
      </c>
      <c r="AL145" s="249">
        <f>IF(AI145&gt;0,IF($M145="Saudi",MIN(AI145+$Q145*$V145,Assumptions!$B$14)*Assumptions!$B$12,MIN(AI145+$Q145*$V145,Assumptions!$B$14)*Assumptions!$B$13),0)</f>
        <v>0</v>
      </c>
      <c r="AM145" s="249">
        <f>IF(AND(AI145&gt;0,$M145="Non-Saudi"),Assumptions!$B$25,0)</f>
        <v>910.41666666666663</v>
      </c>
      <c r="AN145" s="249">
        <f t="shared" si="59"/>
        <v>11250</v>
      </c>
      <c r="AO145" s="249">
        <f t="shared" si="60"/>
        <v>16630</v>
      </c>
      <c r="AP145" s="249">
        <f>IF(AND(AO145&gt;0,$N145&lt;&gt;""),IF((DATE(Assumptions!$B$4,4,28)-$N145)/365.25&lt;=Assumptions!$B$20,(DATE(Assumptions!$B$4,4,28)-$N145)/365.25*Assumptions!$B$18*AO145,(Assumptions!$B$20*Assumptions!$B$18+((DATE(Assumptions!$B$4,4,28)-$N145)/365.25-Assumptions!$B$20)*Assumptions!$B$19)*AO145),0)</f>
        <v>252005.39698836414</v>
      </c>
      <c r="AQ145" s="249">
        <f>IF(AN145&gt;0,IF($M145="Saudi",MIN(AN145+$Q145*$V145,Assumptions!$B$14)*Assumptions!$B$12,MIN(AN145+$Q145*$V145,Assumptions!$B$14)*Assumptions!$B$13),0)</f>
        <v>0</v>
      </c>
      <c r="AR145" s="249">
        <f>IF(AND(AN145&gt;0,$M145="Non-Saudi"),Assumptions!$B$25,0)</f>
        <v>910.41666666666663</v>
      </c>
      <c r="AS145" s="249">
        <f t="shared" si="61"/>
        <v>11250</v>
      </c>
      <c r="AT145" s="249">
        <f t="shared" si="62"/>
        <v>16630</v>
      </c>
      <c r="AU145" s="249">
        <f>IF(AND(AT145&gt;0,$N145&lt;&gt;""),IF((DATE(Assumptions!$B$4,5,28)-$N145)/365.25&lt;=Assumptions!$B$20,(DATE(Assumptions!$B$4,5,28)-$N145)/365.25*Assumptions!$B$18*AT145,(Assumptions!$B$20*Assumptions!$B$18+((DATE(Assumptions!$B$4,5,28)-$N145)/365.25-Assumptions!$B$20)*Assumptions!$B$19)*AT145),0)</f>
        <v>253371.31074606432</v>
      </c>
      <c r="AV145" s="249">
        <f>IF(AS145&gt;0,IF($M145="Saudi",MIN(AS145+$Q145*$V145,Assumptions!$B$14)*Assumptions!$B$12,MIN(AS145+$Q145*$V145,Assumptions!$B$14)*Assumptions!$B$13),0)</f>
        <v>0</v>
      </c>
      <c r="AW145" s="249">
        <f>IF(AND(AS145&gt;0,$M145="Non-Saudi"),Assumptions!$B$25,0)</f>
        <v>910.41666666666663</v>
      </c>
      <c r="AX145" s="249">
        <f t="shared" si="63"/>
        <v>11250</v>
      </c>
      <c r="AY145" s="249">
        <f t="shared" si="64"/>
        <v>16630</v>
      </c>
      <c r="AZ145" s="249">
        <f>IF(AND(AY145&gt;0,$N145&lt;&gt;""),IF((DATE(Assumptions!$B$4,6,28)-$N145)/365.25&lt;=Assumptions!$B$20,(DATE(Assumptions!$B$4,6,28)-$N145)/365.25*Assumptions!$B$18*AY145,(Assumptions!$B$20*Assumptions!$B$18+((DATE(Assumptions!$B$4,6,28)-$N145)/365.25-Assumptions!$B$20)*Assumptions!$B$19)*AY145),0)</f>
        <v>254782.75496235458</v>
      </c>
      <c r="BA145" s="249">
        <f>IF(AX145&gt;0,IF($M145="Saudi",MIN(AX145+$Q145*$V145,Assumptions!$B$14)*Assumptions!$B$12,MIN(AX145+$Q145*$V145,Assumptions!$B$14)*Assumptions!$B$13),0)</f>
        <v>0</v>
      </c>
      <c r="BB145" s="249">
        <f>IF(AND(AX145&gt;0,$M145="Non-Saudi"),Assumptions!$B$25,0)</f>
        <v>910.41666666666663</v>
      </c>
      <c r="BC145" s="249">
        <f t="shared" si="65"/>
        <v>11250</v>
      </c>
      <c r="BD145" s="249">
        <f t="shared" si="66"/>
        <v>16630</v>
      </c>
      <c r="BE145" s="249">
        <f>IF(AND(BD145&gt;0,$N145&lt;&gt;""),IF((DATE(Assumptions!$B$4,7,28)-$N145)/365.25&lt;=Assumptions!$B$20,(DATE(Assumptions!$B$4,7,28)-$N145)/365.25*Assumptions!$B$18*BD145,(Assumptions!$B$20*Assumptions!$B$18+((DATE(Assumptions!$B$4,7,28)-$N145)/365.25-Assumptions!$B$20)*Assumptions!$B$19)*BD145),0)</f>
        <v>256148.66872005473</v>
      </c>
      <c r="BF145" s="249">
        <f>IF(BC145&gt;0,IF($M145="Saudi",MIN(BC145+$Q145*$V145,Assumptions!$B$14)*Assumptions!$B$12,MIN(BC145+$Q145*$V145,Assumptions!$B$14)*Assumptions!$B$13),0)</f>
        <v>0</v>
      </c>
      <c r="BG145" s="249">
        <f>IF(AND(BC145&gt;0,$M145="Non-Saudi"),Assumptions!$B$25,0)</f>
        <v>910.41666666666663</v>
      </c>
      <c r="BH145" s="249">
        <f t="shared" si="67"/>
        <v>11250</v>
      </c>
      <c r="BI145" s="249">
        <f t="shared" si="68"/>
        <v>16630</v>
      </c>
      <c r="BJ145" s="249">
        <f>IF(AND(BI145&gt;0,$N145&lt;&gt;""),IF((DATE(Assumptions!$B$4,8,28)-$N145)/365.25&lt;=Assumptions!$B$20,(DATE(Assumptions!$B$4,8,28)-$N145)/365.25*Assumptions!$B$18*BI145,(Assumptions!$B$20*Assumptions!$B$18+((DATE(Assumptions!$B$4,8,28)-$N145)/365.25-Assumptions!$B$20)*Assumptions!$B$19)*BI145),0)</f>
        <v>257560.11293634496</v>
      </c>
      <c r="BK145" s="249">
        <f>IF(BH145&gt;0,IF($M145="Saudi",MIN(BH145+$Q145*$V145,Assumptions!$B$14)*Assumptions!$B$12,MIN(BH145+$Q145*$V145,Assumptions!$B$14)*Assumptions!$B$13),0)</f>
        <v>0</v>
      </c>
      <c r="BL145" s="249">
        <f>IF(AND(BH145&gt;0,$M145="Non-Saudi"),Assumptions!$B$25,0)</f>
        <v>910.41666666666663</v>
      </c>
      <c r="BM145" s="249">
        <f>IF(AND($D145="Contrat Local",$N145&lt;&gt;""),IF(AND(9&gt;=Assumptions!$B$5,ISNUMBER($X145),$N145&lt;EDATE(Assumptions!$B$9,-Assumptions!$B$6*12)),($P145+$X145)*$V145,$P145*$V145),0)</f>
        <v>11500</v>
      </c>
      <c r="BN145" s="249">
        <f t="shared" si="69"/>
        <v>16880</v>
      </c>
      <c r="BO145" s="249">
        <f>IF(AND(BN145&gt;0,$N145&lt;&gt;""),IF((DATE(Assumptions!$B$4,9,28)-$N145)/365.25&lt;=Assumptions!$B$20,(DATE(Assumptions!$B$4,9,28)-$N145)/365.25*Assumptions!$B$18*BN145,(Assumptions!$B$20*Assumptions!$B$18+((DATE(Assumptions!$B$4,9,28)-$N145)/365.25-Assumptions!$B$20)*Assumptions!$B$19)*BN145),0)</f>
        <v>262864.6954140999</v>
      </c>
      <c r="BP145" s="249">
        <f>IF(BM145&gt;0,IF($M145="Saudi",MIN(BM145+$Q145*$V145,Assumptions!$B$14)*Assumptions!$B$12,MIN(BM145+$Q145*$V145,Assumptions!$B$14)*Assumptions!$B$13),0)</f>
        <v>0</v>
      </c>
      <c r="BQ145" s="249">
        <f>IF(AND(BM145&gt;0,$M145="Non-Saudi"),Assumptions!$B$25,0)</f>
        <v>910.41666666666663</v>
      </c>
      <c r="BR145" s="249">
        <f>IF(AND($D145="Contrat Local",$N145&lt;&gt;""),IF(AND(10&gt;=Assumptions!$B$5,ISNUMBER($X145),$N145&lt;EDATE(Assumptions!$B$9,-Assumptions!$B$6*12)),($P145+$X145)*$V145,$P145*$V145),0)</f>
        <v>11500</v>
      </c>
      <c r="BS145" s="249">
        <f t="shared" si="70"/>
        <v>16880</v>
      </c>
      <c r="BT145" s="249">
        <f>IF(AND(BS145&gt;0,$N145&lt;&gt;""),IF((DATE(Assumptions!$B$4,10,28)-$N145)/365.25&lt;=Assumptions!$B$20,(DATE(Assumptions!$B$4,10,28)-$N145)/365.25*Assumptions!$B$18*BS145,(Assumptions!$B$20*Assumptions!$B$18+((DATE(Assumptions!$B$4,10,28)-$N145)/365.25-Assumptions!$B$20)*Assumptions!$B$19)*BS145),0)</f>
        <v>264251.14305270364</v>
      </c>
      <c r="BU145" s="249">
        <f>IF(BR145&gt;0,IF($M145="Saudi",MIN(BR145+$Q145*$V145,Assumptions!$B$14)*Assumptions!$B$12,MIN(BR145+$Q145*$V145,Assumptions!$B$14)*Assumptions!$B$13),0)</f>
        <v>0</v>
      </c>
      <c r="BV145" s="249">
        <f>IF(AND(BR145&gt;0,$M145="Non-Saudi"),Assumptions!$B$25,0)</f>
        <v>910.41666666666663</v>
      </c>
      <c r="BW145" s="249">
        <f>IF(AND($D145="Contrat Local",$N145&lt;&gt;""),IF(AND(11&gt;=Assumptions!$B$5,ISNUMBER($X145),$N145&lt;EDATE(Assumptions!$B$9,-Assumptions!$B$6*12)),($P145+$X145)*$V145,$P145*$V145),0)</f>
        <v>11500</v>
      </c>
      <c r="BX145" s="249">
        <f t="shared" si="71"/>
        <v>16880</v>
      </c>
      <c r="BY145" s="249">
        <f>IF(AND(BX145&gt;0,$N145&lt;&gt;""),IF((DATE(Assumptions!$B$4,11,28)-$N145)/365.25&lt;=Assumptions!$B$20,(DATE(Assumptions!$B$4,11,28)-$N145)/365.25*Assumptions!$B$18*BX145,(Assumptions!$B$20*Assumptions!$B$18+((DATE(Assumptions!$B$4,11,28)-$N145)/365.25-Assumptions!$B$20)*Assumptions!$B$19)*BX145),0)</f>
        <v>265683.80561259412</v>
      </c>
      <c r="BZ145" s="249">
        <f>IF(BW145&gt;0,IF($M145="Saudi",MIN(BW145+$Q145*$V145,Assumptions!$B$14)*Assumptions!$B$12,MIN(BW145+$Q145*$V145,Assumptions!$B$14)*Assumptions!$B$13),0)</f>
        <v>0</v>
      </c>
      <c r="CA145" s="249">
        <f>IF(AND(BW145&gt;0,$M145="Non-Saudi"),Assumptions!$B$25,0)</f>
        <v>910.41666666666663</v>
      </c>
      <c r="CB145" s="249">
        <f>IF(AND($D145="Contrat Local",$N145&lt;&gt;""),IF(AND(12&gt;=Assumptions!$B$5,ISNUMBER($X145),$N145&lt;EDATE(Assumptions!$B$9,-Assumptions!$B$6*12)),($P145+$X145)*$V145,$P145*$V145),0)</f>
        <v>11500</v>
      </c>
      <c r="CC145" s="249">
        <f t="shared" si="72"/>
        <v>16880</v>
      </c>
      <c r="CD145" s="249">
        <f>IF(AND(CC145&gt;0,$N145&lt;&gt;""),IF((DATE(Assumptions!$B$4,12,28)-$N145)/365.25&lt;=Assumptions!$B$20,(DATE(Assumptions!$B$4,12,28)-$N145)/365.25*Assumptions!$B$18*CC145,(Assumptions!$B$20*Assumptions!$B$18+((DATE(Assumptions!$B$4,12,28)-$N145)/365.25-Assumptions!$B$20)*Assumptions!$B$19)*CC145),0)</f>
        <v>267070.25325119781</v>
      </c>
      <c r="CE145" s="249">
        <f>IF(CB145&gt;0,IF($M145="Saudi",MIN(CB145+$Q145*$V145,Assumptions!$B$14)*Assumptions!$B$12,MIN(CB145+$Q145*$V145,Assumptions!$B$14)*Assumptions!$B$13),0)</f>
        <v>0</v>
      </c>
      <c r="CF145" s="249">
        <f>IF(AND(CB145&gt;0,$M145="Non-Saudi"),Assumptions!$B$25,0)</f>
        <v>910.41666666666663</v>
      </c>
      <c r="CG145" s="249">
        <f t="shared" si="73"/>
        <v>136000</v>
      </c>
      <c r="CH145" s="249">
        <f t="shared" si="74"/>
        <v>200560</v>
      </c>
      <c r="CI145" s="249">
        <f>CD145-IF(AND(Z145&gt;0,$N145&lt;&gt;""),IF((DATE(Assumptions!$B$4-1,12,28)-$N145)/365.25&lt;=Assumptions!$B$20,(DATE(Assumptions!$B$4-1,12,28)-$N145)/365.25*Assumptions!$B$18*Z145,(Assumptions!$B$20*Assumptions!$B$18+((DATE(Assumptions!$B$4-1,12,28)-$N145)/365.25-Assumptions!$B$20)*Assumptions!$B$19)*Z145),0)</f>
        <v>20574.041752224526</v>
      </c>
      <c r="CJ145" s="249">
        <f t="shared" si="75"/>
        <v>0</v>
      </c>
      <c r="CK145" s="249">
        <f t="shared" si="76"/>
        <v>10924.999999999998</v>
      </c>
    </row>
    <row r="146" spans="1:89" x14ac:dyDescent="0.2">
      <c r="A146" s="252">
        <v>149</v>
      </c>
      <c r="B146" s="253" t="s">
        <v>600</v>
      </c>
      <c r="C146" s="253" t="s">
        <v>601</v>
      </c>
      <c r="D146" s="253" t="s">
        <v>250</v>
      </c>
      <c r="E146" s="253" t="s">
        <v>767</v>
      </c>
      <c r="F146" s="253" t="s">
        <v>602</v>
      </c>
      <c r="G146" s="253" t="s">
        <v>252</v>
      </c>
      <c r="H146" s="253" t="s">
        <v>564</v>
      </c>
      <c r="I146" s="282" t="s">
        <v>690</v>
      </c>
      <c r="J146" s="253"/>
      <c r="K146" s="253" t="s">
        <v>252</v>
      </c>
      <c r="L146" s="253" t="s">
        <v>255</v>
      </c>
      <c r="M146" s="253" t="str">
        <f t="shared" si="52"/>
        <v>Non-Saudi</v>
      </c>
      <c r="N146" s="254">
        <v>45901</v>
      </c>
      <c r="O146" s="255">
        <v>1.3</v>
      </c>
      <c r="P146" s="256">
        <v>7000</v>
      </c>
      <c r="Q146" s="256">
        <v>2500</v>
      </c>
      <c r="R146" s="256">
        <v>500</v>
      </c>
      <c r="S146" s="256"/>
      <c r="T146" s="256"/>
      <c r="U146" s="256">
        <v>10000</v>
      </c>
      <c r="V146" s="257">
        <v>1</v>
      </c>
      <c r="W146" s="253" t="s">
        <v>256</v>
      </c>
      <c r="X146" s="253" t="s">
        <v>268</v>
      </c>
      <c r="Y146" s="249">
        <f t="shared" si="53"/>
        <v>7000</v>
      </c>
      <c r="Z146" s="249">
        <f t="shared" si="54"/>
        <v>10000</v>
      </c>
      <c r="AA146" s="249">
        <f>IF(AND(Z146&gt;0,$N146&lt;&gt;""),IF((DATE(Assumptions!$B$4,1,28)-$N146)/365.25&lt;=Assumptions!$B$20,(DATE(Assumptions!$B$4,1,28)-$N146)/365.25*Assumptions!$B$18*Z146,(Assumptions!$B$20*Assumptions!$B$18+((DATE(Assumptions!$B$4,1,28)-$N146)/365.25-Assumptions!$B$20)*Assumptions!$B$19)*Z146),0)</f>
        <v>2039.6988364134156</v>
      </c>
      <c r="AB146" s="249">
        <f>IF(Y146&gt;0,IF($M146="Saudi",MIN(Y146+$Q146*$V146,Assumptions!$B$14)*Assumptions!$B$12,MIN(Y146+$Q146*$V146,Assumptions!$B$14)*Assumptions!$B$13),0)</f>
        <v>0</v>
      </c>
      <c r="AC146" s="249">
        <f>IF(AND(Y146&gt;0,$M146="Non-Saudi"),Assumptions!$B$25,0)</f>
        <v>910.41666666666663</v>
      </c>
      <c r="AD146" s="249">
        <f t="shared" si="55"/>
        <v>7000</v>
      </c>
      <c r="AE146" s="249">
        <f t="shared" si="56"/>
        <v>10000</v>
      </c>
      <c r="AF146" s="249">
        <f>IF(AND(AE146&gt;0,$N146&lt;&gt;""),IF((DATE(Assumptions!$B$4,2,28)-$N146)/365.25&lt;=Assumptions!$B$20,(DATE(Assumptions!$B$4,2,28)-$N146)/365.25*Assumptions!$B$18*AE146,(Assumptions!$B$20*Assumptions!$B$18+((DATE(Assumptions!$B$4,2,28)-$N146)/365.25-Assumptions!$B$20)*Assumptions!$B$19)*AE146),0)</f>
        <v>2464.0657084188911</v>
      </c>
      <c r="AG146" s="249">
        <f>IF(AD146&gt;0,IF($M146="Saudi",MIN(AD146+$Q146*$V146,Assumptions!$B$14)*Assumptions!$B$12,MIN(AD146+$Q146*$V146,Assumptions!$B$14)*Assumptions!$B$13),0)</f>
        <v>0</v>
      </c>
      <c r="AH146" s="249">
        <f>IF(AND(AD146&gt;0,$M146="Non-Saudi"),Assumptions!$B$25,0)</f>
        <v>910.41666666666663</v>
      </c>
      <c r="AI146" s="249">
        <f t="shared" si="57"/>
        <v>7000</v>
      </c>
      <c r="AJ146" s="249">
        <f t="shared" si="58"/>
        <v>10000</v>
      </c>
      <c r="AK146" s="249">
        <f>IF(AND(AJ146&gt;0,$N146&lt;&gt;""),IF((DATE(Assumptions!$B$4,3,28)-$N146)/365.25&lt;=Assumptions!$B$20,(DATE(Assumptions!$B$4,3,28)-$N146)/365.25*Assumptions!$B$18*AJ146,(Assumptions!$B$20*Assumptions!$B$18+((DATE(Assumptions!$B$4,3,28)-$N146)/365.25-Assumptions!$B$20)*Assumptions!$B$19)*AJ146),0)</f>
        <v>2847.3648186173855</v>
      </c>
      <c r="AL146" s="249">
        <f>IF(AI146&gt;0,IF($M146="Saudi",MIN(AI146+$Q146*$V146,Assumptions!$B$14)*Assumptions!$B$12,MIN(AI146+$Q146*$V146,Assumptions!$B$14)*Assumptions!$B$13),0)</f>
        <v>0</v>
      </c>
      <c r="AM146" s="249">
        <f>IF(AND(AI146&gt;0,$M146="Non-Saudi"),Assumptions!$B$25,0)</f>
        <v>910.41666666666663</v>
      </c>
      <c r="AN146" s="249">
        <f t="shared" si="59"/>
        <v>7000</v>
      </c>
      <c r="AO146" s="249">
        <f t="shared" si="60"/>
        <v>10000</v>
      </c>
      <c r="AP146" s="249">
        <f>IF(AND(AO146&gt;0,$N146&lt;&gt;""),IF((DATE(Assumptions!$B$4,4,28)-$N146)/365.25&lt;=Assumptions!$B$20,(DATE(Assumptions!$B$4,4,28)-$N146)/365.25*Assumptions!$B$18*AO146,(Assumptions!$B$20*Assumptions!$B$18+((DATE(Assumptions!$B$4,4,28)-$N146)/365.25-Assumptions!$B$20)*Assumptions!$B$19)*AO146),0)</f>
        <v>3271.7316906228612</v>
      </c>
      <c r="AQ146" s="249">
        <f>IF(AN146&gt;0,IF($M146="Saudi",MIN(AN146+$Q146*$V146,Assumptions!$B$14)*Assumptions!$B$12,MIN(AN146+$Q146*$V146,Assumptions!$B$14)*Assumptions!$B$13),0)</f>
        <v>0</v>
      </c>
      <c r="AR146" s="249">
        <f>IF(AND(AN146&gt;0,$M146="Non-Saudi"),Assumptions!$B$25,0)</f>
        <v>910.41666666666663</v>
      </c>
      <c r="AS146" s="249">
        <f t="shared" si="61"/>
        <v>7000</v>
      </c>
      <c r="AT146" s="249">
        <f t="shared" si="62"/>
        <v>10000</v>
      </c>
      <c r="AU146" s="249">
        <f>IF(AND(AT146&gt;0,$N146&lt;&gt;""),IF((DATE(Assumptions!$B$4,5,28)-$N146)/365.25&lt;=Assumptions!$B$20,(DATE(Assumptions!$B$4,5,28)-$N146)/365.25*Assumptions!$B$18*AT146,(Assumptions!$B$20*Assumptions!$B$18+((DATE(Assumptions!$B$4,5,28)-$N146)/365.25-Assumptions!$B$20)*Assumptions!$B$19)*AT146),0)</f>
        <v>3682.4093086926764</v>
      </c>
      <c r="AV146" s="249">
        <f>IF(AS146&gt;0,IF($M146="Saudi",MIN(AS146+$Q146*$V146,Assumptions!$B$14)*Assumptions!$B$12,MIN(AS146+$Q146*$V146,Assumptions!$B$14)*Assumptions!$B$13),0)</f>
        <v>0</v>
      </c>
      <c r="AW146" s="249">
        <f>IF(AND(AS146&gt;0,$M146="Non-Saudi"),Assumptions!$B$25,0)</f>
        <v>910.41666666666663</v>
      </c>
      <c r="AX146" s="249">
        <f t="shared" si="63"/>
        <v>7000</v>
      </c>
      <c r="AY146" s="249">
        <f t="shared" si="64"/>
        <v>10000</v>
      </c>
      <c r="AZ146" s="249">
        <f>IF(AND(AY146&gt;0,$N146&lt;&gt;""),IF((DATE(Assumptions!$B$4,6,28)-$N146)/365.25&lt;=Assumptions!$B$20,(DATE(Assumptions!$B$4,6,28)-$N146)/365.25*Assumptions!$B$18*AY146,(Assumptions!$B$20*Assumptions!$B$18+((DATE(Assumptions!$B$4,6,28)-$N146)/365.25-Assumptions!$B$20)*Assumptions!$B$19)*AY146),0)</f>
        <v>4106.7761806981516</v>
      </c>
      <c r="BA146" s="249">
        <f>IF(AX146&gt;0,IF($M146="Saudi",MIN(AX146+$Q146*$V146,Assumptions!$B$14)*Assumptions!$B$12,MIN(AX146+$Q146*$V146,Assumptions!$B$14)*Assumptions!$B$13),0)</f>
        <v>0</v>
      </c>
      <c r="BB146" s="249">
        <f>IF(AND(AX146&gt;0,$M146="Non-Saudi"),Assumptions!$B$25,0)</f>
        <v>910.41666666666663</v>
      </c>
      <c r="BC146" s="249">
        <f t="shared" si="65"/>
        <v>7000</v>
      </c>
      <c r="BD146" s="249">
        <f t="shared" si="66"/>
        <v>10000</v>
      </c>
      <c r="BE146" s="249">
        <f>IF(AND(BD146&gt;0,$N146&lt;&gt;""),IF((DATE(Assumptions!$B$4,7,28)-$N146)/365.25&lt;=Assumptions!$B$20,(DATE(Assumptions!$B$4,7,28)-$N146)/365.25*Assumptions!$B$18*BD146,(Assumptions!$B$20*Assumptions!$B$18+((DATE(Assumptions!$B$4,7,28)-$N146)/365.25-Assumptions!$B$20)*Assumptions!$B$19)*BD146),0)</f>
        <v>4517.4537987679669</v>
      </c>
      <c r="BF146" s="249">
        <f>IF(BC146&gt;0,IF($M146="Saudi",MIN(BC146+$Q146*$V146,Assumptions!$B$14)*Assumptions!$B$12,MIN(BC146+$Q146*$V146,Assumptions!$B$14)*Assumptions!$B$13),0)</f>
        <v>0</v>
      </c>
      <c r="BG146" s="249">
        <f>IF(AND(BC146&gt;0,$M146="Non-Saudi"),Assumptions!$B$25,0)</f>
        <v>910.41666666666663</v>
      </c>
      <c r="BH146" s="249">
        <f t="shared" si="67"/>
        <v>7000</v>
      </c>
      <c r="BI146" s="249">
        <f t="shared" si="68"/>
        <v>10000</v>
      </c>
      <c r="BJ146" s="249">
        <f>IF(AND(BI146&gt;0,$N146&lt;&gt;""),IF((DATE(Assumptions!$B$4,8,28)-$N146)/365.25&lt;=Assumptions!$B$20,(DATE(Assumptions!$B$4,8,28)-$N146)/365.25*Assumptions!$B$18*BI146,(Assumptions!$B$20*Assumptions!$B$18+((DATE(Assumptions!$B$4,8,28)-$N146)/365.25-Assumptions!$B$20)*Assumptions!$B$19)*BI146),0)</f>
        <v>4941.8206707734435</v>
      </c>
      <c r="BK146" s="249">
        <f>IF(BH146&gt;0,IF($M146="Saudi",MIN(BH146+$Q146*$V146,Assumptions!$B$14)*Assumptions!$B$12,MIN(BH146+$Q146*$V146,Assumptions!$B$14)*Assumptions!$B$13),0)</f>
        <v>0</v>
      </c>
      <c r="BL146" s="249">
        <f>IF(AND(BH146&gt;0,$M146="Non-Saudi"),Assumptions!$B$25,0)</f>
        <v>910.41666666666663</v>
      </c>
      <c r="BM146" s="249">
        <f>IF(AND($D146="Contrat Local",$N146&lt;&gt;""),IF(AND(9&gt;=Assumptions!$B$5,ISNUMBER($X146),$N146&lt;EDATE(Assumptions!$B$9,-Assumptions!$B$6*12)),($P146+$X146)*$V146,$P146*$V146),0)</f>
        <v>7000</v>
      </c>
      <c r="BN146" s="249">
        <f t="shared" si="69"/>
        <v>10000</v>
      </c>
      <c r="BO146" s="249">
        <f>IF(AND(BN146&gt;0,$N146&lt;&gt;""),IF((DATE(Assumptions!$B$4,9,28)-$N146)/365.25&lt;=Assumptions!$B$20,(DATE(Assumptions!$B$4,9,28)-$N146)/365.25*Assumptions!$B$18*BN146,(Assumptions!$B$20*Assumptions!$B$18+((DATE(Assumptions!$B$4,9,28)-$N146)/365.25-Assumptions!$B$20)*Assumptions!$B$19)*BN146),0)</f>
        <v>5366.1875427789182</v>
      </c>
      <c r="BP146" s="249">
        <f>IF(BM146&gt;0,IF($M146="Saudi",MIN(BM146+$Q146*$V146,Assumptions!$B$14)*Assumptions!$B$12,MIN(BM146+$Q146*$V146,Assumptions!$B$14)*Assumptions!$B$13),0)</f>
        <v>0</v>
      </c>
      <c r="BQ146" s="249">
        <f>IF(AND(BM146&gt;0,$M146="Non-Saudi"),Assumptions!$B$25,0)</f>
        <v>910.41666666666663</v>
      </c>
      <c r="BR146" s="249">
        <f>IF(AND($D146="Contrat Local",$N146&lt;&gt;""),IF(AND(10&gt;=Assumptions!$B$5,ISNUMBER($X146),$N146&lt;EDATE(Assumptions!$B$9,-Assumptions!$B$6*12)),($P146+$X146)*$V146,$P146*$V146),0)</f>
        <v>7000</v>
      </c>
      <c r="BS146" s="249">
        <f t="shared" si="70"/>
        <v>10000</v>
      </c>
      <c r="BT146" s="249">
        <f>IF(AND(BS146&gt;0,$N146&lt;&gt;""),IF((DATE(Assumptions!$B$4,10,28)-$N146)/365.25&lt;=Assumptions!$B$20,(DATE(Assumptions!$B$4,10,28)-$N146)/365.25*Assumptions!$B$18*BS146,(Assumptions!$B$20*Assumptions!$B$18+((DATE(Assumptions!$B$4,10,28)-$N146)/365.25-Assumptions!$B$20)*Assumptions!$B$19)*BS146),0)</f>
        <v>5776.8651608487344</v>
      </c>
      <c r="BU146" s="249">
        <f>IF(BR146&gt;0,IF($M146="Saudi",MIN(BR146+$Q146*$V146,Assumptions!$B$14)*Assumptions!$B$12,MIN(BR146+$Q146*$V146,Assumptions!$B$14)*Assumptions!$B$13),0)</f>
        <v>0</v>
      </c>
      <c r="BV146" s="249">
        <f>IF(AND(BR146&gt;0,$M146="Non-Saudi"),Assumptions!$B$25,0)</f>
        <v>910.41666666666663</v>
      </c>
      <c r="BW146" s="249">
        <f>IF(AND($D146="Contrat Local",$N146&lt;&gt;""),IF(AND(11&gt;=Assumptions!$B$5,ISNUMBER($X146),$N146&lt;EDATE(Assumptions!$B$9,-Assumptions!$B$6*12)),($P146+$X146)*$V146,$P146*$V146),0)</f>
        <v>7000</v>
      </c>
      <c r="BX146" s="249">
        <f t="shared" si="71"/>
        <v>10000</v>
      </c>
      <c r="BY146" s="249">
        <f>IF(AND(BX146&gt;0,$N146&lt;&gt;""),IF((DATE(Assumptions!$B$4,11,28)-$N146)/365.25&lt;=Assumptions!$B$20,(DATE(Assumptions!$B$4,11,28)-$N146)/365.25*Assumptions!$B$18*BX146,(Assumptions!$B$20*Assumptions!$B$18+((DATE(Assumptions!$B$4,11,28)-$N146)/365.25-Assumptions!$B$20)*Assumptions!$B$19)*BX146),0)</f>
        <v>6201.2320328542091</v>
      </c>
      <c r="BZ146" s="249">
        <f>IF(BW146&gt;0,IF($M146="Saudi",MIN(BW146+$Q146*$V146,Assumptions!$B$14)*Assumptions!$B$12,MIN(BW146+$Q146*$V146,Assumptions!$B$14)*Assumptions!$B$13),0)</f>
        <v>0</v>
      </c>
      <c r="CA146" s="249">
        <f>IF(AND(BW146&gt;0,$M146="Non-Saudi"),Assumptions!$B$25,0)</f>
        <v>910.41666666666663</v>
      </c>
      <c r="CB146" s="249">
        <f>IF(AND($D146="Contrat Local",$N146&lt;&gt;""),IF(AND(12&gt;=Assumptions!$B$5,ISNUMBER($X146),$N146&lt;EDATE(Assumptions!$B$9,-Assumptions!$B$6*12)),($P146+$X146)*$V146,$P146*$V146),0)</f>
        <v>7000</v>
      </c>
      <c r="CC146" s="249">
        <f t="shared" si="72"/>
        <v>10000</v>
      </c>
      <c r="CD146" s="249">
        <f>IF(AND(CC146&gt;0,$N146&lt;&gt;""),IF((DATE(Assumptions!$B$4,12,28)-$N146)/365.25&lt;=Assumptions!$B$20,(DATE(Assumptions!$B$4,12,28)-$N146)/365.25*Assumptions!$B$18*CC146,(Assumptions!$B$20*Assumptions!$B$18+((DATE(Assumptions!$B$4,12,28)-$N146)/365.25-Assumptions!$B$20)*Assumptions!$B$19)*CC146),0)</f>
        <v>6611.9096509240253</v>
      </c>
      <c r="CE146" s="249">
        <f>IF(CB146&gt;0,IF($M146="Saudi",MIN(CB146+$Q146*$V146,Assumptions!$B$14)*Assumptions!$B$12,MIN(CB146+$Q146*$V146,Assumptions!$B$14)*Assumptions!$B$13),0)</f>
        <v>0</v>
      </c>
      <c r="CF146" s="249">
        <f>IF(AND(CB146&gt;0,$M146="Non-Saudi"),Assumptions!$B$25,0)</f>
        <v>910.41666666666663</v>
      </c>
      <c r="CG146" s="249">
        <f t="shared" si="73"/>
        <v>84000</v>
      </c>
      <c r="CH146" s="249">
        <f t="shared" si="74"/>
        <v>120000</v>
      </c>
      <c r="CI146" s="249">
        <f>CD146-IF(AND(Z146&gt;0,$N146&lt;&gt;""),IF((DATE(Assumptions!$B$4-1,12,28)-$N146)/365.25&lt;=Assumptions!$B$20,(DATE(Assumptions!$B$4-1,12,28)-$N146)/365.25*Assumptions!$B$18*Z146,(Assumptions!$B$20*Assumptions!$B$18+((DATE(Assumptions!$B$4-1,12,28)-$N146)/365.25-Assumptions!$B$20)*Assumptions!$B$19)*Z146),0)</f>
        <v>4996.577686516086</v>
      </c>
      <c r="CJ146" s="249">
        <f t="shared" si="75"/>
        <v>0</v>
      </c>
      <c r="CK146" s="249">
        <f t="shared" si="76"/>
        <v>10924.999999999998</v>
      </c>
    </row>
    <row r="147" spans="1:89" x14ac:dyDescent="0.2">
      <c r="A147" s="276">
        <v>150</v>
      </c>
      <c r="B147" s="277" t="s">
        <v>603</v>
      </c>
      <c r="C147" s="277" t="s">
        <v>604</v>
      </c>
      <c r="D147" s="277" t="s">
        <v>250</v>
      </c>
      <c r="E147" s="277" t="s">
        <v>767</v>
      </c>
      <c r="F147" s="277" t="s">
        <v>302</v>
      </c>
      <c r="G147" s="277" t="s">
        <v>303</v>
      </c>
      <c r="H147" s="277" t="s">
        <v>349</v>
      </c>
      <c r="I147" s="287" t="s">
        <v>691</v>
      </c>
      <c r="J147" s="277" t="s">
        <v>73</v>
      </c>
      <c r="K147" s="277" t="s">
        <v>254</v>
      </c>
      <c r="L147" s="277" t="s">
        <v>255</v>
      </c>
      <c r="M147" s="277" t="str">
        <f t="shared" si="52"/>
        <v>Non-Saudi</v>
      </c>
      <c r="N147" s="278">
        <v>43709</v>
      </c>
      <c r="O147" s="279">
        <v>7.3</v>
      </c>
      <c r="P147" s="280">
        <v>9500</v>
      </c>
      <c r="Q147" s="280">
        <v>2500</v>
      </c>
      <c r="R147" s="280">
        <v>500</v>
      </c>
      <c r="S147" s="280"/>
      <c r="T147" s="280">
        <v>1300</v>
      </c>
      <c r="U147" s="280">
        <v>13800</v>
      </c>
      <c r="V147" s="281">
        <v>1</v>
      </c>
      <c r="W147" s="277" t="s">
        <v>256</v>
      </c>
      <c r="X147" s="277">
        <v>250</v>
      </c>
      <c r="Y147" s="249">
        <f t="shared" si="53"/>
        <v>9500</v>
      </c>
      <c r="Z147" s="249">
        <f t="shared" si="54"/>
        <v>13800</v>
      </c>
      <c r="AA147" s="249">
        <f>IF(AND(Z147&gt;0,$N147&lt;&gt;""),IF((DATE(Assumptions!$B$4,1,28)-$N147)/365.25&lt;=Assumptions!$B$20,(DATE(Assumptions!$B$4,1,28)-$N147)/365.25*Assumptions!$B$18*Z147,(Assumptions!$B$20*Assumptions!$B$18+((DATE(Assumptions!$B$4,1,28)-$N147)/365.25-Assumptions!$B$20)*Assumptions!$B$19)*Z147),0)</f>
        <v>53948.459958932239</v>
      </c>
      <c r="AB147" s="249">
        <f>IF(Y147&gt;0,IF($M147="Saudi",MIN(Y147+$Q147*$V147,Assumptions!$B$14)*Assumptions!$B$12,MIN(Y147+$Q147*$V147,Assumptions!$B$14)*Assumptions!$B$13),0)</f>
        <v>0</v>
      </c>
      <c r="AC147" s="249">
        <f>IF(AND(Y147&gt;0,$M147="Non-Saudi"),Assumptions!$B$25,0)</f>
        <v>910.41666666666663</v>
      </c>
      <c r="AD147" s="249">
        <f t="shared" si="55"/>
        <v>9500</v>
      </c>
      <c r="AE147" s="249">
        <f t="shared" si="56"/>
        <v>13800</v>
      </c>
      <c r="AF147" s="249">
        <f>IF(AND(AE147&gt;0,$N147&lt;&gt;""),IF((DATE(Assumptions!$B$4,2,28)-$N147)/365.25&lt;=Assumptions!$B$20,(DATE(Assumptions!$B$4,2,28)-$N147)/365.25*Assumptions!$B$18*AE147,(Assumptions!$B$20*Assumptions!$B$18+((DATE(Assumptions!$B$4,2,28)-$N147)/365.25-Assumptions!$B$20)*Assumptions!$B$19)*AE147),0)</f>
        <v>55119.712525667346</v>
      </c>
      <c r="AG147" s="249">
        <f>IF(AD147&gt;0,IF($M147="Saudi",MIN(AD147+$Q147*$V147,Assumptions!$B$14)*Assumptions!$B$12,MIN(AD147+$Q147*$V147,Assumptions!$B$14)*Assumptions!$B$13),0)</f>
        <v>0</v>
      </c>
      <c r="AH147" s="249">
        <f>IF(AND(AD147&gt;0,$M147="Non-Saudi"),Assumptions!$B$25,0)</f>
        <v>910.41666666666663</v>
      </c>
      <c r="AI147" s="249">
        <f t="shared" si="57"/>
        <v>9500</v>
      </c>
      <c r="AJ147" s="249">
        <f t="shared" si="58"/>
        <v>13800</v>
      </c>
      <c r="AK147" s="249">
        <f>IF(AND(AJ147&gt;0,$N147&lt;&gt;""),IF((DATE(Assumptions!$B$4,3,28)-$N147)/365.25&lt;=Assumptions!$B$20,(DATE(Assumptions!$B$4,3,28)-$N147)/365.25*Assumptions!$B$18*AJ147,(Assumptions!$B$20*Assumptions!$B$18+((DATE(Assumptions!$B$4,3,28)-$N147)/365.25-Assumptions!$B$20)*Assumptions!$B$19)*AJ147),0)</f>
        <v>56177.618069815187</v>
      </c>
      <c r="AL147" s="249">
        <f>IF(AI147&gt;0,IF($M147="Saudi",MIN(AI147+$Q147*$V147,Assumptions!$B$14)*Assumptions!$B$12,MIN(AI147+$Q147*$V147,Assumptions!$B$14)*Assumptions!$B$13),0)</f>
        <v>0</v>
      </c>
      <c r="AM147" s="249">
        <f>IF(AND(AI147&gt;0,$M147="Non-Saudi"),Assumptions!$B$25,0)</f>
        <v>910.41666666666663</v>
      </c>
      <c r="AN147" s="249">
        <f t="shared" si="59"/>
        <v>9500</v>
      </c>
      <c r="AO147" s="249">
        <f t="shared" si="60"/>
        <v>13800</v>
      </c>
      <c r="AP147" s="249">
        <f>IF(AND(AO147&gt;0,$N147&lt;&gt;""),IF((DATE(Assumptions!$B$4,4,28)-$N147)/365.25&lt;=Assumptions!$B$20,(DATE(Assumptions!$B$4,4,28)-$N147)/365.25*Assumptions!$B$18*AO147,(Assumptions!$B$20*Assumptions!$B$18+((DATE(Assumptions!$B$4,4,28)-$N147)/365.25-Assumptions!$B$20)*Assumptions!$B$19)*AO147),0)</f>
        <v>57348.870636550317</v>
      </c>
      <c r="AQ147" s="249">
        <f>IF(AN147&gt;0,IF($M147="Saudi",MIN(AN147+$Q147*$V147,Assumptions!$B$14)*Assumptions!$B$12,MIN(AN147+$Q147*$V147,Assumptions!$B$14)*Assumptions!$B$13),0)</f>
        <v>0</v>
      </c>
      <c r="AR147" s="249">
        <f>IF(AND(AN147&gt;0,$M147="Non-Saudi"),Assumptions!$B$25,0)</f>
        <v>910.41666666666663</v>
      </c>
      <c r="AS147" s="249">
        <f t="shared" si="61"/>
        <v>9500</v>
      </c>
      <c r="AT147" s="249">
        <f t="shared" si="62"/>
        <v>13800</v>
      </c>
      <c r="AU147" s="249">
        <f>IF(AND(AT147&gt;0,$N147&lt;&gt;""),IF((DATE(Assumptions!$B$4,5,28)-$N147)/365.25&lt;=Assumptions!$B$20,(DATE(Assumptions!$B$4,5,28)-$N147)/365.25*Assumptions!$B$18*AT147,(Assumptions!$B$20*Assumptions!$B$18+((DATE(Assumptions!$B$4,5,28)-$N147)/365.25-Assumptions!$B$20)*Assumptions!$B$19)*AT147),0)</f>
        <v>58482.340862423</v>
      </c>
      <c r="AV147" s="249">
        <f>IF(AS147&gt;0,IF($M147="Saudi",MIN(AS147+$Q147*$V147,Assumptions!$B$14)*Assumptions!$B$12,MIN(AS147+$Q147*$V147,Assumptions!$B$14)*Assumptions!$B$13),0)</f>
        <v>0</v>
      </c>
      <c r="AW147" s="249">
        <f>IF(AND(AS147&gt;0,$M147="Non-Saudi"),Assumptions!$B$25,0)</f>
        <v>910.41666666666663</v>
      </c>
      <c r="AX147" s="249">
        <f t="shared" si="63"/>
        <v>9500</v>
      </c>
      <c r="AY147" s="249">
        <f t="shared" si="64"/>
        <v>13800</v>
      </c>
      <c r="AZ147" s="249">
        <f>IF(AND(AY147&gt;0,$N147&lt;&gt;""),IF((DATE(Assumptions!$B$4,6,28)-$N147)/365.25&lt;=Assumptions!$B$20,(DATE(Assumptions!$B$4,6,28)-$N147)/365.25*Assumptions!$B$18*AY147,(Assumptions!$B$20*Assumptions!$B$18+((DATE(Assumptions!$B$4,6,28)-$N147)/365.25-Assumptions!$B$20)*Assumptions!$B$19)*AY147),0)</f>
        <v>59653.593429158114</v>
      </c>
      <c r="BA147" s="249">
        <f>IF(AX147&gt;0,IF($M147="Saudi",MIN(AX147+$Q147*$V147,Assumptions!$B$14)*Assumptions!$B$12,MIN(AX147+$Q147*$V147,Assumptions!$B$14)*Assumptions!$B$13),0)</f>
        <v>0</v>
      </c>
      <c r="BB147" s="249">
        <f>IF(AND(AX147&gt;0,$M147="Non-Saudi"),Assumptions!$B$25,0)</f>
        <v>910.41666666666663</v>
      </c>
      <c r="BC147" s="249">
        <f t="shared" si="65"/>
        <v>9500</v>
      </c>
      <c r="BD147" s="249">
        <f t="shared" si="66"/>
        <v>13800</v>
      </c>
      <c r="BE147" s="249">
        <f>IF(AND(BD147&gt;0,$N147&lt;&gt;""),IF((DATE(Assumptions!$B$4,7,28)-$N147)/365.25&lt;=Assumptions!$B$20,(DATE(Assumptions!$B$4,7,28)-$N147)/365.25*Assumptions!$B$18*BD147,(Assumptions!$B$20*Assumptions!$B$18+((DATE(Assumptions!$B$4,7,28)-$N147)/365.25-Assumptions!$B$20)*Assumptions!$B$19)*BD147),0)</f>
        <v>60787.063655030805</v>
      </c>
      <c r="BF147" s="249">
        <f>IF(BC147&gt;0,IF($M147="Saudi",MIN(BC147+$Q147*$V147,Assumptions!$B$14)*Assumptions!$B$12,MIN(BC147+$Q147*$V147,Assumptions!$B$14)*Assumptions!$B$13),0)</f>
        <v>0</v>
      </c>
      <c r="BG147" s="249">
        <f>IF(AND(BC147&gt;0,$M147="Non-Saudi"),Assumptions!$B$25,0)</f>
        <v>910.41666666666663</v>
      </c>
      <c r="BH147" s="249">
        <f t="shared" si="67"/>
        <v>9500</v>
      </c>
      <c r="BI147" s="249">
        <f t="shared" si="68"/>
        <v>13800</v>
      </c>
      <c r="BJ147" s="249">
        <f>IF(AND(BI147&gt;0,$N147&lt;&gt;""),IF((DATE(Assumptions!$B$4,8,28)-$N147)/365.25&lt;=Assumptions!$B$20,(DATE(Assumptions!$B$4,8,28)-$N147)/365.25*Assumptions!$B$18*BI147,(Assumptions!$B$20*Assumptions!$B$18+((DATE(Assumptions!$B$4,8,28)-$N147)/365.25-Assumptions!$B$20)*Assumptions!$B$19)*BI147),0)</f>
        <v>61958.316221765912</v>
      </c>
      <c r="BK147" s="249">
        <f>IF(BH147&gt;0,IF($M147="Saudi",MIN(BH147+$Q147*$V147,Assumptions!$B$14)*Assumptions!$B$12,MIN(BH147+$Q147*$V147,Assumptions!$B$14)*Assumptions!$B$13),0)</f>
        <v>0</v>
      </c>
      <c r="BL147" s="249">
        <f>IF(AND(BH147&gt;0,$M147="Non-Saudi"),Assumptions!$B$25,0)</f>
        <v>910.41666666666663</v>
      </c>
      <c r="BM147" s="249">
        <f>IF(AND($D147="Contrat Local",$N147&lt;&gt;""),IF(AND(9&gt;=Assumptions!$B$5,ISNUMBER($X147),$N147&lt;EDATE(Assumptions!$B$9,-Assumptions!$B$6*12)),($P147+$X147)*$V147,$P147*$V147),0)</f>
        <v>9750</v>
      </c>
      <c r="BN147" s="249">
        <f t="shared" si="69"/>
        <v>14050</v>
      </c>
      <c r="BO147" s="249">
        <f>IF(AND(BN147&gt;0,$N147&lt;&gt;""),IF((DATE(Assumptions!$B$4,9,28)-$N147)/365.25&lt;=Assumptions!$B$20,(DATE(Assumptions!$B$4,9,28)-$N147)/365.25*Assumptions!$B$18*BN147,(Assumptions!$B$20*Assumptions!$B$18+((DATE(Assumptions!$B$4,9,28)-$N147)/365.25-Assumptions!$B$20)*Assumptions!$B$19)*BN147),0)</f>
        <v>64273.220396988363</v>
      </c>
      <c r="BP147" s="249">
        <f>IF(BM147&gt;0,IF($M147="Saudi",MIN(BM147+$Q147*$V147,Assumptions!$B$14)*Assumptions!$B$12,MIN(BM147+$Q147*$V147,Assumptions!$B$14)*Assumptions!$B$13),0)</f>
        <v>0</v>
      </c>
      <c r="BQ147" s="249">
        <f>IF(AND(BM147&gt;0,$M147="Non-Saudi"),Assumptions!$B$25,0)</f>
        <v>910.41666666666663</v>
      </c>
      <c r="BR147" s="249">
        <f>IF(AND($D147="Contrat Local",$N147&lt;&gt;""),IF(AND(10&gt;=Assumptions!$B$5,ISNUMBER($X147),$N147&lt;EDATE(Assumptions!$B$9,-Assumptions!$B$6*12)),($P147+$X147)*$V147,$P147*$V147),0)</f>
        <v>9750</v>
      </c>
      <c r="BS147" s="249">
        <f t="shared" si="70"/>
        <v>14050</v>
      </c>
      <c r="BT147" s="249">
        <f>IF(AND(BS147&gt;0,$N147&lt;&gt;""),IF((DATE(Assumptions!$B$4,10,28)-$N147)/365.25&lt;=Assumptions!$B$20,(DATE(Assumptions!$B$4,10,28)-$N147)/365.25*Assumptions!$B$18*BS147,(Assumptions!$B$20*Assumptions!$B$18+((DATE(Assumptions!$B$4,10,28)-$N147)/365.25-Assumptions!$B$20)*Assumptions!$B$19)*BS147),0)</f>
        <v>65427.224503764541</v>
      </c>
      <c r="BU147" s="249">
        <f>IF(BR147&gt;0,IF($M147="Saudi",MIN(BR147+$Q147*$V147,Assumptions!$B$14)*Assumptions!$B$12,MIN(BR147+$Q147*$V147,Assumptions!$B$14)*Assumptions!$B$13),0)</f>
        <v>0</v>
      </c>
      <c r="BV147" s="249">
        <f>IF(AND(BR147&gt;0,$M147="Non-Saudi"),Assumptions!$B$25,0)</f>
        <v>910.41666666666663</v>
      </c>
      <c r="BW147" s="249">
        <f>IF(AND($D147="Contrat Local",$N147&lt;&gt;""),IF(AND(11&gt;=Assumptions!$B$5,ISNUMBER($X147),$N147&lt;EDATE(Assumptions!$B$9,-Assumptions!$B$6*12)),($P147+$X147)*$V147,$P147*$V147),0)</f>
        <v>9750</v>
      </c>
      <c r="BX147" s="249">
        <f t="shared" si="71"/>
        <v>14050</v>
      </c>
      <c r="BY147" s="249">
        <f>IF(AND(BX147&gt;0,$N147&lt;&gt;""),IF((DATE(Assumptions!$B$4,11,28)-$N147)/365.25&lt;=Assumptions!$B$20,(DATE(Assumptions!$B$4,11,28)-$N147)/365.25*Assumptions!$B$18*BX147,(Assumptions!$B$20*Assumptions!$B$18+((DATE(Assumptions!$B$4,11,28)-$N147)/365.25-Assumptions!$B$20)*Assumptions!$B$19)*BX147),0)</f>
        <v>66619.69541409993</v>
      </c>
      <c r="BZ147" s="249">
        <f>IF(BW147&gt;0,IF($M147="Saudi",MIN(BW147+$Q147*$V147,Assumptions!$B$14)*Assumptions!$B$12,MIN(BW147+$Q147*$V147,Assumptions!$B$14)*Assumptions!$B$13),0)</f>
        <v>0</v>
      </c>
      <c r="CA147" s="249">
        <f>IF(AND(BW147&gt;0,$M147="Non-Saudi"),Assumptions!$B$25,0)</f>
        <v>910.41666666666663</v>
      </c>
      <c r="CB147" s="249">
        <f>IF(AND($D147="Contrat Local",$N147&lt;&gt;""),IF(AND(12&gt;=Assumptions!$B$5,ISNUMBER($X147),$N147&lt;EDATE(Assumptions!$B$9,-Assumptions!$B$6*12)),($P147+$X147)*$V147,$P147*$V147),0)</f>
        <v>9750</v>
      </c>
      <c r="CC147" s="249">
        <f t="shared" si="72"/>
        <v>14050</v>
      </c>
      <c r="CD147" s="249">
        <f>IF(AND(CC147&gt;0,$N147&lt;&gt;""),IF((DATE(Assumptions!$B$4,12,28)-$N147)/365.25&lt;=Assumptions!$B$20,(DATE(Assumptions!$B$4,12,28)-$N147)/365.25*Assumptions!$B$18*CC147,(Assumptions!$B$20*Assumptions!$B$18+((DATE(Assumptions!$B$4,12,28)-$N147)/365.25-Assumptions!$B$20)*Assumptions!$B$19)*CC147),0)</f>
        <v>67773.699520876122</v>
      </c>
      <c r="CE147" s="249">
        <f>IF(CB147&gt;0,IF($M147="Saudi",MIN(CB147+$Q147*$V147,Assumptions!$B$14)*Assumptions!$B$12,MIN(CB147+$Q147*$V147,Assumptions!$B$14)*Assumptions!$B$13),0)</f>
        <v>0</v>
      </c>
      <c r="CF147" s="249">
        <f>IF(AND(CB147&gt;0,$M147="Non-Saudi"),Assumptions!$B$25,0)</f>
        <v>910.41666666666663</v>
      </c>
      <c r="CG147" s="249">
        <f t="shared" si="73"/>
        <v>115000</v>
      </c>
      <c r="CH147" s="249">
        <f t="shared" si="74"/>
        <v>166600</v>
      </c>
      <c r="CI147" s="249">
        <f>CD147-IF(AND(Z147&gt;0,$N147&lt;&gt;""),IF((DATE(Assumptions!$B$4-1,12,28)-$N147)/365.25&lt;=Assumptions!$B$20,(DATE(Assumptions!$B$4-1,12,28)-$N147)/365.25*Assumptions!$B$18*Z147,(Assumptions!$B$20*Assumptions!$B$18+((DATE(Assumptions!$B$4-1,12,28)-$N147)/365.25-Assumptions!$B$20)*Assumptions!$B$19)*Z147),0)</f>
        <v>14996.492128678998</v>
      </c>
      <c r="CJ147" s="249">
        <f t="shared" si="75"/>
        <v>0</v>
      </c>
      <c r="CK147" s="249">
        <f t="shared" si="76"/>
        <v>10924.999999999998</v>
      </c>
    </row>
    <row r="148" spans="1:89" x14ac:dyDescent="0.2">
      <c r="A148" s="252">
        <v>151</v>
      </c>
      <c r="B148" s="253" t="s">
        <v>605</v>
      </c>
      <c r="C148" s="253" t="s">
        <v>598</v>
      </c>
      <c r="D148" s="253" t="s">
        <v>250</v>
      </c>
      <c r="E148" s="253" t="s">
        <v>781</v>
      </c>
      <c r="F148" s="253" t="s">
        <v>790</v>
      </c>
      <c r="G148" s="253" t="s">
        <v>8</v>
      </c>
      <c r="H148" s="253" t="s">
        <v>446</v>
      </c>
      <c r="I148" s="282" t="s">
        <v>690</v>
      </c>
      <c r="J148" s="253"/>
      <c r="K148" s="253" t="s">
        <v>252</v>
      </c>
      <c r="L148" s="253" t="s">
        <v>255</v>
      </c>
      <c r="M148" s="253" t="str">
        <f t="shared" si="52"/>
        <v>Non-Saudi</v>
      </c>
      <c r="N148" s="254">
        <v>45901</v>
      </c>
      <c r="O148" s="255">
        <v>1.3</v>
      </c>
      <c r="P148" s="256">
        <v>4929</v>
      </c>
      <c r="Q148" s="256">
        <v>2054</v>
      </c>
      <c r="R148" s="256">
        <v>411</v>
      </c>
      <c r="S148" s="256"/>
      <c r="T148" s="256"/>
      <c r="U148" s="256">
        <v>7394</v>
      </c>
      <c r="V148" s="257">
        <v>0.82142857142857095</v>
      </c>
      <c r="W148" s="253" t="s">
        <v>259</v>
      </c>
      <c r="X148" s="253" t="s">
        <v>268</v>
      </c>
      <c r="Y148" s="249">
        <f t="shared" si="53"/>
        <v>4048.8214285714262</v>
      </c>
      <c r="Z148" s="249">
        <f t="shared" si="54"/>
        <v>6073.6428571428532</v>
      </c>
      <c r="AA148" s="249">
        <f>IF(AND(Z148&gt;0,$N148&lt;&gt;""),IF((DATE(Assumptions!$B$4,1,28)-$N148)/365.25&lt;=Assumptions!$B$20,(DATE(Assumptions!$B$4,1,28)-$N148)/365.25*Assumptions!$B$18*Z148,(Assumptions!$B$20*Assumptions!$B$18+((DATE(Assumptions!$B$4,1,28)-$N148)/365.25-Assumptions!$B$20)*Assumptions!$B$19)*Z148),0)</f>
        <v>1238.8402268504931</v>
      </c>
      <c r="AB148" s="249">
        <f>IF(Y148&gt;0,IF($M148="Saudi",MIN(Y148+$Q148*$V148,Assumptions!$B$14)*Assumptions!$B$12,MIN(Y148+$Q148*$V148,Assumptions!$B$14)*Assumptions!$B$13),0)</f>
        <v>0</v>
      </c>
      <c r="AC148" s="249">
        <f>IF(AND(Y148&gt;0,$M148="Non-Saudi"),Assumptions!$B$25,0)</f>
        <v>910.41666666666663</v>
      </c>
      <c r="AD148" s="249">
        <f t="shared" si="55"/>
        <v>4048.8214285714262</v>
      </c>
      <c r="AE148" s="249">
        <f t="shared" si="56"/>
        <v>6073.6428571428532</v>
      </c>
      <c r="AF148" s="249">
        <f>IF(AND(AE148&gt;0,$N148&lt;&gt;""),IF((DATE(Assumptions!$B$4,2,28)-$N148)/365.25&lt;=Assumptions!$B$20,(DATE(Assumptions!$B$4,2,28)-$N148)/365.25*Assumptions!$B$18*AE148,(Assumptions!$B$20*Assumptions!$B$18+((DATE(Assumptions!$B$4,2,28)-$N148)/365.25-Assumptions!$B$20)*Assumptions!$B$19)*AE148),0)</f>
        <v>1496.5855089469042</v>
      </c>
      <c r="AG148" s="249">
        <f>IF(AD148&gt;0,IF($M148="Saudi",MIN(AD148+$Q148*$V148,Assumptions!$B$14)*Assumptions!$B$12,MIN(AD148+$Q148*$V148,Assumptions!$B$14)*Assumptions!$B$13),0)</f>
        <v>0</v>
      </c>
      <c r="AH148" s="249">
        <f>IF(AND(AD148&gt;0,$M148="Non-Saudi"),Assumptions!$B$25,0)</f>
        <v>910.41666666666663</v>
      </c>
      <c r="AI148" s="249">
        <f t="shared" si="57"/>
        <v>4048.8214285714262</v>
      </c>
      <c r="AJ148" s="249">
        <f t="shared" si="58"/>
        <v>6073.6428571428532</v>
      </c>
      <c r="AK148" s="249">
        <f>IF(AND(AJ148&gt;0,$N148&lt;&gt;""),IF((DATE(Assumptions!$B$4,3,28)-$N148)/365.25&lt;=Assumptions!$B$20,(DATE(Assumptions!$B$4,3,28)-$N148)/365.25*Assumptions!$B$18*AJ148,(Assumptions!$B$20*Assumptions!$B$18+((DATE(Assumptions!$B$4,3,28)-$N148)/365.25-Assumptions!$B$20)*Assumptions!$B$19)*AJ148),0)</f>
        <v>1729.3876992275339</v>
      </c>
      <c r="AL148" s="249">
        <f>IF(AI148&gt;0,IF($M148="Saudi",MIN(AI148+$Q148*$V148,Assumptions!$B$14)*Assumptions!$B$12,MIN(AI148+$Q148*$V148,Assumptions!$B$14)*Assumptions!$B$13),0)</f>
        <v>0</v>
      </c>
      <c r="AM148" s="249">
        <f>IF(AND(AI148&gt;0,$M148="Non-Saudi"),Assumptions!$B$25,0)</f>
        <v>910.41666666666663</v>
      </c>
      <c r="AN148" s="249">
        <f t="shared" si="59"/>
        <v>4048.8214285714262</v>
      </c>
      <c r="AO148" s="249">
        <f t="shared" si="60"/>
        <v>6073.6428571428532</v>
      </c>
      <c r="AP148" s="249">
        <f>IF(AND(AO148&gt;0,$N148&lt;&gt;""),IF((DATE(Assumptions!$B$4,4,28)-$N148)/365.25&lt;=Assumptions!$B$20,(DATE(Assumptions!$B$4,4,28)-$N148)/365.25*Assumptions!$B$18*AO148,(Assumptions!$B$20*Assumptions!$B$18+((DATE(Assumptions!$B$4,4,28)-$N148)/365.25-Assumptions!$B$20)*Assumptions!$B$19)*AO148),0)</f>
        <v>1987.1329813239452</v>
      </c>
      <c r="AQ148" s="249">
        <f>IF(AN148&gt;0,IF($M148="Saudi",MIN(AN148+$Q148*$V148,Assumptions!$B$14)*Assumptions!$B$12,MIN(AN148+$Q148*$V148,Assumptions!$B$14)*Assumptions!$B$13),0)</f>
        <v>0</v>
      </c>
      <c r="AR148" s="249">
        <f>IF(AND(AN148&gt;0,$M148="Non-Saudi"),Assumptions!$B$25,0)</f>
        <v>910.41666666666663</v>
      </c>
      <c r="AS148" s="249">
        <f t="shared" si="61"/>
        <v>4048.8214285714262</v>
      </c>
      <c r="AT148" s="249">
        <f t="shared" si="62"/>
        <v>6073.6428571428532</v>
      </c>
      <c r="AU148" s="249">
        <f>IF(AND(AT148&gt;0,$N148&lt;&gt;""),IF((DATE(Assumptions!$B$4,5,28)-$N148)/365.25&lt;=Assumptions!$B$20,(DATE(Assumptions!$B$4,5,28)-$N148)/365.25*Assumptions!$B$18*AT148,(Assumptions!$B$20*Assumptions!$B$18+((DATE(Assumptions!$B$4,5,28)-$N148)/365.25-Assumptions!$B$20)*Assumptions!$B$19)*AT148),0)</f>
        <v>2236.5638994817623</v>
      </c>
      <c r="AV148" s="249">
        <f>IF(AS148&gt;0,IF($M148="Saudi",MIN(AS148+$Q148*$V148,Assumptions!$B$14)*Assumptions!$B$12,MIN(AS148+$Q148*$V148,Assumptions!$B$14)*Assumptions!$B$13),0)</f>
        <v>0</v>
      </c>
      <c r="AW148" s="249">
        <f>IF(AND(AS148&gt;0,$M148="Non-Saudi"),Assumptions!$B$25,0)</f>
        <v>910.41666666666663</v>
      </c>
      <c r="AX148" s="249">
        <f t="shared" si="63"/>
        <v>4048.8214285714262</v>
      </c>
      <c r="AY148" s="249">
        <f t="shared" si="64"/>
        <v>6073.6428571428532</v>
      </c>
      <c r="AZ148" s="249">
        <f>IF(AND(AY148&gt;0,$N148&lt;&gt;""),IF((DATE(Assumptions!$B$4,6,28)-$N148)/365.25&lt;=Assumptions!$B$20,(DATE(Assumptions!$B$4,6,28)-$N148)/365.25*Assumptions!$B$18*AY148,(Assumptions!$B$20*Assumptions!$B$18+((DATE(Assumptions!$B$4,6,28)-$N148)/365.25-Assumptions!$B$20)*Assumptions!$B$19)*AY148),0)</f>
        <v>2494.3091815781736</v>
      </c>
      <c r="BA148" s="249">
        <f>IF(AX148&gt;0,IF($M148="Saudi",MIN(AX148+$Q148*$V148,Assumptions!$B$14)*Assumptions!$B$12,MIN(AX148+$Q148*$V148,Assumptions!$B$14)*Assumptions!$B$13),0)</f>
        <v>0</v>
      </c>
      <c r="BB148" s="249">
        <f>IF(AND(AX148&gt;0,$M148="Non-Saudi"),Assumptions!$B$25,0)</f>
        <v>910.41666666666663</v>
      </c>
      <c r="BC148" s="249">
        <f t="shared" si="65"/>
        <v>4048.8214285714262</v>
      </c>
      <c r="BD148" s="249">
        <f t="shared" si="66"/>
        <v>6073.6428571428532</v>
      </c>
      <c r="BE148" s="249">
        <f>IF(AND(BD148&gt;0,$N148&lt;&gt;""),IF((DATE(Assumptions!$B$4,7,28)-$N148)/365.25&lt;=Assumptions!$B$20,(DATE(Assumptions!$B$4,7,28)-$N148)/365.25*Assumptions!$B$18*BD148,(Assumptions!$B$20*Assumptions!$B$18+((DATE(Assumptions!$B$4,7,28)-$N148)/365.25-Assumptions!$B$20)*Assumptions!$B$19)*BD148),0)</f>
        <v>2743.740099735991</v>
      </c>
      <c r="BF148" s="249">
        <f>IF(BC148&gt;0,IF($M148="Saudi",MIN(BC148+$Q148*$V148,Assumptions!$B$14)*Assumptions!$B$12,MIN(BC148+$Q148*$V148,Assumptions!$B$14)*Assumptions!$B$13),0)</f>
        <v>0</v>
      </c>
      <c r="BG148" s="249">
        <f>IF(AND(BC148&gt;0,$M148="Non-Saudi"),Assumptions!$B$25,0)</f>
        <v>910.41666666666663</v>
      </c>
      <c r="BH148" s="249">
        <f t="shared" si="67"/>
        <v>4048.8214285714262</v>
      </c>
      <c r="BI148" s="249">
        <f t="shared" si="68"/>
        <v>6073.6428571428532</v>
      </c>
      <c r="BJ148" s="249">
        <f>IF(AND(BI148&gt;0,$N148&lt;&gt;""),IF((DATE(Assumptions!$B$4,8,28)-$N148)/365.25&lt;=Assumptions!$B$20,(DATE(Assumptions!$B$4,8,28)-$N148)/365.25*Assumptions!$B$18*BI148,(Assumptions!$B$20*Assumptions!$B$18+((DATE(Assumptions!$B$4,8,28)-$N148)/365.25-Assumptions!$B$20)*Assumptions!$B$19)*BI148),0)</f>
        <v>3001.4853818324027</v>
      </c>
      <c r="BK148" s="249">
        <f>IF(BH148&gt;0,IF($M148="Saudi",MIN(BH148+$Q148*$V148,Assumptions!$B$14)*Assumptions!$B$12,MIN(BH148+$Q148*$V148,Assumptions!$B$14)*Assumptions!$B$13),0)</f>
        <v>0</v>
      </c>
      <c r="BL148" s="249">
        <f>IF(AND(BH148&gt;0,$M148="Non-Saudi"),Assumptions!$B$25,0)</f>
        <v>910.41666666666663</v>
      </c>
      <c r="BM148" s="249">
        <f>IF(AND($D148="Contrat Local",$N148&lt;&gt;""),IF(AND(9&gt;=Assumptions!$B$5,ISNUMBER($X148),$N148&lt;EDATE(Assumptions!$B$9,-Assumptions!$B$6*12)),($P148+$X148)*$V148,$P148*$V148),0)</f>
        <v>4048.8214285714262</v>
      </c>
      <c r="BN148" s="249">
        <f t="shared" si="69"/>
        <v>6073.6428571428532</v>
      </c>
      <c r="BO148" s="249">
        <f>IF(AND(BN148&gt;0,$N148&lt;&gt;""),IF((DATE(Assumptions!$B$4,9,28)-$N148)/365.25&lt;=Assumptions!$B$20,(DATE(Assumptions!$B$4,9,28)-$N148)/365.25*Assumptions!$B$18*BN148,(Assumptions!$B$20*Assumptions!$B$18+((DATE(Assumptions!$B$4,9,28)-$N148)/365.25-Assumptions!$B$20)*Assumptions!$B$19)*BN148),0)</f>
        <v>3259.2306639288136</v>
      </c>
      <c r="BP148" s="249">
        <f>IF(BM148&gt;0,IF($M148="Saudi",MIN(BM148+$Q148*$V148,Assumptions!$B$14)*Assumptions!$B$12,MIN(BM148+$Q148*$V148,Assumptions!$B$14)*Assumptions!$B$13),0)</f>
        <v>0</v>
      </c>
      <c r="BQ148" s="249">
        <f>IF(AND(BM148&gt;0,$M148="Non-Saudi"),Assumptions!$B$25,0)</f>
        <v>910.41666666666663</v>
      </c>
      <c r="BR148" s="249">
        <f>IF(AND($D148="Contrat Local",$N148&lt;&gt;""),IF(AND(10&gt;=Assumptions!$B$5,ISNUMBER($X148),$N148&lt;EDATE(Assumptions!$B$9,-Assumptions!$B$6*12)),($P148+$X148)*$V148,$P148*$V148),0)</f>
        <v>4048.8214285714262</v>
      </c>
      <c r="BS148" s="249">
        <f t="shared" si="70"/>
        <v>6073.6428571428532</v>
      </c>
      <c r="BT148" s="249">
        <f>IF(AND(BS148&gt;0,$N148&lt;&gt;""),IF((DATE(Assumptions!$B$4,10,28)-$N148)/365.25&lt;=Assumptions!$B$20,(DATE(Assumptions!$B$4,10,28)-$N148)/365.25*Assumptions!$B$18*BS148,(Assumptions!$B$20*Assumptions!$B$18+((DATE(Assumptions!$B$4,10,28)-$N148)/365.25-Assumptions!$B$20)*Assumptions!$B$19)*BS148),0)</f>
        <v>3508.6615820866314</v>
      </c>
      <c r="BU148" s="249">
        <f>IF(BR148&gt;0,IF($M148="Saudi",MIN(BR148+$Q148*$V148,Assumptions!$B$14)*Assumptions!$B$12,MIN(BR148+$Q148*$V148,Assumptions!$B$14)*Assumptions!$B$13),0)</f>
        <v>0</v>
      </c>
      <c r="BV148" s="249">
        <f>IF(AND(BR148&gt;0,$M148="Non-Saudi"),Assumptions!$B$25,0)</f>
        <v>910.41666666666663</v>
      </c>
      <c r="BW148" s="249">
        <f>IF(AND($D148="Contrat Local",$N148&lt;&gt;""),IF(AND(11&gt;=Assumptions!$B$5,ISNUMBER($X148),$N148&lt;EDATE(Assumptions!$B$9,-Assumptions!$B$6*12)),($P148+$X148)*$V148,$P148*$V148),0)</f>
        <v>4048.8214285714262</v>
      </c>
      <c r="BX148" s="249">
        <f t="shared" si="71"/>
        <v>6073.6428571428532</v>
      </c>
      <c r="BY148" s="249">
        <f>IF(AND(BX148&gt;0,$N148&lt;&gt;""),IF((DATE(Assumptions!$B$4,11,28)-$N148)/365.25&lt;=Assumptions!$B$20,(DATE(Assumptions!$B$4,11,28)-$N148)/365.25*Assumptions!$B$18*BX148,(Assumptions!$B$20*Assumptions!$B$18+((DATE(Assumptions!$B$4,11,28)-$N148)/365.25-Assumptions!$B$20)*Assumptions!$B$19)*BX148),0)</f>
        <v>3766.4068641830422</v>
      </c>
      <c r="BZ148" s="249">
        <f>IF(BW148&gt;0,IF($M148="Saudi",MIN(BW148+$Q148*$V148,Assumptions!$B$14)*Assumptions!$B$12,MIN(BW148+$Q148*$V148,Assumptions!$B$14)*Assumptions!$B$13),0)</f>
        <v>0</v>
      </c>
      <c r="CA148" s="249">
        <f>IF(AND(BW148&gt;0,$M148="Non-Saudi"),Assumptions!$B$25,0)</f>
        <v>910.41666666666663</v>
      </c>
      <c r="CB148" s="249">
        <f>IF(AND($D148="Contrat Local",$N148&lt;&gt;""),IF(AND(12&gt;=Assumptions!$B$5,ISNUMBER($X148),$N148&lt;EDATE(Assumptions!$B$9,-Assumptions!$B$6*12)),($P148+$X148)*$V148,$P148*$V148),0)</f>
        <v>4048.8214285714262</v>
      </c>
      <c r="CC148" s="249">
        <f t="shared" si="72"/>
        <v>6073.6428571428532</v>
      </c>
      <c r="CD148" s="249">
        <f>IF(AND(CC148&gt;0,$N148&lt;&gt;""),IF((DATE(Assumptions!$B$4,12,28)-$N148)/365.25&lt;=Assumptions!$B$20,(DATE(Assumptions!$B$4,12,28)-$N148)/365.25*Assumptions!$B$18*CC148,(Assumptions!$B$20*Assumptions!$B$18+((DATE(Assumptions!$B$4,12,28)-$N148)/365.25-Assumptions!$B$20)*Assumptions!$B$19)*CC148),0)</f>
        <v>4015.83778234086</v>
      </c>
      <c r="CE148" s="249">
        <f>IF(CB148&gt;0,IF($M148="Saudi",MIN(CB148+$Q148*$V148,Assumptions!$B$14)*Assumptions!$B$12,MIN(CB148+$Q148*$V148,Assumptions!$B$14)*Assumptions!$B$13),0)</f>
        <v>0</v>
      </c>
      <c r="CF148" s="249">
        <f>IF(AND(CB148&gt;0,$M148="Non-Saudi"),Assumptions!$B$25,0)</f>
        <v>910.41666666666663</v>
      </c>
      <c r="CG148" s="249">
        <f t="shared" si="73"/>
        <v>48585.857142857123</v>
      </c>
      <c r="CH148" s="249">
        <f t="shared" si="74"/>
        <v>72883.714285714246</v>
      </c>
      <c r="CI148" s="249">
        <f>CD148-IF(AND(Z148&gt;0,$N148&lt;&gt;""),IF((DATE(Assumptions!$B$4-1,12,28)-$N148)/365.25&lt;=Assumptions!$B$20,(DATE(Assumptions!$B$4-1,12,28)-$N148)/365.25*Assumptions!$B$18*Z148,(Assumptions!$B$20*Assumptions!$B$18+((DATE(Assumptions!$B$4-1,12,28)-$N148)/365.25-Assumptions!$B$20)*Assumptions!$B$19)*Z148),0)</f>
        <v>3034.7428375867785</v>
      </c>
      <c r="CJ148" s="249">
        <f t="shared" si="75"/>
        <v>0</v>
      </c>
      <c r="CK148" s="249">
        <f t="shared" si="76"/>
        <v>10924.999999999998</v>
      </c>
    </row>
    <row r="149" spans="1:89" x14ac:dyDescent="0.2">
      <c r="A149" s="264">
        <v>152</v>
      </c>
      <c r="B149" s="265" t="s">
        <v>606</v>
      </c>
      <c r="C149" s="265" t="s">
        <v>607</v>
      </c>
      <c r="D149" s="265" t="s">
        <v>250</v>
      </c>
      <c r="E149" s="265" t="s">
        <v>767</v>
      </c>
      <c r="F149" s="265" t="s">
        <v>264</v>
      </c>
      <c r="G149" s="265" t="s">
        <v>8</v>
      </c>
      <c r="H149" s="265" t="s">
        <v>608</v>
      </c>
      <c r="I149" s="284" t="s">
        <v>691</v>
      </c>
      <c r="J149" s="265" t="s">
        <v>58</v>
      </c>
      <c r="K149" s="265" t="s">
        <v>8</v>
      </c>
      <c r="L149" s="265" t="s">
        <v>255</v>
      </c>
      <c r="M149" s="265" t="str">
        <f t="shared" si="52"/>
        <v>Non-Saudi</v>
      </c>
      <c r="N149" s="266">
        <v>43709</v>
      </c>
      <c r="O149" s="267">
        <v>7.3</v>
      </c>
      <c r="P149" s="268">
        <v>9500</v>
      </c>
      <c r="Q149" s="268">
        <v>2500</v>
      </c>
      <c r="R149" s="268">
        <v>500</v>
      </c>
      <c r="S149" s="268"/>
      <c r="T149" s="268"/>
      <c r="U149" s="268">
        <v>12500</v>
      </c>
      <c r="V149" s="269">
        <v>1</v>
      </c>
      <c r="W149" s="265" t="s">
        <v>259</v>
      </c>
      <c r="X149" s="265">
        <v>250</v>
      </c>
      <c r="Y149" s="249">
        <f t="shared" si="53"/>
        <v>9500</v>
      </c>
      <c r="Z149" s="249">
        <f t="shared" si="54"/>
        <v>12500</v>
      </c>
      <c r="AA149" s="249">
        <f>IF(AND(Z149&gt;0,$N149&lt;&gt;""),IF((DATE(Assumptions!$B$4,1,28)-$N149)/365.25&lt;=Assumptions!$B$20,(DATE(Assumptions!$B$4,1,28)-$N149)/365.25*Assumptions!$B$18*Z149,(Assumptions!$B$20*Assumptions!$B$18+((DATE(Assumptions!$B$4,1,28)-$N149)/365.25-Assumptions!$B$20)*Assumptions!$B$19)*Z149),0)</f>
        <v>48866.358658453115</v>
      </c>
      <c r="AB149" s="249">
        <f>IF(Y149&gt;0,IF($M149="Saudi",MIN(Y149+$Q149*$V149,Assumptions!$B$14)*Assumptions!$B$12,MIN(Y149+$Q149*$V149,Assumptions!$B$14)*Assumptions!$B$13),0)</f>
        <v>0</v>
      </c>
      <c r="AC149" s="249">
        <f>IF(AND(Y149&gt;0,$M149="Non-Saudi"),Assumptions!$B$25,0)</f>
        <v>910.41666666666663</v>
      </c>
      <c r="AD149" s="249">
        <f t="shared" si="55"/>
        <v>9500</v>
      </c>
      <c r="AE149" s="249">
        <f t="shared" si="56"/>
        <v>12500</v>
      </c>
      <c r="AF149" s="249">
        <f>IF(AND(AE149&gt;0,$N149&lt;&gt;""),IF((DATE(Assumptions!$B$4,2,28)-$N149)/365.25&lt;=Assumptions!$B$20,(DATE(Assumptions!$B$4,2,28)-$N149)/365.25*Assumptions!$B$18*AE149,(Assumptions!$B$20*Assumptions!$B$18+((DATE(Assumptions!$B$4,2,28)-$N149)/365.25-Assumptions!$B$20)*Assumptions!$B$19)*AE149),0)</f>
        <v>49927.275838466798</v>
      </c>
      <c r="AG149" s="249">
        <f>IF(AD149&gt;0,IF($M149="Saudi",MIN(AD149+$Q149*$V149,Assumptions!$B$14)*Assumptions!$B$12,MIN(AD149+$Q149*$V149,Assumptions!$B$14)*Assumptions!$B$13),0)</f>
        <v>0</v>
      </c>
      <c r="AH149" s="249">
        <f>IF(AND(AD149&gt;0,$M149="Non-Saudi"),Assumptions!$B$25,0)</f>
        <v>910.41666666666663</v>
      </c>
      <c r="AI149" s="249">
        <f t="shared" si="57"/>
        <v>9500</v>
      </c>
      <c r="AJ149" s="249">
        <f t="shared" si="58"/>
        <v>12500</v>
      </c>
      <c r="AK149" s="249">
        <f>IF(AND(AJ149&gt;0,$N149&lt;&gt;""),IF((DATE(Assumptions!$B$4,3,28)-$N149)/365.25&lt;=Assumptions!$B$20,(DATE(Assumptions!$B$4,3,28)-$N149)/365.25*Assumptions!$B$18*AJ149,(Assumptions!$B$20*Assumptions!$B$18+((DATE(Assumptions!$B$4,3,28)-$N149)/365.25-Assumptions!$B$20)*Assumptions!$B$19)*AJ149),0)</f>
        <v>50885.523613963036</v>
      </c>
      <c r="AL149" s="249">
        <f>IF(AI149&gt;0,IF($M149="Saudi",MIN(AI149+$Q149*$V149,Assumptions!$B$14)*Assumptions!$B$12,MIN(AI149+$Q149*$V149,Assumptions!$B$14)*Assumptions!$B$13),0)</f>
        <v>0</v>
      </c>
      <c r="AM149" s="249">
        <f>IF(AND(AI149&gt;0,$M149="Non-Saudi"),Assumptions!$B$25,0)</f>
        <v>910.41666666666663</v>
      </c>
      <c r="AN149" s="249">
        <f t="shared" si="59"/>
        <v>9500</v>
      </c>
      <c r="AO149" s="249">
        <f t="shared" si="60"/>
        <v>12500</v>
      </c>
      <c r="AP149" s="249">
        <f>IF(AND(AO149&gt;0,$N149&lt;&gt;""),IF((DATE(Assumptions!$B$4,4,28)-$N149)/365.25&lt;=Assumptions!$B$20,(DATE(Assumptions!$B$4,4,28)-$N149)/365.25*Assumptions!$B$18*AO149,(Assumptions!$B$20*Assumptions!$B$18+((DATE(Assumptions!$B$4,4,28)-$N149)/365.25-Assumptions!$B$20)*Assumptions!$B$19)*AO149),0)</f>
        <v>51946.440793976733</v>
      </c>
      <c r="AQ149" s="249">
        <f>IF(AN149&gt;0,IF($M149="Saudi",MIN(AN149+$Q149*$V149,Assumptions!$B$14)*Assumptions!$B$12,MIN(AN149+$Q149*$V149,Assumptions!$B$14)*Assumptions!$B$13),0)</f>
        <v>0</v>
      </c>
      <c r="AR149" s="249">
        <f>IF(AND(AN149&gt;0,$M149="Non-Saudi"),Assumptions!$B$25,0)</f>
        <v>910.41666666666663</v>
      </c>
      <c r="AS149" s="249">
        <f t="shared" si="61"/>
        <v>9500</v>
      </c>
      <c r="AT149" s="249">
        <f t="shared" si="62"/>
        <v>12500</v>
      </c>
      <c r="AU149" s="249">
        <f>IF(AND(AT149&gt;0,$N149&lt;&gt;""),IF((DATE(Assumptions!$B$4,5,28)-$N149)/365.25&lt;=Assumptions!$B$20,(DATE(Assumptions!$B$4,5,28)-$N149)/365.25*Assumptions!$B$18*AT149,(Assumptions!$B$20*Assumptions!$B$18+((DATE(Assumptions!$B$4,5,28)-$N149)/365.25-Assumptions!$B$20)*Assumptions!$B$19)*AT149),0)</f>
        <v>52973.134839151273</v>
      </c>
      <c r="AV149" s="249">
        <f>IF(AS149&gt;0,IF($M149="Saudi",MIN(AS149+$Q149*$V149,Assumptions!$B$14)*Assumptions!$B$12,MIN(AS149+$Q149*$V149,Assumptions!$B$14)*Assumptions!$B$13),0)</f>
        <v>0</v>
      </c>
      <c r="AW149" s="249">
        <f>IF(AND(AS149&gt;0,$M149="Non-Saudi"),Assumptions!$B$25,0)</f>
        <v>910.41666666666663</v>
      </c>
      <c r="AX149" s="249">
        <f t="shared" si="63"/>
        <v>9500</v>
      </c>
      <c r="AY149" s="249">
        <f t="shared" si="64"/>
        <v>12500</v>
      </c>
      <c r="AZ149" s="249">
        <f>IF(AND(AY149&gt;0,$N149&lt;&gt;""),IF((DATE(Assumptions!$B$4,6,28)-$N149)/365.25&lt;=Assumptions!$B$20,(DATE(Assumptions!$B$4,6,28)-$N149)/365.25*Assumptions!$B$18*AY149,(Assumptions!$B$20*Assumptions!$B$18+((DATE(Assumptions!$B$4,6,28)-$N149)/365.25-Assumptions!$B$20)*Assumptions!$B$19)*AY149),0)</f>
        <v>54034.052019164956</v>
      </c>
      <c r="BA149" s="249">
        <f>IF(AX149&gt;0,IF($M149="Saudi",MIN(AX149+$Q149*$V149,Assumptions!$B$14)*Assumptions!$B$12,MIN(AX149+$Q149*$V149,Assumptions!$B$14)*Assumptions!$B$13),0)</f>
        <v>0</v>
      </c>
      <c r="BB149" s="249">
        <f>IF(AND(AX149&gt;0,$M149="Non-Saudi"),Assumptions!$B$25,0)</f>
        <v>910.41666666666663</v>
      </c>
      <c r="BC149" s="249">
        <f t="shared" si="65"/>
        <v>9500</v>
      </c>
      <c r="BD149" s="249">
        <f t="shared" si="66"/>
        <v>12500</v>
      </c>
      <c r="BE149" s="249">
        <f>IF(AND(BD149&gt;0,$N149&lt;&gt;""),IF((DATE(Assumptions!$B$4,7,28)-$N149)/365.25&lt;=Assumptions!$B$20,(DATE(Assumptions!$B$4,7,28)-$N149)/365.25*Assumptions!$B$18*BD149,(Assumptions!$B$20*Assumptions!$B$18+((DATE(Assumptions!$B$4,7,28)-$N149)/365.25-Assumptions!$B$20)*Assumptions!$B$19)*BD149),0)</f>
        <v>55060.746064339495</v>
      </c>
      <c r="BF149" s="249">
        <f>IF(BC149&gt;0,IF($M149="Saudi",MIN(BC149+$Q149*$V149,Assumptions!$B$14)*Assumptions!$B$12,MIN(BC149+$Q149*$V149,Assumptions!$B$14)*Assumptions!$B$13),0)</f>
        <v>0</v>
      </c>
      <c r="BG149" s="249">
        <f>IF(AND(BC149&gt;0,$M149="Non-Saudi"),Assumptions!$B$25,0)</f>
        <v>910.41666666666663</v>
      </c>
      <c r="BH149" s="249">
        <f t="shared" si="67"/>
        <v>9500</v>
      </c>
      <c r="BI149" s="249">
        <f t="shared" si="68"/>
        <v>12500</v>
      </c>
      <c r="BJ149" s="249">
        <f>IF(AND(BI149&gt;0,$N149&lt;&gt;""),IF((DATE(Assumptions!$B$4,8,28)-$N149)/365.25&lt;=Assumptions!$B$20,(DATE(Assumptions!$B$4,8,28)-$N149)/365.25*Assumptions!$B$18*BI149,(Assumptions!$B$20*Assumptions!$B$18+((DATE(Assumptions!$B$4,8,28)-$N149)/365.25-Assumptions!$B$20)*Assumptions!$B$19)*BI149),0)</f>
        <v>56121.663244353178</v>
      </c>
      <c r="BK149" s="249">
        <f>IF(BH149&gt;0,IF($M149="Saudi",MIN(BH149+$Q149*$V149,Assumptions!$B$14)*Assumptions!$B$12,MIN(BH149+$Q149*$V149,Assumptions!$B$14)*Assumptions!$B$13),0)</f>
        <v>0</v>
      </c>
      <c r="BL149" s="249">
        <f>IF(AND(BH149&gt;0,$M149="Non-Saudi"),Assumptions!$B$25,0)</f>
        <v>910.41666666666663</v>
      </c>
      <c r="BM149" s="249">
        <f>IF(AND($D149="Contrat Local",$N149&lt;&gt;""),IF(AND(9&gt;=Assumptions!$B$5,ISNUMBER($X149),$N149&lt;EDATE(Assumptions!$B$9,-Assumptions!$B$6*12)),($P149+$X149)*$V149,$P149*$V149),0)</f>
        <v>9750</v>
      </c>
      <c r="BN149" s="249">
        <f t="shared" si="69"/>
        <v>12750</v>
      </c>
      <c r="BO149" s="249">
        <f>IF(AND(BN149&gt;0,$N149&lt;&gt;""),IF((DATE(Assumptions!$B$4,9,28)-$N149)/365.25&lt;=Assumptions!$B$20,(DATE(Assumptions!$B$4,9,28)-$N149)/365.25*Assumptions!$B$18*BN149,(Assumptions!$B$20*Assumptions!$B$18+((DATE(Assumptions!$B$4,9,28)-$N149)/365.25-Assumptions!$B$20)*Assumptions!$B$19)*BN149),0)</f>
        <v>58326.232032854205</v>
      </c>
      <c r="BP149" s="249">
        <f>IF(BM149&gt;0,IF($M149="Saudi",MIN(BM149+$Q149*$V149,Assumptions!$B$14)*Assumptions!$B$12,MIN(BM149+$Q149*$V149,Assumptions!$B$14)*Assumptions!$B$13),0)</f>
        <v>0</v>
      </c>
      <c r="BQ149" s="249">
        <f>IF(AND(BM149&gt;0,$M149="Non-Saudi"),Assumptions!$B$25,0)</f>
        <v>910.41666666666663</v>
      </c>
      <c r="BR149" s="249">
        <f>IF(AND($D149="Contrat Local",$N149&lt;&gt;""),IF(AND(10&gt;=Assumptions!$B$5,ISNUMBER($X149),$N149&lt;EDATE(Assumptions!$B$9,-Assumptions!$B$6*12)),($P149+$X149)*$V149,$P149*$V149),0)</f>
        <v>9750</v>
      </c>
      <c r="BS149" s="249">
        <f t="shared" si="70"/>
        <v>12750</v>
      </c>
      <c r="BT149" s="249">
        <f>IF(AND(BS149&gt;0,$N149&lt;&gt;""),IF((DATE(Assumptions!$B$4,10,28)-$N149)/365.25&lt;=Assumptions!$B$20,(DATE(Assumptions!$B$4,10,28)-$N149)/365.25*Assumptions!$B$18*BS149,(Assumptions!$B$20*Assumptions!$B$18+((DATE(Assumptions!$B$4,10,28)-$N149)/365.25-Assumptions!$B$20)*Assumptions!$B$19)*BS149),0)</f>
        <v>59373.459958932232</v>
      </c>
      <c r="BU149" s="249">
        <f>IF(BR149&gt;0,IF($M149="Saudi",MIN(BR149+$Q149*$V149,Assumptions!$B$14)*Assumptions!$B$12,MIN(BR149+$Q149*$V149,Assumptions!$B$14)*Assumptions!$B$13),0)</f>
        <v>0</v>
      </c>
      <c r="BV149" s="249">
        <f>IF(AND(BR149&gt;0,$M149="Non-Saudi"),Assumptions!$B$25,0)</f>
        <v>910.41666666666663</v>
      </c>
      <c r="BW149" s="249">
        <f>IF(AND($D149="Contrat Local",$N149&lt;&gt;""),IF(AND(11&gt;=Assumptions!$B$5,ISNUMBER($X149),$N149&lt;EDATE(Assumptions!$B$9,-Assumptions!$B$6*12)),($P149+$X149)*$V149,$P149*$V149),0)</f>
        <v>9750</v>
      </c>
      <c r="BX149" s="249">
        <f t="shared" si="71"/>
        <v>12750</v>
      </c>
      <c r="BY149" s="249">
        <f>IF(AND(BX149&gt;0,$N149&lt;&gt;""),IF((DATE(Assumptions!$B$4,11,28)-$N149)/365.25&lt;=Assumptions!$B$20,(DATE(Assumptions!$B$4,11,28)-$N149)/365.25*Assumptions!$B$18*BX149,(Assumptions!$B$20*Assumptions!$B$18+((DATE(Assumptions!$B$4,11,28)-$N149)/365.25-Assumptions!$B$20)*Assumptions!$B$19)*BX149),0)</f>
        <v>60455.595482546203</v>
      </c>
      <c r="BZ149" s="249">
        <f>IF(BW149&gt;0,IF($M149="Saudi",MIN(BW149+$Q149*$V149,Assumptions!$B$14)*Assumptions!$B$12,MIN(BW149+$Q149*$V149,Assumptions!$B$14)*Assumptions!$B$13),0)</f>
        <v>0</v>
      </c>
      <c r="CA149" s="249">
        <f>IF(AND(BW149&gt;0,$M149="Non-Saudi"),Assumptions!$B$25,0)</f>
        <v>910.41666666666663</v>
      </c>
      <c r="CB149" s="249">
        <f>IF(AND($D149="Contrat Local",$N149&lt;&gt;""),IF(AND(12&gt;=Assumptions!$B$5,ISNUMBER($X149),$N149&lt;EDATE(Assumptions!$B$9,-Assumptions!$B$6*12)),($P149+$X149)*$V149,$P149*$V149),0)</f>
        <v>9750</v>
      </c>
      <c r="CC149" s="249">
        <f t="shared" si="72"/>
        <v>12750</v>
      </c>
      <c r="CD149" s="249">
        <f>IF(AND(CC149&gt;0,$N149&lt;&gt;""),IF((DATE(Assumptions!$B$4,12,28)-$N149)/365.25&lt;=Assumptions!$B$20,(DATE(Assumptions!$B$4,12,28)-$N149)/365.25*Assumptions!$B$18*CC149,(Assumptions!$B$20*Assumptions!$B$18+((DATE(Assumptions!$B$4,12,28)-$N149)/365.25-Assumptions!$B$20)*Assumptions!$B$19)*CC149),0)</f>
        <v>61502.82340862423</v>
      </c>
      <c r="CE149" s="249">
        <f>IF(CB149&gt;0,IF($M149="Saudi",MIN(CB149+$Q149*$V149,Assumptions!$B$14)*Assumptions!$B$12,MIN(CB149+$Q149*$V149,Assumptions!$B$14)*Assumptions!$B$13),0)</f>
        <v>0</v>
      </c>
      <c r="CF149" s="249">
        <f>IF(AND(CB149&gt;0,$M149="Non-Saudi"),Assumptions!$B$25,0)</f>
        <v>910.41666666666663</v>
      </c>
      <c r="CG149" s="249">
        <f t="shared" si="73"/>
        <v>115000</v>
      </c>
      <c r="CH149" s="249">
        <f t="shared" si="74"/>
        <v>151000</v>
      </c>
      <c r="CI149" s="249">
        <f>CD149-IF(AND(Z149&gt;0,$N149&lt;&gt;""),IF((DATE(Assumptions!$B$4-1,12,28)-$N149)/365.25&lt;=Assumptions!$B$20,(DATE(Assumptions!$B$4-1,12,28)-$N149)/365.25*Assumptions!$B$18*Z149,(Assumptions!$B$20*Assumptions!$B$18+((DATE(Assumptions!$B$4-1,12,28)-$N149)/365.25-Assumptions!$B$20)*Assumptions!$B$19)*Z149),0)</f>
        <v>13697.381930184805</v>
      </c>
      <c r="CJ149" s="249">
        <f t="shared" si="75"/>
        <v>0</v>
      </c>
      <c r="CK149" s="249">
        <f t="shared" si="76"/>
        <v>10924.999999999998</v>
      </c>
    </row>
    <row r="150" spans="1:89" x14ac:dyDescent="0.2">
      <c r="A150" s="258">
        <v>153</v>
      </c>
      <c r="B150" s="259" t="s">
        <v>609</v>
      </c>
      <c r="C150" s="259" t="s">
        <v>610</v>
      </c>
      <c r="D150" s="259" t="s">
        <v>250</v>
      </c>
      <c r="E150" s="259" t="s">
        <v>767</v>
      </c>
      <c r="F150" s="259" t="s">
        <v>344</v>
      </c>
      <c r="G150" s="259" t="s">
        <v>4</v>
      </c>
      <c r="H150" s="259" t="s">
        <v>120</v>
      </c>
      <c r="I150" s="288" t="s">
        <v>691</v>
      </c>
      <c r="J150" s="259" t="s">
        <v>344</v>
      </c>
      <c r="K150" s="259" t="s">
        <v>4</v>
      </c>
      <c r="L150" s="259" t="s">
        <v>255</v>
      </c>
      <c r="M150" s="259" t="str">
        <f t="shared" si="52"/>
        <v>Non-Saudi</v>
      </c>
      <c r="N150" s="260">
        <v>44440</v>
      </c>
      <c r="O150" s="261">
        <v>5.3</v>
      </c>
      <c r="P150" s="262">
        <v>6800</v>
      </c>
      <c r="Q150" s="262">
        <v>2500</v>
      </c>
      <c r="R150" s="262">
        <v>500</v>
      </c>
      <c r="S150" s="262"/>
      <c r="T150" s="262"/>
      <c r="U150" s="262">
        <v>9800</v>
      </c>
      <c r="V150" s="263">
        <v>1</v>
      </c>
      <c r="W150" s="259" t="s">
        <v>256</v>
      </c>
      <c r="X150" s="259">
        <v>200</v>
      </c>
      <c r="Y150" s="249">
        <f t="shared" si="53"/>
        <v>6800</v>
      </c>
      <c r="Z150" s="249">
        <f t="shared" si="54"/>
        <v>9800</v>
      </c>
      <c r="AA150" s="249">
        <f>IF(AND(Z150&gt;0,$N150&lt;&gt;""),IF((DATE(Assumptions!$B$4,1,28)-$N150)/365.25&lt;=Assumptions!$B$20,(DATE(Assumptions!$B$4,1,28)-$N150)/365.25*Assumptions!$B$18*Z150,(Assumptions!$B$20*Assumptions!$B$18+((DATE(Assumptions!$B$4,1,28)-$N150)/365.25-Assumptions!$B$20)*Assumptions!$B$19)*Z150),0)</f>
        <v>21598.90485968515</v>
      </c>
      <c r="AB150" s="249">
        <f>IF(Y150&gt;0,IF($M150="Saudi",MIN(Y150+$Q150*$V150,Assumptions!$B$14)*Assumptions!$B$12,MIN(Y150+$Q150*$V150,Assumptions!$B$14)*Assumptions!$B$13),0)</f>
        <v>0</v>
      </c>
      <c r="AC150" s="249">
        <f>IF(AND(Y150&gt;0,$M150="Non-Saudi"),Assumptions!$B$25,0)</f>
        <v>910.41666666666663</v>
      </c>
      <c r="AD150" s="249">
        <f t="shared" si="55"/>
        <v>6800</v>
      </c>
      <c r="AE150" s="249">
        <f t="shared" si="56"/>
        <v>9800</v>
      </c>
      <c r="AF150" s="249">
        <f>IF(AND(AE150&gt;0,$N150&lt;&gt;""),IF((DATE(Assumptions!$B$4,2,28)-$N150)/365.25&lt;=Assumptions!$B$20,(DATE(Assumptions!$B$4,2,28)-$N150)/365.25*Assumptions!$B$18*AE150,(Assumptions!$B$20*Assumptions!$B$18+((DATE(Assumptions!$B$4,2,28)-$N150)/365.25-Assumptions!$B$20)*Assumptions!$B$19)*AE150),0)</f>
        <v>22014.784394250513</v>
      </c>
      <c r="AG150" s="249">
        <f>IF(AD150&gt;0,IF($M150="Saudi",MIN(AD150+$Q150*$V150,Assumptions!$B$14)*Assumptions!$B$12,MIN(AD150+$Q150*$V150,Assumptions!$B$14)*Assumptions!$B$13),0)</f>
        <v>0</v>
      </c>
      <c r="AH150" s="249">
        <f>IF(AND(AD150&gt;0,$M150="Non-Saudi"),Assumptions!$B$25,0)</f>
        <v>910.41666666666663</v>
      </c>
      <c r="AI150" s="249">
        <f t="shared" si="57"/>
        <v>6800</v>
      </c>
      <c r="AJ150" s="249">
        <f t="shared" si="58"/>
        <v>9800</v>
      </c>
      <c r="AK150" s="249">
        <f>IF(AND(AJ150&gt;0,$N150&lt;&gt;""),IF((DATE(Assumptions!$B$4,3,28)-$N150)/365.25&lt;=Assumptions!$B$20,(DATE(Assumptions!$B$4,3,28)-$N150)/365.25*Assumptions!$B$18*AJ150,(Assumptions!$B$20*Assumptions!$B$18+((DATE(Assumptions!$B$4,3,28)-$N150)/365.25-Assumptions!$B$20)*Assumptions!$B$19)*AJ150),0)</f>
        <v>22390.417522245039</v>
      </c>
      <c r="AL150" s="249">
        <f>IF(AI150&gt;0,IF($M150="Saudi",MIN(AI150+$Q150*$V150,Assumptions!$B$14)*Assumptions!$B$12,MIN(AI150+$Q150*$V150,Assumptions!$B$14)*Assumptions!$B$13),0)</f>
        <v>0</v>
      </c>
      <c r="AM150" s="249">
        <f>IF(AND(AI150&gt;0,$M150="Non-Saudi"),Assumptions!$B$25,0)</f>
        <v>910.41666666666663</v>
      </c>
      <c r="AN150" s="249">
        <f t="shared" si="59"/>
        <v>6800</v>
      </c>
      <c r="AO150" s="249">
        <f t="shared" si="60"/>
        <v>9800</v>
      </c>
      <c r="AP150" s="249">
        <f>IF(AND(AO150&gt;0,$N150&lt;&gt;""),IF((DATE(Assumptions!$B$4,4,28)-$N150)/365.25&lt;=Assumptions!$B$20,(DATE(Assumptions!$B$4,4,28)-$N150)/365.25*Assumptions!$B$18*AO150,(Assumptions!$B$20*Assumptions!$B$18+((DATE(Assumptions!$B$4,4,28)-$N150)/365.25-Assumptions!$B$20)*Assumptions!$B$19)*AO150),0)</f>
        <v>22806.297056810403</v>
      </c>
      <c r="AQ150" s="249">
        <f>IF(AN150&gt;0,IF($M150="Saudi",MIN(AN150+$Q150*$V150,Assumptions!$B$14)*Assumptions!$B$12,MIN(AN150+$Q150*$V150,Assumptions!$B$14)*Assumptions!$B$13),0)</f>
        <v>0</v>
      </c>
      <c r="AR150" s="249">
        <f>IF(AND(AN150&gt;0,$M150="Non-Saudi"),Assumptions!$B$25,0)</f>
        <v>910.41666666666663</v>
      </c>
      <c r="AS150" s="249">
        <f t="shared" si="61"/>
        <v>6800</v>
      </c>
      <c r="AT150" s="249">
        <f t="shared" si="62"/>
        <v>9800</v>
      </c>
      <c r="AU150" s="249">
        <f>IF(AND(AT150&gt;0,$N150&lt;&gt;""),IF((DATE(Assumptions!$B$4,5,28)-$N150)/365.25&lt;=Assumptions!$B$20,(DATE(Assumptions!$B$4,5,28)-$N150)/365.25*Assumptions!$B$18*AT150,(Assumptions!$B$20*Assumptions!$B$18+((DATE(Assumptions!$B$4,5,28)-$N150)/365.25-Assumptions!$B$20)*Assumptions!$B$19)*AT150),0)</f>
        <v>23208.761122518823</v>
      </c>
      <c r="AV150" s="249">
        <f>IF(AS150&gt;0,IF($M150="Saudi",MIN(AS150+$Q150*$V150,Assumptions!$B$14)*Assumptions!$B$12,MIN(AS150+$Q150*$V150,Assumptions!$B$14)*Assumptions!$B$13),0)</f>
        <v>0</v>
      </c>
      <c r="AW150" s="249">
        <f>IF(AND(AS150&gt;0,$M150="Non-Saudi"),Assumptions!$B$25,0)</f>
        <v>910.41666666666663</v>
      </c>
      <c r="AX150" s="249">
        <f t="shared" si="63"/>
        <v>6800</v>
      </c>
      <c r="AY150" s="249">
        <f t="shared" si="64"/>
        <v>9800</v>
      </c>
      <c r="AZ150" s="249">
        <f>IF(AND(AY150&gt;0,$N150&lt;&gt;""),IF((DATE(Assumptions!$B$4,6,28)-$N150)/365.25&lt;=Assumptions!$B$20,(DATE(Assumptions!$B$4,6,28)-$N150)/365.25*Assumptions!$B$18*AY150,(Assumptions!$B$20*Assumptions!$B$18+((DATE(Assumptions!$B$4,6,28)-$N150)/365.25-Assumptions!$B$20)*Assumptions!$B$19)*AY150),0)</f>
        <v>23624.640657084186</v>
      </c>
      <c r="BA150" s="249">
        <f>IF(AX150&gt;0,IF($M150="Saudi",MIN(AX150+$Q150*$V150,Assumptions!$B$14)*Assumptions!$B$12,MIN(AX150+$Q150*$V150,Assumptions!$B$14)*Assumptions!$B$13),0)</f>
        <v>0</v>
      </c>
      <c r="BB150" s="249">
        <f>IF(AND(AX150&gt;0,$M150="Non-Saudi"),Assumptions!$B$25,0)</f>
        <v>910.41666666666663</v>
      </c>
      <c r="BC150" s="249">
        <f t="shared" si="65"/>
        <v>6800</v>
      </c>
      <c r="BD150" s="249">
        <f t="shared" si="66"/>
        <v>9800</v>
      </c>
      <c r="BE150" s="249">
        <f>IF(AND(BD150&gt;0,$N150&lt;&gt;""),IF((DATE(Assumptions!$B$4,7,28)-$N150)/365.25&lt;=Assumptions!$B$20,(DATE(Assumptions!$B$4,7,28)-$N150)/365.25*Assumptions!$B$18*BD150,(Assumptions!$B$20*Assumptions!$B$18+((DATE(Assumptions!$B$4,7,28)-$N150)/365.25-Assumptions!$B$20)*Assumptions!$B$19)*BD150),0)</f>
        <v>24027.104722792606</v>
      </c>
      <c r="BF150" s="249">
        <f>IF(BC150&gt;0,IF($M150="Saudi",MIN(BC150+$Q150*$V150,Assumptions!$B$14)*Assumptions!$B$12,MIN(BC150+$Q150*$V150,Assumptions!$B$14)*Assumptions!$B$13),0)</f>
        <v>0</v>
      </c>
      <c r="BG150" s="249">
        <f>IF(AND(BC150&gt;0,$M150="Non-Saudi"),Assumptions!$B$25,0)</f>
        <v>910.41666666666663</v>
      </c>
      <c r="BH150" s="249">
        <f t="shared" si="67"/>
        <v>6800</v>
      </c>
      <c r="BI150" s="249">
        <f t="shared" si="68"/>
        <v>9800</v>
      </c>
      <c r="BJ150" s="249">
        <f>IF(AND(BI150&gt;0,$N150&lt;&gt;""),IF((DATE(Assumptions!$B$4,8,28)-$N150)/365.25&lt;=Assumptions!$B$20,(DATE(Assumptions!$B$4,8,28)-$N150)/365.25*Assumptions!$B$18*BI150,(Assumptions!$B$20*Assumptions!$B$18+((DATE(Assumptions!$B$4,8,28)-$N150)/365.25-Assumptions!$B$20)*Assumptions!$B$19)*BI150),0)</f>
        <v>24442.984257357977</v>
      </c>
      <c r="BK150" s="249">
        <f>IF(BH150&gt;0,IF($M150="Saudi",MIN(BH150+$Q150*$V150,Assumptions!$B$14)*Assumptions!$B$12,MIN(BH150+$Q150*$V150,Assumptions!$B$14)*Assumptions!$B$13),0)</f>
        <v>0</v>
      </c>
      <c r="BL150" s="249">
        <f>IF(AND(BH150&gt;0,$M150="Non-Saudi"),Assumptions!$B$25,0)</f>
        <v>910.41666666666663</v>
      </c>
      <c r="BM150" s="249">
        <f>IF(AND($D150="Contrat Local",$N150&lt;&gt;""),IF(AND(9&gt;=Assumptions!$B$5,ISNUMBER($X150),$N150&lt;EDATE(Assumptions!$B$9,-Assumptions!$B$6*12)),($P150+$X150)*$V150,$P150*$V150),0)</f>
        <v>7000</v>
      </c>
      <c r="BN150" s="249">
        <f t="shared" si="69"/>
        <v>10000</v>
      </c>
      <c r="BO150" s="249">
        <f>IF(AND(BN150&gt;0,$N150&lt;&gt;""),IF((DATE(Assumptions!$B$4,9,28)-$N150)/365.25&lt;=Assumptions!$B$20,(DATE(Assumptions!$B$4,9,28)-$N150)/365.25*Assumptions!$B$18*BN150,(Assumptions!$B$20*Assumptions!$B$18+((DATE(Assumptions!$B$4,9,28)-$N150)/365.25-Assumptions!$B$20)*Assumptions!$B$19)*BN150),0)</f>
        <v>25732.37508555784</v>
      </c>
      <c r="BP150" s="249">
        <f>IF(BM150&gt;0,IF($M150="Saudi",MIN(BM150+$Q150*$V150,Assumptions!$B$14)*Assumptions!$B$12,MIN(BM150+$Q150*$V150,Assumptions!$B$14)*Assumptions!$B$13),0)</f>
        <v>0</v>
      </c>
      <c r="BQ150" s="249">
        <f>IF(AND(BM150&gt;0,$M150="Non-Saudi"),Assumptions!$B$25,0)</f>
        <v>910.41666666666663</v>
      </c>
      <c r="BR150" s="249">
        <f>IF(AND($D150="Contrat Local",$N150&lt;&gt;""),IF(AND(10&gt;=Assumptions!$B$5,ISNUMBER($X150),$N150&lt;EDATE(Assumptions!$B$9,-Assumptions!$B$6*12)),($P150+$X150)*$V150,$P150*$V150),0)</f>
        <v>7000</v>
      </c>
      <c r="BS150" s="249">
        <f t="shared" si="70"/>
        <v>10000</v>
      </c>
      <c r="BT150" s="249">
        <f>IF(AND(BS150&gt;0,$N150&lt;&gt;""),IF((DATE(Assumptions!$B$4,10,28)-$N150)/365.25&lt;=Assumptions!$B$20,(DATE(Assumptions!$B$4,10,28)-$N150)/365.25*Assumptions!$B$18*BS150,(Assumptions!$B$20*Assumptions!$B$18+((DATE(Assumptions!$B$4,10,28)-$N150)/365.25-Assumptions!$B$20)*Assumptions!$B$19)*BS150),0)</f>
        <v>26553.730321697469</v>
      </c>
      <c r="BU150" s="249">
        <f>IF(BR150&gt;0,IF($M150="Saudi",MIN(BR150+$Q150*$V150,Assumptions!$B$14)*Assumptions!$B$12,MIN(BR150+$Q150*$V150,Assumptions!$B$14)*Assumptions!$B$13),0)</f>
        <v>0</v>
      </c>
      <c r="BV150" s="249">
        <f>IF(AND(BR150&gt;0,$M150="Non-Saudi"),Assumptions!$B$25,0)</f>
        <v>910.41666666666663</v>
      </c>
      <c r="BW150" s="249">
        <f>IF(AND($D150="Contrat Local",$N150&lt;&gt;""),IF(AND(11&gt;=Assumptions!$B$5,ISNUMBER($X150),$N150&lt;EDATE(Assumptions!$B$9,-Assumptions!$B$6*12)),($P150+$X150)*$V150,$P150*$V150),0)</f>
        <v>7000</v>
      </c>
      <c r="BX150" s="249">
        <f t="shared" si="71"/>
        <v>10000</v>
      </c>
      <c r="BY150" s="249">
        <f>IF(AND(BX150&gt;0,$N150&lt;&gt;""),IF((DATE(Assumptions!$B$4,11,28)-$N150)/365.25&lt;=Assumptions!$B$20,(DATE(Assumptions!$B$4,11,28)-$N150)/365.25*Assumptions!$B$18*BX150,(Assumptions!$B$20*Assumptions!$B$18+((DATE(Assumptions!$B$4,11,28)-$N150)/365.25-Assumptions!$B$20)*Assumptions!$B$19)*BX150),0)</f>
        <v>27402.46406570842</v>
      </c>
      <c r="BZ150" s="249">
        <f>IF(BW150&gt;0,IF($M150="Saudi",MIN(BW150+$Q150*$V150,Assumptions!$B$14)*Assumptions!$B$12,MIN(BW150+$Q150*$V150,Assumptions!$B$14)*Assumptions!$B$13),0)</f>
        <v>0</v>
      </c>
      <c r="CA150" s="249">
        <f>IF(AND(BW150&gt;0,$M150="Non-Saudi"),Assumptions!$B$25,0)</f>
        <v>910.41666666666663</v>
      </c>
      <c r="CB150" s="249">
        <f>IF(AND($D150="Contrat Local",$N150&lt;&gt;""),IF(AND(12&gt;=Assumptions!$B$5,ISNUMBER($X150),$N150&lt;EDATE(Assumptions!$B$9,-Assumptions!$B$6*12)),($P150+$X150)*$V150,$P150*$V150),0)</f>
        <v>7000</v>
      </c>
      <c r="CC150" s="249">
        <f t="shared" si="72"/>
        <v>10000</v>
      </c>
      <c r="CD150" s="249">
        <f>IF(AND(CC150&gt;0,$N150&lt;&gt;""),IF((DATE(Assumptions!$B$4,12,28)-$N150)/365.25&lt;=Assumptions!$B$20,(DATE(Assumptions!$B$4,12,28)-$N150)/365.25*Assumptions!$B$18*CC150,(Assumptions!$B$20*Assumptions!$B$18+((DATE(Assumptions!$B$4,12,28)-$N150)/365.25-Assumptions!$B$20)*Assumptions!$B$19)*CC150),0)</f>
        <v>28223.819301848049</v>
      </c>
      <c r="CE150" s="249">
        <f>IF(CB150&gt;0,IF($M150="Saudi",MIN(CB150+$Q150*$V150,Assumptions!$B$14)*Assumptions!$B$12,MIN(CB150+$Q150*$V150,Assumptions!$B$14)*Assumptions!$B$13),0)</f>
        <v>0</v>
      </c>
      <c r="CF150" s="249">
        <f>IF(AND(CB150&gt;0,$M150="Non-Saudi"),Assumptions!$B$25,0)</f>
        <v>910.41666666666663</v>
      </c>
      <c r="CG150" s="249">
        <f t="shared" si="73"/>
        <v>82400</v>
      </c>
      <c r="CH150" s="249">
        <f t="shared" si="74"/>
        <v>118400</v>
      </c>
      <c r="CI150" s="249">
        <f>CD150-IF(AND(Z150&gt;0,$N150&lt;&gt;""),IF((DATE(Assumptions!$B$4-1,12,28)-$N150)/365.25&lt;=Assumptions!$B$20,(DATE(Assumptions!$B$4-1,12,28)-$N150)/365.25*Assumptions!$B$18*Z150,(Assumptions!$B$20*Assumptions!$B$18+((DATE(Assumptions!$B$4-1,12,28)-$N150)/365.25-Assumptions!$B$20)*Assumptions!$B$19)*Z150),0)</f>
        <v>7040.7939767282696</v>
      </c>
      <c r="CJ150" s="249">
        <f t="shared" si="75"/>
        <v>0</v>
      </c>
      <c r="CK150" s="249">
        <f t="shared" si="76"/>
        <v>10924.999999999998</v>
      </c>
    </row>
    <row r="151" spans="1:89" x14ac:dyDescent="0.2">
      <c r="A151" s="276">
        <v>154</v>
      </c>
      <c r="B151" s="277" t="s">
        <v>611</v>
      </c>
      <c r="C151" s="277" t="s">
        <v>612</v>
      </c>
      <c r="D151" s="277" t="s">
        <v>250</v>
      </c>
      <c r="E151" s="277" t="s">
        <v>767</v>
      </c>
      <c r="F151" s="277" t="s">
        <v>302</v>
      </c>
      <c r="G151" s="277" t="s">
        <v>303</v>
      </c>
      <c r="H151" s="277" t="s">
        <v>585</v>
      </c>
      <c r="I151" s="287" t="s">
        <v>691</v>
      </c>
      <c r="J151" s="277" t="s">
        <v>79</v>
      </c>
      <c r="K151" s="277" t="s">
        <v>254</v>
      </c>
      <c r="L151" s="277" t="s">
        <v>255</v>
      </c>
      <c r="M151" s="277" t="str">
        <f t="shared" si="52"/>
        <v>Non-Saudi</v>
      </c>
      <c r="N151" s="278">
        <v>43344</v>
      </c>
      <c r="O151" s="279">
        <v>8.3000000000000007</v>
      </c>
      <c r="P151" s="280">
        <v>9750</v>
      </c>
      <c r="Q151" s="280">
        <v>2500</v>
      </c>
      <c r="R151" s="280">
        <v>500</v>
      </c>
      <c r="S151" s="280"/>
      <c r="T151" s="280">
        <v>1700</v>
      </c>
      <c r="U151" s="280">
        <v>14450</v>
      </c>
      <c r="V151" s="281">
        <v>1</v>
      </c>
      <c r="W151" s="277" t="s">
        <v>259</v>
      </c>
      <c r="X151" s="277">
        <v>250</v>
      </c>
      <c r="Y151" s="249">
        <f t="shared" si="53"/>
        <v>9750</v>
      </c>
      <c r="Z151" s="249">
        <f t="shared" si="54"/>
        <v>14450</v>
      </c>
      <c r="AA151" s="249">
        <f>IF(AND(Z151&gt;0,$N151&lt;&gt;""),IF((DATE(Assumptions!$B$4,1,28)-$N151)/365.25&lt;=Assumptions!$B$20,(DATE(Assumptions!$B$4,1,28)-$N151)/365.25*Assumptions!$B$18*Z151,(Assumptions!$B$20*Assumptions!$B$18+((DATE(Assumptions!$B$4,1,28)-$N151)/365.25-Assumptions!$B$20)*Assumptions!$B$19)*Z151),0)</f>
        <v>70929.620123203291</v>
      </c>
      <c r="AB151" s="249">
        <f>IF(Y151&gt;0,IF($M151="Saudi",MIN(Y151+$Q151*$V151,Assumptions!$B$14)*Assumptions!$B$12,MIN(Y151+$Q151*$V151,Assumptions!$B$14)*Assumptions!$B$13),0)</f>
        <v>0</v>
      </c>
      <c r="AC151" s="249">
        <f>IF(AND(Y151&gt;0,$M151="Non-Saudi"),Assumptions!$B$25,0)</f>
        <v>910.41666666666663</v>
      </c>
      <c r="AD151" s="249">
        <f t="shared" si="55"/>
        <v>9750</v>
      </c>
      <c r="AE151" s="249">
        <f t="shared" si="56"/>
        <v>14450</v>
      </c>
      <c r="AF151" s="249">
        <f>IF(AND(AE151&gt;0,$N151&lt;&gt;""),IF((DATE(Assumptions!$B$4,2,28)-$N151)/365.25&lt;=Assumptions!$B$20,(DATE(Assumptions!$B$4,2,28)-$N151)/365.25*Assumptions!$B$18*AE151,(Assumptions!$B$20*Assumptions!$B$18+((DATE(Assumptions!$B$4,2,28)-$N151)/365.25-Assumptions!$B$20)*Assumptions!$B$19)*AE151),0)</f>
        <v>72156.040383299114</v>
      </c>
      <c r="AG151" s="249">
        <f>IF(AD151&gt;0,IF($M151="Saudi",MIN(AD151+$Q151*$V151,Assumptions!$B$14)*Assumptions!$B$12,MIN(AD151+$Q151*$V151,Assumptions!$B$14)*Assumptions!$B$13),0)</f>
        <v>0</v>
      </c>
      <c r="AH151" s="249">
        <f>IF(AND(AD151&gt;0,$M151="Non-Saudi"),Assumptions!$B$25,0)</f>
        <v>910.41666666666663</v>
      </c>
      <c r="AI151" s="249">
        <f t="shared" si="57"/>
        <v>9750</v>
      </c>
      <c r="AJ151" s="249">
        <f t="shared" si="58"/>
        <v>14450</v>
      </c>
      <c r="AK151" s="249">
        <f>IF(AND(AJ151&gt;0,$N151&lt;&gt;""),IF((DATE(Assumptions!$B$4,3,28)-$N151)/365.25&lt;=Assumptions!$B$20,(DATE(Assumptions!$B$4,3,28)-$N151)/365.25*Assumptions!$B$18*AJ151,(Assumptions!$B$20*Assumptions!$B$18+((DATE(Assumptions!$B$4,3,28)-$N151)/365.25-Assumptions!$B$20)*Assumptions!$B$19)*AJ151),0)</f>
        <v>73263.774811772761</v>
      </c>
      <c r="AL151" s="249">
        <f>IF(AI151&gt;0,IF($M151="Saudi",MIN(AI151+$Q151*$V151,Assumptions!$B$14)*Assumptions!$B$12,MIN(AI151+$Q151*$V151,Assumptions!$B$14)*Assumptions!$B$13),0)</f>
        <v>0</v>
      </c>
      <c r="AM151" s="249">
        <f>IF(AND(AI151&gt;0,$M151="Non-Saudi"),Assumptions!$B$25,0)</f>
        <v>910.41666666666663</v>
      </c>
      <c r="AN151" s="249">
        <f t="shared" si="59"/>
        <v>9750</v>
      </c>
      <c r="AO151" s="249">
        <f t="shared" si="60"/>
        <v>14450</v>
      </c>
      <c r="AP151" s="249">
        <f>IF(AND(AO151&gt;0,$N151&lt;&gt;""),IF((DATE(Assumptions!$B$4,4,28)-$N151)/365.25&lt;=Assumptions!$B$20,(DATE(Assumptions!$B$4,4,28)-$N151)/365.25*Assumptions!$B$18*AO151,(Assumptions!$B$20*Assumptions!$B$18+((DATE(Assumptions!$B$4,4,28)-$N151)/365.25-Assumptions!$B$20)*Assumptions!$B$19)*AO151),0)</f>
        <v>74490.195071868584</v>
      </c>
      <c r="AQ151" s="249">
        <f>IF(AN151&gt;0,IF($M151="Saudi",MIN(AN151+$Q151*$V151,Assumptions!$B$14)*Assumptions!$B$12,MIN(AN151+$Q151*$V151,Assumptions!$B$14)*Assumptions!$B$13),0)</f>
        <v>0</v>
      </c>
      <c r="AR151" s="249">
        <f>IF(AND(AN151&gt;0,$M151="Non-Saudi"),Assumptions!$B$25,0)</f>
        <v>910.41666666666663</v>
      </c>
      <c r="AS151" s="249">
        <f t="shared" si="61"/>
        <v>9750</v>
      </c>
      <c r="AT151" s="249">
        <f t="shared" si="62"/>
        <v>14450</v>
      </c>
      <c r="AU151" s="249">
        <f>IF(AND(AT151&gt;0,$N151&lt;&gt;""),IF((DATE(Assumptions!$B$4,5,28)-$N151)/365.25&lt;=Assumptions!$B$20,(DATE(Assumptions!$B$4,5,28)-$N151)/365.25*Assumptions!$B$18*AT151,(Assumptions!$B$20*Assumptions!$B$18+((DATE(Assumptions!$B$4,5,28)-$N151)/365.25-Assumptions!$B$20)*Assumptions!$B$19)*AT151),0)</f>
        <v>75677.053388090339</v>
      </c>
      <c r="AV151" s="249">
        <f>IF(AS151&gt;0,IF($M151="Saudi",MIN(AS151+$Q151*$V151,Assumptions!$B$14)*Assumptions!$B$12,MIN(AS151+$Q151*$V151,Assumptions!$B$14)*Assumptions!$B$13),0)</f>
        <v>0</v>
      </c>
      <c r="AW151" s="249">
        <f>IF(AND(AS151&gt;0,$M151="Non-Saudi"),Assumptions!$B$25,0)</f>
        <v>910.41666666666663</v>
      </c>
      <c r="AX151" s="249">
        <f t="shared" si="63"/>
        <v>9750</v>
      </c>
      <c r="AY151" s="249">
        <f t="shared" si="64"/>
        <v>14450</v>
      </c>
      <c r="AZ151" s="249">
        <f>IF(AND(AY151&gt;0,$N151&lt;&gt;""),IF((DATE(Assumptions!$B$4,6,28)-$N151)/365.25&lt;=Assumptions!$B$20,(DATE(Assumptions!$B$4,6,28)-$N151)/365.25*Assumptions!$B$18*AY151,(Assumptions!$B$20*Assumptions!$B$18+((DATE(Assumptions!$B$4,6,28)-$N151)/365.25-Assumptions!$B$20)*Assumptions!$B$19)*AY151),0)</f>
        <v>76903.473648186176</v>
      </c>
      <c r="BA151" s="249">
        <f>IF(AX151&gt;0,IF($M151="Saudi",MIN(AX151+$Q151*$V151,Assumptions!$B$14)*Assumptions!$B$12,MIN(AX151+$Q151*$V151,Assumptions!$B$14)*Assumptions!$B$13),0)</f>
        <v>0</v>
      </c>
      <c r="BB151" s="249">
        <f>IF(AND(AX151&gt;0,$M151="Non-Saudi"),Assumptions!$B$25,0)</f>
        <v>910.41666666666663</v>
      </c>
      <c r="BC151" s="249">
        <f t="shared" si="65"/>
        <v>9750</v>
      </c>
      <c r="BD151" s="249">
        <f t="shared" si="66"/>
        <v>14450</v>
      </c>
      <c r="BE151" s="249">
        <f>IF(AND(BD151&gt;0,$N151&lt;&gt;""),IF((DATE(Assumptions!$B$4,7,28)-$N151)/365.25&lt;=Assumptions!$B$20,(DATE(Assumptions!$B$4,7,28)-$N151)/365.25*Assumptions!$B$18*BD151,(Assumptions!$B$20*Assumptions!$B$18+((DATE(Assumptions!$B$4,7,28)-$N151)/365.25-Assumptions!$B$20)*Assumptions!$B$19)*BD151),0)</f>
        <v>78090.331964407946</v>
      </c>
      <c r="BF151" s="249">
        <f>IF(BC151&gt;0,IF($M151="Saudi",MIN(BC151+$Q151*$V151,Assumptions!$B$14)*Assumptions!$B$12,MIN(BC151+$Q151*$V151,Assumptions!$B$14)*Assumptions!$B$13),0)</f>
        <v>0</v>
      </c>
      <c r="BG151" s="249">
        <f>IF(AND(BC151&gt;0,$M151="Non-Saudi"),Assumptions!$B$25,0)</f>
        <v>910.41666666666663</v>
      </c>
      <c r="BH151" s="249">
        <f t="shared" si="67"/>
        <v>9750</v>
      </c>
      <c r="BI151" s="249">
        <f t="shared" si="68"/>
        <v>14450</v>
      </c>
      <c r="BJ151" s="249">
        <f>IF(AND(BI151&gt;0,$N151&lt;&gt;""),IF((DATE(Assumptions!$B$4,8,28)-$N151)/365.25&lt;=Assumptions!$B$20,(DATE(Assumptions!$B$4,8,28)-$N151)/365.25*Assumptions!$B$18*BI151,(Assumptions!$B$20*Assumptions!$B$18+((DATE(Assumptions!$B$4,8,28)-$N151)/365.25-Assumptions!$B$20)*Assumptions!$B$19)*BI151),0)</f>
        <v>79316.752224503769</v>
      </c>
      <c r="BK151" s="249">
        <f>IF(BH151&gt;0,IF($M151="Saudi",MIN(BH151+$Q151*$V151,Assumptions!$B$14)*Assumptions!$B$12,MIN(BH151+$Q151*$V151,Assumptions!$B$14)*Assumptions!$B$13),0)</f>
        <v>0</v>
      </c>
      <c r="BL151" s="249">
        <f>IF(AND(BH151&gt;0,$M151="Non-Saudi"),Assumptions!$B$25,0)</f>
        <v>910.41666666666663</v>
      </c>
      <c r="BM151" s="249">
        <f>IF(AND($D151="Contrat Local",$N151&lt;&gt;""),IF(AND(9&gt;=Assumptions!$B$5,ISNUMBER($X151),$N151&lt;EDATE(Assumptions!$B$9,-Assumptions!$B$6*12)),($P151+$X151)*$V151,$P151*$V151),0)</f>
        <v>10000</v>
      </c>
      <c r="BN151" s="249">
        <f t="shared" si="69"/>
        <v>14700</v>
      </c>
      <c r="BO151" s="249">
        <f>IF(AND(BN151&gt;0,$N151&lt;&gt;""),IF((DATE(Assumptions!$B$4,9,28)-$N151)/365.25&lt;=Assumptions!$B$20,(DATE(Assumptions!$B$4,9,28)-$N151)/365.25*Assumptions!$B$18*BN151,(Assumptions!$B$20*Assumptions!$B$18+((DATE(Assumptions!$B$4,9,28)-$N151)/365.25-Assumptions!$B$20)*Assumptions!$B$19)*BN151),0)</f>
        <v>81936.652977412727</v>
      </c>
      <c r="BP151" s="249">
        <f>IF(BM151&gt;0,IF($M151="Saudi",MIN(BM151+$Q151*$V151,Assumptions!$B$14)*Assumptions!$B$12,MIN(BM151+$Q151*$V151,Assumptions!$B$14)*Assumptions!$B$13),0)</f>
        <v>0</v>
      </c>
      <c r="BQ151" s="249">
        <f>IF(AND(BM151&gt;0,$M151="Non-Saudi"),Assumptions!$B$25,0)</f>
        <v>910.41666666666663</v>
      </c>
      <c r="BR151" s="249">
        <f>IF(AND($D151="Contrat Local",$N151&lt;&gt;""),IF(AND(10&gt;=Assumptions!$B$5,ISNUMBER($X151),$N151&lt;EDATE(Assumptions!$B$9,-Assumptions!$B$6*12)),($P151+$X151)*$V151,$P151*$V151),0)</f>
        <v>10000</v>
      </c>
      <c r="BS151" s="249">
        <f t="shared" si="70"/>
        <v>14700</v>
      </c>
      <c r="BT151" s="249">
        <f>IF(AND(BS151&gt;0,$N151&lt;&gt;""),IF((DATE(Assumptions!$B$4,10,28)-$N151)/365.25&lt;=Assumptions!$B$20,(DATE(Assumptions!$B$4,10,28)-$N151)/365.25*Assumptions!$B$18*BS151,(Assumptions!$B$20*Assumptions!$B$18+((DATE(Assumptions!$B$4,10,28)-$N151)/365.25-Assumptions!$B$20)*Assumptions!$B$19)*BS151),0)</f>
        <v>83144.045174537998</v>
      </c>
      <c r="BU151" s="249">
        <f>IF(BR151&gt;0,IF($M151="Saudi",MIN(BR151+$Q151*$V151,Assumptions!$B$14)*Assumptions!$B$12,MIN(BR151+$Q151*$V151,Assumptions!$B$14)*Assumptions!$B$13),0)</f>
        <v>0</v>
      </c>
      <c r="BV151" s="249">
        <f>IF(AND(BR151&gt;0,$M151="Non-Saudi"),Assumptions!$B$25,0)</f>
        <v>910.41666666666663</v>
      </c>
      <c r="BW151" s="249">
        <f>IF(AND($D151="Contrat Local",$N151&lt;&gt;""),IF(AND(11&gt;=Assumptions!$B$5,ISNUMBER($X151),$N151&lt;EDATE(Assumptions!$B$9,-Assumptions!$B$6*12)),($P151+$X151)*$V151,$P151*$V151),0)</f>
        <v>10000</v>
      </c>
      <c r="BX151" s="249">
        <f t="shared" si="71"/>
        <v>14700</v>
      </c>
      <c r="BY151" s="249">
        <f>IF(AND(BX151&gt;0,$N151&lt;&gt;""),IF((DATE(Assumptions!$B$4,11,28)-$N151)/365.25&lt;=Assumptions!$B$20,(DATE(Assumptions!$B$4,11,28)-$N151)/365.25*Assumptions!$B$18*BX151,(Assumptions!$B$20*Assumptions!$B$18+((DATE(Assumptions!$B$4,11,28)-$N151)/365.25-Assumptions!$B$20)*Assumptions!$B$19)*BX151),0)</f>
        <v>84391.683778234088</v>
      </c>
      <c r="BZ151" s="249">
        <f>IF(BW151&gt;0,IF($M151="Saudi",MIN(BW151+$Q151*$V151,Assumptions!$B$14)*Assumptions!$B$12,MIN(BW151+$Q151*$V151,Assumptions!$B$14)*Assumptions!$B$13),0)</f>
        <v>0</v>
      </c>
      <c r="CA151" s="249">
        <f>IF(AND(BW151&gt;0,$M151="Non-Saudi"),Assumptions!$B$25,0)</f>
        <v>910.41666666666663</v>
      </c>
      <c r="CB151" s="249">
        <f>IF(AND($D151="Contrat Local",$N151&lt;&gt;""),IF(AND(12&gt;=Assumptions!$B$5,ISNUMBER($X151),$N151&lt;EDATE(Assumptions!$B$9,-Assumptions!$B$6*12)),($P151+$X151)*$V151,$P151*$V151),0)</f>
        <v>10000</v>
      </c>
      <c r="CC151" s="249">
        <f t="shared" si="72"/>
        <v>14700</v>
      </c>
      <c r="CD151" s="249">
        <f>IF(AND(CC151&gt;0,$N151&lt;&gt;""),IF((DATE(Assumptions!$B$4,12,28)-$N151)/365.25&lt;=Assumptions!$B$20,(DATE(Assumptions!$B$4,12,28)-$N151)/365.25*Assumptions!$B$18*CC151,(Assumptions!$B$20*Assumptions!$B$18+((DATE(Assumptions!$B$4,12,28)-$N151)/365.25-Assumptions!$B$20)*Assumptions!$B$19)*CC151),0)</f>
        <v>85599.07597535933</v>
      </c>
      <c r="CE151" s="249">
        <f>IF(CB151&gt;0,IF($M151="Saudi",MIN(CB151+$Q151*$V151,Assumptions!$B$14)*Assumptions!$B$12,MIN(CB151+$Q151*$V151,Assumptions!$B$14)*Assumptions!$B$13),0)</f>
        <v>0</v>
      </c>
      <c r="CF151" s="249">
        <f>IF(AND(CB151&gt;0,$M151="Non-Saudi"),Assumptions!$B$25,0)</f>
        <v>910.41666666666663</v>
      </c>
      <c r="CG151" s="249">
        <f t="shared" si="73"/>
        <v>118000</v>
      </c>
      <c r="CH151" s="249">
        <f t="shared" si="74"/>
        <v>174400</v>
      </c>
      <c r="CI151" s="249">
        <f>CD151-IF(AND(Z151&gt;0,$N151&lt;&gt;""),IF((DATE(Assumptions!$B$4-1,12,28)-$N151)/365.25&lt;=Assumptions!$B$20,(DATE(Assumptions!$B$4-1,12,28)-$N151)/365.25*Assumptions!$B$18*Z151,(Assumptions!$B$20*Assumptions!$B$18+((DATE(Assumptions!$B$4-1,12,28)-$N151)/365.25-Assumptions!$B$20)*Assumptions!$B$19)*Z151),0)</f>
        <v>15895.876112251863</v>
      </c>
      <c r="CJ151" s="249">
        <f t="shared" si="75"/>
        <v>0</v>
      </c>
      <c r="CK151" s="249">
        <f t="shared" si="76"/>
        <v>10924.999999999998</v>
      </c>
    </row>
    <row r="152" spans="1:89" x14ac:dyDescent="0.2">
      <c r="A152" s="276">
        <v>155</v>
      </c>
      <c r="B152" s="277" t="s">
        <v>613</v>
      </c>
      <c r="C152" s="277" t="s">
        <v>614</v>
      </c>
      <c r="D152" s="277" t="s">
        <v>250</v>
      </c>
      <c r="E152" s="277" t="s">
        <v>767</v>
      </c>
      <c r="F152" s="277" t="s">
        <v>315</v>
      </c>
      <c r="G152" s="277" t="s">
        <v>303</v>
      </c>
      <c r="H152" s="277" t="s">
        <v>43</v>
      </c>
      <c r="I152" s="287" t="s">
        <v>691</v>
      </c>
      <c r="J152" s="277" t="s">
        <v>65</v>
      </c>
      <c r="K152" s="277" t="s">
        <v>254</v>
      </c>
      <c r="L152" s="277" t="s">
        <v>255</v>
      </c>
      <c r="M152" s="277" t="str">
        <f t="shared" si="52"/>
        <v>Non-Saudi</v>
      </c>
      <c r="N152" s="278">
        <v>44440</v>
      </c>
      <c r="O152" s="279">
        <v>5.3</v>
      </c>
      <c r="P152" s="280">
        <v>7800</v>
      </c>
      <c r="Q152" s="280">
        <v>2500</v>
      </c>
      <c r="R152" s="280">
        <v>500</v>
      </c>
      <c r="S152" s="280"/>
      <c r="T152" s="280">
        <v>1300</v>
      </c>
      <c r="U152" s="280">
        <v>12100</v>
      </c>
      <c r="V152" s="281">
        <v>1</v>
      </c>
      <c r="W152" s="277" t="s">
        <v>256</v>
      </c>
      <c r="X152" s="277">
        <v>200</v>
      </c>
      <c r="Y152" s="249">
        <f t="shared" si="53"/>
        <v>7800</v>
      </c>
      <c r="Z152" s="249">
        <f t="shared" si="54"/>
        <v>12100</v>
      </c>
      <c r="AA152" s="249">
        <f>IF(AND(Z152&gt;0,$N152&lt;&gt;""),IF((DATE(Assumptions!$B$4,1,28)-$N152)/365.25&lt;=Assumptions!$B$20,(DATE(Assumptions!$B$4,1,28)-$N152)/365.25*Assumptions!$B$18*Z152,(Assumptions!$B$20*Assumptions!$B$18+((DATE(Assumptions!$B$4,1,28)-$N152)/365.25-Assumptions!$B$20)*Assumptions!$B$19)*Z152),0)</f>
        <v>26668.035592060234</v>
      </c>
      <c r="AB152" s="249">
        <f>IF(Y152&gt;0,IF($M152="Saudi",MIN(Y152+$Q152*$V152,Assumptions!$B$14)*Assumptions!$B$12,MIN(Y152+$Q152*$V152,Assumptions!$B$14)*Assumptions!$B$13),0)</f>
        <v>0</v>
      </c>
      <c r="AC152" s="249">
        <f>IF(AND(Y152&gt;0,$M152="Non-Saudi"),Assumptions!$B$25,0)</f>
        <v>910.41666666666663</v>
      </c>
      <c r="AD152" s="249">
        <f t="shared" si="55"/>
        <v>7800</v>
      </c>
      <c r="AE152" s="249">
        <f t="shared" si="56"/>
        <v>12100</v>
      </c>
      <c r="AF152" s="249">
        <f>IF(AND(AE152&gt;0,$N152&lt;&gt;""),IF((DATE(Assumptions!$B$4,2,28)-$N152)/365.25&lt;=Assumptions!$B$20,(DATE(Assumptions!$B$4,2,28)-$N152)/365.25*Assumptions!$B$18*AE152,(Assumptions!$B$20*Assumptions!$B$18+((DATE(Assumptions!$B$4,2,28)-$N152)/365.25-Assumptions!$B$20)*Assumptions!$B$19)*AE152),0)</f>
        <v>27181.519507186858</v>
      </c>
      <c r="AG152" s="249">
        <f>IF(AD152&gt;0,IF($M152="Saudi",MIN(AD152+$Q152*$V152,Assumptions!$B$14)*Assumptions!$B$12,MIN(AD152+$Q152*$V152,Assumptions!$B$14)*Assumptions!$B$13),0)</f>
        <v>0</v>
      </c>
      <c r="AH152" s="249">
        <f>IF(AND(AD152&gt;0,$M152="Non-Saudi"),Assumptions!$B$25,0)</f>
        <v>910.41666666666663</v>
      </c>
      <c r="AI152" s="249">
        <f t="shared" si="57"/>
        <v>7800</v>
      </c>
      <c r="AJ152" s="249">
        <f t="shared" si="58"/>
        <v>12100</v>
      </c>
      <c r="AK152" s="249">
        <f>IF(AND(AJ152&gt;0,$N152&lt;&gt;""),IF((DATE(Assumptions!$B$4,3,28)-$N152)/365.25&lt;=Assumptions!$B$20,(DATE(Assumptions!$B$4,3,28)-$N152)/365.25*Assumptions!$B$18*AJ152,(Assumptions!$B$20*Assumptions!$B$18+((DATE(Assumptions!$B$4,3,28)-$N152)/365.25-Assumptions!$B$20)*Assumptions!$B$19)*AJ152),0)</f>
        <v>27645.311430527036</v>
      </c>
      <c r="AL152" s="249">
        <f>IF(AI152&gt;0,IF($M152="Saudi",MIN(AI152+$Q152*$V152,Assumptions!$B$14)*Assumptions!$B$12,MIN(AI152+$Q152*$V152,Assumptions!$B$14)*Assumptions!$B$13),0)</f>
        <v>0</v>
      </c>
      <c r="AM152" s="249">
        <f>IF(AND(AI152&gt;0,$M152="Non-Saudi"),Assumptions!$B$25,0)</f>
        <v>910.41666666666663</v>
      </c>
      <c r="AN152" s="249">
        <f t="shared" si="59"/>
        <v>7800</v>
      </c>
      <c r="AO152" s="249">
        <f t="shared" si="60"/>
        <v>12100</v>
      </c>
      <c r="AP152" s="249">
        <f>IF(AND(AO152&gt;0,$N152&lt;&gt;""),IF((DATE(Assumptions!$B$4,4,28)-$N152)/365.25&lt;=Assumptions!$B$20,(DATE(Assumptions!$B$4,4,28)-$N152)/365.25*Assumptions!$B$18*AO152,(Assumptions!$B$20*Assumptions!$B$18+((DATE(Assumptions!$B$4,4,28)-$N152)/365.25-Assumptions!$B$20)*Assumptions!$B$19)*AO152),0)</f>
        <v>28158.795345653663</v>
      </c>
      <c r="AQ152" s="249">
        <f>IF(AN152&gt;0,IF($M152="Saudi",MIN(AN152+$Q152*$V152,Assumptions!$B$14)*Assumptions!$B$12,MIN(AN152+$Q152*$V152,Assumptions!$B$14)*Assumptions!$B$13),0)</f>
        <v>0</v>
      </c>
      <c r="AR152" s="249">
        <f>IF(AND(AN152&gt;0,$M152="Non-Saudi"),Assumptions!$B$25,0)</f>
        <v>910.41666666666663</v>
      </c>
      <c r="AS152" s="249">
        <f t="shared" si="61"/>
        <v>7800</v>
      </c>
      <c r="AT152" s="249">
        <f t="shared" si="62"/>
        <v>12100</v>
      </c>
      <c r="AU152" s="249">
        <f>IF(AND(AT152&gt;0,$N152&lt;&gt;""),IF((DATE(Assumptions!$B$4,5,28)-$N152)/365.25&lt;=Assumptions!$B$20,(DATE(Assumptions!$B$4,5,28)-$N152)/365.25*Assumptions!$B$18*AT152,(Assumptions!$B$20*Assumptions!$B$18+((DATE(Assumptions!$B$4,5,28)-$N152)/365.25-Assumptions!$B$20)*Assumptions!$B$19)*AT152),0)</f>
        <v>28655.715263518137</v>
      </c>
      <c r="AV152" s="249">
        <f>IF(AS152&gt;0,IF($M152="Saudi",MIN(AS152+$Q152*$V152,Assumptions!$B$14)*Assumptions!$B$12,MIN(AS152+$Q152*$V152,Assumptions!$B$14)*Assumptions!$B$13),0)</f>
        <v>0</v>
      </c>
      <c r="AW152" s="249">
        <f>IF(AND(AS152&gt;0,$M152="Non-Saudi"),Assumptions!$B$25,0)</f>
        <v>910.41666666666663</v>
      </c>
      <c r="AX152" s="249">
        <f t="shared" si="63"/>
        <v>7800</v>
      </c>
      <c r="AY152" s="249">
        <f t="shared" si="64"/>
        <v>12100</v>
      </c>
      <c r="AZ152" s="249">
        <f>IF(AND(AY152&gt;0,$N152&lt;&gt;""),IF((DATE(Assumptions!$B$4,6,28)-$N152)/365.25&lt;=Assumptions!$B$20,(DATE(Assumptions!$B$4,6,28)-$N152)/365.25*Assumptions!$B$18*AY152,(Assumptions!$B$20*Assumptions!$B$18+((DATE(Assumptions!$B$4,6,28)-$N152)/365.25-Assumptions!$B$20)*Assumptions!$B$19)*AY152),0)</f>
        <v>29169.199178644762</v>
      </c>
      <c r="BA152" s="249">
        <f>IF(AX152&gt;0,IF($M152="Saudi",MIN(AX152+$Q152*$V152,Assumptions!$B$14)*Assumptions!$B$12,MIN(AX152+$Q152*$V152,Assumptions!$B$14)*Assumptions!$B$13),0)</f>
        <v>0</v>
      </c>
      <c r="BB152" s="249">
        <f>IF(AND(AX152&gt;0,$M152="Non-Saudi"),Assumptions!$B$25,0)</f>
        <v>910.41666666666663</v>
      </c>
      <c r="BC152" s="249">
        <f t="shared" si="65"/>
        <v>7800</v>
      </c>
      <c r="BD152" s="249">
        <f t="shared" si="66"/>
        <v>12100</v>
      </c>
      <c r="BE152" s="249">
        <f>IF(AND(BD152&gt;0,$N152&lt;&gt;""),IF((DATE(Assumptions!$B$4,7,28)-$N152)/365.25&lt;=Assumptions!$B$20,(DATE(Assumptions!$B$4,7,28)-$N152)/365.25*Assumptions!$B$18*BD152,(Assumptions!$B$20*Assumptions!$B$18+((DATE(Assumptions!$B$4,7,28)-$N152)/365.25-Assumptions!$B$20)*Assumptions!$B$19)*BD152),0)</f>
        <v>29666.119096509239</v>
      </c>
      <c r="BF152" s="249">
        <f>IF(BC152&gt;0,IF($M152="Saudi",MIN(BC152+$Q152*$V152,Assumptions!$B$14)*Assumptions!$B$12,MIN(BC152+$Q152*$V152,Assumptions!$B$14)*Assumptions!$B$13),0)</f>
        <v>0</v>
      </c>
      <c r="BG152" s="249">
        <f>IF(AND(BC152&gt;0,$M152="Non-Saudi"),Assumptions!$B$25,0)</f>
        <v>910.41666666666663</v>
      </c>
      <c r="BH152" s="249">
        <f t="shared" si="67"/>
        <v>7800</v>
      </c>
      <c r="BI152" s="249">
        <f t="shared" si="68"/>
        <v>12100</v>
      </c>
      <c r="BJ152" s="249">
        <f>IF(AND(BI152&gt;0,$N152&lt;&gt;""),IF((DATE(Assumptions!$B$4,8,28)-$N152)/365.25&lt;=Assumptions!$B$20,(DATE(Assumptions!$B$4,8,28)-$N152)/365.25*Assumptions!$B$18*BI152,(Assumptions!$B$20*Assumptions!$B$18+((DATE(Assumptions!$B$4,8,28)-$N152)/365.25-Assumptions!$B$20)*Assumptions!$B$19)*BI152),0)</f>
        <v>30179.603011635867</v>
      </c>
      <c r="BK152" s="249">
        <f>IF(BH152&gt;0,IF($M152="Saudi",MIN(BH152+$Q152*$V152,Assumptions!$B$14)*Assumptions!$B$12,MIN(BH152+$Q152*$V152,Assumptions!$B$14)*Assumptions!$B$13),0)</f>
        <v>0</v>
      </c>
      <c r="BL152" s="249">
        <f>IF(AND(BH152&gt;0,$M152="Non-Saudi"),Assumptions!$B$25,0)</f>
        <v>910.41666666666663</v>
      </c>
      <c r="BM152" s="249">
        <f>IF(AND($D152="Contrat Local",$N152&lt;&gt;""),IF(AND(9&gt;=Assumptions!$B$5,ISNUMBER($X152),$N152&lt;EDATE(Assumptions!$B$9,-Assumptions!$B$6*12)),($P152+$X152)*$V152,$P152*$V152),0)</f>
        <v>8000</v>
      </c>
      <c r="BN152" s="249">
        <f t="shared" si="69"/>
        <v>12300</v>
      </c>
      <c r="BO152" s="249">
        <f>IF(AND(BN152&gt;0,$N152&lt;&gt;""),IF((DATE(Assumptions!$B$4,9,28)-$N152)/365.25&lt;=Assumptions!$B$20,(DATE(Assumptions!$B$4,9,28)-$N152)/365.25*Assumptions!$B$18*BN152,(Assumptions!$B$20*Assumptions!$B$18+((DATE(Assumptions!$B$4,9,28)-$N152)/365.25-Assumptions!$B$20)*Assumptions!$B$19)*BN152),0)</f>
        <v>31650.821355236141</v>
      </c>
      <c r="BP152" s="249">
        <f>IF(BM152&gt;0,IF($M152="Saudi",MIN(BM152+$Q152*$V152,Assumptions!$B$14)*Assumptions!$B$12,MIN(BM152+$Q152*$V152,Assumptions!$B$14)*Assumptions!$B$13),0)</f>
        <v>0</v>
      </c>
      <c r="BQ152" s="249">
        <f>IF(AND(BM152&gt;0,$M152="Non-Saudi"),Assumptions!$B$25,0)</f>
        <v>910.41666666666663</v>
      </c>
      <c r="BR152" s="249">
        <f>IF(AND($D152="Contrat Local",$N152&lt;&gt;""),IF(AND(10&gt;=Assumptions!$B$5,ISNUMBER($X152),$N152&lt;EDATE(Assumptions!$B$9,-Assumptions!$B$6*12)),($P152+$X152)*$V152,$P152*$V152),0)</f>
        <v>8000</v>
      </c>
      <c r="BS152" s="249">
        <f t="shared" si="70"/>
        <v>12300</v>
      </c>
      <c r="BT152" s="249">
        <f>IF(AND(BS152&gt;0,$N152&lt;&gt;""),IF((DATE(Assumptions!$B$4,10,28)-$N152)/365.25&lt;=Assumptions!$B$20,(DATE(Assumptions!$B$4,10,28)-$N152)/365.25*Assumptions!$B$18*BS152,(Assumptions!$B$20*Assumptions!$B$18+((DATE(Assumptions!$B$4,10,28)-$N152)/365.25-Assumptions!$B$20)*Assumptions!$B$19)*BS152),0)</f>
        <v>32661.088295687885</v>
      </c>
      <c r="BU152" s="249">
        <f>IF(BR152&gt;0,IF($M152="Saudi",MIN(BR152+$Q152*$V152,Assumptions!$B$14)*Assumptions!$B$12,MIN(BR152+$Q152*$V152,Assumptions!$B$14)*Assumptions!$B$13),0)</f>
        <v>0</v>
      </c>
      <c r="BV152" s="249">
        <f>IF(AND(BR152&gt;0,$M152="Non-Saudi"),Assumptions!$B$25,0)</f>
        <v>910.41666666666663</v>
      </c>
      <c r="BW152" s="249">
        <f>IF(AND($D152="Contrat Local",$N152&lt;&gt;""),IF(AND(11&gt;=Assumptions!$B$5,ISNUMBER($X152),$N152&lt;EDATE(Assumptions!$B$9,-Assumptions!$B$6*12)),($P152+$X152)*$V152,$P152*$V152),0)</f>
        <v>8000</v>
      </c>
      <c r="BX152" s="249">
        <f t="shared" si="71"/>
        <v>12300</v>
      </c>
      <c r="BY152" s="249">
        <f>IF(AND(BX152&gt;0,$N152&lt;&gt;""),IF((DATE(Assumptions!$B$4,11,28)-$N152)/365.25&lt;=Assumptions!$B$20,(DATE(Assumptions!$B$4,11,28)-$N152)/365.25*Assumptions!$B$18*BX152,(Assumptions!$B$20*Assumptions!$B$18+((DATE(Assumptions!$B$4,11,28)-$N152)/365.25-Assumptions!$B$20)*Assumptions!$B$19)*BX152),0)</f>
        <v>33705.030800821354</v>
      </c>
      <c r="BZ152" s="249">
        <f>IF(BW152&gt;0,IF($M152="Saudi",MIN(BW152+$Q152*$V152,Assumptions!$B$14)*Assumptions!$B$12,MIN(BW152+$Q152*$V152,Assumptions!$B$14)*Assumptions!$B$13),0)</f>
        <v>0</v>
      </c>
      <c r="CA152" s="249">
        <f>IF(AND(BW152&gt;0,$M152="Non-Saudi"),Assumptions!$B$25,0)</f>
        <v>910.41666666666663</v>
      </c>
      <c r="CB152" s="249">
        <f>IF(AND($D152="Contrat Local",$N152&lt;&gt;""),IF(AND(12&gt;=Assumptions!$B$5,ISNUMBER($X152),$N152&lt;EDATE(Assumptions!$B$9,-Assumptions!$B$6*12)),($P152+$X152)*$V152,$P152*$V152),0)</f>
        <v>8000</v>
      </c>
      <c r="CC152" s="249">
        <f t="shared" si="72"/>
        <v>12300</v>
      </c>
      <c r="CD152" s="249">
        <f>IF(AND(CC152&gt;0,$N152&lt;&gt;""),IF((DATE(Assumptions!$B$4,12,28)-$N152)/365.25&lt;=Assumptions!$B$20,(DATE(Assumptions!$B$4,12,28)-$N152)/365.25*Assumptions!$B$18*CC152,(Assumptions!$B$20*Assumptions!$B$18+((DATE(Assumptions!$B$4,12,28)-$N152)/365.25-Assumptions!$B$20)*Assumptions!$B$19)*CC152),0)</f>
        <v>34715.297741273098</v>
      </c>
      <c r="CE152" s="249">
        <f>IF(CB152&gt;0,IF($M152="Saudi",MIN(CB152+$Q152*$V152,Assumptions!$B$14)*Assumptions!$B$12,MIN(CB152+$Q152*$V152,Assumptions!$B$14)*Assumptions!$B$13),0)</f>
        <v>0</v>
      </c>
      <c r="CF152" s="249">
        <f>IF(AND(CB152&gt;0,$M152="Non-Saudi"),Assumptions!$B$25,0)</f>
        <v>910.41666666666663</v>
      </c>
      <c r="CG152" s="249">
        <f t="shared" si="73"/>
        <v>94400</v>
      </c>
      <c r="CH152" s="249">
        <f t="shared" si="74"/>
        <v>146000</v>
      </c>
      <c r="CI152" s="249">
        <f>CD152-IF(AND(Z152&gt;0,$N152&lt;&gt;""),IF((DATE(Assumptions!$B$4-1,12,28)-$N152)/365.25&lt;=Assumptions!$B$20,(DATE(Assumptions!$B$4-1,12,28)-$N152)/365.25*Assumptions!$B$18*Z152,(Assumptions!$B$20*Assumptions!$B$18+((DATE(Assumptions!$B$4-1,12,28)-$N152)/365.25-Assumptions!$B$20)*Assumptions!$B$19)*Z152),0)</f>
        <v>8560.7460643394916</v>
      </c>
      <c r="CJ152" s="249">
        <f t="shared" si="75"/>
        <v>0</v>
      </c>
      <c r="CK152" s="249">
        <f t="shared" si="76"/>
        <v>10924.999999999998</v>
      </c>
    </row>
    <row r="153" spans="1:89" x14ac:dyDescent="0.2">
      <c r="A153" s="276">
        <v>156</v>
      </c>
      <c r="B153" s="277" t="s">
        <v>615</v>
      </c>
      <c r="C153" s="277" t="s">
        <v>616</v>
      </c>
      <c r="D153" s="277" t="s">
        <v>250</v>
      </c>
      <c r="E153" s="277" t="s">
        <v>767</v>
      </c>
      <c r="F153" s="277" t="s">
        <v>315</v>
      </c>
      <c r="G153" s="277" t="s">
        <v>303</v>
      </c>
      <c r="H153" s="277" t="s">
        <v>44</v>
      </c>
      <c r="I153" s="287" t="s">
        <v>691</v>
      </c>
      <c r="J153" s="277" t="s">
        <v>68</v>
      </c>
      <c r="K153" s="277" t="s">
        <v>254</v>
      </c>
      <c r="L153" s="277" t="s">
        <v>255</v>
      </c>
      <c r="M153" s="277" t="str">
        <f t="shared" si="52"/>
        <v>Non-Saudi</v>
      </c>
      <c r="N153" s="278">
        <v>38248</v>
      </c>
      <c r="O153" s="279">
        <v>22.3</v>
      </c>
      <c r="P153" s="280">
        <v>12000</v>
      </c>
      <c r="Q153" s="280">
        <v>2500</v>
      </c>
      <c r="R153" s="280">
        <v>500</v>
      </c>
      <c r="S153" s="280"/>
      <c r="T153" s="280">
        <v>1100</v>
      </c>
      <c r="U153" s="280">
        <v>16100</v>
      </c>
      <c r="V153" s="281">
        <v>1</v>
      </c>
      <c r="W153" s="277" t="s">
        <v>256</v>
      </c>
      <c r="X153" s="277">
        <v>250</v>
      </c>
      <c r="Y153" s="249">
        <f t="shared" si="53"/>
        <v>12000</v>
      </c>
      <c r="Z153" s="249">
        <f t="shared" si="54"/>
        <v>16100</v>
      </c>
      <c r="AA153" s="249">
        <f>IF(AND(Z153&gt;0,$N153&lt;&gt;""),IF((DATE(Assumptions!$B$4,1,28)-$N153)/365.25&lt;=Assumptions!$B$20,(DATE(Assumptions!$B$4,1,28)-$N153)/365.25*Assumptions!$B$18*Z153,(Assumptions!$B$20*Assumptions!$B$18+((DATE(Assumptions!$B$4,1,28)-$N153)/365.25-Assumptions!$B$20)*Assumptions!$B$19)*Z153),0)</f>
        <v>303657.46064339497</v>
      </c>
      <c r="AB153" s="249">
        <f>IF(Y153&gt;0,IF($M153="Saudi",MIN(Y153+$Q153*$V153,Assumptions!$B$14)*Assumptions!$B$12,MIN(Y153+$Q153*$V153,Assumptions!$B$14)*Assumptions!$B$13),0)</f>
        <v>0</v>
      </c>
      <c r="AC153" s="249">
        <f>IF(AND(Y153&gt;0,$M153="Non-Saudi"),Assumptions!$B$25,0)</f>
        <v>910.41666666666663</v>
      </c>
      <c r="AD153" s="249">
        <f t="shared" si="55"/>
        <v>12000</v>
      </c>
      <c r="AE153" s="249">
        <f t="shared" si="56"/>
        <v>16100</v>
      </c>
      <c r="AF153" s="249">
        <f>IF(AND(AE153&gt;0,$N153&lt;&gt;""),IF((DATE(Assumptions!$B$4,2,28)-$N153)/365.25&lt;=Assumptions!$B$20,(DATE(Assumptions!$B$4,2,28)-$N153)/365.25*Assumptions!$B$18*AE153,(Assumptions!$B$20*Assumptions!$B$18+((DATE(Assumptions!$B$4,2,28)-$N153)/365.25-Assumptions!$B$20)*Assumptions!$B$19)*AE153),0)</f>
        <v>305023.9219712526</v>
      </c>
      <c r="AG153" s="249">
        <f>IF(AD153&gt;0,IF($M153="Saudi",MIN(AD153+$Q153*$V153,Assumptions!$B$14)*Assumptions!$B$12,MIN(AD153+$Q153*$V153,Assumptions!$B$14)*Assumptions!$B$13),0)</f>
        <v>0</v>
      </c>
      <c r="AH153" s="249">
        <f>IF(AND(AD153&gt;0,$M153="Non-Saudi"),Assumptions!$B$25,0)</f>
        <v>910.41666666666663</v>
      </c>
      <c r="AI153" s="249">
        <f t="shared" si="57"/>
        <v>12000</v>
      </c>
      <c r="AJ153" s="249">
        <f t="shared" si="58"/>
        <v>16100</v>
      </c>
      <c r="AK153" s="249">
        <f>IF(AND(AJ153&gt;0,$N153&lt;&gt;""),IF((DATE(Assumptions!$B$4,3,28)-$N153)/365.25&lt;=Assumptions!$B$20,(DATE(Assumptions!$B$4,3,28)-$N153)/365.25*Assumptions!$B$18*AJ153,(Assumptions!$B$20*Assumptions!$B$18+((DATE(Assumptions!$B$4,3,28)-$N153)/365.25-Assumptions!$B$20)*Assumptions!$B$19)*AJ153),0)</f>
        <v>306258.14510609169</v>
      </c>
      <c r="AL153" s="249">
        <f>IF(AI153&gt;0,IF($M153="Saudi",MIN(AI153+$Q153*$V153,Assumptions!$B$14)*Assumptions!$B$12,MIN(AI153+$Q153*$V153,Assumptions!$B$14)*Assumptions!$B$13),0)</f>
        <v>0</v>
      </c>
      <c r="AM153" s="249">
        <f>IF(AND(AI153&gt;0,$M153="Non-Saudi"),Assumptions!$B$25,0)</f>
        <v>910.41666666666663</v>
      </c>
      <c r="AN153" s="249">
        <f t="shared" si="59"/>
        <v>12000</v>
      </c>
      <c r="AO153" s="249">
        <f t="shared" si="60"/>
        <v>16100</v>
      </c>
      <c r="AP153" s="249">
        <f>IF(AND(AO153&gt;0,$N153&lt;&gt;""),IF((DATE(Assumptions!$B$4,4,28)-$N153)/365.25&lt;=Assumptions!$B$20,(DATE(Assumptions!$B$4,4,28)-$N153)/365.25*Assumptions!$B$18*AO153,(Assumptions!$B$20*Assumptions!$B$18+((DATE(Assumptions!$B$4,4,28)-$N153)/365.25-Assumptions!$B$20)*Assumptions!$B$19)*AO153),0)</f>
        <v>307624.60643394932</v>
      </c>
      <c r="AQ153" s="249">
        <f>IF(AN153&gt;0,IF($M153="Saudi",MIN(AN153+$Q153*$V153,Assumptions!$B$14)*Assumptions!$B$12,MIN(AN153+$Q153*$V153,Assumptions!$B$14)*Assumptions!$B$13),0)</f>
        <v>0</v>
      </c>
      <c r="AR153" s="249">
        <f>IF(AND(AN153&gt;0,$M153="Non-Saudi"),Assumptions!$B$25,0)</f>
        <v>910.41666666666663</v>
      </c>
      <c r="AS153" s="249">
        <f t="shared" si="61"/>
        <v>12000</v>
      </c>
      <c r="AT153" s="249">
        <f t="shared" si="62"/>
        <v>16100</v>
      </c>
      <c r="AU153" s="249">
        <f>IF(AND(AT153&gt;0,$N153&lt;&gt;""),IF((DATE(Assumptions!$B$4,5,28)-$N153)/365.25&lt;=Assumptions!$B$20,(DATE(Assumptions!$B$4,5,28)-$N153)/365.25*Assumptions!$B$18*AT153,(Assumptions!$B$20*Assumptions!$B$18+((DATE(Assumptions!$B$4,5,28)-$N153)/365.25-Assumptions!$B$20)*Assumptions!$B$19)*AT153),0)</f>
        <v>308946.98836413416</v>
      </c>
      <c r="AV153" s="249">
        <f>IF(AS153&gt;0,IF($M153="Saudi",MIN(AS153+$Q153*$V153,Assumptions!$B$14)*Assumptions!$B$12,MIN(AS153+$Q153*$V153,Assumptions!$B$14)*Assumptions!$B$13),0)</f>
        <v>0</v>
      </c>
      <c r="AW153" s="249">
        <f>IF(AND(AS153&gt;0,$M153="Non-Saudi"),Assumptions!$B$25,0)</f>
        <v>910.41666666666663</v>
      </c>
      <c r="AX153" s="249">
        <f t="shared" si="63"/>
        <v>12000</v>
      </c>
      <c r="AY153" s="249">
        <f t="shared" si="64"/>
        <v>16100</v>
      </c>
      <c r="AZ153" s="249">
        <f>IF(AND(AY153&gt;0,$N153&lt;&gt;""),IF((DATE(Assumptions!$B$4,6,28)-$N153)/365.25&lt;=Assumptions!$B$20,(DATE(Assumptions!$B$4,6,28)-$N153)/365.25*Assumptions!$B$18*AY153,(Assumptions!$B$20*Assumptions!$B$18+((DATE(Assumptions!$B$4,6,28)-$N153)/365.25-Assumptions!$B$20)*Assumptions!$B$19)*AY153),0)</f>
        <v>310313.44969199179</v>
      </c>
      <c r="BA153" s="249">
        <f>IF(AX153&gt;0,IF($M153="Saudi",MIN(AX153+$Q153*$V153,Assumptions!$B$14)*Assumptions!$B$12,MIN(AX153+$Q153*$V153,Assumptions!$B$14)*Assumptions!$B$13),0)</f>
        <v>0</v>
      </c>
      <c r="BB153" s="249">
        <f>IF(AND(AX153&gt;0,$M153="Non-Saudi"),Assumptions!$B$25,0)</f>
        <v>910.41666666666663</v>
      </c>
      <c r="BC153" s="249">
        <f t="shared" si="65"/>
        <v>12000</v>
      </c>
      <c r="BD153" s="249">
        <f t="shared" si="66"/>
        <v>16100</v>
      </c>
      <c r="BE153" s="249">
        <f>IF(AND(BD153&gt;0,$N153&lt;&gt;""),IF((DATE(Assumptions!$B$4,7,28)-$N153)/365.25&lt;=Assumptions!$B$20,(DATE(Assumptions!$B$4,7,28)-$N153)/365.25*Assumptions!$B$18*BD153,(Assumptions!$B$20*Assumptions!$B$18+((DATE(Assumptions!$B$4,7,28)-$N153)/365.25-Assumptions!$B$20)*Assumptions!$B$19)*BD153),0)</f>
        <v>311635.83162217657</v>
      </c>
      <c r="BF153" s="249">
        <f>IF(BC153&gt;0,IF($M153="Saudi",MIN(BC153+$Q153*$V153,Assumptions!$B$14)*Assumptions!$B$12,MIN(BC153+$Q153*$V153,Assumptions!$B$14)*Assumptions!$B$13),0)</f>
        <v>0</v>
      </c>
      <c r="BG153" s="249">
        <f>IF(AND(BC153&gt;0,$M153="Non-Saudi"),Assumptions!$B$25,0)</f>
        <v>910.41666666666663</v>
      </c>
      <c r="BH153" s="249">
        <f t="shared" si="67"/>
        <v>12000</v>
      </c>
      <c r="BI153" s="249">
        <f t="shared" si="68"/>
        <v>16100</v>
      </c>
      <c r="BJ153" s="249">
        <f>IF(AND(BI153&gt;0,$N153&lt;&gt;""),IF((DATE(Assumptions!$B$4,8,28)-$N153)/365.25&lt;=Assumptions!$B$20,(DATE(Assumptions!$B$4,8,28)-$N153)/365.25*Assumptions!$B$18*BI153,(Assumptions!$B$20*Assumptions!$B$18+((DATE(Assumptions!$B$4,8,28)-$N153)/365.25-Assumptions!$B$20)*Assumptions!$B$19)*BI153),0)</f>
        <v>313002.2929500342</v>
      </c>
      <c r="BK153" s="249">
        <f>IF(BH153&gt;0,IF($M153="Saudi",MIN(BH153+$Q153*$V153,Assumptions!$B$14)*Assumptions!$B$12,MIN(BH153+$Q153*$V153,Assumptions!$B$14)*Assumptions!$B$13),0)</f>
        <v>0</v>
      </c>
      <c r="BL153" s="249">
        <f>IF(AND(BH153&gt;0,$M153="Non-Saudi"),Assumptions!$B$25,0)</f>
        <v>910.41666666666663</v>
      </c>
      <c r="BM153" s="249">
        <f>IF(AND($D153="Contrat Local",$N153&lt;&gt;""),IF(AND(9&gt;=Assumptions!$B$5,ISNUMBER($X153),$N153&lt;EDATE(Assumptions!$B$9,-Assumptions!$B$6*12)),($P153+$X153)*$V153,$P153*$V153),0)</f>
        <v>12250</v>
      </c>
      <c r="BN153" s="249">
        <f t="shared" si="69"/>
        <v>16350</v>
      </c>
      <c r="BO153" s="249">
        <f>IF(AND(BN153&gt;0,$N153&lt;&gt;""),IF((DATE(Assumptions!$B$4,9,28)-$N153)/365.25&lt;=Assumptions!$B$20,(DATE(Assumptions!$B$4,9,28)-$N153)/365.25*Assumptions!$B$18*BN153,(Assumptions!$B$20*Assumptions!$B$18+((DATE(Assumptions!$B$4,9,28)-$N153)/365.25-Assumptions!$B$20)*Assumptions!$B$19)*BN153),0)</f>
        <v>319250.25667351129</v>
      </c>
      <c r="BP153" s="249">
        <f>IF(BM153&gt;0,IF($M153="Saudi",MIN(BM153+$Q153*$V153,Assumptions!$B$14)*Assumptions!$B$12,MIN(BM153+$Q153*$V153,Assumptions!$B$14)*Assumptions!$B$13),0)</f>
        <v>0</v>
      </c>
      <c r="BQ153" s="249">
        <f>IF(AND(BM153&gt;0,$M153="Non-Saudi"),Assumptions!$B$25,0)</f>
        <v>910.41666666666663</v>
      </c>
      <c r="BR153" s="249">
        <f>IF(AND($D153="Contrat Local",$N153&lt;&gt;""),IF(AND(10&gt;=Assumptions!$B$5,ISNUMBER($X153),$N153&lt;EDATE(Assumptions!$B$9,-Assumptions!$B$6*12)),($P153+$X153)*$V153,$P153*$V153),0)</f>
        <v>12250</v>
      </c>
      <c r="BS153" s="249">
        <f t="shared" si="70"/>
        <v>16350</v>
      </c>
      <c r="BT153" s="249">
        <f>IF(AND(BS153&gt;0,$N153&lt;&gt;""),IF((DATE(Assumptions!$B$4,10,28)-$N153)/365.25&lt;=Assumptions!$B$20,(DATE(Assumptions!$B$4,10,28)-$N153)/365.25*Assumptions!$B$18*BS153,(Assumptions!$B$20*Assumptions!$B$18+((DATE(Assumptions!$B$4,10,28)-$N153)/365.25-Assumptions!$B$20)*Assumptions!$B$19)*BS153),0)</f>
        <v>320593.17248459958</v>
      </c>
      <c r="BU153" s="249">
        <f>IF(BR153&gt;0,IF($M153="Saudi",MIN(BR153+$Q153*$V153,Assumptions!$B$14)*Assumptions!$B$12,MIN(BR153+$Q153*$V153,Assumptions!$B$14)*Assumptions!$B$13),0)</f>
        <v>0</v>
      </c>
      <c r="BV153" s="249">
        <f>IF(AND(BR153&gt;0,$M153="Non-Saudi"),Assumptions!$B$25,0)</f>
        <v>910.41666666666663</v>
      </c>
      <c r="BW153" s="249">
        <f>IF(AND($D153="Contrat Local",$N153&lt;&gt;""),IF(AND(11&gt;=Assumptions!$B$5,ISNUMBER($X153),$N153&lt;EDATE(Assumptions!$B$9,-Assumptions!$B$6*12)),($P153+$X153)*$V153,$P153*$V153),0)</f>
        <v>12250</v>
      </c>
      <c r="BX153" s="249">
        <f t="shared" si="71"/>
        <v>16350</v>
      </c>
      <c r="BY153" s="249">
        <f>IF(AND(BX153&gt;0,$N153&lt;&gt;""),IF((DATE(Assumptions!$B$4,11,28)-$N153)/365.25&lt;=Assumptions!$B$20,(DATE(Assumptions!$B$4,11,28)-$N153)/365.25*Assumptions!$B$18*BX153,(Assumptions!$B$20*Assumptions!$B$18+((DATE(Assumptions!$B$4,11,28)-$N153)/365.25-Assumptions!$B$20)*Assumptions!$B$19)*BX153),0)</f>
        <v>321980.85215605749</v>
      </c>
      <c r="BZ153" s="249">
        <f>IF(BW153&gt;0,IF($M153="Saudi",MIN(BW153+$Q153*$V153,Assumptions!$B$14)*Assumptions!$B$12,MIN(BW153+$Q153*$V153,Assumptions!$B$14)*Assumptions!$B$13),0)</f>
        <v>0</v>
      </c>
      <c r="CA153" s="249">
        <f>IF(AND(BW153&gt;0,$M153="Non-Saudi"),Assumptions!$B$25,0)</f>
        <v>910.41666666666663</v>
      </c>
      <c r="CB153" s="249">
        <f>IF(AND($D153="Contrat Local",$N153&lt;&gt;""),IF(AND(12&gt;=Assumptions!$B$5,ISNUMBER($X153),$N153&lt;EDATE(Assumptions!$B$9,-Assumptions!$B$6*12)),($P153+$X153)*$V153,$P153*$V153),0)</f>
        <v>12250</v>
      </c>
      <c r="CC153" s="249">
        <f t="shared" si="72"/>
        <v>16350</v>
      </c>
      <c r="CD153" s="249">
        <f>IF(AND(CC153&gt;0,$N153&lt;&gt;""),IF((DATE(Assumptions!$B$4,12,28)-$N153)/365.25&lt;=Assumptions!$B$20,(DATE(Assumptions!$B$4,12,28)-$N153)/365.25*Assumptions!$B$18*CC153,(Assumptions!$B$20*Assumptions!$B$18+((DATE(Assumptions!$B$4,12,28)-$N153)/365.25-Assumptions!$B$20)*Assumptions!$B$19)*CC153),0)</f>
        <v>323323.76796714583</v>
      </c>
      <c r="CE153" s="249">
        <f>IF(CB153&gt;0,IF($M153="Saudi",MIN(CB153+$Q153*$V153,Assumptions!$B$14)*Assumptions!$B$12,MIN(CB153+$Q153*$V153,Assumptions!$B$14)*Assumptions!$B$13),0)</f>
        <v>0</v>
      </c>
      <c r="CF153" s="249">
        <f>IF(AND(CB153&gt;0,$M153="Non-Saudi"),Assumptions!$B$25,0)</f>
        <v>910.41666666666663</v>
      </c>
      <c r="CG153" s="249">
        <f t="shared" si="73"/>
        <v>145000</v>
      </c>
      <c r="CH153" s="249">
        <f t="shared" si="74"/>
        <v>194200</v>
      </c>
      <c r="CI153" s="249">
        <f>CD153-IF(AND(Z153&gt;0,$N153&lt;&gt;""),IF((DATE(Assumptions!$B$4-1,12,28)-$N153)/365.25&lt;=Assumptions!$B$20,(DATE(Assumptions!$B$4-1,12,28)-$N153)/365.25*Assumptions!$B$18*Z153,(Assumptions!$B$20*Assumptions!$B$18+((DATE(Assumptions!$B$4-1,12,28)-$N153)/365.25-Assumptions!$B$20)*Assumptions!$B$19)*Z153),0)</f>
        <v>21032.768651608494</v>
      </c>
      <c r="CJ153" s="249">
        <f t="shared" si="75"/>
        <v>0</v>
      </c>
      <c r="CK153" s="249">
        <f t="shared" si="76"/>
        <v>10924.999999999998</v>
      </c>
    </row>
    <row r="154" spans="1:89" x14ac:dyDescent="0.2">
      <c r="A154" s="252">
        <v>157</v>
      </c>
      <c r="B154" s="253" t="s">
        <v>617</v>
      </c>
      <c r="C154" s="253" t="s">
        <v>618</v>
      </c>
      <c r="D154" s="253" t="s">
        <v>250</v>
      </c>
      <c r="E154" s="253" t="s">
        <v>767</v>
      </c>
      <c r="F154" s="253" t="s">
        <v>619</v>
      </c>
      <c r="G154" s="253" t="s">
        <v>252</v>
      </c>
      <c r="H154" s="253" t="s">
        <v>620</v>
      </c>
      <c r="I154" s="282" t="s">
        <v>690</v>
      </c>
      <c r="J154" s="253"/>
      <c r="K154" s="253" t="s">
        <v>252</v>
      </c>
      <c r="L154" s="253" t="s">
        <v>255</v>
      </c>
      <c r="M154" s="253" t="str">
        <f t="shared" si="52"/>
        <v>Non-Saudi</v>
      </c>
      <c r="N154" s="254">
        <v>42817</v>
      </c>
      <c r="O154" s="255">
        <v>9.8000000000000007</v>
      </c>
      <c r="P154" s="256">
        <v>4050</v>
      </c>
      <c r="Q154" s="256">
        <v>1875</v>
      </c>
      <c r="R154" s="256">
        <v>375</v>
      </c>
      <c r="S154" s="256"/>
      <c r="T154" s="256"/>
      <c r="U154" s="256">
        <v>6300</v>
      </c>
      <c r="V154" s="257">
        <v>0.75</v>
      </c>
      <c r="W154" s="253" t="s">
        <v>256</v>
      </c>
      <c r="X154" s="253">
        <v>200</v>
      </c>
      <c r="Y154" s="249">
        <f t="shared" si="53"/>
        <v>3037.5</v>
      </c>
      <c r="Z154" s="249">
        <f t="shared" si="54"/>
        <v>4725</v>
      </c>
      <c r="AA154" s="249">
        <f>IF(AND(Z154&gt;0,$N154&lt;&gt;""),IF((DATE(Assumptions!$B$4,1,28)-$N154)/365.25&lt;=Assumptions!$B$20,(DATE(Assumptions!$B$4,1,28)-$N154)/365.25*Assumptions!$B$18*Z154,(Assumptions!$B$20*Assumptions!$B$18+((DATE(Assumptions!$B$4,1,28)-$N154)/365.25-Assumptions!$B$20)*Assumptions!$B$19)*Z154),0)</f>
        <v>30010.703285420943</v>
      </c>
      <c r="AB154" s="249">
        <f>IF(Y154&gt;0,IF($M154="Saudi",MIN(Y154+$Q154*$V154,Assumptions!$B$14)*Assumptions!$B$12,MIN(Y154+$Q154*$V154,Assumptions!$B$14)*Assumptions!$B$13),0)</f>
        <v>0</v>
      </c>
      <c r="AC154" s="249">
        <f>IF(AND(Y154&gt;0,$M154="Non-Saudi"),Assumptions!$B$25,0)</f>
        <v>910.41666666666663</v>
      </c>
      <c r="AD154" s="249">
        <f t="shared" si="55"/>
        <v>3037.5</v>
      </c>
      <c r="AE154" s="249">
        <f t="shared" si="56"/>
        <v>4725</v>
      </c>
      <c r="AF154" s="249">
        <f>IF(AND(AE154&gt;0,$N154&lt;&gt;""),IF((DATE(Assumptions!$B$4,2,28)-$N154)/365.25&lt;=Assumptions!$B$20,(DATE(Assumptions!$B$4,2,28)-$N154)/365.25*Assumptions!$B$18*AE154,(Assumptions!$B$20*Assumptions!$B$18+((DATE(Assumptions!$B$4,2,28)-$N154)/365.25-Assumptions!$B$20)*Assumptions!$B$19)*AE154),0)</f>
        <v>30411.729979466116</v>
      </c>
      <c r="AG154" s="249">
        <f>IF(AD154&gt;0,IF($M154="Saudi",MIN(AD154+$Q154*$V154,Assumptions!$B$14)*Assumptions!$B$12,MIN(AD154+$Q154*$V154,Assumptions!$B$14)*Assumptions!$B$13),0)</f>
        <v>0</v>
      </c>
      <c r="AH154" s="249">
        <f>IF(AND(AD154&gt;0,$M154="Non-Saudi"),Assumptions!$B$25,0)</f>
        <v>910.41666666666663</v>
      </c>
      <c r="AI154" s="249">
        <f t="shared" si="57"/>
        <v>3037.5</v>
      </c>
      <c r="AJ154" s="249">
        <f t="shared" si="58"/>
        <v>4725</v>
      </c>
      <c r="AK154" s="249">
        <f>IF(AND(AJ154&gt;0,$N154&lt;&gt;""),IF((DATE(Assumptions!$B$4,3,28)-$N154)/365.25&lt;=Assumptions!$B$20,(DATE(Assumptions!$B$4,3,28)-$N154)/365.25*Assumptions!$B$18*AJ154,(Assumptions!$B$20*Assumptions!$B$18+((DATE(Assumptions!$B$4,3,28)-$N154)/365.25-Assumptions!$B$20)*Assumptions!$B$19)*AJ154),0)</f>
        <v>30773.947638603695</v>
      </c>
      <c r="AL154" s="249">
        <f>IF(AI154&gt;0,IF($M154="Saudi",MIN(AI154+$Q154*$V154,Assumptions!$B$14)*Assumptions!$B$12,MIN(AI154+$Q154*$V154,Assumptions!$B$14)*Assumptions!$B$13),0)</f>
        <v>0</v>
      </c>
      <c r="AM154" s="249">
        <f>IF(AND(AI154&gt;0,$M154="Non-Saudi"),Assumptions!$B$25,0)</f>
        <v>910.41666666666663</v>
      </c>
      <c r="AN154" s="249">
        <f t="shared" si="59"/>
        <v>3037.5</v>
      </c>
      <c r="AO154" s="249">
        <f t="shared" si="60"/>
        <v>4725</v>
      </c>
      <c r="AP154" s="249">
        <f>IF(AND(AO154&gt;0,$N154&lt;&gt;""),IF((DATE(Assumptions!$B$4,4,28)-$N154)/365.25&lt;=Assumptions!$B$20,(DATE(Assumptions!$B$4,4,28)-$N154)/365.25*Assumptions!$B$18*AO154,(Assumptions!$B$20*Assumptions!$B$18+((DATE(Assumptions!$B$4,4,28)-$N154)/365.25-Assumptions!$B$20)*Assumptions!$B$19)*AO154),0)</f>
        <v>31174.974332648871</v>
      </c>
      <c r="AQ154" s="249">
        <f>IF(AN154&gt;0,IF($M154="Saudi",MIN(AN154+$Q154*$V154,Assumptions!$B$14)*Assumptions!$B$12,MIN(AN154+$Q154*$V154,Assumptions!$B$14)*Assumptions!$B$13),0)</f>
        <v>0</v>
      </c>
      <c r="AR154" s="249">
        <f>IF(AND(AN154&gt;0,$M154="Non-Saudi"),Assumptions!$B$25,0)</f>
        <v>910.41666666666663</v>
      </c>
      <c r="AS154" s="249">
        <f t="shared" si="61"/>
        <v>3037.5</v>
      </c>
      <c r="AT154" s="249">
        <f t="shared" si="62"/>
        <v>4725</v>
      </c>
      <c r="AU154" s="249">
        <f>IF(AND(AT154&gt;0,$N154&lt;&gt;""),IF((DATE(Assumptions!$B$4,5,28)-$N154)/365.25&lt;=Assumptions!$B$20,(DATE(Assumptions!$B$4,5,28)-$N154)/365.25*Assumptions!$B$18*AT154,(Assumptions!$B$20*Assumptions!$B$18+((DATE(Assumptions!$B$4,5,28)-$N154)/365.25-Assumptions!$B$20)*Assumptions!$B$19)*AT154),0)</f>
        <v>31563.064681724849</v>
      </c>
      <c r="AV154" s="249">
        <f>IF(AS154&gt;0,IF($M154="Saudi",MIN(AS154+$Q154*$V154,Assumptions!$B$14)*Assumptions!$B$12,MIN(AS154+$Q154*$V154,Assumptions!$B$14)*Assumptions!$B$13),0)</f>
        <v>0</v>
      </c>
      <c r="AW154" s="249">
        <f>IF(AND(AS154&gt;0,$M154="Non-Saudi"),Assumptions!$B$25,0)</f>
        <v>910.41666666666663</v>
      </c>
      <c r="AX154" s="249">
        <f t="shared" si="63"/>
        <v>3037.5</v>
      </c>
      <c r="AY154" s="249">
        <f t="shared" si="64"/>
        <v>4725</v>
      </c>
      <c r="AZ154" s="249">
        <f>IF(AND(AY154&gt;0,$N154&lt;&gt;""),IF((DATE(Assumptions!$B$4,6,28)-$N154)/365.25&lt;=Assumptions!$B$20,(DATE(Assumptions!$B$4,6,28)-$N154)/365.25*Assumptions!$B$18*AY154,(Assumptions!$B$20*Assumptions!$B$18+((DATE(Assumptions!$B$4,6,28)-$N154)/365.25-Assumptions!$B$20)*Assumptions!$B$19)*AY154),0)</f>
        <v>31964.091375770022</v>
      </c>
      <c r="BA154" s="249">
        <f>IF(AX154&gt;0,IF($M154="Saudi",MIN(AX154+$Q154*$V154,Assumptions!$B$14)*Assumptions!$B$12,MIN(AX154+$Q154*$V154,Assumptions!$B$14)*Assumptions!$B$13),0)</f>
        <v>0</v>
      </c>
      <c r="BB154" s="249">
        <f>IF(AND(AX154&gt;0,$M154="Non-Saudi"),Assumptions!$B$25,0)</f>
        <v>910.41666666666663</v>
      </c>
      <c r="BC154" s="249">
        <f t="shared" si="65"/>
        <v>3037.5</v>
      </c>
      <c r="BD154" s="249">
        <f t="shared" si="66"/>
        <v>4725</v>
      </c>
      <c r="BE154" s="249">
        <f>IF(AND(BD154&gt;0,$N154&lt;&gt;""),IF((DATE(Assumptions!$B$4,7,28)-$N154)/365.25&lt;=Assumptions!$B$20,(DATE(Assumptions!$B$4,7,28)-$N154)/365.25*Assumptions!$B$18*BD154,(Assumptions!$B$20*Assumptions!$B$18+((DATE(Assumptions!$B$4,7,28)-$N154)/365.25-Assumptions!$B$20)*Assumptions!$B$19)*BD154),0)</f>
        <v>32352.181724845992</v>
      </c>
      <c r="BF154" s="249">
        <f>IF(BC154&gt;0,IF($M154="Saudi",MIN(BC154+$Q154*$V154,Assumptions!$B$14)*Assumptions!$B$12,MIN(BC154+$Q154*$V154,Assumptions!$B$14)*Assumptions!$B$13),0)</f>
        <v>0</v>
      </c>
      <c r="BG154" s="249">
        <f>IF(AND(BC154&gt;0,$M154="Non-Saudi"),Assumptions!$B$25,0)</f>
        <v>910.41666666666663</v>
      </c>
      <c r="BH154" s="249">
        <f t="shared" si="67"/>
        <v>3037.5</v>
      </c>
      <c r="BI154" s="249">
        <f t="shared" si="68"/>
        <v>4725</v>
      </c>
      <c r="BJ154" s="249">
        <f>IF(AND(BI154&gt;0,$N154&lt;&gt;""),IF((DATE(Assumptions!$B$4,8,28)-$N154)/365.25&lt;=Assumptions!$B$20,(DATE(Assumptions!$B$4,8,28)-$N154)/365.25*Assumptions!$B$18*BI154,(Assumptions!$B$20*Assumptions!$B$18+((DATE(Assumptions!$B$4,8,28)-$N154)/365.25-Assumptions!$B$20)*Assumptions!$B$19)*BI154),0)</f>
        <v>32753.208418891169</v>
      </c>
      <c r="BK154" s="249">
        <f>IF(BH154&gt;0,IF($M154="Saudi",MIN(BH154+$Q154*$V154,Assumptions!$B$14)*Assumptions!$B$12,MIN(BH154+$Q154*$V154,Assumptions!$B$14)*Assumptions!$B$13),0)</f>
        <v>0</v>
      </c>
      <c r="BL154" s="249">
        <f>IF(AND(BH154&gt;0,$M154="Non-Saudi"),Assumptions!$B$25,0)</f>
        <v>910.41666666666663</v>
      </c>
      <c r="BM154" s="249">
        <f>IF(AND($D154="Contrat Local",$N154&lt;&gt;""),IF(AND(9&gt;=Assumptions!$B$5,ISNUMBER($X154),$N154&lt;EDATE(Assumptions!$B$9,-Assumptions!$B$6*12)),($P154+$X154)*$V154,$P154*$V154),0)</f>
        <v>3187.5</v>
      </c>
      <c r="BN154" s="249">
        <f t="shared" si="69"/>
        <v>4875</v>
      </c>
      <c r="BO154" s="249">
        <f>IF(AND(BN154&gt;0,$N154&lt;&gt;""),IF((DATE(Assumptions!$B$4,9,28)-$N154)/365.25&lt;=Assumptions!$B$20,(DATE(Assumptions!$B$4,9,28)-$N154)/365.25*Assumptions!$B$18*BN154,(Assumptions!$B$20*Assumptions!$B$18+((DATE(Assumptions!$B$4,9,28)-$N154)/365.25-Assumptions!$B$20)*Assumptions!$B$19)*BN154),0)</f>
        <v>34206.750513347019</v>
      </c>
      <c r="BP154" s="249">
        <f>IF(BM154&gt;0,IF($M154="Saudi",MIN(BM154+$Q154*$V154,Assumptions!$B$14)*Assumptions!$B$12,MIN(BM154+$Q154*$V154,Assumptions!$B$14)*Assumptions!$B$13),0)</f>
        <v>0</v>
      </c>
      <c r="BQ154" s="249">
        <f>IF(AND(BM154&gt;0,$M154="Non-Saudi"),Assumptions!$B$25,0)</f>
        <v>910.41666666666663</v>
      </c>
      <c r="BR154" s="249">
        <f>IF(AND($D154="Contrat Local",$N154&lt;&gt;""),IF(AND(10&gt;=Assumptions!$B$5,ISNUMBER($X154),$N154&lt;EDATE(Assumptions!$B$9,-Assumptions!$B$6*12)),($P154+$X154)*$V154,$P154*$V154),0)</f>
        <v>3187.5</v>
      </c>
      <c r="BS154" s="249">
        <f t="shared" si="70"/>
        <v>4875</v>
      </c>
      <c r="BT154" s="249">
        <f>IF(AND(BS154&gt;0,$N154&lt;&gt;""),IF((DATE(Assumptions!$B$4,10,28)-$N154)/365.25&lt;=Assumptions!$B$20,(DATE(Assumptions!$B$4,10,28)-$N154)/365.25*Assumptions!$B$18*BS154,(Assumptions!$B$20*Assumptions!$B$18+((DATE(Assumptions!$B$4,10,28)-$N154)/365.25-Assumptions!$B$20)*Assumptions!$B$19)*BS154),0)</f>
        <v>34607.161190965089</v>
      </c>
      <c r="BU154" s="249">
        <f>IF(BR154&gt;0,IF($M154="Saudi",MIN(BR154+$Q154*$V154,Assumptions!$B$14)*Assumptions!$B$12,MIN(BR154+$Q154*$V154,Assumptions!$B$14)*Assumptions!$B$13),0)</f>
        <v>0</v>
      </c>
      <c r="BV154" s="249">
        <f>IF(AND(BR154&gt;0,$M154="Non-Saudi"),Assumptions!$B$25,0)</f>
        <v>910.41666666666663</v>
      </c>
      <c r="BW154" s="249">
        <f>IF(AND($D154="Contrat Local",$N154&lt;&gt;""),IF(AND(11&gt;=Assumptions!$B$5,ISNUMBER($X154),$N154&lt;EDATE(Assumptions!$B$9,-Assumptions!$B$6*12)),($P154+$X154)*$V154,$P154*$V154),0)</f>
        <v>3187.5</v>
      </c>
      <c r="BX154" s="249">
        <f t="shared" si="71"/>
        <v>4875</v>
      </c>
      <c r="BY154" s="249">
        <f>IF(AND(BX154&gt;0,$N154&lt;&gt;""),IF((DATE(Assumptions!$B$4,11,28)-$N154)/365.25&lt;=Assumptions!$B$20,(DATE(Assumptions!$B$4,11,28)-$N154)/365.25*Assumptions!$B$18*BX154,(Assumptions!$B$20*Assumptions!$B$18+((DATE(Assumptions!$B$4,11,28)-$N154)/365.25-Assumptions!$B$20)*Assumptions!$B$19)*BX154),0)</f>
        <v>35020.918891170433</v>
      </c>
      <c r="BZ154" s="249">
        <f>IF(BW154&gt;0,IF($M154="Saudi",MIN(BW154+$Q154*$V154,Assumptions!$B$14)*Assumptions!$B$12,MIN(BW154+$Q154*$V154,Assumptions!$B$14)*Assumptions!$B$13),0)</f>
        <v>0</v>
      </c>
      <c r="CA154" s="249">
        <f>IF(AND(BW154&gt;0,$M154="Non-Saudi"),Assumptions!$B$25,0)</f>
        <v>910.41666666666663</v>
      </c>
      <c r="CB154" s="249">
        <f>IF(AND($D154="Contrat Local",$N154&lt;&gt;""),IF(AND(12&gt;=Assumptions!$B$5,ISNUMBER($X154),$N154&lt;EDATE(Assumptions!$B$9,-Assumptions!$B$6*12)),($P154+$X154)*$V154,$P154*$V154),0)</f>
        <v>3187.5</v>
      </c>
      <c r="CC154" s="249">
        <f t="shared" si="72"/>
        <v>4875</v>
      </c>
      <c r="CD154" s="249">
        <f>IF(AND(CC154&gt;0,$N154&lt;&gt;""),IF((DATE(Assumptions!$B$4,12,28)-$N154)/365.25&lt;=Assumptions!$B$20,(DATE(Assumptions!$B$4,12,28)-$N154)/365.25*Assumptions!$B$18*CC154,(Assumptions!$B$20*Assumptions!$B$18+((DATE(Assumptions!$B$4,12,28)-$N154)/365.25-Assumptions!$B$20)*Assumptions!$B$19)*CC154),0)</f>
        <v>35421.329568788504</v>
      </c>
      <c r="CE154" s="249">
        <f>IF(CB154&gt;0,IF($M154="Saudi",MIN(CB154+$Q154*$V154,Assumptions!$B$14)*Assumptions!$B$12,MIN(CB154+$Q154*$V154,Assumptions!$B$14)*Assumptions!$B$13),0)</f>
        <v>0</v>
      </c>
      <c r="CF154" s="249">
        <f>IF(AND(CB154&gt;0,$M154="Non-Saudi"),Assumptions!$B$25,0)</f>
        <v>910.41666666666663</v>
      </c>
      <c r="CG154" s="249">
        <f t="shared" si="73"/>
        <v>37050</v>
      </c>
      <c r="CH154" s="249">
        <f t="shared" si="74"/>
        <v>57300</v>
      </c>
      <c r="CI154" s="249">
        <f>CD154-IF(AND(Z154&gt;0,$N154&lt;&gt;""),IF((DATE(Assumptions!$B$4-1,12,28)-$N154)/365.25&lt;=Assumptions!$B$20,(DATE(Assumptions!$B$4-1,12,28)-$N154)/365.25*Assumptions!$B$18*Z154,(Assumptions!$B$20*Assumptions!$B$18+((DATE(Assumptions!$B$4-1,12,28)-$N154)/365.25-Assumptions!$B$20)*Assumptions!$B$19)*Z154),0)</f>
        <v>5811.6529774127375</v>
      </c>
      <c r="CJ154" s="249">
        <f t="shared" si="75"/>
        <v>0</v>
      </c>
      <c r="CK154" s="249">
        <f t="shared" si="76"/>
        <v>10924.999999999998</v>
      </c>
    </row>
    <row r="155" spans="1:89" x14ac:dyDescent="0.2">
      <c r="A155" s="276">
        <v>158</v>
      </c>
      <c r="B155" s="277" t="s">
        <v>621</v>
      </c>
      <c r="C155" s="277" t="s">
        <v>290</v>
      </c>
      <c r="D155" s="277" t="s">
        <v>250</v>
      </c>
      <c r="E155" s="277" t="s">
        <v>767</v>
      </c>
      <c r="F155" s="277" t="s">
        <v>302</v>
      </c>
      <c r="G155" s="277" t="s">
        <v>303</v>
      </c>
      <c r="H155" s="277" t="s">
        <v>349</v>
      </c>
      <c r="I155" s="287" t="s">
        <v>691</v>
      </c>
      <c r="J155" s="277" t="s">
        <v>73</v>
      </c>
      <c r="K155" s="277" t="s">
        <v>254</v>
      </c>
      <c r="L155" s="277" t="s">
        <v>255</v>
      </c>
      <c r="M155" s="277" t="str">
        <f t="shared" si="52"/>
        <v>Non-Saudi</v>
      </c>
      <c r="N155" s="278">
        <v>45170</v>
      </c>
      <c r="O155" s="279">
        <v>3.3</v>
      </c>
      <c r="P155" s="280">
        <v>10500</v>
      </c>
      <c r="Q155" s="280">
        <v>2500</v>
      </c>
      <c r="R155" s="280">
        <v>500</v>
      </c>
      <c r="S155" s="280"/>
      <c r="T155" s="280">
        <v>780</v>
      </c>
      <c r="U155" s="280">
        <v>14280</v>
      </c>
      <c r="V155" s="281">
        <v>1</v>
      </c>
      <c r="W155" s="277" t="s">
        <v>259</v>
      </c>
      <c r="X155" s="277">
        <v>250</v>
      </c>
      <c r="Y155" s="249">
        <f t="shared" si="53"/>
        <v>10500</v>
      </c>
      <c r="Z155" s="249">
        <f t="shared" si="54"/>
        <v>14280</v>
      </c>
      <c r="AA155" s="249">
        <f>IF(AND(Z155&gt;0,$N155&lt;&gt;""),IF((DATE(Assumptions!$B$4,1,28)-$N155)/365.25&lt;=Assumptions!$B$20,(DATE(Assumptions!$B$4,1,28)-$N155)/365.25*Assumptions!$B$18*Z155,(Assumptions!$B$20*Assumptions!$B$18+((DATE(Assumptions!$B$4,1,28)-$N155)/365.25-Assumptions!$B$20)*Assumptions!$B$19)*Z155),0)</f>
        <v>17202.464065708416</v>
      </c>
      <c r="AB155" s="249">
        <f>IF(Y155&gt;0,IF($M155="Saudi",MIN(Y155+$Q155*$V155,Assumptions!$B$14)*Assumptions!$B$12,MIN(Y155+$Q155*$V155,Assumptions!$B$14)*Assumptions!$B$13),0)</f>
        <v>0</v>
      </c>
      <c r="AC155" s="249">
        <f>IF(AND(Y155&gt;0,$M155="Non-Saudi"),Assumptions!$B$25,0)</f>
        <v>910.41666666666663</v>
      </c>
      <c r="AD155" s="249">
        <f t="shared" si="55"/>
        <v>10500</v>
      </c>
      <c r="AE155" s="249">
        <f t="shared" si="56"/>
        <v>14280</v>
      </c>
      <c r="AF155" s="249">
        <f>IF(AND(AE155&gt;0,$N155&lt;&gt;""),IF((DATE(Assumptions!$B$4,2,28)-$N155)/365.25&lt;=Assumptions!$B$20,(DATE(Assumptions!$B$4,2,28)-$N155)/365.25*Assumptions!$B$18*AE155,(Assumptions!$B$20*Assumptions!$B$18+((DATE(Assumptions!$B$4,2,28)-$N155)/365.25-Assumptions!$B$20)*Assumptions!$B$19)*AE155),0)</f>
        <v>17808.459958932239</v>
      </c>
      <c r="AG155" s="249">
        <f>IF(AD155&gt;0,IF($M155="Saudi",MIN(AD155+$Q155*$V155,Assumptions!$B$14)*Assumptions!$B$12,MIN(AD155+$Q155*$V155,Assumptions!$B$14)*Assumptions!$B$13),0)</f>
        <v>0</v>
      </c>
      <c r="AH155" s="249">
        <f>IF(AND(AD155&gt;0,$M155="Non-Saudi"),Assumptions!$B$25,0)</f>
        <v>910.41666666666663</v>
      </c>
      <c r="AI155" s="249">
        <f t="shared" si="57"/>
        <v>10500</v>
      </c>
      <c r="AJ155" s="249">
        <f t="shared" si="58"/>
        <v>14280</v>
      </c>
      <c r="AK155" s="249">
        <f>IF(AND(AJ155&gt;0,$N155&lt;&gt;""),IF((DATE(Assumptions!$B$4,3,28)-$N155)/365.25&lt;=Assumptions!$B$20,(DATE(Assumptions!$B$4,3,28)-$N155)/365.25*Assumptions!$B$18*AJ155,(Assumptions!$B$20*Assumptions!$B$18+((DATE(Assumptions!$B$4,3,28)-$N155)/365.25-Assumptions!$B$20)*Assumptions!$B$19)*AJ155),0)</f>
        <v>18355.81108829569</v>
      </c>
      <c r="AL155" s="249">
        <f>IF(AI155&gt;0,IF($M155="Saudi",MIN(AI155+$Q155*$V155,Assumptions!$B$14)*Assumptions!$B$12,MIN(AI155+$Q155*$V155,Assumptions!$B$14)*Assumptions!$B$13),0)</f>
        <v>0</v>
      </c>
      <c r="AM155" s="249">
        <f>IF(AND(AI155&gt;0,$M155="Non-Saudi"),Assumptions!$B$25,0)</f>
        <v>910.41666666666663</v>
      </c>
      <c r="AN155" s="249">
        <f t="shared" si="59"/>
        <v>10500</v>
      </c>
      <c r="AO155" s="249">
        <f t="shared" si="60"/>
        <v>14280</v>
      </c>
      <c r="AP155" s="249">
        <f>IF(AND(AO155&gt;0,$N155&lt;&gt;""),IF((DATE(Assumptions!$B$4,4,28)-$N155)/365.25&lt;=Assumptions!$B$20,(DATE(Assumptions!$B$4,4,28)-$N155)/365.25*Assumptions!$B$18*AO155,(Assumptions!$B$20*Assumptions!$B$18+((DATE(Assumptions!$B$4,4,28)-$N155)/365.25-Assumptions!$B$20)*Assumptions!$B$19)*AO155),0)</f>
        <v>18961.806981519509</v>
      </c>
      <c r="AQ155" s="249">
        <f>IF(AN155&gt;0,IF($M155="Saudi",MIN(AN155+$Q155*$V155,Assumptions!$B$14)*Assumptions!$B$12,MIN(AN155+$Q155*$V155,Assumptions!$B$14)*Assumptions!$B$13),0)</f>
        <v>0</v>
      </c>
      <c r="AR155" s="249">
        <f>IF(AND(AN155&gt;0,$M155="Non-Saudi"),Assumptions!$B$25,0)</f>
        <v>910.41666666666663</v>
      </c>
      <c r="AS155" s="249">
        <f t="shared" si="61"/>
        <v>10500</v>
      </c>
      <c r="AT155" s="249">
        <f t="shared" si="62"/>
        <v>14280</v>
      </c>
      <c r="AU155" s="249">
        <f>IF(AND(AT155&gt;0,$N155&lt;&gt;""),IF((DATE(Assumptions!$B$4,5,28)-$N155)/365.25&lt;=Assumptions!$B$20,(DATE(Assumptions!$B$4,5,28)-$N155)/365.25*Assumptions!$B$18*AT155,(Assumptions!$B$20*Assumptions!$B$18+((DATE(Assumptions!$B$4,5,28)-$N155)/365.25-Assumptions!$B$20)*Assumptions!$B$19)*AT155),0)</f>
        <v>19548.254620123203</v>
      </c>
      <c r="AV155" s="249">
        <f>IF(AS155&gt;0,IF($M155="Saudi",MIN(AS155+$Q155*$V155,Assumptions!$B$14)*Assumptions!$B$12,MIN(AS155+$Q155*$V155,Assumptions!$B$14)*Assumptions!$B$13),0)</f>
        <v>0</v>
      </c>
      <c r="AW155" s="249">
        <f>IF(AND(AS155&gt;0,$M155="Non-Saudi"),Assumptions!$B$25,0)</f>
        <v>910.41666666666663</v>
      </c>
      <c r="AX155" s="249">
        <f t="shared" si="63"/>
        <v>10500</v>
      </c>
      <c r="AY155" s="249">
        <f t="shared" si="64"/>
        <v>14280</v>
      </c>
      <c r="AZ155" s="249">
        <f>IF(AND(AY155&gt;0,$N155&lt;&gt;""),IF((DATE(Assumptions!$B$4,6,28)-$N155)/365.25&lt;=Assumptions!$B$20,(DATE(Assumptions!$B$4,6,28)-$N155)/365.25*Assumptions!$B$18*AY155,(Assumptions!$B$20*Assumptions!$B$18+((DATE(Assumptions!$B$4,6,28)-$N155)/365.25-Assumptions!$B$20)*Assumptions!$B$19)*AY155),0)</f>
        <v>20154.250513347022</v>
      </c>
      <c r="BA155" s="249">
        <f>IF(AX155&gt;0,IF($M155="Saudi",MIN(AX155+$Q155*$V155,Assumptions!$B$14)*Assumptions!$B$12,MIN(AX155+$Q155*$V155,Assumptions!$B$14)*Assumptions!$B$13),0)</f>
        <v>0</v>
      </c>
      <c r="BB155" s="249">
        <f>IF(AND(AX155&gt;0,$M155="Non-Saudi"),Assumptions!$B$25,0)</f>
        <v>910.41666666666663</v>
      </c>
      <c r="BC155" s="249">
        <f t="shared" si="65"/>
        <v>10500</v>
      </c>
      <c r="BD155" s="249">
        <f t="shared" si="66"/>
        <v>14280</v>
      </c>
      <c r="BE155" s="249">
        <f>IF(AND(BD155&gt;0,$N155&lt;&gt;""),IF((DATE(Assumptions!$B$4,7,28)-$N155)/365.25&lt;=Assumptions!$B$20,(DATE(Assumptions!$B$4,7,28)-$N155)/365.25*Assumptions!$B$18*BD155,(Assumptions!$B$20*Assumptions!$B$18+((DATE(Assumptions!$B$4,7,28)-$N155)/365.25-Assumptions!$B$20)*Assumptions!$B$19)*BD155),0)</f>
        <v>20740.698151950721</v>
      </c>
      <c r="BF155" s="249">
        <f>IF(BC155&gt;0,IF($M155="Saudi",MIN(BC155+$Q155*$V155,Assumptions!$B$14)*Assumptions!$B$12,MIN(BC155+$Q155*$V155,Assumptions!$B$14)*Assumptions!$B$13),0)</f>
        <v>0</v>
      </c>
      <c r="BG155" s="249">
        <f>IF(AND(BC155&gt;0,$M155="Non-Saudi"),Assumptions!$B$25,0)</f>
        <v>910.41666666666663</v>
      </c>
      <c r="BH155" s="249">
        <f t="shared" si="67"/>
        <v>10500</v>
      </c>
      <c r="BI155" s="249">
        <f t="shared" si="68"/>
        <v>14280</v>
      </c>
      <c r="BJ155" s="249">
        <f>IF(AND(BI155&gt;0,$N155&lt;&gt;""),IF((DATE(Assumptions!$B$4,8,28)-$N155)/365.25&lt;=Assumptions!$B$20,(DATE(Assumptions!$B$4,8,28)-$N155)/365.25*Assumptions!$B$18*BI155,(Assumptions!$B$20*Assumptions!$B$18+((DATE(Assumptions!$B$4,8,28)-$N155)/365.25-Assumptions!$B$20)*Assumptions!$B$19)*BI155),0)</f>
        <v>21346.694045174536</v>
      </c>
      <c r="BK155" s="249">
        <f>IF(BH155&gt;0,IF($M155="Saudi",MIN(BH155+$Q155*$V155,Assumptions!$B$14)*Assumptions!$B$12,MIN(BH155+$Q155*$V155,Assumptions!$B$14)*Assumptions!$B$13),0)</f>
        <v>0</v>
      </c>
      <c r="BL155" s="249">
        <f>IF(AND(BH155&gt;0,$M155="Non-Saudi"),Assumptions!$B$25,0)</f>
        <v>910.41666666666663</v>
      </c>
      <c r="BM155" s="249">
        <f>IF(AND($D155="Contrat Local",$N155&lt;&gt;""),IF(AND(9&gt;=Assumptions!$B$5,ISNUMBER($X155),$N155&lt;EDATE(Assumptions!$B$9,-Assumptions!$B$6*12)),($P155+$X155)*$V155,$P155*$V155),0)</f>
        <v>10750</v>
      </c>
      <c r="BN155" s="249">
        <f t="shared" si="69"/>
        <v>14530</v>
      </c>
      <c r="BO155" s="249">
        <f>IF(AND(BN155&gt;0,$N155&lt;&gt;""),IF((DATE(Assumptions!$B$4,9,28)-$N155)/365.25&lt;=Assumptions!$B$20,(DATE(Assumptions!$B$4,9,28)-$N155)/365.25*Assumptions!$B$18*BN155,(Assumptions!$B$20*Assumptions!$B$18+((DATE(Assumptions!$B$4,9,28)-$N155)/365.25-Assumptions!$B$20)*Assumptions!$B$19)*BN155),0)</f>
        <v>22337.015742642026</v>
      </c>
      <c r="BP155" s="249">
        <f>IF(BM155&gt;0,IF($M155="Saudi",MIN(BM155+$Q155*$V155,Assumptions!$B$14)*Assumptions!$B$12,MIN(BM155+$Q155*$V155,Assumptions!$B$14)*Assumptions!$B$13),0)</f>
        <v>0</v>
      </c>
      <c r="BQ155" s="249">
        <f>IF(AND(BM155&gt;0,$M155="Non-Saudi"),Assumptions!$B$25,0)</f>
        <v>910.41666666666663</v>
      </c>
      <c r="BR155" s="249">
        <f>IF(AND($D155="Contrat Local",$N155&lt;&gt;""),IF(AND(10&gt;=Assumptions!$B$5,ISNUMBER($X155),$N155&lt;EDATE(Assumptions!$B$9,-Assumptions!$B$6*12)),($P155+$X155)*$V155,$P155*$V155),0)</f>
        <v>10750</v>
      </c>
      <c r="BS155" s="249">
        <f t="shared" si="70"/>
        <v>14530</v>
      </c>
      <c r="BT155" s="249">
        <f>IF(AND(BS155&gt;0,$N155&lt;&gt;""),IF((DATE(Assumptions!$B$4,10,28)-$N155)/365.25&lt;=Assumptions!$B$20,(DATE(Assumptions!$B$4,10,28)-$N155)/365.25*Assumptions!$B$18*BS155,(Assumptions!$B$20*Assumptions!$B$18+((DATE(Assumptions!$B$4,10,28)-$N155)/365.25-Assumptions!$B$20)*Assumptions!$B$19)*BS155),0)</f>
        <v>22933.730321697469</v>
      </c>
      <c r="BU155" s="249">
        <f>IF(BR155&gt;0,IF($M155="Saudi",MIN(BR155+$Q155*$V155,Assumptions!$B$14)*Assumptions!$B$12,MIN(BR155+$Q155*$V155,Assumptions!$B$14)*Assumptions!$B$13),0)</f>
        <v>0</v>
      </c>
      <c r="BV155" s="249">
        <f>IF(AND(BR155&gt;0,$M155="Non-Saudi"),Assumptions!$B$25,0)</f>
        <v>910.41666666666663</v>
      </c>
      <c r="BW155" s="249">
        <f>IF(AND($D155="Contrat Local",$N155&lt;&gt;""),IF(AND(11&gt;=Assumptions!$B$5,ISNUMBER($X155),$N155&lt;EDATE(Assumptions!$B$9,-Assumptions!$B$6*12)),($P155+$X155)*$V155,$P155*$V155),0)</f>
        <v>10750</v>
      </c>
      <c r="BX155" s="249">
        <f t="shared" si="71"/>
        <v>14530</v>
      </c>
      <c r="BY155" s="249">
        <f>IF(AND(BX155&gt;0,$N155&lt;&gt;""),IF((DATE(Assumptions!$B$4,11,28)-$N155)/365.25&lt;=Assumptions!$B$20,(DATE(Assumptions!$B$4,11,28)-$N155)/365.25*Assumptions!$B$18*BX155,(Assumptions!$B$20*Assumptions!$B$18+((DATE(Assumptions!$B$4,11,28)-$N155)/365.25-Assumptions!$B$20)*Assumptions!$B$19)*BX155),0)</f>
        <v>23550.335386721425</v>
      </c>
      <c r="BZ155" s="249">
        <f>IF(BW155&gt;0,IF($M155="Saudi",MIN(BW155+$Q155*$V155,Assumptions!$B$14)*Assumptions!$B$12,MIN(BW155+$Q155*$V155,Assumptions!$B$14)*Assumptions!$B$13),0)</f>
        <v>0</v>
      </c>
      <c r="CA155" s="249">
        <f>IF(AND(BW155&gt;0,$M155="Non-Saudi"),Assumptions!$B$25,0)</f>
        <v>910.41666666666663</v>
      </c>
      <c r="CB155" s="249">
        <f>IF(AND($D155="Contrat Local",$N155&lt;&gt;""),IF(AND(12&gt;=Assumptions!$B$5,ISNUMBER($X155),$N155&lt;EDATE(Assumptions!$B$9,-Assumptions!$B$6*12)),($P155+$X155)*$V155,$P155*$V155),0)</f>
        <v>10750</v>
      </c>
      <c r="CC155" s="249">
        <f t="shared" si="72"/>
        <v>14530</v>
      </c>
      <c r="CD155" s="249">
        <f>IF(AND(CC155&gt;0,$N155&lt;&gt;""),IF((DATE(Assumptions!$B$4,12,28)-$N155)/365.25&lt;=Assumptions!$B$20,(DATE(Assumptions!$B$4,12,28)-$N155)/365.25*Assumptions!$B$18*CC155,(Assumptions!$B$20*Assumptions!$B$18+((DATE(Assumptions!$B$4,12,28)-$N155)/365.25-Assumptions!$B$20)*Assumptions!$B$19)*CC155),0)</f>
        <v>24147.049965776863</v>
      </c>
      <c r="CE155" s="249">
        <f>IF(CB155&gt;0,IF($M155="Saudi",MIN(CB155+$Q155*$V155,Assumptions!$B$14)*Assumptions!$B$12,MIN(CB155+$Q155*$V155,Assumptions!$B$14)*Assumptions!$B$13),0)</f>
        <v>0</v>
      </c>
      <c r="CF155" s="249">
        <f>IF(AND(CB155&gt;0,$M155="Non-Saudi"),Assumptions!$B$25,0)</f>
        <v>910.41666666666663</v>
      </c>
      <c r="CG155" s="249">
        <f t="shared" si="73"/>
        <v>127000</v>
      </c>
      <c r="CH155" s="249">
        <f t="shared" si="74"/>
        <v>172360</v>
      </c>
      <c r="CI155" s="249">
        <f>CD155-IF(AND(Z155&gt;0,$N155&lt;&gt;""),IF((DATE(Assumptions!$B$4-1,12,28)-$N155)/365.25&lt;=Assumptions!$B$20,(DATE(Assumptions!$B$4-1,12,28)-$N155)/365.25*Assumptions!$B$18*Z155,(Assumptions!$B$20*Assumptions!$B$18+((DATE(Assumptions!$B$4-1,12,28)-$N155)/365.25-Assumptions!$B$20)*Assumptions!$B$19)*Z155),0)</f>
        <v>7550.5817932922619</v>
      </c>
      <c r="CJ155" s="249">
        <f t="shared" si="75"/>
        <v>0</v>
      </c>
      <c r="CK155" s="249">
        <f t="shared" si="76"/>
        <v>10924.999999999998</v>
      </c>
    </row>
    <row r="156" spans="1:89" x14ac:dyDescent="0.2">
      <c r="A156" s="264">
        <v>159</v>
      </c>
      <c r="B156" s="265" t="s">
        <v>622</v>
      </c>
      <c r="C156" s="265" t="s">
        <v>623</v>
      </c>
      <c r="D156" s="265" t="s">
        <v>250</v>
      </c>
      <c r="E156" s="265" t="s">
        <v>767</v>
      </c>
      <c r="F156" s="265" t="s">
        <v>281</v>
      </c>
      <c r="G156" s="265" t="s">
        <v>8</v>
      </c>
      <c r="H156" s="265" t="s">
        <v>43</v>
      </c>
      <c r="I156" s="284" t="s">
        <v>691</v>
      </c>
      <c r="J156" s="286" t="s">
        <v>694</v>
      </c>
      <c r="K156" s="265" t="s">
        <v>282</v>
      </c>
      <c r="L156" s="265" t="s">
        <v>255</v>
      </c>
      <c r="M156" s="265" t="str">
        <f t="shared" si="52"/>
        <v>Non-Saudi</v>
      </c>
      <c r="N156" s="266">
        <v>45536</v>
      </c>
      <c r="O156" s="267">
        <v>2.2999999999999998</v>
      </c>
      <c r="P156" s="268">
        <v>8500</v>
      </c>
      <c r="Q156" s="268">
        <v>2500</v>
      </c>
      <c r="R156" s="268">
        <v>500</v>
      </c>
      <c r="S156" s="268"/>
      <c r="T156" s="268">
        <v>90</v>
      </c>
      <c r="U156" s="268">
        <v>11590</v>
      </c>
      <c r="V156" s="269">
        <v>1</v>
      </c>
      <c r="W156" s="265" t="s">
        <v>259</v>
      </c>
      <c r="X156" s="265">
        <v>250</v>
      </c>
      <c r="Y156" s="249">
        <f t="shared" si="53"/>
        <v>8500</v>
      </c>
      <c r="Z156" s="249">
        <f t="shared" si="54"/>
        <v>11590</v>
      </c>
      <c r="AA156" s="249">
        <f>IF(AND(Z156&gt;0,$N156&lt;&gt;""),IF((DATE(Assumptions!$B$4,1,28)-$N156)/365.25&lt;=Assumptions!$B$20,(DATE(Assumptions!$B$4,1,28)-$N156)/365.25*Assumptions!$B$18*Z156,(Assumptions!$B$20*Assumptions!$B$18+((DATE(Assumptions!$B$4,1,28)-$N156)/365.25-Assumptions!$B$20)*Assumptions!$B$19)*Z156),0)</f>
        <v>8155.04449007529</v>
      </c>
      <c r="AB156" s="249">
        <f>IF(Y156&gt;0,IF($M156="Saudi",MIN(Y156+$Q156*$V156,Assumptions!$B$14)*Assumptions!$B$12,MIN(Y156+$Q156*$V156,Assumptions!$B$14)*Assumptions!$B$13),0)</f>
        <v>0</v>
      </c>
      <c r="AC156" s="249">
        <f>IF(AND(Y156&gt;0,$M156="Non-Saudi"),Assumptions!$B$25,0)</f>
        <v>910.41666666666663</v>
      </c>
      <c r="AD156" s="249">
        <f t="shared" si="55"/>
        <v>8500</v>
      </c>
      <c r="AE156" s="249">
        <f t="shared" si="56"/>
        <v>11590</v>
      </c>
      <c r="AF156" s="249">
        <f>IF(AND(AE156&gt;0,$N156&lt;&gt;""),IF((DATE(Assumptions!$B$4,2,28)-$N156)/365.25&lt;=Assumptions!$B$20,(DATE(Assumptions!$B$4,2,28)-$N156)/365.25*Assumptions!$B$18*AE156,(Assumptions!$B$20*Assumptions!$B$18+((DATE(Assumptions!$B$4,2,28)-$N156)/365.25-Assumptions!$B$20)*Assumptions!$B$19)*AE156),0)</f>
        <v>8646.8856947296372</v>
      </c>
      <c r="AG156" s="249">
        <f>IF(AD156&gt;0,IF($M156="Saudi",MIN(AD156+$Q156*$V156,Assumptions!$B$14)*Assumptions!$B$12,MIN(AD156+$Q156*$V156,Assumptions!$B$14)*Assumptions!$B$13),0)</f>
        <v>0</v>
      </c>
      <c r="AH156" s="249">
        <f>IF(AND(AD156&gt;0,$M156="Non-Saudi"),Assumptions!$B$25,0)</f>
        <v>910.41666666666663</v>
      </c>
      <c r="AI156" s="249">
        <f t="shared" si="57"/>
        <v>8500</v>
      </c>
      <c r="AJ156" s="249">
        <f t="shared" si="58"/>
        <v>11590</v>
      </c>
      <c r="AK156" s="249">
        <f>IF(AND(AJ156&gt;0,$N156&lt;&gt;""),IF((DATE(Assumptions!$B$4,3,28)-$N156)/365.25&lt;=Assumptions!$B$20,(DATE(Assumptions!$B$4,3,28)-$N156)/365.25*Assumptions!$B$18*AJ156,(Assumptions!$B$20*Assumptions!$B$18+((DATE(Assumptions!$B$4,3,28)-$N156)/365.25-Assumptions!$B$20)*Assumptions!$B$19)*AJ156),0)</f>
        <v>9091.1293634496924</v>
      </c>
      <c r="AL156" s="249">
        <f>IF(AI156&gt;0,IF($M156="Saudi",MIN(AI156+$Q156*$V156,Assumptions!$B$14)*Assumptions!$B$12,MIN(AI156+$Q156*$V156,Assumptions!$B$14)*Assumptions!$B$13),0)</f>
        <v>0</v>
      </c>
      <c r="AM156" s="249">
        <f>IF(AND(AI156&gt;0,$M156="Non-Saudi"),Assumptions!$B$25,0)</f>
        <v>910.41666666666663</v>
      </c>
      <c r="AN156" s="249">
        <f t="shared" si="59"/>
        <v>8500</v>
      </c>
      <c r="AO156" s="249">
        <f t="shared" si="60"/>
        <v>11590</v>
      </c>
      <c r="AP156" s="249">
        <f>IF(AND(AO156&gt;0,$N156&lt;&gt;""),IF((DATE(Assumptions!$B$4,4,28)-$N156)/365.25&lt;=Assumptions!$B$20,(DATE(Assumptions!$B$4,4,28)-$N156)/365.25*Assumptions!$B$18*AO156,(Assumptions!$B$20*Assumptions!$B$18+((DATE(Assumptions!$B$4,4,28)-$N156)/365.25-Assumptions!$B$20)*Assumptions!$B$19)*AO156),0)</f>
        <v>9582.9705681040377</v>
      </c>
      <c r="AQ156" s="249">
        <f>IF(AN156&gt;0,IF($M156="Saudi",MIN(AN156+$Q156*$V156,Assumptions!$B$14)*Assumptions!$B$12,MIN(AN156+$Q156*$V156,Assumptions!$B$14)*Assumptions!$B$13),0)</f>
        <v>0</v>
      </c>
      <c r="AR156" s="249">
        <f>IF(AND(AN156&gt;0,$M156="Non-Saudi"),Assumptions!$B$25,0)</f>
        <v>910.41666666666663</v>
      </c>
      <c r="AS156" s="249">
        <f t="shared" si="61"/>
        <v>8500</v>
      </c>
      <c r="AT156" s="249">
        <f t="shared" si="62"/>
        <v>11590</v>
      </c>
      <c r="AU156" s="249">
        <f>IF(AND(AT156&gt;0,$N156&lt;&gt;""),IF((DATE(Assumptions!$B$4,5,28)-$N156)/365.25&lt;=Assumptions!$B$20,(DATE(Assumptions!$B$4,5,28)-$N156)/365.25*Assumptions!$B$18*AT156,(Assumptions!$B$20*Assumptions!$B$18+((DATE(Assumptions!$B$4,5,28)-$N156)/365.25-Assumptions!$B$20)*Assumptions!$B$19)*AT156),0)</f>
        <v>10058.945927446954</v>
      </c>
      <c r="AV156" s="249">
        <f>IF(AS156&gt;0,IF($M156="Saudi",MIN(AS156+$Q156*$V156,Assumptions!$B$14)*Assumptions!$B$12,MIN(AS156+$Q156*$V156,Assumptions!$B$14)*Assumptions!$B$13),0)</f>
        <v>0</v>
      </c>
      <c r="AW156" s="249">
        <f>IF(AND(AS156&gt;0,$M156="Non-Saudi"),Assumptions!$B$25,0)</f>
        <v>910.41666666666663</v>
      </c>
      <c r="AX156" s="249">
        <f t="shared" si="63"/>
        <v>8500</v>
      </c>
      <c r="AY156" s="249">
        <f t="shared" si="64"/>
        <v>11590</v>
      </c>
      <c r="AZ156" s="249">
        <f>IF(AND(AY156&gt;0,$N156&lt;&gt;""),IF((DATE(Assumptions!$B$4,6,28)-$N156)/365.25&lt;=Assumptions!$B$20,(DATE(Assumptions!$B$4,6,28)-$N156)/365.25*Assumptions!$B$18*AY156,(Assumptions!$B$20*Assumptions!$B$18+((DATE(Assumptions!$B$4,6,28)-$N156)/365.25-Assumptions!$B$20)*Assumptions!$B$19)*AY156),0)</f>
        <v>10550.787132101301</v>
      </c>
      <c r="BA156" s="249">
        <f>IF(AX156&gt;0,IF($M156="Saudi",MIN(AX156+$Q156*$V156,Assumptions!$B$14)*Assumptions!$B$12,MIN(AX156+$Q156*$V156,Assumptions!$B$14)*Assumptions!$B$13),0)</f>
        <v>0</v>
      </c>
      <c r="BB156" s="249">
        <f>IF(AND(AX156&gt;0,$M156="Non-Saudi"),Assumptions!$B$25,0)</f>
        <v>910.41666666666663</v>
      </c>
      <c r="BC156" s="249">
        <f t="shared" si="65"/>
        <v>8500</v>
      </c>
      <c r="BD156" s="249">
        <f t="shared" si="66"/>
        <v>11590</v>
      </c>
      <c r="BE156" s="249">
        <f>IF(AND(BD156&gt;0,$N156&lt;&gt;""),IF((DATE(Assumptions!$B$4,7,28)-$N156)/365.25&lt;=Assumptions!$B$20,(DATE(Assumptions!$B$4,7,28)-$N156)/365.25*Assumptions!$B$18*BD156,(Assumptions!$B$20*Assumptions!$B$18+((DATE(Assumptions!$B$4,7,28)-$N156)/365.25-Assumptions!$B$20)*Assumptions!$B$19)*BD156),0)</f>
        <v>11026.762491444217</v>
      </c>
      <c r="BF156" s="249">
        <f>IF(BC156&gt;0,IF($M156="Saudi",MIN(BC156+$Q156*$V156,Assumptions!$B$14)*Assumptions!$B$12,MIN(BC156+$Q156*$V156,Assumptions!$B$14)*Assumptions!$B$13),0)</f>
        <v>0</v>
      </c>
      <c r="BG156" s="249">
        <f>IF(AND(BC156&gt;0,$M156="Non-Saudi"),Assumptions!$B$25,0)</f>
        <v>910.41666666666663</v>
      </c>
      <c r="BH156" s="249">
        <f t="shared" si="67"/>
        <v>8500</v>
      </c>
      <c r="BI156" s="249">
        <f t="shared" si="68"/>
        <v>11590</v>
      </c>
      <c r="BJ156" s="249">
        <f>IF(AND(BI156&gt;0,$N156&lt;&gt;""),IF((DATE(Assumptions!$B$4,8,28)-$N156)/365.25&lt;=Assumptions!$B$20,(DATE(Assumptions!$B$4,8,28)-$N156)/365.25*Assumptions!$B$18*BI156,(Assumptions!$B$20*Assumptions!$B$18+((DATE(Assumptions!$B$4,8,28)-$N156)/365.25-Assumptions!$B$20)*Assumptions!$B$19)*BI156),0)</f>
        <v>11518.603696098562</v>
      </c>
      <c r="BK156" s="249">
        <f>IF(BH156&gt;0,IF($M156="Saudi",MIN(BH156+$Q156*$V156,Assumptions!$B$14)*Assumptions!$B$12,MIN(BH156+$Q156*$V156,Assumptions!$B$14)*Assumptions!$B$13),0)</f>
        <v>0</v>
      </c>
      <c r="BL156" s="249">
        <f>IF(AND(BH156&gt;0,$M156="Non-Saudi"),Assumptions!$B$25,0)</f>
        <v>910.41666666666663</v>
      </c>
      <c r="BM156" s="249">
        <f>IF(AND($D156="Contrat Local",$N156&lt;&gt;""),IF(AND(9&gt;=Assumptions!$B$5,ISNUMBER($X156),$N156&lt;EDATE(Assumptions!$B$9,-Assumptions!$B$6*12)),($P156+$X156)*$V156,$P156*$V156),0)</f>
        <v>8750</v>
      </c>
      <c r="BN156" s="249">
        <f t="shared" si="69"/>
        <v>11840</v>
      </c>
      <c r="BO156" s="249">
        <f>IF(AND(BN156&gt;0,$N156&lt;&gt;""),IF((DATE(Assumptions!$B$4,9,28)-$N156)/365.25&lt;=Assumptions!$B$20,(DATE(Assumptions!$B$4,9,28)-$N156)/365.25*Assumptions!$B$18*BN156,(Assumptions!$B$20*Assumptions!$B$18+((DATE(Assumptions!$B$4,9,28)-$N156)/365.25-Assumptions!$B$20)*Assumptions!$B$19)*BN156),0)</f>
        <v>12269.514031485283</v>
      </c>
      <c r="BP156" s="249">
        <f>IF(BM156&gt;0,IF($M156="Saudi",MIN(BM156+$Q156*$V156,Assumptions!$B$14)*Assumptions!$B$12,MIN(BM156+$Q156*$V156,Assumptions!$B$14)*Assumptions!$B$13),0)</f>
        <v>0</v>
      </c>
      <c r="BQ156" s="249">
        <f>IF(AND(BM156&gt;0,$M156="Non-Saudi"),Assumptions!$B$25,0)</f>
        <v>910.41666666666663</v>
      </c>
      <c r="BR156" s="249">
        <f>IF(AND($D156="Contrat Local",$N156&lt;&gt;""),IF(AND(10&gt;=Assumptions!$B$5,ISNUMBER($X156),$N156&lt;EDATE(Assumptions!$B$9,-Assumptions!$B$6*12)),($P156+$X156)*$V156,$P156*$V156),0)</f>
        <v>8750</v>
      </c>
      <c r="BS156" s="249">
        <f t="shared" si="70"/>
        <v>11840</v>
      </c>
      <c r="BT156" s="249">
        <f>IF(AND(BS156&gt;0,$N156&lt;&gt;""),IF((DATE(Assumptions!$B$4,10,28)-$N156)/365.25&lt;=Assumptions!$B$20,(DATE(Assumptions!$B$4,10,28)-$N156)/365.25*Assumptions!$B$18*BS156,(Assumptions!$B$20*Assumptions!$B$18+((DATE(Assumptions!$B$4,10,28)-$N156)/365.25-Assumptions!$B$20)*Assumptions!$B$19)*BS156),0)</f>
        <v>12755.756331279945</v>
      </c>
      <c r="BU156" s="249">
        <f>IF(BR156&gt;0,IF($M156="Saudi",MIN(BR156+$Q156*$V156,Assumptions!$B$14)*Assumptions!$B$12,MIN(BR156+$Q156*$V156,Assumptions!$B$14)*Assumptions!$B$13),0)</f>
        <v>0</v>
      </c>
      <c r="BV156" s="249">
        <f>IF(AND(BR156&gt;0,$M156="Non-Saudi"),Assumptions!$B$25,0)</f>
        <v>910.41666666666663</v>
      </c>
      <c r="BW156" s="249">
        <f>IF(AND($D156="Contrat Local",$N156&lt;&gt;""),IF(AND(11&gt;=Assumptions!$B$5,ISNUMBER($X156),$N156&lt;EDATE(Assumptions!$B$9,-Assumptions!$B$6*12)),($P156+$X156)*$V156,$P156*$V156),0)</f>
        <v>8750</v>
      </c>
      <c r="BX156" s="249">
        <f t="shared" si="71"/>
        <v>11840</v>
      </c>
      <c r="BY156" s="249">
        <f>IF(AND(BX156&gt;0,$N156&lt;&gt;""),IF((DATE(Assumptions!$B$4,11,28)-$N156)/365.25&lt;=Assumptions!$B$20,(DATE(Assumptions!$B$4,11,28)-$N156)/365.25*Assumptions!$B$18*BX156,(Assumptions!$B$20*Assumptions!$B$18+((DATE(Assumptions!$B$4,11,28)-$N156)/365.25-Assumptions!$B$20)*Assumptions!$B$19)*BX156),0)</f>
        <v>13258.206707734429</v>
      </c>
      <c r="BZ156" s="249">
        <f>IF(BW156&gt;0,IF($M156="Saudi",MIN(BW156+$Q156*$V156,Assumptions!$B$14)*Assumptions!$B$12,MIN(BW156+$Q156*$V156,Assumptions!$B$14)*Assumptions!$B$13),0)</f>
        <v>0</v>
      </c>
      <c r="CA156" s="249">
        <f>IF(AND(BW156&gt;0,$M156="Non-Saudi"),Assumptions!$B$25,0)</f>
        <v>910.41666666666663</v>
      </c>
      <c r="CB156" s="249">
        <f>IF(AND($D156="Contrat Local",$N156&lt;&gt;""),IF(AND(12&gt;=Assumptions!$B$5,ISNUMBER($X156),$N156&lt;EDATE(Assumptions!$B$9,-Assumptions!$B$6*12)),($P156+$X156)*$V156,$P156*$V156),0)</f>
        <v>8750</v>
      </c>
      <c r="CC156" s="249">
        <f t="shared" si="72"/>
        <v>11840</v>
      </c>
      <c r="CD156" s="249">
        <f>IF(AND(CC156&gt;0,$N156&lt;&gt;""),IF((DATE(Assumptions!$B$4,12,28)-$N156)/365.25&lt;=Assumptions!$B$20,(DATE(Assumptions!$B$4,12,28)-$N156)/365.25*Assumptions!$B$18*CC156,(Assumptions!$B$20*Assumptions!$B$18+((DATE(Assumptions!$B$4,12,28)-$N156)/365.25-Assumptions!$B$20)*Assumptions!$B$19)*CC156),0)</f>
        <v>13744.449007529091</v>
      </c>
      <c r="CE156" s="249">
        <f>IF(CB156&gt;0,IF($M156="Saudi",MIN(CB156+$Q156*$V156,Assumptions!$B$14)*Assumptions!$B$12,MIN(CB156+$Q156*$V156,Assumptions!$B$14)*Assumptions!$B$13),0)</f>
        <v>0</v>
      </c>
      <c r="CF156" s="249">
        <f>IF(AND(CB156&gt;0,$M156="Non-Saudi"),Assumptions!$B$25,0)</f>
        <v>910.41666666666663</v>
      </c>
      <c r="CG156" s="249">
        <f t="shared" si="73"/>
        <v>103000</v>
      </c>
      <c r="CH156" s="249">
        <f t="shared" si="74"/>
        <v>140080</v>
      </c>
      <c r="CI156" s="249">
        <f>CD156-IF(AND(Z156&gt;0,$N156&lt;&gt;""),IF((DATE(Assumptions!$B$4-1,12,28)-$N156)/365.25&lt;=Assumptions!$B$20,(DATE(Assumptions!$B$4-1,12,28)-$N156)/365.25*Assumptions!$B$18*Z156,(Assumptions!$B$20*Assumptions!$B$18+((DATE(Assumptions!$B$4-1,12,28)-$N156)/365.25-Assumptions!$B$20)*Assumptions!$B$19)*Z156),0)</f>
        <v>6081.2457221081459</v>
      </c>
      <c r="CJ156" s="249">
        <f t="shared" si="75"/>
        <v>0</v>
      </c>
      <c r="CK156" s="249">
        <f t="shared" si="76"/>
        <v>10924.999999999998</v>
      </c>
    </row>
    <row r="157" spans="1:89" x14ac:dyDescent="0.2">
      <c r="A157" s="264">
        <v>160</v>
      </c>
      <c r="B157" s="265" t="s">
        <v>624</v>
      </c>
      <c r="C157" s="265" t="s">
        <v>625</v>
      </c>
      <c r="D157" s="265" t="s">
        <v>250</v>
      </c>
      <c r="E157" s="265" t="s">
        <v>767</v>
      </c>
      <c r="F157" s="265" t="s">
        <v>264</v>
      </c>
      <c r="G157" s="265" t="s">
        <v>8</v>
      </c>
      <c r="H157" s="265" t="s">
        <v>265</v>
      </c>
      <c r="I157" s="284" t="s">
        <v>691</v>
      </c>
      <c r="J157" s="265" t="s">
        <v>58</v>
      </c>
      <c r="K157" s="265" t="s">
        <v>8</v>
      </c>
      <c r="L157" s="265" t="s">
        <v>255</v>
      </c>
      <c r="M157" s="265" t="str">
        <f t="shared" si="52"/>
        <v>Non-Saudi</v>
      </c>
      <c r="N157" s="266">
        <v>45170</v>
      </c>
      <c r="O157" s="267">
        <v>3.3</v>
      </c>
      <c r="P157" s="268">
        <v>12750</v>
      </c>
      <c r="Q157" s="268">
        <v>2500</v>
      </c>
      <c r="R157" s="268">
        <v>500</v>
      </c>
      <c r="S157" s="268"/>
      <c r="T157" s="268"/>
      <c r="U157" s="268">
        <v>15750</v>
      </c>
      <c r="V157" s="269">
        <v>1</v>
      </c>
      <c r="W157" s="265" t="s">
        <v>259</v>
      </c>
      <c r="X157" s="265">
        <v>250</v>
      </c>
      <c r="Y157" s="249">
        <f t="shared" si="53"/>
        <v>12750</v>
      </c>
      <c r="Z157" s="249">
        <f t="shared" si="54"/>
        <v>15750</v>
      </c>
      <c r="AA157" s="249">
        <f>IF(AND(Z157&gt;0,$N157&lt;&gt;""),IF((DATE(Assumptions!$B$4,1,28)-$N157)/365.25&lt;=Assumptions!$B$20,(DATE(Assumptions!$B$4,1,28)-$N157)/365.25*Assumptions!$B$18*Z157,(Assumptions!$B$20*Assumptions!$B$18+((DATE(Assumptions!$B$4,1,28)-$N157)/365.25-Assumptions!$B$20)*Assumptions!$B$19)*Z157),0)</f>
        <v>18973.305954825461</v>
      </c>
      <c r="AB157" s="249">
        <f>IF(Y157&gt;0,IF($M157="Saudi",MIN(Y157+$Q157*$V157,Assumptions!$B$14)*Assumptions!$B$12,MIN(Y157+$Q157*$V157,Assumptions!$B$14)*Assumptions!$B$13),0)</f>
        <v>0</v>
      </c>
      <c r="AC157" s="249">
        <f>IF(AND(Y157&gt;0,$M157="Non-Saudi"),Assumptions!$B$25,0)</f>
        <v>910.41666666666663</v>
      </c>
      <c r="AD157" s="249">
        <f t="shared" si="55"/>
        <v>12750</v>
      </c>
      <c r="AE157" s="249">
        <f t="shared" si="56"/>
        <v>15750</v>
      </c>
      <c r="AF157" s="249">
        <f>IF(AND(AE157&gt;0,$N157&lt;&gt;""),IF((DATE(Assumptions!$B$4,2,28)-$N157)/365.25&lt;=Assumptions!$B$20,(DATE(Assumptions!$B$4,2,28)-$N157)/365.25*Assumptions!$B$18*AE157,(Assumptions!$B$20*Assumptions!$B$18+((DATE(Assumptions!$B$4,2,28)-$N157)/365.25-Assumptions!$B$20)*Assumptions!$B$19)*AE157),0)</f>
        <v>19641.683778234088</v>
      </c>
      <c r="AG157" s="249">
        <f>IF(AD157&gt;0,IF($M157="Saudi",MIN(AD157+$Q157*$V157,Assumptions!$B$14)*Assumptions!$B$12,MIN(AD157+$Q157*$V157,Assumptions!$B$14)*Assumptions!$B$13),0)</f>
        <v>0</v>
      </c>
      <c r="AH157" s="249">
        <f>IF(AND(AD157&gt;0,$M157="Non-Saudi"),Assumptions!$B$25,0)</f>
        <v>910.41666666666663</v>
      </c>
      <c r="AI157" s="249">
        <f t="shared" si="57"/>
        <v>12750</v>
      </c>
      <c r="AJ157" s="249">
        <f t="shared" si="58"/>
        <v>15750</v>
      </c>
      <c r="AK157" s="249">
        <f>IF(AND(AJ157&gt;0,$N157&lt;&gt;""),IF((DATE(Assumptions!$B$4,3,28)-$N157)/365.25&lt;=Assumptions!$B$20,(DATE(Assumptions!$B$4,3,28)-$N157)/365.25*Assumptions!$B$18*AJ157,(Assumptions!$B$20*Assumptions!$B$18+((DATE(Assumptions!$B$4,3,28)-$N157)/365.25-Assumptions!$B$20)*Assumptions!$B$19)*AJ157),0)</f>
        <v>20245.379876796716</v>
      </c>
      <c r="AL157" s="249">
        <f>IF(AI157&gt;0,IF($M157="Saudi",MIN(AI157+$Q157*$V157,Assumptions!$B$14)*Assumptions!$B$12,MIN(AI157+$Q157*$V157,Assumptions!$B$14)*Assumptions!$B$13),0)</f>
        <v>0</v>
      </c>
      <c r="AM157" s="249">
        <f>IF(AND(AI157&gt;0,$M157="Non-Saudi"),Assumptions!$B$25,0)</f>
        <v>910.41666666666663</v>
      </c>
      <c r="AN157" s="249">
        <f t="shared" si="59"/>
        <v>12750</v>
      </c>
      <c r="AO157" s="249">
        <f t="shared" si="60"/>
        <v>15750</v>
      </c>
      <c r="AP157" s="249">
        <f>IF(AND(AO157&gt;0,$N157&lt;&gt;""),IF((DATE(Assumptions!$B$4,4,28)-$N157)/365.25&lt;=Assumptions!$B$20,(DATE(Assumptions!$B$4,4,28)-$N157)/365.25*Assumptions!$B$18*AO157,(Assumptions!$B$20*Assumptions!$B$18+((DATE(Assumptions!$B$4,4,28)-$N157)/365.25-Assumptions!$B$20)*Assumptions!$B$19)*AO157),0)</f>
        <v>20913.75770020534</v>
      </c>
      <c r="AQ157" s="249">
        <f>IF(AN157&gt;0,IF($M157="Saudi",MIN(AN157+$Q157*$V157,Assumptions!$B$14)*Assumptions!$B$12,MIN(AN157+$Q157*$V157,Assumptions!$B$14)*Assumptions!$B$13),0)</f>
        <v>0</v>
      </c>
      <c r="AR157" s="249">
        <f>IF(AND(AN157&gt;0,$M157="Non-Saudi"),Assumptions!$B$25,0)</f>
        <v>910.41666666666663</v>
      </c>
      <c r="AS157" s="249">
        <f t="shared" si="61"/>
        <v>12750</v>
      </c>
      <c r="AT157" s="249">
        <f t="shared" si="62"/>
        <v>15750</v>
      </c>
      <c r="AU157" s="249">
        <f>IF(AND(AT157&gt;0,$N157&lt;&gt;""),IF((DATE(Assumptions!$B$4,5,28)-$N157)/365.25&lt;=Assumptions!$B$20,(DATE(Assumptions!$B$4,5,28)-$N157)/365.25*Assumptions!$B$18*AT157,(Assumptions!$B$20*Assumptions!$B$18+((DATE(Assumptions!$B$4,5,28)-$N157)/365.25-Assumptions!$B$20)*Assumptions!$B$19)*AT157),0)</f>
        <v>21560.574948665297</v>
      </c>
      <c r="AV157" s="249">
        <f>IF(AS157&gt;0,IF($M157="Saudi",MIN(AS157+$Q157*$V157,Assumptions!$B$14)*Assumptions!$B$12,MIN(AS157+$Q157*$V157,Assumptions!$B$14)*Assumptions!$B$13),0)</f>
        <v>0</v>
      </c>
      <c r="AW157" s="249">
        <f>IF(AND(AS157&gt;0,$M157="Non-Saudi"),Assumptions!$B$25,0)</f>
        <v>910.41666666666663</v>
      </c>
      <c r="AX157" s="249">
        <f t="shared" si="63"/>
        <v>12750</v>
      </c>
      <c r="AY157" s="249">
        <f t="shared" si="64"/>
        <v>15750</v>
      </c>
      <c r="AZ157" s="249">
        <f>IF(AND(AY157&gt;0,$N157&lt;&gt;""),IF((DATE(Assumptions!$B$4,6,28)-$N157)/365.25&lt;=Assumptions!$B$20,(DATE(Assumptions!$B$4,6,28)-$N157)/365.25*Assumptions!$B$18*AY157,(Assumptions!$B$20*Assumptions!$B$18+((DATE(Assumptions!$B$4,6,28)-$N157)/365.25-Assumptions!$B$20)*Assumptions!$B$19)*AY157),0)</f>
        <v>22228.952772073924</v>
      </c>
      <c r="BA157" s="249">
        <f>IF(AX157&gt;0,IF($M157="Saudi",MIN(AX157+$Q157*$V157,Assumptions!$B$14)*Assumptions!$B$12,MIN(AX157+$Q157*$V157,Assumptions!$B$14)*Assumptions!$B$13),0)</f>
        <v>0</v>
      </c>
      <c r="BB157" s="249">
        <f>IF(AND(AX157&gt;0,$M157="Non-Saudi"),Assumptions!$B$25,0)</f>
        <v>910.41666666666663</v>
      </c>
      <c r="BC157" s="249">
        <f t="shared" si="65"/>
        <v>12750</v>
      </c>
      <c r="BD157" s="249">
        <f t="shared" si="66"/>
        <v>15750</v>
      </c>
      <c r="BE157" s="249">
        <f>IF(AND(BD157&gt;0,$N157&lt;&gt;""),IF((DATE(Assumptions!$B$4,7,28)-$N157)/365.25&lt;=Assumptions!$B$20,(DATE(Assumptions!$B$4,7,28)-$N157)/365.25*Assumptions!$B$18*BD157,(Assumptions!$B$20*Assumptions!$B$18+((DATE(Assumptions!$B$4,7,28)-$N157)/365.25-Assumptions!$B$20)*Assumptions!$B$19)*BD157),0)</f>
        <v>22875.770020533881</v>
      </c>
      <c r="BF157" s="249">
        <f>IF(BC157&gt;0,IF($M157="Saudi",MIN(BC157+$Q157*$V157,Assumptions!$B$14)*Assumptions!$B$12,MIN(BC157+$Q157*$V157,Assumptions!$B$14)*Assumptions!$B$13),0)</f>
        <v>0</v>
      </c>
      <c r="BG157" s="249">
        <f>IF(AND(BC157&gt;0,$M157="Non-Saudi"),Assumptions!$B$25,0)</f>
        <v>910.41666666666663</v>
      </c>
      <c r="BH157" s="249">
        <f t="shared" si="67"/>
        <v>12750</v>
      </c>
      <c r="BI157" s="249">
        <f t="shared" si="68"/>
        <v>15750</v>
      </c>
      <c r="BJ157" s="249">
        <f>IF(AND(BI157&gt;0,$N157&lt;&gt;""),IF((DATE(Assumptions!$B$4,8,28)-$N157)/365.25&lt;=Assumptions!$B$20,(DATE(Assumptions!$B$4,8,28)-$N157)/365.25*Assumptions!$B$18*BI157,(Assumptions!$B$20*Assumptions!$B$18+((DATE(Assumptions!$B$4,8,28)-$N157)/365.25-Assumptions!$B$20)*Assumptions!$B$19)*BI157),0)</f>
        <v>23544.147843942505</v>
      </c>
      <c r="BK157" s="249">
        <f>IF(BH157&gt;0,IF($M157="Saudi",MIN(BH157+$Q157*$V157,Assumptions!$B$14)*Assumptions!$B$12,MIN(BH157+$Q157*$V157,Assumptions!$B$14)*Assumptions!$B$13),0)</f>
        <v>0</v>
      </c>
      <c r="BL157" s="249">
        <f>IF(AND(BH157&gt;0,$M157="Non-Saudi"),Assumptions!$B$25,0)</f>
        <v>910.41666666666663</v>
      </c>
      <c r="BM157" s="249">
        <f>IF(AND($D157="Contrat Local",$N157&lt;&gt;""),IF(AND(9&gt;=Assumptions!$B$5,ISNUMBER($X157),$N157&lt;EDATE(Assumptions!$B$9,-Assumptions!$B$6*12)),($P157+$X157)*$V157,$P157*$V157),0)</f>
        <v>13000</v>
      </c>
      <c r="BN157" s="249">
        <f t="shared" si="69"/>
        <v>16000</v>
      </c>
      <c r="BO157" s="249">
        <f>IF(AND(BN157&gt;0,$N157&lt;&gt;""),IF((DATE(Assumptions!$B$4,9,28)-$N157)/365.25&lt;=Assumptions!$B$20,(DATE(Assumptions!$B$4,9,28)-$N157)/365.25*Assumptions!$B$18*BN157,(Assumptions!$B$20*Assumptions!$B$18+((DATE(Assumptions!$B$4,9,28)-$N157)/365.25-Assumptions!$B$20)*Assumptions!$B$19)*BN157),0)</f>
        <v>24596.8514715948</v>
      </c>
      <c r="BP157" s="249">
        <f>IF(BM157&gt;0,IF($M157="Saudi",MIN(BM157+$Q157*$V157,Assumptions!$B$14)*Assumptions!$B$12,MIN(BM157+$Q157*$V157,Assumptions!$B$14)*Assumptions!$B$13),0)</f>
        <v>0</v>
      </c>
      <c r="BQ157" s="249">
        <f>IF(AND(BM157&gt;0,$M157="Non-Saudi"),Assumptions!$B$25,0)</f>
        <v>910.41666666666663</v>
      </c>
      <c r="BR157" s="249">
        <f>IF(AND($D157="Contrat Local",$N157&lt;&gt;""),IF(AND(10&gt;=Assumptions!$B$5,ISNUMBER($X157),$N157&lt;EDATE(Assumptions!$B$9,-Assumptions!$B$6*12)),($P157+$X157)*$V157,$P157*$V157),0)</f>
        <v>13000</v>
      </c>
      <c r="BS157" s="249">
        <f t="shared" si="70"/>
        <v>16000</v>
      </c>
      <c r="BT157" s="249">
        <f>IF(AND(BS157&gt;0,$N157&lt;&gt;""),IF((DATE(Assumptions!$B$4,10,28)-$N157)/365.25&lt;=Assumptions!$B$20,(DATE(Assumptions!$B$4,10,28)-$N157)/365.25*Assumptions!$B$18*BS157,(Assumptions!$B$20*Assumptions!$B$18+((DATE(Assumptions!$B$4,10,28)-$N157)/365.25-Assumptions!$B$20)*Assumptions!$B$19)*BS157),0)</f>
        <v>25253.935660506504</v>
      </c>
      <c r="BU157" s="249">
        <f>IF(BR157&gt;0,IF($M157="Saudi",MIN(BR157+$Q157*$V157,Assumptions!$B$14)*Assumptions!$B$12,MIN(BR157+$Q157*$V157,Assumptions!$B$14)*Assumptions!$B$13),0)</f>
        <v>0</v>
      </c>
      <c r="BV157" s="249">
        <f>IF(AND(BR157&gt;0,$M157="Non-Saudi"),Assumptions!$B$25,0)</f>
        <v>910.41666666666663</v>
      </c>
      <c r="BW157" s="249">
        <f>IF(AND($D157="Contrat Local",$N157&lt;&gt;""),IF(AND(11&gt;=Assumptions!$B$5,ISNUMBER($X157),$N157&lt;EDATE(Assumptions!$B$9,-Assumptions!$B$6*12)),($P157+$X157)*$V157,$P157*$V157),0)</f>
        <v>13000</v>
      </c>
      <c r="BX157" s="249">
        <f t="shared" si="71"/>
        <v>16000</v>
      </c>
      <c r="BY157" s="249">
        <f>IF(AND(BX157&gt;0,$N157&lt;&gt;""),IF((DATE(Assumptions!$B$4,11,28)-$N157)/365.25&lt;=Assumptions!$B$20,(DATE(Assumptions!$B$4,11,28)-$N157)/365.25*Assumptions!$B$18*BX157,(Assumptions!$B$20*Assumptions!$B$18+((DATE(Assumptions!$B$4,11,28)-$N157)/365.25-Assumptions!$B$20)*Assumptions!$B$19)*BX157),0)</f>
        <v>25932.922655715261</v>
      </c>
      <c r="BZ157" s="249">
        <f>IF(BW157&gt;0,IF($M157="Saudi",MIN(BW157+$Q157*$V157,Assumptions!$B$14)*Assumptions!$B$12,MIN(BW157+$Q157*$V157,Assumptions!$B$14)*Assumptions!$B$13),0)</f>
        <v>0</v>
      </c>
      <c r="CA157" s="249">
        <f>IF(AND(BW157&gt;0,$M157="Non-Saudi"),Assumptions!$B$25,0)</f>
        <v>910.41666666666663</v>
      </c>
      <c r="CB157" s="249">
        <f>IF(AND($D157="Contrat Local",$N157&lt;&gt;""),IF(AND(12&gt;=Assumptions!$B$5,ISNUMBER($X157),$N157&lt;EDATE(Assumptions!$B$9,-Assumptions!$B$6*12)),($P157+$X157)*$V157,$P157*$V157),0)</f>
        <v>13000</v>
      </c>
      <c r="CC157" s="249">
        <f t="shared" si="72"/>
        <v>16000</v>
      </c>
      <c r="CD157" s="249">
        <f>IF(AND(CC157&gt;0,$N157&lt;&gt;""),IF((DATE(Assumptions!$B$4,12,28)-$N157)/365.25&lt;=Assumptions!$B$20,(DATE(Assumptions!$B$4,12,28)-$N157)/365.25*Assumptions!$B$18*CC157,(Assumptions!$B$20*Assumptions!$B$18+((DATE(Assumptions!$B$4,12,28)-$N157)/365.25-Assumptions!$B$20)*Assumptions!$B$19)*CC157),0)</f>
        <v>26590.006844626965</v>
      </c>
      <c r="CE157" s="249">
        <f>IF(CB157&gt;0,IF($M157="Saudi",MIN(CB157+$Q157*$V157,Assumptions!$B$14)*Assumptions!$B$12,MIN(CB157+$Q157*$V157,Assumptions!$B$14)*Assumptions!$B$13),0)</f>
        <v>0</v>
      </c>
      <c r="CF157" s="249">
        <f>IF(AND(CB157&gt;0,$M157="Non-Saudi"),Assumptions!$B$25,0)</f>
        <v>910.41666666666663</v>
      </c>
      <c r="CG157" s="249">
        <f t="shared" si="73"/>
        <v>154000</v>
      </c>
      <c r="CH157" s="249">
        <f t="shared" si="74"/>
        <v>190000</v>
      </c>
      <c r="CI157" s="249">
        <f>CD157-IF(AND(Z157&gt;0,$N157&lt;&gt;""),IF((DATE(Assumptions!$B$4-1,12,28)-$N157)/365.25&lt;=Assumptions!$B$20,(DATE(Assumptions!$B$4-1,12,28)-$N157)/365.25*Assumptions!$B$18*Z157,(Assumptions!$B$20*Assumptions!$B$18+((DATE(Assumptions!$B$4-1,12,28)-$N157)/365.25-Assumptions!$B$20)*Assumptions!$B$19)*Z157),0)</f>
        <v>8285.0787132101286</v>
      </c>
      <c r="CJ157" s="249">
        <f t="shared" si="75"/>
        <v>0</v>
      </c>
      <c r="CK157" s="249">
        <f t="shared" si="76"/>
        <v>10924.999999999998</v>
      </c>
    </row>
    <row r="158" spans="1:89" x14ac:dyDescent="0.2">
      <c r="A158" s="264">
        <v>161</v>
      </c>
      <c r="B158" s="265" t="s">
        <v>769</v>
      </c>
      <c r="C158" s="265" t="s">
        <v>770</v>
      </c>
      <c r="D158" s="265" t="s">
        <v>250</v>
      </c>
      <c r="E158" s="265" t="s">
        <v>767</v>
      </c>
      <c r="F158" s="265" t="s">
        <v>771</v>
      </c>
      <c r="G158" s="265" t="s">
        <v>252</v>
      </c>
      <c r="H158" s="265" t="s">
        <v>335</v>
      </c>
      <c r="I158" s="284" t="s">
        <v>690</v>
      </c>
      <c r="J158" s="265"/>
      <c r="K158" s="265"/>
      <c r="L158" s="265" t="s">
        <v>255</v>
      </c>
      <c r="M158" s="265" t="s">
        <v>772</v>
      </c>
      <c r="N158" s="266"/>
      <c r="O158" s="267"/>
      <c r="P158" s="268">
        <v>7000</v>
      </c>
      <c r="Q158" s="268">
        <v>2500</v>
      </c>
      <c r="R158" s="268">
        <v>500</v>
      </c>
      <c r="S158" s="268"/>
      <c r="T158" s="268"/>
      <c r="U158" s="268">
        <v>10000</v>
      </c>
      <c r="V158" s="269">
        <v>1</v>
      </c>
      <c r="W158" s="265" t="s">
        <v>256</v>
      </c>
      <c r="X158" s="265"/>
      <c r="Y158" s="249">
        <f t="shared" si="53"/>
        <v>0</v>
      </c>
      <c r="Z158" s="249">
        <f t="shared" si="54"/>
        <v>0</v>
      </c>
      <c r="AA158" s="249">
        <f>IF(AND(Z158&gt;0,$N158&lt;&gt;""),IF((DATE(Assumptions!$B$4,1,28)-$N158)/365.25&lt;=Assumptions!$B$20,(DATE(Assumptions!$B$4,1,28)-$N158)/365.25*Assumptions!$B$18*Z158,(Assumptions!$B$20*Assumptions!$B$18+((DATE(Assumptions!$B$4,1,28)-$N158)/365.25-Assumptions!$B$20)*Assumptions!$B$19)*Z158),0)</f>
        <v>0</v>
      </c>
      <c r="AB158" s="249">
        <f>IF(Y158&gt;0,IF($M158="Saudi",MIN(Y158+$Q158*$V158,Assumptions!$B$14)*Assumptions!$B$12,MIN(Y158+$Q158*$V158,Assumptions!$B$14)*Assumptions!$B$13),0)</f>
        <v>0</v>
      </c>
      <c r="AC158" s="249">
        <f>IF(AND(Y158&gt;0,$M158="Non-Saudi"),Assumptions!$B$25,0)</f>
        <v>0</v>
      </c>
      <c r="AD158" s="249">
        <f t="shared" si="55"/>
        <v>0</v>
      </c>
      <c r="AE158" s="249">
        <f t="shared" si="56"/>
        <v>0</v>
      </c>
      <c r="AF158" s="249">
        <f>IF(AND(AE158&gt;0,$N158&lt;&gt;""),IF((DATE(Assumptions!$B$4,2,28)-$N158)/365.25&lt;=Assumptions!$B$20,(DATE(Assumptions!$B$4,2,28)-$N158)/365.25*Assumptions!$B$18*AE158,(Assumptions!$B$20*Assumptions!$B$18+((DATE(Assumptions!$B$4,2,28)-$N158)/365.25-Assumptions!$B$20)*Assumptions!$B$19)*AE158),0)</f>
        <v>0</v>
      </c>
      <c r="AG158" s="249">
        <f>IF(AD158&gt;0,IF($M158="Saudi",MIN(AD158+$Q158*$V158,Assumptions!$B$14)*Assumptions!$B$12,MIN(AD158+$Q158*$V158,Assumptions!$B$14)*Assumptions!$B$13),0)</f>
        <v>0</v>
      </c>
      <c r="AH158" s="249">
        <f>IF(AND(AD158&gt;0,$M158="Non-Saudi"),Assumptions!$B$25,0)</f>
        <v>0</v>
      </c>
      <c r="AI158" s="249">
        <f t="shared" si="57"/>
        <v>0</v>
      </c>
      <c r="AJ158" s="249">
        <f t="shared" si="58"/>
        <v>0</v>
      </c>
      <c r="AK158" s="249">
        <f>IF(AND(AJ158&gt;0,$N158&lt;&gt;""),IF((DATE(Assumptions!$B$4,3,28)-$N158)/365.25&lt;=Assumptions!$B$20,(DATE(Assumptions!$B$4,3,28)-$N158)/365.25*Assumptions!$B$18*AJ158,(Assumptions!$B$20*Assumptions!$B$18+((DATE(Assumptions!$B$4,3,28)-$N158)/365.25-Assumptions!$B$20)*Assumptions!$B$19)*AJ158),0)</f>
        <v>0</v>
      </c>
      <c r="AL158" s="249">
        <f>IF(AI158&gt;0,IF($M158="Saudi",MIN(AI158+$Q158*$V158,Assumptions!$B$14)*Assumptions!$B$12,MIN(AI158+$Q158*$V158,Assumptions!$B$14)*Assumptions!$B$13),0)</f>
        <v>0</v>
      </c>
      <c r="AM158" s="249">
        <f>IF(AND(AI158&gt;0,$M158="Non-Saudi"),Assumptions!$B$25,0)</f>
        <v>0</v>
      </c>
      <c r="AN158" s="249">
        <f t="shared" si="59"/>
        <v>0</v>
      </c>
      <c r="AO158" s="249">
        <f t="shared" si="60"/>
        <v>0</v>
      </c>
      <c r="AP158" s="249">
        <f>IF(AND(AO158&gt;0,$N158&lt;&gt;""),IF((DATE(Assumptions!$B$4,4,28)-$N158)/365.25&lt;=Assumptions!$B$20,(DATE(Assumptions!$B$4,4,28)-$N158)/365.25*Assumptions!$B$18*AO158,(Assumptions!$B$20*Assumptions!$B$18+((DATE(Assumptions!$B$4,4,28)-$N158)/365.25-Assumptions!$B$20)*Assumptions!$B$19)*AO158),0)</f>
        <v>0</v>
      </c>
      <c r="AQ158" s="249">
        <f>IF(AN158&gt;0,IF($M158="Saudi",MIN(AN158+$Q158*$V158,Assumptions!$B$14)*Assumptions!$B$12,MIN(AN158+$Q158*$V158,Assumptions!$B$14)*Assumptions!$B$13),0)</f>
        <v>0</v>
      </c>
      <c r="AR158" s="249">
        <f>IF(AND(AN158&gt;0,$M158="Non-Saudi"),Assumptions!$B$25,0)</f>
        <v>0</v>
      </c>
      <c r="AS158" s="249">
        <f t="shared" si="61"/>
        <v>0</v>
      </c>
      <c r="AT158" s="249">
        <f t="shared" si="62"/>
        <v>0</v>
      </c>
      <c r="AU158" s="249">
        <f>IF(AND(AT158&gt;0,$N158&lt;&gt;""),IF((DATE(Assumptions!$B$4,5,28)-$N158)/365.25&lt;=Assumptions!$B$20,(DATE(Assumptions!$B$4,5,28)-$N158)/365.25*Assumptions!$B$18*AT158,(Assumptions!$B$20*Assumptions!$B$18+((DATE(Assumptions!$B$4,5,28)-$N158)/365.25-Assumptions!$B$20)*Assumptions!$B$19)*AT158),0)</f>
        <v>0</v>
      </c>
      <c r="AV158" s="249">
        <f>IF(AS158&gt;0,IF($M158="Saudi",MIN(AS158+$Q158*$V158,Assumptions!$B$14)*Assumptions!$B$12,MIN(AS158+$Q158*$V158,Assumptions!$B$14)*Assumptions!$B$13),0)</f>
        <v>0</v>
      </c>
      <c r="AW158" s="249">
        <f>IF(AND(AS158&gt;0,$M158="Non-Saudi"),Assumptions!$B$25,0)</f>
        <v>0</v>
      </c>
      <c r="AX158" s="249">
        <f t="shared" si="63"/>
        <v>0</v>
      </c>
      <c r="AY158" s="249">
        <f t="shared" si="64"/>
        <v>0</v>
      </c>
      <c r="AZ158" s="249">
        <f>IF(AND(AY158&gt;0,$N158&lt;&gt;""),IF((DATE(Assumptions!$B$4,6,28)-$N158)/365.25&lt;=Assumptions!$B$20,(DATE(Assumptions!$B$4,6,28)-$N158)/365.25*Assumptions!$B$18*AY158,(Assumptions!$B$20*Assumptions!$B$18+((DATE(Assumptions!$B$4,6,28)-$N158)/365.25-Assumptions!$B$20)*Assumptions!$B$19)*AY158),0)</f>
        <v>0</v>
      </c>
      <c r="BA158" s="249">
        <f>IF(AX158&gt;0,IF($M158="Saudi",MIN(AX158+$Q158*$V158,Assumptions!$B$14)*Assumptions!$B$12,MIN(AX158+$Q158*$V158,Assumptions!$B$14)*Assumptions!$B$13),0)</f>
        <v>0</v>
      </c>
      <c r="BB158" s="249">
        <f>IF(AND(AX158&gt;0,$M158="Non-Saudi"),Assumptions!$B$25,0)</f>
        <v>0</v>
      </c>
      <c r="BC158" s="249">
        <f t="shared" si="65"/>
        <v>0</v>
      </c>
      <c r="BD158" s="249">
        <f t="shared" si="66"/>
        <v>0</v>
      </c>
      <c r="BE158" s="249">
        <f>IF(AND(BD158&gt;0,$N158&lt;&gt;""),IF((DATE(Assumptions!$B$4,7,28)-$N158)/365.25&lt;=Assumptions!$B$20,(DATE(Assumptions!$B$4,7,28)-$N158)/365.25*Assumptions!$B$18*BD158,(Assumptions!$B$20*Assumptions!$B$18+((DATE(Assumptions!$B$4,7,28)-$N158)/365.25-Assumptions!$B$20)*Assumptions!$B$19)*BD158),0)</f>
        <v>0</v>
      </c>
      <c r="BF158" s="249">
        <f>IF(BC158&gt;0,IF($M158="Saudi",MIN(BC158+$Q158*$V158,Assumptions!$B$14)*Assumptions!$B$12,MIN(BC158+$Q158*$V158,Assumptions!$B$14)*Assumptions!$B$13),0)</f>
        <v>0</v>
      </c>
      <c r="BG158" s="249">
        <f>IF(AND(BC158&gt;0,$M158="Non-Saudi"),Assumptions!$B$25,0)</f>
        <v>0</v>
      </c>
      <c r="BH158" s="249">
        <f t="shared" si="67"/>
        <v>0</v>
      </c>
      <c r="BI158" s="249">
        <f t="shared" si="68"/>
        <v>0</v>
      </c>
      <c r="BJ158" s="249">
        <f>IF(AND(BI158&gt;0,$N158&lt;&gt;""),IF((DATE(Assumptions!$B$4,8,28)-$N158)/365.25&lt;=Assumptions!$B$20,(DATE(Assumptions!$B$4,8,28)-$N158)/365.25*Assumptions!$B$18*BI158,(Assumptions!$B$20*Assumptions!$B$18+((DATE(Assumptions!$B$4,8,28)-$N158)/365.25-Assumptions!$B$20)*Assumptions!$B$19)*BI158),0)</f>
        <v>0</v>
      </c>
      <c r="BK158" s="249">
        <f>IF(BH158&gt;0,IF($M158="Saudi",MIN(BH158+$Q158*$V158,Assumptions!$B$14)*Assumptions!$B$12,MIN(BH158+$Q158*$V158,Assumptions!$B$14)*Assumptions!$B$13),0)</f>
        <v>0</v>
      </c>
      <c r="BL158" s="249">
        <f>IF(AND(BH158&gt;0,$M158="Non-Saudi"),Assumptions!$B$25,0)</f>
        <v>0</v>
      </c>
      <c r="BM158" s="249">
        <f>IF(AND($D158="Contrat Local",$N158&lt;&gt;""),IF(AND(9&gt;=Assumptions!$B$5,ISNUMBER($X158),$N158&lt;EDATE(Assumptions!$B$9,-Assumptions!$B$6*12)),($P158+$X158)*$V158,$P158*$V158),0)</f>
        <v>0</v>
      </c>
      <c r="BN158" s="249">
        <f t="shared" si="69"/>
        <v>0</v>
      </c>
      <c r="BO158" s="249">
        <f>IF(AND(BN158&gt;0,$N158&lt;&gt;""),IF((DATE(Assumptions!$B$4,9,28)-$N158)/365.25&lt;=Assumptions!$B$20,(DATE(Assumptions!$B$4,9,28)-$N158)/365.25*Assumptions!$B$18*BN158,(Assumptions!$B$20*Assumptions!$B$18+((DATE(Assumptions!$B$4,9,28)-$N158)/365.25-Assumptions!$B$20)*Assumptions!$B$19)*BN158),0)</f>
        <v>0</v>
      </c>
      <c r="BP158" s="249">
        <f>IF(BM158&gt;0,IF($M158="Saudi",MIN(BM158+$Q158*$V158,Assumptions!$B$14)*Assumptions!$B$12,MIN(BM158+$Q158*$V158,Assumptions!$B$14)*Assumptions!$B$13),0)</f>
        <v>0</v>
      </c>
      <c r="BQ158" s="249">
        <f>IF(AND(BM158&gt;0,$M158="Non-Saudi"),Assumptions!$B$25,0)</f>
        <v>0</v>
      </c>
      <c r="BR158" s="249">
        <f>IF(AND($D158="Contrat Local",$N158&lt;&gt;""),IF(AND(10&gt;=Assumptions!$B$5,ISNUMBER($X158),$N158&lt;EDATE(Assumptions!$B$9,-Assumptions!$B$6*12)),($P158+$X158)*$V158,$P158*$V158),0)</f>
        <v>0</v>
      </c>
      <c r="BS158" s="249">
        <f t="shared" si="70"/>
        <v>0</v>
      </c>
      <c r="BT158" s="249">
        <f>IF(AND(BS158&gt;0,$N158&lt;&gt;""),IF((DATE(Assumptions!$B$4,10,28)-$N158)/365.25&lt;=Assumptions!$B$20,(DATE(Assumptions!$B$4,10,28)-$N158)/365.25*Assumptions!$B$18*BS158,(Assumptions!$B$20*Assumptions!$B$18+((DATE(Assumptions!$B$4,10,28)-$N158)/365.25-Assumptions!$B$20)*Assumptions!$B$19)*BS158),0)</f>
        <v>0</v>
      </c>
      <c r="BU158" s="249">
        <f>IF(BR158&gt;0,IF($M158="Saudi",MIN(BR158+$Q158*$V158,Assumptions!$B$14)*Assumptions!$B$12,MIN(BR158+$Q158*$V158,Assumptions!$B$14)*Assumptions!$B$13),0)</f>
        <v>0</v>
      </c>
      <c r="BV158" s="249">
        <f>IF(AND(BR158&gt;0,$M158="Non-Saudi"),Assumptions!$B$25,0)</f>
        <v>0</v>
      </c>
      <c r="BW158" s="249">
        <f>IF(AND($D158="Contrat Local",$N158&lt;&gt;""),IF(AND(11&gt;=Assumptions!$B$5,ISNUMBER($X158),$N158&lt;EDATE(Assumptions!$B$9,-Assumptions!$B$6*12)),($P158+$X158)*$V158,$P158*$V158),0)</f>
        <v>0</v>
      </c>
      <c r="BX158" s="249">
        <f t="shared" si="71"/>
        <v>0</v>
      </c>
      <c r="BY158" s="249">
        <f>IF(AND(BX158&gt;0,$N158&lt;&gt;""),IF((DATE(Assumptions!$B$4,11,28)-$N158)/365.25&lt;=Assumptions!$B$20,(DATE(Assumptions!$B$4,11,28)-$N158)/365.25*Assumptions!$B$18*BX158,(Assumptions!$B$20*Assumptions!$B$18+((DATE(Assumptions!$B$4,11,28)-$N158)/365.25-Assumptions!$B$20)*Assumptions!$B$19)*BX158),0)</f>
        <v>0</v>
      </c>
      <c r="BZ158" s="249">
        <f>IF(BW158&gt;0,IF($M158="Saudi",MIN(BW158+$Q158*$V158,Assumptions!$B$14)*Assumptions!$B$12,MIN(BW158+$Q158*$V158,Assumptions!$B$14)*Assumptions!$B$13),0)</f>
        <v>0</v>
      </c>
      <c r="CA158" s="249">
        <f>IF(AND(BW158&gt;0,$M158="Non-Saudi"),Assumptions!$B$25,0)</f>
        <v>0</v>
      </c>
      <c r="CB158" s="249">
        <f>IF(AND($D158="Contrat Local",$N158&lt;&gt;""),IF(AND(12&gt;=Assumptions!$B$5,ISNUMBER($X158),$N158&lt;EDATE(Assumptions!$B$9,-Assumptions!$B$6*12)),($P158+$X158)*$V158,$P158*$V158),0)</f>
        <v>0</v>
      </c>
      <c r="CC158" s="249">
        <f t="shared" si="72"/>
        <v>0</v>
      </c>
      <c r="CD158" s="249">
        <f>IF(AND(CC158&gt;0,$N158&lt;&gt;""),IF((DATE(Assumptions!$B$4,12,28)-$N158)/365.25&lt;=Assumptions!$B$20,(DATE(Assumptions!$B$4,12,28)-$N158)/365.25*Assumptions!$B$18*CC158,(Assumptions!$B$20*Assumptions!$B$18+((DATE(Assumptions!$B$4,12,28)-$N158)/365.25-Assumptions!$B$20)*Assumptions!$B$19)*CC158),0)</f>
        <v>0</v>
      </c>
      <c r="CE158" s="249">
        <f>IF(CB158&gt;0,IF($M158="Saudi",MIN(CB158+$Q158*$V158,Assumptions!$B$14)*Assumptions!$B$12,MIN(CB158+$Q158*$V158,Assumptions!$B$14)*Assumptions!$B$13),0)</f>
        <v>0</v>
      </c>
      <c r="CF158" s="249">
        <f>IF(AND(CB158&gt;0,$M158="Non-Saudi"),Assumptions!$B$25,0)</f>
        <v>0</v>
      </c>
      <c r="CG158" s="249">
        <f t="shared" si="73"/>
        <v>0</v>
      </c>
      <c r="CH158" s="249">
        <f t="shared" si="74"/>
        <v>0</v>
      </c>
      <c r="CI158" s="249">
        <f>CD158-IF(AND(Z158&gt;0,$N158&lt;&gt;""),IF((DATE(Assumptions!$B$4-1,12,28)-$N158)/365.25&lt;=Assumptions!$B$20,(DATE(Assumptions!$B$4-1,12,28)-$N158)/365.25*Assumptions!$B$18*Z158,(Assumptions!$B$20*Assumptions!$B$18+((DATE(Assumptions!$B$4-1,12,28)-$N158)/365.25-Assumptions!$B$20)*Assumptions!$B$19)*Z158),0)</f>
        <v>0</v>
      </c>
      <c r="CJ158" s="249">
        <f t="shared" si="75"/>
        <v>0</v>
      </c>
      <c r="CK158" s="249">
        <f t="shared" si="76"/>
        <v>0</v>
      </c>
    </row>
    <row r="159" spans="1:89" x14ac:dyDescent="0.2">
      <c r="A159" s="264">
        <v>162</v>
      </c>
      <c r="B159" s="265" t="s">
        <v>773</v>
      </c>
      <c r="C159" s="265" t="s">
        <v>774</v>
      </c>
      <c r="D159" s="265" t="s">
        <v>250</v>
      </c>
      <c r="E159" s="265" t="s">
        <v>767</v>
      </c>
      <c r="F159" s="265" t="s">
        <v>775</v>
      </c>
      <c r="G159" s="265" t="s">
        <v>252</v>
      </c>
      <c r="H159" s="265" t="s">
        <v>776</v>
      </c>
      <c r="I159" s="284" t="s">
        <v>690</v>
      </c>
      <c r="J159" s="265"/>
      <c r="K159" s="265"/>
      <c r="L159" s="265" t="s">
        <v>255</v>
      </c>
      <c r="M159" s="265" t="s">
        <v>772</v>
      </c>
      <c r="N159" s="266"/>
      <c r="O159" s="267"/>
      <c r="P159" s="268">
        <f>U159-Q159-R159</f>
        <v>7500</v>
      </c>
      <c r="Q159" s="268">
        <v>2500</v>
      </c>
      <c r="R159" s="268">
        <v>500</v>
      </c>
      <c r="S159" s="268"/>
      <c r="T159" s="268"/>
      <c r="U159" s="268">
        <v>10500</v>
      </c>
      <c r="V159" s="269">
        <v>1</v>
      </c>
      <c r="W159" s="265" t="s">
        <v>256</v>
      </c>
      <c r="X159" s="265"/>
      <c r="Y159" s="249">
        <f t="shared" si="53"/>
        <v>0</v>
      </c>
      <c r="Z159" s="249">
        <f t="shared" si="54"/>
        <v>0</v>
      </c>
      <c r="AA159" s="249">
        <f>IF(AND(Z159&gt;0,$N159&lt;&gt;""),IF((DATE(Assumptions!$B$4,1,28)-$N159)/365.25&lt;=Assumptions!$B$20,(DATE(Assumptions!$B$4,1,28)-$N159)/365.25*Assumptions!$B$18*Z159,(Assumptions!$B$20*Assumptions!$B$18+((DATE(Assumptions!$B$4,1,28)-$N159)/365.25-Assumptions!$B$20)*Assumptions!$B$19)*Z159),0)</f>
        <v>0</v>
      </c>
      <c r="AB159" s="249">
        <f>IF(Y159&gt;0,IF($M159="Saudi",MIN(Y159+$Q159*$V159,Assumptions!$B$14)*Assumptions!$B$12,MIN(Y159+$Q159*$V159,Assumptions!$B$14)*Assumptions!$B$13),0)</f>
        <v>0</v>
      </c>
      <c r="AC159" s="249">
        <f>IF(AND(Y159&gt;0,$M159="Non-Saudi"),Assumptions!$B$25,0)</f>
        <v>0</v>
      </c>
      <c r="AD159" s="249">
        <f t="shared" si="55"/>
        <v>0</v>
      </c>
      <c r="AE159" s="249">
        <f t="shared" si="56"/>
        <v>0</v>
      </c>
      <c r="AF159" s="249">
        <f>IF(AND(AE159&gt;0,$N159&lt;&gt;""),IF((DATE(Assumptions!$B$4,2,28)-$N159)/365.25&lt;=Assumptions!$B$20,(DATE(Assumptions!$B$4,2,28)-$N159)/365.25*Assumptions!$B$18*AE159,(Assumptions!$B$20*Assumptions!$B$18+((DATE(Assumptions!$B$4,2,28)-$N159)/365.25-Assumptions!$B$20)*Assumptions!$B$19)*AE159),0)</f>
        <v>0</v>
      </c>
      <c r="AG159" s="249">
        <f>IF(AD159&gt;0,IF($M159="Saudi",MIN(AD159+$Q159*$V159,Assumptions!$B$14)*Assumptions!$B$12,MIN(AD159+$Q159*$V159,Assumptions!$B$14)*Assumptions!$B$13),0)</f>
        <v>0</v>
      </c>
      <c r="AH159" s="249">
        <f>IF(AND(AD159&gt;0,$M159="Non-Saudi"),Assumptions!$B$25,0)</f>
        <v>0</v>
      </c>
      <c r="AI159" s="249">
        <f t="shared" si="57"/>
        <v>0</v>
      </c>
      <c r="AJ159" s="249">
        <f t="shared" si="58"/>
        <v>0</v>
      </c>
      <c r="AK159" s="249">
        <f>IF(AND(AJ159&gt;0,$N159&lt;&gt;""),IF((DATE(Assumptions!$B$4,3,28)-$N159)/365.25&lt;=Assumptions!$B$20,(DATE(Assumptions!$B$4,3,28)-$N159)/365.25*Assumptions!$B$18*AJ159,(Assumptions!$B$20*Assumptions!$B$18+((DATE(Assumptions!$B$4,3,28)-$N159)/365.25-Assumptions!$B$20)*Assumptions!$B$19)*AJ159),0)</f>
        <v>0</v>
      </c>
      <c r="AL159" s="249">
        <f>IF(AI159&gt;0,IF($M159="Saudi",MIN(AI159+$Q159*$V159,Assumptions!$B$14)*Assumptions!$B$12,MIN(AI159+$Q159*$V159,Assumptions!$B$14)*Assumptions!$B$13),0)</f>
        <v>0</v>
      </c>
      <c r="AM159" s="249">
        <f>IF(AND(AI159&gt;0,$M159="Non-Saudi"),Assumptions!$B$25,0)</f>
        <v>0</v>
      </c>
      <c r="AN159" s="249">
        <f t="shared" si="59"/>
        <v>0</v>
      </c>
      <c r="AO159" s="249">
        <f t="shared" si="60"/>
        <v>0</v>
      </c>
      <c r="AP159" s="249">
        <f>IF(AND(AO159&gt;0,$N159&lt;&gt;""),IF((DATE(Assumptions!$B$4,4,28)-$N159)/365.25&lt;=Assumptions!$B$20,(DATE(Assumptions!$B$4,4,28)-$N159)/365.25*Assumptions!$B$18*AO159,(Assumptions!$B$20*Assumptions!$B$18+((DATE(Assumptions!$B$4,4,28)-$N159)/365.25-Assumptions!$B$20)*Assumptions!$B$19)*AO159),0)</f>
        <v>0</v>
      </c>
      <c r="AQ159" s="249">
        <f>IF(AN159&gt;0,IF($M159="Saudi",MIN(AN159+$Q159*$V159,Assumptions!$B$14)*Assumptions!$B$12,MIN(AN159+$Q159*$V159,Assumptions!$B$14)*Assumptions!$B$13),0)</f>
        <v>0</v>
      </c>
      <c r="AR159" s="249">
        <f>IF(AND(AN159&gt;0,$M159="Non-Saudi"),Assumptions!$B$25,0)</f>
        <v>0</v>
      </c>
      <c r="AS159" s="249">
        <f t="shared" si="61"/>
        <v>0</v>
      </c>
      <c r="AT159" s="249">
        <f t="shared" si="62"/>
        <v>0</v>
      </c>
      <c r="AU159" s="249">
        <f>IF(AND(AT159&gt;0,$N159&lt;&gt;""),IF((DATE(Assumptions!$B$4,5,28)-$N159)/365.25&lt;=Assumptions!$B$20,(DATE(Assumptions!$B$4,5,28)-$N159)/365.25*Assumptions!$B$18*AT159,(Assumptions!$B$20*Assumptions!$B$18+((DATE(Assumptions!$B$4,5,28)-$N159)/365.25-Assumptions!$B$20)*Assumptions!$B$19)*AT159),0)</f>
        <v>0</v>
      </c>
      <c r="AV159" s="249">
        <f>IF(AS159&gt;0,IF($M159="Saudi",MIN(AS159+$Q159*$V159,Assumptions!$B$14)*Assumptions!$B$12,MIN(AS159+$Q159*$V159,Assumptions!$B$14)*Assumptions!$B$13),0)</f>
        <v>0</v>
      </c>
      <c r="AW159" s="249">
        <f>IF(AND(AS159&gt;0,$M159="Non-Saudi"),Assumptions!$B$25,0)</f>
        <v>0</v>
      </c>
      <c r="AX159" s="249">
        <f t="shared" si="63"/>
        <v>0</v>
      </c>
      <c r="AY159" s="249">
        <f t="shared" si="64"/>
        <v>0</v>
      </c>
      <c r="AZ159" s="249">
        <f>IF(AND(AY159&gt;0,$N159&lt;&gt;""),IF((DATE(Assumptions!$B$4,6,28)-$N159)/365.25&lt;=Assumptions!$B$20,(DATE(Assumptions!$B$4,6,28)-$N159)/365.25*Assumptions!$B$18*AY159,(Assumptions!$B$20*Assumptions!$B$18+((DATE(Assumptions!$B$4,6,28)-$N159)/365.25-Assumptions!$B$20)*Assumptions!$B$19)*AY159),0)</f>
        <v>0</v>
      </c>
      <c r="BA159" s="249">
        <f>IF(AX159&gt;0,IF($M159="Saudi",MIN(AX159+$Q159*$V159,Assumptions!$B$14)*Assumptions!$B$12,MIN(AX159+$Q159*$V159,Assumptions!$B$14)*Assumptions!$B$13),0)</f>
        <v>0</v>
      </c>
      <c r="BB159" s="249">
        <f>IF(AND(AX159&gt;0,$M159="Non-Saudi"),Assumptions!$B$25,0)</f>
        <v>0</v>
      </c>
      <c r="BC159" s="249">
        <f t="shared" si="65"/>
        <v>0</v>
      </c>
      <c r="BD159" s="249">
        <f t="shared" si="66"/>
        <v>0</v>
      </c>
      <c r="BE159" s="249">
        <f>IF(AND(BD159&gt;0,$N159&lt;&gt;""),IF((DATE(Assumptions!$B$4,7,28)-$N159)/365.25&lt;=Assumptions!$B$20,(DATE(Assumptions!$B$4,7,28)-$N159)/365.25*Assumptions!$B$18*BD159,(Assumptions!$B$20*Assumptions!$B$18+((DATE(Assumptions!$B$4,7,28)-$N159)/365.25-Assumptions!$B$20)*Assumptions!$B$19)*BD159),0)</f>
        <v>0</v>
      </c>
      <c r="BF159" s="249">
        <f>IF(BC159&gt;0,IF($M159="Saudi",MIN(BC159+$Q159*$V159,Assumptions!$B$14)*Assumptions!$B$12,MIN(BC159+$Q159*$V159,Assumptions!$B$14)*Assumptions!$B$13),0)</f>
        <v>0</v>
      </c>
      <c r="BG159" s="249">
        <f>IF(AND(BC159&gt;0,$M159="Non-Saudi"),Assumptions!$B$25,0)</f>
        <v>0</v>
      </c>
      <c r="BH159" s="249">
        <f t="shared" si="67"/>
        <v>0</v>
      </c>
      <c r="BI159" s="249">
        <f t="shared" si="68"/>
        <v>0</v>
      </c>
      <c r="BJ159" s="249">
        <f>IF(AND(BI159&gt;0,$N159&lt;&gt;""),IF((DATE(Assumptions!$B$4,8,28)-$N159)/365.25&lt;=Assumptions!$B$20,(DATE(Assumptions!$B$4,8,28)-$N159)/365.25*Assumptions!$B$18*BI159,(Assumptions!$B$20*Assumptions!$B$18+((DATE(Assumptions!$B$4,8,28)-$N159)/365.25-Assumptions!$B$20)*Assumptions!$B$19)*BI159),0)</f>
        <v>0</v>
      </c>
      <c r="BK159" s="249">
        <f>IF(BH159&gt;0,IF($M159="Saudi",MIN(BH159+$Q159*$V159,Assumptions!$B$14)*Assumptions!$B$12,MIN(BH159+$Q159*$V159,Assumptions!$B$14)*Assumptions!$B$13),0)</f>
        <v>0</v>
      </c>
      <c r="BL159" s="249">
        <f>IF(AND(BH159&gt;0,$M159="Non-Saudi"),Assumptions!$B$25,0)</f>
        <v>0</v>
      </c>
      <c r="BM159" s="249">
        <f>IF(AND($D159="Contrat Local",$N159&lt;&gt;""),IF(AND(9&gt;=Assumptions!$B$5,ISNUMBER($X159),$N159&lt;EDATE(Assumptions!$B$9,-Assumptions!$B$6*12)),($P159+$X159)*$V159,$P159*$V159),0)</f>
        <v>0</v>
      </c>
      <c r="BN159" s="249">
        <f t="shared" si="69"/>
        <v>0</v>
      </c>
      <c r="BO159" s="249">
        <f>IF(AND(BN159&gt;0,$N159&lt;&gt;""),IF((DATE(Assumptions!$B$4,9,28)-$N159)/365.25&lt;=Assumptions!$B$20,(DATE(Assumptions!$B$4,9,28)-$N159)/365.25*Assumptions!$B$18*BN159,(Assumptions!$B$20*Assumptions!$B$18+((DATE(Assumptions!$B$4,9,28)-$N159)/365.25-Assumptions!$B$20)*Assumptions!$B$19)*BN159),0)</f>
        <v>0</v>
      </c>
      <c r="BP159" s="249">
        <f>IF(BM159&gt;0,IF($M159="Saudi",MIN(BM159+$Q159*$V159,Assumptions!$B$14)*Assumptions!$B$12,MIN(BM159+$Q159*$V159,Assumptions!$B$14)*Assumptions!$B$13),0)</f>
        <v>0</v>
      </c>
      <c r="BQ159" s="249">
        <f>IF(AND(BM159&gt;0,$M159="Non-Saudi"),Assumptions!$B$25,0)</f>
        <v>0</v>
      </c>
      <c r="BR159" s="249">
        <f>IF(AND($D159="Contrat Local",$N159&lt;&gt;""),IF(AND(10&gt;=Assumptions!$B$5,ISNUMBER($X159),$N159&lt;EDATE(Assumptions!$B$9,-Assumptions!$B$6*12)),($P159+$X159)*$V159,$P159*$V159),0)</f>
        <v>0</v>
      </c>
      <c r="BS159" s="249">
        <f t="shared" si="70"/>
        <v>0</v>
      </c>
      <c r="BT159" s="249">
        <f>IF(AND(BS159&gt;0,$N159&lt;&gt;""),IF((DATE(Assumptions!$B$4,10,28)-$N159)/365.25&lt;=Assumptions!$B$20,(DATE(Assumptions!$B$4,10,28)-$N159)/365.25*Assumptions!$B$18*BS159,(Assumptions!$B$20*Assumptions!$B$18+((DATE(Assumptions!$B$4,10,28)-$N159)/365.25-Assumptions!$B$20)*Assumptions!$B$19)*BS159),0)</f>
        <v>0</v>
      </c>
      <c r="BU159" s="249">
        <f>IF(BR159&gt;0,IF($M159="Saudi",MIN(BR159+$Q159*$V159,Assumptions!$B$14)*Assumptions!$B$12,MIN(BR159+$Q159*$V159,Assumptions!$B$14)*Assumptions!$B$13),0)</f>
        <v>0</v>
      </c>
      <c r="BV159" s="249">
        <f>IF(AND(BR159&gt;0,$M159="Non-Saudi"),Assumptions!$B$25,0)</f>
        <v>0</v>
      </c>
      <c r="BW159" s="249">
        <f>IF(AND($D159="Contrat Local",$N159&lt;&gt;""),IF(AND(11&gt;=Assumptions!$B$5,ISNUMBER($X159),$N159&lt;EDATE(Assumptions!$B$9,-Assumptions!$B$6*12)),($P159+$X159)*$V159,$P159*$V159),0)</f>
        <v>0</v>
      </c>
      <c r="BX159" s="249">
        <f t="shared" si="71"/>
        <v>0</v>
      </c>
      <c r="BY159" s="249">
        <f>IF(AND(BX159&gt;0,$N159&lt;&gt;""),IF((DATE(Assumptions!$B$4,11,28)-$N159)/365.25&lt;=Assumptions!$B$20,(DATE(Assumptions!$B$4,11,28)-$N159)/365.25*Assumptions!$B$18*BX159,(Assumptions!$B$20*Assumptions!$B$18+((DATE(Assumptions!$B$4,11,28)-$N159)/365.25-Assumptions!$B$20)*Assumptions!$B$19)*BX159),0)</f>
        <v>0</v>
      </c>
      <c r="BZ159" s="249">
        <f>IF(BW159&gt;0,IF($M159="Saudi",MIN(BW159+$Q159*$V159,Assumptions!$B$14)*Assumptions!$B$12,MIN(BW159+$Q159*$V159,Assumptions!$B$14)*Assumptions!$B$13),0)</f>
        <v>0</v>
      </c>
      <c r="CA159" s="249">
        <f>IF(AND(BW159&gt;0,$M159="Non-Saudi"),Assumptions!$B$25,0)</f>
        <v>0</v>
      </c>
      <c r="CB159" s="249">
        <f>IF(AND($D159="Contrat Local",$N159&lt;&gt;""),IF(AND(12&gt;=Assumptions!$B$5,ISNUMBER($X159),$N159&lt;EDATE(Assumptions!$B$9,-Assumptions!$B$6*12)),($P159+$X159)*$V159,$P159*$V159),0)</f>
        <v>0</v>
      </c>
      <c r="CC159" s="249">
        <f t="shared" si="72"/>
        <v>0</v>
      </c>
      <c r="CD159" s="249">
        <f>IF(AND(CC159&gt;0,$N159&lt;&gt;""),IF((DATE(Assumptions!$B$4,12,28)-$N159)/365.25&lt;=Assumptions!$B$20,(DATE(Assumptions!$B$4,12,28)-$N159)/365.25*Assumptions!$B$18*CC159,(Assumptions!$B$20*Assumptions!$B$18+((DATE(Assumptions!$B$4,12,28)-$N159)/365.25-Assumptions!$B$20)*Assumptions!$B$19)*CC159),0)</f>
        <v>0</v>
      </c>
      <c r="CE159" s="249">
        <f>IF(CB159&gt;0,IF($M159="Saudi",MIN(CB159+$Q159*$V159,Assumptions!$B$14)*Assumptions!$B$12,MIN(CB159+$Q159*$V159,Assumptions!$B$14)*Assumptions!$B$13),0)</f>
        <v>0</v>
      </c>
      <c r="CF159" s="249">
        <f>IF(AND(CB159&gt;0,$M159="Non-Saudi"),Assumptions!$B$25,0)</f>
        <v>0</v>
      </c>
      <c r="CG159" s="249">
        <f t="shared" si="73"/>
        <v>0</v>
      </c>
      <c r="CH159" s="249">
        <f t="shared" si="74"/>
        <v>0</v>
      </c>
      <c r="CI159" s="249">
        <f>CD159-IF(AND(Z159&gt;0,$N159&lt;&gt;""),IF((DATE(Assumptions!$B$4-1,12,28)-$N159)/365.25&lt;=Assumptions!$B$20,(DATE(Assumptions!$B$4-1,12,28)-$N159)/365.25*Assumptions!$B$18*Z159,(Assumptions!$B$20*Assumptions!$B$18+((DATE(Assumptions!$B$4-1,12,28)-$N159)/365.25-Assumptions!$B$20)*Assumptions!$B$19)*Z159),0)</f>
        <v>0</v>
      </c>
      <c r="CJ159" s="249">
        <f t="shared" si="75"/>
        <v>0</v>
      </c>
      <c r="CK159" s="249">
        <f t="shared" si="76"/>
        <v>0</v>
      </c>
    </row>
    <row r="160" spans="1:89" x14ac:dyDescent="0.2">
      <c r="A160" s="264">
        <v>163</v>
      </c>
      <c r="B160" s="265" t="s">
        <v>777</v>
      </c>
      <c r="C160" s="265" t="s">
        <v>778</v>
      </c>
      <c r="D160" s="265" t="s">
        <v>250</v>
      </c>
      <c r="E160" s="265" t="s">
        <v>767</v>
      </c>
      <c r="F160" s="265" t="s">
        <v>302</v>
      </c>
      <c r="G160" s="265" t="s">
        <v>303</v>
      </c>
      <c r="H160" s="265" t="s">
        <v>59</v>
      </c>
      <c r="I160" s="284" t="s">
        <v>691</v>
      </c>
      <c r="J160" s="265" t="s">
        <v>102</v>
      </c>
      <c r="K160" s="265" t="s">
        <v>254</v>
      </c>
      <c r="L160" s="265" t="s">
        <v>255</v>
      </c>
      <c r="M160" s="265" t="s">
        <v>772</v>
      </c>
      <c r="N160" s="266"/>
      <c r="O160" s="267"/>
      <c r="P160" s="268">
        <v>15000</v>
      </c>
      <c r="Q160" s="268">
        <v>2500</v>
      </c>
      <c r="R160" s="268">
        <v>500</v>
      </c>
      <c r="S160" s="268">
        <v>2500</v>
      </c>
      <c r="T160" s="268"/>
      <c r="U160" s="268">
        <v>20500</v>
      </c>
      <c r="V160" s="269">
        <v>1</v>
      </c>
      <c r="W160" s="265" t="s">
        <v>259</v>
      </c>
      <c r="X160" s="265"/>
      <c r="Y160" s="249">
        <f t="shared" si="53"/>
        <v>0</v>
      </c>
      <c r="Z160" s="249">
        <f t="shared" si="54"/>
        <v>0</v>
      </c>
      <c r="AA160" s="249">
        <f>IF(AND(Z160&gt;0,$N160&lt;&gt;""),IF((DATE(Assumptions!$B$4,1,28)-$N160)/365.25&lt;=Assumptions!$B$20,(DATE(Assumptions!$B$4,1,28)-$N160)/365.25*Assumptions!$B$18*Z160,(Assumptions!$B$20*Assumptions!$B$18+((DATE(Assumptions!$B$4,1,28)-$N160)/365.25-Assumptions!$B$20)*Assumptions!$B$19)*Z160),0)</f>
        <v>0</v>
      </c>
      <c r="AB160" s="249">
        <f>IF(Y160&gt;0,IF($M160="Saudi",MIN(Y160+$Q160*$V160,Assumptions!$B$14)*Assumptions!$B$12,MIN(Y160+$Q160*$V160,Assumptions!$B$14)*Assumptions!$B$13),0)</f>
        <v>0</v>
      </c>
      <c r="AC160" s="249">
        <f>IF(AND(Y160&gt;0,$M160="Non-Saudi"),Assumptions!$B$25,0)</f>
        <v>0</v>
      </c>
      <c r="AD160" s="249">
        <f t="shared" si="55"/>
        <v>0</v>
      </c>
      <c r="AE160" s="249">
        <f t="shared" si="56"/>
        <v>0</v>
      </c>
      <c r="AF160" s="249">
        <f>IF(AND(AE160&gt;0,$N160&lt;&gt;""),IF((DATE(Assumptions!$B$4,2,28)-$N160)/365.25&lt;=Assumptions!$B$20,(DATE(Assumptions!$B$4,2,28)-$N160)/365.25*Assumptions!$B$18*AE160,(Assumptions!$B$20*Assumptions!$B$18+((DATE(Assumptions!$B$4,2,28)-$N160)/365.25-Assumptions!$B$20)*Assumptions!$B$19)*AE160),0)</f>
        <v>0</v>
      </c>
      <c r="AG160" s="249">
        <f>IF(AD160&gt;0,IF($M160="Saudi",MIN(AD160+$Q160*$V160,Assumptions!$B$14)*Assumptions!$B$12,MIN(AD160+$Q160*$V160,Assumptions!$B$14)*Assumptions!$B$13),0)</f>
        <v>0</v>
      </c>
      <c r="AH160" s="249">
        <f>IF(AND(AD160&gt;0,$M160="Non-Saudi"),Assumptions!$B$25,0)</f>
        <v>0</v>
      </c>
      <c r="AI160" s="249">
        <f t="shared" si="57"/>
        <v>0</v>
      </c>
      <c r="AJ160" s="249">
        <f t="shared" si="58"/>
        <v>0</v>
      </c>
      <c r="AK160" s="249">
        <f>IF(AND(AJ160&gt;0,$N160&lt;&gt;""),IF((DATE(Assumptions!$B$4,3,28)-$N160)/365.25&lt;=Assumptions!$B$20,(DATE(Assumptions!$B$4,3,28)-$N160)/365.25*Assumptions!$B$18*AJ160,(Assumptions!$B$20*Assumptions!$B$18+((DATE(Assumptions!$B$4,3,28)-$N160)/365.25-Assumptions!$B$20)*Assumptions!$B$19)*AJ160),0)</f>
        <v>0</v>
      </c>
      <c r="AL160" s="249">
        <f>IF(AI160&gt;0,IF($M160="Saudi",MIN(AI160+$Q160*$V160,Assumptions!$B$14)*Assumptions!$B$12,MIN(AI160+$Q160*$V160,Assumptions!$B$14)*Assumptions!$B$13),0)</f>
        <v>0</v>
      </c>
      <c r="AM160" s="249">
        <f>IF(AND(AI160&gt;0,$M160="Non-Saudi"),Assumptions!$B$25,0)</f>
        <v>0</v>
      </c>
      <c r="AN160" s="249">
        <f t="shared" si="59"/>
        <v>0</v>
      </c>
      <c r="AO160" s="249">
        <f t="shared" si="60"/>
        <v>0</v>
      </c>
      <c r="AP160" s="249">
        <f>IF(AND(AO160&gt;0,$N160&lt;&gt;""),IF((DATE(Assumptions!$B$4,4,28)-$N160)/365.25&lt;=Assumptions!$B$20,(DATE(Assumptions!$B$4,4,28)-$N160)/365.25*Assumptions!$B$18*AO160,(Assumptions!$B$20*Assumptions!$B$18+((DATE(Assumptions!$B$4,4,28)-$N160)/365.25-Assumptions!$B$20)*Assumptions!$B$19)*AO160),0)</f>
        <v>0</v>
      </c>
      <c r="AQ160" s="249">
        <f>IF(AN160&gt;0,IF($M160="Saudi",MIN(AN160+$Q160*$V160,Assumptions!$B$14)*Assumptions!$B$12,MIN(AN160+$Q160*$V160,Assumptions!$B$14)*Assumptions!$B$13),0)</f>
        <v>0</v>
      </c>
      <c r="AR160" s="249">
        <f>IF(AND(AN160&gt;0,$M160="Non-Saudi"),Assumptions!$B$25,0)</f>
        <v>0</v>
      </c>
      <c r="AS160" s="249">
        <f t="shared" si="61"/>
        <v>0</v>
      </c>
      <c r="AT160" s="249">
        <f t="shared" si="62"/>
        <v>0</v>
      </c>
      <c r="AU160" s="249">
        <f>IF(AND(AT160&gt;0,$N160&lt;&gt;""),IF((DATE(Assumptions!$B$4,5,28)-$N160)/365.25&lt;=Assumptions!$B$20,(DATE(Assumptions!$B$4,5,28)-$N160)/365.25*Assumptions!$B$18*AT160,(Assumptions!$B$20*Assumptions!$B$18+((DATE(Assumptions!$B$4,5,28)-$N160)/365.25-Assumptions!$B$20)*Assumptions!$B$19)*AT160),0)</f>
        <v>0</v>
      </c>
      <c r="AV160" s="249">
        <f>IF(AS160&gt;0,IF($M160="Saudi",MIN(AS160+$Q160*$V160,Assumptions!$B$14)*Assumptions!$B$12,MIN(AS160+$Q160*$V160,Assumptions!$B$14)*Assumptions!$B$13),0)</f>
        <v>0</v>
      </c>
      <c r="AW160" s="249">
        <f>IF(AND(AS160&gt;0,$M160="Non-Saudi"),Assumptions!$B$25,0)</f>
        <v>0</v>
      </c>
      <c r="AX160" s="249">
        <f t="shared" si="63"/>
        <v>0</v>
      </c>
      <c r="AY160" s="249">
        <f t="shared" si="64"/>
        <v>0</v>
      </c>
      <c r="AZ160" s="249">
        <f>IF(AND(AY160&gt;0,$N160&lt;&gt;""),IF((DATE(Assumptions!$B$4,6,28)-$N160)/365.25&lt;=Assumptions!$B$20,(DATE(Assumptions!$B$4,6,28)-$N160)/365.25*Assumptions!$B$18*AY160,(Assumptions!$B$20*Assumptions!$B$18+((DATE(Assumptions!$B$4,6,28)-$N160)/365.25-Assumptions!$B$20)*Assumptions!$B$19)*AY160),0)</f>
        <v>0</v>
      </c>
      <c r="BA160" s="249">
        <f>IF(AX160&gt;0,IF($M160="Saudi",MIN(AX160+$Q160*$V160,Assumptions!$B$14)*Assumptions!$B$12,MIN(AX160+$Q160*$V160,Assumptions!$B$14)*Assumptions!$B$13),0)</f>
        <v>0</v>
      </c>
      <c r="BB160" s="249">
        <f>IF(AND(AX160&gt;0,$M160="Non-Saudi"),Assumptions!$B$25,0)</f>
        <v>0</v>
      </c>
      <c r="BC160" s="249">
        <f t="shared" si="65"/>
        <v>0</v>
      </c>
      <c r="BD160" s="249">
        <f t="shared" si="66"/>
        <v>0</v>
      </c>
      <c r="BE160" s="249">
        <f>IF(AND(BD160&gt;0,$N160&lt;&gt;""),IF((DATE(Assumptions!$B$4,7,28)-$N160)/365.25&lt;=Assumptions!$B$20,(DATE(Assumptions!$B$4,7,28)-$N160)/365.25*Assumptions!$B$18*BD160,(Assumptions!$B$20*Assumptions!$B$18+((DATE(Assumptions!$B$4,7,28)-$N160)/365.25-Assumptions!$B$20)*Assumptions!$B$19)*BD160),0)</f>
        <v>0</v>
      </c>
      <c r="BF160" s="249">
        <f>IF(BC160&gt;0,IF($M160="Saudi",MIN(BC160+$Q160*$V160,Assumptions!$B$14)*Assumptions!$B$12,MIN(BC160+$Q160*$V160,Assumptions!$B$14)*Assumptions!$B$13),0)</f>
        <v>0</v>
      </c>
      <c r="BG160" s="249">
        <f>IF(AND(BC160&gt;0,$M160="Non-Saudi"),Assumptions!$B$25,0)</f>
        <v>0</v>
      </c>
      <c r="BH160" s="249">
        <f t="shared" si="67"/>
        <v>0</v>
      </c>
      <c r="BI160" s="249">
        <f t="shared" si="68"/>
        <v>0</v>
      </c>
      <c r="BJ160" s="249">
        <f>IF(AND(BI160&gt;0,$N160&lt;&gt;""),IF((DATE(Assumptions!$B$4,8,28)-$N160)/365.25&lt;=Assumptions!$B$20,(DATE(Assumptions!$B$4,8,28)-$N160)/365.25*Assumptions!$B$18*BI160,(Assumptions!$B$20*Assumptions!$B$18+((DATE(Assumptions!$B$4,8,28)-$N160)/365.25-Assumptions!$B$20)*Assumptions!$B$19)*BI160),0)</f>
        <v>0</v>
      </c>
      <c r="BK160" s="249">
        <f>IF(BH160&gt;0,IF($M160="Saudi",MIN(BH160+$Q160*$V160,Assumptions!$B$14)*Assumptions!$B$12,MIN(BH160+$Q160*$V160,Assumptions!$B$14)*Assumptions!$B$13),0)</f>
        <v>0</v>
      </c>
      <c r="BL160" s="249">
        <f>IF(AND(BH160&gt;0,$M160="Non-Saudi"),Assumptions!$B$25,0)</f>
        <v>0</v>
      </c>
      <c r="BM160" s="249">
        <f>IF(AND($D160="Contrat Local",$N160&lt;&gt;""),IF(AND(9&gt;=Assumptions!$B$5,ISNUMBER($X160),$N160&lt;EDATE(Assumptions!$B$9,-Assumptions!$B$6*12)),($P160+$X160)*$V160,$P160*$V160),0)</f>
        <v>0</v>
      </c>
      <c r="BN160" s="249">
        <f t="shared" si="69"/>
        <v>0</v>
      </c>
      <c r="BO160" s="249">
        <f>IF(AND(BN160&gt;0,$N160&lt;&gt;""),IF((DATE(Assumptions!$B$4,9,28)-$N160)/365.25&lt;=Assumptions!$B$20,(DATE(Assumptions!$B$4,9,28)-$N160)/365.25*Assumptions!$B$18*BN160,(Assumptions!$B$20*Assumptions!$B$18+((DATE(Assumptions!$B$4,9,28)-$N160)/365.25-Assumptions!$B$20)*Assumptions!$B$19)*BN160),0)</f>
        <v>0</v>
      </c>
      <c r="BP160" s="249">
        <f>IF(BM160&gt;0,IF($M160="Saudi",MIN(BM160+$Q160*$V160,Assumptions!$B$14)*Assumptions!$B$12,MIN(BM160+$Q160*$V160,Assumptions!$B$14)*Assumptions!$B$13),0)</f>
        <v>0</v>
      </c>
      <c r="BQ160" s="249">
        <f>IF(AND(BM160&gt;0,$M160="Non-Saudi"),Assumptions!$B$25,0)</f>
        <v>0</v>
      </c>
      <c r="BR160" s="249">
        <f>IF(AND($D160="Contrat Local",$N160&lt;&gt;""),IF(AND(10&gt;=Assumptions!$B$5,ISNUMBER($X160),$N160&lt;EDATE(Assumptions!$B$9,-Assumptions!$B$6*12)),($P160+$X160)*$V160,$P160*$V160),0)</f>
        <v>0</v>
      </c>
      <c r="BS160" s="249">
        <f t="shared" si="70"/>
        <v>0</v>
      </c>
      <c r="BT160" s="249">
        <f>IF(AND(BS160&gt;0,$N160&lt;&gt;""),IF((DATE(Assumptions!$B$4,10,28)-$N160)/365.25&lt;=Assumptions!$B$20,(DATE(Assumptions!$B$4,10,28)-$N160)/365.25*Assumptions!$B$18*BS160,(Assumptions!$B$20*Assumptions!$B$18+((DATE(Assumptions!$B$4,10,28)-$N160)/365.25-Assumptions!$B$20)*Assumptions!$B$19)*BS160),0)</f>
        <v>0</v>
      </c>
      <c r="BU160" s="249">
        <f>IF(BR160&gt;0,IF($M160="Saudi",MIN(BR160+$Q160*$V160,Assumptions!$B$14)*Assumptions!$B$12,MIN(BR160+$Q160*$V160,Assumptions!$B$14)*Assumptions!$B$13),0)</f>
        <v>0</v>
      </c>
      <c r="BV160" s="249">
        <f>IF(AND(BR160&gt;0,$M160="Non-Saudi"),Assumptions!$B$25,0)</f>
        <v>0</v>
      </c>
      <c r="BW160" s="249">
        <f>IF(AND($D160="Contrat Local",$N160&lt;&gt;""),IF(AND(11&gt;=Assumptions!$B$5,ISNUMBER($X160),$N160&lt;EDATE(Assumptions!$B$9,-Assumptions!$B$6*12)),($P160+$X160)*$V160,$P160*$V160),0)</f>
        <v>0</v>
      </c>
      <c r="BX160" s="249">
        <f t="shared" si="71"/>
        <v>0</v>
      </c>
      <c r="BY160" s="249">
        <f>IF(AND(BX160&gt;0,$N160&lt;&gt;""),IF((DATE(Assumptions!$B$4,11,28)-$N160)/365.25&lt;=Assumptions!$B$20,(DATE(Assumptions!$B$4,11,28)-$N160)/365.25*Assumptions!$B$18*BX160,(Assumptions!$B$20*Assumptions!$B$18+((DATE(Assumptions!$B$4,11,28)-$N160)/365.25-Assumptions!$B$20)*Assumptions!$B$19)*BX160),0)</f>
        <v>0</v>
      </c>
      <c r="BZ160" s="249">
        <f>IF(BW160&gt;0,IF($M160="Saudi",MIN(BW160+$Q160*$V160,Assumptions!$B$14)*Assumptions!$B$12,MIN(BW160+$Q160*$V160,Assumptions!$B$14)*Assumptions!$B$13),0)</f>
        <v>0</v>
      </c>
      <c r="CA160" s="249">
        <f>IF(AND(BW160&gt;0,$M160="Non-Saudi"),Assumptions!$B$25,0)</f>
        <v>0</v>
      </c>
      <c r="CB160" s="249">
        <f>IF(AND($D160="Contrat Local",$N160&lt;&gt;""),IF(AND(12&gt;=Assumptions!$B$5,ISNUMBER($X160),$N160&lt;EDATE(Assumptions!$B$9,-Assumptions!$B$6*12)),($P160+$X160)*$V160,$P160*$V160),0)</f>
        <v>0</v>
      </c>
      <c r="CC160" s="249">
        <f t="shared" si="72"/>
        <v>0</v>
      </c>
      <c r="CD160" s="249">
        <f>IF(AND(CC160&gt;0,$N160&lt;&gt;""),IF((DATE(Assumptions!$B$4,12,28)-$N160)/365.25&lt;=Assumptions!$B$20,(DATE(Assumptions!$B$4,12,28)-$N160)/365.25*Assumptions!$B$18*CC160,(Assumptions!$B$20*Assumptions!$B$18+((DATE(Assumptions!$B$4,12,28)-$N160)/365.25-Assumptions!$B$20)*Assumptions!$B$19)*CC160),0)</f>
        <v>0</v>
      </c>
      <c r="CE160" s="249">
        <f>IF(CB160&gt;0,IF($M160="Saudi",MIN(CB160+$Q160*$V160,Assumptions!$B$14)*Assumptions!$B$12,MIN(CB160+$Q160*$V160,Assumptions!$B$14)*Assumptions!$B$13),0)</f>
        <v>0</v>
      </c>
      <c r="CF160" s="249">
        <f>IF(AND(CB160&gt;0,$M160="Non-Saudi"),Assumptions!$B$25,0)</f>
        <v>0</v>
      </c>
      <c r="CG160" s="249">
        <f t="shared" si="73"/>
        <v>0</v>
      </c>
      <c r="CH160" s="249">
        <f t="shared" si="74"/>
        <v>0</v>
      </c>
      <c r="CI160" s="249">
        <f>CD160-IF(AND(Z160&gt;0,$N160&lt;&gt;""),IF((DATE(Assumptions!$B$4-1,12,28)-$N160)/365.25&lt;=Assumptions!$B$20,(DATE(Assumptions!$B$4-1,12,28)-$N160)/365.25*Assumptions!$B$18*Z160,(Assumptions!$B$20*Assumptions!$B$18+((DATE(Assumptions!$B$4-1,12,28)-$N160)/365.25-Assumptions!$B$20)*Assumptions!$B$19)*Z160),0)</f>
        <v>0</v>
      </c>
      <c r="CJ160" s="249">
        <f t="shared" si="75"/>
        <v>0</v>
      </c>
      <c r="CK160" s="249">
        <f t="shared" si="76"/>
        <v>0</v>
      </c>
    </row>
    <row r="161" spans="1:89" x14ac:dyDescent="0.2">
      <c r="A161" s="264">
        <v>164</v>
      </c>
      <c r="B161" s="265" t="s">
        <v>779</v>
      </c>
      <c r="C161" s="265" t="s">
        <v>780</v>
      </c>
      <c r="D161" s="265" t="s">
        <v>250</v>
      </c>
      <c r="E161" s="265" t="s">
        <v>781</v>
      </c>
      <c r="F161" s="265" t="s">
        <v>344</v>
      </c>
      <c r="G161" s="265" t="s">
        <v>4</v>
      </c>
      <c r="H161" s="265" t="s">
        <v>120</v>
      </c>
      <c r="I161" s="284" t="s">
        <v>691</v>
      </c>
      <c r="J161" s="265" t="s">
        <v>344</v>
      </c>
      <c r="K161" s="265" t="s">
        <v>4</v>
      </c>
      <c r="L161" s="265" t="s">
        <v>255</v>
      </c>
      <c r="M161" s="265" t="s">
        <v>772</v>
      </c>
      <c r="N161" s="266"/>
      <c r="O161" s="267"/>
      <c r="P161" s="268">
        <v>5600</v>
      </c>
      <c r="Q161" s="268">
        <v>2500</v>
      </c>
      <c r="R161" s="268">
        <v>500</v>
      </c>
      <c r="S161" s="268"/>
      <c r="T161" s="268"/>
      <c r="U161" s="268">
        <v>8600</v>
      </c>
      <c r="V161" s="269">
        <v>1</v>
      </c>
      <c r="W161" s="265" t="s">
        <v>256</v>
      </c>
      <c r="X161" s="265"/>
      <c r="Y161" s="249">
        <f t="shared" si="53"/>
        <v>0</v>
      </c>
      <c r="Z161" s="249">
        <f t="shared" si="54"/>
        <v>0</v>
      </c>
      <c r="AA161" s="249">
        <f>IF(AND(Z161&gt;0,$N161&lt;&gt;""),IF((DATE(Assumptions!$B$4,1,28)-$N161)/365.25&lt;=Assumptions!$B$20,(DATE(Assumptions!$B$4,1,28)-$N161)/365.25*Assumptions!$B$18*Z161,(Assumptions!$B$20*Assumptions!$B$18+((DATE(Assumptions!$B$4,1,28)-$N161)/365.25-Assumptions!$B$20)*Assumptions!$B$19)*Z161),0)</f>
        <v>0</v>
      </c>
      <c r="AB161" s="249">
        <f>IF(Y161&gt;0,IF($M161="Saudi",MIN(Y161+$Q161*$V161,Assumptions!$B$14)*Assumptions!$B$12,MIN(Y161+$Q161*$V161,Assumptions!$B$14)*Assumptions!$B$13),0)</f>
        <v>0</v>
      </c>
      <c r="AC161" s="249">
        <f>IF(AND(Y161&gt;0,$M161="Non-Saudi"),Assumptions!$B$25,0)</f>
        <v>0</v>
      </c>
      <c r="AD161" s="249">
        <f t="shared" si="55"/>
        <v>0</v>
      </c>
      <c r="AE161" s="249">
        <f t="shared" si="56"/>
        <v>0</v>
      </c>
      <c r="AF161" s="249">
        <f>IF(AND(AE161&gt;0,$N161&lt;&gt;""),IF((DATE(Assumptions!$B$4,2,28)-$N161)/365.25&lt;=Assumptions!$B$20,(DATE(Assumptions!$B$4,2,28)-$N161)/365.25*Assumptions!$B$18*AE161,(Assumptions!$B$20*Assumptions!$B$18+((DATE(Assumptions!$B$4,2,28)-$N161)/365.25-Assumptions!$B$20)*Assumptions!$B$19)*AE161),0)</f>
        <v>0</v>
      </c>
      <c r="AG161" s="249">
        <f>IF(AD161&gt;0,IF($M161="Saudi",MIN(AD161+$Q161*$V161,Assumptions!$B$14)*Assumptions!$B$12,MIN(AD161+$Q161*$V161,Assumptions!$B$14)*Assumptions!$B$13),0)</f>
        <v>0</v>
      </c>
      <c r="AH161" s="249">
        <f>IF(AND(AD161&gt;0,$M161="Non-Saudi"),Assumptions!$B$25,0)</f>
        <v>0</v>
      </c>
      <c r="AI161" s="249">
        <f t="shared" si="57"/>
        <v>0</v>
      </c>
      <c r="AJ161" s="249">
        <f t="shared" si="58"/>
        <v>0</v>
      </c>
      <c r="AK161" s="249">
        <f>IF(AND(AJ161&gt;0,$N161&lt;&gt;""),IF((DATE(Assumptions!$B$4,3,28)-$N161)/365.25&lt;=Assumptions!$B$20,(DATE(Assumptions!$B$4,3,28)-$N161)/365.25*Assumptions!$B$18*AJ161,(Assumptions!$B$20*Assumptions!$B$18+((DATE(Assumptions!$B$4,3,28)-$N161)/365.25-Assumptions!$B$20)*Assumptions!$B$19)*AJ161),0)</f>
        <v>0</v>
      </c>
      <c r="AL161" s="249">
        <f>IF(AI161&gt;0,IF($M161="Saudi",MIN(AI161+$Q161*$V161,Assumptions!$B$14)*Assumptions!$B$12,MIN(AI161+$Q161*$V161,Assumptions!$B$14)*Assumptions!$B$13),0)</f>
        <v>0</v>
      </c>
      <c r="AM161" s="249">
        <f>IF(AND(AI161&gt;0,$M161="Non-Saudi"),Assumptions!$B$25,0)</f>
        <v>0</v>
      </c>
      <c r="AN161" s="249">
        <f t="shared" si="59"/>
        <v>0</v>
      </c>
      <c r="AO161" s="249">
        <f t="shared" si="60"/>
        <v>0</v>
      </c>
      <c r="AP161" s="249">
        <f>IF(AND(AO161&gt;0,$N161&lt;&gt;""),IF((DATE(Assumptions!$B$4,4,28)-$N161)/365.25&lt;=Assumptions!$B$20,(DATE(Assumptions!$B$4,4,28)-$N161)/365.25*Assumptions!$B$18*AO161,(Assumptions!$B$20*Assumptions!$B$18+((DATE(Assumptions!$B$4,4,28)-$N161)/365.25-Assumptions!$B$20)*Assumptions!$B$19)*AO161),0)</f>
        <v>0</v>
      </c>
      <c r="AQ161" s="249">
        <f>IF(AN161&gt;0,IF($M161="Saudi",MIN(AN161+$Q161*$V161,Assumptions!$B$14)*Assumptions!$B$12,MIN(AN161+$Q161*$V161,Assumptions!$B$14)*Assumptions!$B$13),0)</f>
        <v>0</v>
      </c>
      <c r="AR161" s="249">
        <f>IF(AND(AN161&gt;0,$M161="Non-Saudi"),Assumptions!$B$25,0)</f>
        <v>0</v>
      </c>
      <c r="AS161" s="249">
        <f t="shared" si="61"/>
        <v>0</v>
      </c>
      <c r="AT161" s="249">
        <f t="shared" si="62"/>
        <v>0</v>
      </c>
      <c r="AU161" s="249">
        <f>IF(AND(AT161&gt;0,$N161&lt;&gt;""),IF((DATE(Assumptions!$B$4,5,28)-$N161)/365.25&lt;=Assumptions!$B$20,(DATE(Assumptions!$B$4,5,28)-$N161)/365.25*Assumptions!$B$18*AT161,(Assumptions!$B$20*Assumptions!$B$18+((DATE(Assumptions!$B$4,5,28)-$N161)/365.25-Assumptions!$B$20)*Assumptions!$B$19)*AT161),0)</f>
        <v>0</v>
      </c>
      <c r="AV161" s="249">
        <f>IF(AS161&gt;0,IF($M161="Saudi",MIN(AS161+$Q161*$V161,Assumptions!$B$14)*Assumptions!$B$12,MIN(AS161+$Q161*$V161,Assumptions!$B$14)*Assumptions!$B$13),0)</f>
        <v>0</v>
      </c>
      <c r="AW161" s="249">
        <f>IF(AND(AS161&gt;0,$M161="Non-Saudi"),Assumptions!$B$25,0)</f>
        <v>0</v>
      </c>
      <c r="AX161" s="249">
        <f t="shared" si="63"/>
        <v>0</v>
      </c>
      <c r="AY161" s="249">
        <f t="shared" si="64"/>
        <v>0</v>
      </c>
      <c r="AZ161" s="249">
        <f>IF(AND(AY161&gt;0,$N161&lt;&gt;""),IF((DATE(Assumptions!$B$4,6,28)-$N161)/365.25&lt;=Assumptions!$B$20,(DATE(Assumptions!$B$4,6,28)-$N161)/365.25*Assumptions!$B$18*AY161,(Assumptions!$B$20*Assumptions!$B$18+((DATE(Assumptions!$B$4,6,28)-$N161)/365.25-Assumptions!$B$20)*Assumptions!$B$19)*AY161),0)</f>
        <v>0</v>
      </c>
      <c r="BA161" s="249">
        <f>IF(AX161&gt;0,IF($M161="Saudi",MIN(AX161+$Q161*$V161,Assumptions!$B$14)*Assumptions!$B$12,MIN(AX161+$Q161*$V161,Assumptions!$B$14)*Assumptions!$B$13),0)</f>
        <v>0</v>
      </c>
      <c r="BB161" s="249">
        <f>IF(AND(AX161&gt;0,$M161="Non-Saudi"),Assumptions!$B$25,0)</f>
        <v>0</v>
      </c>
      <c r="BC161" s="249">
        <f t="shared" si="65"/>
        <v>0</v>
      </c>
      <c r="BD161" s="249">
        <f t="shared" si="66"/>
        <v>0</v>
      </c>
      <c r="BE161" s="249">
        <f>IF(AND(BD161&gt;0,$N161&lt;&gt;""),IF((DATE(Assumptions!$B$4,7,28)-$N161)/365.25&lt;=Assumptions!$B$20,(DATE(Assumptions!$B$4,7,28)-$N161)/365.25*Assumptions!$B$18*BD161,(Assumptions!$B$20*Assumptions!$B$18+((DATE(Assumptions!$B$4,7,28)-$N161)/365.25-Assumptions!$B$20)*Assumptions!$B$19)*BD161),0)</f>
        <v>0</v>
      </c>
      <c r="BF161" s="249">
        <f>IF(BC161&gt;0,IF($M161="Saudi",MIN(BC161+$Q161*$V161,Assumptions!$B$14)*Assumptions!$B$12,MIN(BC161+$Q161*$V161,Assumptions!$B$14)*Assumptions!$B$13),0)</f>
        <v>0</v>
      </c>
      <c r="BG161" s="249">
        <f>IF(AND(BC161&gt;0,$M161="Non-Saudi"),Assumptions!$B$25,0)</f>
        <v>0</v>
      </c>
      <c r="BH161" s="249">
        <f t="shared" si="67"/>
        <v>0</v>
      </c>
      <c r="BI161" s="249">
        <f t="shared" si="68"/>
        <v>0</v>
      </c>
      <c r="BJ161" s="249">
        <f>IF(AND(BI161&gt;0,$N161&lt;&gt;""),IF((DATE(Assumptions!$B$4,8,28)-$N161)/365.25&lt;=Assumptions!$B$20,(DATE(Assumptions!$B$4,8,28)-$N161)/365.25*Assumptions!$B$18*BI161,(Assumptions!$B$20*Assumptions!$B$18+((DATE(Assumptions!$B$4,8,28)-$N161)/365.25-Assumptions!$B$20)*Assumptions!$B$19)*BI161),0)</f>
        <v>0</v>
      </c>
      <c r="BK161" s="249">
        <f>IF(BH161&gt;0,IF($M161="Saudi",MIN(BH161+$Q161*$V161,Assumptions!$B$14)*Assumptions!$B$12,MIN(BH161+$Q161*$V161,Assumptions!$B$14)*Assumptions!$B$13),0)</f>
        <v>0</v>
      </c>
      <c r="BL161" s="249">
        <f>IF(AND(BH161&gt;0,$M161="Non-Saudi"),Assumptions!$B$25,0)</f>
        <v>0</v>
      </c>
      <c r="BM161" s="249">
        <f>IF(AND($D161="Contrat Local",$N161&lt;&gt;""),IF(AND(9&gt;=Assumptions!$B$5,ISNUMBER($X161),$N161&lt;EDATE(Assumptions!$B$9,-Assumptions!$B$6*12)),($P161+$X161)*$V161,$P161*$V161),0)</f>
        <v>0</v>
      </c>
      <c r="BN161" s="249">
        <f t="shared" si="69"/>
        <v>0</v>
      </c>
      <c r="BO161" s="249">
        <f>IF(AND(BN161&gt;0,$N161&lt;&gt;""),IF((DATE(Assumptions!$B$4,9,28)-$N161)/365.25&lt;=Assumptions!$B$20,(DATE(Assumptions!$B$4,9,28)-$N161)/365.25*Assumptions!$B$18*BN161,(Assumptions!$B$20*Assumptions!$B$18+((DATE(Assumptions!$B$4,9,28)-$N161)/365.25-Assumptions!$B$20)*Assumptions!$B$19)*BN161),0)</f>
        <v>0</v>
      </c>
      <c r="BP161" s="249">
        <f>IF(BM161&gt;0,IF($M161="Saudi",MIN(BM161+$Q161*$V161,Assumptions!$B$14)*Assumptions!$B$12,MIN(BM161+$Q161*$V161,Assumptions!$B$14)*Assumptions!$B$13),0)</f>
        <v>0</v>
      </c>
      <c r="BQ161" s="249">
        <f>IF(AND(BM161&gt;0,$M161="Non-Saudi"),Assumptions!$B$25,0)</f>
        <v>0</v>
      </c>
      <c r="BR161" s="249">
        <f>IF(AND($D161="Contrat Local",$N161&lt;&gt;""),IF(AND(10&gt;=Assumptions!$B$5,ISNUMBER($X161),$N161&lt;EDATE(Assumptions!$B$9,-Assumptions!$B$6*12)),($P161+$X161)*$V161,$P161*$V161),0)</f>
        <v>0</v>
      </c>
      <c r="BS161" s="249">
        <f t="shared" si="70"/>
        <v>0</v>
      </c>
      <c r="BT161" s="249">
        <f>IF(AND(BS161&gt;0,$N161&lt;&gt;""),IF((DATE(Assumptions!$B$4,10,28)-$N161)/365.25&lt;=Assumptions!$B$20,(DATE(Assumptions!$B$4,10,28)-$N161)/365.25*Assumptions!$B$18*BS161,(Assumptions!$B$20*Assumptions!$B$18+((DATE(Assumptions!$B$4,10,28)-$N161)/365.25-Assumptions!$B$20)*Assumptions!$B$19)*BS161),0)</f>
        <v>0</v>
      </c>
      <c r="BU161" s="249">
        <f>IF(BR161&gt;0,IF($M161="Saudi",MIN(BR161+$Q161*$V161,Assumptions!$B$14)*Assumptions!$B$12,MIN(BR161+$Q161*$V161,Assumptions!$B$14)*Assumptions!$B$13),0)</f>
        <v>0</v>
      </c>
      <c r="BV161" s="249">
        <f>IF(AND(BR161&gt;0,$M161="Non-Saudi"),Assumptions!$B$25,0)</f>
        <v>0</v>
      </c>
      <c r="BW161" s="249">
        <f>IF(AND($D161="Contrat Local",$N161&lt;&gt;""),IF(AND(11&gt;=Assumptions!$B$5,ISNUMBER($X161),$N161&lt;EDATE(Assumptions!$B$9,-Assumptions!$B$6*12)),($P161+$X161)*$V161,$P161*$V161),0)</f>
        <v>0</v>
      </c>
      <c r="BX161" s="249">
        <f t="shared" si="71"/>
        <v>0</v>
      </c>
      <c r="BY161" s="249">
        <f>IF(AND(BX161&gt;0,$N161&lt;&gt;""),IF((DATE(Assumptions!$B$4,11,28)-$N161)/365.25&lt;=Assumptions!$B$20,(DATE(Assumptions!$B$4,11,28)-$N161)/365.25*Assumptions!$B$18*BX161,(Assumptions!$B$20*Assumptions!$B$18+((DATE(Assumptions!$B$4,11,28)-$N161)/365.25-Assumptions!$B$20)*Assumptions!$B$19)*BX161),0)</f>
        <v>0</v>
      </c>
      <c r="BZ161" s="249">
        <f>IF(BW161&gt;0,IF($M161="Saudi",MIN(BW161+$Q161*$V161,Assumptions!$B$14)*Assumptions!$B$12,MIN(BW161+$Q161*$V161,Assumptions!$B$14)*Assumptions!$B$13),0)</f>
        <v>0</v>
      </c>
      <c r="CA161" s="249">
        <f>IF(AND(BW161&gt;0,$M161="Non-Saudi"),Assumptions!$B$25,0)</f>
        <v>0</v>
      </c>
      <c r="CB161" s="249">
        <f>IF(AND($D161="Contrat Local",$N161&lt;&gt;""),IF(AND(12&gt;=Assumptions!$B$5,ISNUMBER($X161),$N161&lt;EDATE(Assumptions!$B$9,-Assumptions!$B$6*12)),($P161+$X161)*$V161,$P161*$V161),0)</f>
        <v>0</v>
      </c>
      <c r="CC161" s="249">
        <f t="shared" si="72"/>
        <v>0</v>
      </c>
      <c r="CD161" s="249">
        <f>IF(AND(CC161&gt;0,$N161&lt;&gt;""),IF((DATE(Assumptions!$B$4,12,28)-$N161)/365.25&lt;=Assumptions!$B$20,(DATE(Assumptions!$B$4,12,28)-$N161)/365.25*Assumptions!$B$18*CC161,(Assumptions!$B$20*Assumptions!$B$18+((DATE(Assumptions!$B$4,12,28)-$N161)/365.25-Assumptions!$B$20)*Assumptions!$B$19)*CC161),0)</f>
        <v>0</v>
      </c>
      <c r="CE161" s="249">
        <f>IF(CB161&gt;0,IF($M161="Saudi",MIN(CB161+$Q161*$V161,Assumptions!$B$14)*Assumptions!$B$12,MIN(CB161+$Q161*$V161,Assumptions!$B$14)*Assumptions!$B$13),0)</f>
        <v>0</v>
      </c>
      <c r="CF161" s="249">
        <f>IF(AND(CB161&gt;0,$M161="Non-Saudi"),Assumptions!$B$25,0)</f>
        <v>0</v>
      </c>
      <c r="CG161" s="249">
        <f t="shared" si="73"/>
        <v>0</v>
      </c>
      <c r="CH161" s="249">
        <f t="shared" si="74"/>
        <v>0</v>
      </c>
      <c r="CI161" s="249">
        <f>CD161-IF(AND(Z161&gt;0,$N161&lt;&gt;""),IF((DATE(Assumptions!$B$4-1,12,28)-$N161)/365.25&lt;=Assumptions!$B$20,(DATE(Assumptions!$B$4-1,12,28)-$N161)/365.25*Assumptions!$B$18*Z161,(Assumptions!$B$20*Assumptions!$B$18+((DATE(Assumptions!$B$4-1,12,28)-$N161)/365.25-Assumptions!$B$20)*Assumptions!$B$19)*Z161),0)</f>
        <v>0</v>
      </c>
      <c r="CJ161" s="249">
        <f t="shared" si="75"/>
        <v>0</v>
      </c>
      <c r="CK161" s="249">
        <f t="shared" si="76"/>
        <v>0</v>
      </c>
    </row>
    <row r="162" spans="1:89" x14ac:dyDescent="0.2">
      <c r="A162" s="264">
        <v>165</v>
      </c>
      <c r="B162" s="265" t="s">
        <v>782</v>
      </c>
      <c r="C162" s="265" t="s">
        <v>783</v>
      </c>
      <c r="D162" s="265" t="s">
        <v>250</v>
      </c>
      <c r="E162" s="265" t="s">
        <v>767</v>
      </c>
      <c r="F162" s="265" t="s">
        <v>302</v>
      </c>
      <c r="G162" s="265" t="s">
        <v>303</v>
      </c>
      <c r="H162" s="265"/>
      <c r="I162" s="284" t="s">
        <v>691</v>
      </c>
      <c r="J162" s="265"/>
      <c r="K162" s="265" t="s">
        <v>254</v>
      </c>
      <c r="L162" s="265" t="s">
        <v>255</v>
      </c>
      <c r="M162" s="265" t="s">
        <v>772</v>
      </c>
      <c r="N162" s="266"/>
      <c r="O162" s="267"/>
      <c r="P162" s="268">
        <f>U162-Q162-R162</f>
        <v>5500</v>
      </c>
      <c r="Q162" s="268">
        <v>2500</v>
      </c>
      <c r="R162" s="268">
        <v>500</v>
      </c>
      <c r="S162" s="268"/>
      <c r="T162" s="268"/>
      <c r="U162" s="268">
        <v>8500</v>
      </c>
      <c r="V162" s="269">
        <v>0.66669999999999996</v>
      </c>
      <c r="W162" s="265" t="s">
        <v>259</v>
      </c>
      <c r="X162" s="265"/>
      <c r="Y162" s="249">
        <f t="shared" si="53"/>
        <v>0</v>
      </c>
      <c r="Z162" s="249">
        <f t="shared" si="54"/>
        <v>0</v>
      </c>
      <c r="AA162" s="249">
        <f>IF(AND(Z162&gt;0,$N162&lt;&gt;""),IF((DATE(Assumptions!$B$4,1,28)-$N162)/365.25&lt;=Assumptions!$B$20,(DATE(Assumptions!$B$4,1,28)-$N162)/365.25*Assumptions!$B$18*Z162,(Assumptions!$B$20*Assumptions!$B$18+((DATE(Assumptions!$B$4,1,28)-$N162)/365.25-Assumptions!$B$20)*Assumptions!$B$19)*Z162),0)</f>
        <v>0</v>
      </c>
      <c r="AB162" s="249">
        <f>IF(Y162&gt;0,IF($M162="Saudi",MIN(Y162+$Q162*$V162,Assumptions!$B$14)*Assumptions!$B$12,MIN(Y162+$Q162*$V162,Assumptions!$B$14)*Assumptions!$B$13),0)</f>
        <v>0</v>
      </c>
      <c r="AC162" s="249">
        <f>IF(AND(Y162&gt;0,$M162="Non-Saudi"),Assumptions!$B$25,0)</f>
        <v>0</v>
      </c>
      <c r="AD162" s="249">
        <f t="shared" si="55"/>
        <v>0</v>
      </c>
      <c r="AE162" s="249">
        <f t="shared" si="56"/>
        <v>0</v>
      </c>
      <c r="AF162" s="249">
        <f>IF(AND(AE162&gt;0,$N162&lt;&gt;""),IF((DATE(Assumptions!$B$4,2,28)-$N162)/365.25&lt;=Assumptions!$B$20,(DATE(Assumptions!$B$4,2,28)-$N162)/365.25*Assumptions!$B$18*AE162,(Assumptions!$B$20*Assumptions!$B$18+((DATE(Assumptions!$B$4,2,28)-$N162)/365.25-Assumptions!$B$20)*Assumptions!$B$19)*AE162),0)</f>
        <v>0</v>
      </c>
      <c r="AG162" s="249">
        <f>IF(AD162&gt;0,IF($M162="Saudi",MIN(AD162+$Q162*$V162,Assumptions!$B$14)*Assumptions!$B$12,MIN(AD162+$Q162*$V162,Assumptions!$B$14)*Assumptions!$B$13),0)</f>
        <v>0</v>
      </c>
      <c r="AH162" s="249">
        <f>IF(AND(AD162&gt;0,$M162="Non-Saudi"),Assumptions!$B$25,0)</f>
        <v>0</v>
      </c>
      <c r="AI162" s="249">
        <f t="shared" si="57"/>
        <v>0</v>
      </c>
      <c r="AJ162" s="249">
        <f t="shared" si="58"/>
        <v>0</v>
      </c>
      <c r="AK162" s="249">
        <f>IF(AND(AJ162&gt;0,$N162&lt;&gt;""),IF((DATE(Assumptions!$B$4,3,28)-$N162)/365.25&lt;=Assumptions!$B$20,(DATE(Assumptions!$B$4,3,28)-$N162)/365.25*Assumptions!$B$18*AJ162,(Assumptions!$B$20*Assumptions!$B$18+((DATE(Assumptions!$B$4,3,28)-$N162)/365.25-Assumptions!$B$20)*Assumptions!$B$19)*AJ162),0)</f>
        <v>0</v>
      </c>
      <c r="AL162" s="249">
        <f>IF(AI162&gt;0,IF($M162="Saudi",MIN(AI162+$Q162*$V162,Assumptions!$B$14)*Assumptions!$B$12,MIN(AI162+$Q162*$V162,Assumptions!$B$14)*Assumptions!$B$13),0)</f>
        <v>0</v>
      </c>
      <c r="AM162" s="249">
        <f>IF(AND(AI162&gt;0,$M162="Non-Saudi"),Assumptions!$B$25,0)</f>
        <v>0</v>
      </c>
      <c r="AN162" s="249">
        <f t="shared" si="59"/>
        <v>0</v>
      </c>
      <c r="AO162" s="249">
        <f t="shared" si="60"/>
        <v>0</v>
      </c>
      <c r="AP162" s="249">
        <f>IF(AND(AO162&gt;0,$N162&lt;&gt;""),IF((DATE(Assumptions!$B$4,4,28)-$N162)/365.25&lt;=Assumptions!$B$20,(DATE(Assumptions!$B$4,4,28)-$N162)/365.25*Assumptions!$B$18*AO162,(Assumptions!$B$20*Assumptions!$B$18+((DATE(Assumptions!$B$4,4,28)-$N162)/365.25-Assumptions!$B$20)*Assumptions!$B$19)*AO162),0)</f>
        <v>0</v>
      </c>
      <c r="AQ162" s="249">
        <f>IF(AN162&gt;0,IF($M162="Saudi",MIN(AN162+$Q162*$V162,Assumptions!$B$14)*Assumptions!$B$12,MIN(AN162+$Q162*$V162,Assumptions!$B$14)*Assumptions!$B$13),0)</f>
        <v>0</v>
      </c>
      <c r="AR162" s="249">
        <f>IF(AND(AN162&gt;0,$M162="Non-Saudi"),Assumptions!$B$25,0)</f>
        <v>0</v>
      </c>
      <c r="AS162" s="249">
        <f t="shared" si="61"/>
        <v>0</v>
      </c>
      <c r="AT162" s="249">
        <f t="shared" si="62"/>
        <v>0</v>
      </c>
      <c r="AU162" s="249">
        <f>IF(AND(AT162&gt;0,$N162&lt;&gt;""),IF((DATE(Assumptions!$B$4,5,28)-$N162)/365.25&lt;=Assumptions!$B$20,(DATE(Assumptions!$B$4,5,28)-$N162)/365.25*Assumptions!$B$18*AT162,(Assumptions!$B$20*Assumptions!$B$18+((DATE(Assumptions!$B$4,5,28)-$N162)/365.25-Assumptions!$B$20)*Assumptions!$B$19)*AT162),0)</f>
        <v>0</v>
      </c>
      <c r="AV162" s="249">
        <f>IF(AS162&gt;0,IF($M162="Saudi",MIN(AS162+$Q162*$V162,Assumptions!$B$14)*Assumptions!$B$12,MIN(AS162+$Q162*$V162,Assumptions!$B$14)*Assumptions!$B$13),0)</f>
        <v>0</v>
      </c>
      <c r="AW162" s="249">
        <f>IF(AND(AS162&gt;0,$M162="Non-Saudi"),Assumptions!$B$25,0)</f>
        <v>0</v>
      </c>
      <c r="AX162" s="249">
        <f t="shared" si="63"/>
        <v>0</v>
      </c>
      <c r="AY162" s="249">
        <f t="shared" si="64"/>
        <v>0</v>
      </c>
      <c r="AZ162" s="249">
        <f>IF(AND(AY162&gt;0,$N162&lt;&gt;""),IF((DATE(Assumptions!$B$4,6,28)-$N162)/365.25&lt;=Assumptions!$B$20,(DATE(Assumptions!$B$4,6,28)-$N162)/365.25*Assumptions!$B$18*AY162,(Assumptions!$B$20*Assumptions!$B$18+((DATE(Assumptions!$B$4,6,28)-$N162)/365.25-Assumptions!$B$20)*Assumptions!$B$19)*AY162),0)</f>
        <v>0</v>
      </c>
      <c r="BA162" s="249">
        <f>IF(AX162&gt;0,IF($M162="Saudi",MIN(AX162+$Q162*$V162,Assumptions!$B$14)*Assumptions!$B$12,MIN(AX162+$Q162*$V162,Assumptions!$B$14)*Assumptions!$B$13),0)</f>
        <v>0</v>
      </c>
      <c r="BB162" s="249">
        <f>IF(AND(AX162&gt;0,$M162="Non-Saudi"),Assumptions!$B$25,0)</f>
        <v>0</v>
      </c>
      <c r="BC162" s="249">
        <f t="shared" si="65"/>
        <v>0</v>
      </c>
      <c r="BD162" s="249">
        <f t="shared" si="66"/>
        <v>0</v>
      </c>
      <c r="BE162" s="249">
        <f>IF(AND(BD162&gt;0,$N162&lt;&gt;""),IF((DATE(Assumptions!$B$4,7,28)-$N162)/365.25&lt;=Assumptions!$B$20,(DATE(Assumptions!$B$4,7,28)-$N162)/365.25*Assumptions!$B$18*BD162,(Assumptions!$B$20*Assumptions!$B$18+((DATE(Assumptions!$B$4,7,28)-$N162)/365.25-Assumptions!$B$20)*Assumptions!$B$19)*BD162),0)</f>
        <v>0</v>
      </c>
      <c r="BF162" s="249">
        <f>IF(BC162&gt;0,IF($M162="Saudi",MIN(BC162+$Q162*$V162,Assumptions!$B$14)*Assumptions!$B$12,MIN(BC162+$Q162*$V162,Assumptions!$B$14)*Assumptions!$B$13),0)</f>
        <v>0</v>
      </c>
      <c r="BG162" s="249">
        <f>IF(AND(BC162&gt;0,$M162="Non-Saudi"),Assumptions!$B$25,0)</f>
        <v>0</v>
      </c>
      <c r="BH162" s="249">
        <f t="shared" si="67"/>
        <v>0</v>
      </c>
      <c r="BI162" s="249">
        <f t="shared" si="68"/>
        <v>0</v>
      </c>
      <c r="BJ162" s="249">
        <f>IF(AND(BI162&gt;0,$N162&lt;&gt;""),IF((DATE(Assumptions!$B$4,8,28)-$N162)/365.25&lt;=Assumptions!$B$20,(DATE(Assumptions!$B$4,8,28)-$N162)/365.25*Assumptions!$B$18*BI162,(Assumptions!$B$20*Assumptions!$B$18+((DATE(Assumptions!$B$4,8,28)-$N162)/365.25-Assumptions!$B$20)*Assumptions!$B$19)*BI162),0)</f>
        <v>0</v>
      </c>
      <c r="BK162" s="249">
        <f>IF(BH162&gt;0,IF($M162="Saudi",MIN(BH162+$Q162*$V162,Assumptions!$B$14)*Assumptions!$B$12,MIN(BH162+$Q162*$V162,Assumptions!$B$14)*Assumptions!$B$13),0)</f>
        <v>0</v>
      </c>
      <c r="BL162" s="249">
        <f>IF(AND(BH162&gt;0,$M162="Non-Saudi"),Assumptions!$B$25,0)</f>
        <v>0</v>
      </c>
      <c r="BM162" s="249">
        <f>IF(AND($D162="Contrat Local",$N162&lt;&gt;""),IF(AND(9&gt;=Assumptions!$B$5,ISNUMBER($X162),$N162&lt;EDATE(Assumptions!$B$9,-Assumptions!$B$6*12)),($P162+$X162)*$V162,$P162*$V162),0)</f>
        <v>0</v>
      </c>
      <c r="BN162" s="249">
        <f t="shared" si="69"/>
        <v>0</v>
      </c>
      <c r="BO162" s="249">
        <f>IF(AND(BN162&gt;0,$N162&lt;&gt;""),IF((DATE(Assumptions!$B$4,9,28)-$N162)/365.25&lt;=Assumptions!$B$20,(DATE(Assumptions!$B$4,9,28)-$N162)/365.25*Assumptions!$B$18*BN162,(Assumptions!$B$20*Assumptions!$B$18+((DATE(Assumptions!$B$4,9,28)-$N162)/365.25-Assumptions!$B$20)*Assumptions!$B$19)*BN162),0)</f>
        <v>0</v>
      </c>
      <c r="BP162" s="249">
        <f>IF(BM162&gt;0,IF($M162="Saudi",MIN(BM162+$Q162*$V162,Assumptions!$B$14)*Assumptions!$B$12,MIN(BM162+$Q162*$V162,Assumptions!$B$14)*Assumptions!$B$13),0)</f>
        <v>0</v>
      </c>
      <c r="BQ162" s="249">
        <f>IF(AND(BM162&gt;0,$M162="Non-Saudi"),Assumptions!$B$25,0)</f>
        <v>0</v>
      </c>
      <c r="BR162" s="249">
        <f>IF(AND($D162="Contrat Local",$N162&lt;&gt;""),IF(AND(10&gt;=Assumptions!$B$5,ISNUMBER($X162),$N162&lt;EDATE(Assumptions!$B$9,-Assumptions!$B$6*12)),($P162+$X162)*$V162,$P162*$V162),0)</f>
        <v>0</v>
      </c>
      <c r="BS162" s="249">
        <f t="shared" si="70"/>
        <v>0</v>
      </c>
      <c r="BT162" s="249">
        <f>IF(AND(BS162&gt;0,$N162&lt;&gt;""),IF((DATE(Assumptions!$B$4,10,28)-$N162)/365.25&lt;=Assumptions!$B$20,(DATE(Assumptions!$B$4,10,28)-$N162)/365.25*Assumptions!$B$18*BS162,(Assumptions!$B$20*Assumptions!$B$18+((DATE(Assumptions!$B$4,10,28)-$N162)/365.25-Assumptions!$B$20)*Assumptions!$B$19)*BS162),0)</f>
        <v>0</v>
      </c>
      <c r="BU162" s="249">
        <f>IF(BR162&gt;0,IF($M162="Saudi",MIN(BR162+$Q162*$V162,Assumptions!$B$14)*Assumptions!$B$12,MIN(BR162+$Q162*$V162,Assumptions!$B$14)*Assumptions!$B$13),0)</f>
        <v>0</v>
      </c>
      <c r="BV162" s="249">
        <f>IF(AND(BR162&gt;0,$M162="Non-Saudi"),Assumptions!$B$25,0)</f>
        <v>0</v>
      </c>
      <c r="BW162" s="249">
        <f>IF(AND($D162="Contrat Local",$N162&lt;&gt;""),IF(AND(11&gt;=Assumptions!$B$5,ISNUMBER($X162),$N162&lt;EDATE(Assumptions!$B$9,-Assumptions!$B$6*12)),($P162+$X162)*$V162,$P162*$V162),0)</f>
        <v>0</v>
      </c>
      <c r="BX162" s="249">
        <f t="shared" si="71"/>
        <v>0</v>
      </c>
      <c r="BY162" s="249">
        <f>IF(AND(BX162&gt;0,$N162&lt;&gt;""),IF((DATE(Assumptions!$B$4,11,28)-$N162)/365.25&lt;=Assumptions!$B$20,(DATE(Assumptions!$B$4,11,28)-$N162)/365.25*Assumptions!$B$18*BX162,(Assumptions!$B$20*Assumptions!$B$18+((DATE(Assumptions!$B$4,11,28)-$N162)/365.25-Assumptions!$B$20)*Assumptions!$B$19)*BX162),0)</f>
        <v>0</v>
      </c>
      <c r="BZ162" s="249">
        <f>IF(BW162&gt;0,IF($M162="Saudi",MIN(BW162+$Q162*$V162,Assumptions!$B$14)*Assumptions!$B$12,MIN(BW162+$Q162*$V162,Assumptions!$B$14)*Assumptions!$B$13),0)</f>
        <v>0</v>
      </c>
      <c r="CA162" s="249">
        <f>IF(AND(BW162&gt;0,$M162="Non-Saudi"),Assumptions!$B$25,0)</f>
        <v>0</v>
      </c>
      <c r="CB162" s="249">
        <f>IF(AND($D162="Contrat Local",$N162&lt;&gt;""),IF(AND(12&gt;=Assumptions!$B$5,ISNUMBER($X162),$N162&lt;EDATE(Assumptions!$B$9,-Assumptions!$B$6*12)),($P162+$X162)*$V162,$P162*$V162),0)</f>
        <v>0</v>
      </c>
      <c r="CC162" s="249">
        <f t="shared" si="72"/>
        <v>0</v>
      </c>
      <c r="CD162" s="249">
        <f>IF(AND(CC162&gt;0,$N162&lt;&gt;""),IF((DATE(Assumptions!$B$4,12,28)-$N162)/365.25&lt;=Assumptions!$B$20,(DATE(Assumptions!$B$4,12,28)-$N162)/365.25*Assumptions!$B$18*CC162,(Assumptions!$B$20*Assumptions!$B$18+((DATE(Assumptions!$B$4,12,28)-$N162)/365.25-Assumptions!$B$20)*Assumptions!$B$19)*CC162),0)</f>
        <v>0</v>
      </c>
      <c r="CE162" s="249">
        <f>IF(CB162&gt;0,IF($M162="Saudi",MIN(CB162+$Q162*$V162,Assumptions!$B$14)*Assumptions!$B$12,MIN(CB162+$Q162*$V162,Assumptions!$B$14)*Assumptions!$B$13),0)</f>
        <v>0</v>
      </c>
      <c r="CF162" s="249">
        <f>IF(AND(CB162&gt;0,$M162="Non-Saudi"),Assumptions!$B$25,0)</f>
        <v>0</v>
      </c>
      <c r="CG162" s="249">
        <f t="shared" si="73"/>
        <v>0</v>
      </c>
      <c r="CH162" s="249">
        <f t="shared" si="74"/>
        <v>0</v>
      </c>
      <c r="CI162" s="249">
        <f>CD162-IF(AND(Z162&gt;0,$N162&lt;&gt;""),IF((DATE(Assumptions!$B$4-1,12,28)-$N162)/365.25&lt;=Assumptions!$B$20,(DATE(Assumptions!$B$4-1,12,28)-$N162)/365.25*Assumptions!$B$18*Z162,(Assumptions!$B$20*Assumptions!$B$18+((DATE(Assumptions!$B$4-1,12,28)-$N162)/365.25-Assumptions!$B$20)*Assumptions!$B$19)*Z162),0)</f>
        <v>0</v>
      </c>
      <c r="CJ162" s="249">
        <f t="shared" si="75"/>
        <v>0</v>
      </c>
      <c r="CK162" s="249">
        <f t="shared" si="76"/>
        <v>0</v>
      </c>
    </row>
    <row r="163" spans="1:89" x14ac:dyDescent="0.2">
      <c r="A163" s="264">
        <v>166</v>
      </c>
      <c r="B163" s="265" t="s">
        <v>784</v>
      </c>
      <c r="C163" s="265" t="s">
        <v>785</v>
      </c>
      <c r="D163" s="265" t="s">
        <v>250</v>
      </c>
      <c r="E163" s="265" t="s">
        <v>781</v>
      </c>
      <c r="F163" s="265" t="s">
        <v>264</v>
      </c>
      <c r="G163" s="265" t="s">
        <v>8</v>
      </c>
      <c r="H163" s="265" t="s">
        <v>265</v>
      </c>
      <c r="I163" s="284" t="s">
        <v>691</v>
      </c>
      <c r="J163" s="265" t="s">
        <v>58</v>
      </c>
      <c r="K163" s="265"/>
      <c r="L163" s="265" t="s">
        <v>255</v>
      </c>
      <c r="M163" s="265" t="s">
        <v>772</v>
      </c>
      <c r="N163" s="266"/>
      <c r="O163" s="267"/>
      <c r="P163" s="268">
        <f>U163-Q163-R163</f>
        <v>8000</v>
      </c>
      <c r="Q163" s="268">
        <v>2500</v>
      </c>
      <c r="R163" s="268">
        <v>500</v>
      </c>
      <c r="S163" s="268"/>
      <c r="T163" s="268"/>
      <c r="U163" s="268">
        <v>11000</v>
      </c>
      <c r="V163" s="269">
        <v>1</v>
      </c>
      <c r="W163" s="265" t="s">
        <v>259</v>
      </c>
      <c r="X163" s="265"/>
      <c r="Y163" s="249">
        <f t="shared" si="53"/>
        <v>0</v>
      </c>
      <c r="Z163" s="249">
        <f t="shared" si="54"/>
        <v>0</v>
      </c>
      <c r="AA163" s="249">
        <f>IF(AND(Z163&gt;0,$N163&lt;&gt;""),IF((DATE(Assumptions!$B$4,1,28)-$N163)/365.25&lt;=Assumptions!$B$20,(DATE(Assumptions!$B$4,1,28)-$N163)/365.25*Assumptions!$B$18*Z163,(Assumptions!$B$20*Assumptions!$B$18+((DATE(Assumptions!$B$4,1,28)-$N163)/365.25-Assumptions!$B$20)*Assumptions!$B$19)*Z163),0)</f>
        <v>0</v>
      </c>
      <c r="AB163" s="249">
        <f>IF(Y163&gt;0,IF($M163="Saudi",MIN(Y163+$Q163*$V163,Assumptions!$B$14)*Assumptions!$B$12,MIN(Y163+$Q163*$V163,Assumptions!$B$14)*Assumptions!$B$13),0)</f>
        <v>0</v>
      </c>
      <c r="AC163" s="249">
        <f>IF(AND(Y163&gt;0,$M163="Non-Saudi"),Assumptions!$B$25,0)</f>
        <v>0</v>
      </c>
      <c r="AD163" s="249">
        <f t="shared" si="55"/>
        <v>0</v>
      </c>
      <c r="AE163" s="249">
        <f t="shared" si="56"/>
        <v>0</v>
      </c>
      <c r="AF163" s="249">
        <f>IF(AND(AE163&gt;0,$N163&lt;&gt;""),IF((DATE(Assumptions!$B$4,2,28)-$N163)/365.25&lt;=Assumptions!$B$20,(DATE(Assumptions!$B$4,2,28)-$N163)/365.25*Assumptions!$B$18*AE163,(Assumptions!$B$20*Assumptions!$B$18+((DATE(Assumptions!$B$4,2,28)-$N163)/365.25-Assumptions!$B$20)*Assumptions!$B$19)*AE163),0)</f>
        <v>0</v>
      </c>
      <c r="AG163" s="249">
        <f>IF(AD163&gt;0,IF($M163="Saudi",MIN(AD163+$Q163*$V163,Assumptions!$B$14)*Assumptions!$B$12,MIN(AD163+$Q163*$V163,Assumptions!$B$14)*Assumptions!$B$13),0)</f>
        <v>0</v>
      </c>
      <c r="AH163" s="249">
        <f>IF(AND(AD163&gt;0,$M163="Non-Saudi"),Assumptions!$B$25,0)</f>
        <v>0</v>
      </c>
      <c r="AI163" s="249">
        <f t="shared" si="57"/>
        <v>0</v>
      </c>
      <c r="AJ163" s="249">
        <f t="shared" si="58"/>
        <v>0</v>
      </c>
      <c r="AK163" s="249">
        <f>IF(AND(AJ163&gt;0,$N163&lt;&gt;""),IF((DATE(Assumptions!$B$4,3,28)-$N163)/365.25&lt;=Assumptions!$B$20,(DATE(Assumptions!$B$4,3,28)-$N163)/365.25*Assumptions!$B$18*AJ163,(Assumptions!$B$20*Assumptions!$B$18+((DATE(Assumptions!$B$4,3,28)-$N163)/365.25-Assumptions!$B$20)*Assumptions!$B$19)*AJ163),0)</f>
        <v>0</v>
      </c>
      <c r="AL163" s="249">
        <f>IF(AI163&gt;0,IF($M163="Saudi",MIN(AI163+$Q163*$V163,Assumptions!$B$14)*Assumptions!$B$12,MIN(AI163+$Q163*$V163,Assumptions!$B$14)*Assumptions!$B$13),0)</f>
        <v>0</v>
      </c>
      <c r="AM163" s="249">
        <f>IF(AND(AI163&gt;0,$M163="Non-Saudi"),Assumptions!$B$25,0)</f>
        <v>0</v>
      </c>
      <c r="AN163" s="249">
        <f t="shared" si="59"/>
        <v>0</v>
      </c>
      <c r="AO163" s="249">
        <f t="shared" si="60"/>
        <v>0</v>
      </c>
      <c r="AP163" s="249">
        <f>IF(AND(AO163&gt;0,$N163&lt;&gt;""),IF((DATE(Assumptions!$B$4,4,28)-$N163)/365.25&lt;=Assumptions!$B$20,(DATE(Assumptions!$B$4,4,28)-$N163)/365.25*Assumptions!$B$18*AO163,(Assumptions!$B$20*Assumptions!$B$18+((DATE(Assumptions!$B$4,4,28)-$N163)/365.25-Assumptions!$B$20)*Assumptions!$B$19)*AO163),0)</f>
        <v>0</v>
      </c>
      <c r="AQ163" s="249">
        <f>IF(AN163&gt;0,IF($M163="Saudi",MIN(AN163+$Q163*$V163,Assumptions!$B$14)*Assumptions!$B$12,MIN(AN163+$Q163*$V163,Assumptions!$B$14)*Assumptions!$B$13),0)</f>
        <v>0</v>
      </c>
      <c r="AR163" s="249">
        <f>IF(AND(AN163&gt;0,$M163="Non-Saudi"),Assumptions!$B$25,0)</f>
        <v>0</v>
      </c>
      <c r="AS163" s="249">
        <f t="shared" si="61"/>
        <v>0</v>
      </c>
      <c r="AT163" s="249">
        <f t="shared" si="62"/>
        <v>0</v>
      </c>
      <c r="AU163" s="249">
        <f>IF(AND(AT163&gt;0,$N163&lt;&gt;""),IF((DATE(Assumptions!$B$4,5,28)-$N163)/365.25&lt;=Assumptions!$B$20,(DATE(Assumptions!$B$4,5,28)-$N163)/365.25*Assumptions!$B$18*AT163,(Assumptions!$B$20*Assumptions!$B$18+((DATE(Assumptions!$B$4,5,28)-$N163)/365.25-Assumptions!$B$20)*Assumptions!$B$19)*AT163),0)</f>
        <v>0</v>
      </c>
      <c r="AV163" s="249">
        <f>IF(AS163&gt;0,IF($M163="Saudi",MIN(AS163+$Q163*$V163,Assumptions!$B$14)*Assumptions!$B$12,MIN(AS163+$Q163*$V163,Assumptions!$B$14)*Assumptions!$B$13),0)</f>
        <v>0</v>
      </c>
      <c r="AW163" s="249">
        <f>IF(AND(AS163&gt;0,$M163="Non-Saudi"),Assumptions!$B$25,0)</f>
        <v>0</v>
      </c>
      <c r="AX163" s="249">
        <f t="shared" si="63"/>
        <v>0</v>
      </c>
      <c r="AY163" s="249">
        <f t="shared" si="64"/>
        <v>0</v>
      </c>
      <c r="AZ163" s="249">
        <f>IF(AND(AY163&gt;0,$N163&lt;&gt;""),IF((DATE(Assumptions!$B$4,6,28)-$N163)/365.25&lt;=Assumptions!$B$20,(DATE(Assumptions!$B$4,6,28)-$N163)/365.25*Assumptions!$B$18*AY163,(Assumptions!$B$20*Assumptions!$B$18+((DATE(Assumptions!$B$4,6,28)-$N163)/365.25-Assumptions!$B$20)*Assumptions!$B$19)*AY163),0)</f>
        <v>0</v>
      </c>
      <c r="BA163" s="249">
        <f>IF(AX163&gt;0,IF($M163="Saudi",MIN(AX163+$Q163*$V163,Assumptions!$B$14)*Assumptions!$B$12,MIN(AX163+$Q163*$V163,Assumptions!$B$14)*Assumptions!$B$13),0)</f>
        <v>0</v>
      </c>
      <c r="BB163" s="249">
        <f>IF(AND(AX163&gt;0,$M163="Non-Saudi"),Assumptions!$B$25,0)</f>
        <v>0</v>
      </c>
      <c r="BC163" s="249">
        <f t="shared" si="65"/>
        <v>0</v>
      </c>
      <c r="BD163" s="249">
        <f t="shared" si="66"/>
        <v>0</v>
      </c>
      <c r="BE163" s="249">
        <f>IF(AND(BD163&gt;0,$N163&lt;&gt;""),IF((DATE(Assumptions!$B$4,7,28)-$N163)/365.25&lt;=Assumptions!$B$20,(DATE(Assumptions!$B$4,7,28)-$N163)/365.25*Assumptions!$B$18*BD163,(Assumptions!$B$20*Assumptions!$B$18+((DATE(Assumptions!$B$4,7,28)-$N163)/365.25-Assumptions!$B$20)*Assumptions!$B$19)*BD163),0)</f>
        <v>0</v>
      </c>
      <c r="BF163" s="249">
        <f>IF(BC163&gt;0,IF($M163="Saudi",MIN(BC163+$Q163*$V163,Assumptions!$B$14)*Assumptions!$B$12,MIN(BC163+$Q163*$V163,Assumptions!$B$14)*Assumptions!$B$13),0)</f>
        <v>0</v>
      </c>
      <c r="BG163" s="249">
        <f>IF(AND(BC163&gt;0,$M163="Non-Saudi"),Assumptions!$B$25,0)</f>
        <v>0</v>
      </c>
      <c r="BH163" s="249">
        <f t="shared" si="67"/>
        <v>0</v>
      </c>
      <c r="BI163" s="249">
        <f t="shared" si="68"/>
        <v>0</v>
      </c>
      <c r="BJ163" s="249">
        <f>IF(AND(BI163&gt;0,$N163&lt;&gt;""),IF((DATE(Assumptions!$B$4,8,28)-$N163)/365.25&lt;=Assumptions!$B$20,(DATE(Assumptions!$B$4,8,28)-$N163)/365.25*Assumptions!$B$18*BI163,(Assumptions!$B$20*Assumptions!$B$18+((DATE(Assumptions!$B$4,8,28)-$N163)/365.25-Assumptions!$B$20)*Assumptions!$B$19)*BI163),0)</f>
        <v>0</v>
      </c>
      <c r="BK163" s="249">
        <f>IF(BH163&gt;0,IF($M163="Saudi",MIN(BH163+$Q163*$V163,Assumptions!$B$14)*Assumptions!$B$12,MIN(BH163+$Q163*$V163,Assumptions!$B$14)*Assumptions!$B$13),0)</f>
        <v>0</v>
      </c>
      <c r="BL163" s="249">
        <f>IF(AND(BH163&gt;0,$M163="Non-Saudi"),Assumptions!$B$25,0)</f>
        <v>0</v>
      </c>
      <c r="BM163" s="249">
        <f>IF(AND($D163="Contrat Local",$N163&lt;&gt;""),IF(AND(9&gt;=Assumptions!$B$5,ISNUMBER($X163),$N163&lt;EDATE(Assumptions!$B$9,-Assumptions!$B$6*12)),($P163+$X163)*$V163,$P163*$V163),0)</f>
        <v>0</v>
      </c>
      <c r="BN163" s="249">
        <f t="shared" si="69"/>
        <v>0</v>
      </c>
      <c r="BO163" s="249">
        <f>IF(AND(BN163&gt;0,$N163&lt;&gt;""),IF((DATE(Assumptions!$B$4,9,28)-$N163)/365.25&lt;=Assumptions!$B$20,(DATE(Assumptions!$B$4,9,28)-$N163)/365.25*Assumptions!$B$18*BN163,(Assumptions!$B$20*Assumptions!$B$18+((DATE(Assumptions!$B$4,9,28)-$N163)/365.25-Assumptions!$B$20)*Assumptions!$B$19)*BN163),0)</f>
        <v>0</v>
      </c>
      <c r="BP163" s="249">
        <f>IF(BM163&gt;0,IF($M163="Saudi",MIN(BM163+$Q163*$V163,Assumptions!$B$14)*Assumptions!$B$12,MIN(BM163+$Q163*$V163,Assumptions!$B$14)*Assumptions!$B$13),0)</f>
        <v>0</v>
      </c>
      <c r="BQ163" s="249">
        <f>IF(AND(BM163&gt;0,$M163="Non-Saudi"),Assumptions!$B$25,0)</f>
        <v>0</v>
      </c>
      <c r="BR163" s="249">
        <f>IF(AND($D163="Contrat Local",$N163&lt;&gt;""),IF(AND(10&gt;=Assumptions!$B$5,ISNUMBER($X163),$N163&lt;EDATE(Assumptions!$B$9,-Assumptions!$B$6*12)),($P163+$X163)*$V163,$P163*$V163),0)</f>
        <v>0</v>
      </c>
      <c r="BS163" s="249">
        <f t="shared" si="70"/>
        <v>0</v>
      </c>
      <c r="BT163" s="249">
        <f>IF(AND(BS163&gt;0,$N163&lt;&gt;""),IF((DATE(Assumptions!$B$4,10,28)-$N163)/365.25&lt;=Assumptions!$B$20,(DATE(Assumptions!$B$4,10,28)-$N163)/365.25*Assumptions!$B$18*BS163,(Assumptions!$B$20*Assumptions!$B$18+((DATE(Assumptions!$B$4,10,28)-$N163)/365.25-Assumptions!$B$20)*Assumptions!$B$19)*BS163),0)</f>
        <v>0</v>
      </c>
      <c r="BU163" s="249">
        <f>IF(BR163&gt;0,IF($M163="Saudi",MIN(BR163+$Q163*$V163,Assumptions!$B$14)*Assumptions!$B$12,MIN(BR163+$Q163*$V163,Assumptions!$B$14)*Assumptions!$B$13),0)</f>
        <v>0</v>
      </c>
      <c r="BV163" s="249">
        <f>IF(AND(BR163&gt;0,$M163="Non-Saudi"),Assumptions!$B$25,0)</f>
        <v>0</v>
      </c>
      <c r="BW163" s="249">
        <f>IF(AND($D163="Contrat Local",$N163&lt;&gt;""),IF(AND(11&gt;=Assumptions!$B$5,ISNUMBER($X163),$N163&lt;EDATE(Assumptions!$B$9,-Assumptions!$B$6*12)),($P163+$X163)*$V163,$P163*$V163),0)</f>
        <v>0</v>
      </c>
      <c r="BX163" s="249">
        <f t="shared" si="71"/>
        <v>0</v>
      </c>
      <c r="BY163" s="249">
        <f>IF(AND(BX163&gt;0,$N163&lt;&gt;""),IF((DATE(Assumptions!$B$4,11,28)-$N163)/365.25&lt;=Assumptions!$B$20,(DATE(Assumptions!$B$4,11,28)-$N163)/365.25*Assumptions!$B$18*BX163,(Assumptions!$B$20*Assumptions!$B$18+((DATE(Assumptions!$B$4,11,28)-$N163)/365.25-Assumptions!$B$20)*Assumptions!$B$19)*BX163),0)</f>
        <v>0</v>
      </c>
      <c r="BZ163" s="249">
        <f>IF(BW163&gt;0,IF($M163="Saudi",MIN(BW163+$Q163*$V163,Assumptions!$B$14)*Assumptions!$B$12,MIN(BW163+$Q163*$V163,Assumptions!$B$14)*Assumptions!$B$13),0)</f>
        <v>0</v>
      </c>
      <c r="CA163" s="249">
        <f>IF(AND(BW163&gt;0,$M163="Non-Saudi"),Assumptions!$B$25,0)</f>
        <v>0</v>
      </c>
      <c r="CB163" s="249">
        <f>IF(AND($D163="Contrat Local",$N163&lt;&gt;""),IF(AND(12&gt;=Assumptions!$B$5,ISNUMBER($X163),$N163&lt;EDATE(Assumptions!$B$9,-Assumptions!$B$6*12)),($P163+$X163)*$V163,$P163*$V163),0)</f>
        <v>0</v>
      </c>
      <c r="CC163" s="249">
        <f t="shared" si="72"/>
        <v>0</v>
      </c>
      <c r="CD163" s="249">
        <f>IF(AND(CC163&gt;0,$N163&lt;&gt;""),IF((DATE(Assumptions!$B$4,12,28)-$N163)/365.25&lt;=Assumptions!$B$20,(DATE(Assumptions!$B$4,12,28)-$N163)/365.25*Assumptions!$B$18*CC163,(Assumptions!$B$20*Assumptions!$B$18+((DATE(Assumptions!$B$4,12,28)-$N163)/365.25-Assumptions!$B$20)*Assumptions!$B$19)*CC163),0)</f>
        <v>0</v>
      </c>
      <c r="CE163" s="249">
        <f>IF(CB163&gt;0,IF($M163="Saudi",MIN(CB163+$Q163*$V163,Assumptions!$B$14)*Assumptions!$B$12,MIN(CB163+$Q163*$V163,Assumptions!$B$14)*Assumptions!$B$13),0)</f>
        <v>0</v>
      </c>
      <c r="CF163" s="249">
        <f>IF(AND(CB163&gt;0,$M163="Non-Saudi"),Assumptions!$B$25,0)</f>
        <v>0</v>
      </c>
      <c r="CG163" s="249">
        <f t="shared" si="73"/>
        <v>0</v>
      </c>
      <c r="CH163" s="249">
        <f t="shared" si="74"/>
        <v>0</v>
      </c>
      <c r="CI163" s="249">
        <f>CD163-IF(AND(Z163&gt;0,$N163&lt;&gt;""),IF((DATE(Assumptions!$B$4-1,12,28)-$N163)/365.25&lt;=Assumptions!$B$20,(DATE(Assumptions!$B$4-1,12,28)-$N163)/365.25*Assumptions!$B$18*Z163,(Assumptions!$B$20*Assumptions!$B$18+((DATE(Assumptions!$B$4-1,12,28)-$N163)/365.25-Assumptions!$B$20)*Assumptions!$B$19)*Z163),0)</f>
        <v>0</v>
      </c>
      <c r="CJ163" s="249">
        <f t="shared" si="75"/>
        <v>0</v>
      </c>
      <c r="CK163" s="249">
        <f t="shared" si="76"/>
        <v>0</v>
      </c>
    </row>
    <row r="164" spans="1:89" x14ac:dyDescent="0.2">
      <c r="A164" s="264">
        <v>167</v>
      </c>
      <c r="B164" s="265" t="s">
        <v>786</v>
      </c>
      <c r="C164" s="265" t="s">
        <v>623</v>
      </c>
      <c r="D164" s="265" t="s">
        <v>250</v>
      </c>
      <c r="E164" s="265" t="s">
        <v>767</v>
      </c>
      <c r="F164" s="265" t="s">
        <v>787</v>
      </c>
      <c r="G164" s="265" t="s">
        <v>272</v>
      </c>
      <c r="H164" s="265" t="s">
        <v>788</v>
      </c>
      <c r="I164" s="284" t="s">
        <v>690</v>
      </c>
      <c r="J164" s="265"/>
      <c r="K164" s="265" t="s">
        <v>272</v>
      </c>
      <c r="L164" s="265" t="s">
        <v>255</v>
      </c>
      <c r="M164" s="265" t="s">
        <v>772</v>
      </c>
      <c r="N164" s="266"/>
      <c r="O164" s="267"/>
      <c r="P164" s="268">
        <v>7400</v>
      </c>
      <c r="Q164" s="268">
        <v>2500</v>
      </c>
      <c r="R164" s="268">
        <v>500</v>
      </c>
      <c r="S164" s="268"/>
      <c r="T164" s="268"/>
      <c r="U164" s="268">
        <v>10400</v>
      </c>
      <c r="V164" s="269">
        <v>1</v>
      </c>
      <c r="W164" s="265" t="s">
        <v>259</v>
      </c>
      <c r="X164" s="265"/>
      <c r="Y164" s="249">
        <f t="shared" si="53"/>
        <v>0</v>
      </c>
      <c r="Z164" s="249">
        <f t="shared" si="54"/>
        <v>0</v>
      </c>
      <c r="AA164" s="249">
        <f>IF(AND(Z164&gt;0,$N164&lt;&gt;""),IF((DATE(Assumptions!$B$4,1,28)-$N164)/365.25&lt;=Assumptions!$B$20,(DATE(Assumptions!$B$4,1,28)-$N164)/365.25*Assumptions!$B$18*Z164,(Assumptions!$B$20*Assumptions!$B$18+((DATE(Assumptions!$B$4,1,28)-$N164)/365.25-Assumptions!$B$20)*Assumptions!$B$19)*Z164),0)</f>
        <v>0</v>
      </c>
      <c r="AB164" s="249">
        <f>IF(Y164&gt;0,IF($M164="Saudi",MIN(Y164+$Q164*$V164,Assumptions!$B$14)*Assumptions!$B$12,MIN(Y164+$Q164*$V164,Assumptions!$B$14)*Assumptions!$B$13),0)</f>
        <v>0</v>
      </c>
      <c r="AC164" s="249">
        <f>IF(AND(Y164&gt;0,$M164="Non-Saudi"),Assumptions!$B$25,0)</f>
        <v>0</v>
      </c>
      <c r="AD164" s="249">
        <f t="shared" si="55"/>
        <v>0</v>
      </c>
      <c r="AE164" s="249">
        <f t="shared" si="56"/>
        <v>0</v>
      </c>
      <c r="AF164" s="249">
        <f>IF(AND(AE164&gt;0,$N164&lt;&gt;""),IF((DATE(Assumptions!$B$4,2,28)-$N164)/365.25&lt;=Assumptions!$B$20,(DATE(Assumptions!$B$4,2,28)-$N164)/365.25*Assumptions!$B$18*AE164,(Assumptions!$B$20*Assumptions!$B$18+((DATE(Assumptions!$B$4,2,28)-$N164)/365.25-Assumptions!$B$20)*Assumptions!$B$19)*AE164),0)</f>
        <v>0</v>
      </c>
      <c r="AG164" s="249">
        <f>IF(AD164&gt;0,IF($M164="Saudi",MIN(AD164+$Q164*$V164,Assumptions!$B$14)*Assumptions!$B$12,MIN(AD164+$Q164*$V164,Assumptions!$B$14)*Assumptions!$B$13),0)</f>
        <v>0</v>
      </c>
      <c r="AH164" s="249">
        <f>IF(AND(AD164&gt;0,$M164="Non-Saudi"),Assumptions!$B$25,0)</f>
        <v>0</v>
      </c>
      <c r="AI164" s="249">
        <f t="shared" si="57"/>
        <v>0</v>
      </c>
      <c r="AJ164" s="249">
        <f t="shared" si="58"/>
        <v>0</v>
      </c>
      <c r="AK164" s="249">
        <f>IF(AND(AJ164&gt;0,$N164&lt;&gt;""),IF((DATE(Assumptions!$B$4,3,28)-$N164)/365.25&lt;=Assumptions!$B$20,(DATE(Assumptions!$B$4,3,28)-$N164)/365.25*Assumptions!$B$18*AJ164,(Assumptions!$B$20*Assumptions!$B$18+((DATE(Assumptions!$B$4,3,28)-$N164)/365.25-Assumptions!$B$20)*Assumptions!$B$19)*AJ164),0)</f>
        <v>0</v>
      </c>
      <c r="AL164" s="249">
        <f>IF(AI164&gt;0,IF($M164="Saudi",MIN(AI164+$Q164*$V164,Assumptions!$B$14)*Assumptions!$B$12,MIN(AI164+$Q164*$V164,Assumptions!$B$14)*Assumptions!$B$13),0)</f>
        <v>0</v>
      </c>
      <c r="AM164" s="249">
        <f>IF(AND(AI164&gt;0,$M164="Non-Saudi"),Assumptions!$B$25,0)</f>
        <v>0</v>
      </c>
      <c r="AN164" s="249">
        <f t="shared" si="59"/>
        <v>0</v>
      </c>
      <c r="AO164" s="249">
        <f t="shared" si="60"/>
        <v>0</v>
      </c>
      <c r="AP164" s="249">
        <f>IF(AND(AO164&gt;0,$N164&lt;&gt;""),IF((DATE(Assumptions!$B$4,4,28)-$N164)/365.25&lt;=Assumptions!$B$20,(DATE(Assumptions!$B$4,4,28)-$N164)/365.25*Assumptions!$B$18*AO164,(Assumptions!$B$20*Assumptions!$B$18+((DATE(Assumptions!$B$4,4,28)-$N164)/365.25-Assumptions!$B$20)*Assumptions!$B$19)*AO164),0)</f>
        <v>0</v>
      </c>
      <c r="AQ164" s="249">
        <f>IF(AN164&gt;0,IF($M164="Saudi",MIN(AN164+$Q164*$V164,Assumptions!$B$14)*Assumptions!$B$12,MIN(AN164+$Q164*$V164,Assumptions!$B$14)*Assumptions!$B$13),0)</f>
        <v>0</v>
      </c>
      <c r="AR164" s="249">
        <f>IF(AND(AN164&gt;0,$M164="Non-Saudi"),Assumptions!$B$25,0)</f>
        <v>0</v>
      </c>
      <c r="AS164" s="249">
        <f t="shared" si="61"/>
        <v>0</v>
      </c>
      <c r="AT164" s="249">
        <f t="shared" si="62"/>
        <v>0</v>
      </c>
      <c r="AU164" s="249">
        <f>IF(AND(AT164&gt;0,$N164&lt;&gt;""),IF((DATE(Assumptions!$B$4,5,28)-$N164)/365.25&lt;=Assumptions!$B$20,(DATE(Assumptions!$B$4,5,28)-$N164)/365.25*Assumptions!$B$18*AT164,(Assumptions!$B$20*Assumptions!$B$18+((DATE(Assumptions!$B$4,5,28)-$N164)/365.25-Assumptions!$B$20)*Assumptions!$B$19)*AT164),0)</f>
        <v>0</v>
      </c>
      <c r="AV164" s="249">
        <f>IF(AS164&gt;0,IF($M164="Saudi",MIN(AS164+$Q164*$V164,Assumptions!$B$14)*Assumptions!$B$12,MIN(AS164+$Q164*$V164,Assumptions!$B$14)*Assumptions!$B$13),0)</f>
        <v>0</v>
      </c>
      <c r="AW164" s="249">
        <f>IF(AND(AS164&gt;0,$M164="Non-Saudi"),Assumptions!$B$25,0)</f>
        <v>0</v>
      </c>
      <c r="AX164" s="249">
        <f t="shared" si="63"/>
        <v>0</v>
      </c>
      <c r="AY164" s="249">
        <f t="shared" si="64"/>
        <v>0</v>
      </c>
      <c r="AZ164" s="249">
        <f>IF(AND(AY164&gt;0,$N164&lt;&gt;""),IF((DATE(Assumptions!$B$4,6,28)-$N164)/365.25&lt;=Assumptions!$B$20,(DATE(Assumptions!$B$4,6,28)-$N164)/365.25*Assumptions!$B$18*AY164,(Assumptions!$B$20*Assumptions!$B$18+((DATE(Assumptions!$B$4,6,28)-$N164)/365.25-Assumptions!$B$20)*Assumptions!$B$19)*AY164),0)</f>
        <v>0</v>
      </c>
      <c r="BA164" s="249">
        <f>IF(AX164&gt;0,IF($M164="Saudi",MIN(AX164+$Q164*$V164,Assumptions!$B$14)*Assumptions!$B$12,MIN(AX164+$Q164*$V164,Assumptions!$B$14)*Assumptions!$B$13),0)</f>
        <v>0</v>
      </c>
      <c r="BB164" s="249">
        <f>IF(AND(AX164&gt;0,$M164="Non-Saudi"),Assumptions!$B$25,0)</f>
        <v>0</v>
      </c>
      <c r="BC164" s="249">
        <f t="shared" si="65"/>
        <v>0</v>
      </c>
      <c r="BD164" s="249">
        <f t="shared" si="66"/>
        <v>0</v>
      </c>
      <c r="BE164" s="249">
        <f>IF(AND(BD164&gt;0,$N164&lt;&gt;""),IF((DATE(Assumptions!$B$4,7,28)-$N164)/365.25&lt;=Assumptions!$B$20,(DATE(Assumptions!$B$4,7,28)-$N164)/365.25*Assumptions!$B$18*BD164,(Assumptions!$B$20*Assumptions!$B$18+((DATE(Assumptions!$B$4,7,28)-$N164)/365.25-Assumptions!$B$20)*Assumptions!$B$19)*BD164),0)</f>
        <v>0</v>
      </c>
      <c r="BF164" s="249">
        <f>IF(BC164&gt;0,IF($M164="Saudi",MIN(BC164+$Q164*$V164,Assumptions!$B$14)*Assumptions!$B$12,MIN(BC164+$Q164*$V164,Assumptions!$B$14)*Assumptions!$B$13),0)</f>
        <v>0</v>
      </c>
      <c r="BG164" s="249">
        <f>IF(AND(BC164&gt;0,$M164="Non-Saudi"),Assumptions!$B$25,0)</f>
        <v>0</v>
      </c>
      <c r="BH164" s="249">
        <f t="shared" si="67"/>
        <v>0</v>
      </c>
      <c r="BI164" s="249">
        <f t="shared" si="68"/>
        <v>0</v>
      </c>
      <c r="BJ164" s="249">
        <f>IF(AND(BI164&gt;0,$N164&lt;&gt;""),IF((DATE(Assumptions!$B$4,8,28)-$N164)/365.25&lt;=Assumptions!$B$20,(DATE(Assumptions!$B$4,8,28)-$N164)/365.25*Assumptions!$B$18*BI164,(Assumptions!$B$20*Assumptions!$B$18+((DATE(Assumptions!$B$4,8,28)-$N164)/365.25-Assumptions!$B$20)*Assumptions!$B$19)*BI164),0)</f>
        <v>0</v>
      </c>
      <c r="BK164" s="249">
        <f>IF(BH164&gt;0,IF($M164="Saudi",MIN(BH164+$Q164*$V164,Assumptions!$B$14)*Assumptions!$B$12,MIN(BH164+$Q164*$V164,Assumptions!$B$14)*Assumptions!$B$13),0)</f>
        <v>0</v>
      </c>
      <c r="BL164" s="249">
        <f>IF(AND(BH164&gt;0,$M164="Non-Saudi"),Assumptions!$B$25,0)</f>
        <v>0</v>
      </c>
      <c r="BM164" s="249">
        <f>IF(AND($D164="Contrat Local",$N164&lt;&gt;""),IF(AND(9&gt;=Assumptions!$B$5,ISNUMBER($X164),$N164&lt;EDATE(Assumptions!$B$9,-Assumptions!$B$6*12)),($P164+$X164)*$V164,$P164*$V164),0)</f>
        <v>0</v>
      </c>
      <c r="BN164" s="249">
        <f t="shared" si="69"/>
        <v>0</v>
      </c>
      <c r="BO164" s="249">
        <f>IF(AND(BN164&gt;0,$N164&lt;&gt;""),IF((DATE(Assumptions!$B$4,9,28)-$N164)/365.25&lt;=Assumptions!$B$20,(DATE(Assumptions!$B$4,9,28)-$N164)/365.25*Assumptions!$B$18*BN164,(Assumptions!$B$20*Assumptions!$B$18+((DATE(Assumptions!$B$4,9,28)-$N164)/365.25-Assumptions!$B$20)*Assumptions!$B$19)*BN164),0)</f>
        <v>0</v>
      </c>
      <c r="BP164" s="249">
        <f>IF(BM164&gt;0,IF($M164="Saudi",MIN(BM164+$Q164*$V164,Assumptions!$B$14)*Assumptions!$B$12,MIN(BM164+$Q164*$V164,Assumptions!$B$14)*Assumptions!$B$13),0)</f>
        <v>0</v>
      </c>
      <c r="BQ164" s="249">
        <f>IF(AND(BM164&gt;0,$M164="Non-Saudi"),Assumptions!$B$25,0)</f>
        <v>0</v>
      </c>
      <c r="BR164" s="249">
        <f>IF(AND($D164="Contrat Local",$N164&lt;&gt;""),IF(AND(10&gt;=Assumptions!$B$5,ISNUMBER($X164),$N164&lt;EDATE(Assumptions!$B$9,-Assumptions!$B$6*12)),($P164+$X164)*$V164,$P164*$V164),0)</f>
        <v>0</v>
      </c>
      <c r="BS164" s="249">
        <f t="shared" si="70"/>
        <v>0</v>
      </c>
      <c r="BT164" s="249">
        <f>IF(AND(BS164&gt;0,$N164&lt;&gt;""),IF((DATE(Assumptions!$B$4,10,28)-$N164)/365.25&lt;=Assumptions!$B$20,(DATE(Assumptions!$B$4,10,28)-$N164)/365.25*Assumptions!$B$18*BS164,(Assumptions!$B$20*Assumptions!$B$18+((DATE(Assumptions!$B$4,10,28)-$N164)/365.25-Assumptions!$B$20)*Assumptions!$B$19)*BS164),0)</f>
        <v>0</v>
      </c>
      <c r="BU164" s="249">
        <f>IF(BR164&gt;0,IF($M164="Saudi",MIN(BR164+$Q164*$V164,Assumptions!$B$14)*Assumptions!$B$12,MIN(BR164+$Q164*$V164,Assumptions!$B$14)*Assumptions!$B$13),0)</f>
        <v>0</v>
      </c>
      <c r="BV164" s="249">
        <f>IF(AND(BR164&gt;0,$M164="Non-Saudi"),Assumptions!$B$25,0)</f>
        <v>0</v>
      </c>
      <c r="BW164" s="249">
        <f>IF(AND($D164="Contrat Local",$N164&lt;&gt;""),IF(AND(11&gt;=Assumptions!$B$5,ISNUMBER($X164),$N164&lt;EDATE(Assumptions!$B$9,-Assumptions!$B$6*12)),($P164+$X164)*$V164,$P164*$V164),0)</f>
        <v>0</v>
      </c>
      <c r="BX164" s="249">
        <f t="shared" si="71"/>
        <v>0</v>
      </c>
      <c r="BY164" s="249">
        <f>IF(AND(BX164&gt;0,$N164&lt;&gt;""),IF((DATE(Assumptions!$B$4,11,28)-$N164)/365.25&lt;=Assumptions!$B$20,(DATE(Assumptions!$B$4,11,28)-$N164)/365.25*Assumptions!$B$18*BX164,(Assumptions!$B$20*Assumptions!$B$18+((DATE(Assumptions!$B$4,11,28)-$N164)/365.25-Assumptions!$B$20)*Assumptions!$B$19)*BX164),0)</f>
        <v>0</v>
      </c>
      <c r="BZ164" s="249">
        <f>IF(BW164&gt;0,IF($M164="Saudi",MIN(BW164+$Q164*$V164,Assumptions!$B$14)*Assumptions!$B$12,MIN(BW164+$Q164*$V164,Assumptions!$B$14)*Assumptions!$B$13),0)</f>
        <v>0</v>
      </c>
      <c r="CA164" s="249">
        <f>IF(AND(BW164&gt;0,$M164="Non-Saudi"),Assumptions!$B$25,0)</f>
        <v>0</v>
      </c>
      <c r="CB164" s="249">
        <f>IF(AND($D164="Contrat Local",$N164&lt;&gt;""),IF(AND(12&gt;=Assumptions!$B$5,ISNUMBER($X164),$N164&lt;EDATE(Assumptions!$B$9,-Assumptions!$B$6*12)),($P164+$X164)*$V164,$P164*$V164),0)</f>
        <v>0</v>
      </c>
      <c r="CC164" s="249">
        <f t="shared" si="72"/>
        <v>0</v>
      </c>
      <c r="CD164" s="249">
        <f>IF(AND(CC164&gt;0,$N164&lt;&gt;""),IF((DATE(Assumptions!$B$4,12,28)-$N164)/365.25&lt;=Assumptions!$B$20,(DATE(Assumptions!$B$4,12,28)-$N164)/365.25*Assumptions!$B$18*CC164,(Assumptions!$B$20*Assumptions!$B$18+((DATE(Assumptions!$B$4,12,28)-$N164)/365.25-Assumptions!$B$20)*Assumptions!$B$19)*CC164),0)</f>
        <v>0</v>
      </c>
      <c r="CE164" s="249">
        <f>IF(CB164&gt;0,IF($M164="Saudi",MIN(CB164+$Q164*$V164,Assumptions!$B$14)*Assumptions!$B$12,MIN(CB164+$Q164*$V164,Assumptions!$B$14)*Assumptions!$B$13),0)</f>
        <v>0</v>
      </c>
      <c r="CF164" s="249">
        <f>IF(AND(CB164&gt;0,$M164="Non-Saudi"),Assumptions!$B$25,0)</f>
        <v>0</v>
      </c>
      <c r="CG164" s="249">
        <f t="shared" si="73"/>
        <v>0</v>
      </c>
      <c r="CH164" s="249">
        <f t="shared" si="74"/>
        <v>0</v>
      </c>
      <c r="CI164" s="249">
        <f>CD164-IF(AND(Z164&gt;0,$N164&lt;&gt;""),IF((DATE(Assumptions!$B$4-1,12,28)-$N164)/365.25&lt;=Assumptions!$B$20,(DATE(Assumptions!$B$4-1,12,28)-$N164)/365.25*Assumptions!$B$18*Z164,(Assumptions!$B$20*Assumptions!$B$18+((DATE(Assumptions!$B$4-1,12,28)-$N164)/365.25-Assumptions!$B$20)*Assumptions!$B$19)*Z164),0)</f>
        <v>0</v>
      </c>
      <c r="CJ164" s="249">
        <f t="shared" si="75"/>
        <v>0</v>
      </c>
      <c r="CK164" s="249">
        <f t="shared" si="76"/>
        <v>0</v>
      </c>
    </row>
    <row r="165" spans="1:89" s="292" customFormat="1" x14ac:dyDescent="0.2">
      <c r="A165" s="350">
        <v>161</v>
      </c>
      <c r="B165" s="351" t="s">
        <v>626</v>
      </c>
      <c r="C165" s="351" t="s">
        <v>627</v>
      </c>
      <c r="D165" s="351" t="s">
        <v>628</v>
      </c>
      <c r="E165" s="351" t="s">
        <v>792</v>
      </c>
      <c r="F165" s="351" t="s">
        <v>629</v>
      </c>
      <c r="G165" s="351" t="s">
        <v>630</v>
      </c>
      <c r="H165" s="351" t="s">
        <v>631</v>
      </c>
      <c r="I165" s="352" t="s">
        <v>690</v>
      </c>
      <c r="J165" s="351"/>
      <c r="K165" s="351" t="s">
        <v>630</v>
      </c>
      <c r="L165" s="351" t="s">
        <v>628</v>
      </c>
      <c r="M165" s="351" t="str">
        <f t="shared" ref="M165:M191" si="77">IF(D165="Titulaire EN","",IF(OR(B165="AL OSSAIMI AL OTAIBI",B165="ALAMRI"),"Saudi","Non-Saudi"))</f>
        <v/>
      </c>
      <c r="N165" s="353"/>
      <c r="O165" s="354"/>
      <c r="P165" s="355"/>
      <c r="Q165" s="355"/>
      <c r="R165" s="355"/>
      <c r="S165" s="355"/>
      <c r="T165" s="355"/>
      <c r="U165" s="355"/>
      <c r="V165" s="356"/>
      <c r="W165" s="351" t="s">
        <v>632</v>
      </c>
      <c r="X165" s="351" t="s">
        <v>632</v>
      </c>
      <c r="BD165" s="249">
        <f t="shared" si="66"/>
        <v>0</v>
      </c>
      <c r="BE165" s="249">
        <f>IF(AND(BD165&gt;0,$N165&lt;&gt;""),IF((DATE(Assumptions!$B$4,7,28)-$N165)/365.25&lt;=Assumptions!$B$20,(DATE(Assumptions!$B$4,7,28)-$N165)/365.25*Assumptions!$B$18*BD165,(Assumptions!$B$20*Assumptions!$B$18+((DATE(Assumptions!$B$4,7,28)-$N165)/365.25-Assumptions!$B$20)*Assumptions!$B$19)*BD165),0)</f>
        <v>0</v>
      </c>
      <c r="BF165" s="249">
        <f>IF(BC165&gt;0,IF($M165="Saudi",MIN(BC165+$Q165*$V165,Assumptions!$B$14)*Assumptions!$B$12,MIN(BC165+$Q165*$V165,Assumptions!$B$14)*Assumptions!$B$13),0)</f>
        <v>0</v>
      </c>
      <c r="BG165" s="249">
        <f>IF(AND(BC165&gt;0,$M165="Non-Saudi"),Assumptions!$B$25,0)</f>
        <v>0</v>
      </c>
      <c r="BH165" s="249">
        <f t="shared" si="67"/>
        <v>0</v>
      </c>
      <c r="BI165" s="249">
        <f t="shared" si="68"/>
        <v>0</v>
      </c>
      <c r="BJ165" s="249">
        <f>IF(AND(BI165&gt;0,$N165&lt;&gt;""),IF((DATE(Assumptions!$B$4,8,28)-$N165)/365.25&lt;=Assumptions!$B$20,(DATE(Assumptions!$B$4,8,28)-$N165)/365.25*Assumptions!$B$18*BI165,(Assumptions!$B$20*Assumptions!$B$18+((DATE(Assumptions!$B$4,8,28)-$N165)/365.25-Assumptions!$B$20)*Assumptions!$B$19)*BI165),0)</f>
        <v>0</v>
      </c>
      <c r="BK165" s="249">
        <f>IF(BH165&gt;0,IF($M165="Saudi",MIN(BH165+$Q165*$V165,Assumptions!$B$14)*Assumptions!$B$12,MIN(BH165+$Q165*$V165,Assumptions!$B$14)*Assumptions!$B$13),0)</f>
        <v>0</v>
      </c>
      <c r="BL165" s="249">
        <f>IF(AND(BH165&gt;0,$M165="Non-Saudi"),Assumptions!$B$25,0)</f>
        <v>0</v>
      </c>
      <c r="BM165" s="249">
        <f>IF(AND($D165="Contrat Local",$N165&lt;&gt;""),IF(AND(9&gt;=Assumptions!$B$5,ISNUMBER($X165),$N165&lt;EDATE(Assumptions!$B$9,-Assumptions!$B$6*12)),($P165+$X165)*$V165,$P165*$V165),0)</f>
        <v>0</v>
      </c>
      <c r="BN165" s="249">
        <f t="shared" si="69"/>
        <v>0</v>
      </c>
      <c r="BO165" s="249">
        <f>IF(AND(BN165&gt;0,$N165&lt;&gt;""),IF((DATE(Assumptions!$B$4,9,28)-$N165)/365.25&lt;=Assumptions!$B$20,(DATE(Assumptions!$B$4,9,28)-$N165)/365.25*Assumptions!$B$18*BN165,(Assumptions!$B$20*Assumptions!$B$18+((DATE(Assumptions!$B$4,9,28)-$N165)/365.25-Assumptions!$B$20)*Assumptions!$B$19)*BN165),0)</f>
        <v>0</v>
      </c>
      <c r="BP165" s="249">
        <f>IF(BM165&gt;0,IF($M165="Saudi",MIN(BM165+$Q165*$V165,Assumptions!$B$14)*Assumptions!$B$12,MIN(BM165+$Q165*$V165,Assumptions!$B$14)*Assumptions!$B$13),0)</f>
        <v>0</v>
      </c>
      <c r="BQ165" s="249">
        <f>IF(AND(BM165&gt;0,$M165="Non-Saudi"),Assumptions!$B$25,0)</f>
        <v>0</v>
      </c>
      <c r="BR165" s="249">
        <f>IF(AND($D165="Contrat Local",$N165&lt;&gt;""),IF(AND(10&gt;=Assumptions!$B$5,ISNUMBER($X165),$N165&lt;EDATE(Assumptions!$B$9,-Assumptions!$B$6*12)),($P165+$X165)*$V165,$P165*$V165),0)</f>
        <v>0</v>
      </c>
      <c r="BS165" s="249">
        <f t="shared" si="70"/>
        <v>0</v>
      </c>
      <c r="BT165" s="249">
        <f>IF(AND(BS165&gt;0,$N165&lt;&gt;""),IF((DATE(Assumptions!$B$4,10,28)-$N165)/365.25&lt;=Assumptions!$B$20,(DATE(Assumptions!$B$4,10,28)-$N165)/365.25*Assumptions!$B$18*BS165,(Assumptions!$B$20*Assumptions!$B$18+((DATE(Assumptions!$B$4,10,28)-$N165)/365.25-Assumptions!$B$20)*Assumptions!$B$19)*BS165),0)</f>
        <v>0</v>
      </c>
      <c r="BU165" s="249">
        <f>IF(BR165&gt;0,IF($M165="Saudi",MIN(BR165+$Q165*$V165,Assumptions!$B$14)*Assumptions!$B$12,MIN(BR165+$Q165*$V165,Assumptions!$B$14)*Assumptions!$B$13),0)</f>
        <v>0</v>
      </c>
      <c r="BV165" s="249">
        <f>IF(AND(BR165&gt;0,$M165="Non-Saudi"),Assumptions!$B$25,0)</f>
        <v>0</v>
      </c>
      <c r="BW165" s="249">
        <f>IF(AND($D165="Contrat Local",$N165&lt;&gt;""),IF(AND(11&gt;=Assumptions!$B$5,ISNUMBER($X165),$N165&lt;EDATE(Assumptions!$B$9,-Assumptions!$B$6*12)),($P165+$X165)*$V165,$P165*$V165),0)</f>
        <v>0</v>
      </c>
      <c r="BX165" s="249">
        <f t="shared" si="71"/>
        <v>0</v>
      </c>
      <c r="BY165" s="249">
        <f>IF(AND(BX165&gt;0,$N165&lt;&gt;""),IF((DATE(Assumptions!$B$4,11,28)-$N165)/365.25&lt;=Assumptions!$B$20,(DATE(Assumptions!$B$4,11,28)-$N165)/365.25*Assumptions!$B$18*BX165,(Assumptions!$B$20*Assumptions!$B$18+((DATE(Assumptions!$B$4,11,28)-$N165)/365.25-Assumptions!$B$20)*Assumptions!$B$19)*BX165),0)</f>
        <v>0</v>
      </c>
      <c r="BZ165" s="249">
        <f>IF(BW165&gt;0,IF($M165="Saudi",MIN(BW165+$Q165*$V165,Assumptions!$B$14)*Assumptions!$B$12,MIN(BW165+$Q165*$V165,Assumptions!$B$14)*Assumptions!$B$13),0)</f>
        <v>0</v>
      </c>
      <c r="CA165" s="249">
        <f>IF(AND(BW165&gt;0,$M165="Non-Saudi"),Assumptions!$B$25,0)</f>
        <v>0</v>
      </c>
      <c r="CB165" s="249">
        <f>IF(AND($D165="Contrat Local",$N165&lt;&gt;""),IF(AND(12&gt;=Assumptions!$B$5,ISNUMBER($X165),$N165&lt;EDATE(Assumptions!$B$9,-Assumptions!$B$6*12)),($P165+$X165)*$V165,$P165*$V165),0)</f>
        <v>0</v>
      </c>
      <c r="CC165" s="249">
        <f t="shared" si="72"/>
        <v>0</v>
      </c>
      <c r="CD165" s="249">
        <f>IF(AND(CC165&gt;0,$N165&lt;&gt;""),IF((DATE(Assumptions!$B$4,12,28)-$N165)/365.25&lt;=Assumptions!$B$20,(DATE(Assumptions!$B$4,12,28)-$N165)/365.25*Assumptions!$B$18*CC165,(Assumptions!$B$20*Assumptions!$B$18+((DATE(Assumptions!$B$4,12,28)-$N165)/365.25-Assumptions!$B$20)*Assumptions!$B$19)*CC165),0)</f>
        <v>0</v>
      </c>
      <c r="CE165" s="249">
        <f>IF(CB165&gt;0,IF($M165="Saudi",MIN(CB165+$Q165*$V165,Assumptions!$B$14)*Assumptions!$B$12,MIN(CB165+$Q165*$V165,Assumptions!$B$14)*Assumptions!$B$13),0)</f>
        <v>0</v>
      </c>
      <c r="CF165" s="249">
        <f>IF(AND(CB165&gt;0,$M165="Non-Saudi"),Assumptions!$B$25,0)</f>
        <v>0</v>
      </c>
      <c r="CG165" s="249">
        <f t="shared" ref="CG165:CG190" si="78">Y165+AD165+AI165+AN165+AS165+AX165+BC165+BH165+BM165+BR165+BW165+CB165</f>
        <v>0</v>
      </c>
      <c r="CH165" s="249">
        <f t="shared" ref="CH165:CH190" si="79">Z165+AE165+AJ165+AO165+AT165+AY165+BD165+BI165+BN165+BS165+BX165+CC165</f>
        <v>0</v>
      </c>
      <c r="CI165" s="249">
        <f>CD165-IF(AND(Z165&gt;0,$N165&lt;&gt;""),IF((DATE(Assumptions!$B$4-1,12,28)-$N165)/365.25&lt;=Assumptions!$B$20,(DATE(Assumptions!$B$4-1,12,28)-$N165)/365.25*Assumptions!$B$18*Z165,(Assumptions!$B$20*Assumptions!$B$18+((DATE(Assumptions!$B$4-1,12,28)-$N165)/365.25-Assumptions!$B$20)*Assumptions!$B$19)*Z165),0)</f>
        <v>0</v>
      </c>
      <c r="CJ165" s="249">
        <f t="shared" ref="CJ165:CJ190" si="80">AB165+AG165+AL165+AQ165+AV165+BA165+BF165+BK165+BP165+BU165+BZ165+CE165</f>
        <v>0</v>
      </c>
      <c r="CK165" s="249">
        <f t="shared" ref="CK165:CK190" si="81">AC165+AH165+AM165+AR165+AW165+BB165+BG165+BL165+BQ165+BV165+CA165+CF165</f>
        <v>0</v>
      </c>
    </row>
    <row r="166" spans="1:89" s="292" customFormat="1" x14ac:dyDescent="0.2">
      <c r="A166" s="350">
        <v>162</v>
      </c>
      <c r="B166" s="351" t="s">
        <v>633</v>
      </c>
      <c r="C166" s="351" t="s">
        <v>634</v>
      </c>
      <c r="D166" s="351" t="s">
        <v>628</v>
      </c>
      <c r="E166" s="351" t="s">
        <v>792</v>
      </c>
      <c r="F166" s="351" t="s">
        <v>635</v>
      </c>
      <c r="G166" s="351" t="s">
        <v>630</v>
      </c>
      <c r="H166" s="351" t="s">
        <v>636</v>
      </c>
      <c r="I166" s="352" t="s">
        <v>690</v>
      </c>
      <c r="J166" s="351"/>
      <c r="K166" s="351" t="s">
        <v>630</v>
      </c>
      <c r="L166" s="351" t="s">
        <v>628</v>
      </c>
      <c r="M166" s="351" t="str">
        <f t="shared" si="77"/>
        <v/>
      </c>
      <c r="N166" s="353"/>
      <c r="O166" s="354"/>
      <c r="P166" s="355"/>
      <c r="Q166" s="355"/>
      <c r="R166" s="355"/>
      <c r="S166" s="355"/>
      <c r="T166" s="355"/>
      <c r="U166" s="355"/>
      <c r="V166" s="356"/>
      <c r="W166" s="351" t="s">
        <v>632</v>
      </c>
      <c r="X166" s="351" t="s">
        <v>632</v>
      </c>
      <c r="BD166" s="249">
        <f t="shared" si="66"/>
        <v>0</v>
      </c>
      <c r="BE166" s="249">
        <f>IF(AND(BD166&gt;0,$N166&lt;&gt;""),IF((DATE(Assumptions!$B$4,7,28)-$N166)/365.25&lt;=Assumptions!$B$20,(DATE(Assumptions!$B$4,7,28)-$N166)/365.25*Assumptions!$B$18*BD166,(Assumptions!$B$20*Assumptions!$B$18+((DATE(Assumptions!$B$4,7,28)-$N166)/365.25-Assumptions!$B$20)*Assumptions!$B$19)*BD166),0)</f>
        <v>0</v>
      </c>
      <c r="BF166" s="249">
        <f>IF(BC166&gt;0,IF($M166="Saudi",MIN(BC166+$Q166*$V166,Assumptions!$B$14)*Assumptions!$B$12,MIN(BC166+$Q166*$V166,Assumptions!$B$14)*Assumptions!$B$13),0)</f>
        <v>0</v>
      </c>
      <c r="BG166" s="249">
        <f>IF(AND(BC166&gt;0,$M166="Non-Saudi"),Assumptions!$B$25,0)</f>
        <v>0</v>
      </c>
      <c r="BH166" s="249">
        <f t="shared" si="67"/>
        <v>0</v>
      </c>
      <c r="BI166" s="249">
        <f t="shared" si="68"/>
        <v>0</v>
      </c>
      <c r="BJ166" s="249">
        <f>IF(AND(BI166&gt;0,$N166&lt;&gt;""),IF((DATE(Assumptions!$B$4,8,28)-$N166)/365.25&lt;=Assumptions!$B$20,(DATE(Assumptions!$B$4,8,28)-$N166)/365.25*Assumptions!$B$18*BI166,(Assumptions!$B$20*Assumptions!$B$18+((DATE(Assumptions!$B$4,8,28)-$N166)/365.25-Assumptions!$B$20)*Assumptions!$B$19)*BI166),0)</f>
        <v>0</v>
      </c>
      <c r="BK166" s="249">
        <f>IF(BH166&gt;0,IF($M166="Saudi",MIN(BH166+$Q166*$V166,Assumptions!$B$14)*Assumptions!$B$12,MIN(BH166+$Q166*$V166,Assumptions!$B$14)*Assumptions!$B$13),0)</f>
        <v>0</v>
      </c>
      <c r="BL166" s="249">
        <f>IF(AND(BH166&gt;0,$M166="Non-Saudi"),Assumptions!$B$25,0)</f>
        <v>0</v>
      </c>
      <c r="BM166" s="249">
        <f>IF(AND($D166="Contrat Local",$N166&lt;&gt;""),IF(AND(9&gt;=Assumptions!$B$5,ISNUMBER($X166),$N166&lt;EDATE(Assumptions!$B$9,-Assumptions!$B$6*12)),($P166+$X166)*$V166,$P166*$V166),0)</f>
        <v>0</v>
      </c>
      <c r="BN166" s="249">
        <f t="shared" si="69"/>
        <v>0</v>
      </c>
      <c r="BO166" s="249">
        <f>IF(AND(BN166&gt;0,$N166&lt;&gt;""),IF((DATE(Assumptions!$B$4,9,28)-$N166)/365.25&lt;=Assumptions!$B$20,(DATE(Assumptions!$B$4,9,28)-$N166)/365.25*Assumptions!$B$18*BN166,(Assumptions!$B$20*Assumptions!$B$18+((DATE(Assumptions!$B$4,9,28)-$N166)/365.25-Assumptions!$B$20)*Assumptions!$B$19)*BN166),0)</f>
        <v>0</v>
      </c>
      <c r="BP166" s="249">
        <f>IF(BM166&gt;0,IF($M166="Saudi",MIN(BM166+$Q166*$V166,Assumptions!$B$14)*Assumptions!$B$12,MIN(BM166+$Q166*$V166,Assumptions!$B$14)*Assumptions!$B$13),0)</f>
        <v>0</v>
      </c>
      <c r="BQ166" s="249">
        <f>IF(AND(BM166&gt;0,$M166="Non-Saudi"),Assumptions!$B$25,0)</f>
        <v>0</v>
      </c>
      <c r="BR166" s="249">
        <f>IF(AND($D166="Contrat Local",$N166&lt;&gt;""),IF(AND(10&gt;=Assumptions!$B$5,ISNUMBER($X166),$N166&lt;EDATE(Assumptions!$B$9,-Assumptions!$B$6*12)),($P166+$X166)*$V166,$P166*$V166),0)</f>
        <v>0</v>
      </c>
      <c r="BS166" s="249">
        <f t="shared" si="70"/>
        <v>0</v>
      </c>
      <c r="BT166" s="249">
        <f>IF(AND(BS166&gt;0,$N166&lt;&gt;""),IF((DATE(Assumptions!$B$4,10,28)-$N166)/365.25&lt;=Assumptions!$B$20,(DATE(Assumptions!$B$4,10,28)-$N166)/365.25*Assumptions!$B$18*BS166,(Assumptions!$B$20*Assumptions!$B$18+((DATE(Assumptions!$B$4,10,28)-$N166)/365.25-Assumptions!$B$20)*Assumptions!$B$19)*BS166),0)</f>
        <v>0</v>
      </c>
      <c r="BU166" s="249">
        <f>IF(BR166&gt;0,IF($M166="Saudi",MIN(BR166+$Q166*$V166,Assumptions!$B$14)*Assumptions!$B$12,MIN(BR166+$Q166*$V166,Assumptions!$B$14)*Assumptions!$B$13),0)</f>
        <v>0</v>
      </c>
      <c r="BV166" s="249">
        <f>IF(AND(BR166&gt;0,$M166="Non-Saudi"),Assumptions!$B$25,0)</f>
        <v>0</v>
      </c>
      <c r="BW166" s="249">
        <f>IF(AND($D166="Contrat Local",$N166&lt;&gt;""),IF(AND(11&gt;=Assumptions!$B$5,ISNUMBER($X166),$N166&lt;EDATE(Assumptions!$B$9,-Assumptions!$B$6*12)),($P166+$X166)*$V166,$P166*$V166),0)</f>
        <v>0</v>
      </c>
      <c r="BX166" s="249">
        <f t="shared" si="71"/>
        <v>0</v>
      </c>
      <c r="BY166" s="249">
        <f>IF(AND(BX166&gt;0,$N166&lt;&gt;""),IF((DATE(Assumptions!$B$4,11,28)-$N166)/365.25&lt;=Assumptions!$B$20,(DATE(Assumptions!$B$4,11,28)-$N166)/365.25*Assumptions!$B$18*BX166,(Assumptions!$B$20*Assumptions!$B$18+((DATE(Assumptions!$B$4,11,28)-$N166)/365.25-Assumptions!$B$20)*Assumptions!$B$19)*BX166),0)</f>
        <v>0</v>
      </c>
      <c r="BZ166" s="249">
        <f>IF(BW166&gt;0,IF($M166="Saudi",MIN(BW166+$Q166*$V166,Assumptions!$B$14)*Assumptions!$B$12,MIN(BW166+$Q166*$V166,Assumptions!$B$14)*Assumptions!$B$13),0)</f>
        <v>0</v>
      </c>
      <c r="CA166" s="249">
        <f>IF(AND(BW166&gt;0,$M166="Non-Saudi"),Assumptions!$B$25,0)</f>
        <v>0</v>
      </c>
      <c r="CB166" s="249">
        <f>IF(AND($D166="Contrat Local",$N166&lt;&gt;""),IF(AND(12&gt;=Assumptions!$B$5,ISNUMBER($X166),$N166&lt;EDATE(Assumptions!$B$9,-Assumptions!$B$6*12)),($P166+$X166)*$V166,$P166*$V166),0)</f>
        <v>0</v>
      </c>
      <c r="CC166" s="249">
        <f t="shared" si="72"/>
        <v>0</v>
      </c>
      <c r="CD166" s="249">
        <f>IF(AND(CC166&gt;0,$N166&lt;&gt;""),IF((DATE(Assumptions!$B$4,12,28)-$N166)/365.25&lt;=Assumptions!$B$20,(DATE(Assumptions!$B$4,12,28)-$N166)/365.25*Assumptions!$B$18*CC166,(Assumptions!$B$20*Assumptions!$B$18+((DATE(Assumptions!$B$4,12,28)-$N166)/365.25-Assumptions!$B$20)*Assumptions!$B$19)*CC166),0)</f>
        <v>0</v>
      </c>
      <c r="CE166" s="249">
        <f>IF(CB166&gt;0,IF($M166="Saudi",MIN(CB166+$Q166*$V166,Assumptions!$B$14)*Assumptions!$B$12,MIN(CB166+$Q166*$V166,Assumptions!$B$14)*Assumptions!$B$13),0)</f>
        <v>0</v>
      </c>
      <c r="CF166" s="249">
        <f>IF(AND(CB166&gt;0,$M166="Non-Saudi"),Assumptions!$B$25,0)</f>
        <v>0</v>
      </c>
      <c r="CG166" s="249">
        <f t="shared" si="78"/>
        <v>0</v>
      </c>
      <c r="CH166" s="249">
        <f t="shared" si="79"/>
        <v>0</v>
      </c>
      <c r="CI166" s="249">
        <f>CD166-IF(AND(Z166&gt;0,$N166&lt;&gt;""),IF((DATE(Assumptions!$B$4-1,12,28)-$N166)/365.25&lt;=Assumptions!$B$20,(DATE(Assumptions!$B$4-1,12,28)-$N166)/365.25*Assumptions!$B$18*Z166,(Assumptions!$B$20*Assumptions!$B$18+((DATE(Assumptions!$B$4-1,12,28)-$N166)/365.25-Assumptions!$B$20)*Assumptions!$B$19)*Z166),0)</f>
        <v>0</v>
      </c>
      <c r="CJ166" s="249">
        <f t="shared" si="80"/>
        <v>0</v>
      </c>
      <c r="CK166" s="249">
        <f t="shared" si="81"/>
        <v>0</v>
      </c>
    </row>
    <row r="167" spans="1:89" s="292" customFormat="1" x14ac:dyDescent="0.2">
      <c r="A167" s="350">
        <v>163</v>
      </c>
      <c r="B167" s="351" t="s">
        <v>350</v>
      </c>
      <c r="C167" s="351" t="s">
        <v>637</v>
      </c>
      <c r="D167" s="351" t="s">
        <v>628</v>
      </c>
      <c r="E167" s="351" t="s">
        <v>792</v>
      </c>
      <c r="F167" s="351" t="s">
        <v>638</v>
      </c>
      <c r="G167" s="351" t="s">
        <v>630</v>
      </c>
      <c r="H167" s="351" t="s">
        <v>631</v>
      </c>
      <c r="I167" s="352" t="s">
        <v>690</v>
      </c>
      <c r="J167" s="351"/>
      <c r="K167" s="351" t="s">
        <v>630</v>
      </c>
      <c r="L167" s="351" t="s">
        <v>628</v>
      </c>
      <c r="M167" s="351" t="str">
        <f t="shared" si="77"/>
        <v/>
      </c>
      <c r="N167" s="353"/>
      <c r="O167" s="354"/>
      <c r="P167" s="355"/>
      <c r="Q167" s="355"/>
      <c r="R167" s="355"/>
      <c r="S167" s="355"/>
      <c r="T167" s="355"/>
      <c r="U167" s="355"/>
      <c r="V167" s="356"/>
      <c r="W167" s="351" t="s">
        <v>632</v>
      </c>
      <c r="X167" s="351" t="s">
        <v>632</v>
      </c>
      <c r="BD167" s="249">
        <f t="shared" si="66"/>
        <v>0</v>
      </c>
      <c r="BE167" s="249">
        <f>IF(AND(BD167&gt;0,$N167&lt;&gt;""),IF((DATE(Assumptions!$B$4,7,28)-$N167)/365.25&lt;=Assumptions!$B$20,(DATE(Assumptions!$B$4,7,28)-$N167)/365.25*Assumptions!$B$18*BD167,(Assumptions!$B$20*Assumptions!$B$18+((DATE(Assumptions!$B$4,7,28)-$N167)/365.25-Assumptions!$B$20)*Assumptions!$B$19)*BD167),0)</f>
        <v>0</v>
      </c>
      <c r="BF167" s="249">
        <f>IF(BC167&gt;0,IF($M167="Saudi",MIN(BC167+$Q167*$V167,Assumptions!$B$14)*Assumptions!$B$12,MIN(BC167+$Q167*$V167,Assumptions!$B$14)*Assumptions!$B$13),0)</f>
        <v>0</v>
      </c>
      <c r="BG167" s="249">
        <f>IF(AND(BC167&gt;0,$M167="Non-Saudi"),Assumptions!$B$25,0)</f>
        <v>0</v>
      </c>
      <c r="BH167" s="249">
        <f t="shared" si="67"/>
        <v>0</v>
      </c>
      <c r="BI167" s="249">
        <f t="shared" si="68"/>
        <v>0</v>
      </c>
      <c r="BJ167" s="249">
        <f>IF(AND(BI167&gt;0,$N167&lt;&gt;""),IF((DATE(Assumptions!$B$4,8,28)-$N167)/365.25&lt;=Assumptions!$B$20,(DATE(Assumptions!$B$4,8,28)-$N167)/365.25*Assumptions!$B$18*BI167,(Assumptions!$B$20*Assumptions!$B$18+((DATE(Assumptions!$B$4,8,28)-$N167)/365.25-Assumptions!$B$20)*Assumptions!$B$19)*BI167),0)</f>
        <v>0</v>
      </c>
      <c r="BK167" s="249">
        <f>IF(BH167&gt;0,IF($M167="Saudi",MIN(BH167+$Q167*$V167,Assumptions!$B$14)*Assumptions!$B$12,MIN(BH167+$Q167*$V167,Assumptions!$B$14)*Assumptions!$B$13),0)</f>
        <v>0</v>
      </c>
      <c r="BL167" s="249">
        <f>IF(AND(BH167&gt;0,$M167="Non-Saudi"),Assumptions!$B$25,0)</f>
        <v>0</v>
      </c>
      <c r="BM167" s="249">
        <f>IF(AND($D167="Contrat Local",$N167&lt;&gt;""),IF(AND(9&gt;=Assumptions!$B$5,ISNUMBER($X167),$N167&lt;EDATE(Assumptions!$B$9,-Assumptions!$B$6*12)),($P167+$X167)*$V167,$P167*$V167),0)</f>
        <v>0</v>
      </c>
      <c r="BN167" s="249">
        <f t="shared" si="69"/>
        <v>0</v>
      </c>
      <c r="BO167" s="249">
        <f>IF(AND(BN167&gt;0,$N167&lt;&gt;""),IF((DATE(Assumptions!$B$4,9,28)-$N167)/365.25&lt;=Assumptions!$B$20,(DATE(Assumptions!$B$4,9,28)-$N167)/365.25*Assumptions!$B$18*BN167,(Assumptions!$B$20*Assumptions!$B$18+((DATE(Assumptions!$B$4,9,28)-$N167)/365.25-Assumptions!$B$20)*Assumptions!$B$19)*BN167),0)</f>
        <v>0</v>
      </c>
      <c r="BP167" s="249">
        <f>IF(BM167&gt;0,IF($M167="Saudi",MIN(BM167+$Q167*$V167,Assumptions!$B$14)*Assumptions!$B$12,MIN(BM167+$Q167*$V167,Assumptions!$B$14)*Assumptions!$B$13),0)</f>
        <v>0</v>
      </c>
      <c r="BQ167" s="249">
        <f>IF(AND(BM167&gt;0,$M167="Non-Saudi"),Assumptions!$B$25,0)</f>
        <v>0</v>
      </c>
      <c r="BR167" s="249">
        <f>IF(AND($D167="Contrat Local",$N167&lt;&gt;""),IF(AND(10&gt;=Assumptions!$B$5,ISNUMBER($X167),$N167&lt;EDATE(Assumptions!$B$9,-Assumptions!$B$6*12)),($P167+$X167)*$V167,$P167*$V167),0)</f>
        <v>0</v>
      </c>
      <c r="BS167" s="249">
        <f t="shared" si="70"/>
        <v>0</v>
      </c>
      <c r="BT167" s="249">
        <f>IF(AND(BS167&gt;0,$N167&lt;&gt;""),IF((DATE(Assumptions!$B$4,10,28)-$N167)/365.25&lt;=Assumptions!$B$20,(DATE(Assumptions!$B$4,10,28)-$N167)/365.25*Assumptions!$B$18*BS167,(Assumptions!$B$20*Assumptions!$B$18+((DATE(Assumptions!$B$4,10,28)-$N167)/365.25-Assumptions!$B$20)*Assumptions!$B$19)*BS167),0)</f>
        <v>0</v>
      </c>
      <c r="BU167" s="249">
        <f>IF(BR167&gt;0,IF($M167="Saudi",MIN(BR167+$Q167*$V167,Assumptions!$B$14)*Assumptions!$B$12,MIN(BR167+$Q167*$V167,Assumptions!$B$14)*Assumptions!$B$13),0)</f>
        <v>0</v>
      </c>
      <c r="BV167" s="249">
        <f>IF(AND(BR167&gt;0,$M167="Non-Saudi"),Assumptions!$B$25,0)</f>
        <v>0</v>
      </c>
      <c r="BW167" s="249">
        <f>IF(AND($D167="Contrat Local",$N167&lt;&gt;""),IF(AND(11&gt;=Assumptions!$B$5,ISNUMBER($X167),$N167&lt;EDATE(Assumptions!$B$9,-Assumptions!$B$6*12)),($P167+$X167)*$V167,$P167*$V167),0)</f>
        <v>0</v>
      </c>
      <c r="BX167" s="249">
        <f t="shared" si="71"/>
        <v>0</v>
      </c>
      <c r="BY167" s="249">
        <f>IF(AND(BX167&gt;0,$N167&lt;&gt;""),IF((DATE(Assumptions!$B$4,11,28)-$N167)/365.25&lt;=Assumptions!$B$20,(DATE(Assumptions!$B$4,11,28)-$N167)/365.25*Assumptions!$B$18*BX167,(Assumptions!$B$20*Assumptions!$B$18+((DATE(Assumptions!$B$4,11,28)-$N167)/365.25-Assumptions!$B$20)*Assumptions!$B$19)*BX167),0)</f>
        <v>0</v>
      </c>
      <c r="BZ167" s="249">
        <f>IF(BW167&gt;0,IF($M167="Saudi",MIN(BW167+$Q167*$V167,Assumptions!$B$14)*Assumptions!$B$12,MIN(BW167+$Q167*$V167,Assumptions!$B$14)*Assumptions!$B$13),0)</f>
        <v>0</v>
      </c>
      <c r="CA167" s="249">
        <f>IF(AND(BW167&gt;0,$M167="Non-Saudi"),Assumptions!$B$25,0)</f>
        <v>0</v>
      </c>
      <c r="CB167" s="249">
        <f>IF(AND($D167="Contrat Local",$N167&lt;&gt;""),IF(AND(12&gt;=Assumptions!$B$5,ISNUMBER($X167),$N167&lt;EDATE(Assumptions!$B$9,-Assumptions!$B$6*12)),($P167+$X167)*$V167,$P167*$V167),0)</f>
        <v>0</v>
      </c>
      <c r="CC167" s="249">
        <f t="shared" si="72"/>
        <v>0</v>
      </c>
      <c r="CD167" s="249">
        <f>IF(AND(CC167&gt;0,$N167&lt;&gt;""),IF((DATE(Assumptions!$B$4,12,28)-$N167)/365.25&lt;=Assumptions!$B$20,(DATE(Assumptions!$B$4,12,28)-$N167)/365.25*Assumptions!$B$18*CC167,(Assumptions!$B$20*Assumptions!$B$18+((DATE(Assumptions!$B$4,12,28)-$N167)/365.25-Assumptions!$B$20)*Assumptions!$B$19)*CC167),0)</f>
        <v>0</v>
      </c>
      <c r="CE167" s="249">
        <f>IF(CB167&gt;0,IF($M167="Saudi",MIN(CB167+$Q167*$V167,Assumptions!$B$14)*Assumptions!$B$12,MIN(CB167+$Q167*$V167,Assumptions!$B$14)*Assumptions!$B$13),0)</f>
        <v>0</v>
      </c>
      <c r="CF167" s="249">
        <f>IF(AND(CB167&gt;0,$M167="Non-Saudi"),Assumptions!$B$25,0)</f>
        <v>0</v>
      </c>
      <c r="CG167" s="249">
        <f t="shared" si="78"/>
        <v>0</v>
      </c>
      <c r="CH167" s="249">
        <f t="shared" si="79"/>
        <v>0</v>
      </c>
      <c r="CI167" s="249">
        <f>CD167-IF(AND(Z167&gt;0,$N167&lt;&gt;""),IF((DATE(Assumptions!$B$4-1,12,28)-$N167)/365.25&lt;=Assumptions!$B$20,(DATE(Assumptions!$B$4-1,12,28)-$N167)/365.25*Assumptions!$B$18*Z167,(Assumptions!$B$20*Assumptions!$B$18+((DATE(Assumptions!$B$4-1,12,28)-$N167)/365.25-Assumptions!$B$20)*Assumptions!$B$19)*Z167),0)</f>
        <v>0</v>
      </c>
      <c r="CJ167" s="249">
        <f t="shared" si="80"/>
        <v>0</v>
      </c>
      <c r="CK167" s="249">
        <f t="shared" si="81"/>
        <v>0</v>
      </c>
    </row>
    <row r="168" spans="1:89" s="292" customFormat="1" x14ac:dyDescent="0.2">
      <c r="A168" s="350">
        <v>164</v>
      </c>
      <c r="B168" s="351" t="s">
        <v>639</v>
      </c>
      <c r="C168" s="351" t="s">
        <v>640</v>
      </c>
      <c r="D168" s="351" t="s">
        <v>628</v>
      </c>
      <c r="E168" s="351" t="s">
        <v>792</v>
      </c>
      <c r="F168" s="351" t="s">
        <v>641</v>
      </c>
      <c r="G168" s="351" t="s">
        <v>630</v>
      </c>
      <c r="H168" s="351" t="s">
        <v>642</v>
      </c>
      <c r="I168" s="352" t="s">
        <v>690</v>
      </c>
      <c r="J168" s="351"/>
      <c r="K168" s="351" t="s">
        <v>630</v>
      </c>
      <c r="L168" s="351" t="s">
        <v>628</v>
      </c>
      <c r="M168" s="351" t="str">
        <f t="shared" si="77"/>
        <v/>
      </c>
      <c r="N168" s="353"/>
      <c r="O168" s="354"/>
      <c r="P168" s="355"/>
      <c r="Q168" s="355"/>
      <c r="R168" s="355"/>
      <c r="S168" s="355"/>
      <c r="T168" s="355"/>
      <c r="U168" s="355"/>
      <c r="V168" s="356"/>
      <c r="W168" s="351" t="s">
        <v>632</v>
      </c>
      <c r="X168" s="351" t="s">
        <v>632</v>
      </c>
      <c r="BD168" s="249">
        <f t="shared" si="66"/>
        <v>0</v>
      </c>
      <c r="BE168" s="249">
        <f>IF(AND(BD168&gt;0,$N168&lt;&gt;""),IF((DATE(Assumptions!$B$4,7,28)-$N168)/365.25&lt;=Assumptions!$B$20,(DATE(Assumptions!$B$4,7,28)-$N168)/365.25*Assumptions!$B$18*BD168,(Assumptions!$B$20*Assumptions!$B$18+((DATE(Assumptions!$B$4,7,28)-$N168)/365.25-Assumptions!$B$20)*Assumptions!$B$19)*BD168),0)</f>
        <v>0</v>
      </c>
      <c r="BF168" s="249">
        <f>IF(BC168&gt;0,IF($M168="Saudi",MIN(BC168+$Q168*$V168,Assumptions!$B$14)*Assumptions!$B$12,MIN(BC168+$Q168*$V168,Assumptions!$B$14)*Assumptions!$B$13),0)</f>
        <v>0</v>
      </c>
      <c r="BG168" s="249">
        <f>IF(AND(BC168&gt;0,$M168="Non-Saudi"),Assumptions!$B$25,0)</f>
        <v>0</v>
      </c>
      <c r="BH168" s="249">
        <f t="shared" si="67"/>
        <v>0</v>
      </c>
      <c r="BI168" s="249">
        <f t="shared" si="68"/>
        <v>0</v>
      </c>
      <c r="BJ168" s="249">
        <f>IF(AND(BI168&gt;0,$N168&lt;&gt;""),IF((DATE(Assumptions!$B$4,8,28)-$N168)/365.25&lt;=Assumptions!$B$20,(DATE(Assumptions!$B$4,8,28)-$N168)/365.25*Assumptions!$B$18*BI168,(Assumptions!$B$20*Assumptions!$B$18+((DATE(Assumptions!$B$4,8,28)-$N168)/365.25-Assumptions!$B$20)*Assumptions!$B$19)*BI168),0)</f>
        <v>0</v>
      </c>
      <c r="BK168" s="249">
        <f>IF(BH168&gt;0,IF($M168="Saudi",MIN(BH168+$Q168*$V168,Assumptions!$B$14)*Assumptions!$B$12,MIN(BH168+$Q168*$V168,Assumptions!$B$14)*Assumptions!$B$13),0)</f>
        <v>0</v>
      </c>
      <c r="BL168" s="249">
        <f>IF(AND(BH168&gt;0,$M168="Non-Saudi"),Assumptions!$B$25,0)</f>
        <v>0</v>
      </c>
      <c r="BM168" s="249">
        <f>IF(AND($D168="Contrat Local",$N168&lt;&gt;""),IF(AND(9&gt;=Assumptions!$B$5,ISNUMBER($X168),$N168&lt;EDATE(Assumptions!$B$9,-Assumptions!$B$6*12)),($P168+$X168)*$V168,$P168*$V168),0)</f>
        <v>0</v>
      </c>
      <c r="BN168" s="249">
        <f t="shared" si="69"/>
        <v>0</v>
      </c>
      <c r="BO168" s="249">
        <f>IF(AND(BN168&gt;0,$N168&lt;&gt;""),IF((DATE(Assumptions!$B$4,9,28)-$N168)/365.25&lt;=Assumptions!$B$20,(DATE(Assumptions!$B$4,9,28)-$N168)/365.25*Assumptions!$B$18*BN168,(Assumptions!$B$20*Assumptions!$B$18+((DATE(Assumptions!$B$4,9,28)-$N168)/365.25-Assumptions!$B$20)*Assumptions!$B$19)*BN168),0)</f>
        <v>0</v>
      </c>
      <c r="BP168" s="249">
        <f>IF(BM168&gt;0,IF($M168="Saudi",MIN(BM168+$Q168*$V168,Assumptions!$B$14)*Assumptions!$B$12,MIN(BM168+$Q168*$V168,Assumptions!$B$14)*Assumptions!$B$13),0)</f>
        <v>0</v>
      </c>
      <c r="BQ168" s="249">
        <f>IF(AND(BM168&gt;0,$M168="Non-Saudi"),Assumptions!$B$25,0)</f>
        <v>0</v>
      </c>
      <c r="BR168" s="249">
        <f>IF(AND($D168="Contrat Local",$N168&lt;&gt;""),IF(AND(10&gt;=Assumptions!$B$5,ISNUMBER($X168),$N168&lt;EDATE(Assumptions!$B$9,-Assumptions!$B$6*12)),($P168+$X168)*$V168,$P168*$V168),0)</f>
        <v>0</v>
      </c>
      <c r="BS168" s="249">
        <f t="shared" si="70"/>
        <v>0</v>
      </c>
      <c r="BT168" s="249">
        <f>IF(AND(BS168&gt;0,$N168&lt;&gt;""),IF((DATE(Assumptions!$B$4,10,28)-$N168)/365.25&lt;=Assumptions!$B$20,(DATE(Assumptions!$B$4,10,28)-$N168)/365.25*Assumptions!$B$18*BS168,(Assumptions!$B$20*Assumptions!$B$18+((DATE(Assumptions!$B$4,10,28)-$N168)/365.25-Assumptions!$B$20)*Assumptions!$B$19)*BS168),0)</f>
        <v>0</v>
      </c>
      <c r="BU168" s="249">
        <f>IF(BR168&gt;0,IF($M168="Saudi",MIN(BR168+$Q168*$V168,Assumptions!$B$14)*Assumptions!$B$12,MIN(BR168+$Q168*$V168,Assumptions!$B$14)*Assumptions!$B$13),0)</f>
        <v>0</v>
      </c>
      <c r="BV168" s="249">
        <f>IF(AND(BR168&gt;0,$M168="Non-Saudi"),Assumptions!$B$25,0)</f>
        <v>0</v>
      </c>
      <c r="BW168" s="249">
        <f>IF(AND($D168="Contrat Local",$N168&lt;&gt;""),IF(AND(11&gt;=Assumptions!$B$5,ISNUMBER($X168),$N168&lt;EDATE(Assumptions!$B$9,-Assumptions!$B$6*12)),($P168+$X168)*$V168,$P168*$V168),0)</f>
        <v>0</v>
      </c>
      <c r="BX168" s="249">
        <f t="shared" si="71"/>
        <v>0</v>
      </c>
      <c r="BY168" s="249">
        <f>IF(AND(BX168&gt;0,$N168&lt;&gt;""),IF((DATE(Assumptions!$B$4,11,28)-$N168)/365.25&lt;=Assumptions!$B$20,(DATE(Assumptions!$B$4,11,28)-$N168)/365.25*Assumptions!$B$18*BX168,(Assumptions!$B$20*Assumptions!$B$18+((DATE(Assumptions!$B$4,11,28)-$N168)/365.25-Assumptions!$B$20)*Assumptions!$B$19)*BX168),0)</f>
        <v>0</v>
      </c>
      <c r="BZ168" s="249">
        <f>IF(BW168&gt;0,IF($M168="Saudi",MIN(BW168+$Q168*$V168,Assumptions!$B$14)*Assumptions!$B$12,MIN(BW168+$Q168*$V168,Assumptions!$B$14)*Assumptions!$B$13),0)</f>
        <v>0</v>
      </c>
      <c r="CA168" s="249">
        <f>IF(AND(BW168&gt;0,$M168="Non-Saudi"),Assumptions!$B$25,0)</f>
        <v>0</v>
      </c>
      <c r="CB168" s="249">
        <f>IF(AND($D168="Contrat Local",$N168&lt;&gt;""),IF(AND(12&gt;=Assumptions!$B$5,ISNUMBER($X168),$N168&lt;EDATE(Assumptions!$B$9,-Assumptions!$B$6*12)),($P168+$X168)*$V168,$P168*$V168),0)</f>
        <v>0</v>
      </c>
      <c r="CC168" s="249">
        <f t="shared" si="72"/>
        <v>0</v>
      </c>
      <c r="CD168" s="249">
        <f>IF(AND(CC168&gt;0,$N168&lt;&gt;""),IF((DATE(Assumptions!$B$4,12,28)-$N168)/365.25&lt;=Assumptions!$B$20,(DATE(Assumptions!$B$4,12,28)-$N168)/365.25*Assumptions!$B$18*CC168,(Assumptions!$B$20*Assumptions!$B$18+((DATE(Assumptions!$B$4,12,28)-$N168)/365.25-Assumptions!$B$20)*Assumptions!$B$19)*CC168),0)</f>
        <v>0</v>
      </c>
      <c r="CE168" s="249">
        <f>IF(CB168&gt;0,IF($M168="Saudi",MIN(CB168+$Q168*$V168,Assumptions!$B$14)*Assumptions!$B$12,MIN(CB168+$Q168*$V168,Assumptions!$B$14)*Assumptions!$B$13),0)</f>
        <v>0</v>
      </c>
      <c r="CF168" s="249">
        <f>IF(AND(CB168&gt;0,$M168="Non-Saudi"),Assumptions!$B$25,0)</f>
        <v>0</v>
      </c>
      <c r="CG168" s="249">
        <f t="shared" si="78"/>
        <v>0</v>
      </c>
      <c r="CH168" s="249">
        <f t="shared" si="79"/>
        <v>0</v>
      </c>
      <c r="CI168" s="249">
        <f>CD168-IF(AND(Z168&gt;0,$N168&lt;&gt;""),IF((DATE(Assumptions!$B$4-1,12,28)-$N168)/365.25&lt;=Assumptions!$B$20,(DATE(Assumptions!$B$4-1,12,28)-$N168)/365.25*Assumptions!$B$18*Z168,(Assumptions!$B$20*Assumptions!$B$18+((DATE(Assumptions!$B$4-1,12,28)-$N168)/365.25-Assumptions!$B$20)*Assumptions!$B$19)*Z168),0)</f>
        <v>0</v>
      </c>
      <c r="CJ168" s="249">
        <f t="shared" si="80"/>
        <v>0</v>
      </c>
      <c r="CK168" s="249">
        <f t="shared" si="81"/>
        <v>0</v>
      </c>
    </row>
    <row r="169" spans="1:89" s="292" customFormat="1" x14ac:dyDescent="0.2">
      <c r="A169" s="350">
        <v>165</v>
      </c>
      <c r="B169" s="351" t="s">
        <v>643</v>
      </c>
      <c r="C169" s="351" t="s">
        <v>644</v>
      </c>
      <c r="D169" s="351" t="s">
        <v>628</v>
      </c>
      <c r="E169" s="351" t="s">
        <v>792</v>
      </c>
      <c r="F169" s="351" t="s">
        <v>645</v>
      </c>
      <c r="G169" s="351" t="s">
        <v>630</v>
      </c>
      <c r="H169" s="351" t="s">
        <v>642</v>
      </c>
      <c r="I169" s="352" t="s">
        <v>690</v>
      </c>
      <c r="J169" s="351"/>
      <c r="K169" s="351" t="s">
        <v>630</v>
      </c>
      <c r="L169" s="351" t="s">
        <v>628</v>
      </c>
      <c r="M169" s="351" t="str">
        <f t="shared" si="77"/>
        <v/>
      </c>
      <c r="N169" s="353"/>
      <c r="O169" s="354"/>
      <c r="P169" s="355"/>
      <c r="Q169" s="355"/>
      <c r="R169" s="355"/>
      <c r="S169" s="355"/>
      <c r="T169" s="355"/>
      <c r="U169" s="355"/>
      <c r="V169" s="356"/>
      <c r="W169" s="351" t="s">
        <v>632</v>
      </c>
      <c r="X169" s="351" t="s">
        <v>632</v>
      </c>
      <c r="BD169" s="249">
        <f t="shared" si="66"/>
        <v>0</v>
      </c>
      <c r="BE169" s="249">
        <f>IF(AND(BD169&gt;0,$N169&lt;&gt;""),IF((DATE(Assumptions!$B$4,7,28)-$N169)/365.25&lt;=Assumptions!$B$20,(DATE(Assumptions!$B$4,7,28)-$N169)/365.25*Assumptions!$B$18*BD169,(Assumptions!$B$20*Assumptions!$B$18+((DATE(Assumptions!$B$4,7,28)-$N169)/365.25-Assumptions!$B$20)*Assumptions!$B$19)*BD169),0)</f>
        <v>0</v>
      </c>
      <c r="BF169" s="249">
        <f>IF(BC169&gt;0,IF($M169="Saudi",MIN(BC169+$Q169*$V169,Assumptions!$B$14)*Assumptions!$B$12,MIN(BC169+$Q169*$V169,Assumptions!$B$14)*Assumptions!$B$13),0)</f>
        <v>0</v>
      </c>
      <c r="BG169" s="249">
        <f>IF(AND(BC169&gt;0,$M169="Non-Saudi"),Assumptions!$B$25,0)</f>
        <v>0</v>
      </c>
      <c r="BH169" s="249">
        <f t="shared" si="67"/>
        <v>0</v>
      </c>
      <c r="BI169" s="249">
        <f t="shared" si="68"/>
        <v>0</v>
      </c>
      <c r="BJ169" s="249">
        <f>IF(AND(BI169&gt;0,$N169&lt;&gt;""),IF((DATE(Assumptions!$B$4,8,28)-$N169)/365.25&lt;=Assumptions!$B$20,(DATE(Assumptions!$B$4,8,28)-$N169)/365.25*Assumptions!$B$18*BI169,(Assumptions!$B$20*Assumptions!$B$18+((DATE(Assumptions!$B$4,8,28)-$N169)/365.25-Assumptions!$B$20)*Assumptions!$B$19)*BI169),0)</f>
        <v>0</v>
      </c>
      <c r="BK169" s="249">
        <f>IF(BH169&gt;0,IF($M169="Saudi",MIN(BH169+$Q169*$V169,Assumptions!$B$14)*Assumptions!$B$12,MIN(BH169+$Q169*$V169,Assumptions!$B$14)*Assumptions!$B$13),0)</f>
        <v>0</v>
      </c>
      <c r="BL169" s="249">
        <f>IF(AND(BH169&gt;0,$M169="Non-Saudi"),Assumptions!$B$25,0)</f>
        <v>0</v>
      </c>
      <c r="BM169" s="249">
        <f>IF(AND($D169="Contrat Local",$N169&lt;&gt;""),IF(AND(9&gt;=Assumptions!$B$5,ISNUMBER($X169),$N169&lt;EDATE(Assumptions!$B$9,-Assumptions!$B$6*12)),($P169+$X169)*$V169,$P169*$V169),0)</f>
        <v>0</v>
      </c>
      <c r="BN169" s="249">
        <f t="shared" si="69"/>
        <v>0</v>
      </c>
      <c r="BO169" s="249">
        <f>IF(AND(BN169&gt;0,$N169&lt;&gt;""),IF((DATE(Assumptions!$B$4,9,28)-$N169)/365.25&lt;=Assumptions!$B$20,(DATE(Assumptions!$B$4,9,28)-$N169)/365.25*Assumptions!$B$18*BN169,(Assumptions!$B$20*Assumptions!$B$18+((DATE(Assumptions!$B$4,9,28)-$N169)/365.25-Assumptions!$B$20)*Assumptions!$B$19)*BN169),0)</f>
        <v>0</v>
      </c>
      <c r="BP169" s="249">
        <f>IF(BM169&gt;0,IF($M169="Saudi",MIN(BM169+$Q169*$V169,Assumptions!$B$14)*Assumptions!$B$12,MIN(BM169+$Q169*$V169,Assumptions!$B$14)*Assumptions!$B$13),0)</f>
        <v>0</v>
      </c>
      <c r="BQ169" s="249">
        <f>IF(AND(BM169&gt;0,$M169="Non-Saudi"),Assumptions!$B$25,0)</f>
        <v>0</v>
      </c>
      <c r="BR169" s="249">
        <f>IF(AND($D169="Contrat Local",$N169&lt;&gt;""),IF(AND(10&gt;=Assumptions!$B$5,ISNUMBER($X169),$N169&lt;EDATE(Assumptions!$B$9,-Assumptions!$B$6*12)),($P169+$X169)*$V169,$P169*$V169),0)</f>
        <v>0</v>
      </c>
      <c r="BS169" s="249">
        <f t="shared" si="70"/>
        <v>0</v>
      </c>
      <c r="BT169" s="249">
        <f>IF(AND(BS169&gt;0,$N169&lt;&gt;""),IF((DATE(Assumptions!$B$4,10,28)-$N169)/365.25&lt;=Assumptions!$B$20,(DATE(Assumptions!$B$4,10,28)-$N169)/365.25*Assumptions!$B$18*BS169,(Assumptions!$B$20*Assumptions!$B$18+((DATE(Assumptions!$B$4,10,28)-$N169)/365.25-Assumptions!$B$20)*Assumptions!$B$19)*BS169),0)</f>
        <v>0</v>
      </c>
      <c r="BU169" s="249">
        <f>IF(BR169&gt;0,IF($M169="Saudi",MIN(BR169+$Q169*$V169,Assumptions!$B$14)*Assumptions!$B$12,MIN(BR169+$Q169*$V169,Assumptions!$B$14)*Assumptions!$B$13),0)</f>
        <v>0</v>
      </c>
      <c r="BV169" s="249">
        <f>IF(AND(BR169&gt;0,$M169="Non-Saudi"),Assumptions!$B$25,0)</f>
        <v>0</v>
      </c>
      <c r="BW169" s="249">
        <f>IF(AND($D169="Contrat Local",$N169&lt;&gt;""),IF(AND(11&gt;=Assumptions!$B$5,ISNUMBER($X169),$N169&lt;EDATE(Assumptions!$B$9,-Assumptions!$B$6*12)),($P169+$X169)*$V169,$P169*$V169),0)</f>
        <v>0</v>
      </c>
      <c r="BX169" s="249">
        <f t="shared" si="71"/>
        <v>0</v>
      </c>
      <c r="BY169" s="249">
        <f>IF(AND(BX169&gt;0,$N169&lt;&gt;""),IF((DATE(Assumptions!$B$4,11,28)-$N169)/365.25&lt;=Assumptions!$B$20,(DATE(Assumptions!$B$4,11,28)-$N169)/365.25*Assumptions!$B$18*BX169,(Assumptions!$B$20*Assumptions!$B$18+((DATE(Assumptions!$B$4,11,28)-$N169)/365.25-Assumptions!$B$20)*Assumptions!$B$19)*BX169),0)</f>
        <v>0</v>
      </c>
      <c r="BZ169" s="249">
        <f>IF(BW169&gt;0,IF($M169="Saudi",MIN(BW169+$Q169*$V169,Assumptions!$B$14)*Assumptions!$B$12,MIN(BW169+$Q169*$V169,Assumptions!$B$14)*Assumptions!$B$13),0)</f>
        <v>0</v>
      </c>
      <c r="CA169" s="249">
        <f>IF(AND(BW169&gt;0,$M169="Non-Saudi"),Assumptions!$B$25,0)</f>
        <v>0</v>
      </c>
      <c r="CB169" s="249">
        <f>IF(AND($D169="Contrat Local",$N169&lt;&gt;""),IF(AND(12&gt;=Assumptions!$B$5,ISNUMBER($X169),$N169&lt;EDATE(Assumptions!$B$9,-Assumptions!$B$6*12)),($P169+$X169)*$V169,$P169*$V169),0)</f>
        <v>0</v>
      </c>
      <c r="CC169" s="249">
        <f t="shared" si="72"/>
        <v>0</v>
      </c>
      <c r="CD169" s="249">
        <f>IF(AND(CC169&gt;0,$N169&lt;&gt;""),IF((DATE(Assumptions!$B$4,12,28)-$N169)/365.25&lt;=Assumptions!$B$20,(DATE(Assumptions!$B$4,12,28)-$N169)/365.25*Assumptions!$B$18*CC169,(Assumptions!$B$20*Assumptions!$B$18+((DATE(Assumptions!$B$4,12,28)-$N169)/365.25-Assumptions!$B$20)*Assumptions!$B$19)*CC169),0)</f>
        <v>0</v>
      </c>
      <c r="CE169" s="249">
        <f>IF(CB169&gt;0,IF($M169="Saudi",MIN(CB169+$Q169*$V169,Assumptions!$B$14)*Assumptions!$B$12,MIN(CB169+$Q169*$V169,Assumptions!$B$14)*Assumptions!$B$13),0)</f>
        <v>0</v>
      </c>
      <c r="CF169" s="249">
        <f>IF(AND(CB169&gt;0,$M169="Non-Saudi"),Assumptions!$B$25,0)</f>
        <v>0</v>
      </c>
      <c r="CG169" s="249">
        <f t="shared" si="78"/>
        <v>0</v>
      </c>
      <c r="CH169" s="249">
        <f t="shared" si="79"/>
        <v>0</v>
      </c>
      <c r="CI169" s="249">
        <f>CD169-IF(AND(Z169&gt;0,$N169&lt;&gt;""),IF((DATE(Assumptions!$B$4-1,12,28)-$N169)/365.25&lt;=Assumptions!$B$20,(DATE(Assumptions!$B$4-1,12,28)-$N169)/365.25*Assumptions!$B$18*Z169,(Assumptions!$B$20*Assumptions!$B$18+((DATE(Assumptions!$B$4-1,12,28)-$N169)/365.25-Assumptions!$B$20)*Assumptions!$B$19)*Z169),0)</f>
        <v>0</v>
      </c>
      <c r="CJ169" s="249">
        <f t="shared" si="80"/>
        <v>0</v>
      </c>
      <c r="CK169" s="249">
        <f t="shared" si="81"/>
        <v>0</v>
      </c>
    </row>
    <row r="170" spans="1:89" s="292" customFormat="1" x14ac:dyDescent="0.2">
      <c r="A170" s="350">
        <v>166</v>
      </c>
      <c r="B170" s="351" t="s">
        <v>646</v>
      </c>
      <c r="C170" s="351" t="s">
        <v>647</v>
      </c>
      <c r="D170" s="351" t="s">
        <v>628</v>
      </c>
      <c r="E170" s="351" t="s">
        <v>792</v>
      </c>
      <c r="F170" s="351" t="s">
        <v>648</v>
      </c>
      <c r="G170" s="351" t="s">
        <v>8</v>
      </c>
      <c r="H170" s="351" t="s">
        <v>265</v>
      </c>
      <c r="I170" s="357" t="s">
        <v>691</v>
      </c>
      <c r="J170" s="351" t="s">
        <v>58</v>
      </c>
      <c r="K170" s="351" t="s">
        <v>4</v>
      </c>
      <c r="L170" s="351" t="s">
        <v>628</v>
      </c>
      <c r="M170" s="351" t="str">
        <f t="shared" si="77"/>
        <v/>
      </c>
      <c r="N170" s="353"/>
      <c r="O170" s="354"/>
      <c r="P170" s="355"/>
      <c r="Q170" s="355"/>
      <c r="R170" s="355"/>
      <c r="S170" s="355"/>
      <c r="T170" s="355"/>
      <c r="U170" s="355"/>
      <c r="V170" s="356"/>
      <c r="W170" s="351" t="s">
        <v>632</v>
      </c>
      <c r="X170" s="351" t="s">
        <v>632</v>
      </c>
      <c r="BD170" s="249">
        <f t="shared" si="66"/>
        <v>0</v>
      </c>
      <c r="BE170" s="249">
        <f>IF(AND(BD170&gt;0,$N170&lt;&gt;""),IF((DATE(Assumptions!$B$4,7,28)-$N170)/365.25&lt;=Assumptions!$B$20,(DATE(Assumptions!$B$4,7,28)-$N170)/365.25*Assumptions!$B$18*BD170,(Assumptions!$B$20*Assumptions!$B$18+((DATE(Assumptions!$B$4,7,28)-$N170)/365.25-Assumptions!$B$20)*Assumptions!$B$19)*BD170),0)</f>
        <v>0</v>
      </c>
      <c r="BF170" s="249">
        <f>IF(BC170&gt;0,IF($M170="Saudi",MIN(BC170+$Q170*$V170,Assumptions!$B$14)*Assumptions!$B$12,MIN(BC170+$Q170*$V170,Assumptions!$B$14)*Assumptions!$B$13),0)</f>
        <v>0</v>
      </c>
      <c r="BG170" s="249">
        <f>IF(AND(BC170&gt;0,$M170="Non-Saudi"),Assumptions!$B$25,0)</f>
        <v>0</v>
      </c>
      <c r="BH170" s="249">
        <f t="shared" si="67"/>
        <v>0</v>
      </c>
      <c r="BI170" s="249">
        <f t="shared" si="68"/>
        <v>0</v>
      </c>
      <c r="BJ170" s="249">
        <f>IF(AND(BI170&gt;0,$N170&lt;&gt;""),IF((DATE(Assumptions!$B$4,8,28)-$N170)/365.25&lt;=Assumptions!$B$20,(DATE(Assumptions!$B$4,8,28)-$N170)/365.25*Assumptions!$B$18*BI170,(Assumptions!$B$20*Assumptions!$B$18+((DATE(Assumptions!$B$4,8,28)-$N170)/365.25-Assumptions!$B$20)*Assumptions!$B$19)*BI170),0)</f>
        <v>0</v>
      </c>
      <c r="BK170" s="249">
        <f>IF(BH170&gt;0,IF($M170="Saudi",MIN(BH170+$Q170*$V170,Assumptions!$B$14)*Assumptions!$B$12,MIN(BH170+$Q170*$V170,Assumptions!$B$14)*Assumptions!$B$13),0)</f>
        <v>0</v>
      </c>
      <c r="BL170" s="249">
        <f>IF(AND(BH170&gt;0,$M170="Non-Saudi"),Assumptions!$B$25,0)</f>
        <v>0</v>
      </c>
      <c r="BM170" s="249">
        <f>IF(AND($D170="Contrat Local",$N170&lt;&gt;""),IF(AND(9&gt;=Assumptions!$B$5,ISNUMBER($X170),$N170&lt;EDATE(Assumptions!$B$9,-Assumptions!$B$6*12)),($P170+$X170)*$V170,$P170*$V170),0)</f>
        <v>0</v>
      </c>
      <c r="BN170" s="249">
        <f t="shared" si="69"/>
        <v>0</v>
      </c>
      <c r="BO170" s="249">
        <f>IF(AND(BN170&gt;0,$N170&lt;&gt;""),IF((DATE(Assumptions!$B$4,9,28)-$N170)/365.25&lt;=Assumptions!$B$20,(DATE(Assumptions!$B$4,9,28)-$N170)/365.25*Assumptions!$B$18*BN170,(Assumptions!$B$20*Assumptions!$B$18+((DATE(Assumptions!$B$4,9,28)-$N170)/365.25-Assumptions!$B$20)*Assumptions!$B$19)*BN170),0)</f>
        <v>0</v>
      </c>
      <c r="BP170" s="249">
        <f>IF(BM170&gt;0,IF($M170="Saudi",MIN(BM170+$Q170*$V170,Assumptions!$B$14)*Assumptions!$B$12,MIN(BM170+$Q170*$V170,Assumptions!$B$14)*Assumptions!$B$13),0)</f>
        <v>0</v>
      </c>
      <c r="BQ170" s="249">
        <f>IF(AND(BM170&gt;0,$M170="Non-Saudi"),Assumptions!$B$25,0)</f>
        <v>0</v>
      </c>
      <c r="BR170" s="249">
        <f>IF(AND($D170="Contrat Local",$N170&lt;&gt;""),IF(AND(10&gt;=Assumptions!$B$5,ISNUMBER($X170),$N170&lt;EDATE(Assumptions!$B$9,-Assumptions!$B$6*12)),($P170+$X170)*$V170,$P170*$V170),0)</f>
        <v>0</v>
      </c>
      <c r="BS170" s="249">
        <f t="shared" si="70"/>
        <v>0</v>
      </c>
      <c r="BT170" s="249">
        <f>IF(AND(BS170&gt;0,$N170&lt;&gt;""),IF((DATE(Assumptions!$B$4,10,28)-$N170)/365.25&lt;=Assumptions!$B$20,(DATE(Assumptions!$B$4,10,28)-$N170)/365.25*Assumptions!$B$18*BS170,(Assumptions!$B$20*Assumptions!$B$18+((DATE(Assumptions!$B$4,10,28)-$N170)/365.25-Assumptions!$B$20)*Assumptions!$B$19)*BS170),0)</f>
        <v>0</v>
      </c>
      <c r="BU170" s="249">
        <f>IF(BR170&gt;0,IF($M170="Saudi",MIN(BR170+$Q170*$V170,Assumptions!$B$14)*Assumptions!$B$12,MIN(BR170+$Q170*$V170,Assumptions!$B$14)*Assumptions!$B$13),0)</f>
        <v>0</v>
      </c>
      <c r="BV170" s="249">
        <f>IF(AND(BR170&gt;0,$M170="Non-Saudi"),Assumptions!$B$25,0)</f>
        <v>0</v>
      </c>
      <c r="BW170" s="249">
        <f>IF(AND($D170="Contrat Local",$N170&lt;&gt;""),IF(AND(11&gt;=Assumptions!$B$5,ISNUMBER($X170),$N170&lt;EDATE(Assumptions!$B$9,-Assumptions!$B$6*12)),($P170+$X170)*$V170,$P170*$V170),0)</f>
        <v>0</v>
      </c>
      <c r="BX170" s="249">
        <f t="shared" si="71"/>
        <v>0</v>
      </c>
      <c r="BY170" s="249">
        <f>IF(AND(BX170&gt;0,$N170&lt;&gt;""),IF((DATE(Assumptions!$B$4,11,28)-$N170)/365.25&lt;=Assumptions!$B$20,(DATE(Assumptions!$B$4,11,28)-$N170)/365.25*Assumptions!$B$18*BX170,(Assumptions!$B$20*Assumptions!$B$18+((DATE(Assumptions!$B$4,11,28)-$N170)/365.25-Assumptions!$B$20)*Assumptions!$B$19)*BX170),0)</f>
        <v>0</v>
      </c>
      <c r="BZ170" s="249">
        <f>IF(BW170&gt;0,IF($M170="Saudi",MIN(BW170+$Q170*$V170,Assumptions!$B$14)*Assumptions!$B$12,MIN(BW170+$Q170*$V170,Assumptions!$B$14)*Assumptions!$B$13),0)</f>
        <v>0</v>
      </c>
      <c r="CA170" s="249">
        <f>IF(AND(BW170&gt;0,$M170="Non-Saudi"),Assumptions!$B$25,0)</f>
        <v>0</v>
      </c>
      <c r="CB170" s="249">
        <f>IF(AND($D170="Contrat Local",$N170&lt;&gt;""),IF(AND(12&gt;=Assumptions!$B$5,ISNUMBER($X170),$N170&lt;EDATE(Assumptions!$B$9,-Assumptions!$B$6*12)),($P170+$X170)*$V170,$P170*$V170),0)</f>
        <v>0</v>
      </c>
      <c r="CC170" s="249">
        <f t="shared" si="72"/>
        <v>0</v>
      </c>
      <c r="CD170" s="249">
        <f>IF(AND(CC170&gt;0,$N170&lt;&gt;""),IF((DATE(Assumptions!$B$4,12,28)-$N170)/365.25&lt;=Assumptions!$B$20,(DATE(Assumptions!$B$4,12,28)-$N170)/365.25*Assumptions!$B$18*CC170,(Assumptions!$B$20*Assumptions!$B$18+((DATE(Assumptions!$B$4,12,28)-$N170)/365.25-Assumptions!$B$20)*Assumptions!$B$19)*CC170),0)</f>
        <v>0</v>
      </c>
      <c r="CE170" s="249">
        <f>IF(CB170&gt;0,IF($M170="Saudi",MIN(CB170+$Q170*$V170,Assumptions!$B$14)*Assumptions!$B$12,MIN(CB170+$Q170*$V170,Assumptions!$B$14)*Assumptions!$B$13),0)</f>
        <v>0</v>
      </c>
      <c r="CF170" s="249">
        <f>IF(AND(CB170&gt;0,$M170="Non-Saudi"),Assumptions!$B$25,0)</f>
        <v>0</v>
      </c>
      <c r="CG170" s="249">
        <f t="shared" si="78"/>
        <v>0</v>
      </c>
      <c r="CH170" s="249">
        <f t="shared" si="79"/>
        <v>0</v>
      </c>
      <c r="CI170" s="249">
        <f>CD170-IF(AND(Z170&gt;0,$N170&lt;&gt;""),IF((DATE(Assumptions!$B$4-1,12,28)-$N170)/365.25&lt;=Assumptions!$B$20,(DATE(Assumptions!$B$4-1,12,28)-$N170)/365.25*Assumptions!$B$18*Z170,(Assumptions!$B$20*Assumptions!$B$18+((DATE(Assumptions!$B$4-1,12,28)-$N170)/365.25-Assumptions!$B$20)*Assumptions!$B$19)*Z170),0)</f>
        <v>0</v>
      </c>
      <c r="CJ170" s="249">
        <f t="shared" si="80"/>
        <v>0</v>
      </c>
      <c r="CK170" s="249">
        <f t="shared" si="81"/>
        <v>0</v>
      </c>
    </row>
    <row r="171" spans="1:89" s="292" customFormat="1" x14ac:dyDescent="0.2">
      <c r="A171" s="350">
        <v>167</v>
      </c>
      <c r="B171" s="351" t="s">
        <v>649</v>
      </c>
      <c r="C171" s="351" t="s">
        <v>647</v>
      </c>
      <c r="D171" s="351" t="s">
        <v>628</v>
      </c>
      <c r="E171" s="351" t="s">
        <v>792</v>
      </c>
      <c r="F171" s="351" t="s">
        <v>648</v>
      </c>
      <c r="G171" s="351" t="s">
        <v>8</v>
      </c>
      <c r="H171" s="351" t="s">
        <v>265</v>
      </c>
      <c r="I171" s="357" t="s">
        <v>691</v>
      </c>
      <c r="J171" s="351" t="s">
        <v>58</v>
      </c>
      <c r="K171" s="351" t="s">
        <v>4</v>
      </c>
      <c r="L171" s="351" t="s">
        <v>628</v>
      </c>
      <c r="M171" s="351" t="str">
        <f t="shared" si="77"/>
        <v/>
      </c>
      <c r="N171" s="353"/>
      <c r="O171" s="354"/>
      <c r="P171" s="355"/>
      <c r="Q171" s="355"/>
      <c r="R171" s="355"/>
      <c r="S171" s="355"/>
      <c r="T171" s="355"/>
      <c r="U171" s="355"/>
      <c r="V171" s="356"/>
      <c r="W171" s="351" t="s">
        <v>632</v>
      </c>
      <c r="X171" s="351" t="s">
        <v>632</v>
      </c>
      <c r="BD171" s="249">
        <f t="shared" si="66"/>
        <v>0</v>
      </c>
      <c r="BE171" s="249">
        <f>IF(AND(BD171&gt;0,$N171&lt;&gt;""),IF((DATE(Assumptions!$B$4,7,28)-$N171)/365.25&lt;=Assumptions!$B$20,(DATE(Assumptions!$B$4,7,28)-$N171)/365.25*Assumptions!$B$18*BD171,(Assumptions!$B$20*Assumptions!$B$18+((DATE(Assumptions!$B$4,7,28)-$N171)/365.25-Assumptions!$B$20)*Assumptions!$B$19)*BD171),0)</f>
        <v>0</v>
      </c>
      <c r="BF171" s="249">
        <f>IF(BC171&gt;0,IF($M171="Saudi",MIN(BC171+$Q171*$V171,Assumptions!$B$14)*Assumptions!$B$12,MIN(BC171+$Q171*$V171,Assumptions!$B$14)*Assumptions!$B$13),0)</f>
        <v>0</v>
      </c>
      <c r="BG171" s="249">
        <f>IF(AND(BC171&gt;0,$M171="Non-Saudi"),Assumptions!$B$25,0)</f>
        <v>0</v>
      </c>
      <c r="BH171" s="249">
        <f t="shared" si="67"/>
        <v>0</v>
      </c>
      <c r="BI171" s="249">
        <f t="shared" si="68"/>
        <v>0</v>
      </c>
      <c r="BJ171" s="249">
        <f>IF(AND(BI171&gt;0,$N171&lt;&gt;""),IF((DATE(Assumptions!$B$4,8,28)-$N171)/365.25&lt;=Assumptions!$B$20,(DATE(Assumptions!$B$4,8,28)-$N171)/365.25*Assumptions!$B$18*BI171,(Assumptions!$B$20*Assumptions!$B$18+((DATE(Assumptions!$B$4,8,28)-$N171)/365.25-Assumptions!$B$20)*Assumptions!$B$19)*BI171),0)</f>
        <v>0</v>
      </c>
      <c r="BK171" s="249">
        <f>IF(BH171&gt;0,IF($M171="Saudi",MIN(BH171+$Q171*$V171,Assumptions!$B$14)*Assumptions!$B$12,MIN(BH171+$Q171*$V171,Assumptions!$B$14)*Assumptions!$B$13),0)</f>
        <v>0</v>
      </c>
      <c r="BL171" s="249">
        <f>IF(AND(BH171&gt;0,$M171="Non-Saudi"),Assumptions!$B$25,0)</f>
        <v>0</v>
      </c>
      <c r="BM171" s="249">
        <f>IF(AND($D171="Contrat Local",$N171&lt;&gt;""),IF(AND(9&gt;=Assumptions!$B$5,ISNUMBER($X171),$N171&lt;EDATE(Assumptions!$B$9,-Assumptions!$B$6*12)),($P171+$X171)*$V171,$P171*$V171),0)</f>
        <v>0</v>
      </c>
      <c r="BN171" s="249">
        <f t="shared" si="69"/>
        <v>0</v>
      </c>
      <c r="BO171" s="249">
        <f>IF(AND(BN171&gt;0,$N171&lt;&gt;""),IF((DATE(Assumptions!$B$4,9,28)-$N171)/365.25&lt;=Assumptions!$B$20,(DATE(Assumptions!$B$4,9,28)-$N171)/365.25*Assumptions!$B$18*BN171,(Assumptions!$B$20*Assumptions!$B$18+((DATE(Assumptions!$B$4,9,28)-$N171)/365.25-Assumptions!$B$20)*Assumptions!$B$19)*BN171),0)</f>
        <v>0</v>
      </c>
      <c r="BP171" s="249">
        <f>IF(BM171&gt;0,IF($M171="Saudi",MIN(BM171+$Q171*$V171,Assumptions!$B$14)*Assumptions!$B$12,MIN(BM171+$Q171*$V171,Assumptions!$B$14)*Assumptions!$B$13),0)</f>
        <v>0</v>
      </c>
      <c r="BQ171" s="249">
        <f>IF(AND(BM171&gt;0,$M171="Non-Saudi"),Assumptions!$B$25,0)</f>
        <v>0</v>
      </c>
      <c r="BR171" s="249">
        <f>IF(AND($D171="Contrat Local",$N171&lt;&gt;""),IF(AND(10&gt;=Assumptions!$B$5,ISNUMBER($X171),$N171&lt;EDATE(Assumptions!$B$9,-Assumptions!$B$6*12)),($P171+$X171)*$V171,$P171*$V171),0)</f>
        <v>0</v>
      </c>
      <c r="BS171" s="249">
        <f t="shared" si="70"/>
        <v>0</v>
      </c>
      <c r="BT171" s="249">
        <f>IF(AND(BS171&gt;0,$N171&lt;&gt;""),IF((DATE(Assumptions!$B$4,10,28)-$N171)/365.25&lt;=Assumptions!$B$20,(DATE(Assumptions!$B$4,10,28)-$N171)/365.25*Assumptions!$B$18*BS171,(Assumptions!$B$20*Assumptions!$B$18+((DATE(Assumptions!$B$4,10,28)-$N171)/365.25-Assumptions!$B$20)*Assumptions!$B$19)*BS171),0)</f>
        <v>0</v>
      </c>
      <c r="BU171" s="249">
        <f>IF(BR171&gt;0,IF($M171="Saudi",MIN(BR171+$Q171*$V171,Assumptions!$B$14)*Assumptions!$B$12,MIN(BR171+$Q171*$V171,Assumptions!$B$14)*Assumptions!$B$13),0)</f>
        <v>0</v>
      </c>
      <c r="BV171" s="249">
        <f>IF(AND(BR171&gt;0,$M171="Non-Saudi"),Assumptions!$B$25,0)</f>
        <v>0</v>
      </c>
      <c r="BW171" s="249">
        <f>IF(AND($D171="Contrat Local",$N171&lt;&gt;""),IF(AND(11&gt;=Assumptions!$B$5,ISNUMBER($X171),$N171&lt;EDATE(Assumptions!$B$9,-Assumptions!$B$6*12)),($P171+$X171)*$V171,$P171*$V171),0)</f>
        <v>0</v>
      </c>
      <c r="BX171" s="249">
        <f t="shared" si="71"/>
        <v>0</v>
      </c>
      <c r="BY171" s="249">
        <f>IF(AND(BX171&gt;0,$N171&lt;&gt;""),IF((DATE(Assumptions!$B$4,11,28)-$N171)/365.25&lt;=Assumptions!$B$20,(DATE(Assumptions!$B$4,11,28)-$N171)/365.25*Assumptions!$B$18*BX171,(Assumptions!$B$20*Assumptions!$B$18+((DATE(Assumptions!$B$4,11,28)-$N171)/365.25-Assumptions!$B$20)*Assumptions!$B$19)*BX171),0)</f>
        <v>0</v>
      </c>
      <c r="BZ171" s="249">
        <f>IF(BW171&gt;0,IF($M171="Saudi",MIN(BW171+$Q171*$V171,Assumptions!$B$14)*Assumptions!$B$12,MIN(BW171+$Q171*$V171,Assumptions!$B$14)*Assumptions!$B$13),0)</f>
        <v>0</v>
      </c>
      <c r="CA171" s="249">
        <f>IF(AND(BW171&gt;0,$M171="Non-Saudi"),Assumptions!$B$25,0)</f>
        <v>0</v>
      </c>
      <c r="CB171" s="249">
        <f>IF(AND($D171="Contrat Local",$N171&lt;&gt;""),IF(AND(12&gt;=Assumptions!$B$5,ISNUMBER($X171),$N171&lt;EDATE(Assumptions!$B$9,-Assumptions!$B$6*12)),($P171+$X171)*$V171,$P171*$V171),0)</f>
        <v>0</v>
      </c>
      <c r="CC171" s="249">
        <f t="shared" si="72"/>
        <v>0</v>
      </c>
      <c r="CD171" s="249">
        <f>IF(AND(CC171&gt;0,$N171&lt;&gt;""),IF((DATE(Assumptions!$B$4,12,28)-$N171)/365.25&lt;=Assumptions!$B$20,(DATE(Assumptions!$B$4,12,28)-$N171)/365.25*Assumptions!$B$18*CC171,(Assumptions!$B$20*Assumptions!$B$18+((DATE(Assumptions!$B$4,12,28)-$N171)/365.25-Assumptions!$B$20)*Assumptions!$B$19)*CC171),0)</f>
        <v>0</v>
      </c>
      <c r="CE171" s="249">
        <f>IF(CB171&gt;0,IF($M171="Saudi",MIN(CB171+$Q171*$V171,Assumptions!$B$14)*Assumptions!$B$12,MIN(CB171+$Q171*$V171,Assumptions!$B$14)*Assumptions!$B$13),0)</f>
        <v>0</v>
      </c>
      <c r="CF171" s="249">
        <f>IF(AND(CB171&gt;0,$M171="Non-Saudi"),Assumptions!$B$25,0)</f>
        <v>0</v>
      </c>
      <c r="CG171" s="249">
        <f t="shared" si="78"/>
        <v>0</v>
      </c>
      <c r="CH171" s="249">
        <f t="shared" si="79"/>
        <v>0</v>
      </c>
      <c r="CI171" s="249">
        <f>CD171-IF(AND(Z171&gt;0,$N171&lt;&gt;""),IF((DATE(Assumptions!$B$4-1,12,28)-$N171)/365.25&lt;=Assumptions!$B$20,(DATE(Assumptions!$B$4-1,12,28)-$N171)/365.25*Assumptions!$B$18*Z171,(Assumptions!$B$20*Assumptions!$B$18+((DATE(Assumptions!$B$4-1,12,28)-$N171)/365.25-Assumptions!$B$20)*Assumptions!$B$19)*Z171),0)</f>
        <v>0</v>
      </c>
      <c r="CJ171" s="249">
        <f t="shared" si="80"/>
        <v>0</v>
      </c>
      <c r="CK171" s="249">
        <f t="shared" si="81"/>
        <v>0</v>
      </c>
    </row>
    <row r="172" spans="1:89" s="292" customFormat="1" x14ac:dyDescent="0.2">
      <c r="A172" s="350">
        <v>168</v>
      </c>
      <c r="B172" s="351" t="s">
        <v>650</v>
      </c>
      <c r="C172" s="351" t="s">
        <v>284</v>
      </c>
      <c r="D172" s="351" t="s">
        <v>628</v>
      </c>
      <c r="E172" s="351" t="s">
        <v>792</v>
      </c>
      <c r="F172" s="351" t="s">
        <v>648</v>
      </c>
      <c r="G172" s="351" t="s">
        <v>8</v>
      </c>
      <c r="H172" s="351" t="s">
        <v>265</v>
      </c>
      <c r="I172" s="357" t="s">
        <v>691</v>
      </c>
      <c r="J172" s="351" t="s">
        <v>58</v>
      </c>
      <c r="K172" s="351" t="s">
        <v>8</v>
      </c>
      <c r="L172" s="351" t="s">
        <v>628</v>
      </c>
      <c r="M172" s="351" t="str">
        <f t="shared" si="77"/>
        <v/>
      </c>
      <c r="N172" s="353"/>
      <c r="O172" s="354"/>
      <c r="P172" s="355"/>
      <c r="Q172" s="355"/>
      <c r="R172" s="355"/>
      <c r="S172" s="355"/>
      <c r="T172" s="355"/>
      <c r="U172" s="355"/>
      <c r="V172" s="356"/>
      <c r="W172" s="351" t="s">
        <v>632</v>
      </c>
      <c r="X172" s="351" t="s">
        <v>632</v>
      </c>
      <c r="BD172" s="249">
        <f t="shared" si="66"/>
        <v>0</v>
      </c>
      <c r="BE172" s="249">
        <f>IF(AND(BD172&gt;0,$N172&lt;&gt;""),IF((DATE(Assumptions!$B$4,7,28)-$N172)/365.25&lt;=Assumptions!$B$20,(DATE(Assumptions!$B$4,7,28)-$N172)/365.25*Assumptions!$B$18*BD172,(Assumptions!$B$20*Assumptions!$B$18+((DATE(Assumptions!$B$4,7,28)-$N172)/365.25-Assumptions!$B$20)*Assumptions!$B$19)*BD172),0)</f>
        <v>0</v>
      </c>
      <c r="BF172" s="249">
        <f>IF(BC172&gt;0,IF($M172="Saudi",MIN(BC172+$Q172*$V172,Assumptions!$B$14)*Assumptions!$B$12,MIN(BC172+$Q172*$V172,Assumptions!$B$14)*Assumptions!$B$13),0)</f>
        <v>0</v>
      </c>
      <c r="BG172" s="249">
        <f>IF(AND(BC172&gt;0,$M172="Non-Saudi"),Assumptions!$B$25,0)</f>
        <v>0</v>
      </c>
      <c r="BH172" s="249">
        <f t="shared" si="67"/>
        <v>0</v>
      </c>
      <c r="BI172" s="249">
        <f t="shared" si="68"/>
        <v>0</v>
      </c>
      <c r="BJ172" s="249">
        <f>IF(AND(BI172&gt;0,$N172&lt;&gt;""),IF((DATE(Assumptions!$B$4,8,28)-$N172)/365.25&lt;=Assumptions!$B$20,(DATE(Assumptions!$B$4,8,28)-$N172)/365.25*Assumptions!$B$18*BI172,(Assumptions!$B$20*Assumptions!$B$18+((DATE(Assumptions!$B$4,8,28)-$N172)/365.25-Assumptions!$B$20)*Assumptions!$B$19)*BI172),0)</f>
        <v>0</v>
      </c>
      <c r="BK172" s="249">
        <f>IF(BH172&gt;0,IF($M172="Saudi",MIN(BH172+$Q172*$V172,Assumptions!$B$14)*Assumptions!$B$12,MIN(BH172+$Q172*$V172,Assumptions!$B$14)*Assumptions!$B$13),0)</f>
        <v>0</v>
      </c>
      <c r="BL172" s="249">
        <f>IF(AND(BH172&gt;0,$M172="Non-Saudi"),Assumptions!$B$25,0)</f>
        <v>0</v>
      </c>
      <c r="BM172" s="249">
        <f>IF(AND($D172="Contrat Local",$N172&lt;&gt;""),IF(AND(9&gt;=Assumptions!$B$5,ISNUMBER($X172),$N172&lt;EDATE(Assumptions!$B$9,-Assumptions!$B$6*12)),($P172+$X172)*$V172,$P172*$V172),0)</f>
        <v>0</v>
      </c>
      <c r="BN172" s="249">
        <f t="shared" si="69"/>
        <v>0</v>
      </c>
      <c r="BO172" s="249">
        <f>IF(AND(BN172&gt;0,$N172&lt;&gt;""),IF((DATE(Assumptions!$B$4,9,28)-$N172)/365.25&lt;=Assumptions!$B$20,(DATE(Assumptions!$B$4,9,28)-$N172)/365.25*Assumptions!$B$18*BN172,(Assumptions!$B$20*Assumptions!$B$18+((DATE(Assumptions!$B$4,9,28)-$N172)/365.25-Assumptions!$B$20)*Assumptions!$B$19)*BN172),0)</f>
        <v>0</v>
      </c>
      <c r="BP172" s="249">
        <f>IF(BM172&gt;0,IF($M172="Saudi",MIN(BM172+$Q172*$V172,Assumptions!$B$14)*Assumptions!$B$12,MIN(BM172+$Q172*$V172,Assumptions!$B$14)*Assumptions!$B$13),0)</f>
        <v>0</v>
      </c>
      <c r="BQ172" s="249">
        <f>IF(AND(BM172&gt;0,$M172="Non-Saudi"),Assumptions!$B$25,0)</f>
        <v>0</v>
      </c>
      <c r="BR172" s="249">
        <f>IF(AND($D172="Contrat Local",$N172&lt;&gt;""),IF(AND(10&gt;=Assumptions!$B$5,ISNUMBER($X172),$N172&lt;EDATE(Assumptions!$B$9,-Assumptions!$B$6*12)),($P172+$X172)*$V172,$P172*$V172),0)</f>
        <v>0</v>
      </c>
      <c r="BS172" s="249">
        <f t="shared" si="70"/>
        <v>0</v>
      </c>
      <c r="BT172" s="249">
        <f>IF(AND(BS172&gt;0,$N172&lt;&gt;""),IF((DATE(Assumptions!$B$4,10,28)-$N172)/365.25&lt;=Assumptions!$B$20,(DATE(Assumptions!$B$4,10,28)-$N172)/365.25*Assumptions!$B$18*BS172,(Assumptions!$B$20*Assumptions!$B$18+((DATE(Assumptions!$B$4,10,28)-$N172)/365.25-Assumptions!$B$20)*Assumptions!$B$19)*BS172),0)</f>
        <v>0</v>
      </c>
      <c r="BU172" s="249">
        <f>IF(BR172&gt;0,IF($M172="Saudi",MIN(BR172+$Q172*$V172,Assumptions!$B$14)*Assumptions!$B$12,MIN(BR172+$Q172*$V172,Assumptions!$B$14)*Assumptions!$B$13),0)</f>
        <v>0</v>
      </c>
      <c r="BV172" s="249">
        <f>IF(AND(BR172&gt;0,$M172="Non-Saudi"),Assumptions!$B$25,0)</f>
        <v>0</v>
      </c>
      <c r="BW172" s="249">
        <f>IF(AND($D172="Contrat Local",$N172&lt;&gt;""),IF(AND(11&gt;=Assumptions!$B$5,ISNUMBER($X172),$N172&lt;EDATE(Assumptions!$B$9,-Assumptions!$B$6*12)),($P172+$X172)*$V172,$P172*$V172),0)</f>
        <v>0</v>
      </c>
      <c r="BX172" s="249">
        <f t="shared" si="71"/>
        <v>0</v>
      </c>
      <c r="BY172" s="249">
        <f>IF(AND(BX172&gt;0,$N172&lt;&gt;""),IF((DATE(Assumptions!$B$4,11,28)-$N172)/365.25&lt;=Assumptions!$B$20,(DATE(Assumptions!$B$4,11,28)-$N172)/365.25*Assumptions!$B$18*BX172,(Assumptions!$B$20*Assumptions!$B$18+((DATE(Assumptions!$B$4,11,28)-$N172)/365.25-Assumptions!$B$20)*Assumptions!$B$19)*BX172),0)</f>
        <v>0</v>
      </c>
      <c r="BZ172" s="249">
        <f>IF(BW172&gt;0,IF($M172="Saudi",MIN(BW172+$Q172*$V172,Assumptions!$B$14)*Assumptions!$B$12,MIN(BW172+$Q172*$V172,Assumptions!$B$14)*Assumptions!$B$13),0)</f>
        <v>0</v>
      </c>
      <c r="CA172" s="249">
        <f>IF(AND(BW172&gt;0,$M172="Non-Saudi"),Assumptions!$B$25,0)</f>
        <v>0</v>
      </c>
      <c r="CB172" s="249">
        <f>IF(AND($D172="Contrat Local",$N172&lt;&gt;""),IF(AND(12&gt;=Assumptions!$B$5,ISNUMBER($X172),$N172&lt;EDATE(Assumptions!$B$9,-Assumptions!$B$6*12)),($P172+$X172)*$V172,$P172*$V172),0)</f>
        <v>0</v>
      </c>
      <c r="CC172" s="249">
        <f t="shared" si="72"/>
        <v>0</v>
      </c>
      <c r="CD172" s="249">
        <f>IF(AND(CC172&gt;0,$N172&lt;&gt;""),IF((DATE(Assumptions!$B$4,12,28)-$N172)/365.25&lt;=Assumptions!$B$20,(DATE(Assumptions!$B$4,12,28)-$N172)/365.25*Assumptions!$B$18*CC172,(Assumptions!$B$20*Assumptions!$B$18+((DATE(Assumptions!$B$4,12,28)-$N172)/365.25-Assumptions!$B$20)*Assumptions!$B$19)*CC172),0)</f>
        <v>0</v>
      </c>
      <c r="CE172" s="249">
        <f>IF(CB172&gt;0,IF($M172="Saudi",MIN(CB172+$Q172*$V172,Assumptions!$B$14)*Assumptions!$B$12,MIN(CB172+$Q172*$V172,Assumptions!$B$14)*Assumptions!$B$13),0)</f>
        <v>0</v>
      </c>
      <c r="CF172" s="249">
        <f>IF(AND(CB172&gt;0,$M172="Non-Saudi"),Assumptions!$B$25,0)</f>
        <v>0</v>
      </c>
      <c r="CG172" s="249">
        <f t="shared" si="78"/>
        <v>0</v>
      </c>
      <c r="CH172" s="249">
        <f t="shared" si="79"/>
        <v>0</v>
      </c>
      <c r="CI172" s="249">
        <f>CD172-IF(AND(Z172&gt;0,$N172&lt;&gt;""),IF((DATE(Assumptions!$B$4-1,12,28)-$N172)/365.25&lt;=Assumptions!$B$20,(DATE(Assumptions!$B$4-1,12,28)-$N172)/365.25*Assumptions!$B$18*Z172,(Assumptions!$B$20*Assumptions!$B$18+((DATE(Assumptions!$B$4-1,12,28)-$N172)/365.25-Assumptions!$B$20)*Assumptions!$B$19)*Z172),0)</f>
        <v>0</v>
      </c>
      <c r="CJ172" s="249">
        <f t="shared" si="80"/>
        <v>0</v>
      </c>
      <c r="CK172" s="249">
        <f t="shared" si="81"/>
        <v>0</v>
      </c>
    </row>
    <row r="173" spans="1:89" s="292" customFormat="1" x14ac:dyDescent="0.2">
      <c r="A173" s="350">
        <v>169</v>
      </c>
      <c r="B173" s="351" t="s">
        <v>650</v>
      </c>
      <c r="C173" s="351" t="s">
        <v>651</v>
      </c>
      <c r="D173" s="351" t="s">
        <v>628</v>
      </c>
      <c r="E173" s="351" t="s">
        <v>792</v>
      </c>
      <c r="F173" s="351" t="s">
        <v>648</v>
      </c>
      <c r="G173" s="351" t="s">
        <v>8</v>
      </c>
      <c r="H173" s="351" t="s">
        <v>265</v>
      </c>
      <c r="I173" s="357" t="s">
        <v>691</v>
      </c>
      <c r="J173" s="351" t="s">
        <v>58</v>
      </c>
      <c r="K173" s="351" t="s">
        <v>8</v>
      </c>
      <c r="L173" s="351" t="s">
        <v>628</v>
      </c>
      <c r="M173" s="351" t="str">
        <f t="shared" si="77"/>
        <v/>
      </c>
      <c r="N173" s="353"/>
      <c r="O173" s="354"/>
      <c r="P173" s="355"/>
      <c r="Q173" s="355"/>
      <c r="R173" s="355"/>
      <c r="S173" s="355"/>
      <c r="T173" s="355"/>
      <c r="U173" s="355"/>
      <c r="V173" s="356"/>
      <c r="W173" s="351" t="s">
        <v>632</v>
      </c>
      <c r="X173" s="351" t="s">
        <v>632</v>
      </c>
      <c r="BD173" s="249">
        <f t="shared" si="66"/>
        <v>0</v>
      </c>
      <c r="BE173" s="249">
        <f>IF(AND(BD173&gt;0,$N173&lt;&gt;""),IF((DATE(Assumptions!$B$4,7,28)-$N173)/365.25&lt;=Assumptions!$B$20,(DATE(Assumptions!$B$4,7,28)-$N173)/365.25*Assumptions!$B$18*BD173,(Assumptions!$B$20*Assumptions!$B$18+((DATE(Assumptions!$B$4,7,28)-$N173)/365.25-Assumptions!$B$20)*Assumptions!$B$19)*BD173),0)</f>
        <v>0</v>
      </c>
      <c r="BF173" s="249">
        <f>IF(BC173&gt;0,IF($M173="Saudi",MIN(BC173+$Q173*$V173,Assumptions!$B$14)*Assumptions!$B$12,MIN(BC173+$Q173*$V173,Assumptions!$B$14)*Assumptions!$B$13),0)</f>
        <v>0</v>
      </c>
      <c r="BG173" s="249">
        <f>IF(AND(BC173&gt;0,$M173="Non-Saudi"),Assumptions!$B$25,0)</f>
        <v>0</v>
      </c>
      <c r="BH173" s="249">
        <f t="shared" si="67"/>
        <v>0</v>
      </c>
      <c r="BI173" s="249">
        <f t="shared" si="68"/>
        <v>0</v>
      </c>
      <c r="BJ173" s="249">
        <f>IF(AND(BI173&gt;0,$N173&lt;&gt;""),IF((DATE(Assumptions!$B$4,8,28)-$N173)/365.25&lt;=Assumptions!$B$20,(DATE(Assumptions!$B$4,8,28)-$N173)/365.25*Assumptions!$B$18*BI173,(Assumptions!$B$20*Assumptions!$B$18+((DATE(Assumptions!$B$4,8,28)-$N173)/365.25-Assumptions!$B$20)*Assumptions!$B$19)*BI173),0)</f>
        <v>0</v>
      </c>
      <c r="BK173" s="249">
        <f>IF(BH173&gt;0,IF($M173="Saudi",MIN(BH173+$Q173*$V173,Assumptions!$B$14)*Assumptions!$B$12,MIN(BH173+$Q173*$V173,Assumptions!$B$14)*Assumptions!$B$13),0)</f>
        <v>0</v>
      </c>
      <c r="BL173" s="249">
        <f>IF(AND(BH173&gt;0,$M173="Non-Saudi"),Assumptions!$B$25,0)</f>
        <v>0</v>
      </c>
      <c r="BM173" s="249">
        <f>IF(AND($D173="Contrat Local",$N173&lt;&gt;""),IF(AND(9&gt;=Assumptions!$B$5,ISNUMBER($X173),$N173&lt;EDATE(Assumptions!$B$9,-Assumptions!$B$6*12)),($P173+$X173)*$V173,$P173*$V173),0)</f>
        <v>0</v>
      </c>
      <c r="BN173" s="249">
        <f t="shared" si="69"/>
        <v>0</v>
      </c>
      <c r="BO173" s="249">
        <f>IF(AND(BN173&gt;0,$N173&lt;&gt;""),IF((DATE(Assumptions!$B$4,9,28)-$N173)/365.25&lt;=Assumptions!$B$20,(DATE(Assumptions!$B$4,9,28)-$N173)/365.25*Assumptions!$B$18*BN173,(Assumptions!$B$20*Assumptions!$B$18+((DATE(Assumptions!$B$4,9,28)-$N173)/365.25-Assumptions!$B$20)*Assumptions!$B$19)*BN173),0)</f>
        <v>0</v>
      </c>
      <c r="BP173" s="249">
        <f>IF(BM173&gt;0,IF($M173="Saudi",MIN(BM173+$Q173*$V173,Assumptions!$B$14)*Assumptions!$B$12,MIN(BM173+$Q173*$V173,Assumptions!$B$14)*Assumptions!$B$13),0)</f>
        <v>0</v>
      </c>
      <c r="BQ173" s="249">
        <f>IF(AND(BM173&gt;0,$M173="Non-Saudi"),Assumptions!$B$25,0)</f>
        <v>0</v>
      </c>
      <c r="BR173" s="249">
        <f>IF(AND($D173="Contrat Local",$N173&lt;&gt;""),IF(AND(10&gt;=Assumptions!$B$5,ISNUMBER($X173),$N173&lt;EDATE(Assumptions!$B$9,-Assumptions!$B$6*12)),($P173+$X173)*$V173,$P173*$V173),0)</f>
        <v>0</v>
      </c>
      <c r="BS173" s="249">
        <f t="shared" si="70"/>
        <v>0</v>
      </c>
      <c r="BT173" s="249">
        <f>IF(AND(BS173&gt;0,$N173&lt;&gt;""),IF((DATE(Assumptions!$B$4,10,28)-$N173)/365.25&lt;=Assumptions!$B$20,(DATE(Assumptions!$B$4,10,28)-$N173)/365.25*Assumptions!$B$18*BS173,(Assumptions!$B$20*Assumptions!$B$18+((DATE(Assumptions!$B$4,10,28)-$N173)/365.25-Assumptions!$B$20)*Assumptions!$B$19)*BS173),0)</f>
        <v>0</v>
      </c>
      <c r="BU173" s="249">
        <f>IF(BR173&gt;0,IF($M173="Saudi",MIN(BR173+$Q173*$V173,Assumptions!$B$14)*Assumptions!$B$12,MIN(BR173+$Q173*$V173,Assumptions!$B$14)*Assumptions!$B$13),0)</f>
        <v>0</v>
      </c>
      <c r="BV173" s="249">
        <f>IF(AND(BR173&gt;0,$M173="Non-Saudi"),Assumptions!$B$25,0)</f>
        <v>0</v>
      </c>
      <c r="BW173" s="249">
        <f>IF(AND($D173="Contrat Local",$N173&lt;&gt;""),IF(AND(11&gt;=Assumptions!$B$5,ISNUMBER($X173),$N173&lt;EDATE(Assumptions!$B$9,-Assumptions!$B$6*12)),($P173+$X173)*$V173,$P173*$V173),0)</f>
        <v>0</v>
      </c>
      <c r="BX173" s="249">
        <f t="shared" si="71"/>
        <v>0</v>
      </c>
      <c r="BY173" s="249">
        <f>IF(AND(BX173&gt;0,$N173&lt;&gt;""),IF((DATE(Assumptions!$B$4,11,28)-$N173)/365.25&lt;=Assumptions!$B$20,(DATE(Assumptions!$B$4,11,28)-$N173)/365.25*Assumptions!$B$18*BX173,(Assumptions!$B$20*Assumptions!$B$18+((DATE(Assumptions!$B$4,11,28)-$N173)/365.25-Assumptions!$B$20)*Assumptions!$B$19)*BX173),0)</f>
        <v>0</v>
      </c>
      <c r="BZ173" s="249">
        <f>IF(BW173&gt;0,IF($M173="Saudi",MIN(BW173+$Q173*$V173,Assumptions!$B$14)*Assumptions!$B$12,MIN(BW173+$Q173*$V173,Assumptions!$B$14)*Assumptions!$B$13),0)</f>
        <v>0</v>
      </c>
      <c r="CA173" s="249">
        <f>IF(AND(BW173&gt;0,$M173="Non-Saudi"),Assumptions!$B$25,0)</f>
        <v>0</v>
      </c>
      <c r="CB173" s="249">
        <f>IF(AND($D173="Contrat Local",$N173&lt;&gt;""),IF(AND(12&gt;=Assumptions!$B$5,ISNUMBER($X173),$N173&lt;EDATE(Assumptions!$B$9,-Assumptions!$B$6*12)),($P173+$X173)*$V173,$P173*$V173),0)</f>
        <v>0</v>
      </c>
      <c r="CC173" s="249">
        <f t="shared" si="72"/>
        <v>0</v>
      </c>
      <c r="CD173" s="249">
        <f>IF(AND(CC173&gt;0,$N173&lt;&gt;""),IF((DATE(Assumptions!$B$4,12,28)-$N173)/365.25&lt;=Assumptions!$B$20,(DATE(Assumptions!$B$4,12,28)-$N173)/365.25*Assumptions!$B$18*CC173,(Assumptions!$B$20*Assumptions!$B$18+((DATE(Assumptions!$B$4,12,28)-$N173)/365.25-Assumptions!$B$20)*Assumptions!$B$19)*CC173),0)</f>
        <v>0</v>
      </c>
      <c r="CE173" s="249">
        <f>IF(CB173&gt;0,IF($M173="Saudi",MIN(CB173+$Q173*$V173,Assumptions!$B$14)*Assumptions!$B$12,MIN(CB173+$Q173*$V173,Assumptions!$B$14)*Assumptions!$B$13),0)</f>
        <v>0</v>
      </c>
      <c r="CF173" s="249">
        <f>IF(AND(CB173&gt;0,$M173="Non-Saudi"),Assumptions!$B$25,0)</f>
        <v>0</v>
      </c>
      <c r="CG173" s="249">
        <f t="shared" si="78"/>
        <v>0</v>
      </c>
      <c r="CH173" s="249">
        <f t="shared" si="79"/>
        <v>0</v>
      </c>
      <c r="CI173" s="249">
        <f>CD173-IF(AND(Z173&gt;0,$N173&lt;&gt;""),IF((DATE(Assumptions!$B$4-1,12,28)-$N173)/365.25&lt;=Assumptions!$B$20,(DATE(Assumptions!$B$4-1,12,28)-$N173)/365.25*Assumptions!$B$18*Z173,(Assumptions!$B$20*Assumptions!$B$18+((DATE(Assumptions!$B$4-1,12,28)-$N173)/365.25-Assumptions!$B$20)*Assumptions!$B$19)*Z173),0)</f>
        <v>0</v>
      </c>
      <c r="CJ173" s="249">
        <f t="shared" si="80"/>
        <v>0</v>
      </c>
      <c r="CK173" s="249">
        <f t="shared" si="81"/>
        <v>0</v>
      </c>
    </row>
    <row r="174" spans="1:89" s="292" customFormat="1" x14ac:dyDescent="0.2">
      <c r="A174" s="350">
        <v>170</v>
      </c>
      <c r="B174" s="351" t="s">
        <v>652</v>
      </c>
      <c r="C174" s="351" t="s">
        <v>653</v>
      </c>
      <c r="D174" s="351" t="s">
        <v>628</v>
      </c>
      <c r="E174" s="351" t="s">
        <v>792</v>
      </c>
      <c r="F174" s="351" t="s">
        <v>648</v>
      </c>
      <c r="G174" s="351" t="s">
        <v>8</v>
      </c>
      <c r="H174" s="351" t="s">
        <v>265</v>
      </c>
      <c r="I174" s="357" t="s">
        <v>691</v>
      </c>
      <c r="J174" s="351" t="s">
        <v>58</v>
      </c>
      <c r="K174" s="351" t="s">
        <v>8</v>
      </c>
      <c r="L174" s="351" t="s">
        <v>628</v>
      </c>
      <c r="M174" s="351" t="str">
        <f t="shared" si="77"/>
        <v/>
      </c>
      <c r="N174" s="353"/>
      <c r="O174" s="354"/>
      <c r="P174" s="355"/>
      <c r="Q174" s="355"/>
      <c r="R174" s="355"/>
      <c r="S174" s="355"/>
      <c r="T174" s="355"/>
      <c r="U174" s="355"/>
      <c r="V174" s="356"/>
      <c r="W174" s="351" t="s">
        <v>632</v>
      </c>
      <c r="X174" s="351" t="s">
        <v>632</v>
      </c>
      <c r="BD174" s="249">
        <f t="shared" si="66"/>
        <v>0</v>
      </c>
      <c r="BE174" s="249">
        <f>IF(AND(BD174&gt;0,$N174&lt;&gt;""),IF((DATE(Assumptions!$B$4,7,28)-$N174)/365.25&lt;=Assumptions!$B$20,(DATE(Assumptions!$B$4,7,28)-$N174)/365.25*Assumptions!$B$18*BD174,(Assumptions!$B$20*Assumptions!$B$18+((DATE(Assumptions!$B$4,7,28)-$N174)/365.25-Assumptions!$B$20)*Assumptions!$B$19)*BD174),0)</f>
        <v>0</v>
      </c>
      <c r="BF174" s="249">
        <f>IF(BC174&gt;0,IF($M174="Saudi",MIN(BC174+$Q174*$V174,Assumptions!$B$14)*Assumptions!$B$12,MIN(BC174+$Q174*$V174,Assumptions!$B$14)*Assumptions!$B$13),0)</f>
        <v>0</v>
      </c>
      <c r="BG174" s="249">
        <f>IF(AND(BC174&gt;0,$M174="Non-Saudi"),Assumptions!$B$25,0)</f>
        <v>0</v>
      </c>
      <c r="BH174" s="249">
        <f t="shared" si="67"/>
        <v>0</v>
      </c>
      <c r="BI174" s="249">
        <f t="shared" si="68"/>
        <v>0</v>
      </c>
      <c r="BJ174" s="249">
        <f>IF(AND(BI174&gt;0,$N174&lt;&gt;""),IF((DATE(Assumptions!$B$4,8,28)-$N174)/365.25&lt;=Assumptions!$B$20,(DATE(Assumptions!$B$4,8,28)-$N174)/365.25*Assumptions!$B$18*BI174,(Assumptions!$B$20*Assumptions!$B$18+((DATE(Assumptions!$B$4,8,28)-$N174)/365.25-Assumptions!$B$20)*Assumptions!$B$19)*BI174),0)</f>
        <v>0</v>
      </c>
      <c r="BK174" s="249">
        <f>IF(BH174&gt;0,IF($M174="Saudi",MIN(BH174+$Q174*$V174,Assumptions!$B$14)*Assumptions!$B$12,MIN(BH174+$Q174*$V174,Assumptions!$B$14)*Assumptions!$B$13),0)</f>
        <v>0</v>
      </c>
      <c r="BL174" s="249">
        <f>IF(AND(BH174&gt;0,$M174="Non-Saudi"),Assumptions!$B$25,0)</f>
        <v>0</v>
      </c>
      <c r="BM174" s="249">
        <f>IF(AND($D174="Contrat Local",$N174&lt;&gt;""),IF(AND(9&gt;=Assumptions!$B$5,ISNUMBER($X174),$N174&lt;EDATE(Assumptions!$B$9,-Assumptions!$B$6*12)),($P174+$X174)*$V174,$P174*$V174),0)</f>
        <v>0</v>
      </c>
      <c r="BN174" s="249">
        <f t="shared" si="69"/>
        <v>0</v>
      </c>
      <c r="BO174" s="249">
        <f>IF(AND(BN174&gt;0,$N174&lt;&gt;""),IF((DATE(Assumptions!$B$4,9,28)-$N174)/365.25&lt;=Assumptions!$B$20,(DATE(Assumptions!$B$4,9,28)-$N174)/365.25*Assumptions!$B$18*BN174,(Assumptions!$B$20*Assumptions!$B$18+((DATE(Assumptions!$B$4,9,28)-$N174)/365.25-Assumptions!$B$20)*Assumptions!$B$19)*BN174),0)</f>
        <v>0</v>
      </c>
      <c r="BP174" s="249">
        <f>IF(BM174&gt;0,IF($M174="Saudi",MIN(BM174+$Q174*$V174,Assumptions!$B$14)*Assumptions!$B$12,MIN(BM174+$Q174*$V174,Assumptions!$B$14)*Assumptions!$B$13),0)</f>
        <v>0</v>
      </c>
      <c r="BQ174" s="249">
        <f>IF(AND(BM174&gt;0,$M174="Non-Saudi"),Assumptions!$B$25,0)</f>
        <v>0</v>
      </c>
      <c r="BR174" s="249">
        <f>IF(AND($D174="Contrat Local",$N174&lt;&gt;""),IF(AND(10&gt;=Assumptions!$B$5,ISNUMBER($X174),$N174&lt;EDATE(Assumptions!$B$9,-Assumptions!$B$6*12)),($P174+$X174)*$V174,$P174*$V174),0)</f>
        <v>0</v>
      </c>
      <c r="BS174" s="249">
        <f t="shared" si="70"/>
        <v>0</v>
      </c>
      <c r="BT174" s="249">
        <f>IF(AND(BS174&gt;0,$N174&lt;&gt;""),IF((DATE(Assumptions!$B$4,10,28)-$N174)/365.25&lt;=Assumptions!$B$20,(DATE(Assumptions!$B$4,10,28)-$N174)/365.25*Assumptions!$B$18*BS174,(Assumptions!$B$20*Assumptions!$B$18+((DATE(Assumptions!$B$4,10,28)-$N174)/365.25-Assumptions!$B$20)*Assumptions!$B$19)*BS174),0)</f>
        <v>0</v>
      </c>
      <c r="BU174" s="249">
        <f>IF(BR174&gt;0,IF($M174="Saudi",MIN(BR174+$Q174*$V174,Assumptions!$B$14)*Assumptions!$B$12,MIN(BR174+$Q174*$V174,Assumptions!$B$14)*Assumptions!$B$13),0)</f>
        <v>0</v>
      </c>
      <c r="BV174" s="249">
        <f>IF(AND(BR174&gt;0,$M174="Non-Saudi"),Assumptions!$B$25,0)</f>
        <v>0</v>
      </c>
      <c r="BW174" s="249">
        <f>IF(AND($D174="Contrat Local",$N174&lt;&gt;""),IF(AND(11&gt;=Assumptions!$B$5,ISNUMBER($X174),$N174&lt;EDATE(Assumptions!$B$9,-Assumptions!$B$6*12)),($P174+$X174)*$V174,$P174*$V174),0)</f>
        <v>0</v>
      </c>
      <c r="BX174" s="249">
        <f t="shared" si="71"/>
        <v>0</v>
      </c>
      <c r="BY174" s="249">
        <f>IF(AND(BX174&gt;0,$N174&lt;&gt;""),IF((DATE(Assumptions!$B$4,11,28)-$N174)/365.25&lt;=Assumptions!$B$20,(DATE(Assumptions!$B$4,11,28)-$N174)/365.25*Assumptions!$B$18*BX174,(Assumptions!$B$20*Assumptions!$B$18+((DATE(Assumptions!$B$4,11,28)-$N174)/365.25-Assumptions!$B$20)*Assumptions!$B$19)*BX174),0)</f>
        <v>0</v>
      </c>
      <c r="BZ174" s="249">
        <f>IF(BW174&gt;0,IF($M174="Saudi",MIN(BW174+$Q174*$V174,Assumptions!$B$14)*Assumptions!$B$12,MIN(BW174+$Q174*$V174,Assumptions!$B$14)*Assumptions!$B$13),0)</f>
        <v>0</v>
      </c>
      <c r="CA174" s="249">
        <f>IF(AND(BW174&gt;0,$M174="Non-Saudi"),Assumptions!$B$25,0)</f>
        <v>0</v>
      </c>
      <c r="CB174" s="249">
        <f>IF(AND($D174="Contrat Local",$N174&lt;&gt;""),IF(AND(12&gt;=Assumptions!$B$5,ISNUMBER($X174),$N174&lt;EDATE(Assumptions!$B$9,-Assumptions!$B$6*12)),($P174+$X174)*$V174,$P174*$V174),0)</f>
        <v>0</v>
      </c>
      <c r="CC174" s="249">
        <f t="shared" si="72"/>
        <v>0</v>
      </c>
      <c r="CD174" s="249">
        <f>IF(AND(CC174&gt;0,$N174&lt;&gt;""),IF((DATE(Assumptions!$B$4,12,28)-$N174)/365.25&lt;=Assumptions!$B$20,(DATE(Assumptions!$B$4,12,28)-$N174)/365.25*Assumptions!$B$18*CC174,(Assumptions!$B$20*Assumptions!$B$18+((DATE(Assumptions!$B$4,12,28)-$N174)/365.25-Assumptions!$B$20)*Assumptions!$B$19)*CC174),0)</f>
        <v>0</v>
      </c>
      <c r="CE174" s="249">
        <f>IF(CB174&gt;0,IF($M174="Saudi",MIN(CB174+$Q174*$V174,Assumptions!$B$14)*Assumptions!$B$12,MIN(CB174+$Q174*$V174,Assumptions!$B$14)*Assumptions!$B$13),0)</f>
        <v>0</v>
      </c>
      <c r="CF174" s="249">
        <f>IF(AND(CB174&gt;0,$M174="Non-Saudi"),Assumptions!$B$25,0)</f>
        <v>0</v>
      </c>
      <c r="CG174" s="249">
        <f t="shared" si="78"/>
        <v>0</v>
      </c>
      <c r="CH174" s="249">
        <f t="shared" si="79"/>
        <v>0</v>
      </c>
      <c r="CI174" s="249">
        <f>CD174-IF(AND(Z174&gt;0,$N174&lt;&gt;""),IF((DATE(Assumptions!$B$4-1,12,28)-$N174)/365.25&lt;=Assumptions!$B$20,(DATE(Assumptions!$B$4-1,12,28)-$N174)/365.25*Assumptions!$B$18*Z174,(Assumptions!$B$20*Assumptions!$B$18+((DATE(Assumptions!$B$4-1,12,28)-$N174)/365.25-Assumptions!$B$20)*Assumptions!$B$19)*Z174),0)</f>
        <v>0</v>
      </c>
      <c r="CJ174" s="249">
        <f t="shared" si="80"/>
        <v>0</v>
      </c>
      <c r="CK174" s="249">
        <f t="shared" si="81"/>
        <v>0</v>
      </c>
    </row>
    <row r="175" spans="1:89" s="292" customFormat="1" x14ac:dyDescent="0.2">
      <c r="A175" s="350">
        <v>171</v>
      </c>
      <c r="B175" s="351" t="s">
        <v>654</v>
      </c>
      <c r="C175" s="351" t="s">
        <v>596</v>
      </c>
      <c r="D175" s="351" t="s">
        <v>628</v>
      </c>
      <c r="E175" s="351" t="s">
        <v>792</v>
      </c>
      <c r="F175" s="351" t="s">
        <v>648</v>
      </c>
      <c r="G175" s="351" t="s">
        <v>8</v>
      </c>
      <c r="H175" s="351" t="s">
        <v>265</v>
      </c>
      <c r="I175" s="357" t="s">
        <v>691</v>
      </c>
      <c r="J175" s="351" t="s">
        <v>58</v>
      </c>
      <c r="K175" s="351" t="s">
        <v>8</v>
      </c>
      <c r="L175" s="351" t="s">
        <v>628</v>
      </c>
      <c r="M175" s="351" t="str">
        <f t="shared" si="77"/>
        <v/>
      </c>
      <c r="N175" s="353"/>
      <c r="O175" s="354"/>
      <c r="P175" s="355"/>
      <c r="Q175" s="355"/>
      <c r="R175" s="355"/>
      <c r="S175" s="355"/>
      <c r="T175" s="355"/>
      <c r="U175" s="355"/>
      <c r="V175" s="356"/>
      <c r="W175" s="351" t="s">
        <v>632</v>
      </c>
      <c r="X175" s="351" t="s">
        <v>632</v>
      </c>
      <c r="BD175" s="249">
        <f t="shared" si="66"/>
        <v>0</v>
      </c>
      <c r="BE175" s="249">
        <f>IF(AND(BD175&gt;0,$N175&lt;&gt;""),IF((DATE(Assumptions!$B$4,7,28)-$N175)/365.25&lt;=Assumptions!$B$20,(DATE(Assumptions!$B$4,7,28)-$N175)/365.25*Assumptions!$B$18*BD175,(Assumptions!$B$20*Assumptions!$B$18+((DATE(Assumptions!$B$4,7,28)-$N175)/365.25-Assumptions!$B$20)*Assumptions!$B$19)*BD175),0)</f>
        <v>0</v>
      </c>
      <c r="BF175" s="249">
        <f>IF(BC175&gt;0,IF($M175="Saudi",MIN(BC175+$Q175*$V175,Assumptions!$B$14)*Assumptions!$B$12,MIN(BC175+$Q175*$V175,Assumptions!$B$14)*Assumptions!$B$13),0)</f>
        <v>0</v>
      </c>
      <c r="BG175" s="249">
        <f>IF(AND(BC175&gt;0,$M175="Non-Saudi"),Assumptions!$B$25,0)</f>
        <v>0</v>
      </c>
      <c r="BH175" s="249">
        <f t="shared" si="67"/>
        <v>0</v>
      </c>
      <c r="BI175" s="249">
        <f t="shared" si="68"/>
        <v>0</v>
      </c>
      <c r="BJ175" s="249">
        <f>IF(AND(BI175&gt;0,$N175&lt;&gt;""),IF((DATE(Assumptions!$B$4,8,28)-$N175)/365.25&lt;=Assumptions!$B$20,(DATE(Assumptions!$B$4,8,28)-$N175)/365.25*Assumptions!$B$18*BI175,(Assumptions!$B$20*Assumptions!$B$18+((DATE(Assumptions!$B$4,8,28)-$N175)/365.25-Assumptions!$B$20)*Assumptions!$B$19)*BI175),0)</f>
        <v>0</v>
      </c>
      <c r="BK175" s="249">
        <f>IF(BH175&gt;0,IF($M175="Saudi",MIN(BH175+$Q175*$V175,Assumptions!$B$14)*Assumptions!$B$12,MIN(BH175+$Q175*$V175,Assumptions!$B$14)*Assumptions!$B$13),0)</f>
        <v>0</v>
      </c>
      <c r="BL175" s="249">
        <f>IF(AND(BH175&gt;0,$M175="Non-Saudi"),Assumptions!$B$25,0)</f>
        <v>0</v>
      </c>
      <c r="BM175" s="249">
        <f>IF(AND($D175="Contrat Local",$N175&lt;&gt;""),IF(AND(9&gt;=Assumptions!$B$5,ISNUMBER($X175),$N175&lt;EDATE(Assumptions!$B$9,-Assumptions!$B$6*12)),($P175+$X175)*$V175,$P175*$V175),0)</f>
        <v>0</v>
      </c>
      <c r="BN175" s="249">
        <f t="shared" si="69"/>
        <v>0</v>
      </c>
      <c r="BO175" s="249">
        <f>IF(AND(BN175&gt;0,$N175&lt;&gt;""),IF((DATE(Assumptions!$B$4,9,28)-$N175)/365.25&lt;=Assumptions!$B$20,(DATE(Assumptions!$B$4,9,28)-$N175)/365.25*Assumptions!$B$18*BN175,(Assumptions!$B$20*Assumptions!$B$18+((DATE(Assumptions!$B$4,9,28)-$N175)/365.25-Assumptions!$B$20)*Assumptions!$B$19)*BN175),0)</f>
        <v>0</v>
      </c>
      <c r="BP175" s="249">
        <f>IF(BM175&gt;0,IF($M175="Saudi",MIN(BM175+$Q175*$V175,Assumptions!$B$14)*Assumptions!$B$12,MIN(BM175+$Q175*$V175,Assumptions!$B$14)*Assumptions!$B$13),0)</f>
        <v>0</v>
      </c>
      <c r="BQ175" s="249">
        <f>IF(AND(BM175&gt;0,$M175="Non-Saudi"),Assumptions!$B$25,0)</f>
        <v>0</v>
      </c>
      <c r="BR175" s="249">
        <f>IF(AND($D175="Contrat Local",$N175&lt;&gt;""),IF(AND(10&gt;=Assumptions!$B$5,ISNUMBER($X175),$N175&lt;EDATE(Assumptions!$B$9,-Assumptions!$B$6*12)),($P175+$X175)*$V175,$P175*$V175),0)</f>
        <v>0</v>
      </c>
      <c r="BS175" s="249">
        <f t="shared" si="70"/>
        <v>0</v>
      </c>
      <c r="BT175" s="249">
        <f>IF(AND(BS175&gt;0,$N175&lt;&gt;""),IF((DATE(Assumptions!$B$4,10,28)-$N175)/365.25&lt;=Assumptions!$B$20,(DATE(Assumptions!$B$4,10,28)-$N175)/365.25*Assumptions!$B$18*BS175,(Assumptions!$B$20*Assumptions!$B$18+((DATE(Assumptions!$B$4,10,28)-$N175)/365.25-Assumptions!$B$20)*Assumptions!$B$19)*BS175),0)</f>
        <v>0</v>
      </c>
      <c r="BU175" s="249">
        <f>IF(BR175&gt;0,IF($M175="Saudi",MIN(BR175+$Q175*$V175,Assumptions!$B$14)*Assumptions!$B$12,MIN(BR175+$Q175*$V175,Assumptions!$B$14)*Assumptions!$B$13),0)</f>
        <v>0</v>
      </c>
      <c r="BV175" s="249">
        <f>IF(AND(BR175&gt;0,$M175="Non-Saudi"),Assumptions!$B$25,0)</f>
        <v>0</v>
      </c>
      <c r="BW175" s="249">
        <f>IF(AND($D175="Contrat Local",$N175&lt;&gt;""),IF(AND(11&gt;=Assumptions!$B$5,ISNUMBER($X175),$N175&lt;EDATE(Assumptions!$B$9,-Assumptions!$B$6*12)),($P175+$X175)*$V175,$P175*$V175),0)</f>
        <v>0</v>
      </c>
      <c r="BX175" s="249">
        <f t="shared" si="71"/>
        <v>0</v>
      </c>
      <c r="BY175" s="249">
        <f>IF(AND(BX175&gt;0,$N175&lt;&gt;""),IF((DATE(Assumptions!$B$4,11,28)-$N175)/365.25&lt;=Assumptions!$B$20,(DATE(Assumptions!$B$4,11,28)-$N175)/365.25*Assumptions!$B$18*BX175,(Assumptions!$B$20*Assumptions!$B$18+((DATE(Assumptions!$B$4,11,28)-$N175)/365.25-Assumptions!$B$20)*Assumptions!$B$19)*BX175),0)</f>
        <v>0</v>
      </c>
      <c r="BZ175" s="249">
        <f>IF(BW175&gt;0,IF($M175="Saudi",MIN(BW175+$Q175*$V175,Assumptions!$B$14)*Assumptions!$B$12,MIN(BW175+$Q175*$V175,Assumptions!$B$14)*Assumptions!$B$13),0)</f>
        <v>0</v>
      </c>
      <c r="CA175" s="249">
        <f>IF(AND(BW175&gt;0,$M175="Non-Saudi"),Assumptions!$B$25,0)</f>
        <v>0</v>
      </c>
      <c r="CB175" s="249">
        <f>IF(AND($D175="Contrat Local",$N175&lt;&gt;""),IF(AND(12&gt;=Assumptions!$B$5,ISNUMBER($X175),$N175&lt;EDATE(Assumptions!$B$9,-Assumptions!$B$6*12)),($P175+$X175)*$V175,$P175*$V175),0)</f>
        <v>0</v>
      </c>
      <c r="CC175" s="249">
        <f t="shared" si="72"/>
        <v>0</v>
      </c>
      <c r="CD175" s="249">
        <f>IF(AND(CC175&gt;0,$N175&lt;&gt;""),IF((DATE(Assumptions!$B$4,12,28)-$N175)/365.25&lt;=Assumptions!$B$20,(DATE(Assumptions!$B$4,12,28)-$N175)/365.25*Assumptions!$B$18*CC175,(Assumptions!$B$20*Assumptions!$B$18+((DATE(Assumptions!$B$4,12,28)-$N175)/365.25-Assumptions!$B$20)*Assumptions!$B$19)*CC175),0)</f>
        <v>0</v>
      </c>
      <c r="CE175" s="249">
        <f>IF(CB175&gt;0,IF($M175="Saudi",MIN(CB175+$Q175*$V175,Assumptions!$B$14)*Assumptions!$B$12,MIN(CB175+$Q175*$V175,Assumptions!$B$14)*Assumptions!$B$13),0)</f>
        <v>0</v>
      </c>
      <c r="CF175" s="249">
        <f>IF(AND(CB175&gt;0,$M175="Non-Saudi"),Assumptions!$B$25,0)</f>
        <v>0</v>
      </c>
      <c r="CG175" s="249">
        <f t="shared" si="78"/>
        <v>0</v>
      </c>
      <c r="CH175" s="249">
        <f t="shared" si="79"/>
        <v>0</v>
      </c>
      <c r="CI175" s="249">
        <f>CD175-IF(AND(Z175&gt;0,$N175&lt;&gt;""),IF((DATE(Assumptions!$B$4-1,12,28)-$N175)/365.25&lt;=Assumptions!$B$20,(DATE(Assumptions!$B$4-1,12,28)-$N175)/365.25*Assumptions!$B$18*Z175,(Assumptions!$B$20*Assumptions!$B$18+((DATE(Assumptions!$B$4-1,12,28)-$N175)/365.25-Assumptions!$B$20)*Assumptions!$B$19)*Z175),0)</f>
        <v>0</v>
      </c>
      <c r="CJ175" s="249">
        <f t="shared" si="80"/>
        <v>0</v>
      </c>
      <c r="CK175" s="249">
        <f t="shared" si="81"/>
        <v>0</v>
      </c>
    </row>
    <row r="176" spans="1:89" s="292" customFormat="1" x14ac:dyDescent="0.2">
      <c r="A176" s="350">
        <v>172</v>
      </c>
      <c r="B176" s="351" t="s">
        <v>655</v>
      </c>
      <c r="C176" s="351" t="s">
        <v>656</v>
      </c>
      <c r="D176" s="351" t="s">
        <v>628</v>
      </c>
      <c r="E176" s="351" t="s">
        <v>792</v>
      </c>
      <c r="F176" s="351" t="s">
        <v>648</v>
      </c>
      <c r="G176" s="351" t="s">
        <v>8</v>
      </c>
      <c r="H176" s="351" t="s">
        <v>265</v>
      </c>
      <c r="I176" s="357" t="s">
        <v>691</v>
      </c>
      <c r="J176" s="351" t="s">
        <v>58</v>
      </c>
      <c r="K176" s="351" t="s">
        <v>8</v>
      </c>
      <c r="L176" s="351" t="s">
        <v>628</v>
      </c>
      <c r="M176" s="351" t="str">
        <f t="shared" si="77"/>
        <v/>
      </c>
      <c r="N176" s="353"/>
      <c r="O176" s="354"/>
      <c r="P176" s="355"/>
      <c r="Q176" s="355"/>
      <c r="R176" s="355"/>
      <c r="S176" s="355"/>
      <c r="T176" s="355"/>
      <c r="U176" s="355"/>
      <c r="V176" s="356"/>
      <c r="W176" s="351" t="s">
        <v>632</v>
      </c>
      <c r="X176" s="351" t="s">
        <v>632</v>
      </c>
      <c r="BD176" s="249">
        <f t="shared" si="66"/>
        <v>0</v>
      </c>
      <c r="BE176" s="249">
        <f>IF(AND(BD176&gt;0,$N176&lt;&gt;""),IF((DATE(Assumptions!$B$4,7,28)-$N176)/365.25&lt;=Assumptions!$B$20,(DATE(Assumptions!$B$4,7,28)-$N176)/365.25*Assumptions!$B$18*BD176,(Assumptions!$B$20*Assumptions!$B$18+((DATE(Assumptions!$B$4,7,28)-$N176)/365.25-Assumptions!$B$20)*Assumptions!$B$19)*BD176),0)</f>
        <v>0</v>
      </c>
      <c r="BF176" s="249">
        <f>IF(BC176&gt;0,IF($M176="Saudi",MIN(BC176+$Q176*$V176,Assumptions!$B$14)*Assumptions!$B$12,MIN(BC176+$Q176*$V176,Assumptions!$B$14)*Assumptions!$B$13),0)</f>
        <v>0</v>
      </c>
      <c r="BG176" s="249">
        <f>IF(AND(BC176&gt;0,$M176="Non-Saudi"),Assumptions!$B$25,0)</f>
        <v>0</v>
      </c>
      <c r="BH176" s="249">
        <f t="shared" si="67"/>
        <v>0</v>
      </c>
      <c r="BI176" s="249">
        <f t="shared" si="68"/>
        <v>0</v>
      </c>
      <c r="BJ176" s="249">
        <f>IF(AND(BI176&gt;0,$N176&lt;&gt;""),IF((DATE(Assumptions!$B$4,8,28)-$N176)/365.25&lt;=Assumptions!$B$20,(DATE(Assumptions!$B$4,8,28)-$N176)/365.25*Assumptions!$B$18*BI176,(Assumptions!$B$20*Assumptions!$B$18+((DATE(Assumptions!$B$4,8,28)-$N176)/365.25-Assumptions!$B$20)*Assumptions!$B$19)*BI176),0)</f>
        <v>0</v>
      </c>
      <c r="BK176" s="249">
        <f>IF(BH176&gt;0,IF($M176="Saudi",MIN(BH176+$Q176*$V176,Assumptions!$B$14)*Assumptions!$B$12,MIN(BH176+$Q176*$V176,Assumptions!$B$14)*Assumptions!$B$13),0)</f>
        <v>0</v>
      </c>
      <c r="BL176" s="249">
        <f>IF(AND(BH176&gt;0,$M176="Non-Saudi"),Assumptions!$B$25,0)</f>
        <v>0</v>
      </c>
      <c r="BM176" s="249">
        <f>IF(AND($D176="Contrat Local",$N176&lt;&gt;""),IF(AND(9&gt;=Assumptions!$B$5,ISNUMBER($X176),$N176&lt;EDATE(Assumptions!$B$9,-Assumptions!$B$6*12)),($P176+$X176)*$V176,$P176*$V176),0)</f>
        <v>0</v>
      </c>
      <c r="BN176" s="249">
        <f t="shared" si="69"/>
        <v>0</v>
      </c>
      <c r="BO176" s="249">
        <f>IF(AND(BN176&gt;0,$N176&lt;&gt;""),IF((DATE(Assumptions!$B$4,9,28)-$N176)/365.25&lt;=Assumptions!$B$20,(DATE(Assumptions!$B$4,9,28)-$N176)/365.25*Assumptions!$B$18*BN176,(Assumptions!$B$20*Assumptions!$B$18+((DATE(Assumptions!$B$4,9,28)-$N176)/365.25-Assumptions!$B$20)*Assumptions!$B$19)*BN176),0)</f>
        <v>0</v>
      </c>
      <c r="BP176" s="249">
        <f>IF(BM176&gt;0,IF($M176="Saudi",MIN(BM176+$Q176*$V176,Assumptions!$B$14)*Assumptions!$B$12,MIN(BM176+$Q176*$V176,Assumptions!$B$14)*Assumptions!$B$13),0)</f>
        <v>0</v>
      </c>
      <c r="BQ176" s="249">
        <f>IF(AND(BM176&gt;0,$M176="Non-Saudi"),Assumptions!$B$25,0)</f>
        <v>0</v>
      </c>
      <c r="BR176" s="249">
        <f>IF(AND($D176="Contrat Local",$N176&lt;&gt;""),IF(AND(10&gt;=Assumptions!$B$5,ISNUMBER($X176),$N176&lt;EDATE(Assumptions!$B$9,-Assumptions!$B$6*12)),($P176+$X176)*$V176,$P176*$V176),0)</f>
        <v>0</v>
      </c>
      <c r="BS176" s="249">
        <f t="shared" si="70"/>
        <v>0</v>
      </c>
      <c r="BT176" s="249">
        <f>IF(AND(BS176&gt;0,$N176&lt;&gt;""),IF((DATE(Assumptions!$B$4,10,28)-$N176)/365.25&lt;=Assumptions!$B$20,(DATE(Assumptions!$B$4,10,28)-$N176)/365.25*Assumptions!$B$18*BS176,(Assumptions!$B$20*Assumptions!$B$18+((DATE(Assumptions!$B$4,10,28)-$N176)/365.25-Assumptions!$B$20)*Assumptions!$B$19)*BS176),0)</f>
        <v>0</v>
      </c>
      <c r="BU176" s="249">
        <f>IF(BR176&gt;0,IF($M176="Saudi",MIN(BR176+$Q176*$V176,Assumptions!$B$14)*Assumptions!$B$12,MIN(BR176+$Q176*$V176,Assumptions!$B$14)*Assumptions!$B$13),0)</f>
        <v>0</v>
      </c>
      <c r="BV176" s="249">
        <f>IF(AND(BR176&gt;0,$M176="Non-Saudi"),Assumptions!$B$25,0)</f>
        <v>0</v>
      </c>
      <c r="BW176" s="249">
        <f>IF(AND($D176="Contrat Local",$N176&lt;&gt;""),IF(AND(11&gt;=Assumptions!$B$5,ISNUMBER($X176),$N176&lt;EDATE(Assumptions!$B$9,-Assumptions!$B$6*12)),($P176+$X176)*$V176,$P176*$V176),0)</f>
        <v>0</v>
      </c>
      <c r="BX176" s="249">
        <f t="shared" si="71"/>
        <v>0</v>
      </c>
      <c r="BY176" s="249">
        <f>IF(AND(BX176&gt;0,$N176&lt;&gt;""),IF((DATE(Assumptions!$B$4,11,28)-$N176)/365.25&lt;=Assumptions!$B$20,(DATE(Assumptions!$B$4,11,28)-$N176)/365.25*Assumptions!$B$18*BX176,(Assumptions!$B$20*Assumptions!$B$18+((DATE(Assumptions!$B$4,11,28)-$N176)/365.25-Assumptions!$B$20)*Assumptions!$B$19)*BX176),0)</f>
        <v>0</v>
      </c>
      <c r="BZ176" s="249">
        <f>IF(BW176&gt;0,IF($M176="Saudi",MIN(BW176+$Q176*$V176,Assumptions!$B$14)*Assumptions!$B$12,MIN(BW176+$Q176*$V176,Assumptions!$B$14)*Assumptions!$B$13),0)</f>
        <v>0</v>
      </c>
      <c r="CA176" s="249">
        <f>IF(AND(BW176&gt;0,$M176="Non-Saudi"),Assumptions!$B$25,0)</f>
        <v>0</v>
      </c>
      <c r="CB176" s="249">
        <f>IF(AND($D176="Contrat Local",$N176&lt;&gt;""),IF(AND(12&gt;=Assumptions!$B$5,ISNUMBER($X176),$N176&lt;EDATE(Assumptions!$B$9,-Assumptions!$B$6*12)),($P176+$X176)*$V176,$P176*$V176),0)</f>
        <v>0</v>
      </c>
      <c r="CC176" s="249">
        <f t="shared" si="72"/>
        <v>0</v>
      </c>
      <c r="CD176" s="249">
        <f>IF(AND(CC176&gt;0,$N176&lt;&gt;""),IF((DATE(Assumptions!$B$4,12,28)-$N176)/365.25&lt;=Assumptions!$B$20,(DATE(Assumptions!$B$4,12,28)-$N176)/365.25*Assumptions!$B$18*CC176,(Assumptions!$B$20*Assumptions!$B$18+((DATE(Assumptions!$B$4,12,28)-$N176)/365.25-Assumptions!$B$20)*Assumptions!$B$19)*CC176),0)</f>
        <v>0</v>
      </c>
      <c r="CE176" s="249">
        <f>IF(CB176&gt;0,IF($M176="Saudi",MIN(CB176+$Q176*$V176,Assumptions!$B$14)*Assumptions!$B$12,MIN(CB176+$Q176*$V176,Assumptions!$B$14)*Assumptions!$B$13),0)</f>
        <v>0</v>
      </c>
      <c r="CF176" s="249">
        <f>IF(AND(CB176&gt;0,$M176="Non-Saudi"),Assumptions!$B$25,0)</f>
        <v>0</v>
      </c>
      <c r="CG176" s="249">
        <f t="shared" si="78"/>
        <v>0</v>
      </c>
      <c r="CH176" s="249">
        <f t="shared" si="79"/>
        <v>0</v>
      </c>
      <c r="CI176" s="249">
        <f>CD176-IF(AND(Z176&gt;0,$N176&lt;&gt;""),IF((DATE(Assumptions!$B$4-1,12,28)-$N176)/365.25&lt;=Assumptions!$B$20,(DATE(Assumptions!$B$4-1,12,28)-$N176)/365.25*Assumptions!$B$18*Z176,(Assumptions!$B$20*Assumptions!$B$18+((DATE(Assumptions!$B$4-1,12,28)-$N176)/365.25-Assumptions!$B$20)*Assumptions!$B$19)*Z176),0)</f>
        <v>0</v>
      </c>
      <c r="CJ176" s="249">
        <f t="shared" si="80"/>
        <v>0</v>
      </c>
      <c r="CK176" s="249">
        <f t="shared" si="81"/>
        <v>0</v>
      </c>
    </row>
    <row r="177" spans="1:89" s="292" customFormat="1" x14ac:dyDescent="0.2">
      <c r="A177" s="350">
        <v>173</v>
      </c>
      <c r="B177" s="351" t="s">
        <v>365</v>
      </c>
      <c r="C177" s="351" t="s">
        <v>657</v>
      </c>
      <c r="D177" s="351" t="s">
        <v>628</v>
      </c>
      <c r="E177" s="351" t="s">
        <v>792</v>
      </c>
      <c r="F177" s="351" t="s">
        <v>658</v>
      </c>
      <c r="G177" s="351" t="s">
        <v>303</v>
      </c>
      <c r="H177" s="351" t="s">
        <v>341</v>
      </c>
      <c r="I177" s="357" t="s">
        <v>691</v>
      </c>
      <c r="J177" s="351" t="s">
        <v>104</v>
      </c>
      <c r="K177" s="351" t="s">
        <v>254</v>
      </c>
      <c r="L177" s="351" t="s">
        <v>628</v>
      </c>
      <c r="M177" s="351" t="str">
        <f t="shared" si="77"/>
        <v/>
      </c>
      <c r="N177" s="353"/>
      <c r="O177" s="354"/>
      <c r="P177" s="355"/>
      <c r="Q177" s="355"/>
      <c r="R177" s="355"/>
      <c r="S177" s="355"/>
      <c r="T177" s="355"/>
      <c r="U177" s="355"/>
      <c r="V177" s="356"/>
      <c r="W177" s="351" t="s">
        <v>632</v>
      </c>
      <c r="X177" s="351" t="s">
        <v>632</v>
      </c>
      <c r="BD177" s="249">
        <f t="shared" si="66"/>
        <v>0</v>
      </c>
      <c r="BE177" s="249">
        <f>IF(AND(BD177&gt;0,$N177&lt;&gt;""),IF((DATE(Assumptions!$B$4,7,28)-$N177)/365.25&lt;=Assumptions!$B$20,(DATE(Assumptions!$B$4,7,28)-$N177)/365.25*Assumptions!$B$18*BD177,(Assumptions!$B$20*Assumptions!$B$18+((DATE(Assumptions!$B$4,7,28)-$N177)/365.25-Assumptions!$B$20)*Assumptions!$B$19)*BD177),0)</f>
        <v>0</v>
      </c>
      <c r="BF177" s="249">
        <f>IF(BC177&gt;0,IF($M177="Saudi",MIN(BC177+$Q177*$V177,Assumptions!$B$14)*Assumptions!$B$12,MIN(BC177+$Q177*$V177,Assumptions!$B$14)*Assumptions!$B$13),0)</f>
        <v>0</v>
      </c>
      <c r="BG177" s="249">
        <f>IF(AND(BC177&gt;0,$M177="Non-Saudi"),Assumptions!$B$25,0)</f>
        <v>0</v>
      </c>
      <c r="BH177" s="249">
        <f t="shared" si="67"/>
        <v>0</v>
      </c>
      <c r="BI177" s="249">
        <f t="shared" si="68"/>
        <v>0</v>
      </c>
      <c r="BJ177" s="249">
        <f>IF(AND(BI177&gt;0,$N177&lt;&gt;""),IF((DATE(Assumptions!$B$4,8,28)-$N177)/365.25&lt;=Assumptions!$B$20,(DATE(Assumptions!$B$4,8,28)-$N177)/365.25*Assumptions!$B$18*BI177,(Assumptions!$B$20*Assumptions!$B$18+((DATE(Assumptions!$B$4,8,28)-$N177)/365.25-Assumptions!$B$20)*Assumptions!$B$19)*BI177),0)</f>
        <v>0</v>
      </c>
      <c r="BK177" s="249">
        <f>IF(BH177&gt;0,IF($M177="Saudi",MIN(BH177+$Q177*$V177,Assumptions!$B$14)*Assumptions!$B$12,MIN(BH177+$Q177*$V177,Assumptions!$B$14)*Assumptions!$B$13),0)</f>
        <v>0</v>
      </c>
      <c r="BL177" s="249">
        <f>IF(AND(BH177&gt;0,$M177="Non-Saudi"),Assumptions!$B$25,0)</f>
        <v>0</v>
      </c>
      <c r="BM177" s="249">
        <f>IF(AND($D177="Contrat Local",$N177&lt;&gt;""),IF(AND(9&gt;=Assumptions!$B$5,ISNUMBER($X177),$N177&lt;EDATE(Assumptions!$B$9,-Assumptions!$B$6*12)),($P177+$X177)*$V177,$P177*$V177),0)</f>
        <v>0</v>
      </c>
      <c r="BN177" s="249">
        <f t="shared" si="69"/>
        <v>0</v>
      </c>
      <c r="BO177" s="249">
        <f>IF(AND(BN177&gt;0,$N177&lt;&gt;""),IF((DATE(Assumptions!$B$4,9,28)-$N177)/365.25&lt;=Assumptions!$B$20,(DATE(Assumptions!$B$4,9,28)-$N177)/365.25*Assumptions!$B$18*BN177,(Assumptions!$B$20*Assumptions!$B$18+((DATE(Assumptions!$B$4,9,28)-$N177)/365.25-Assumptions!$B$20)*Assumptions!$B$19)*BN177),0)</f>
        <v>0</v>
      </c>
      <c r="BP177" s="249">
        <f>IF(BM177&gt;0,IF($M177="Saudi",MIN(BM177+$Q177*$V177,Assumptions!$B$14)*Assumptions!$B$12,MIN(BM177+$Q177*$V177,Assumptions!$B$14)*Assumptions!$B$13),0)</f>
        <v>0</v>
      </c>
      <c r="BQ177" s="249">
        <f>IF(AND(BM177&gt;0,$M177="Non-Saudi"),Assumptions!$B$25,0)</f>
        <v>0</v>
      </c>
      <c r="BR177" s="249">
        <f>IF(AND($D177="Contrat Local",$N177&lt;&gt;""),IF(AND(10&gt;=Assumptions!$B$5,ISNUMBER($X177),$N177&lt;EDATE(Assumptions!$B$9,-Assumptions!$B$6*12)),($P177+$X177)*$V177,$P177*$V177),0)</f>
        <v>0</v>
      </c>
      <c r="BS177" s="249">
        <f t="shared" si="70"/>
        <v>0</v>
      </c>
      <c r="BT177" s="249">
        <f>IF(AND(BS177&gt;0,$N177&lt;&gt;""),IF((DATE(Assumptions!$B$4,10,28)-$N177)/365.25&lt;=Assumptions!$B$20,(DATE(Assumptions!$B$4,10,28)-$N177)/365.25*Assumptions!$B$18*BS177,(Assumptions!$B$20*Assumptions!$B$18+((DATE(Assumptions!$B$4,10,28)-$N177)/365.25-Assumptions!$B$20)*Assumptions!$B$19)*BS177),0)</f>
        <v>0</v>
      </c>
      <c r="BU177" s="249">
        <f>IF(BR177&gt;0,IF($M177="Saudi",MIN(BR177+$Q177*$V177,Assumptions!$B$14)*Assumptions!$B$12,MIN(BR177+$Q177*$V177,Assumptions!$B$14)*Assumptions!$B$13),0)</f>
        <v>0</v>
      </c>
      <c r="BV177" s="249">
        <f>IF(AND(BR177&gt;0,$M177="Non-Saudi"),Assumptions!$B$25,0)</f>
        <v>0</v>
      </c>
      <c r="BW177" s="249">
        <f>IF(AND($D177="Contrat Local",$N177&lt;&gt;""),IF(AND(11&gt;=Assumptions!$B$5,ISNUMBER($X177),$N177&lt;EDATE(Assumptions!$B$9,-Assumptions!$B$6*12)),($P177+$X177)*$V177,$P177*$V177),0)</f>
        <v>0</v>
      </c>
      <c r="BX177" s="249">
        <f t="shared" si="71"/>
        <v>0</v>
      </c>
      <c r="BY177" s="249">
        <f>IF(AND(BX177&gt;0,$N177&lt;&gt;""),IF((DATE(Assumptions!$B$4,11,28)-$N177)/365.25&lt;=Assumptions!$B$20,(DATE(Assumptions!$B$4,11,28)-$N177)/365.25*Assumptions!$B$18*BX177,(Assumptions!$B$20*Assumptions!$B$18+((DATE(Assumptions!$B$4,11,28)-$N177)/365.25-Assumptions!$B$20)*Assumptions!$B$19)*BX177),0)</f>
        <v>0</v>
      </c>
      <c r="BZ177" s="249">
        <f>IF(BW177&gt;0,IF($M177="Saudi",MIN(BW177+$Q177*$V177,Assumptions!$B$14)*Assumptions!$B$12,MIN(BW177+$Q177*$V177,Assumptions!$B$14)*Assumptions!$B$13),0)</f>
        <v>0</v>
      </c>
      <c r="CA177" s="249">
        <f>IF(AND(BW177&gt;0,$M177="Non-Saudi"),Assumptions!$B$25,0)</f>
        <v>0</v>
      </c>
      <c r="CB177" s="249">
        <f>IF(AND($D177="Contrat Local",$N177&lt;&gt;""),IF(AND(12&gt;=Assumptions!$B$5,ISNUMBER($X177),$N177&lt;EDATE(Assumptions!$B$9,-Assumptions!$B$6*12)),($P177+$X177)*$V177,$P177*$V177),0)</f>
        <v>0</v>
      </c>
      <c r="CC177" s="249">
        <f t="shared" si="72"/>
        <v>0</v>
      </c>
      <c r="CD177" s="249">
        <f>IF(AND(CC177&gt;0,$N177&lt;&gt;""),IF((DATE(Assumptions!$B$4,12,28)-$N177)/365.25&lt;=Assumptions!$B$20,(DATE(Assumptions!$B$4,12,28)-$N177)/365.25*Assumptions!$B$18*CC177,(Assumptions!$B$20*Assumptions!$B$18+((DATE(Assumptions!$B$4,12,28)-$N177)/365.25-Assumptions!$B$20)*Assumptions!$B$19)*CC177),0)</f>
        <v>0</v>
      </c>
      <c r="CE177" s="249">
        <f>IF(CB177&gt;0,IF($M177="Saudi",MIN(CB177+$Q177*$V177,Assumptions!$B$14)*Assumptions!$B$12,MIN(CB177+$Q177*$V177,Assumptions!$B$14)*Assumptions!$B$13),0)</f>
        <v>0</v>
      </c>
      <c r="CF177" s="249">
        <f>IF(AND(CB177&gt;0,$M177="Non-Saudi"),Assumptions!$B$25,0)</f>
        <v>0</v>
      </c>
      <c r="CG177" s="249">
        <f t="shared" si="78"/>
        <v>0</v>
      </c>
      <c r="CH177" s="249">
        <f t="shared" si="79"/>
        <v>0</v>
      </c>
      <c r="CI177" s="249">
        <f>CD177-IF(AND(Z177&gt;0,$N177&lt;&gt;""),IF((DATE(Assumptions!$B$4-1,12,28)-$N177)/365.25&lt;=Assumptions!$B$20,(DATE(Assumptions!$B$4-1,12,28)-$N177)/365.25*Assumptions!$B$18*Z177,(Assumptions!$B$20*Assumptions!$B$18+((DATE(Assumptions!$B$4-1,12,28)-$N177)/365.25-Assumptions!$B$20)*Assumptions!$B$19)*Z177),0)</f>
        <v>0</v>
      </c>
      <c r="CJ177" s="249">
        <f t="shared" si="80"/>
        <v>0</v>
      </c>
      <c r="CK177" s="249">
        <f t="shared" si="81"/>
        <v>0</v>
      </c>
    </row>
    <row r="178" spans="1:89" s="292" customFormat="1" x14ac:dyDescent="0.2">
      <c r="A178" s="350">
        <v>174</v>
      </c>
      <c r="B178" s="351" t="s">
        <v>659</v>
      </c>
      <c r="C178" s="351" t="s">
        <v>660</v>
      </c>
      <c r="D178" s="351" t="s">
        <v>628</v>
      </c>
      <c r="E178" s="351" t="s">
        <v>792</v>
      </c>
      <c r="F178" s="351" t="s">
        <v>658</v>
      </c>
      <c r="G178" s="351" t="s">
        <v>303</v>
      </c>
      <c r="H178" s="351" t="s">
        <v>304</v>
      </c>
      <c r="I178" s="357" t="s">
        <v>691</v>
      </c>
      <c r="J178" s="351" t="s">
        <v>101</v>
      </c>
      <c r="K178" s="351" t="s">
        <v>254</v>
      </c>
      <c r="L178" s="351" t="s">
        <v>628</v>
      </c>
      <c r="M178" s="351" t="str">
        <f t="shared" si="77"/>
        <v/>
      </c>
      <c r="N178" s="353"/>
      <c r="O178" s="354"/>
      <c r="P178" s="355"/>
      <c r="Q178" s="355"/>
      <c r="R178" s="355"/>
      <c r="S178" s="355"/>
      <c r="T178" s="355"/>
      <c r="U178" s="355"/>
      <c r="V178" s="356"/>
      <c r="W178" s="351" t="s">
        <v>632</v>
      </c>
      <c r="X178" s="351" t="s">
        <v>632</v>
      </c>
      <c r="BD178" s="249">
        <f t="shared" si="66"/>
        <v>0</v>
      </c>
      <c r="BE178" s="249">
        <f>IF(AND(BD178&gt;0,$N178&lt;&gt;""),IF((DATE(Assumptions!$B$4,7,28)-$N178)/365.25&lt;=Assumptions!$B$20,(DATE(Assumptions!$B$4,7,28)-$N178)/365.25*Assumptions!$B$18*BD178,(Assumptions!$B$20*Assumptions!$B$18+((DATE(Assumptions!$B$4,7,28)-$N178)/365.25-Assumptions!$B$20)*Assumptions!$B$19)*BD178),0)</f>
        <v>0</v>
      </c>
      <c r="BF178" s="249">
        <f>IF(BC178&gt;0,IF($M178="Saudi",MIN(BC178+$Q178*$V178,Assumptions!$B$14)*Assumptions!$B$12,MIN(BC178+$Q178*$V178,Assumptions!$B$14)*Assumptions!$B$13),0)</f>
        <v>0</v>
      </c>
      <c r="BG178" s="249">
        <f>IF(AND(BC178&gt;0,$M178="Non-Saudi"),Assumptions!$B$25,0)</f>
        <v>0</v>
      </c>
      <c r="BH178" s="249">
        <f t="shared" si="67"/>
        <v>0</v>
      </c>
      <c r="BI178" s="249">
        <f t="shared" si="68"/>
        <v>0</v>
      </c>
      <c r="BJ178" s="249">
        <f>IF(AND(BI178&gt;0,$N178&lt;&gt;""),IF((DATE(Assumptions!$B$4,8,28)-$N178)/365.25&lt;=Assumptions!$B$20,(DATE(Assumptions!$B$4,8,28)-$N178)/365.25*Assumptions!$B$18*BI178,(Assumptions!$B$20*Assumptions!$B$18+((DATE(Assumptions!$B$4,8,28)-$N178)/365.25-Assumptions!$B$20)*Assumptions!$B$19)*BI178),0)</f>
        <v>0</v>
      </c>
      <c r="BK178" s="249">
        <f>IF(BH178&gt;0,IF($M178="Saudi",MIN(BH178+$Q178*$V178,Assumptions!$B$14)*Assumptions!$B$12,MIN(BH178+$Q178*$V178,Assumptions!$B$14)*Assumptions!$B$13),0)</f>
        <v>0</v>
      </c>
      <c r="BL178" s="249">
        <f>IF(AND(BH178&gt;0,$M178="Non-Saudi"),Assumptions!$B$25,0)</f>
        <v>0</v>
      </c>
      <c r="BM178" s="249">
        <f>IF(AND($D178="Contrat Local",$N178&lt;&gt;""),IF(AND(9&gt;=Assumptions!$B$5,ISNUMBER($X178),$N178&lt;EDATE(Assumptions!$B$9,-Assumptions!$B$6*12)),($P178+$X178)*$V178,$P178*$V178),0)</f>
        <v>0</v>
      </c>
      <c r="BN178" s="249">
        <f t="shared" si="69"/>
        <v>0</v>
      </c>
      <c r="BO178" s="249">
        <f>IF(AND(BN178&gt;0,$N178&lt;&gt;""),IF((DATE(Assumptions!$B$4,9,28)-$N178)/365.25&lt;=Assumptions!$B$20,(DATE(Assumptions!$B$4,9,28)-$N178)/365.25*Assumptions!$B$18*BN178,(Assumptions!$B$20*Assumptions!$B$18+((DATE(Assumptions!$B$4,9,28)-$N178)/365.25-Assumptions!$B$20)*Assumptions!$B$19)*BN178),0)</f>
        <v>0</v>
      </c>
      <c r="BP178" s="249">
        <f>IF(BM178&gt;0,IF($M178="Saudi",MIN(BM178+$Q178*$V178,Assumptions!$B$14)*Assumptions!$B$12,MIN(BM178+$Q178*$V178,Assumptions!$B$14)*Assumptions!$B$13),0)</f>
        <v>0</v>
      </c>
      <c r="BQ178" s="249">
        <f>IF(AND(BM178&gt;0,$M178="Non-Saudi"),Assumptions!$B$25,0)</f>
        <v>0</v>
      </c>
      <c r="BR178" s="249">
        <f>IF(AND($D178="Contrat Local",$N178&lt;&gt;""),IF(AND(10&gt;=Assumptions!$B$5,ISNUMBER($X178),$N178&lt;EDATE(Assumptions!$B$9,-Assumptions!$B$6*12)),($P178+$X178)*$V178,$P178*$V178),0)</f>
        <v>0</v>
      </c>
      <c r="BS178" s="249">
        <f t="shared" si="70"/>
        <v>0</v>
      </c>
      <c r="BT178" s="249">
        <f>IF(AND(BS178&gt;0,$N178&lt;&gt;""),IF((DATE(Assumptions!$B$4,10,28)-$N178)/365.25&lt;=Assumptions!$B$20,(DATE(Assumptions!$B$4,10,28)-$N178)/365.25*Assumptions!$B$18*BS178,(Assumptions!$B$20*Assumptions!$B$18+((DATE(Assumptions!$B$4,10,28)-$N178)/365.25-Assumptions!$B$20)*Assumptions!$B$19)*BS178),0)</f>
        <v>0</v>
      </c>
      <c r="BU178" s="249">
        <f>IF(BR178&gt;0,IF($M178="Saudi",MIN(BR178+$Q178*$V178,Assumptions!$B$14)*Assumptions!$B$12,MIN(BR178+$Q178*$V178,Assumptions!$B$14)*Assumptions!$B$13),0)</f>
        <v>0</v>
      </c>
      <c r="BV178" s="249">
        <f>IF(AND(BR178&gt;0,$M178="Non-Saudi"),Assumptions!$B$25,0)</f>
        <v>0</v>
      </c>
      <c r="BW178" s="249">
        <f>IF(AND($D178="Contrat Local",$N178&lt;&gt;""),IF(AND(11&gt;=Assumptions!$B$5,ISNUMBER($X178),$N178&lt;EDATE(Assumptions!$B$9,-Assumptions!$B$6*12)),($P178+$X178)*$V178,$P178*$V178),0)</f>
        <v>0</v>
      </c>
      <c r="BX178" s="249">
        <f t="shared" si="71"/>
        <v>0</v>
      </c>
      <c r="BY178" s="249">
        <f>IF(AND(BX178&gt;0,$N178&lt;&gt;""),IF((DATE(Assumptions!$B$4,11,28)-$N178)/365.25&lt;=Assumptions!$B$20,(DATE(Assumptions!$B$4,11,28)-$N178)/365.25*Assumptions!$B$18*BX178,(Assumptions!$B$20*Assumptions!$B$18+((DATE(Assumptions!$B$4,11,28)-$N178)/365.25-Assumptions!$B$20)*Assumptions!$B$19)*BX178),0)</f>
        <v>0</v>
      </c>
      <c r="BZ178" s="249">
        <f>IF(BW178&gt;0,IF($M178="Saudi",MIN(BW178+$Q178*$V178,Assumptions!$B$14)*Assumptions!$B$12,MIN(BW178+$Q178*$V178,Assumptions!$B$14)*Assumptions!$B$13),0)</f>
        <v>0</v>
      </c>
      <c r="CA178" s="249">
        <f>IF(AND(BW178&gt;0,$M178="Non-Saudi"),Assumptions!$B$25,0)</f>
        <v>0</v>
      </c>
      <c r="CB178" s="249">
        <f>IF(AND($D178="Contrat Local",$N178&lt;&gt;""),IF(AND(12&gt;=Assumptions!$B$5,ISNUMBER($X178),$N178&lt;EDATE(Assumptions!$B$9,-Assumptions!$B$6*12)),($P178+$X178)*$V178,$P178*$V178),0)</f>
        <v>0</v>
      </c>
      <c r="CC178" s="249">
        <f t="shared" si="72"/>
        <v>0</v>
      </c>
      <c r="CD178" s="249">
        <f>IF(AND(CC178&gt;0,$N178&lt;&gt;""),IF((DATE(Assumptions!$B$4,12,28)-$N178)/365.25&lt;=Assumptions!$B$20,(DATE(Assumptions!$B$4,12,28)-$N178)/365.25*Assumptions!$B$18*CC178,(Assumptions!$B$20*Assumptions!$B$18+((DATE(Assumptions!$B$4,12,28)-$N178)/365.25-Assumptions!$B$20)*Assumptions!$B$19)*CC178),0)</f>
        <v>0</v>
      </c>
      <c r="CE178" s="249">
        <f>IF(CB178&gt;0,IF($M178="Saudi",MIN(CB178+$Q178*$V178,Assumptions!$B$14)*Assumptions!$B$12,MIN(CB178+$Q178*$V178,Assumptions!$B$14)*Assumptions!$B$13),0)</f>
        <v>0</v>
      </c>
      <c r="CF178" s="249">
        <f>IF(AND(CB178&gt;0,$M178="Non-Saudi"),Assumptions!$B$25,0)</f>
        <v>0</v>
      </c>
      <c r="CG178" s="249">
        <f t="shared" si="78"/>
        <v>0</v>
      </c>
      <c r="CH178" s="249">
        <f t="shared" si="79"/>
        <v>0</v>
      </c>
      <c r="CI178" s="249">
        <f>CD178-IF(AND(Z178&gt;0,$N178&lt;&gt;""),IF((DATE(Assumptions!$B$4-1,12,28)-$N178)/365.25&lt;=Assumptions!$B$20,(DATE(Assumptions!$B$4-1,12,28)-$N178)/365.25*Assumptions!$B$18*Z178,(Assumptions!$B$20*Assumptions!$B$18+((DATE(Assumptions!$B$4-1,12,28)-$N178)/365.25-Assumptions!$B$20)*Assumptions!$B$19)*Z178),0)</f>
        <v>0</v>
      </c>
      <c r="CJ178" s="249">
        <f t="shared" si="80"/>
        <v>0</v>
      </c>
      <c r="CK178" s="249">
        <f t="shared" si="81"/>
        <v>0</v>
      </c>
    </row>
    <row r="179" spans="1:89" s="292" customFormat="1" x14ac:dyDescent="0.2">
      <c r="A179" s="350">
        <v>175</v>
      </c>
      <c r="B179" s="351" t="s">
        <v>661</v>
      </c>
      <c r="C179" s="351" t="s">
        <v>662</v>
      </c>
      <c r="D179" s="351" t="s">
        <v>628</v>
      </c>
      <c r="E179" s="351" t="s">
        <v>792</v>
      </c>
      <c r="F179" s="351" t="s">
        <v>658</v>
      </c>
      <c r="G179" s="351" t="s">
        <v>303</v>
      </c>
      <c r="H179" s="351" t="s">
        <v>304</v>
      </c>
      <c r="I179" s="357" t="s">
        <v>691</v>
      </c>
      <c r="J179" s="351" t="s">
        <v>101</v>
      </c>
      <c r="K179" s="351" t="s">
        <v>254</v>
      </c>
      <c r="L179" s="351" t="s">
        <v>628</v>
      </c>
      <c r="M179" s="351" t="str">
        <f t="shared" si="77"/>
        <v/>
      </c>
      <c r="N179" s="353"/>
      <c r="O179" s="354"/>
      <c r="P179" s="355"/>
      <c r="Q179" s="355"/>
      <c r="R179" s="355"/>
      <c r="S179" s="355"/>
      <c r="T179" s="355"/>
      <c r="U179" s="355"/>
      <c r="V179" s="356"/>
      <c r="W179" s="351" t="s">
        <v>632</v>
      </c>
      <c r="X179" s="351" t="s">
        <v>632</v>
      </c>
      <c r="BD179" s="249">
        <f t="shared" si="66"/>
        <v>0</v>
      </c>
      <c r="BE179" s="249">
        <f>IF(AND(BD179&gt;0,$N179&lt;&gt;""),IF((DATE(Assumptions!$B$4,7,28)-$N179)/365.25&lt;=Assumptions!$B$20,(DATE(Assumptions!$B$4,7,28)-$N179)/365.25*Assumptions!$B$18*BD179,(Assumptions!$B$20*Assumptions!$B$18+((DATE(Assumptions!$B$4,7,28)-$N179)/365.25-Assumptions!$B$20)*Assumptions!$B$19)*BD179),0)</f>
        <v>0</v>
      </c>
      <c r="BF179" s="249">
        <f>IF(BC179&gt;0,IF($M179="Saudi",MIN(BC179+$Q179*$V179,Assumptions!$B$14)*Assumptions!$B$12,MIN(BC179+$Q179*$V179,Assumptions!$B$14)*Assumptions!$B$13),0)</f>
        <v>0</v>
      </c>
      <c r="BG179" s="249">
        <f>IF(AND(BC179&gt;0,$M179="Non-Saudi"),Assumptions!$B$25,0)</f>
        <v>0</v>
      </c>
      <c r="BH179" s="249">
        <f t="shared" si="67"/>
        <v>0</v>
      </c>
      <c r="BI179" s="249">
        <f t="shared" si="68"/>
        <v>0</v>
      </c>
      <c r="BJ179" s="249">
        <f>IF(AND(BI179&gt;0,$N179&lt;&gt;""),IF((DATE(Assumptions!$B$4,8,28)-$N179)/365.25&lt;=Assumptions!$B$20,(DATE(Assumptions!$B$4,8,28)-$N179)/365.25*Assumptions!$B$18*BI179,(Assumptions!$B$20*Assumptions!$B$18+((DATE(Assumptions!$B$4,8,28)-$N179)/365.25-Assumptions!$B$20)*Assumptions!$B$19)*BI179),0)</f>
        <v>0</v>
      </c>
      <c r="BK179" s="249">
        <f>IF(BH179&gt;0,IF($M179="Saudi",MIN(BH179+$Q179*$V179,Assumptions!$B$14)*Assumptions!$B$12,MIN(BH179+$Q179*$V179,Assumptions!$B$14)*Assumptions!$B$13),0)</f>
        <v>0</v>
      </c>
      <c r="BL179" s="249">
        <f>IF(AND(BH179&gt;0,$M179="Non-Saudi"),Assumptions!$B$25,0)</f>
        <v>0</v>
      </c>
      <c r="BM179" s="249">
        <f>IF(AND($D179="Contrat Local",$N179&lt;&gt;""),IF(AND(9&gt;=Assumptions!$B$5,ISNUMBER($X179),$N179&lt;EDATE(Assumptions!$B$9,-Assumptions!$B$6*12)),($P179+$X179)*$V179,$P179*$V179),0)</f>
        <v>0</v>
      </c>
      <c r="BN179" s="249">
        <f t="shared" si="69"/>
        <v>0</v>
      </c>
      <c r="BO179" s="249">
        <f>IF(AND(BN179&gt;0,$N179&lt;&gt;""),IF((DATE(Assumptions!$B$4,9,28)-$N179)/365.25&lt;=Assumptions!$B$20,(DATE(Assumptions!$B$4,9,28)-$N179)/365.25*Assumptions!$B$18*BN179,(Assumptions!$B$20*Assumptions!$B$18+((DATE(Assumptions!$B$4,9,28)-$N179)/365.25-Assumptions!$B$20)*Assumptions!$B$19)*BN179),0)</f>
        <v>0</v>
      </c>
      <c r="BP179" s="249">
        <f>IF(BM179&gt;0,IF($M179="Saudi",MIN(BM179+$Q179*$V179,Assumptions!$B$14)*Assumptions!$B$12,MIN(BM179+$Q179*$V179,Assumptions!$B$14)*Assumptions!$B$13),0)</f>
        <v>0</v>
      </c>
      <c r="BQ179" s="249">
        <f>IF(AND(BM179&gt;0,$M179="Non-Saudi"),Assumptions!$B$25,0)</f>
        <v>0</v>
      </c>
      <c r="BR179" s="249">
        <f>IF(AND($D179="Contrat Local",$N179&lt;&gt;""),IF(AND(10&gt;=Assumptions!$B$5,ISNUMBER($X179),$N179&lt;EDATE(Assumptions!$B$9,-Assumptions!$B$6*12)),($P179+$X179)*$V179,$P179*$V179),0)</f>
        <v>0</v>
      </c>
      <c r="BS179" s="249">
        <f t="shared" si="70"/>
        <v>0</v>
      </c>
      <c r="BT179" s="249">
        <f>IF(AND(BS179&gt;0,$N179&lt;&gt;""),IF((DATE(Assumptions!$B$4,10,28)-$N179)/365.25&lt;=Assumptions!$B$20,(DATE(Assumptions!$B$4,10,28)-$N179)/365.25*Assumptions!$B$18*BS179,(Assumptions!$B$20*Assumptions!$B$18+((DATE(Assumptions!$B$4,10,28)-$N179)/365.25-Assumptions!$B$20)*Assumptions!$B$19)*BS179),0)</f>
        <v>0</v>
      </c>
      <c r="BU179" s="249">
        <f>IF(BR179&gt;0,IF($M179="Saudi",MIN(BR179+$Q179*$V179,Assumptions!$B$14)*Assumptions!$B$12,MIN(BR179+$Q179*$V179,Assumptions!$B$14)*Assumptions!$B$13),0)</f>
        <v>0</v>
      </c>
      <c r="BV179" s="249">
        <f>IF(AND(BR179&gt;0,$M179="Non-Saudi"),Assumptions!$B$25,0)</f>
        <v>0</v>
      </c>
      <c r="BW179" s="249">
        <f>IF(AND($D179="Contrat Local",$N179&lt;&gt;""),IF(AND(11&gt;=Assumptions!$B$5,ISNUMBER($X179),$N179&lt;EDATE(Assumptions!$B$9,-Assumptions!$B$6*12)),($P179+$X179)*$V179,$P179*$V179),0)</f>
        <v>0</v>
      </c>
      <c r="BX179" s="249">
        <f t="shared" si="71"/>
        <v>0</v>
      </c>
      <c r="BY179" s="249">
        <f>IF(AND(BX179&gt;0,$N179&lt;&gt;""),IF((DATE(Assumptions!$B$4,11,28)-$N179)/365.25&lt;=Assumptions!$B$20,(DATE(Assumptions!$B$4,11,28)-$N179)/365.25*Assumptions!$B$18*BX179,(Assumptions!$B$20*Assumptions!$B$18+((DATE(Assumptions!$B$4,11,28)-$N179)/365.25-Assumptions!$B$20)*Assumptions!$B$19)*BX179),0)</f>
        <v>0</v>
      </c>
      <c r="BZ179" s="249">
        <f>IF(BW179&gt;0,IF($M179="Saudi",MIN(BW179+$Q179*$V179,Assumptions!$B$14)*Assumptions!$B$12,MIN(BW179+$Q179*$V179,Assumptions!$B$14)*Assumptions!$B$13),0)</f>
        <v>0</v>
      </c>
      <c r="CA179" s="249">
        <f>IF(AND(BW179&gt;0,$M179="Non-Saudi"),Assumptions!$B$25,0)</f>
        <v>0</v>
      </c>
      <c r="CB179" s="249">
        <f>IF(AND($D179="Contrat Local",$N179&lt;&gt;""),IF(AND(12&gt;=Assumptions!$B$5,ISNUMBER($X179),$N179&lt;EDATE(Assumptions!$B$9,-Assumptions!$B$6*12)),($P179+$X179)*$V179,$P179*$V179),0)</f>
        <v>0</v>
      </c>
      <c r="CC179" s="249">
        <f t="shared" si="72"/>
        <v>0</v>
      </c>
      <c r="CD179" s="249">
        <f>IF(AND(CC179&gt;0,$N179&lt;&gt;""),IF((DATE(Assumptions!$B$4,12,28)-$N179)/365.25&lt;=Assumptions!$B$20,(DATE(Assumptions!$B$4,12,28)-$N179)/365.25*Assumptions!$B$18*CC179,(Assumptions!$B$20*Assumptions!$B$18+((DATE(Assumptions!$B$4,12,28)-$N179)/365.25-Assumptions!$B$20)*Assumptions!$B$19)*CC179),0)</f>
        <v>0</v>
      </c>
      <c r="CE179" s="249">
        <f>IF(CB179&gt;0,IF($M179="Saudi",MIN(CB179+$Q179*$V179,Assumptions!$B$14)*Assumptions!$B$12,MIN(CB179+$Q179*$V179,Assumptions!$B$14)*Assumptions!$B$13),0)</f>
        <v>0</v>
      </c>
      <c r="CF179" s="249">
        <f>IF(AND(CB179&gt;0,$M179="Non-Saudi"),Assumptions!$B$25,0)</f>
        <v>0</v>
      </c>
      <c r="CG179" s="249">
        <f t="shared" si="78"/>
        <v>0</v>
      </c>
      <c r="CH179" s="249">
        <f t="shared" si="79"/>
        <v>0</v>
      </c>
      <c r="CI179" s="249">
        <f>CD179-IF(AND(Z179&gt;0,$N179&lt;&gt;""),IF((DATE(Assumptions!$B$4-1,12,28)-$N179)/365.25&lt;=Assumptions!$B$20,(DATE(Assumptions!$B$4-1,12,28)-$N179)/365.25*Assumptions!$B$18*Z179,(Assumptions!$B$20*Assumptions!$B$18+((DATE(Assumptions!$B$4-1,12,28)-$N179)/365.25-Assumptions!$B$20)*Assumptions!$B$19)*Z179),0)</f>
        <v>0</v>
      </c>
      <c r="CJ179" s="249">
        <f t="shared" si="80"/>
        <v>0</v>
      </c>
      <c r="CK179" s="249">
        <f t="shared" si="81"/>
        <v>0</v>
      </c>
    </row>
    <row r="180" spans="1:89" s="292" customFormat="1" x14ac:dyDescent="0.2">
      <c r="A180" s="350">
        <v>176</v>
      </c>
      <c r="B180" s="351" t="s">
        <v>411</v>
      </c>
      <c r="C180" s="351" t="s">
        <v>663</v>
      </c>
      <c r="D180" s="351" t="s">
        <v>628</v>
      </c>
      <c r="E180" s="351" t="s">
        <v>792</v>
      </c>
      <c r="F180" s="351" t="s">
        <v>658</v>
      </c>
      <c r="G180" s="351" t="s">
        <v>303</v>
      </c>
      <c r="H180" s="351" t="s">
        <v>664</v>
      </c>
      <c r="I180" s="357" t="s">
        <v>691</v>
      </c>
      <c r="J180" s="351" t="s">
        <v>101</v>
      </c>
      <c r="K180" s="351" t="s">
        <v>254</v>
      </c>
      <c r="L180" s="351" t="s">
        <v>628</v>
      </c>
      <c r="M180" s="351" t="str">
        <f t="shared" si="77"/>
        <v/>
      </c>
      <c r="N180" s="353"/>
      <c r="O180" s="354"/>
      <c r="P180" s="355"/>
      <c r="Q180" s="355"/>
      <c r="R180" s="355"/>
      <c r="S180" s="355"/>
      <c r="T180" s="355"/>
      <c r="U180" s="355"/>
      <c r="V180" s="356"/>
      <c r="W180" s="351" t="s">
        <v>632</v>
      </c>
      <c r="X180" s="351" t="s">
        <v>632</v>
      </c>
      <c r="BD180" s="249">
        <f t="shared" si="66"/>
        <v>0</v>
      </c>
      <c r="BE180" s="249">
        <f>IF(AND(BD180&gt;0,$N180&lt;&gt;""),IF((DATE(Assumptions!$B$4,7,28)-$N180)/365.25&lt;=Assumptions!$B$20,(DATE(Assumptions!$B$4,7,28)-$N180)/365.25*Assumptions!$B$18*BD180,(Assumptions!$B$20*Assumptions!$B$18+((DATE(Assumptions!$B$4,7,28)-$N180)/365.25-Assumptions!$B$20)*Assumptions!$B$19)*BD180),0)</f>
        <v>0</v>
      </c>
      <c r="BF180" s="249">
        <f>IF(BC180&gt;0,IF($M180="Saudi",MIN(BC180+$Q180*$V180,Assumptions!$B$14)*Assumptions!$B$12,MIN(BC180+$Q180*$V180,Assumptions!$B$14)*Assumptions!$B$13),0)</f>
        <v>0</v>
      </c>
      <c r="BG180" s="249">
        <f>IF(AND(BC180&gt;0,$M180="Non-Saudi"),Assumptions!$B$25,0)</f>
        <v>0</v>
      </c>
      <c r="BH180" s="249">
        <f t="shared" si="67"/>
        <v>0</v>
      </c>
      <c r="BI180" s="249">
        <f t="shared" si="68"/>
        <v>0</v>
      </c>
      <c r="BJ180" s="249">
        <f>IF(AND(BI180&gt;0,$N180&lt;&gt;""),IF((DATE(Assumptions!$B$4,8,28)-$N180)/365.25&lt;=Assumptions!$B$20,(DATE(Assumptions!$B$4,8,28)-$N180)/365.25*Assumptions!$B$18*BI180,(Assumptions!$B$20*Assumptions!$B$18+((DATE(Assumptions!$B$4,8,28)-$N180)/365.25-Assumptions!$B$20)*Assumptions!$B$19)*BI180),0)</f>
        <v>0</v>
      </c>
      <c r="BK180" s="249">
        <f>IF(BH180&gt;0,IF($M180="Saudi",MIN(BH180+$Q180*$V180,Assumptions!$B$14)*Assumptions!$B$12,MIN(BH180+$Q180*$V180,Assumptions!$B$14)*Assumptions!$B$13),0)</f>
        <v>0</v>
      </c>
      <c r="BL180" s="249">
        <f>IF(AND(BH180&gt;0,$M180="Non-Saudi"),Assumptions!$B$25,0)</f>
        <v>0</v>
      </c>
      <c r="BM180" s="249">
        <f>IF(AND($D180="Contrat Local",$N180&lt;&gt;""),IF(AND(9&gt;=Assumptions!$B$5,ISNUMBER($X180),$N180&lt;EDATE(Assumptions!$B$9,-Assumptions!$B$6*12)),($P180+$X180)*$V180,$P180*$V180),0)</f>
        <v>0</v>
      </c>
      <c r="BN180" s="249">
        <f t="shared" si="69"/>
        <v>0</v>
      </c>
      <c r="BO180" s="249">
        <f>IF(AND(BN180&gt;0,$N180&lt;&gt;""),IF((DATE(Assumptions!$B$4,9,28)-$N180)/365.25&lt;=Assumptions!$B$20,(DATE(Assumptions!$B$4,9,28)-$N180)/365.25*Assumptions!$B$18*BN180,(Assumptions!$B$20*Assumptions!$B$18+((DATE(Assumptions!$B$4,9,28)-$N180)/365.25-Assumptions!$B$20)*Assumptions!$B$19)*BN180),0)</f>
        <v>0</v>
      </c>
      <c r="BP180" s="249">
        <f>IF(BM180&gt;0,IF($M180="Saudi",MIN(BM180+$Q180*$V180,Assumptions!$B$14)*Assumptions!$B$12,MIN(BM180+$Q180*$V180,Assumptions!$B$14)*Assumptions!$B$13),0)</f>
        <v>0</v>
      </c>
      <c r="BQ180" s="249">
        <f>IF(AND(BM180&gt;0,$M180="Non-Saudi"),Assumptions!$B$25,0)</f>
        <v>0</v>
      </c>
      <c r="BR180" s="249">
        <f>IF(AND($D180="Contrat Local",$N180&lt;&gt;""),IF(AND(10&gt;=Assumptions!$B$5,ISNUMBER($X180),$N180&lt;EDATE(Assumptions!$B$9,-Assumptions!$B$6*12)),($P180+$X180)*$V180,$P180*$V180),0)</f>
        <v>0</v>
      </c>
      <c r="BS180" s="249">
        <f t="shared" si="70"/>
        <v>0</v>
      </c>
      <c r="BT180" s="249">
        <f>IF(AND(BS180&gt;0,$N180&lt;&gt;""),IF((DATE(Assumptions!$B$4,10,28)-$N180)/365.25&lt;=Assumptions!$B$20,(DATE(Assumptions!$B$4,10,28)-$N180)/365.25*Assumptions!$B$18*BS180,(Assumptions!$B$20*Assumptions!$B$18+((DATE(Assumptions!$B$4,10,28)-$N180)/365.25-Assumptions!$B$20)*Assumptions!$B$19)*BS180),0)</f>
        <v>0</v>
      </c>
      <c r="BU180" s="249">
        <f>IF(BR180&gt;0,IF($M180="Saudi",MIN(BR180+$Q180*$V180,Assumptions!$B$14)*Assumptions!$B$12,MIN(BR180+$Q180*$V180,Assumptions!$B$14)*Assumptions!$B$13),0)</f>
        <v>0</v>
      </c>
      <c r="BV180" s="249">
        <f>IF(AND(BR180&gt;0,$M180="Non-Saudi"),Assumptions!$B$25,0)</f>
        <v>0</v>
      </c>
      <c r="BW180" s="249">
        <f>IF(AND($D180="Contrat Local",$N180&lt;&gt;""),IF(AND(11&gt;=Assumptions!$B$5,ISNUMBER($X180),$N180&lt;EDATE(Assumptions!$B$9,-Assumptions!$B$6*12)),($P180+$X180)*$V180,$P180*$V180),0)</f>
        <v>0</v>
      </c>
      <c r="BX180" s="249">
        <f t="shared" si="71"/>
        <v>0</v>
      </c>
      <c r="BY180" s="249">
        <f>IF(AND(BX180&gt;0,$N180&lt;&gt;""),IF((DATE(Assumptions!$B$4,11,28)-$N180)/365.25&lt;=Assumptions!$B$20,(DATE(Assumptions!$B$4,11,28)-$N180)/365.25*Assumptions!$B$18*BX180,(Assumptions!$B$20*Assumptions!$B$18+((DATE(Assumptions!$B$4,11,28)-$N180)/365.25-Assumptions!$B$20)*Assumptions!$B$19)*BX180),0)</f>
        <v>0</v>
      </c>
      <c r="BZ180" s="249">
        <f>IF(BW180&gt;0,IF($M180="Saudi",MIN(BW180+$Q180*$V180,Assumptions!$B$14)*Assumptions!$B$12,MIN(BW180+$Q180*$V180,Assumptions!$B$14)*Assumptions!$B$13),0)</f>
        <v>0</v>
      </c>
      <c r="CA180" s="249">
        <f>IF(AND(BW180&gt;0,$M180="Non-Saudi"),Assumptions!$B$25,0)</f>
        <v>0</v>
      </c>
      <c r="CB180" s="249">
        <f>IF(AND($D180="Contrat Local",$N180&lt;&gt;""),IF(AND(12&gt;=Assumptions!$B$5,ISNUMBER($X180),$N180&lt;EDATE(Assumptions!$B$9,-Assumptions!$B$6*12)),($P180+$X180)*$V180,$P180*$V180),0)</f>
        <v>0</v>
      </c>
      <c r="CC180" s="249">
        <f t="shared" si="72"/>
        <v>0</v>
      </c>
      <c r="CD180" s="249">
        <f>IF(AND(CC180&gt;0,$N180&lt;&gt;""),IF((DATE(Assumptions!$B$4,12,28)-$N180)/365.25&lt;=Assumptions!$B$20,(DATE(Assumptions!$B$4,12,28)-$N180)/365.25*Assumptions!$B$18*CC180,(Assumptions!$B$20*Assumptions!$B$18+((DATE(Assumptions!$B$4,12,28)-$N180)/365.25-Assumptions!$B$20)*Assumptions!$B$19)*CC180),0)</f>
        <v>0</v>
      </c>
      <c r="CE180" s="249">
        <f>IF(CB180&gt;0,IF($M180="Saudi",MIN(CB180+$Q180*$V180,Assumptions!$B$14)*Assumptions!$B$12,MIN(CB180+$Q180*$V180,Assumptions!$B$14)*Assumptions!$B$13),0)</f>
        <v>0</v>
      </c>
      <c r="CF180" s="249">
        <f>IF(AND(CB180&gt;0,$M180="Non-Saudi"),Assumptions!$B$25,0)</f>
        <v>0</v>
      </c>
      <c r="CG180" s="249">
        <f t="shared" si="78"/>
        <v>0</v>
      </c>
      <c r="CH180" s="249">
        <f t="shared" si="79"/>
        <v>0</v>
      </c>
      <c r="CI180" s="249">
        <f>CD180-IF(AND(Z180&gt;0,$N180&lt;&gt;""),IF((DATE(Assumptions!$B$4-1,12,28)-$N180)/365.25&lt;=Assumptions!$B$20,(DATE(Assumptions!$B$4-1,12,28)-$N180)/365.25*Assumptions!$B$18*Z180,(Assumptions!$B$20*Assumptions!$B$18+((DATE(Assumptions!$B$4-1,12,28)-$N180)/365.25-Assumptions!$B$20)*Assumptions!$B$19)*Z180),0)</f>
        <v>0</v>
      </c>
      <c r="CJ180" s="249">
        <f t="shared" si="80"/>
        <v>0</v>
      </c>
      <c r="CK180" s="249">
        <f t="shared" si="81"/>
        <v>0</v>
      </c>
    </row>
    <row r="181" spans="1:89" s="292" customFormat="1" x14ac:dyDescent="0.2">
      <c r="A181" s="350">
        <v>177</v>
      </c>
      <c r="B181" s="351" t="s">
        <v>420</v>
      </c>
      <c r="C181" s="351" t="s">
        <v>464</v>
      </c>
      <c r="D181" s="351" t="s">
        <v>628</v>
      </c>
      <c r="E181" s="351" t="s">
        <v>792</v>
      </c>
      <c r="F181" s="351" t="s">
        <v>658</v>
      </c>
      <c r="G181" s="351" t="s">
        <v>303</v>
      </c>
      <c r="H181" s="351" t="s">
        <v>665</v>
      </c>
      <c r="I181" s="357" t="s">
        <v>691</v>
      </c>
      <c r="J181" s="351" t="s">
        <v>73</v>
      </c>
      <c r="K181" s="351" t="s">
        <v>254</v>
      </c>
      <c r="L181" s="351" t="s">
        <v>628</v>
      </c>
      <c r="M181" s="351" t="str">
        <f t="shared" si="77"/>
        <v/>
      </c>
      <c r="N181" s="353"/>
      <c r="O181" s="354"/>
      <c r="P181" s="355"/>
      <c r="Q181" s="355"/>
      <c r="R181" s="355"/>
      <c r="S181" s="355"/>
      <c r="T181" s="355"/>
      <c r="U181" s="355"/>
      <c r="V181" s="356"/>
      <c r="W181" s="351" t="s">
        <v>632</v>
      </c>
      <c r="X181" s="351" t="s">
        <v>632</v>
      </c>
      <c r="BD181" s="249">
        <f t="shared" si="66"/>
        <v>0</v>
      </c>
      <c r="BE181" s="249">
        <f>IF(AND(BD181&gt;0,$N181&lt;&gt;""),IF((DATE(Assumptions!$B$4,7,28)-$N181)/365.25&lt;=Assumptions!$B$20,(DATE(Assumptions!$B$4,7,28)-$N181)/365.25*Assumptions!$B$18*BD181,(Assumptions!$B$20*Assumptions!$B$18+((DATE(Assumptions!$B$4,7,28)-$N181)/365.25-Assumptions!$B$20)*Assumptions!$B$19)*BD181),0)</f>
        <v>0</v>
      </c>
      <c r="BF181" s="249">
        <f>IF(BC181&gt;0,IF($M181="Saudi",MIN(BC181+$Q181*$V181,Assumptions!$B$14)*Assumptions!$B$12,MIN(BC181+$Q181*$V181,Assumptions!$B$14)*Assumptions!$B$13),0)</f>
        <v>0</v>
      </c>
      <c r="BG181" s="249">
        <f>IF(AND(BC181&gt;0,$M181="Non-Saudi"),Assumptions!$B$25,0)</f>
        <v>0</v>
      </c>
      <c r="BH181" s="249">
        <f t="shared" si="67"/>
        <v>0</v>
      </c>
      <c r="BI181" s="249">
        <f t="shared" si="68"/>
        <v>0</v>
      </c>
      <c r="BJ181" s="249">
        <f>IF(AND(BI181&gt;0,$N181&lt;&gt;""),IF((DATE(Assumptions!$B$4,8,28)-$N181)/365.25&lt;=Assumptions!$B$20,(DATE(Assumptions!$B$4,8,28)-$N181)/365.25*Assumptions!$B$18*BI181,(Assumptions!$B$20*Assumptions!$B$18+((DATE(Assumptions!$B$4,8,28)-$N181)/365.25-Assumptions!$B$20)*Assumptions!$B$19)*BI181),0)</f>
        <v>0</v>
      </c>
      <c r="BK181" s="249">
        <f>IF(BH181&gt;0,IF($M181="Saudi",MIN(BH181+$Q181*$V181,Assumptions!$B$14)*Assumptions!$B$12,MIN(BH181+$Q181*$V181,Assumptions!$B$14)*Assumptions!$B$13),0)</f>
        <v>0</v>
      </c>
      <c r="BL181" s="249">
        <f>IF(AND(BH181&gt;0,$M181="Non-Saudi"),Assumptions!$B$25,0)</f>
        <v>0</v>
      </c>
      <c r="BM181" s="249">
        <f>IF(AND($D181="Contrat Local",$N181&lt;&gt;""),IF(AND(9&gt;=Assumptions!$B$5,ISNUMBER($X181),$N181&lt;EDATE(Assumptions!$B$9,-Assumptions!$B$6*12)),($P181+$X181)*$V181,$P181*$V181),0)</f>
        <v>0</v>
      </c>
      <c r="BN181" s="249">
        <f t="shared" si="69"/>
        <v>0</v>
      </c>
      <c r="BO181" s="249">
        <f>IF(AND(BN181&gt;0,$N181&lt;&gt;""),IF((DATE(Assumptions!$B$4,9,28)-$N181)/365.25&lt;=Assumptions!$B$20,(DATE(Assumptions!$B$4,9,28)-$N181)/365.25*Assumptions!$B$18*BN181,(Assumptions!$B$20*Assumptions!$B$18+((DATE(Assumptions!$B$4,9,28)-$N181)/365.25-Assumptions!$B$20)*Assumptions!$B$19)*BN181),0)</f>
        <v>0</v>
      </c>
      <c r="BP181" s="249">
        <f>IF(BM181&gt;0,IF($M181="Saudi",MIN(BM181+$Q181*$V181,Assumptions!$B$14)*Assumptions!$B$12,MIN(BM181+$Q181*$V181,Assumptions!$B$14)*Assumptions!$B$13),0)</f>
        <v>0</v>
      </c>
      <c r="BQ181" s="249">
        <f>IF(AND(BM181&gt;0,$M181="Non-Saudi"),Assumptions!$B$25,0)</f>
        <v>0</v>
      </c>
      <c r="BR181" s="249">
        <f>IF(AND($D181="Contrat Local",$N181&lt;&gt;""),IF(AND(10&gt;=Assumptions!$B$5,ISNUMBER($X181),$N181&lt;EDATE(Assumptions!$B$9,-Assumptions!$B$6*12)),($P181+$X181)*$V181,$P181*$V181),0)</f>
        <v>0</v>
      </c>
      <c r="BS181" s="249">
        <f t="shared" si="70"/>
        <v>0</v>
      </c>
      <c r="BT181" s="249">
        <f>IF(AND(BS181&gt;0,$N181&lt;&gt;""),IF((DATE(Assumptions!$B$4,10,28)-$N181)/365.25&lt;=Assumptions!$B$20,(DATE(Assumptions!$B$4,10,28)-$N181)/365.25*Assumptions!$B$18*BS181,(Assumptions!$B$20*Assumptions!$B$18+((DATE(Assumptions!$B$4,10,28)-$N181)/365.25-Assumptions!$B$20)*Assumptions!$B$19)*BS181),0)</f>
        <v>0</v>
      </c>
      <c r="BU181" s="249">
        <f>IF(BR181&gt;0,IF($M181="Saudi",MIN(BR181+$Q181*$V181,Assumptions!$B$14)*Assumptions!$B$12,MIN(BR181+$Q181*$V181,Assumptions!$B$14)*Assumptions!$B$13),0)</f>
        <v>0</v>
      </c>
      <c r="BV181" s="249">
        <f>IF(AND(BR181&gt;0,$M181="Non-Saudi"),Assumptions!$B$25,0)</f>
        <v>0</v>
      </c>
      <c r="BW181" s="249">
        <f>IF(AND($D181="Contrat Local",$N181&lt;&gt;""),IF(AND(11&gt;=Assumptions!$B$5,ISNUMBER($X181),$N181&lt;EDATE(Assumptions!$B$9,-Assumptions!$B$6*12)),($P181+$X181)*$V181,$P181*$V181),0)</f>
        <v>0</v>
      </c>
      <c r="BX181" s="249">
        <f t="shared" si="71"/>
        <v>0</v>
      </c>
      <c r="BY181" s="249">
        <f>IF(AND(BX181&gt;0,$N181&lt;&gt;""),IF((DATE(Assumptions!$B$4,11,28)-$N181)/365.25&lt;=Assumptions!$B$20,(DATE(Assumptions!$B$4,11,28)-$N181)/365.25*Assumptions!$B$18*BX181,(Assumptions!$B$20*Assumptions!$B$18+((DATE(Assumptions!$B$4,11,28)-$N181)/365.25-Assumptions!$B$20)*Assumptions!$B$19)*BX181),0)</f>
        <v>0</v>
      </c>
      <c r="BZ181" s="249">
        <f>IF(BW181&gt;0,IF($M181="Saudi",MIN(BW181+$Q181*$V181,Assumptions!$B$14)*Assumptions!$B$12,MIN(BW181+$Q181*$V181,Assumptions!$B$14)*Assumptions!$B$13),0)</f>
        <v>0</v>
      </c>
      <c r="CA181" s="249">
        <f>IF(AND(BW181&gt;0,$M181="Non-Saudi"),Assumptions!$B$25,0)</f>
        <v>0</v>
      </c>
      <c r="CB181" s="249">
        <f>IF(AND($D181="Contrat Local",$N181&lt;&gt;""),IF(AND(12&gt;=Assumptions!$B$5,ISNUMBER($X181),$N181&lt;EDATE(Assumptions!$B$9,-Assumptions!$B$6*12)),($P181+$X181)*$V181,$P181*$V181),0)</f>
        <v>0</v>
      </c>
      <c r="CC181" s="249">
        <f t="shared" si="72"/>
        <v>0</v>
      </c>
      <c r="CD181" s="249">
        <f>IF(AND(CC181&gt;0,$N181&lt;&gt;""),IF((DATE(Assumptions!$B$4,12,28)-$N181)/365.25&lt;=Assumptions!$B$20,(DATE(Assumptions!$B$4,12,28)-$N181)/365.25*Assumptions!$B$18*CC181,(Assumptions!$B$20*Assumptions!$B$18+((DATE(Assumptions!$B$4,12,28)-$N181)/365.25-Assumptions!$B$20)*Assumptions!$B$19)*CC181),0)</f>
        <v>0</v>
      </c>
      <c r="CE181" s="249">
        <f>IF(CB181&gt;0,IF($M181="Saudi",MIN(CB181+$Q181*$V181,Assumptions!$B$14)*Assumptions!$B$12,MIN(CB181+$Q181*$V181,Assumptions!$B$14)*Assumptions!$B$13),0)</f>
        <v>0</v>
      </c>
      <c r="CF181" s="249">
        <f>IF(AND(CB181&gt;0,$M181="Non-Saudi"),Assumptions!$B$25,0)</f>
        <v>0</v>
      </c>
      <c r="CG181" s="249">
        <f t="shared" si="78"/>
        <v>0</v>
      </c>
      <c r="CH181" s="249">
        <f t="shared" si="79"/>
        <v>0</v>
      </c>
      <c r="CI181" s="249">
        <f>CD181-IF(AND(Z181&gt;0,$N181&lt;&gt;""),IF((DATE(Assumptions!$B$4-1,12,28)-$N181)/365.25&lt;=Assumptions!$B$20,(DATE(Assumptions!$B$4-1,12,28)-$N181)/365.25*Assumptions!$B$18*Z181,(Assumptions!$B$20*Assumptions!$B$18+((DATE(Assumptions!$B$4-1,12,28)-$N181)/365.25-Assumptions!$B$20)*Assumptions!$B$19)*Z181),0)</f>
        <v>0</v>
      </c>
      <c r="CJ181" s="249">
        <f t="shared" si="80"/>
        <v>0</v>
      </c>
      <c r="CK181" s="249">
        <f t="shared" si="81"/>
        <v>0</v>
      </c>
    </row>
    <row r="182" spans="1:89" s="292" customFormat="1" x14ac:dyDescent="0.2">
      <c r="A182" s="350">
        <v>178</v>
      </c>
      <c r="B182" s="351" t="s">
        <v>654</v>
      </c>
      <c r="C182" s="351" t="s">
        <v>666</v>
      </c>
      <c r="D182" s="351" t="s">
        <v>628</v>
      </c>
      <c r="E182" s="351" t="s">
        <v>792</v>
      </c>
      <c r="F182" s="351" t="s">
        <v>658</v>
      </c>
      <c r="G182" s="351" t="s">
        <v>303</v>
      </c>
      <c r="H182" s="351" t="s">
        <v>667</v>
      </c>
      <c r="I182" s="357" t="s">
        <v>691</v>
      </c>
      <c r="J182" s="351" t="s">
        <v>75</v>
      </c>
      <c r="K182" s="351" t="s">
        <v>254</v>
      </c>
      <c r="L182" s="351" t="s">
        <v>628</v>
      </c>
      <c r="M182" s="351" t="str">
        <f t="shared" si="77"/>
        <v/>
      </c>
      <c r="N182" s="353"/>
      <c r="O182" s="354"/>
      <c r="P182" s="355"/>
      <c r="Q182" s="355"/>
      <c r="R182" s="355"/>
      <c r="S182" s="355"/>
      <c r="T182" s="355"/>
      <c r="U182" s="355"/>
      <c r="V182" s="356"/>
      <c r="W182" s="351" t="s">
        <v>632</v>
      </c>
      <c r="X182" s="351" t="s">
        <v>632</v>
      </c>
      <c r="BD182" s="249">
        <f t="shared" si="66"/>
        <v>0</v>
      </c>
      <c r="BE182" s="249">
        <f>IF(AND(BD182&gt;0,$N182&lt;&gt;""),IF((DATE(Assumptions!$B$4,7,28)-$N182)/365.25&lt;=Assumptions!$B$20,(DATE(Assumptions!$B$4,7,28)-$N182)/365.25*Assumptions!$B$18*BD182,(Assumptions!$B$20*Assumptions!$B$18+((DATE(Assumptions!$B$4,7,28)-$N182)/365.25-Assumptions!$B$20)*Assumptions!$B$19)*BD182),0)</f>
        <v>0</v>
      </c>
      <c r="BF182" s="249">
        <f>IF(BC182&gt;0,IF($M182="Saudi",MIN(BC182+$Q182*$V182,Assumptions!$B$14)*Assumptions!$B$12,MIN(BC182+$Q182*$V182,Assumptions!$B$14)*Assumptions!$B$13),0)</f>
        <v>0</v>
      </c>
      <c r="BG182" s="249">
        <f>IF(AND(BC182&gt;0,$M182="Non-Saudi"),Assumptions!$B$25,0)</f>
        <v>0</v>
      </c>
      <c r="BH182" s="249">
        <f t="shared" si="67"/>
        <v>0</v>
      </c>
      <c r="BI182" s="249">
        <f t="shared" si="68"/>
        <v>0</v>
      </c>
      <c r="BJ182" s="249">
        <f>IF(AND(BI182&gt;0,$N182&lt;&gt;""),IF((DATE(Assumptions!$B$4,8,28)-$N182)/365.25&lt;=Assumptions!$B$20,(DATE(Assumptions!$B$4,8,28)-$N182)/365.25*Assumptions!$B$18*BI182,(Assumptions!$B$20*Assumptions!$B$18+((DATE(Assumptions!$B$4,8,28)-$N182)/365.25-Assumptions!$B$20)*Assumptions!$B$19)*BI182),0)</f>
        <v>0</v>
      </c>
      <c r="BK182" s="249">
        <f>IF(BH182&gt;0,IF($M182="Saudi",MIN(BH182+$Q182*$V182,Assumptions!$B$14)*Assumptions!$B$12,MIN(BH182+$Q182*$V182,Assumptions!$B$14)*Assumptions!$B$13),0)</f>
        <v>0</v>
      </c>
      <c r="BL182" s="249">
        <f>IF(AND(BH182&gt;0,$M182="Non-Saudi"),Assumptions!$B$25,0)</f>
        <v>0</v>
      </c>
      <c r="BM182" s="249">
        <f>IF(AND($D182="Contrat Local",$N182&lt;&gt;""),IF(AND(9&gt;=Assumptions!$B$5,ISNUMBER($X182),$N182&lt;EDATE(Assumptions!$B$9,-Assumptions!$B$6*12)),($P182+$X182)*$V182,$P182*$V182),0)</f>
        <v>0</v>
      </c>
      <c r="BN182" s="249">
        <f t="shared" si="69"/>
        <v>0</v>
      </c>
      <c r="BO182" s="249">
        <f>IF(AND(BN182&gt;0,$N182&lt;&gt;""),IF((DATE(Assumptions!$B$4,9,28)-$N182)/365.25&lt;=Assumptions!$B$20,(DATE(Assumptions!$B$4,9,28)-$N182)/365.25*Assumptions!$B$18*BN182,(Assumptions!$B$20*Assumptions!$B$18+((DATE(Assumptions!$B$4,9,28)-$N182)/365.25-Assumptions!$B$20)*Assumptions!$B$19)*BN182),0)</f>
        <v>0</v>
      </c>
      <c r="BP182" s="249">
        <f>IF(BM182&gt;0,IF($M182="Saudi",MIN(BM182+$Q182*$V182,Assumptions!$B$14)*Assumptions!$B$12,MIN(BM182+$Q182*$V182,Assumptions!$B$14)*Assumptions!$B$13),0)</f>
        <v>0</v>
      </c>
      <c r="BQ182" s="249">
        <f>IF(AND(BM182&gt;0,$M182="Non-Saudi"),Assumptions!$B$25,0)</f>
        <v>0</v>
      </c>
      <c r="BR182" s="249">
        <f>IF(AND($D182="Contrat Local",$N182&lt;&gt;""),IF(AND(10&gt;=Assumptions!$B$5,ISNUMBER($X182),$N182&lt;EDATE(Assumptions!$B$9,-Assumptions!$B$6*12)),($P182+$X182)*$V182,$P182*$V182),0)</f>
        <v>0</v>
      </c>
      <c r="BS182" s="249">
        <f t="shared" si="70"/>
        <v>0</v>
      </c>
      <c r="BT182" s="249">
        <f>IF(AND(BS182&gt;0,$N182&lt;&gt;""),IF((DATE(Assumptions!$B$4,10,28)-$N182)/365.25&lt;=Assumptions!$B$20,(DATE(Assumptions!$B$4,10,28)-$N182)/365.25*Assumptions!$B$18*BS182,(Assumptions!$B$20*Assumptions!$B$18+((DATE(Assumptions!$B$4,10,28)-$N182)/365.25-Assumptions!$B$20)*Assumptions!$B$19)*BS182),0)</f>
        <v>0</v>
      </c>
      <c r="BU182" s="249">
        <f>IF(BR182&gt;0,IF($M182="Saudi",MIN(BR182+$Q182*$V182,Assumptions!$B$14)*Assumptions!$B$12,MIN(BR182+$Q182*$V182,Assumptions!$B$14)*Assumptions!$B$13),0)</f>
        <v>0</v>
      </c>
      <c r="BV182" s="249">
        <f>IF(AND(BR182&gt;0,$M182="Non-Saudi"),Assumptions!$B$25,0)</f>
        <v>0</v>
      </c>
      <c r="BW182" s="249">
        <f>IF(AND($D182="Contrat Local",$N182&lt;&gt;""),IF(AND(11&gt;=Assumptions!$B$5,ISNUMBER($X182),$N182&lt;EDATE(Assumptions!$B$9,-Assumptions!$B$6*12)),($P182+$X182)*$V182,$P182*$V182),0)</f>
        <v>0</v>
      </c>
      <c r="BX182" s="249">
        <f t="shared" si="71"/>
        <v>0</v>
      </c>
      <c r="BY182" s="249">
        <f>IF(AND(BX182&gt;0,$N182&lt;&gt;""),IF((DATE(Assumptions!$B$4,11,28)-$N182)/365.25&lt;=Assumptions!$B$20,(DATE(Assumptions!$B$4,11,28)-$N182)/365.25*Assumptions!$B$18*BX182,(Assumptions!$B$20*Assumptions!$B$18+((DATE(Assumptions!$B$4,11,28)-$N182)/365.25-Assumptions!$B$20)*Assumptions!$B$19)*BX182),0)</f>
        <v>0</v>
      </c>
      <c r="BZ182" s="249">
        <f>IF(BW182&gt;0,IF($M182="Saudi",MIN(BW182+$Q182*$V182,Assumptions!$B$14)*Assumptions!$B$12,MIN(BW182+$Q182*$V182,Assumptions!$B$14)*Assumptions!$B$13),0)</f>
        <v>0</v>
      </c>
      <c r="CA182" s="249">
        <f>IF(AND(BW182&gt;0,$M182="Non-Saudi"),Assumptions!$B$25,0)</f>
        <v>0</v>
      </c>
      <c r="CB182" s="249">
        <f>IF(AND($D182="Contrat Local",$N182&lt;&gt;""),IF(AND(12&gt;=Assumptions!$B$5,ISNUMBER($X182),$N182&lt;EDATE(Assumptions!$B$9,-Assumptions!$B$6*12)),($P182+$X182)*$V182,$P182*$V182),0)</f>
        <v>0</v>
      </c>
      <c r="CC182" s="249">
        <f t="shared" si="72"/>
        <v>0</v>
      </c>
      <c r="CD182" s="249">
        <f>IF(AND(CC182&gt;0,$N182&lt;&gt;""),IF((DATE(Assumptions!$B$4,12,28)-$N182)/365.25&lt;=Assumptions!$B$20,(DATE(Assumptions!$B$4,12,28)-$N182)/365.25*Assumptions!$B$18*CC182,(Assumptions!$B$20*Assumptions!$B$18+((DATE(Assumptions!$B$4,12,28)-$N182)/365.25-Assumptions!$B$20)*Assumptions!$B$19)*CC182),0)</f>
        <v>0</v>
      </c>
      <c r="CE182" s="249">
        <f>IF(CB182&gt;0,IF($M182="Saudi",MIN(CB182+$Q182*$V182,Assumptions!$B$14)*Assumptions!$B$12,MIN(CB182+$Q182*$V182,Assumptions!$B$14)*Assumptions!$B$13),0)</f>
        <v>0</v>
      </c>
      <c r="CF182" s="249">
        <f>IF(AND(CB182&gt;0,$M182="Non-Saudi"),Assumptions!$B$25,0)</f>
        <v>0</v>
      </c>
      <c r="CG182" s="249">
        <f t="shared" si="78"/>
        <v>0</v>
      </c>
      <c r="CH182" s="249">
        <f t="shared" si="79"/>
        <v>0</v>
      </c>
      <c r="CI182" s="249">
        <f>CD182-IF(AND(Z182&gt;0,$N182&lt;&gt;""),IF((DATE(Assumptions!$B$4-1,12,28)-$N182)/365.25&lt;=Assumptions!$B$20,(DATE(Assumptions!$B$4-1,12,28)-$N182)/365.25*Assumptions!$B$18*Z182,(Assumptions!$B$20*Assumptions!$B$18+((DATE(Assumptions!$B$4-1,12,28)-$N182)/365.25-Assumptions!$B$20)*Assumptions!$B$19)*Z182),0)</f>
        <v>0</v>
      </c>
      <c r="CJ182" s="249">
        <f t="shared" si="80"/>
        <v>0</v>
      </c>
      <c r="CK182" s="249">
        <f t="shared" si="81"/>
        <v>0</v>
      </c>
    </row>
    <row r="183" spans="1:89" s="292" customFormat="1" x14ac:dyDescent="0.2">
      <c r="A183" s="350">
        <v>179</v>
      </c>
      <c r="B183" s="351" t="s">
        <v>668</v>
      </c>
      <c r="C183" s="351" t="s">
        <v>669</v>
      </c>
      <c r="D183" s="351" t="s">
        <v>628</v>
      </c>
      <c r="E183" s="351" t="s">
        <v>792</v>
      </c>
      <c r="F183" s="351" t="s">
        <v>658</v>
      </c>
      <c r="G183" s="351" t="s">
        <v>303</v>
      </c>
      <c r="H183" s="351" t="s">
        <v>44</v>
      </c>
      <c r="I183" s="357" t="s">
        <v>691</v>
      </c>
      <c r="J183" s="351" t="s">
        <v>68</v>
      </c>
      <c r="K183" s="351" t="s">
        <v>254</v>
      </c>
      <c r="L183" s="351" t="s">
        <v>628</v>
      </c>
      <c r="M183" s="351" t="str">
        <f t="shared" si="77"/>
        <v/>
      </c>
      <c r="N183" s="353"/>
      <c r="O183" s="354"/>
      <c r="P183" s="355"/>
      <c r="Q183" s="355"/>
      <c r="R183" s="355"/>
      <c r="S183" s="355"/>
      <c r="T183" s="355"/>
      <c r="U183" s="355"/>
      <c r="V183" s="356"/>
      <c r="W183" s="351" t="s">
        <v>632</v>
      </c>
      <c r="X183" s="351" t="s">
        <v>632</v>
      </c>
      <c r="BD183" s="249">
        <f t="shared" si="66"/>
        <v>0</v>
      </c>
      <c r="BE183" s="249">
        <f>IF(AND(BD183&gt;0,$N183&lt;&gt;""),IF((DATE(Assumptions!$B$4,7,28)-$N183)/365.25&lt;=Assumptions!$B$20,(DATE(Assumptions!$B$4,7,28)-$N183)/365.25*Assumptions!$B$18*BD183,(Assumptions!$B$20*Assumptions!$B$18+((DATE(Assumptions!$B$4,7,28)-$N183)/365.25-Assumptions!$B$20)*Assumptions!$B$19)*BD183),0)</f>
        <v>0</v>
      </c>
      <c r="BF183" s="249">
        <f>IF(BC183&gt;0,IF($M183="Saudi",MIN(BC183+$Q183*$V183,Assumptions!$B$14)*Assumptions!$B$12,MIN(BC183+$Q183*$V183,Assumptions!$B$14)*Assumptions!$B$13),0)</f>
        <v>0</v>
      </c>
      <c r="BG183" s="249">
        <f>IF(AND(BC183&gt;0,$M183="Non-Saudi"),Assumptions!$B$25,0)</f>
        <v>0</v>
      </c>
      <c r="BH183" s="249">
        <f t="shared" si="67"/>
        <v>0</v>
      </c>
      <c r="BI183" s="249">
        <f t="shared" si="68"/>
        <v>0</v>
      </c>
      <c r="BJ183" s="249">
        <f>IF(AND(BI183&gt;0,$N183&lt;&gt;""),IF((DATE(Assumptions!$B$4,8,28)-$N183)/365.25&lt;=Assumptions!$B$20,(DATE(Assumptions!$B$4,8,28)-$N183)/365.25*Assumptions!$B$18*BI183,(Assumptions!$B$20*Assumptions!$B$18+((DATE(Assumptions!$B$4,8,28)-$N183)/365.25-Assumptions!$B$20)*Assumptions!$B$19)*BI183),0)</f>
        <v>0</v>
      </c>
      <c r="BK183" s="249">
        <f>IF(BH183&gt;0,IF($M183="Saudi",MIN(BH183+$Q183*$V183,Assumptions!$B$14)*Assumptions!$B$12,MIN(BH183+$Q183*$V183,Assumptions!$B$14)*Assumptions!$B$13),0)</f>
        <v>0</v>
      </c>
      <c r="BL183" s="249">
        <f>IF(AND(BH183&gt;0,$M183="Non-Saudi"),Assumptions!$B$25,0)</f>
        <v>0</v>
      </c>
      <c r="BM183" s="249">
        <f>IF(AND($D183="Contrat Local",$N183&lt;&gt;""),IF(AND(9&gt;=Assumptions!$B$5,ISNUMBER($X183),$N183&lt;EDATE(Assumptions!$B$9,-Assumptions!$B$6*12)),($P183+$X183)*$V183,$P183*$V183),0)</f>
        <v>0</v>
      </c>
      <c r="BN183" s="249">
        <f t="shared" si="69"/>
        <v>0</v>
      </c>
      <c r="BO183" s="249">
        <f>IF(AND(BN183&gt;0,$N183&lt;&gt;""),IF((DATE(Assumptions!$B$4,9,28)-$N183)/365.25&lt;=Assumptions!$B$20,(DATE(Assumptions!$B$4,9,28)-$N183)/365.25*Assumptions!$B$18*BN183,(Assumptions!$B$20*Assumptions!$B$18+((DATE(Assumptions!$B$4,9,28)-$N183)/365.25-Assumptions!$B$20)*Assumptions!$B$19)*BN183),0)</f>
        <v>0</v>
      </c>
      <c r="BP183" s="249">
        <f>IF(BM183&gt;0,IF($M183="Saudi",MIN(BM183+$Q183*$V183,Assumptions!$B$14)*Assumptions!$B$12,MIN(BM183+$Q183*$V183,Assumptions!$B$14)*Assumptions!$B$13),0)</f>
        <v>0</v>
      </c>
      <c r="BQ183" s="249">
        <f>IF(AND(BM183&gt;0,$M183="Non-Saudi"),Assumptions!$B$25,0)</f>
        <v>0</v>
      </c>
      <c r="BR183" s="249">
        <f>IF(AND($D183="Contrat Local",$N183&lt;&gt;""),IF(AND(10&gt;=Assumptions!$B$5,ISNUMBER($X183),$N183&lt;EDATE(Assumptions!$B$9,-Assumptions!$B$6*12)),($P183+$X183)*$V183,$P183*$V183),0)</f>
        <v>0</v>
      </c>
      <c r="BS183" s="249">
        <f t="shared" si="70"/>
        <v>0</v>
      </c>
      <c r="BT183" s="249">
        <f>IF(AND(BS183&gt;0,$N183&lt;&gt;""),IF((DATE(Assumptions!$B$4,10,28)-$N183)/365.25&lt;=Assumptions!$B$20,(DATE(Assumptions!$B$4,10,28)-$N183)/365.25*Assumptions!$B$18*BS183,(Assumptions!$B$20*Assumptions!$B$18+((DATE(Assumptions!$B$4,10,28)-$N183)/365.25-Assumptions!$B$20)*Assumptions!$B$19)*BS183),0)</f>
        <v>0</v>
      </c>
      <c r="BU183" s="249">
        <f>IF(BR183&gt;0,IF($M183="Saudi",MIN(BR183+$Q183*$V183,Assumptions!$B$14)*Assumptions!$B$12,MIN(BR183+$Q183*$V183,Assumptions!$B$14)*Assumptions!$B$13),0)</f>
        <v>0</v>
      </c>
      <c r="BV183" s="249">
        <f>IF(AND(BR183&gt;0,$M183="Non-Saudi"),Assumptions!$B$25,0)</f>
        <v>0</v>
      </c>
      <c r="BW183" s="249">
        <f>IF(AND($D183="Contrat Local",$N183&lt;&gt;""),IF(AND(11&gt;=Assumptions!$B$5,ISNUMBER($X183),$N183&lt;EDATE(Assumptions!$B$9,-Assumptions!$B$6*12)),($P183+$X183)*$V183,$P183*$V183),0)</f>
        <v>0</v>
      </c>
      <c r="BX183" s="249">
        <f t="shared" si="71"/>
        <v>0</v>
      </c>
      <c r="BY183" s="249">
        <f>IF(AND(BX183&gt;0,$N183&lt;&gt;""),IF((DATE(Assumptions!$B$4,11,28)-$N183)/365.25&lt;=Assumptions!$B$20,(DATE(Assumptions!$B$4,11,28)-$N183)/365.25*Assumptions!$B$18*BX183,(Assumptions!$B$20*Assumptions!$B$18+((DATE(Assumptions!$B$4,11,28)-$N183)/365.25-Assumptions!$B$20)*Assumptions!$B$19)*BX183),0)</f>
        <v>0</v>
      </c>
      <c r="BZ183" s="249">
        <f>IF(BW183&gt;0,IF($M183="Saudi",MIN(BW183+$Q183*$V183,Assumptions!$B$14)*Assumptions!$B$12,MIN(BW183+$Q183*$V183,Assumptions!$B$14)*Assumptions!$B$13),0)</f>
        <v>0</v>
      </c>
      <c r="CA183" s="249">
        <f>IF(AND(BW183&gt;0,$M183="Non-Saudi"),Assumptions!$B$25,0)</f>
        <v>0</v>
      </c>
      <c r="CB183" s="249">
        <f>IF(AND($D183="Contrat Local",$N183&lt;&gt;""),IF(AND(12&gt;=Assumptions!$B$5,ISNUMBER($X183),$N183&lt;EDATE(Assumptions!$B$9,-Assumptions!$B$6*12)),($P183+$X183)*$V183,$P183*$V183),0)</f>
        <v>0</v>
      </c>
      <c r="CC183" s="249">
        <f t="shared" si="72"/>
        <v>0</v>
      </c>
      <c r="CD183" s="249">
        <f>IF(AND(CC183&gt;0,$N183&lt;&gt;""),IF((DATE(Assumptions!$B$4,12,28)-$N183)/365.25&lt;=Assumptions!$B$20,(DATE(Assumptions!$B$4,12,28)-$N183)/365.25*Assumptions!$B$18*CC183,(Assumptions!$B$20*Assumptions!$B$18+((DATE(Assumptions!$B$4,12,28)-$N183)/365.25-Assumptions!$B$20)*Assumptions!$B$19)*CC183),0)</f>
        <v>0</v>
      </c>
      <c r="CE183" s="249">
        <f>IF(CB183&gt;0,IF($M183="Saudi",MIN(CB183+$Q183*$V183,Assumptions!$B$14)*Assumptions!$B$12,MIN(CB183+$Q183*$V183,Assumptions!$B$14)*Assumptions!$B$13),0)</f>
        <v>0</v>
      </c>
      <c r="CF183" s="249">
        <f>IF(AND(CB183&gt;0,$M183="Non-Saudi"),Assumptions!$B$25,0)</f>
        <v>0</v>
      </c>
      <c r="CG183" s="249">
        <f t="shared" si="78"/>
        <v>0</v>
      </c>
      <c r="CH183" s="249">
        <f t="shared" si="79"/>
        <v>0</v>
      </c>
      <c r="CI183" s="249">
        <f>CD183-IF(AND(Z183&gt;0,$N183&lt;&gt;""),IF((DATE(Assumptions!$B$4-1,12,28)-$N183)/365.25&lt;=Assumptions!$B$20,(DATE(Assumptions!$B$4-1,12,28)-$N183)/365.25*Assumptions!$B$18*Z183,(Assumptions!$B$20*Assumptions!$B$18+((DATE(Assumptions!$B$4-1,12,28)-$N183)/365.25-Assumptions!$B$20)*Assumptions!$B$19)*Z183),0)</f>
        <v>0</v>
      </c>
      <c r="CJ183" s="249">
        <f t="shared" si="80"/>
        <v>0</v>
      </c>
      <c r="CK183" s="249">
        <f t="shared" si="81"/>
        <v>0</v>
      </c>
    </row>
    <row r="184" spans="1:89" s="292" customFormat="1" x14ac:dyDescent="0.2">
      <c r="A184" s="350">
        <v>180</v>
      </c>
      <c r="B184" s="351" t="s">
        <v>670</v>
      </c>
      <c r="C184" s="351" t="s">
        <v>671</v>
      </c>
      <c r="D184" s="351" t="s">
        <v>628</v>
      </c>
      <c r="E184" s="351" t="s">
        <v>792</v>
      </c>
      <c r="F184" s="351" t="s">
        <v>658</v>
      </c>
      <c r="G184" s="351" t="s">
        <v>303</v>
      </c>
      <c r="H184" s="351" t="s">
        <v>599</v>
      </c>
      <c r="I184" s="357" t="s">
        <v>691</v>
      </c>
      <c r="J184" s="351" t="s">
        <v>68</v>
      </c>
      <c r="K184" s="351" t="s">
        <v>254</v>
      </c>
      <c r="L184" s="351" t="s">
        <v>628</v>
      </c>
      <c r="M184" s="351" t="str">
        <f t="shared" si="77"/>
        <v/>
      </c>
      <c r="N184" s="353"/>
      <c r="O184" s="354"/>
      <c r="P184" s="355"/>
      <c r="Q184" s="355"/>
      <c r="R184" s="355"/>
      <c r="S184" s="355"/>
      <c r="T184" s="355"/>
      <c r="U184" s="355"/>
      <c r="V184" s="356"/>
      <c r="W184" s="351" t="s">
        <v>632</v>
      </c>
      <c r="X184" s="351" t="s">
        <v>632</v>
      </c>
      <c r="BD184" s="249">
        <f t="shared" si="66"/>
        <v>0</v>
      </c>
      <c r="BE184" s="249">
        <f>IF(AND(BD184&gt;0,$N184&lt;&gt;""),IF((DATE(Assumptions!$B$4,7,28)-$N184)/365.25&lt;=Assumptions!$B$20,(DATE(Assumptions!$B$4,7,28)-$N184)/365.25*Assumptions!$B$18*BD184,(Assumptions!$B$20*Assumptions!$B$18+((DATE(Assumptions!$B$4,7,28)-$N184)/365.25-Assumptions!$B$20)*Assumptions!$B$19)*BD184),0)</f>
        <v>0</v>
      </c>
      <c r="BF184" s="249">
        <f>IF(BC184&gt;0,IF($M184="Saudi",MIN(BC184+$Q184*$V184,Assumptions!$B$14)*Assumptions!$B$12,MIN(BC184+$Q184*$V184,Assumptions!$B$14)*Assumptions!$B$13),0)</f>
        <v>0</v>
      </c>
      <c r="BG184" s="249">
        <f>IF(AND(BC184&gt;0,$M184="Non-Saudi"),Assumptions!$B$25,0)</f>
        <v>0</v>
      </c>
      <c r="BH184" s="249">
        <f t="shared" si="67"/>
        <v>0</v>
      </c>
      <c r="BI184" s="249">
        <f t="shared" si="68"/>
        <v>0</v>
      </c>
      <c r="BJ184" s="249">
        <f>IF(AND(BI184&gt;0,$N184&lt;&gt;""),IF((DATE(Assumptions!$B$4,8,28)-$N184)/365.25&lt;=Assumptions!$B$20,(DATE(Assumptions!$B$4,8,28)-$N184)/365.25*Assumptions!$B$18*BI184,(Assumptions!$B$20*Assumptions!$B$18+((DATE(Assumptions!$B$4,8,28)-$N184)/365.25-Assumptions!$B$20)*Assumptions!$B$19)*BI184),0)</f>
        <v>0</v>
      </c>
      <c r="BK184" s="249">
        <f>IF(BH184&gt;0,IF($M184="Saudi",MIN(BH184+$Q184*$V184,Assumptions!$B$14)*Assumptions!$B$12,MIN(BH184+$Q184*$V184,Assumptions!$B$14)*Assumptions!$B$13),0)</f>
        <v>0</v>
      </c>
      <c r="BL184" s="249">
        <f>IF(AND(BH184&gt;0,$M184="Non-Saudi"),Assumptions!$B$25,0)</f>
        <v>0</v>
      </c>
      <c r="BM184" s="249">
        <f>IF(AND($D184="Contrat Local",$N184&lt;&gt;""),IF(AND(9&gt;=Assumptions!$B$5,ISNUMBER($X184),$N184&lt;EDATE(Assumptions!$B$9,-Assumptions!$B$6*12)),($P184+$X184)*$V184,$P184*$V184),0)</f>
        <v>0</v>
      </c>
      <c r="BN184" s="249">
        <f t="shared" si="69"/>
        <v>0</v>
      </c>
      <c r="BO184" s="249">
        <f>IF(AND(BN184&gt;0,$N184&lt;&gt;""),IF((DATE(Assumptions!$B$4,9,28)-$N184)/365.25&lt;=Assumptions!$B$20,(DATE(Assumptions!$B$4,9,28)-$N184)/365.25*Assumptions!$B$18*BN184,(Assumptions!$B$20*Assumptions!$B$18+((DATE(Assumptions!$B$4,9,28)-$N184)/365.25-Assumptions!$B$20)*Assumptions!$B$19)*BN184),0)</f>
        <v>0</v>
      </c>
      <c r="BP184" s="249">
        <f>IF(BM184&gt;0,IF($M184="Saudi",MIN(BM184+$Q184*$V184,Assumptions!$B$14)*Assumptions!$B$12,MIN(BM184+$Q184*$V184,Assumptions!$B$14)*Assumptions!$B$13),0)</f>
        <v>0</v>
      </c>
      <c r="BQ184" s="249">
        <f>IF(AND(BM184&gt;0,$M184="Non-Saudi"),Assumptions!$B$25,0)</f>
        <v>0</v>
      </c>
      <c r="BR184" s="249">
        <f>IF(AND($D184="Contrat Local",$N184&lt;&gt;""),IF(AND(10&gt;=Assumptions!$B$5,ISNUMBER($X184),$N184&lt;EDATE(Assumptions!$B$9,-Assumptions!$B$6*12)),($P184+$X184)*$V184,$P184*$V184),0)</f>
        <v>0</v>
      </c>
      <c r="BS184" s="249">
        <f t="shared" si="70"/>
        <v>0</v>
      </c>
      <c r="BT184" s="249">
        <f>IF(AND(BS184&gt;0,$N184&lt;&gt;""),IF((DATE(Assumptions!$B$4,10,28)-$N184)/365.25&lt;=Assumptions!$B$20,(DATE(Assumptions!$B$4,10,28)-$N184)/365.25*Assumptions!$B$18*BS184,(Assumptions!$B$20*Assumptions!$B$18+((DATE(Assumptions!$B$4,10,28)-$N184)/365.25-Assumptions!$B$20)*Assumptions!$B$19)*BS184),0)</f>
        <v>0</v>
      </c>
      <c r="BU184" s="249">
        <f>IF(BR184&gt;0,IF($M184="Saudi",MIN(BR184+$Q184*$V184,Assumptions!$B$14)*Assumptions!$B$12,MIN(BR184+$Q184*$V184,Assumptions!$B$14)*Assumptions!$B$13),0)</f>
        <v>0</v>
      </c>
      <c r="BV184" s="249">
        <f>IF(AND(BR184&gt;0,$M184="Non-Saudi"),Assumptions!$B$25,0)</f>
        <v>0</v>
      </c>
      <c r="BW184" s="249">
        <f>IF(AND($D184="Contrat Local",$N184&lt;&gt;""),IF(AND(11&gt;=Assumptions!$B$5,ISNUMBER($X184),$N184&lt;EDATE(Assumptions!$B$9,-Assumptions!$B$6*12)),($P184+$X184)*$V184,$P184*$V184),0)</f>
        <v>0</v>
      </c>
      <c r="BX184" s="249">
        <f t="shared" si="71"/>
        <v>0</v>
      </c>
      <c r="BY184" s="249">
        <f>IF(AND(BX184&gt;0,$N184&lt;&gt;""),IF((DATE(Assumptions!$B$4,11,28)-$N184)/365.25&lt;=Assumptions!$B$20,(DATE(Assumptions!$B$4,11,28)-$N184)/365.25*Assumptions!$B$18*BX184,(Assumptions!$B$20*Assumptions!$B$18+((DATE(Assumptions!$B$4,11,28)-$N184)/365.25-Assumptions!$B$20)*Assumptions!$B$19)*BX184),0)</f>
        <v>0</v>
      </c>
      <c r="BZ184" s="249">
        <f>IF(BW184&gt;0,IF($M184="Saudi",MIN(BW184+$Q184*$V184,Assumptions!$B$14)*Assumptions!$B$12,MIN(BW184+$Q184*$V184,Assumptions!$B$14)*Assumptions!$B$13),0)</f>
        <v>0</v>
      </c>
      <c r="CA184" s="249">
        <f>IF(AND(BW184&gt;0,$M184="Non-Saudi"),Assumptions!$B$25,0)</f>
        <v>0</v>
      </c>
      <c r="CB184" s="249">
        <f>IF(AND($D184="Contrat Local",$N184&lt;&gt;""),IF(AND(12&gt;=Assumptions!$B$5,ISNUMBER($X184),$N184&lt;EDATE(Assumptions!$B$9,-Assumptions!$B$6*12)),($P184+$X184)*$V184,$P184*$V184),0)</f>
        <v>0</v>
      </c>
      <c r="CC184" s="249">
        <f t="shared" si="72"/>
        <v>0</v>
      </c>
      <c r="CD184" s="249">
        <f>IF(AND(CC184&gt;0,$N184&lt;&gt;""),IF((DATE(Assumptions!$B$4,12,28)-$N184)/365.25&lt;=Assumptions!$B$20,(DATE(Assumptions!$B$4,12,28)-$N184)/365.25*Assumptions!$B$18*CC184,(Assumptions!$B$20*Assumptions!$B$18+((DATE(Assumptions!$B$4,12,28)-$N184)/365.25-Assumptions!$B$20)*Assumptions!$B$19)*CC184),0)</f>
        <v>0</v>
      </c>
      <c r="CE184" s="249">
        <f>IF(CB184&gt;0,IF($M184="Saudi",MIN(CB184+$Q184*$V184,Assumptions!$B$14)*Assumptions!$B$12,MIN(CB184+$Q184*$V184,Assumptions!$B$14)*Assumptions!$B$13),0)</f>
        <v>0</v>
      </c>
      <c r="CF184" s="249">
        <f>IF(AND(CB184&gt;0,$M184="Non-Saudi"),Assumptions!$B$25,0)</f>
        <v>0</v>
      </c>
      <c r="CG184" s="249">
        <f t="shared" si="78"/>
        <v>0</v>
      </c>
      <c r="CH184" s="249">
        <f t="shared" si="79"/>
        <v>0</v>
      </c>
      <c r="CI184" s="249">
        <f>CD184-IF(AND(Z184&gt;0,$N184&lt;&gt;""),IF((DATE(Assumptions!$B$4-1,12,28)-$N184)/365.25&lt;=Assumptions!$B$20,(DATE(Assumptions!$B$4-1,12,28)-$N184)/365.25*Assumptions!$B$18*Z184,(Assumptions!$B$20*Assumptions!$B$18+((DATE(Assumptions!$B$4-1,12,28)-$N184)/365.25-Assumptions!$B$20)*Assumptions!$B$19)*Z184),0)</f>
        <v>0</v>
      </c>
      <c r="CJ184" s="249">
        <f t="shared" si="80"/>
        <v>0</v>
      </c>
      <c r="CK184" s="249">
        <f t="shared" si="81"/>
        <v>0</v>
      </c>
    </row>
    <row r="185" spans="1:89" s="292" customFormat="1" x14ac:dyDescent="0.2">
      <c r="A185" s="350">
        <v>181</v>
      </c>
      <c r="B185" s="351" t="s">
        <v>672</v>
      </c>
      <c r="C185" s="351" t="s">
        <v>464</v>
      </c>
      <c r="D185" s="351" t="s">
        <v>628</v>
      </c>
      <c r="E185" s="351" t="s">
        <v>792</v>
      </c>
      <c r="F185" s="351" t="s">
        <v>673</v>
      </c>
      <c r="G185" s="351" t="s">
        <v>303</v>
      </c>
      <c r="H185" s="351" t="s">
        <v>674</v>
      </c>
      <c r="I185" s="357" t="s">
        <v>691</v>
      </c>
      <c r="J185" s="351" t="s">
        <v>227</v>
      </c>
      <c r="K185" s="351" t="s">
        <v>254</v>
      </c>
      <c r="L185" s="351" t="s">
        <v>628</v>
      </c>
      <c r="M185" s="351" t="str">
        <f t="shared" si="77"/>
        <v/>
      </c>
      <c r="N185" s="353"/>
      <c r="O185" s="354"/>
      <c r="P185" s="355"/>
      <c r="Q185" s="355"/>
      <c r="R185" s="355"/>
      <c r="S185" s="355"/>
      <c r="T185" s="355"/>
      <c r="U185" s="355"/>
      <c r="V185" s="356"/>
      <c r="W185" s="351" t="s">
        <v>632</v>
      </c>
      <c r="X185" s="351" t="s">
        <v>632</v>
      </c>
      <c r="BD185" s="249">
        <f t="shared" si="66"/>
        <v>0</v>
      </c>
      <c r="BE185" s="249">
        <f>IF(AND(BD185&gt;0,$N185&lt;&gt;""),IF((DATE(Assumptions!$B$4,7,28)-$N185)/365.25&lt;=Assumptions!$B$20,(DATE(Assumptions!$B$4,7,28)-$N185)/365.25*Assumptions!$B$18*BD185,(Assumptions!$B$20*Assumptions!$B$18+((DATE(Assumptions!$B$4,7,28)-$N185)/365.25-Assumptions!$B$20)*Assumptions!$B$19)*BD185),0)</f>
        <v>0</v>
      </c>
      <c r="BF185" s="249">
        <f>IF(BC185&gt;0,IF($M185="Saudi",MIN(BC185+$Q185*$V185,Assumptions!$B$14)*Assumptions!$B$12,MIN(BC185+$Q185*$V185,Assumptions!$B$14)*Assumptions!$B$13),0)</f>
        <v>0</v>
      </c>
      <c r="BG185" s="249">
        <f>IF(AND(BC185&gt;0,$M185="Non-Saudi"),Assumptions!$B$25,0)</f>
        <v>0</v>
      </c>
      <c r="BH185" s="249">
        <f t="shared" si="67"/>
        <v>0</v>
      </c>
      <c r="BI185" s="249">
        <f t="shared" si="68"/>
        <v>0</v>
      </c>
      <c r="BJ185" s="249">
        <f>IF(AND(BI185&gt;0,$N185&lt;&gt;""),IF((DATE(Assumptions!$B$4,8,28)-$N185)/365.25&lt;=Assumptions!$B$20,(DATE(Assumptions!$B$4,8,28)-$N185)/365.25*Assumptions!$B$18*BI185,(Assumptions!$B$20*Assumptions!$B$18+((DATE(Assumptions!$B$4,8,28)-$N185)/365.25-Assumptions!$B$20)*Assumptions!$B$19)*BI185),0)</f>
        <v>0</v>
      </c>
      <c r="BK185" s="249">
        <f>IF(BH185&gt;0,IF($M185="Saudi",MIN(BH185+$Q185*$V185,Assumptions!$B$14)*Assumptions!$B$12,MIN(BH185+$Q185*$V185,Assumptions!$B$14)*Assumptions!$B$13),0)</f>
        <v>0</v>
      </c>
      <c r="BL185" s="249">
        <f>IF(AND(BH185&gt;0,$M185="Non-Saudi"),Assumptions!$B$25,0)</f>
        <v>0</v>
      </c>
      <c r="BM185" s="249">
        <f>IF(AND($D185="Contrat Local",$N185&lt;&gt;""),IF(AND(9&gt;=Assumptions!$B$5,ISNUMBER($X185),$N185&lt;EDATE(Assumptions!$B$9,-Assumptions!$B$6*12)),($P185+$X185)*$V185,$P185*$V185),0)</f>
        <v>0</v>
      </c>
      <c r="BN185" s="249">
        <f t="shared" si="69"/>
        <v>0</v>
      </c>
      <c r="BO185" s="249">
        <f>IF(AND(BN185&gt;0,$N185&lt;&gt;""),IF((DATE(Assumptions!$B$4,9,28)-$N185)/365.25&lt;=Assumptions!$B$20,(DATE(Assumptions!$B$4,9,28)-$N185)/365.25*Assumptions!$B$18*BN185,(Assumptions!$B$20*Assumptions!$B$18+((DATE(Assumptions!$B$4,9,28)-$N185)/365.25-Assumptions!$B$20)*Assumptions!$B$19)*BN185),0)</f>
        <v>0</v>
      </c>
      <c r="BP185" s="249">
        <f>IF(BM185&gt;0,IF($M185="Saudi",MIN(BM185+$Q185*$V185,Assumptions!$B$14)*Assumptions!$B$12,MIN(BM185+$Q185*$V185,Assumptions!$B$14)*Assumptions!$B$13),0)</f>
        <v>0</v>
      </c>
      <c r="BQ185" s="249">
        <f>IF(AND(BM185&gt;0,$M185="Non-Saudi"),Assumptions!$B$25,0)</f>
        <v>0</v>
      </c>
      <c r="BR185" s="249">
        <f>IF(AND($D185="Contrat Local",$N185&lt;&gt;""),IF(AND(10&gt;=Assumptions!$B$5,ISNUMBER($X185),$N185&lt;EDATE(Assumptions!$B$9,-Assumptions!$B$6*12)),($P185+$X185)*$V185,$P185*$V185),0)</f>
        <v>0</v>
      </c>
      <c r="BS185" s="249">
        <f t="shared" si="70"/>
        <v>0</v>
      </c>
      <c r="BT185" s="249">
        <f>IF(AND(BS185&gt;0,$N185&lt;&gt;""),IF((DATE(Assumptions!$B$4,10,28)-$N185)/365.25&lt;=Assumptions!$B$20,(DATE(Assumptions!$B$4,10,28)-$N185)/365.25*Assumptions!$B$18*BS185,(Assumptions!$B$20*Assumptions!$B$18+((DATE(Assumptions!$B$4,10,28)-$N185)/365.25-Assumptions!$B$20)*Assumptions!$B$19)*BS185),0)</f>
        <v>0</v>
      </c>
      <c r="BU185" s="249">
        <f>IF(BR185&gt;0,IF($M185="Saudi",MIN(BR185+$Q185*$V185,Assumptions!$B$14)*Assumptions!$B$12,MIN(BR185+$Q185*$V185,Assumptions!$B$14)*Assumptions!$B$13),0)</f>
        <v>0</v>
      </c>
      <c r="BV185" s="249">
        <f>IF(AND(BR185&gt;0,$M185="Non-Saudi"),Assumptions!$B$25,0)</f>
        <v>0</v>
      </c>
      <c r="BW185" s="249">
        <f>IF(AND($D185="Contrat Local",$N185&lt;&gt;""),IF(AND(11&gt;=Assumptions!$B$5,ISNUMBER($X185),$N185&lt;EDATE(Assumptions!$B$9,-Assumptions!$B$6*12)),($P185+$X185)*$V185,$P185*$V185),0)</f>
        <v>0</v>
      </c>
      <c r="BX185" s="249">
        <f t="shared" si="71"/>
        <v>0</v>
      </c>
      <c r="BY185" s="249">
        <f>IF(AND(BX185&gt;0,$N185&lt;&gt;""),IF((DATE(Assumptions!$B$4,11,28)-$N185)/365.25&lt;=Assumptions!$B$20,(DATE(Assumptions!$B$4,11,28)-$N185)/365.25*Assumptions!$B$18*BX185,(Assumptions!$B$20*Assumptions!$B$18+((DATE(Assumptions!$B$4,11,28)-$N185)/365.25-Assumptions!$B$20)*Assumptions!$B$19)*BX185),0)</f>
        <v>0</v>
      </c>
      <c r="BZ185" s="249">
        <f>IF(BW185&gt;0,IF($M185="Saudi",MIN(BW185+$Q185*$V185,Assumptions!$B$14)*Assumptions!$B$12,MIN(BW185+$Q185*$V185,Assumptions!$B$14)*Assumptions!$B$13),0)</f>
        <v>0</v>
      </c>
      <c r="CA185" s="249">
        <f>IF(AND(BW185&gt;0,$M185="Non-Saudi"),Assumptions!$B$25,0)</f>
        <v>0</v>
      </c>
      <c r="CB185" s="249">
        <f>IF(AND($D185="Contrat Local",$N185&lt;&gt;""),IF(AND(12&gt;=Assumptions!$B$5,ISNUMBER($X185),$N185&lt;EDATE(Assumptions!$B$9,-Assumptions!$B$6*12)),($P185+$X185)*$V185,$P185*$V185),0)</f>
        <v>0</v>
      </c>
      <c r="CC185" s="249">
        <f t="shared" si="72"/>
        <v>0</v>
      </c>
      <c r="CD185" s="249">
        <f>IF(AND(CC185&gt;0,$N185&lt;&gt;""),IF((DATE(Assumptions!$B$4,12,28)-$N185)/365.25&lt;=Assumptions!$B$20,(DATE(Assumptions!$B$4,12,28)-$N185)/365.25*Assumptions!$B$18*CC185,(Assumptions!$B$20*Assumptions!$B$18+((DATE(Assumptions!$B$4,12,28)-$N185)/365.25-Assumptions!$B$20)*Assumptions!$B$19)*CC185),0)</f>
        <v>0</v>
      </c>
      <c r="CE185" s="249">
        <f>IF(CB185&gt;0,IF($M185="Saudi",MIN(CB185+$Q185*$V185,Assumptions!$B$14)*Assumptions!$B$12,MIN(CB185+$Q185*$V185,Assumptions!$B$14)*Assumptions!$B$13),0)</f>
        <v>0</v>
      </c>
      <c r="CF185" s="249">
        <f>IF(AND(CB185&gt;0,$M185="Non-Saudi"),Assumptions!$B$25,0)</f>
        <v>0</v>
      </c>
      <c r="CG185" s="249">
        <f t="shared" si="78"/>
        <v>0</v>
      </c>
      <c r="CH185" s="249">
        <f t="shared" si="79"/>
        <v>0</v>
      </c>
      <c r="CI185" s="249">
        <f>CD185-IF(AND(Z185&gt;0,$N185&lt;&gt;""),IF((DATE(Assumptions!$B$4-1,12,28)-$N185)/365.25&lt;=Assumptions!$B$20,(DATE(Assumptions!$B$4-1,12,28)-$N185)/365.25*Assumptions!$B$18*Z185,(Assumptions!$B$20*Assumptions!$B$18+((DATE(Assumptions!$B$4-1,12,28)-$N185)/365.25-Assumptions!$B$20)*Assumptions!$B$19)*Z185),0)</f>
        <v>0</v>
      </c>
      <c r="CJ185" s="249">
        <f t="shared" si="80"/>
        <v>0</v>
      </c>
      <c r="CK185" s="249">
        <f t="shared" si="81"/>
        <v>0</v>
      </c>
    </row>
    <row r="186" spans="1:89" s="292" customFormat="1" x14ac:dyDescent="0.2">
      <c r="A186" s="350">
        <v>182</v>
      </c>
      <c r="B186" s="351" t="s">
        <v>675</v>
      </c>
      <c r="C186" s="351" t="s">
        <v>676</v>
      </c>
      <c r="D186" s="351" t="s">
        <v>628</v>
      </c>
      <c r="E186" s="351" t="s">
        <v>792</v>
      </c>
      <c r="F186" s="351" t="s">
        <v>658</v>
      </c>
      <c r="G186" s="351" t="s">
        <v>303</v>
      </c>
      <c r="H186" s="351" t="s">
        <v>677</v>
      </c>
      <c r="I186" s="357" t="s">
        <v>691</v>
      </c>
      <c r="J186" s="351" t="s">
        <v>81</v>
      </c>
      <c r="K186" s="351" t="s">
        <v>254</v>
      </c>
      <c r="L186" s="351" t="s">
        <v>628</v>
      </c>
      <c r="M186" s="351" t="str">
        <f t="shared" si="77"/>
        <v/>
      </c>
      <c r="N186" s="353"/>
      <c r="O186" s="354"/>
      <c r="P186" s="355"/>
      <c r="Q186" s="355"/>
      <c r="R186" s="355"/>
      <c r="S186" s="355"/>
      <c r="T186" s="355"/>
      <c r="U186" s="355"/>
      <c r="V186" s="356"/>
      <c r="W186" s="351" t="s">
        <v>632</v>
      </c>
      <c r="X186" s="351" t="s">
        <v>632</v>
      </c>
      <c r="BD186" s="249">
        <f t="shared" si="66"/>
        <v>0</v>
      </c>
      <c r="BE186" s="249">
        <f>IF(AND(BD186&gt;0,$N186&lt;&gt;""),IF((DATE(Assumptions!$B$4,7,28)-$N186)/365.25&lt;=Assumptions!$B$20,(DATE(Assumptions!$B$4,7,28)-$N186)/365.25*Assumptions!$B$18*BD186,(Assumptions!$B$20*Assumptions!$B$18+((DATE(Assumptions!$B$4,7,28)-$N186)/365.25-Assumptions!$B$20)*Assumptions!$B$19)*BD186),0)</f>
        <v>0</v>
      </c>
      <c r="BF186" s="249">
        <f>IF(BC186&gt;0,IF($M186="Saudi",MIN(BC186+$Q186*$V186,Assumptions!$B$14)*Assumptions!$B$12,MIN(BC186+$Q186*$V186,Assumptions!$B$14)*Assumptions!$B$13),0)</f>
        <v>0</v>
      </c>
      <c r="BG186" s="249">
        <f>IF(AND(BC186&gt;0,$M186="Non-Saudi"),Assumptions!$B$25,0)</f>
        <v>0</v>
      </c>
      <c r="BH186" s="249">
        <f t="shared" si="67"/>
        <v>0</v>
      </c>
      <c r="BI186" s="249">
        <f t="shared" si="68"/>
        <v>0</v>
      </c>
      <c r="BJ186" s="249">
        <f>IF(AND(BI186&gt;0,$N186&lt;&gt;""),IF((DATE(Assumptions!$B$4,8,28)-$N186)/365.25&lt;=Assumptions!$B$20,(DATE(Assumptions!$B$4,8,28)-$N186)/365.25*Assumptions!$B$18*BI186,(Assumptions!$B$20*Assumptions!$B$18+((DATE(Assumptions!$B$4,8,28)-$N186)/365.25-Assumptions!$B$20)*Assumptions!$B$19)*BI186),0)</f>
        <v>0</v>
      </c>
      <c r="BK186" s="249">
        <f>IF(BH186&gt;0,IF($M186="Saudi",MIN(BH186+$Q186*$V186,Assumptions!$B$14)*Assumptions!$B$12,MIN(BH186+$Q186*$V186,Assumptions!$B$14)*Assumptions!$B$13),0)</f>
        <v>0</v>
      </c>
      <c r="BL186" s="249">
        <f>IF(AND(BH186&gt;0,$M186="Non-Saudi"),Assumptions!$B$25,0)</f>
        <v>0</v>
      </c>
      <c r="BM186" s="249">
        <f>IF(AND($D186="Contrat Local",$N186&lt;&gt;""),IF(AND(9&gt;=Assumptions!$B$5,ISNUMBER($X186),$N186&lt;EDATE(Assumptions!$B$9,-Assumptions!$B$6*12)),($P186+$X186)*$V186,$P186*$V186),0)</f>
        <v>0</v>
      </c>
      <c r="BN186" s="249">
        <f t="shared" si="69"/>
        <v>0</v>
      </c>
      <c r="BO186" s="249">
        <f>IF(AND(BN186&gt;0,$N186&lt;&gt;""),IF((DATE(Assumptions!$B$4,9,28)-$N186)/365.25&lt;=Assumptions!$B$20,(DATE(Assumptions!$B$4,9,28)-$N186)/365.25*Assumptions!$B$18*BN186,(Assumptions!$B$20*Assumptions!$B$18+((DATE(Assumptions!$B$4,9,28)-$N186)/365.25-Assumptions!$B$20)*Assumptions!$B$19)*BN186),0)</f>
        <v>0</v>
      </c>
      <c r="BP186" s="249">
        <f>IF(BM186&gt;0,IF($M186="Saudi",MIN(BM186+$Q186*$V186,Assumptions!$B$14)*Assumptions!$B$12,MIN(BM186+$Q186*$V186,Assumptions!$B$14)*Assumptions!$B$13),0)</f>
        <v>0</v>
      </c>
      <c r="BQ186" s="249">
        <f>IF(AND(BM186&gt;0,$M186="Non-Saudi"),Assumptions!$B$25,0)</f>
        <v>0</v>
      </c>
      <c r="BR186" s="249">
        <f>IF(AND($D186="Contrat Local",$N186&lt;&gt;""),IF(AND(10&gt;=Assumptions!$B$5,ISNUMBER($X186),$N186&lt;EDATE(Assumptions!$B$9,-Assumptions!$B$6*12)),($P186+$X186)*$V186,$P186*$V186),0)</f>
        <v>0</v>
      </c>
      <c r="BS186" s="249">
        <f t="shared" si="70"/>
        <v>0</v>
      </c>
      <c r="BT186" s="249">
        <f>IF(AND(BS186&gt;0,$N186&lt;&gt;""),IF((DATE(Assumptions!$B$4,10,28)-$N186)/365.25&lt;=Assumptions!$B$20,(DATE(Assumptions!$B$4,10,28)-$N186)/365.25*Assumptions!$B$18*BS186,(Assumptions!$B$20*Assumptions!$B$18+((DATE(Assumptions!$B$4,10,28)-$N186)/365.25-Assumptions!$B$20)*Assumptions!$B$19)*BS186),0)</f>
        <v>0</v>
      </c>
      <c r="BU186" s="249">
        <f>IF(BR186&gt;0,IF($M186="Saudi",MIN(BR186+$Q186*$V186,Assumptions!$B$14)*Assumptions!$B$12,MIN(BR186+$Q186*$V186,Assumptions!$B$14)*Assumptions!$B$13),0)</f>
        <v>0</v>
      </c>
      <c r="BV186" s="249">
        <f>IF(AND(BR186&gt;0,$M186="Non-Saudi"),Assumptions!$B$25,0)</f>
        <v>0</v>
      </c>
      <c r="BW186" s="249">
        <f>IF(AND($D186="Contrat Local",$N186&lt;&gt;""),IF(AND(11&gt;=Assumptions!$B$5,ISNUMBER($X186),$N186&lt;EDATE(Assumptions!$B$9,-Assumptions!$B$6*12)),($P186+$X186)*$V186,$P186*$V186),0)</f>
        <v>0</v>
      </c>
      <c r="BX186" s="249">
        <f t="shared" si="71"/>
        <v>0</v>
      </c>
      <c r="BY186" s="249">
        <f>IF(AND(BX186&gt;0,$N186&lt;&gt;""),IF((DATE(Assumptions!$B$4,11,28)-$N186)/365.25&lt;=Assumptions!$B$20,(DATE(Assumptions!$B$4,11,28)-$N186)/365.25*Assumptions!$B$18*BX186,(Assumptions!$B$20*Assumptions!$B$18+((DATE(Assumptions!$B$4,11,28)-$N186)/365.25-Assumptions!$B$20)*Assumptions!$B$19)*BX186),0)</f>
        <v>0</v>
      </c>
      <c r="BZ186" s="249">
        <f>IF(BW186&gt;0,IF($M186="Saudi",MIN(BW186+$Q186*$V186,Assumptions!$B$14)*Assumptions!$B$12,MIN(BW186+$Q186*$V186,Assumptions!$B$14)*Assumptions!$B$13),0)</f>
        <v>0</v>
      </c>
      <c r="CA186" s="249">
        <f>IF(AND(BW186&gt;0,$M186="Non-Saudi"),Assumptions!$B$25,0)</f>
        <v>0</v>
      </c>
      <c r="CB186" s="249">
        <f>IF(AND($D186="Contrat Local",$N186&lt;&gt;""),IF(AND(12&gt;=Assumptions!$B$5,ISNUMBER($X186),$N186&lt;EDATE(Assumptions!$B$9,-Assumptions!$B$6*12)),($P186+$X186)*$V186,$P186*$V186),0)</f>
        <v>0</v>
      </c>
      <c r="CC186" s="249">
        <f t="shared" si="72"/>
        <v>0</v>
      </c>
      <c r="CD186" s="249">
        <f>IF(AND(CC186&gt;0,$N186&lt;&gt;""),IF((DATE(Assumptions!$B$4,12,28)-$N186)/365.25&lt;=Assumptions!$B$20,(DATE(Assumptions!$B$4,12,28)-$N186)/365.25*Assumptions!$B$18*CC186,(Assumptions!$B$20*Assumptions!$B$18+((DATE(Assumptions!$B$4,12,28)-$N186)/365.25-Assumptions!$B$20)*Assumptions!$B$19)*CC186),0)</f>
        <v>0</v>
      </c>
      <c r="CE186" s="249">
        <f>IF(CB186&gt;0,IF($M186="Saudi",MIN(CB186+$Q186*$V186,Assumptions!$B$14)*Assumptions!$B$12,MIN(CB186+$Q186*$V186,Assumptions!$B$14)*Assumptions!$B$13),0)</f>
        <v>0</v>
      </c>
      <c r="CF186" s="249">
        <f>IF(AND(CB186&gt;0,$M186="Non-Saudi"),Assumptions!$B$25,0)</f>
        <v>0</v>
      </c>
      <c r="CG186" s="249">
        <f t="shared" si="78"/>
        <v>0</v>
      </c>
      <c r="CH186" s="249">
        <f t="shared" si="79"/>
        <v>0</v>
      </c>
      <c r="CI186" s="249">
        <f>CD186-IF(AND(Z186&gt;0,$N186&lt;&gt;""),IF((DATE(Assumptions!$B$4-1,12,28)-$N186)/365.25&lt;=Assumptions!$B$20,(DATE(Assumptions!$B$4-1,12,28)-$N186)/365.25*Assumptions!$B$18*Z186,(Assumptions!$B$20*Assumptions!$B$18+((DATE(Assumptions!$B$4-1,12,28)-$N186)/365.25-Assumptions!$B$20)*Assumptions!$B$19)*Z186),0)</f>
        <v>0</v>
      </c>
      <c r="CJ186" s="249">
        <f t="shared" si="80"/>
        <v>0</v>
      </c>
      <c r="CK186" s="249">
        <f t="shared" si="81"/>
        <v>0</v>
      </c>
    </row>
    <row r="187" spans="1:89" s="292" customFormat="1" x14ac:dyDescent="0.2">
      <c r="A187" s="350">
        <v>183</v>
      </c>
      <c r="B187" s="351" t="s">
        <v>678</v>
      </c>
      <c r="C187" s="351" t="s">
        <v>679</v>
      </c>
      <c r="D187" s="351" t="s">
        <v>628</v>
      </c>
      <c r="E187" s="351" t="s">
        <v>792</v>
      </c>
      <c r="F187" s="351" t="s">
        <v>658</v>
      </c>
      <c r="G187" s="351" t="s">
        <v>303</v>
      </c>
      <c r="H187" s="351" t="s">
        <v>680</v>
      </c>
      <c r="I187" s="357" t="s">
        <v>691</v>
      </c>
      <c r="J187" s="351" t="s">
        <v>104</v>
      </c>
      <c r="K187" s="351" t="s">
        <v>254</v>
      </c>
      <c r="L187" s="351" t="s">
        <v>628</v>
      </c>
      <c r="M187" s="351" t="str">
        <f t="shared" si="77"/>
        <v/>
      </c>
      <c r="N187" s="353"/>
      <c r="O187" s="354"/>
      <c r="P187" s="355"/>
      <c r="Q187" s="355"/>
      <c r="R187" s="355"/>
      <c r="S187" s="355"/>
      <c r="T187" s="355"/>
      <c r="U187" s="355"/>
      <c r="V187" s="356"/>
      <c r="W187" s="351" t="s">
        <v>632</v>
      </c>
      <c r="X187" s="351" t="s">
        <v>632</v>
      </c>
      <c r="BD187" s="249">
        <f t="shared" si="66"/>
        <v>0</v>
      </c>
      <c r="BE187" s="249">
        <f>IF(AND(BD187&gt;0,$N187&lt;&gt;""),IF((DATE(Assumptions!$B$4,7,28)-$N187)/365.25&lt;=Assumptions!$B$20,(DATE(Assumptions!$B$4,7,28)-$N187)/365.25*Assumptions!$B$18*BD187,(Assumptions!$B$20*Assumptions!$B$18+((DATE(Assumptions!$B$4,7,28)-$N187)/365.25-Assumptions!$B$20)*Assumptions!$B$19)*BD187),0)</f>
        <v>0</v>
      </c>
      <c r="BF187" s="249">
        <f>IF(BC187&gt;0,IF($M187="Saudi",MIN(BC187+$Q187*$V187,Assumptions!$B$14)*Assumptions!$B$12,MIN(BC187+$Q187*$V187,Assumptions!$B$14)*Assumptions!$B$13),0)</f>
        <v>0</v>
      </c>
      <c r="BG187" s="249">
        <f>IF(AND(BC187&gt;0,$M187="Non-Saudi"),Assumptions!$B$25,0)</f>
        <v>0</v>
      </c>
      <c r="BH187" s="249">
        <f t="shared" si="67"/>
        <v>0</v>
      </c>
      <c r="BI187" s="249">
        <f t="shared" si="68"/>
        <v>0</v>
      </c>
      <c r="BJ187" s="249">
        <f>IF(AND(BI187&gt;0,$N187&lt;&gt;""),IF((DATE(Assumptions!$B$4,8,28)-$N187)/365.25&lt;=Assumptions!$B$20,(DATE(Assumptions!$B$4,8,28)-$N187)/365.25*Assumptions!$B$18*BI187,(Assumptions!$B$20*Assumptions!$B$18+((DATE(Assumptions!$B$4,8,28)-$N187)/365.25-Assumptions!$B$20)*Assumptions!$B$19)*BI187),0)</f>
        <v>0</v>
      </c>
      <c r="BK187" s="249">
        <f>IF(BH187&gt;0,IF($M187="Saudi",MIN(BH187+$Q187*$V187,Assumptions!$B$14)*Assumptions!$B$12,MIN(BH187+$Q187*$V187,Assumptions!$B$14)*Assumptions!$B$13),0)</f>
        <v>0</v>
      </c>
      <c r="BL187" s="249">
        <f>IF(AND(BH187&gt;0,$M187="Non-Saudi"),Assumptions!$B$25,0)</f>
        <v>0</v>
      </c>
      <c r="BM187" s="249">
        <f>IF(AND($D187="Contrat Local",$N187&lt;&gt;""),IF(AND(9&gt;=Assumptions!$B$5,ISNUMBER($X187),$N187&lt;EDATE(Assumptions!$B$9,-Assumptions!$B$6*12)),($P187+$X187)*$V187,$P187*$V187),0)</f>
        <v>0</v>
      </c>
      <c r="BN187" s="249">
        <f t="shared" si="69"/>
        <v>0</v>
      </c>
      <c r="BO187" s="249">
        <f>IF(AND(BN187&gt;0,$N187&lt;&gt;""),IF((DATE(Assumptions!$B$4,9,28)-$N187)/365.25&lt;=Assumptions!$B$20,(DATE(Assumptions!$B$4,9,28)-$N187)/365.25*Assumptions!$B$18*BN187,(Assumptions!$B$20*Assumptions!$B$18+((DATE(Assumptions!$B$4,9,28)-$N187)/365.25-Assumptions!$B$20)*Assumptions!$B$19)*BN187),0)</f>
        <v>0</v>
      </c>
      <c r="BP187" s="249">
        <f>IF(BM187&gt;0,IF($M187="Saudi",MIN(BM187+$Q187*$V187,Assumptions!$B$14)*Assumptions!$B$12,MIN(BM187+$Q187*$V187,Assumptions!$B$14)*Assumptions!$B$13),0)</f>
        <v>0</v>
      </c>
      <c r="BQ187" s="249">
        <f>IF(AND(BM187&gt;0,$M187="Non-Saudi"),Assumptions!$B$25,0)</f>
        <v>0</v>
      </c>
      <c r="BR187" s="249">
        <f>IF(AND($D187="Contrat Local",$N187&lt;&gt;""),IF(AND(10&gt;=Assumptions!$B$5,ISNUMBER($X187),$N187&lt;EDATE(Assumptions!$B$9,-Assumptions!$B$6*12)),($P187+$X187)*$V187,$P187*$V187),0)</f>
        <v>0</v>
      </c>
      <c r="BS187" s="249">
        <f t="shared" si="70"/>
        <v>0</v>
      </c>
      <c r="BT187" s="249">
        <f>IF(AND(BS187&gt;0,$N187&lt;&gt;""),IF((DATE(Assumptions!$B$4,10,28)-$N187)/365.25&lt;=Assumptions!$B$20,(DATE(Assumptions!$B$4,10,28)-$N187)/365.25*Assumptions!$B$18*BS187,(Assumptions!$B$20*Assumptions!$B$18+((DATE(Assumptions!$B$4,10,28)-$N187)/365.25-Assumptions!$B$20)*Assumptions!$B$19)*BS187),0)</f>
        <v>0</v>
      </c>
      <c r="BU187" s="249">
        <f>IF(BR187&gt;0,IF($M187="Saudi",MIN(BR187+$Q187*$V187,Assumptions!$B$14)*Assumptions!$B$12,MIN(BR187+$Q187*$V187,Assumptions!$B$14)*Assumptions!$B$13),0)</f>
        <v>0</v>
      </c>
      <c r="BV187" s="249">
        <f>IF(AND(BR187&gt;0,$M187="Non-Saudi"),Assumptions!$B$25,0)</f>
        <v>0</v>
      </c>
      <c r="BW187" s="249">
        <f>IF(AND($D187="Contrat Local",$N187&lt;&gt;""),IF(AND(11&gt;=Assumptions!$B$5,ISNUMBER($X187),$N187&lt;EDATE(Assumptions!$B$9,-Assumptions!$B$6*12)),($P187+$X187)*$V187,$P187*$V187),0)</f>
        <v>0</v>
      </c>
      <c r="BX187" s="249">
        <f t="shared" si="71"/>
        <v>0</v>
      </c>
      <c r="BY187" s="249">
        <f>IF(AND(BX187&gt;0,$N187&lt;&gt;""),IF((DATE(Assumptions!$B$4,11,28)-$N187)/365.25&lt;=Assumptions!$B$20,(DATE(Assumptions!$B$4,11,28)-$N187)/365.25*Assumptions!$B$18*BX187,(Assumptions!$B$20*Assumptions!$B$18+((DATE(Assumptions!$B$4,11,28)-$N187)/365.25-Assumptions!$B$20)*Assumptions!$B$19)*BX187),0)</f>
        <v>0</v>
      </c>
      <c r="BZ187" s="249">
        <f>IF(BW187&gt;0,IF($M187="Saudi",MIN(BW187+$Q187*$V187,Assumptions!$B$14)*Assumptions!$B$12,MIN(BW187+$Q187*$V187,Assumptions!$B$14)*Assumptions!$B$13),0)</f>
        <v>0</v>
      </c>
      <c r="CA187" s="249">
        <f>IF(AND(BW187&gt;0,$M187="Non-Saudi"),Assumptions!$B$25,0)</f>
        <v>0</v>
      </c>
      <c r="CB187" s="249">
        <f>IF(AND($D187="Contrat Local",$N187&lt;&gt;""),IF(AND(12&gt;=Assumptions!$B$5,ISNUMBER($X187),$N187&lt;EDATE(Assumptions!$B$9,-Assumptions!$B$6*12)),($P187+$X187)*$V187,$P187*$V187),0)</f>
        <v>0</v>
      </c>
      <c r="CC187" s="249">
        <f t="shared" si="72"/>
        <v>0</v>
      </c>
      <c r="CD187" s="249">
        <f>IF(AND(CC187&gt;0,$N187&lt;&gt;""),IF((DATE(Assumptions!$B$4,12,28)-$N187)/365.25&lt;=Assumptions!$B$20,(DATE(Assumptions!$B$4,12,28)-$N187)/365.25*Assumptions!$B$18*CC187,(Assumptions!$B$20*Assumptions!$B$18+((DATE(Assumptions!$B$4,12,28)-$N187)/365.25-Assumptions!$B$20)*Assumptions!$B$19)*CC187),0)</f>
        <v>0</v>
      </c>
      <c r="CE187" s="249">
        <f>IF(CB187&gt;0,IF($M187="Saudi",MIN(CB187+$Q187*$V187,Assumptions!$B$14)*Assumptions!$B$12,MIN(CB187+$Q187*$V187,Assumptions!$B$14)*Assumptions!$B$13),0)</f>
        <v>0</v>
      </c>
      <c r="CF187" s="249">
        <f>IF(AND(CB187&gt;0,$M187="Non-Saudi"),Assumptions!$B$25,0)</f>
        <v>0</v>
      </c>
      <c r="CG187" s="249">
        <f t="shared" si="78"/>
        <v>0</v>
      </c>
      <c r="CH187" s="249">
        <f t="shared" si="79"/>
        <v>0</v>
      </c>
      <c r="CI187" s="249">
        <f>CD187-IF(AND(Z187&gt;0,$N187&lt;&gt;""),IF((DATE(Assumptions!$B$4-1,12,28)-$N187)/365.25&lt;=Assumptions!$B$20,(DATE(Assumptions!$B$4-1,12,28)-$N187)/365.25*Assumptions!$B$18*Z187,(Assumptions!$B$20*Assumptions!$B$18+((DATE(Assumptions!$B$4-1,12,28)-$N187)/365.25-Assumptions!$B$20)*Assumptions!$B$19)*Z187),0)</f>
        <v>0</v>
      </c>
      <c r="CJ187" s="249">
        <f t="shared" si="80"/>
        <v>0</v>
      </c>
      <c r="CK187" s="249">
        <f t="shared" si="81"/>
        <v>0</v>
      </c>
    </row>
    <row r="188" spans="1:89" s="292" customFormat="1" x14ac:dyDescent="0.2">
      <c r="A188" s="350">
        <v>184</v>
      </c>
      <c r="B188" s="351" t="s">
        <v>681</v>
      </c>
      <c r="C188" s="351" t="s">
        <v>682</v>
      </c>
      <c r="D188" s="351" t="s">
        <v>628</v>
      </c>
      <c r="E188" s="351" t="s">
        <v>792</v>
      </c>
      <c r="F188" s="351" t="s">
        <v>658</v>
      </c>
      <c r="G188" s="351" t="s">
        <v>303</v>
      </c>
      <c r="H188" s="351" t="s">
        <v>683</v>
      </c>
      <c r="I188" s="357" t="s">
        <v>691</v>
      </c>
      <c r="J188" s="351" t="s">
        <v>71</v>
      </c>
      <c r="K188" s="351" t="s">
        <v>254</v>
      </c>
      <c r="L188" s="351" t="s">
        <v>628</v>
      </c>
      <c r="M188" s="351" t="str">
        <f t="shared" si="77"/>
        <v/>
      </c>
      <c r="N188" s="353"/>
      <c r="O188" s="354"/>
      <c r="P188" s="355"/>
      <c r="Q188" s="355"/>
      <c r="R188" s="355"/>
      <c r="S188" s="355"/>
      <c r="T188" s="355"/>
      <c r="U188" s="355"/>
      <c r="V188" s="356"/>
      <c r="W188" s="351" t="s">
        <v>632</v>
      </c>
      <c r="X188" s="351" t="s">
        <v>632</v>
      </c>
      <c r="BD188" s="249">
        <f t="shared" si="66"/>
        <v>0</v>
      </c>
      <c r="BE188" s="249">
        <f>IF(AND(BD188&gt;0,$N188&lt;&gt;""),IF((DATE(Assumptions!$B$4,7,28)-$N188)/365.25&lt;=Assumptions!$B$20,(DATE(Assumptions!$B$4,7,28)-$N188)/365.25*Assumptions!$B$18*BD188,(Assumptions!$B$20*Assumptions!$B$18+((DATE(Assumptions!$B$4,7,28)-$N188)/365.25-Assumptions!$B$20)*Assumptions!$B$19)*BD188),0)</f>
        <v>0</v>
      </c>
      <c r="BF188" s="249">
        <f>IF(BC188&gt;0,IF($M188="Saudi",MIN(BC188+$Q188*$V188,Assumptions!$B$14)*Assumptions!$B$12,MIN(BC188+$Q188*$V188,Assumptions!$B$14)*Assumptions!$B$13),0)</f>
        <v>0</v>
      </c>
      <c r="BG188" s="249">
        <f>IF(AND(BC188&gt;0,$M188="Non-Saudi"),Assumptions!$B$25,0)</f>
        <v>0</v>
      </c>
      <c r="BH188" s="249">
        <f t="shared" si="67"/>
        <v>0</v>
      </c>
      <c r="BI188" s="249">
        <f t="shared" si="68"/>
        <v>0</v>
      </c>
      <c r="BJ188" s="249">
        <f>IF(AND(BI188&gt;0,$N188&lt;&gt;""),IF((DATE(Assumptions!$B$4,8,28)-$N188)/365.25&lt;=Assumptions!$B$20,(DATE(Assumptions!$B$4,8,28)-$N188)/365.25*Assumptions!$B$18*BI188,(Assumptions!$B$20*Assumptions!$B$18+((DATE(Assumptions!$B$4,8,28)-$N188)/365.25-Assumptions!$B$20)*Assumptions!$B$19)*BI188),0)</f>
        <v>0</v>
      </c>
      <c r="BK188" s="249">
        <f>IF(BH188&gt;0,IF($M188="Saudi",MIN(BH188+$Q188*$V188,Assumptions!$B$14)*Assumptions!$B$12,MIN(BH188+$Q188*$V188,Assumptions!$B$14)*Assumptions!$B$13),0)</f>
        <v>0</v>
      </c>
      <c r="BL188" s="249">
        <f>IF(AND(BH188&gt;0,$M188="Non-Saudi"),Assumptions!$B$25,0)</f>
        <v>0</v>
      </c>
      <c r="BM188" s="249">
        <f>IF(AND($D188="Contrat Local",$N188&lt;&gt;""),IF(AND(9&gt;=Assumptions!$B$5,ISNUMBER($X188),$N188&lt;EDATE(Assumptions!$B$9,-Assumptions!$B$6*12)),($P188+$X188)*$V188,$P188*$V188),0)</f>
        <v>0</v>
      </c>
      <c r="BN188" s="249">
        <f t="shared" si="69"/>
        <v>0</v>
      </c>
      <c r="BO188" s="249">
        <f>IF(AND(BN188&gt;0,$N188&lt;&gt;""),IF((DATE(Assumptions!$B$4,9,28)-$N188)/365.25&lt;=Assumptions!$B$20,(DATE(Assumptions!$B$4,9,28)-$N188)/365.25*Assumptions!$B$18*BN188,(Assumptions!$B$20*Assumptions!$B$18+((DATE(Assumptions!$B$4,9,28)-$N188)/365.25-Assumptions!$B$20)*Assumptions!$B$19)*BN188),0)</f>
        <v>0</v>
      </c>
      <c r="BP188" s="249">
        <f>IF(BM188&gt;0,IF($M188="Saudi",MIN(BM188+$Q188*$V188,Assumptions!$B$14)*Assumptions!$B$12,MIN(BM188+$Q188*$V188,Assumptions!$B$14)*Assumptions!$B$13),0)</f>
        <v>0</v>
      </c>
      <c r="BQ188" s="249">
        <f>IF(AND(BM188&gt;0,$M188="Non-Saudi"),Assumptions!$B$25,0)</f>
        <v>0</v>
      </c>
      <c r="BR188" s="249">
        <f>IF(AND($D188="Contrat Local",$N188&lt;&gt;""),IF(AND(10&gt;=Assumptions!$B$5,ISNUMBER($X188),$N188&lt;EDATE(Assumptions!$B$9,-Assumptions!$B$6*12)),($P188+$X188)*$V188,$P188*$V188),0)</f>
        <v>0</v>
      </c>
      <c r="BS188" s="249">
        <f t="shared" si="70"/>
        <v>0</v>
      </c>
      <c r="BT188" s="249">
        <f>IF(AND(BS188&gt;0,$N188&lt;&gt;""),IF((DATE(Assumptions!$B$4,10,28)-$N188)/365.25&lt;=Assumptions!$B$20,(DATE(Assumptions!$B$4,10,28)-$N188)/365.25*Assumptions!$B$18*BS188,(Assumptions!$B$20*Assumptions!$B$18+((DATE(Assumptions!$B$4,10,28)-$N188)/365.25-Assumptions!$B$20)*Assumptions!$B$19)*BS188),0)</f>
        <v>0</v>
      </c>
      <c r="BU188" s="249">
        <f>IF(BR188&gt;0,IF($M188="Saudi",MIN(BR188+$Q188*$V188,Assumptions!$B$14)*Assumptions!$B$12,MIN(BR188+$Q188*$V188,Assumptions!$B$14)*Assumptions!$B$13),0)</f>
        <v>0</v>
      </c>
      <c r="BV188" s="249">
        <f>IF(AND(BR188&gt;0,$M188="Non-Saudi"),Assumptions!$B$25,0)</f>
        <v>0</v>
      </c>
      <c r="BW188" s="249">
        <f>IF(AND($D188="Contrat Local",$N188&lt;&gt;""),IF(AND(11&gt;=Assumptions!$B$5,ISNUMBER($X188),$N188&lt;EDATE(Assumptions!$B$9,-Assumptions!$B$6*12)),($P188+$X188)*$V188,$P188*$V188),0)</f>
        <v>0</v>
      </c>
      <c r="BX188" s="249">
        <f t="shared" si="71"/>
        <v>0</v>
      </c>
      <c r="BY188" s="249">
        <f>IF(AND(BX188&gt;0,$N188&lt;&gt;""),IF((DATE(Assumptions!$B$4,11,28)-$N188)/365.25&lt;=Assumptions!$B$20,(DATE(Assumptions!$B$4,11,28)-$N188)/365.25*Assumptions!$B$18*BX188,(Assumptions!$B$20*Assumptions!$B$18+((DATE(Assumptions!$B$4,11,28)-$N188)/365.25-Assumptions!$B$20)*Assumptions!$B$19)*BX188),0)</f>
        <v>0</v>
      </c>
      <c r="BZ188" s="249">
        <f>IF(BW188&gt;0,IF($M188="Saudi",MIN(BW188+$Q188*$V188,Assumptions!$B$14)*Assumptions!$B$12,MIN(BW188+$Q188*$V188,Assumptions!$B$14)*Assumptions!$B$13),0)</f>
        <v>0</v>
      </c>
      <c r="CA188" s="249">
        <f>IF(AND(BW188&gt;0,$M188="Non-Saudi"),Assumptions!$B$25,0)</f>
        <v>0</v>
      </c>
      <c r="CB188" s="249">
        <f>IF(AND($D188="Contrat Local",$N188&lt;&gt;""),IF(AND(12&gt;=Assumptions!$B$5,ISNUMBER($X188),$N188&lt;EDATE(Assumptions!$B$9,-Assumptions!$B$6*12)),($P188+$X188)*$V188,$P188*$V188),0)</f>
        <v>0</v>
      </c>
      <c r="CC188" s="249">
        <f t="shared" si="72"/>
        <v>0</v>
      </c>
      <c r="CD188" s="249">
        <f>IF(AND(CC188&gt;0,$N188&lt;&gt;""),IF((DATE(Assumptions!$B$4,12,28)-$N188)/365.25&lt;=Assumptions!$B$20,(DATE(Assumptions!$B$4,12,28)-$N188)/365.25*Assumptions!$B$18*CC188,(Assumptions!$B$20*Assumptions!$B$18+((DATE(Assumptions!$B$4,12,28)-$N188)/365.25-Assumptions!$B$20)*Assumptions!$B$19)*CC188),0)</f>
        <v>0</v>
      </c>
      <c r="CE188" s="249">
        <f>IF(CB188&gt;0,IF($M188="Saudi",MIN(CB188+$Q188*$V188,Assumptions!$B$14)*Assumptions!$B$12,MIN(CB188+$Q188*$V188,Assumptions!$B$14)*Assumptions!$B$13),0)</f>
        <v>0</v>
      </c>
      <c r="CF188" s="249">
        <f>IF(AND(CB188&gt;0,$M188="Non-Saudi"),Assumptions!$B$25,0)</f>
        <v>0</v>
      </c>
      <c r="CG188" s="249">
        <f t="shared" si="78"/>
        <v>0</v>
      </c>
      <c r="CH188" s="249">
        <f t="shared" si="79"/>
        <v>0</v>
      </c>
      <c r="CI188" s="249">
        <f>CD188-IF(AND(Z188&gt;0,$N188&lt;&gt;""),IF((DATE(Assumptions!$B$4-1,12,28)-$N188)/365.25&lt;=Assumptions!$B$20,(DATE(Assumptions!$B$4-1,12,28)-$N188)/365.25*Assumptions!$B$18*Z188,(Assumptions!$B$20*Assumptions!$B$18+((DATE(Assumptions!$B$4-1,12,28)-$N188)/365.25-Assumptions!$B$20)*Assumptions!$B$19)*Z188),0)</f>
        <v>0</v>
      </c>
      <c r="CJ188" s="249">
        <f t="shared" si="80"/>
        <v>0</v>
      </c>
      <c r="CK188" s="249">
        <f t="shared" si="81"/>
        <v>0</v>
      </c>
    </row>
    <row r="189" spans="1:89" s="292" customFormat="1" x14ac:dyDescent="0.2">
      <c r="A189" s="358">
        <v>185</v>
      </c>
      <c r="B189" s="359" t="s">
        <v>684</v>
      </c>
      <c r="C189" s="359" t="s">
        <v>657</v>
      </c>
      <c r="D189" s="359" t="s">
        <v>628</v>
      </c>
      <c r="E189" s="359" t="s">
        <v>792</v>
      </c>
      <c r="F189" s="359" t="s">
        <v>658</v>
      </c>
      <c r="G189" s="359" t="s">
        <v>303</v>
      </c>
      <c r="H189" s="359" t="s">
        <v>585</v>
      </c>
      <c r="I189" s="360" t="s">
        <v>691</v>
      </c>
      <c r="J189" s="359" t="s">
        <v>79</v>
      </c>
      <c r="K189" s="359" t="s">
        <v>254</v>
      </c>
      <c r="L189" s="359" t="s">
        <v>628</v>
      </c>
      <c r="M189" s="359" t="str">
        <f t="shared" si="77"/>
        <v/>
      </c>
      <c r="N189" s="361"/>
      <c r="O189" s="362"/>
      <c r="P189" s="363"/>
      <c r="Q189" s="363"/>
      <c r="R189" s="363"/>
      <c r="S189" s="363"/>
      <c r="T189" s="363"/>
      <c r="U189" s="363"/>
      <c r="V189" s="364"/>
      <c r="W189" s="359" t="s">
        <v>632</v>
      </c>
      <c r="X189" s="359" t="s">
        <v>632</v>
      </c>
      <c r="BD189" s="249">
        <f t="shared" si="66"/>
        <v>0</v>
      </c>
      <c r="BE189" s="249">
        <f>IF(AND(BD189&gt;0,$N189&lt;&gt;""),IF((DATE(Assumptions!$B$4,7,28)-$N189)/365.25&lt;=Assumptions!$B$20,(DATE(Assumptions!$B$4,7,28)-$N189)/365.25*Assumptions!$B$18*BD189,(Assumptions!$B$20*Assumptions!$B$18+((DATE(Assumptions!$B$4,7,28)-$N189)/365.25-Assumptions!$B$20)*Assumptions!$B$19)*BD189),0)</f>
        <v>0</v>
      </c>
      <c r="BF189" s="249">
        <f>IF(BC189&gt;0,IF($M189="Saudi",MIN(BC189+$Q189*$V189,Assumptions!$B$14)*Assumptions!$B$12,MIN(BC189+$Q189*$V189,Assumptions!$B$14)*Assumptions!$B$13),0)</f>
        <v>0</v>
      </c>
      <c r="BG189" s="249">
        <f>IF(AND(BC189&gt;0,$M189="Non-Saudi"),Assumptions!$B$25,0)</f>
        <v>0</v>
      </c>
      <c r="BH189" s="249">
        <f t="shared" si="67"/>
        <v>0</v>
      </c>
      <c r="BI189" s="249">
        <f t="shared" si="68"/>
        <v>0</v>
      </c>
      <c r="BJ189" s="249">
        <f>IF(AND(BI189&gt;0,$N189&lt;&gt;""),IF((DATE(Assumptions!$B$4,8,28)-$N189)/365.25&lt;=Assumptions!$B$20,(DATE(Assumptions!$B$4,8,28)-$N189)/365.25*Assumptions!$B$18*BI189,(Assumptions!$B$20*Assumptions!$B$18+((DATE(Assumptions!$B$4,8,28)-$N189)/365.25-Assumptions!$B$20)*Assumptions!$B$19)*BI189),0)</f>
        <v>0</v>
      </c>
      <c r="BK189" s="249">
        <f>IF(BH189&gt;0,IF($M189="Saudi",MIN(BH189+$Q189*$V189,Assumptions!$B$14)*Assumptions!$B$12,MIN(BH189+$Q189*$V189,Assumptions!$B$14)*Assumptions!$B$13),0)</f>
        <v>0</v>
      </c>
      <c r="BL189" s="249">
        <f>IF(AND(BH189&gt;0,$M189="Non-Saudi"),Assumptions!$B$25,0)</f>
        <v>0</v>
      </c>
      <c r="BM189" s="249">
        <f>IF(AND($D189="Contrat Local",$N189&lt;&gt;""),IF(AND(9&gt;=Assumptions!$B$5,ISNUMBER($X189),$N189&lt;EDATE(Assumptions!$B$9,-Assumptions!$B$6*12)),($P189+$X189)*$V189,$P189*$V189),0)</f>
        <v>0</v>
      </c>
      <c r="BN189" s="249">
        <f t="shared" si="69"/>
        <v>0</v>
      </c>
      <c r="BO189" s="249">
        <f>IF(AND(BN189&gt;0,$N189&lt;&gt;""),IF((DATE(Assumptions!$B$4,9,28)-$N189)/365.25&lt;=Assumptions!$B$20,(DATE(Assumptions!$B$4,9,28)-$N189)/365.25*Assumptions!$B$18*BN189,(Assumptions!$B$20*Assumptions!$B$18+((DATE(Assumptions!$B$4,9,28)-$N189)/365.25-Assumptions!$B$20)*Assumptions!$B$19)*BN189),0)</f>
        <v>0</v>
      </c>
      <c r="BP189" s="249">
        <f>IF(BM189&gt;0,IF($M189="Saudi",MIN(BM189+$Q189*$V189,Assumptions!$B$14)*Assumptions!$B$12,MIN(BM189+$Q189*$V189,Assumptions!$B$14)*Assumptions!$B$13),0)</f>
        <v>0</v>
      </c>
      <c r="BQ189" s="249">
        <f>IF(AND(BM189&gt;0,$M189="Non-Saudi"),Assumptions!$B$25,0)</f>
        <v>0</v>
      </c>
      <c r="BR189" s="249">
        <f>IF(AND($D189="Contrat Local",$N189&lt;&gt;""),IF(AND(10&gt;=Assumptions!$B$5,ISNUMBER($X189),$N189&lt;EDATE(Assumptions!$B$9,-Assumptions!$B$6*12)),($P189+$X189)*$V189,$P189*$V189),0)</f>
        <v>0</v>
      </c>
      <c r="BS189" s="249">
        <f t="shared" si="70"/>
        <v>0</v>
      </c>
      <c r="BT189" s="249">
        <f>IF(AND(BS189&gt;0,$N189&lt;&gt;""),IF((DATE(Assumptions!$B$4,10,28)-$N189)/365.25&lt;=Assumptions!$B$20,(DATE(Assumptions!$B$4,10,28)-$N189)/365.25*Assumptions!$B$18*BS189,(Assumptions!$B$20*Assumptions!$B$18+((DATE(Assumptions!$B$4,10,28)-$N189)/365.25-Assumptions!$B$20)*Assumptions!$B$19)*BS189),0)</f>
        <v>0</v>
      </c>
      <c r="BU189" s="249">
        <f>IF(BR189&gt;0,IF($M189="Saudi",MIN(BR189+$Q189*$V189,Assumptions!$B$14)*Assumptions!$B$12,MIN(BR189+$Q189*$V189,Assumptions!$B$14)*Assumptions!$B$13),0)</f>
        <v>0</v>
      </c>
      <c r="BV189" s="249">
        <f>IF(AND(BR189&gt;0,$M189="Non-Saudi"),Assumptions!$B$25,0)</f>
        <v>0</v>
      </c>
      <c r="BW189" s="249">
        <f>IF(AND($D189="Contrat Local",$N189&lt;&gt;""),IF(AND(11&gt;=Assumptions!$B$5,ISNUMBER($X189),$N189&lt;EDATE(Assumptions!$B$9,-Assumptions!$B$6*12)),($P189+$X189)*$V189,$P189*$V189),0)</f>
        <v>0</v>
      </c>
      <c r="BX189" s="249">
        <f t="shared" si="71"/>
        <v>0</v>
      </c>
      <c r="BY189" s="249">
        <f>IF(AND(BX189&gt;0,$N189&lt;&gt;""),IF((DATE(Assumptions!$B$4,11,28)-$N189)/365.25&lt;=Assumptions!$B$20,(DATE(Assumptions!$B$4,11,28)-$N189)/365.25*Assumptions!$B$18*BX189,(Assumptions!$B$20*Assumptions!$B$18+((DATE(Assumptions!$B$4,11,28)-$N189)/365.25-Assumptions!$B$20)*Assumptions!$B$19)*BX189),0)</f>
        <v>0</v>
      </c>
      <c r="BZ189" s="249">
        <f>IF(BW189&gt;0,IF($M189="Saudi",MIN(BW189+$Q189*$V189,Assumptions!$B$14)*Assumptions!$B$12,MIN(BW189+$Q189*$V189,Assumptions!$B$14)*Assumptions!$B$13),0)</f>
        <v>0</v>
      </c>
      <c r="CA189" s="249">
        <f>IF(AND(BW189&gt;0,$M189="Non-Saudi"),Assumptions!$B$25,0)</f>
        <v>0</v>
      </c>
      <c r="CB189" s="249">
        <f>IF(AND($D189="Contrat Local",$N189&lt;&gt;""),IF(AND(12&gt;=Assumptions!$B$5,ISNUMBER($X189),$N189&lt;EDATE(Assumptions!$B$9,-Assumptions!$B$6*12)),($P189+$X189)*$V189,$P189*$V189),0)</f>
        <v>0</v>
      </c>
      <c r="CC189" s="249">
        <f t="shared" si="72"/>
        <v>0</v>
      </c>
      <c r="CD189" s="249">
        <f>IF(AND(CC189&gt;0,$N189&lt;&gt;""),IF((DATE(Assumptions!$B$4,12,28)-$N189)/365.25&lt;=Assumptions!$B$20,(DATE(Assumptions!$B$4,12,28)-$N189)/365.25*Assumptions!$B$18*CC189,(Assumptions!$B$20*Assumptions!$B$18+((DATE(Assumptions!$B$4,12,28)-$N189)/365.25-Assumptions!$B$20)*Assumptions!$B$19)*CC189),0)</f>
        <v>0</v>
      </c>
      <c r="CE189" s="249">
        <f>IF(CB189&gt;0,IF($M189="Saudi",MIN(CB189+$Q189*$V189,Assumptions!$B$14)*Assumptions!$B$12,MIN(CB189+$Q189*$V189,Assumptions!$B$14)*Assumptions!$B$13),0)</f>
        <v>0</v>
      </c>
      <c r="CF189" s="249">
        <f>IF(AND(CB189&gt;0,$M189="Non-Saudi"),Assumptions!$B$25,0)</f>
        <v>0</v>
      </c>
      <c r="CG189" s="249">
        <f t="shared" si="78"/>
        <v>0</v>
      </c>
      <c r="CH189" s="249">
        <f t="shared" si="79"/>
        <v>0</v>
      </c>
      <c r="CI189" s="249">
        <f>CD189-IF(AND(Z189&gt;0,$N189&lt;&gt;""),IF((DATE(Assumptions!$B$4-1,12,28)-$N189)/365.25&lt;=Assumptions!$B$20,(DATE(Assumptions!$B$4-1,12,28)-$N189)/365.25*Assumptions!$B$18*Z189,(Assumptions!$B$20*Assumptions!$B$18+((DATE(Assumptions!$B$4-1,12,28)-$N189)/365.25-Assumptions!$B$20)*Assumptions!$B$19)*Z189),0)</f>
        <v>0</v>
      </c>
      <c r="CJ189" s="249">
        <f t="shared" si="80"/>
        <v>0</v>
      </c>
      <c r="CK189" s="249">
        <f t="shared" si="81"/>
        <v>0</v>
      </c>
    </row>
    <row r="190" spans="1:89" s="292" customFormat="1" ht="17" thickBot="1" x14ac:dyDescent="0.25">
      <c r="A190" s="295">
        <v>186</v>
      </c>
      <c r="B190" s="296" t="s">
        <v>613</v>
      </c>
      <c r="C190" s="296" t="s">
        <v>685</v>
      </c>
      <c r="D190" s="296" t="s">
        <v>628</v>
      </c>
      <c r="E190" s="296" t="s">
        <v>792</v>
      </c>
      <c r="F190" s="296" t="s">
        <v>658</v>
      </c>
      <c r="G190" s="296" t="s">
        <v>303</v>
      </c>
      <c r="H190" s="296" t="s">
        <v>686</v>
      </c>
      <c r="I190" s="297" t="s">
        <v>691</v>
      </c>
      <c r="J190" s="296" t="s">
        <v>79</v>
      </c>
      <c r="K190" s="296" t="s">
        <v>254</v>
      </c>
      <c r="L190" s="296" t="s">
        <v>628</v>
      </c>
      <c r="M190" s="296" t="str">
        <f t="shared" si="77"/>
        <v/>
      </c>
      <c r="N190" s="296"/>
      <c r="O190" s="296"/>
      <c r="P190" s="296"/>
      <c r="Q190" s="296"/>
      <c r="R190" s="296"/>
      <c r="S190" s="296"/>
      <c r="T190" s="296"/>
      <c r="U190" s="296"/>
      <c r="V190" s="296"/>
      <c r="W190" s="296" t="s">
        <v>632</v>
      </c>
      <c r="X190" s="296" t="s">
        <v>632</v>
      </c>
      <c r="BD190" s="249">
        <f t="shared" si="66"/>
        <v>0</v>
      </c>
      <c r="BE190" s="249">
        <f>IF(AND(BD190&gt;0,$N190&lt;&gt;""),IF((DATE(Assumptions!$B$4,7,28)-$N190)/365.25&lt;=Assumptions!$B$20,(DATE(Assumptions!$B$4,7,28)-$N190)/365.25*Assumptions!$B$18*BD190,(Assumptions!$B$20*Assumptions!$B$18+((DATE(Assumptions!$B$4,7,28)-$N190)/365.25-Assumptions!$B$20)*Assumptions!$B$19)*BD190),0)</f>
        <v>0</v>
      </c>
      <c r="BF190" s="249">
        <f>IF(BC190&gt;0,IF($M190="Saudi",MIN(BC190+$Q190*$V190,Assumptions!$B$14)*Assumptions!$B$12,MIN(BC190+$Q190*$V190,Assumptions!$B$14)*Assumptions!$B$13),0)</f>
        <v>0</v>
      </c>
      <c r="BG190" s="249">
        <f>IF(AND(BC190&gt;0,$M190="Non-Saudi"),Assumptions!$B$25,0)</f>
        <v>0</v>
      </c>
      <c r="BH190" s="249">
        <f t="shared" si="67"/>
        <v>0</v>
      </c>
      <c r="BI190" s="249">
        <f t="shared" si="68"/>
        <v>0</v>
      </c>
      <c r="BJ190" s="249">
        <f>IF(AND(BI190&gt;0,$N190&lt;&gt;""),IF((DATE(Assumptions!$B$4,8,28)-$N190)/365.25&lt;=Assumptions!$B$20,(DATE(Assumptions!$B$4,8,28)-$N190)/365.25*Assumptions!$B$18*BI190,(Assumptions!$B$20*Assumptions!$B$18+((DATE(Assumptions!$B$4,8,28)-$N190)/365.25-Assumptions!$B$20)*Assumptions!$B$19)*BI190),0)</f>
        <v>0</v>
      </c>
      <c r="BK190" s="249">
        <f>IF(BH190&gt;0,IF($M190="Saudi",MIN(BH190+$Q190*$V190,Assumptions!$B$14)*Assumptions!$B$12,MIN(BH190+$Q190*$V190,Assumptions!$B$14)*Assumptions!$B$13),0)</f>
        <v>0</v>
      </c>
      <c r="BL190" s="249">
        <f>IF(AND(BH190&gt;0,$M190="Non-Saudi"),Assumptions!$B$25,0)</f>
        <v>0</v>
      </c>
      <c r="BM190" s="249">
        <f>IF(AND($D190="Contrat Local",$N190&lt;&gt;""),IF(AND(9&gt;=Assumptions!$B$5,ISNUMBER($X190),$N190&lt;EDATE(Assumptions!$B$9,-Assumptions!$B$6*12)),($P190+$X190)*$V190,$P190*$V190),0)</f>
        <v>0</v>
      </c>
      <c r="BN190" s="249">
        <f t="shared" si="69"/>
        <v>0</v>
      </c>
      <c r="BO190" s="249">
        <f>IF(AND(BN190&gt;0,$N190&lt;&gt;""),IF((DATE(Assumptions!$B$4,9,28)-$N190)/365.25&lt;=Assumptions!$B$20,(DATE(Assumptions!$B$4,9,28)-$N190)/365.25*Assumptions!$B$18*BN190,(Assumptions!$B$20*Assumptions!$B$18+((DATE(Assumptions!$B$4,9,28)-$N190)/365.25-Assumptions!$B$20)*Assumptions!$B$19)*BN190),0)</f>
        <v>0</v>
      </c>
      <c r="BP190" s="249">
        <f>IF(BM190&gt;0,IF($M190="Saudi",MIN(BM190+$Q190*$V190,Assumptions!$B$14)*Assumptions!$B$12,MIN(BM190+$Q190*$V190,Assumptions!$B$14)*Assumptions!$B$13),0)</f>
        <v>0</v>
      </c>
      <c r="BQ190" s="249">
        <f>IF(AND(BM190&gt;0,$M190="Non-Saudi"),Assumptions!$B$25,0)</f>
        <v>0</v>
      </c>
      <c r="BR190" s="249">
        <f>IF(AND($D190="Contrat Local",$N190&lt;&gt;""),IF(AND(10&gt;=Assumptions!$B$5,ISNUMBER($X190),$N190&lt;EDATE(Assumptions!$B$9,-Assumptions!$B$6*12)),($P190+$X190)*$V190,$P190*$V190),0)</f>
        <v>0</v>
      </c>
      <c r="BS190" s="249">
        <f t="shared" si="70"/>
        <v>0</v>
      </c>
      <c r="BT190" s="249">
        <f>IF(AND(BS190&gt;0,$N190&lt;&gt;""),IF((DATE(Assumptions!$B$4,10,28)-$N190)/365.25&lt;=Assumptions!$B$20,(DATE(Assumptions!$B$4,10,28)-$N190)/365.25*Assumptions!$B$18*BS190,(Assumptions!$B$20*Assumptions!$B$18+((DATE(Assumptions!$B$4,10,28)-$N190)/365.25-Assumptions!$B$20)*Assumptions!$B$19)*BS190),0)</f>
        <v>0</v>
      </c>
      <c r="BU190" s="249">
        <f>IF(BR190&gt;0,IF($M190="Saudi",MIN(BR190+$Q190*$V190,Assumptions!$B$14)*Assumptions!$B$12,MIN(BR190+$Q190*$V190,Assumptions!$B$14)*Assumptions!$B$13),0)</f>
        <v>0</v>
      </c>
      <c r="BV190" s="249">
        <f>IF(AND(BR190&gt;0,$M190="Non-Saudi"),Assumptions!$B$25,0)</f>
        <v>0</v>
      </c>
      <c r="BW190" s="249">
        <f>IF(AND($D190="Contrat Local",$N190&lt;&gt;""),IF(AND(11&gt;=Assumptions!$B$5,ISNUMBER($X190),$N190&lt;EDATE(Assumptions!$B$9,-Assumptions!$B$6*12)),($P190+$X190)*$V190,$P190*$V190),0)</f>
        <v>0</v>
      </c>
      <c r="BX190" s="249">
        <f t="shared" si="71"/>
        <v>0</v>
      </c>
      <c r="BY190" s="249">
        <f>IF(AND(BX190&gt;0,$N190&lt;&gt;""),IF((DATE(Assumptions!$B$4,11,28)-$N190)/365.25&lt;=Assumptions!$B$20,(DATE(Assumptions!$B$4,11,28)-$N190)/365.25*Assumptions!$B$18*BX190,(Assumptions!$B$20*Assumptions!$B$18+((DATE(Assumptions!$B$4,11,28)-$N190)/365.25-Assumptions!$B$20)*Assumptions!$B$19)*BX190),0)</f>
        <v>0</v>
      </c>
      <c r="BZ190" s="249">
        <f>IF(BW190&gt;0,IF($M190="Saudi",MIN(BW190+$Q190*$V190,Assumptions!$B$14)*Assumptions!$B$12,MIN(BW190+$Q190*$V190,Assumptions!$B$14)*Assumptions!$B$13),0)</f>
        <v>0</v>
      </c>
      <c r="CA190" s="249">
        <f>IF(AND(BW190&gt;0,$M190="Non-Saudi"),Assumptions!$B$25,0)</f>
        <v>0</v>
      </c>
      <c r="CB190" s="249">
        <f>IF(AND($D190="Contrat Local",$N190&lt;&gt;""),IF(AND(12&gt;=Assumptions!$B$5,ISNUMBER($X190),$N190&lt;EDATE(Assumptions!$B$9,-Assumptions!$B$6*12)),($P190+$X190)*$V190,$P190*$V190),0)</f>
        <v>0</v>
      </c>
      <c r="CC190" s="249">
        <f t="shared" si="72"/>
        <v>0</v>
      </c>
      <c r="CD190" s="249">
        <f>IF(AND(CC190&gt;0,$N190&lt;&gt;""),IF((DATE(Assumptions!$B$4,12,28)-$N190)/365.25&lt;=Assumptions!$B$20,(DATE(Assumptions!$B$4,12,28)-$N190)/365.25*Assumptions!$B$18*CC190,(Assumptions!$B$20*Assumptions!$B$18+((DATE(Assumptions!$B$4,12,28)-$N190)/365.25-Assumptions!$B$20)*Assumptions!$B$19)*CC190),0)</f>
        <v>0</v>
      </c>
      <c r="CE190" s="249">
        <f>IF(CB190&gt;0,IF($M190="Saudi",MIN(CB190+$Q190*$V190,Assumptions!$B$14)*Assumptions!$B$12,MIN(CB190+$Q190*$V190,Assumptions!$B$14)*Assumptions!$B$13),0)</f>
        <v>0</v>
      </c>
      <c r="CF190" s="249">
        <f>IF(AND(CB190&gt;0,$M190="Non-Saudi"),Assumptions!$B$25,0)</f>
        <v>0</v>
      </c>
      <c r="CG190" s="249">
        <f t="shared" si="78"/>
        <v>0</v>
      </c>
      <c r="CH190" s="249">
        <f t="shared" si="79"/>
        <v>0</v>
      </c>
      <c r="CI190" s="249">
        <f>CD190-IF(AND(Z190&gt;0,$N190&lt;&gt;""),IF((DATE(Assumptions!$B$4-1,12,28)-$N190)/365.25&lt;=Assumptions!$B$20,(DATE(Assumptions!$B$4-1,12,28)-$N190)/365.25*Assumptions!$B$18*Z190,(Assumptions!$B$20*Assumptions!$B$18+((DATE(Assumptions!$B$4-1,12,28)-$N190)/365.25-Assumptions!$B$20)*Assumptions!$B$19)*Z190),0)</f>
        <v>0</v>
      </c>
      <c r="CJ190" s="249">
        <f t="shared" si="80"/>
        <v>0</v>
      </c>
      <c r="CK190" s="249">
        <f t="shared" si="81"/>
        <v>0</v>
      </c>
    </row>
    <row r="191" spans="1:89" x14ac:dyDescent="0.2">
      <c r="M191" t="str">
        <f t="shared" si="77"/>
        <v>Non-Saudi</v>
      </c>
      <c r="Y191" s="381">
        <f t="shared" ref="Y191:BD191" si="82">SUM(Y5:Y164)</f>
        <v>1386221.254265571</v>
      </c>
      <c r="Z191" s="300">
        <f t="shared" si="82"/>
        <v>1901468.0523014762</v>
      </c>
      <c r="AA191" s="300">
        <f t="shared" si="82"/>
        <v>8522926.2616592068</v>
      </c>
      <c r="AB191" s="300">
        <f t="shared" si="82"/>
        <v>1733.125</v>
      </c>
      <c r="AC191" s="300">
        <f t="shared" si="82"/>
        <v>137472.91666666686</v>
      </c>
      <c r="AD191" s="300">
        <f t="shared" si="82"/>
        <v>1386221.254265571</v>
      </c>
      <c r="AE191" s="300">
        <f t="shared" si="82"/>
        <v>1901468.0523014762</v>
      </c>
      <c r="AF191" s="300">
        <f t="shared" si="82"/>
        <v>8632715.2665823363</v>
      </c>
      <c r="AG191" s="300">
        <f t="shared" si="82"/>
        <v>1733.125</v>
      </c>
      <c r="AH191" s="300">
        <f t="shared" si="82"/>
        <v>137472.91666666686</v>
      </c>
      <c r="AI191" s="300">
        <f t="shared" si="82"/>
        <v>1386221.254265571</v>
      </c>
      <c r="AJ191" s="300">
        <f t="shared" si="82"/>
        <v>1901468.0523014762</v>
      </c>
      <c r="AK191" s="300">
        <f t="shared" si="82"/>
        <v>8731879.5290935487</v>
      </c>
      <c r="AL191" s="300">
        <f t="shared" si="82"/>
        <v>1733.125</v>
      </c>
      <c r="AM191" s="300">
        <f t="shared" si="82"/>
        <v>137472.91666666686</v>
      </c>
      <c r="AN191" s="300">
        <f t="shared" si="82"/>
        <v>1386221.254265571</v>
      </c>
      <c r="AO191" s="300">
        <f t="shared" si="82"/>
        <v>1901468.0523014762</v>
      </c>
      <c r="AP191" s="300">
        <f t="shared" si="82"/>
        <v>8841668.5340166725</v>
      </c>
      <c r="AQ191" s="300">
        <f t="shared" si="82"/>
        <v>1733.125</v>
      </c>
      <c r="AR191" s="300">
        <f t="shared" si="82"/>
        <v>137472.91666666686</v>
      </c>
      <c r="AS191" s="300">
        <f t="shared" si="82"/>
        <v>1386221.254265571</v>
      </c>
      <c r="AT191" s="300">
        <f t="shared" si="82"/>
        <v>1901468.0523014762</v>
      </c>
      <c r="AU191" s="300">
        <f t="shared" si="82"/>
        <v>8947915.9581358358</v>
      </c>
      <c r="AV191" s="300">
        <f t="shared" si="82"/>
        <v>1733.125</v>
      </c>
      <c r="AW191" s="300">
        <f t="shared" si="82"/>
        <v>137472.91666666686</v>
      </c>
      <c r="AX191" s="300">
        <f t="shared" si="82"/>
        <v>1386221.254265571</v>
      </c>
      <c r="AY191" s="300">
        <f t="shared" si="82"/>
        <v>1901468.0523014762</v>
      </c>
      <c r="AZ191" s="300">
        <f t="shared" si="82"/>
        <v>9057704.9630589597</v>
      </c>
      <c r="BA191" s="300">
        <f t="shared" si="82"/>
        <v>1733.125</v>
      </c>
      <c r="BB191" s="300">
        <f t="shared" si="82"/>
        <v>137472.91666666686</v>
      </c>
      <c r="BC191" s="300">
        <f t="shared" si="82"/>
        <v>1386221.254265571</v>
      </c>
      <c r="BD191" s="300">
        <f t="shared" si="82"/>
        <v>1901468.0523014762</v>
      </c>
      <c r="BE191" s="300">
        <f t="shared" ref="BE191:CK191" si="83">SUM(BE5:BE164)</f>
        <v>9163952.3871781155</v>
      </c>
      <c r="BF191" s="300">
        <f t="shared" si="83"/>
        <v>1733.125</v>
      </c>
      <c r="BG191" s="300">
        <f t="shared" si="83"/>
        <v>137472.91666666686</v>
      </c>
      <c r="BH191" s="300">
        <f t="shared" si="83"/>
        <v>1386221.254265571</v>
      </c>
      <c r="BI191" s="300">
        <f t="shared" si="83"/>
        <v>1901468.0523014762</v>
      </c>
      <c r="BJ191" s="300">
        <f t="shared" si="83"/>
        <v>9273741.3921012506</v>
      </c>
      <c r="BK191" s="300">
        <f t="shared" si="83"/>
        <v>1733.125</v>
      </c>
      <c r="BL191" s="300">
        <f t="shared" si="83"/>
        <v>137472.91666666686</v>
      </c>
      <c r="BM191" s="300">
        <f t="shared" si="83"/>
        <v>1415570.5598211267</v>
      </c>
      <c r="BN191" s="300">
        <f t="shared" si="83"/>
        <v>1930817.3578570317</v>
      </c>
      <c r="BO191" s="300">
        <f t="shared" si="83"/>
        <v>9542682.6537073981</v>
      </c>
      <c r="BP191" s="300">
        <f t="shared" si="83"/>
        <v>1762.5</v>
      </c>
      <c r="BQ191" s="300">
        <f t="shared" si="83"/>
        <v>137472.91666666686</v>
      </c>
      <c r="BR191" s="300">
        <f t="shared" si="83"/>
        <v>1415570.5598211267</v>
      </c>
      <c r="BS191" s="300">
        <f t="shared" si="83"/>
        <v>1930817.3578570317</v>
      </c>
      <c r="BT191" s="300">
        <f t="shared" si="83"/>
        <v>9660852.5396107137</v>
      </c>
      <c r="BU191" s="300">
        <f t="shared" si="83"/>
        <v>1762.5</v>
      </c>
      <c r="BV191" s="300">
        <f t="shared" si="83"/>
        <v>137472.91666666686</v>
      </c>
      <c r="BW191" s="300">
        <f t="shared" si="83"/>
        <v>1415570.5598211267</v>
      </c>
      <c r="BX191" s="300">
        <f t="shared" si="83"/>
        <v>1930817.3578570317</v>
      </c>
      <c r="BY191" s="300">
        <f t="shared" si="83"/>
        <v>9782961.4217108171</v>
      </c>
      <c r="BZ191" s="300">
        <f t="shared" si="83"/>
        <v>1762.5</v>
      </c>
      <c r="CA191" s="300">
        <f t="shared" si="83"/>
        <v>137472.91666666686</v>
      </c>
      <c r="CB191" s="300">
        <f t="shared" si="83"/>
        <v>1415570.5598211267</v>
      </c>
      <c r="CC191" s="300">
        <f t="shared" si="83"/>
        <v>1930817.3578570317</v>
      </c>
      <c r="CD191" s="300">
        <f t="shared" si="83"/>
        <v>9901131.3076141383</v>
      </c>
      <c r="CE191" s="300">
        <f t="shared" si="83"/>
        <v>1762.5</v>
      </c>
      <c r="CF191" s="300">
        <f t="shared" si="83"/>
        <v>137472.91666666686</v>
      </c>
      <c r="CG191" s="300">
        <f t="shared" si="83"/>
        <v>16752052.273409078</v>
      </c>
      <c r="CH191" s="300">
        <f t="shared" si="83"/>
        <v>22935013.849839933</v>
      </c>
      <c r="CI191" s="300">
        <f t="shared" si="83"/>
        <v>1487994.0508780668</v>
      </c>
      <c r="CJ191" s="300">
        <f t="shared" si="83"/>
        <v>20915</v>
      </c>
      <c r="CK191" s="300">
        <f t="shared" si="83"/>
        <v>1649674.9999999998</v>
      </c>
    </row>
    <row r="192" spans="1:89" ht="17" thickBot="1" x14ac:dyDescent="0.25">
      <c r="A192" s="291" t="s">
        <v>687</v>
      </c>
    </row>
    <row r="193" spans="1:3" x14ac:dyDescent="0.2">
      <c r="A193" s="293" t="s">
        <v>94</v>
      </c>
      <c r="C193" s="22" t="s">
        <v>692</v>
      </c>
    </row>
    <row r="194" spans="1:3" x14ac:dyDescent="0.2">
      <c r="A194" s="293" t="s">
        <v>693</v>
      </c>
      <c r="C194" s="294">
        <f>COUNTIF(L5:L190,"&lt;&gt;DEPARTED")</f>
        <v>186</v>
      </c>
    </row>
  </sheetData>
  <autoFilter ref="A4:Y194" xr:uid="{EE8DA9FE-796C-444A-9862-E78DDAC054C8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A61D-3960-0E4E-9B93-A4E2317DD16F}">
  <dimension ref="A1:Q57"/>
  <sheetViews>
    <sheetView showGridLines="0" tabSelected="1" workbookViewId="0">
      <selection activeCell="S29" sqref="S29"/>
    </sheetView>
  </sheetViews>
  <sheetFormatPr baseColWidth="10" defaultRowHeight="16" x14ac:dyDescent="0.2"/>
  <cols>
    <col min="1" max="1" width="46.6640625" customWidth="1"/>
    <col min="2" max="17" width="15.83203125" customWidth="1"/>
  </cols>
  <sheetData>
    <row r="1" spans="1:17" ht="19" x14ac:dyDescent="0.25">
      <c r="A1" s="1" t="s">
        <v>757</v>
      </c>
    </row>
    <row r="3" spans="1:17" x14ac:dyDescent="0.2">
      <c r="A3" s="2" t="s">
        <v>758</v>
      </c>
      <c r="B3" s="378">
        <v>46048</v>
      </c>
      <c r="C3" s="378">
        <v>46079</v>
      </c>
      <c r="D3" s="378">
        <v>46107</v>
      </c>
      <c r="E3" s="378">
        <v>46138</v>
      </c>
      <c r="F3" s="378">
        <v>46168</v>
      </c>
      <c r="G3" s="378">
        <v>46199</v>
      </c>
      <c r="H3" s="378">
        <v>46229</v>
      </c>
      <c r="I3" s="378">
        <v>46260</v>
      </c>
      <c r="J3" s="378">
        <v>46291</v>
      </c>
      <c r="K3" s="378">
        <v>46321</v>
      </c>
      <c r="L3" s="378">
        <v>46352</v>
      </c>
      <c r="M3" s="378">
        <v>46382</v>
      </c>
      <c r="N3" s="378" t="s">
        <v>746</v>
      </c>
      <c r="O3" s="378" t="s">
        <v>826</v>
      </c>
      <c r="P3" s="378" t="s">
        <v>812</v>
      </c>
      <c r="Q3" s="378" t="s">
        <v>813</v>
      </c>
    </row>
    <row r="4" spans="1:17" x14ac:dyDescent="0.2">
      <c r="A4" s="386" t="s">
        <v>759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2">
      <c r="A5" s="28" t="s">
        <v>795</v>
      </c>
      <c r="B5" s="388">
        <f>'Master Data'!Y191-'Master Data'!Y148</f>
        <v>1382172.4328369997</v>
      </c>
      <c r="C5" s="388">
        <f>'Master Data'!AD191-'Master Data'!AD148</f>
        <v>1382172.4328369997</v>
      </c>
      <c r="D5" s="388">
        <f>'Master Data'!AI191-'Master Data'!AI148</f>
        <v>1382172.4328369997</v>
      </c>
      <c r="E5" s="388">
        <f>'Master Data'!AN191-'Master Data'!AN148</f>
        <v>1382172.4328369997</v>
      </c>
      <c r="F5" s="388">
        <f>'Master Data'!AS191-'Master Data'!AS148</f>
        <v>1382172.4328369997</v>
      </c>
      <c r="G5" s="388">
        <f>'Master Data'!AX191-'Master Data'!AX148</f>
        <v>1382172.4328369997</v>
      </c>
      <c r="H5" s="388">
        <f>'Master Data'!BC191-'Master Data'!BC148</f>
        <v>1382172.4328369997</v>
      </c>
      <c r="I5" s="388">
        <f>'Master Data'!BH191-'Master Data'!BH148</f>
        <v>1382172.4328369997</v>
      </c>
      <c r="J5" s="388">
        <f>'Master Data'!BM191-'Master Data'!BM148</f>
        <v>1411521.7383925554</v>
      </c>
      <c r="K5" s="388">
        <f>'Master Data'!BR191-'Master Data'!BR148</f>
        <v>1411521.7383925554</v>
      </c>
      <c r="L5" s="388">
        <f>'Master Data'!BW191-'Master Data'!BW148</f>
        <v>1411521.7383925554</v>
      </c>
      <c r="M5" s="388">
        <f>'Master Data'!CB191-'Master Data'!CB148</f>
        <v>1411521.7383925554</v>
      </c>
      <c r="N5" s="385">
        <f t="shared" ref="N5:N10" si="0">SUM(B5:M5)</f>
        <v>16703466.416266223</v>
      </c>
      <c r="O5" s="385"/>
      <c r="P5" s="385"/>
      <c r="Q5" s="385"/>
    </row>
    <row r="6" spans="1:17" x14ac:dyDescent="0.2">
      <c r="A6" s="28" t="s">
        <v>796</v>
      </c>
      <c r="B6" s="388" cm="1">
        <f t="array" ref="B6">SUMPRODUCT(('Master Data'!$D$5:$D$164="Contrat Local")*('Master Data'!$E$5:$E$164&lt;&gt;"Replacement")*('Master Data'!$N$5:$N$164&lt;&gt;"")*'Master Data'!$Q$5:$Q$164*'Master Data'!$V$5:$V$164)</f>
        <v>369415.51158022217</v>
      </c>
      <c r="C6" s="388" cm="1">
        <f t="array" ref="C6">SUMPRODUCT(('Master Data'!$D$5:$D$164="Contrat Local")*('Master Data'!$E$5:$E$164&lt;&gt;"Replacement")*('Master Data'!$N$5:$N$164&lt;&gt;"")*'Master Data'!$Q$5:$Q$164*'Master Data'!$V$5:$V$164)</f>
        <v>369415.51158022217</v>
      </c>
      <c r="D6" s="388" cm="1">
        <f t="array" ref="D6">SUMPRODUCT(('Master Data'!$D$5:$D$164="Contrat Local")*('Master Data'!$E$5:$E$164&lt;&gt;"Replacement")*('Master Data'!$N$5:$N$164&lt;&gt;"")*'Master Data'!$Q$5:$Q$164*'Master Data'!$V$5:$V$164)</f>
        <v>369415.51158022217</v>
      </c>
      <c r="E6" s="388" cm="1">
        <f t="array" ref="E6">SUMPRODUCT(('Master Data'!$D$5:$D$164="Contrat Local")*('Master Data'!$E$5:$E$164&lt;&gt;"Replacement")*('Master Data'!$N$5:$N$164&lt;&gt;"")*'Master Data'!$Q$5:$Q$164*'Master Data'!$V$5:$V$164)</f>
        <v>369415.51158022217</v>
      </c>
      <c r="F6" s="388" cm="1">
        <f t="array" ref="F6">SUMPRODUCT(('Master Data'!$D$5:$D$164="Contrat Local")*('Master Data'!$E$5:$E$164&lt;&gt;"Replacement")*('Master Data'!$N$5:$N$164&lt;&gt;"")*'Master Data'!$Q$5:$Q$164*'Master Data'!$V$5:$V$164)</f>
        <v>369415.51158022217</v>
      </c>
      <c r="G6" s="388" cm="1">
        <f t="array" ref="G6">SUMPRODUCT(('Master Data'!$D$5:$D$164="Contrat Local")*('Master Data'!$E$5:$E$164&lt;&gt;"Replacement")*('Master Data'!$N$5:$N$164&lt;&gt;"")*'Master Data'!$Q$5:$Q$164*'Master Data'!$V$5:$V$164)</f>
        <v>369415.51158022217</v>
      </c>
      <c r="H6" s="388" cm="1">
        <f t="array" ref="H6">SUMPRODUCT(('Master Data'!$D$5:$D$164="Contrat Local")*('Master Data'!$E$5:$E$164&lt;&gt;"Replacement")*('Master Data'!$N$5:$N$164&lt;&gt;"")*'Master Data'!$Q$5:$Q$164*'Master Data'!$V$5:$V$164)</f>
        <v>369415.51158022217</v>
      </c>
      <c r="I6" s="388" cm="1">
        <f t="array" ref="I6">SUMPRODUCT(('Master Data'!$D$5:$D$164="Contrat Local")*('Master Data'!$E$5:$E$164&lt;&gt;"Replacement")*('Master Data'!$N$5:$N$164&lt;&gt;"")*'Master Data'!$Q$5:$Q$164*'Master Data'!$V$5:$V$164)</f>
        <v>369415.51158022217</v>
      </c>
      <c r="J6" s="388" cm="1">
        <f t="array" ref="J6">SUMPRODUCT(('Master Data'!$D$5:$D$164="Contrat Local")*('Master Data'!$E$5:$E$164&lt;&gt;"Replacement")*('Master Data'!$N$5:$N$164&lt;&gt;"")*'Master Data'!$Q$5:$Q$164*'Master Data'!$V$5:$V$164)</f>
        <v>369415.51158022217</v>
      </c>
      <c r="K6" s="388" cm="1">
        <f t="array" ref="K6">SUMPRODUCT(('Master Data'!$D$5:$D$164="Contrat Local")*('Master Data'!$E$5:$E$164&lt;&gt;"Replacement")*('Master Data'!$N$5:$N$164&lt;&gt;"")*'Master Data'!$Q$5:$Q$164*'Master Data'!$V$5:$V$164)</f>
        <v>369415.51158022217</v>
      </c>
      <c r="L6" s="388" cm="1">
        <f t="array" ref="L6">SUMPRODUCT(('Master Data'!$D$5:$D$164="Contrat Local")*('Master Data'!$E$5:$E$164&lt;&gt;"Replacement")*('Master Data'!$N$5:$N$164&lt;&gt;"")*'Master Data'!$Q$5:$Q$164*'Master Data'!$V$5:$V$164)</f>
        <v>369415.51158022217</v>
      </c>
      <c r="M6" s="388" cm="1">
        <f t="array" ref="M6">SUMPRODUCT(('Master Data'!$D$5:$D$164="Contrat Local")*('Master Data'!$E$5:$E$164&lt;&gt;"Replacement")*('Master Data'!$N$5:$N$164&lt;&gt;"")*'Master Data'!$Q$5:$Q$164*'Master Data'!$V$5:$V$164)</f>
        <v>369415.51158022217</v>
      </c>
      <c r="N6" s="385">
        <f t="shared" si="0"/>
        <v>4432986.1389626665</v>
      </c>
      <c r="O6" s="385"/>
      <c r="P6" s="385"/>
      <c r="Q6" s="385"/>
    </row>
    <row r="7" spans="1:17" x14ac:dyDescent="0.2">
      <c r="A7" s="28" t="s">
        <v>797</v>
      </c>
      <c r="B7" s="388" cm="1">
        <f t="array" ref="B7">SUMPRODUCT(('Master Data'!$D$5:$D$164="Contrat Local")*('Master Data'!$E$5:$E$164&lt;&gt;"Replacement")*('Master Data'!$N$5:$N$164&lt;&gt;"")*'Master Data'!$R$5:$R$164*'Master Data'!$V$5:$V$164)</f>
        <v>73882.465027111117</v>
      </c>
      <c r="C7" s="388" cm="1">
        <f t="array" ref="C7">SUMPRODUCT(('Master Data'!$D$5:$D$164="Contrat Local")*('Master Data'!$E$5:$E$164&lt;&gt;"Replacement")*('Master Data'!$N$5:$N$164&lt;&gt;"")*'Master Data'!$R$5:$R$164*'Master Data'!$V$5:$V$164)</f>
        <v>73882.465027111117</v>
      </c>
      <c r="D7" s="388" cm="1">
        <f t="array" ref="D7">SUMPRODUCT(('Master Data'!$D$5:$D$164="Contrat Local")*('Master Data'!$E$5:$E$164&lt;&gt;"Replacement")*('Master Data'!$N$5:$N$164&lt;&gt;"")*'Master Data'!$R$5:$R$164*'Master Data'!$V$5:$V$164)</f>
        <v>73882.465027111117</v>
      </c>
      <c r="E7" s="388" cm="1">
        <f t="array" ref="E7">SUMPRODUCT(('Master Data'!$D$5:$D$164="Contrat Local")*('Master Data'!$E$5:$E$164&lt;&gt;"Replacement")*('Master Data'!$N$5:$N$164&lt;&gt;"")*'Master Data'!$R$5:$R$164*'Master Data'!$V$5:$V$164)</f>
        <v>73882.465027111117</v>
      </c>
      <c r="F7" s="388" cm="1">
        <f t="array" ref="F7">SUMPRODUCT(('Master Data'!$D$5:$D$164="Contrat Local")*('Master Data'!$E$5:$E$164&lt;&gt;"Replacement")*('Master Data'!$N$5:$N$164&lt;&gt;"")*'Master Data'!$R$5:$R$164*'Master Data'!$V$5:$V$164)</f>
        <v>73882.465027111117</v>
      </c>
      <c r="G7" s="388" cm="1">
        <f t="array" ref="G7">SUMPRODUCT(('Master Data'!$D$5:$D$164="Contrat Local")*('Master Data'!$E$5:$E$164&lt;&gt;"Replacement")*('Master Data'!$N$5:$N$164&lt;&gt;"")*'Master Data'!$R$5:$R$164*'Master Data'!$V$5:$V$164)</f>
        <v>73882.465027111117</v>
      </c>
      <c r="H7" s="388" cm="1">
        <f t="array" ref="H7">SUMPRODUCT(('Master Data'!$D$5:$D$164="Contrat Local")*('Master Data'!$E$5:$E$164&lt;&gt;"Replacement")*('Master Data'!$N$5:$N$164&lt;&gt;"")*'Master Data'!$R$5:$R$164*'Master Data'!$V$5:$V$164)</f>
        <v>73882.465027111117</v>
      </c>
      <c r="I7" s="388" cm="1">
        <f t="array" ref="I7">SUMPRODUCT(('Master Data'!$D$5:$D$164="Contrat Local")*('Master Data'!$E$5:$E$164&lt;&gt;"Replacement")*('Master Data'!$N$5:$N$164&lt;&gt;"")*'Master Data'!$R$5:$R$164*'Master Data'!$V$5:$V$164)</f>
        <v>73882.465027111117</v>
      </c>
      <c r="J7" s="388" cm="1">
        <f t="array" ref="J7">SUMPRODUCT(('Master Data'!$D$5:$D$164="Contrat Local")*('Master Data'!$E$5:$E$164&lt;&gt;"Replacement")*('Master Data'!$N$5:$N$164&lt;&gt;"")*'Master Data'!$R$5:$R$164*'Master Data'!$V$5:$V$164)</f>
        <v>73882.465027111117</v>
      </c>
      <c r="K7" s="388" cm="1">
        <f t="array" ref="K7">SUMPRODUCT(('Master Data'!$D$5:$D$164="Contrat Local")*('Master Data'!$E$5:$E$164&lt;&gt;"Replacement")*('Master Data'!$N$5:$N$164&lt;&gt;"")*'Master Data'!$R$5:$R$164*'Master Data'!$V$5:$V$164)</f>
        <v>73882.465027111117</v>
      </c>
      <c r="L7" s="388" cm="1">
        <f t="array" ref="L7">SUMPRODUCT(('Master Data'!$D$5:$D$164="Contrat Local")*('Master Data'!$E$5:$E$164&lt;&gt;"Replacement")*('Master Data'!$N$5:$N$164&lt;&gt;"")*'Master Data'!$R$5:$R$164*'Master Data'!$V$5:$V$164)</f>
        <v>73882.465027111117</v>
      </c>
      <c r="M7" s="388" cm="1">
        <f t="array" ref="M7">SUMPRODUCT(('Master Data'!$D$5:$D$164="Contrat Local")*('Master Data'!$E$5:$E$164&lt;&gt;"Replacement")*('Master Data'!$N$5:$N$164&lt;&gt;"")*'Master Data'!$R$5:$R$164*'Master Data'!$V$5:$V$164)</f>
        <v>73882.465027111117</v>
      </c>
      <c r="N7" s="385">
        <f t="shared" si="0"/>
        <v>886589.5803253334</v>
      </c>
      <c r="O7" s="385"/>
      <c r="P7" s="385"/>
      <c r="Q7" s="385"/>
    </row>
    <row r="8" spans="1:17" x14ac:dyDescent="0.2">
      <c r="A8" s="28" t="s">
        <v>798</v>
      </c>
      <c r="B8" s="388" cm="1">
        <f t="array" ref="B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C8" s="388" cm="1">
        <f t="array" ref="C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D8" s="388" cm="1">
        <f t="array" ref="D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E8" s="388" cm="1">
        <f t="array" ref="E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F8" s="388" cm="1">
        <f t="array" ref="F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G8" s="388" cm="1">
        <f t="array" ref="G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H8" s="388" cm="1">
        <f t="array" ref="H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I8" s="388" cm="1">
        <f t="array" ref="I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J8" s="388" cm="1">
        <f t="array" ref="J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K8" s="388" cm="1">
        <f t="array" ref="K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L8" s="388" cm="1">
        <f t="array" ref="L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M8" s="388" cm="1">
        <f t="array" ref="M8">SUMPRODUCT(('Master Data'!$D$5:$D$164="Contrat Local")*('Master Data'!$E$5:$E$164&lt;&gt;"Replacement")*('Master Data'!$N$5:$N$164&lt;&gt;"")*IF(ISNUMBER('Master Data'!$S$5:$S$164),'Master Data'!$S$5:$S$164,0)*'Master Data'!$V$5:$V$164)</f>
        <v>12500</v>
      </c>
      <c r="N8" s="385">
        <f t="shared" si="0"/>
        <v>150000</v>
      </c>
      <c r="O8" s="385"/>
      <c r="P8" s="385"/>
      <c r="Q8" s="385"/>
    </row>
    <row r="9" spans="1:17" x14ac:dyDescent="0.2">
      <c r="A9" s="28" t="s">
        <v>799</v>
      </c>
      <c r="B9" s="388" cm="1">
        <f t="array" ref="B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C9" s="388" cm="1">
        <f t="array" ref="C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D9" s="388" cm="1">
        <f t="array" ref="D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E9" s="388" cm="1">
        <f t="array" ref="E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F9" s="388" cm="1">
        <f t="array" ref="F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G9" s="388" cm="1">
        <f t="array" ref="G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H9" s="388" cm="1">
        <f t="array" ref="H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I9" s="388" cm="1">
        <f t="array" ref="I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J9" s="388" cm="1">
        <f t="array" ref="J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K9" s="388" cm="1">
        <f t="array" ref="K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L9" s="388" cm="1">
        <f t="array" ref="L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M9" s="388" cm="1">
        <f t="array" ref="M9">SUMPRODUCT(('Master Data'!$D$5:$D$164="Contrat Local")*('Master Data'!$E$5:$E$164&lt;&gt;"Replacement")*('Master Data'!$N$5:$N$164&lt;&gt;"")*IF(ISNUMBER('Master Data'!$T$5:$T$164),'Master Data'!$T$5:$T$164,0)*'Master Data'!$V$5:$V$164)</f>
        <v>57424</v>
      </c>
      <c r="N9" s="385">
        <f t="shared" si="0"/>
        <v>689088</v>
      </c>
      <c r="O9" s="385"/>
      <c r="P9" s="385"/>
      <c r="Q9" s="385"/>
    </row>
    <row r="10" spans="1:17" x14ac:dyDescent="0.2">
      <c r="A10" s="27" t="s">
        <v>800</v>
      </c>
      <c r="B10" s="385">
        <f t="shared" ref="B10:M10" si="1">SUM(B5:B9)</f>
        <v>1895394.4094443331</v>
      </c>
      <c r="C10" s="385">
        <f t="shared" si="1"/>
        <v>1895394.4094443331</v>
      </c>
      <c r="D10" s="385">
        <f t="shared" si="1"/>
        <v>1895394.4094443331</v>
      </c>
      <c r="E10" s="385">
        <f t="shared" si="1"/>
        <v>1895394.4094443331</v>
      </c>
      <c r="F10" s="385">
        <f t="shared" si="1"/>
        <v>1895394.4094443331</v>
      </c>
      <c r="G10" s="385">
        <f t="shared" si="1"/>
        <v>1895394.4094443331</v>
      </c>
      <c r="H10" s="385">
        <f t="shared" si="1"/>
        <v>1895394.4094443331</v>
      </c>
      <c r="I10" s="385">
        <f t="shared" si="1"/>
        <v>1895394.4094443331</v>
      </c>
      <c r="J10" s="385">
        <f t="shared" si="1"/>
        <v>1924743.7149998886</v>
      </c>
      <c r="K10" s="385">
        <f t="shared" si="1"/>
        <v>1924743.7149998886</v>
      </c>
      <c r="L10" s="385">
        <f t="shared" si="1"/>
        <v>1924743.7149998886</v>
      </c>
      <c r="M10" s="385">
        <f t="shared" si="1"/>
        <v>1924743.7149998886</v>
      </c>
      <c r="N10" s="385">
        <f t="shared" si="0"/>
        <v>22862130.135554213</v>
      </c>
      <c r="O10" s="385">
        <v>22999380</v>
      </c>
      <c r="P10" s="385">
        <v>23214168.210000001</v>
      </c>
      <c r="Q10" s="385">
        <v>22442452.850000001</v>
      </c>
    </row>
    <row r="11" spans="1:17" x14ac:dyDescent="0.2">
      <c r="A11" s="387" t="s">
        <v>760</v>
      </c>
      <c r="B11" s="379">
        <f t="shared" ref="B11:Q11" si="2">B10</f>
        <v>1895394.4094443331</v>
      </c>
      <c r="C11" s="379">
        <f t="shared" si="2"/>
        <v>1895394.4094443331</v>
      </c>
      <c r="D11" s="379">
        <f t="shared" si="2"/>
        <v>1895394.4094443331</v>
      </c>
      <c r="E11" s="379">
        <f t="shared" si="2"/>
        <v>1895394.4094443331</v>
      </c>
      <c r="F11" s="379">
        <f t="shared" si="2"/>
        <v>1895394.4094443331</v>
      </c>
      <c r="G11" s="379">
        <f t="shared" si="2"/>
        <v>1895394.4094443331</v>
      </c>
      <c r="H11" s="379">
        <f t="shared" si="2"/>
        <v>1895394.4094443331</v>
      </c>
      <c r="I11" s="379">
        <f t="shared" si="2"/>
        <v>1895394.4094443331</v>
      </c>
      <c r="J11" s="379">
        <f t="shared" si="2"/>
        <v>1924743.7149998886</v>
      </c>
      <c r="K11" s="379">
        <f t="shared" si="2"/>
        <v>1924743.7149998886</v>
      </c>
      <c r="L11" s="379">
        <f t="shared" si="2"/>
        <v>1924743.7149998886</v>
      </c>
      <c r="M11" s="379">
        <f t="shared" si="2"/>
        <v>1924743.7149998886</v>
      </c>
      <c r="N11" s="379">
        <f t="shared" si="2"/>
        <v>22862130.135554213</v>
      </c>
      <c r="O11" s="379">
        <f t="shared" si="2"/>
        <v>22999380</v>
      </c>
      <c r="P11" s="379">
        <f t="shared" si="2"/>
        <v>23214168.210000001</v>
      </c>
      <c r="Q11" s="379">
        <f t="shared" si="2"/>
        <v>22442452.850000001</v>
      </c>
    </row>
    <row r="12" spans="1:17" x14ac:dyDescent="0.2">
      <c r="A12" s="386" t="s">
        <v>801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">
      <c r="A13" s="28" t="s">
        <v>802</v>
      </c>
      <c r="B13" s="389">
        <f>300000/10</f>
        <v>30000</v>
      </c>
      <c r="C13" s="389">
        <f>B13</f>
        <v>30000</v>
      </c>
      <c r="D13" s="389">
        <f t="shared" ref="D13" si="3">C13</f>
        <v>30000</v>
      </c>
      <c r="E13" s="389">
        <f t="shared" ref="E13" si="4">D13</f>
        <v>30000</v>
      </c>
      <c r="F13" s="389">
        <f t="shared" ref="F13" si="5">E13</f>
        <v>30000</v>
      </c>
      <c r="G13" s="389">
        <f t="shared" ref="G13" si="6">F13</f>
        <v>30000</v>
      </c>
      <c r="H13" s="389">
        <v>0</v>
      </c>
      <c r="I13" s="389">
        <v>0</v>
      </c>
      <c r="J13" s="389">
        <f>G13</f>
        <v>30000</v>
      </c>
      <c r="K13" s="389">
        <f t="shared" ref="K13" si="7">J13</f>
        <v>30000</v>
      </c>
      <c r="L13" s="389">
        <f t="shared" ref="L13" si="8">K13</f>
        <v>30000</v>
      </c>
      <c r="M13" s="389">
        <f t="shared" ref="M13" si="9">L13</f>
        <v>30000</v>
      </c>
      <c r="N13" s="385">
        <f t="shared" ref="N13" si="10">SUM(B13:M13)</f>
        <v>300000</v>
      </c>
      <c r="O13" s="385">
        <v>272167</v>
      </c>
      <c r="P13" s="385">
        <v>267234</v>
      </c>
      <c r="Q13" s="385">
        <v>257539</v>
      </c>
    </row>
    <row r="14" spans="1:17" x14ac:dyDescent="0.2">
      <c r="A14" s="28" t="s">
        <v>803</v>
      </c>
      <c r="B14" s="388">
        <f t="shared" ref="B14:M14" si="11">1%*B10</f>
        <v>18953.94409444333</v>
      </c>
      <c r="C14" s="388">
        <f t="shared" si="11"/>
        <v>18953.94409444333</v>
      </c>
      <c r="D14" s="388">
        <f t="shared" si="11"/>
        <v>18953.94409444333</v>
      </c>
      <c r="E14" s="388">
        <f t="shared" si="11"/>
        <v>18953.94409444333</v>
      </c>
      <c r="F14" s="388">
        <f t="shared" si="11"/>
        <v>18953.94409444333</v>
      </c>
      <c r="G14" s="388">
        <f t="shared" si="11"/>
        <v>18953.94409444333</v>
      </c>
      <c r="H14" s="388">
        <f t="shared" si="11"/>
        <v>18953.94409444333</v>
      </c>
      <c r="I14" s="388">
        <f t="shared" si="11"/>
        <v>18953.94409444333</v>
      </c>
      <c r="J14" s="388">
        <f t="shared" si="11"/>
        <v>19247.437149998885</v>
      </c>
      <c r="K14" s="388">
        <f t="shared" si="11"/>
        <v>19247.437149998885</v>
      </c>
      <c r="L14" s="388">
        <f t="shared" si="11"/>
        <v>19247.437149998885</v>
      </c>
      <c r="M14" s="388">
        <f t="shared" si="11"/>
        <v>19247.437149998885</v>
      </c>
      <c r="N14" s="385">
        <f t="shared" ref="N14:N21" si="12">SUM(B14:M14)</f>
        <v>228621.30135554215</v>
      </c>
      <c r="O14" s="385">
        <v>306046</v>
      </c>
      <c r="P14" s="385">
        <v>210682.22</v>
      </c>
      <c r="Q14" s="385">
        <v>364820.51</v>
      </c>
    </row>
    <row r="15" spans="1:17" x14ac:dyDescent="0.2">
      <c r="A15" s="27" t="s">
        <v>827</v>
      </c>
      <c r="B15" s="385">
        <v>0</v>
      </c>
      <c r="C15" s="385">
        <v>0</v>
      </c>
      <c r="D15" s="385">
        <v>0</v>
      </c>
      <c r="E15" s="385">
        <v>0</v>
      </c>
      <c r="F15" s="385">
        <v>0</v>
      </c>
      <c r="G15" s="385">
        <v>0</v>
      </c>
      <c r="H15" s="385">
        <v>0</v>
      </c>
      <c r="I15" s="385">
        <v>0</v>
      </c>
      <c r="J15" s="385">
        <v>0</v>
      </c>
      <c r="K15" s="385">
        <v>0</v>
      </c>
      <c r="L15" s="385">
        <v>0</v>
      </c>
      <c r="M15" s="385">
        <v>0</v>
      </c>
      <c r="N15" s="385">
        <f>SUM(B15:M15)</f>
        <v>0</v>
      </c>
      <c r="O15" s="385">
        <v>80000</v>
      </c>
      <c r="P15" s="385"/>
      <c r="Q15" s="385"/>
    </row>
    <row r="16" spans="1:17" x14ac:dyDescent="0.2">
      <c r="A16" s="28" t="s">
        <v>808</v>
      </c>
      <c r="B16" s="389">
        <f>60000/10</f>
        <v>6000</v>
      </c>
      <c r="C16" s="389">
        <f>B16</f>
        <v>6000</v>
      </c>
      <c r="D16" s="389">
        <f t="shared" ref="D16:G20" si="13">C16</f>
        <v>6000</v>
      </c>
      <c r="E16" s="389">
        <f t="shared" si="13"/>
        <v>6000</v>
      </c>
      <c r="F16" s="389">
        <f t="shared" si="13"/>
        <v>6000</v>
      </c>
      <c r="G16" s="389">
        <f t="shared" si="13"/>
        <v>6000</v>
      </c>
      <c r="H16" s="389">
        <v>0</v>
      </c>
      <c r="I16" s="389">
        <v>0</v>
      </c>
      <c r="J16" s="389">
        <f>G16</f>
        <v>6000</v>
      </c>
      <c r="K16" s="389">
        <f t="shared" ref="K16:M20" si="14">J16</f>
        <v>6000</v>
      </c>
      <c r="L16" s="389">
        <f t="shared" si="14"/>
        <v>6000</v>
      </c>
      <c r="M16" s="389">
        <f t="shared" si="14"/>
        <v>6000</v>
      </c>
      <c r="N16" s="385">
        <f t="shared" si="12"/>
        <v>60000</v>
      </c>
      <c r="O16" s="385">
        <v>0</v>
      </c>
      <c r="P16" s="385">
        <v>55225</v>
      </c>
      <c r="Q16" s="385">
        <v>54763</v>
      </c>
    </row>
    <row r="17" spans="1:17" x14ac:dyDescent="0.2">
      <c r="A17" s="28" t="s">
        <v>809</v>
      </c>
      <c r="B17" s="389">
        <f>600000/10</f>
        <v>60000</v>
      </c>
      <c r="C17" s="389">
        <f>B17</f>
        <v>60000</v>
      </c>
      <c r="D17" s="389">
        <f t="shared" si="13"/>
        <v>60000</v>
      </c>
      <c r="E17" s="389">
        <f t="shared" si="13"/>
        <v>60000</v>
      </c>
      <c r="F17" s="389">
        <f t="shared" si="13"/>
        <v>60000</v>
      </c>
      <c r="G17" s="389">
        <f t="shared" si="13"/>
        <v>60000</v>
      </c>
      <c r="H17" s="389">
        <v>0</v>
      </c>
      <c r="I17" s="389">
        <v>0</v>
      </c>
      <c r="J17" s="389">
        <f>G17</f>
        <v>60000</v>
      </c>
      <c r="K17" s="389">
        <f t="shared" si="14"/>
        <v>60000</v>
      </c>
      <c r="L17" s="389">
        <f t="shared" si="14"/>
        <v>60000</v>
      </c>
      <c r="M17" s="389">
        <f t="shared" si="14"/>
        <v>60000</v>
      </c>
      <c r="N17" s="385">
        <f t="shared" si="12"/>
        <v>600000</v>
      </c>
      <c r="O17" s="385">
        <v>0</v>
      </c>
      <c r="P17" s="385">
        <v>531351.15</v>
      </c>
      <c r="Q17" s="385">
        <v>476193</v>
      </c>
    </row>
    <row r="18" spans="1:17" x14ac:dyDescent="0.2">
      <c r="A18" s="28" t="s">
        <v>810</v>
      </c>
      <c r="B18" s="389">
        <f>40000/10</f>
        <v>4000</v>
      </c>
      <c r="C18" s="389">
        <f>B18</f>
        <v>4000</v>
      </c>
      <c r="D18" s="389">
        <f t="shared" si="13"/>
        <v>4000</v>
      </c>
      <c r="E18" s="389">
        <f t="shared" si="13"/>
        <v>4000</v>
      </c>
      <c r="F18" s="389">
        <f t="shared" si="13"/>
        <v>4000</v>
      </c>
      <c r="G18" s="389">
        <f t="shared" si="13"/>
        <v>4000</v>
      </c>
      <c r="H18" s="389">
        <v>0</v>
      </c>
      <c r="I18" s="389">
        <v>0</v>
      </c>
      <c r="J18" s="389">
        <f>G18</f>
        <v>4000</v>
      </c>
      <c r="K18" s="389">
        <f t="shared" si="14"/>
        <v>4000</v>
      </c>
      <c r="L18" s="389">
        <f t="shared" si="14"/>
        <v>4000</v>
      </c>
      <c r="M18" s="389">
        <f t="shared" si="14"/>
        <v>4000</v>
      </c>
      <c r="N18" s="385">
        <f t="shared" si="12"/>
        <v>40000</v>
      </c>
      <c r="O18" s="385">
        <v>0</v>
      </c>
      <c r="P18" s="385">
        <v>39877.5</v>
      </c>
      <c r="Q18" s="385">
        <v>33301</v>
      </c>
    </row>
    <row r="19" spans="1:17" x14ac:dyDescent="0.2">
      <c r="A19" s="28" t="s">
        <v>811</v>
      </c>
      <c r="B19" s="389">
        <v>0</v>
      </c>
      <c r="C19" s="389">
        <v>0</v>
      </c>
      <c r="D19" s="389">
        <v>0</v>
      </c>
      <c r="E19" s="389">
        <v>0</v>
      </c>
      <c r="F19" s="389">
        <v>0</v>
      </c>
      <c r="G19" s="389">
        <v>0</v>
      </c>
      <c r="H19" s="389">
        <v>0</v>
      </c>
      <c r="I19" s="389">
        <v>0</v>
      </c>
      <c r="J19" s="389">
        <v>0</v>
      </c>
      <c r="K19" s="389">
        <v>0</v>
      </c>
      <c r="L19" s="389">
        <v>0</v>
      </c>
      <c r="M19" s="389">
        <v>0</v>
      </c>
      <c r="N19" s="385">
        <f t="shared" si="12"/>
        <v>0</v>
      </c>
      <c r="O19" s="385">
        <v>1249000</v>
      </c>
      <c r="P19" s="385">
        <v>239750</v>
      </c>
      <c r="Q19" s="385">
        <v>1178250</v>
      </c>
    </row>
    <row r="20" spans="1:17" x14ac:dyDescent="0.2">
      <c r="A20" s="28" t="s">
        <v>804</v>
      </c>
      <c r="B20" s="389">
        <f>8000000/10</f>
        <v>800000</v>
      </c>
      <c r="C20" s="389">
        <f>B20</f>
        <v>800000</v>
      </c>
      <c r="D20" s="389">
        <f t="shared" si="13"/>
        <v>800000</v>
      </c>
      <c r="E20" s="389">
        <f t="shared" si="13"/>
        <v>800000</v>
      </c>
      <c r="F20" s="389">
        <f t="shared" si="13"/>
        <v>800000</v>
      </c>
      <c r="G20" s="389">
        <f t="shared" si="13"/>
        <v>800000</v>
      </c>
      <c r="H20" s="389">
        <v>0</v>
      </c>
      <c r="I20" s="389">
        <v>0</v>
      </c>
      <c r="J20" s="389">
        <f>G20</f>
        <v>800000</v>
      </c>
      <c r="K20" s="389">
        <f t="shared" si="14"/>
        <v>800000</v>
      </c>
      <c r="L20" s="389">
        <f t="shared" si="14"/>
        <v>800000</v>
      </c>
      <c r="M20" s="389">
        <f t="shared" si="14"/>
        <v>800000</v>
      </c>
      <c r="N20" s="385">
        <f t="shared" si="12"/>
        <v>8000000</v>
      </c>
      <c r="O20" s="385">
        <v>7356097</v>
      </c>
      <c r="P20" s="385">
        <v>7636202.5800000001</v>
      </c>
      <c r="Q20" s="385">
        <v>6283917.4800000004</v>
      </c>
    </row>
    <row r="21" spans="1:17" x14ac:dyDescent="0.2">
      <c r="A21" s="28" t="s">
        <v>805</v>
      </c>
      <c r="B21" s="389">
        <f>835000/10</f>
        <v>83500</v>
      </c>
      <c r="C21" s="389">
        <f>B21</f>
        <v>83500</v>
      </c>
      <c r="D21" s="389">
        <f t="shared" ref="D21" si="15">C21</f>
        <v>83500</v>
      </c>
      <c r="E21" s="389">
        <f t="shared" ref="E21" si="16">D21</f>
        <v>83500</v>
      </c>
      <c r="F21" s="389">
        <f t="shared" ref="F21" si="17">E21</f>
        <v>83500</v>
      </c>
      <c r="G21" s="389">
        <f t="shared" ref="G21" si="18">F21</f>
        <v>83500</v>
      </c>
      <c r="H21" s="389">
        <v>0</v>
      </c>
      <c r="I21" s="389">
        <v>0</v>
      </c>
      <c r="J21" s="389">
        <f>G21</f>
        <v>83500</v>
      </c>
      <c r="K21" s="389">
        <f t="shared" ref="K21" si="19">J21</f>
        <v>83500</v>
      </c>
      <c r="L21" s="389">
        <f t="shared" ref="L21" si="20">K21</f>
        <v>83500</v>
      </c>
      <c r="M21" s="389">
        <f t="shared" ref="M21" si="21">L21</f>
        <v>83500</v>
      </c>
      <c r="N21" s="385">
        <f t="shared" si="12"/>
        <v>835000</v>
      </c>
      <c r="O21" s="385"/>
      <c r="P21" s="385"/>
      <c r="Q21" s="385"/>
    </row>
    <row r="22" spans="1:17" x14ac:dyDescent="0.2">
      <c r="A22" s="28" t="s">
        <v>806</v>
      </c>
      <c r="B22" s="389">
        <f>400000/10</f>
        <v>40000</v>
      </c>
      <c r="C22" s="389">
        <f>B22</f>
        <v>40000</v>
      </c>
      <c r="D22" s="389">
        <f t="shared" ref="D22" si="22">C22</f>
        <v>40000</v>
      </c>
      <c r="E22" s="389">
        <f t="shared" ref="E22" si="23">D22</f>
        <v>40000</v>
      </c>
      <c r="F22" s="389">
        <f t="shared" ref="F22" si="24">E22</f>
        <v>40000</v>
      </c>
      <c r="G22" s="389">
        <f t="shared" ref="G22" si="25">F22</f>
        <v>40000</v>
      </c>
      <c r="H22" s="389">
        <v>0</v>
      </c>
      <c r="I22" s="389">
        <v>0</v>
      </c>
      <c r="J22" s="389">
        <f>G22</f>
        <v>40000</v>
      </c>
      <c r="K22" s="389">
        <f t="shared" ref="K22" si="26">J22</f>
        <v>40000</v>
      </c>
      <c r="L22" s="389">
        <f t="shared" ref="L22" si="27">K22</f>
        <v>40000</v>
      </c>
      <c r="M22" s="389">
        <f t="shared" ref="M22" si="28">L22</f>
        <v>40000</v>
      </c>
      <c r="N22" s="385">
        <f t="shared" ref="N22" si="29">SUM(B22:M22)</f>
        <v>400000</v>
      </c>
      <c r="O22" s="385">
        <v>399400</v>
      </c>
      <c r="P22" s="385"/>
      <c r="Q22" s="385"/>
    </row>
    <row r="23" spans="1:17" x14ac:dyDescent="0.2">
      <c r="A23" s="387" t="s">
        <v>761</v>
      </c>
      <c r="B23" s="379">
        <f t="shared" ref="B23:Q23" si="30">SUM(B13:B22)</f>
        <v>1042453.9440944433</v>
      </c>
      <c r="C23" s="379">
        <f t="shared" si="30"/>
        <v>1042453.9440944433</v>
      </c>
      <c r="D23" s="379">
        <f t="shared" si="30"/>
        <v>1042453.9440944433</v>
      </c>
      <c r="E23" s="379">
        <f t="shared" si="30"/>
        <v>1042453.9440944433</v>
      </c>
      <c r="F23" s="379">
        <f t="shared" si="30"/>
        <v>1042453.9440944433</v>
      </c>
      <c r="G23" s="379">
        <f t="shared" si="30"/>
        <v>1042453.9440944433</v>
      </c>
      <c r="H23" s="379">
        <f t="shared" si="30"/>
        <v>18953.94409444333</v>
      </c>
      <c r="I23" s="379">
        <f t="shared" si="30"/>
        <v>18953.94409444333</v>
      </c>
      <c r="J23" s="379">
        <f t="shared" si="30"/>
        <v>1042747.4371499988</v>
      </c>
      <c r="K23" s="379">
        <f t="shared" si="30"/>
        <v>1042747.4371499988</v>
      </c>
      <c r="L23" s="379">
        <f t="shared" si="30"/>
        <v>1042747.4371499988</v>
      </c>
      <c r="M23" s="379">
        <f t="shared" si="30"/>
        <v>1042747.4371499988</v>
      </c>
      <c r="N23" s="379">
        <f t="shared" si="30"/>
        <v>10463621.301355543</v>
      </c>
      <c r="O23" s="379">
        <f>SUM(O13:O22)</f>
        <v>9662710</v>
      </c>
      <c r="P23" s="379">
        <f t="shared" si="30"/>
        <v>8980322.4499999993</v>
      </c>
      <c r="Q23" s="379">
        <f t="shared" si="30"/>
        <v>8648783.9900000002</v>
      </c>
    </row>
    <row r="24" spans="1:17" x14ac:dyDescent="0.2">
      <c r="A24" s="386" t="s">
        <v>762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">
      <c r="A25" s="28" t="s">
        <v>763</v>
      </c>
      <c r="B25" s="388">
        <f>'Master Data'!AB191-'Master Data'!AB148</f>
        <v>1733.125</v>
      </c>
      <c r="C25" s="388">
        <f>'Master Data'!AG191-'Master Data'!AG148</f>
        <v>1733.125</v>
      </c>
      <c r="D25" s="388">
        <f>'Master Data'!AL191-'Master Data'!AL148</f>
        <v>1733.125</v>
      </c>
      <c r="E25" s="388">
        <f>'Master Data'!AQ191-'Master Data'!AQ148</f>
        <v>1733.125</v>
      </c>
      <c r="F25" s="388">
        <f>'Master Data'!AV191-'Master Data'!AV148</f>
        <v>1733.125</v>
      </c>
      <c r="G25" s="388">
        <f>'Master Data'!BA191-'Master Data'!BA148</f>
        <v>1733.125</v>
      </c>
      <c r="H25" s="388">
        <f>'Master Data'!BF191-'Master Data'!BF148</f>
        <v>1733.125</v>
      </c>
      <c r="I25" s="388">
        <f>'Master Data'!BK191-'Master Data'!BK148</f>
        <v>1733.125</v>
      </c>
      <c r="J25" s="388">
        <f>'Master Data'!BP191-'Master Data'!BP148</f>
        <v>1762.5</v>
      </c>
      <c r="K25" s="388">
        <f>'Master Data'!BU191-'Master Data'!BU148</f>
        <v>1762.5</v>
      </c>
      <c r="L25" s="388">
        <f>'Master Data'!BZ191-'Master Data'!BZ148</f>
        <v>1762.5</v>
      </c>
      <c r="M25" s="388">
        <f>'Master Data'!CE191-'Master Data'!CE148</f>
        <v>1762.5</v>
      </c>
      <c r="N25" s="385">
        <f>SUM(B25:M25)</f>
        <v>20915</v>
      </c>
      <c r="O25" s="385">
        <v>73500</v>
      </c>
      <c r="P25" s="385">
        <v>73457.94</v>
      </c>
      <c r="Q25" s="385">
        <v>42444.33</v>
      </c>
    </row>
    <row r="26" spans="1:17" x14ac:dyDescent="0.2">
      <c r="A26" s="28" t="s">
        <v>764</v>
      </c>
      <c r="B26" s="388" cm="1">
        <f t="array" ref="B26">'Master Data'!AA191-'Master Data'!AA148-SUMPRODUCT(('Master Data'!$D5:$D164="Contrat Local")*('Master Data'!$E5:$E164&lt;&gt;"Replacement")*('Master Data'!$N5:$N164&lt;&gt;"")*IF(((DATE(Assumptions!B4-1,12,28)-'Master Data'!$N5:$N164)/365.25)&lt;=Assumptions!B20,((DATE(Assumptions!B4-1,12,28)-'Master Data'!$N5:$N164)/365.25)*Assumptions!B18*'Master Data'!Z5:Z164,(Assumptions!B20*Assumptions!B18+(((DATE(Assumptions!B4-1,12,28)-'Master Data'!$N5:$N164)/365.25)-Assumptions!B20)*Assumptions!B19)*'Master Data'!Z5:Z164))</f>
        <v>109531.25964102894</v>
      </c>
      <c r="C26" s="388">
        <f>('Master Data'!AF191-'Master Data'!AF148)-('Master Data'!AA191-'Master Data'!AA148)</f>
        <v>109531.25964103453</v>
      </c>
      <c r="D26" s="388">
        <f>('Master Data'!AK191-'Master Data'!AK148)-('Master Data'!AF191-'Master Data'!AF148)</f>
        <v>98931.460320930928</v>
      </c>
      <c r="E26" s="388">
        <f>('Master Data'!AP191-'Master Data'!AP148)-('Master Data'!AK191-'Master Data'!AK148)</f>
        <v>109531.25964102708</v>
      </c>
      <c r="F26" s="388">
        <f>('Master Data'!AU191-'Master Data'!AU148)-('Master Data'!AP191-'Master Data'!AP148)</f>
        <v>105997.9932010062</v>
      </c>
      <c r="G26" s="388">
        <f>('Master Data'!AZ191-'Master Data'!AZ148)-('Master Data'!AU191-'Master Data'!AU148)</f>
        <v>109531.25964102708</v>
      </c>
      <c r="H26" s="388">
        <f>('Master Data'!BE191-'Master Data'!BE148)-('Master Data'!AZ191-'Master Data'!AZ148)</f>
        <v>105997.99320099875</v>
      </c>
      <c r="I26" s="388">
        <f>('Master Data'!BJ191-'Master Data'!BJ148)-('Master Data'!BE191-'Master Data'!BE148)</f>
        <v>109531.25964103825</v>
      </c>
      <c r="J26" s="388">
        <f>('Master Data'!BO191-'Master Data'!BO148)-('Master Data'!BJ191-'Master Data'!BJ148)</f>
        <v>268683.51632405072</v>
      </c>
      <c r="K26" s="388">
        <f>('Master Data'!BT191-'Master Data'!BT148)-('Master Data'!BO191-'Master Data'!BO148)</f>
        <v>117920.45498515852</v>
      </c>
      <c r="L26" s="388">
        <f>('Master Data'!BY191-'Master Data'!BY148)-('Master Data'!BT191-'Master Data'!BT148)</f>
        <v>121851.13681800663</v>
      </c>
      <c r="M26" s="388">
        <f>('Master Data'!CD191-'Master Data'!CD148)-('Master Data'!BY191-'Master Data'!BY148)</f>
        <v>117920.45498516411</v>
      </c>
      <c r="N26" s="385">
        <f>SUM(B26:M26)</f>
        <v>1484959.3080404717</v>
      </c>
      <c r="O26" s="385">
        <v>2356605.1386000002</v>
      </c>
      <c r="P26" s="385">
        <v>2771399.33</v>
      </c>
      <c r="Q26" s="385">
        <v>957709</v>
      </c>
    </row>
    <row r="27" spans="1:17" x14ac:dyDescent="0.2">
      <c r="A27" s="28" t="s">
        <v>807</v>
      </c>
      <c r="B27" s="388">
        <f>'Master Data'!AC191-'Master Data'!AC148</f>
        <v>136562.5000000002</v>
      </c>
      <c r="C27" s="388">
        <f>'Master Data'!AH191-'Master Data'!AH148</f>
        <v>136562.5000000002</v>
      </c>
      <c r="D27" s="388">
        <f>'Master Data'!AM191-'Master Data'!AM148</f>
        <v>136562.5000000002</v>
      </c>
      <c r="E27" s="388">
        <f>'Master Data'!AR191-'Master Data'!AR148</f>
        <v>136562.5000000002</v>
      </c>
      <c r="F27" s="388">
        <f>'Master Data'!AW191-'Master Data'!AW148</f>
        <v>136562.5000000002</v>
      </c>
      <c r="G27" s="388">
        <f>'Master Data'!BB191-'Master Data'!BB148</f>
        <v>136562.5000000002</v>
      </c>
      <c r="H27" s="388">
        <f>'Master Data'!BG191-'Master Data'!BG148</f>
        <v>136562.5000000002</v>
      </c>
      <c r="I27" s="388">
        <f>'Master Data'!BL191-'Master Data'!BL148</f>
        <v>136562.5000000002</v>
      </c>
      <c r="J27" s="388">
        <f>'Master Data'!BQ191-'Master Data'!BQ148</f>
        <v>136562.5000000002</v>
      </c>
      <c r="K27" s="388">
        <f>'Master Data'!BV191-'Master Data'!BV148</f>
        <v>136562.5000000002</v>
      </c>
      <c r="L27" s="388">
        <f>'Master Data'!CA191-'Master Data'!CA148</f>
        <v>136562.5000000002</v>
      </c>
      <c r="M27" s="388">
        <f>'Master Data'!CF191-'Master Data'!CF148</f>
        <v>136562.5000000002</v>
      </c>
      <c r="N27" s="385">
        <f>SUM(B27:M27)</f>
        <v>1638750.0000000026</v>
      </c>
      <c r="O27" s="385">
        <v>1600000</v>
      </c>
      <c r="P27" s="385"/>
      <c r="Q27" s="385"/>
    </row>
    <row r="28" spans="1:17" x14ac:dyDescent="0.2">
      <c r="A28" s="387" t="s">
        <v>765</v>
      </c>
      <c r="B28" s="379">
        <f t="shared" ref="B28:Q28" si="31">SUM(B25:B27)</f>
        <v>247826.88464102914</v>
      </c>
      <c r="C28" s="379">
        <f t="shared" si="31"/>
        <v>247826.88464103473</v>
      </c>
      <c r="D28" s="379">
        <f t="shared" si="31"/>
        <v>237227.08532093113</v>
      </c>
      <c r="E28" s="379">
        <f t="shared" si="31"/>
        <v>247826.88464102728</v>
      </c>
      <c r="F28" s="379">
        <f t="shared" si="31"/>
        <v>244293.61820100641</v>
      </c>
      <c r="G28" s="379">
        <f t="shared" si="31"/>
        <v>247826.88464102728</v>
      </c>
      <c r="H28" s="379">
        <f t="shared" si="31"/>
        <v>244293.61820099896</v>
      </c>
      <c r="I28" s="379">
        <f t="shared" si="31"/>
        <v>247826.88464103846</v>
      </c>
      <c r="J28" s="379">
        <f t="shared" si="31"/>
        <v>407008.51632405096</v>
      </c>
      <c r="K28" s="379">
        <f t="shared" si="31"/>
        <v>256245.45498515872</v>
      </c>
      <c r="L28" s="379">
        <f t="shared" si="31"/>
        <v>260176.13681800684</v>
      </c>
      <c r="M28" s="379">
        <f t="shared" si="31"/>
        <v>256245.45498516431</v>
      </c>
      <c r="N28" s="379">
        <f t="shared" si="31"/>
        <v>3144624.3080404745</v>
      </c>
      <c r="O28" s="379">
        <f t="shared" si="31"/>
        <v>4030105.1386000002</v>
      </c>
      <c r="P28" s="379">
        <f t="shared" si="31"/>
        <v>2844857.27</v>
      </c>
      <c r="Q28" s="379">
        <f t="shared" si="31"/>
        <v>1000153.33</v>
      </c>
    </row>
    <row r="29" spans="1:17" x14ac:dyDescent="0.2">
      <c r="A29" s="386" t="s">
        <v>856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">
      <c r="A30" s="28" t="s">
        <v>857</v>
      </c>
      <c r="B30" s="404">
        <f>IF(MONTH(B$3)&gt;=Assumptions!$B$33,Assumptions!$B$48,0)</f>
        <v>0</v>
      </c>
      <c r="C30" s="404">
        <f>IF(MONTH(C$3)&gt;=Assumptions!$B$33,Assumptions!$B$48,0)</f>
        <v>0</v>
      </c>
      <c r="D30" s="404">
        <f>IF(MONTH(D$3)&gt;=Assumptions!$B$33,Assumptions!$B$48,0)</f>
        <v>0</v>
      </c>
      <c r="E30" s="404">
        <f>IF(MONTH(E$3)&gt;=Assumptions!$B$33,Assumptions!$B$48,0)</f>
        <v>0</v>
      </c>
      <c r="F30" s="404">
        <f>IF(MONTH(F$3)&gt;=Assumptions!$B$33,Assumptions!$B$48,0)</f>
        <v>0</v>
      </c>
      <c r="G30" s="404">
        <f>IF(MONTH(G$3)&gt;=Assumptions!$B$33,Assumptions!$B$48,0)</f>
        <v>0</v>
      </c>
      <c r="H30" s="404">
        <f>IF(MONTH(H$3)&gt;=Assumptions!$B$33,Assumptions!$B$48,0)</f>
        <v>0</v>
      </c>
      <c r="I30" s="404">
        <f>IF(MONTH(I$3)&gt;=Assumptions!$B$33,Assumptions!$B$48,0)</f>
        <v>0</v>
      </c>
      <c r="J30" s="404">
        <f>IF(MONTH(J$3)&gt;=Assumptions!$B$33,Assumptions!$B$48,0)</f>
        <v>57400</v>
      </c>
      <c r="K30" s="404">
        <f>IF(MONTH(K$3)&gt;=Assumptions!$B$33,Assumptions!$B$48,0)</f>
        <v>57400</v>
      </c>
      <c r="L30" s="404">
        <f>IF(MONTH(L$3)&gt;=Assumptions!$B$33,Assumptions!$B$48,0)</f>
        <v>57400</v>
      </c>
      <c r="M30" s="404">
        <f>IF(MONTH(M$3)&gt;=Assumptions!$B$33,Assumptions!$B$48,0)</f>
        <v>57400</v>
      </c>
      <c r="N30" s="406">
        <f>SUM(B30:M30)</f>
        <v>229600</v>
      </c>
    </row>
    <row r="31" spans="1:17" x14ac:dyDescent="0.2">
      <c r="A31" s="28" t="s">
        <v>858</v>
      </c>
      <c r="B31" s="404">
        <f>IF(MONTH(B$3)&gt;=Assumptions!$B$33,Assumptions!$B$49,0)</f>
        <v>0</v>
      </c>
      <c r="C31" s="404">
        <f>IF(MONTH(C$3)&gt;=Assumptions!$B$33,Assumptions!$B$49,0)</f>
        <v>0</v>
      </c>
      <c r="D31" s="404">
        <f>IF(MONTH(D$3)&gt;=Assumptions!$B$33,Assumptions!$B$49,0)</f>
        <v>0</v>
      </c>
      <c r="E31" s="404">
        <f>IF(MONTH(E$3)&gt;=Assumptions!$B$33,Assumptions!$B$49,0)</f>
        <v>0</v>
      </c>
      <c r="F31" s="404">
        <f>IF(MONTH(F$3)&gt;=Assumptions!$B$33,Assumptions!$B$49,0)</f>
        <v>0</v>
      </c>
      <c r="G31" s="404">
        <f>IF(MONTH(G$3)&gt;=Assumptions!$B$33,Assumptions!$B$49,0)</f>
        <v>0</v>
      </c>
      <c r="H31" s="404">
        <f>IF(MONTH(H$3)&gt;=Assumptions!$B$33,Assumptions!$B$49,0)</f>
        <v>0</v>
      </c>
      <c r="I31" s="404">
        <f>IF(MONTH(I$3)&gt;=Assumptions!$B$33,Assumptions!$B$49,0)</f>
        <v>0</v>
      </c>
      <c r="J31" s="404">
        <f>IF(MONTH(J$3)&gt;=Assumptions!$B$33,Assumptions!$B$49,0)</f>
        <v>2391.6666666666665</v>
      </c>
      <c r="K31" s="404">
        <f>IF(MONTH(K$3)&gt;=Assumptions!$B$33,Assumptions!$B$49,0)</f>
        <v>2391.6666666666665</v>
      </c>
      <c r="L31" s="404">
        <f>IF(MONTH(L$3)&gt;=Assumptions!$B$33,Assumptions!$B$49,0)</f>
        <v>2391.6666666666665</v>
      </c>
      <c r="M31" s="404">
        <f>IF(MONTH(M$3)&gt;=Assumptions!$B$33,Assumptions!$B$49,0)</f>
        <v>2391.6666666666665</v>
      </c>
      <c r="N31" s="406">
        <f>SUM(B31:M31)</f>
        <v>9566.6666666666661</v>
      </c>
    </row>
    <row r="32" spans="1:17" x14ac:dyDescent="0.2">
      <c r="A32" s="28" t="s">
        <v>859</v>
      </c>
      <c r="B32" s="404">
        <f>IF(MONTH(B$3)&gt;=Assumptions!$B$33,Assumptions!$B$50,0)</f>
        <v>0</v>
      </c>
      <c r="C32" s="404">
        <f>IF(MONTH(C$3)&gt;=Assumptions!$B$33,Assumptions!$B$50,0)</f>
        <v>0</v>
      </c>
      <c r="D32" s="404">
        <f>IF(MONTH(D$3)&gt;=Assumptions!$B$33,Assumptions!$B$50,0)</f>
        <v>0</v>
      </c>
      <c r="E32" s="404">
        <f>IF(MONTH(E$3)&gt;=Assumptions!$B$33,Assumptions!$B$50,0)</f>
        <v>0</v>
      </c>
      <c r="F32" s="404">
        <f>IF(MONTH(F$3)&gt;=Assumptions!$B$33,Assumptions!$B$50,0)</f>
        <v>0</v>
      </c>
      <c r="G32" s="404">
        <f>IF(MONTH(G$3)&gt;=Assumptions!$B$33,Assumptions!$B$50,0)</f>
        <v>0</v>
      </c>
      <c r="H32" s="404">
        <f>IF(MONTH(H$3)&gt;=Assumptions!$B$33,Assumptions!$B$50,0)</f>
        <v>0</v>
      </c>
      <c r="I32" s="404">
        <f>IF(MONTH(I$3)&gt;=Assumptions!$B$33,Assumptions!$B$50,0)</f>
        <v>0</v>
      </c>
      <c r="J32" s="404">
        <f>IF(MONTH(J$3)&gt;=Assumptions!$B$33,Assumptions!$B$50,0)</f>
        <v>5462.5</v>
      </c>
      <c r="K32" s="404">
        <f>IF(MONTH(K$3)&gt;=Assumptions!$B$33,Assumptions!$B$50,0)</f>
        <v>5462.5</v>
      </c>
      <c r="L32" s="404">
        <f>IF(MONTH(L$3)&gt;=Assumptions!$B$33,Assumptions!$B$50,0)</f>
        <v>5462.5</v>
      </c>
      <c r="M32" s="404">
        <f>IF(MONTH(M$3)&gt;=Assumptions!$B$33,Assumptions!$B$50,0)</f>
        <v>5462.5</v>
      </c>
      <c r="N32" s="406">
        <f>SUM(B32:M32)</f>
        <v>21850</v>
      </c>
    </row>
    <row r="33" spans="1:17" x14ac:dyDescent="0.2">
      <c r="A33" s="409" t="s">
        <v>860</v>
      </c>
      <c r="B33" s="398">
        <f>SUM(B30:B32)</f>
        <v>0</v>
      </c>
      <c r="C33" s="398">
        <f t="shared" ref="C33:M33" si="32">SUM(C30:C32)</f>
        <v>0</v>
      </c>
      <c r="D33" s="398">
        <f t="shared" si="32"/>
        <v>0</v>
      </c>
      <c r="E33" s="398">
        <f t="shared" si="32"/>
        <v>0</v>
      </c>
      <c r="F33" s="398">
        <f t="shared" si="32"/>
        <v>0</v>
      </c>
      <c r="G33" s="398">
        <f t="shared" si="32"/>
        <v>0</v>
      </c>
      <c r="H33" s="398">
        <f t="shared" si="32"/>
        <v>0</v>
      </c>
      <c r="I33" s="398">
        <f t="shared" si="32"/>
        <v>0</v>
      </c>
      <c r="J33" s="398">
        <f t="shared" si="32"/>
        <v>65254.166666666664</v>
      </c>
      <c r="K33" s="398">
        <f t="shared" si="32"/>
        <v>65254.166666666664</v>
      </c>
      <c r="L33" s="398">
        <f t="shared" si="32"/>
        <v>65254.166666666664</v>
      </c>
      <c r="M33" s="398">
        <f t="shared" si="32"/>
        <v>65254.166666666664</v>
      </c>
      <c r="N33" s="398">
        <f>SUM(N30:N32)</f>
        <v>261016.66666666666</v>
      </c>
      <c r="O33" s="398">
        <v>666900</v>
      </c>
      <c r="P33" s="398"/>
      <c r="Q33" s="398"/>
    </row>
    <row r="36" spans="1:17" x14ac:dyDescent="0.2">
      <c r="A36" s="34" t="s">
        <v>861</v>
      </c>
      <c r="B36" s="380">
        <f>B11+B23+B28+B33</f>
        <v>3185675.2381798052</v>
      </c>
      <c r="C36" s="380">
        <f t="shared" ref="C36:M36" si="33">C11+C23+C28+C33</f>
        <v>3185675.2381798108</v>
      </c>
      <c r="D36" s="380">
        <f t="shared" si="33"/>
        <v>3175075.4388597072</v>
      </c>
      <c r="E36" s="380">
        <f t="shared" si="33"/>
        <v>3185675.2381798034</v>
      </c>
      <c r="F36" s="380">
        <f t="shared" si="33"/>
        <v>3182141.9717397825</v>
      </c>
      <c r="G36" s="380">
        <f t="shared" si="33"/>
        <v>3185675.2381798034</v>
      </c>
      <c r="H36" s="380">
        <f t="shared" si="33"/>
        <v>2158641.971739775</v>
      </c>
      <c r="I36" s="380">
        <f t="shared" si="33"/>
        <v>2162175.2381798145</v>
      </c>
      <c r="J36" s="380">
        <f t="shared" si="33"/>
        <v>3439753.835140605</v>
      </c>
      <c r="K36" s="380">
        <f t="shared" si="33"/>
        <v>3288990.7738017123</v>
      </c>
      <c r="L36" s="380">
        <f t="shared" si="33"/>
        <v>3292921.4556345604</v>
      </c>
      <c r="M36" s="380">
        <f t="shared" si="33"/>
        <v>3288990.7738017179</v>
      </c>
      <c r="N36" s="380">
        <f>N11+N23+N28+N33</f>
        <v>36731392.411616899</v>
      </c>
      <c r="O36" s="380">
        <f>O11+O23+O28+O33</f>
        <v>37359095.138599999</v>
      </c>
      <c r="P36" s="380">
        <f>P11+P23+P28</f>
        <v>35039347.93</v>
      </c>
      <c r="Q36" s="380">
        <f>Q11+Q23+Q28</f>
        <v>32091390.170000002</v>
      </c>
    </row>
    <row r="38" spans="1:17" x14ac:dyDescent="0.2">
      <c r="A38" s="34" t="s">
        <v>814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7" x14ac:dyDescent="0.2">
      <c r="A39" s="34" t="s">
        <v>94</v>
      </c>
      <c r="B39" s="390">
        <v>46048</v>
      </c>
      <c r="C39" s="390">
        <v>46079</v>
      </c>
      <c r="D39" s="390">
        <v>46107</v>
      </c>
      <c r="E39" s="390">
        <v>46138</v>
      </c>
      <c r="F39" s="390">
        <v>46168</v>
      </c>
      <c r="G39" s="390">
        <v>46199</v>
      </c>
      <c r="H39" s="390">
        <v>46229</v>
      </c>
      <c r="I39" s="390">
        <v>46260</v>
      </c>
      <c r="J39" s="390">
        <v>46291</v>
      </c>
      <c r="K39" s="390">
        <v>46321</v>
      </c>
      <c r="L39" s="390">
        <v>46352</v>
      </c>
      <c r="M39" s="390">
        <v>46382</v>
      </c>
      <c r="N39" s="35" t="s">
        <v>825</v>
      </c>
    </row>
    <row r="40" spans="1:17" x14ac:dyDescent="0.2">
      <c r="A40" s="397" t="s">
        <v>815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</row>
    <row r="41" spans="1:17" x14ac:dyDescent="0.2">
      <c r="A41" s="53" t="s">
        <v>816</v>
      </c>
      <c r="B41" s="391">
        <f>COUNTIFS('Master Data'!$I:$I,"Teacher",'Master Data'!$K:$K,"Maternelle")</f>
        <v>25</v>
      </c>
      <c r="C41" s="391">
        <f>COUNTIFS('Master Data'!$I:$I,"Teacher",'Master Data'!$K:$K,"Maternelle")</f>
        <v>25</v>
      </c>
      <c r="D41" s="391">
        <f>COUNTIFS('Master Data'!$I:$I,"Teacher",'Master Data'!$K:$K,"Maternelle")</f>
        <v>25</v>
      </c>
      <c r="E41" s="391">
        <f>COUNTIFS('Master Data'!$I:$I,"Teacher",'Master Data'!$K:$K,"Maternelle")</f>
        <v>25</v>
      </c>
      <c r="F41" s="391">
        <f>COUNTIFS('Master Data'!$I:$I,"Teacher",'Master Data'!$K:$K,"Maternelle")</f>
        <v>25</v>
      </c>
      <c r="G41" s="391">
        <f>COUNTIFS('Master Data'!$I:$I,"Teacher",'Master Data'!$K:$K,"Maternelle")</f>
        <v>25</v>
      </c>
      <c r="H41" s="391">
        <f>COUNTIFS('Master Data'!$I:$I,"Teacher",'Master Data'!$K:$K,"Maternelle")</f>
        <v>25</v>
      </c>
      <c r="I41" s="391">
        <f>COUNTIFS('Master Data'!$I:$I,"Teacher",'Master Data'!$K:$K,"Maternelle")</f>
        <v>25</v>
      </c>
      <c r="J41" s="391">
        <f>COUNTIFS('Master Data'!$I:$I,"Teacher",'Master Data'!$K:$K,"Maternelle")</f>
        <v>25</v>
      </c>
      <c r="K41" s="391">
        <f>COUNTIFS('Master Data'!$I:$I,"Teacher",'Master Data'!$K:$K,"Maternelle")</f>
        <v>25</v>
      </c>
      <c r="L41" s="391">
        <f>COUNTIFS('Master Data'!$I:$I,"Teacher",'Master Data'!$K:$K,"Maternelle")</f>
        <v>25</v>
      </c>
      <c r="M41" s="391">
        <f>COUNTIFS('Master Data'!$I:$I,"Teacher",'Master Data'!$K:$K,"Maternelle")</f>
        <v>25</v>
      </c>
      <c r="N41" s="392">
        <f>AVERAGE(B41:M41)</f>
        <v>25</v>
      </c>
    </row>
    <row r="42" spans="1:17" x14ac:dyDescent="0.2">
      <c r="A42" s="53" t="s">
        <v>817</v>
      </c>
      <c r="B42" s="391">
        <f>COUNTIFS('Master Data'!$I:$I,"Teacher",'Master Data'!$K:$K,"Élémentaire")+COUNTIFS('Master Data'!$I:$I,"Teacher",'Master Data'!$K:$K,"Primaire")</f>
        <v>38</v>
      </c>
      <c r="C42" s="391">
        <f>COUNTIFS('Master Data'!$I:$I,"Teacher",'Master Data'!$K:$K,"Élémentaire")+COUNTIFS('Master Data'!$I:$I,"Teacher",'Master Data'!$K:$K,"Primaire")</f>
        <v>38</v>
      </c>
      <c r="D42" s="391">
        <f>COUNTIFS('Master Data'!$I:$I,"Teacher",'Master Data'!$K:$K,"Élémentaire")+COUNTIFS('Master Data'!$I:$I,"Teacher",'Master Data'!$K:$K,"Primaire")</f>
        <v>38</v>
      </c>
      <c r="E42" s="391">
        <f>COUNTIFS('Master Data'!$I:$I,"Teacher",'Master Data'!$K:$K,"Élémentaire")+COUNTIFS('Master Data'!$I:$I,"Teacher",'Master Data'!$K:$K,"Primaire")</f>
        <v>38</v>
      </c>
      <c r="F42" s="391">
        <f>COUNTIFS('Master Data'!$I:$I,"Teacher",'Master Data'!$K:$K,"Élémentaire")+COUNTIFS('Master Data'!$I:$I,"Teacher",'Master Data'!$K:$K,"Primaire")</f>
        <v>38</v>
      </c>
      <c r="G42" s="391">
        <f>COUNTIFS('Master Data'!$I:$I,"Teacher",'Master Data'!$K:$K,"Élémentaire")+COUNTIFS('Master Data'!$I:$I,"Teacher",'Master Data'!$K:$K,"Primaire")</f>
        <v>38</v>
      </c>
      <c r="H42" s="391">
        <f>COUNTIFS('Master Data'!$I:$I,"Teacher",'Master Data'!$K:$K,"Élémentaire")+COUNTIFS('Master Data'!$I:$I,"Teacher",'Master Data'!$K:$K,"Primaire")</f>
        <v>38</v>
      </c>
      <c r="I42" s="391">
        <f>COUNTIFS('Master Data'!$I:$I,"Teacher",'Master Data'!$K:$K,"Élémentaire")+COUNTIFS('Master Data'!$I:$I,"Teacher",'Master Data'!$K:$K,"Primaire")</f>
        <v>38</v>
      </c>
      <c r="J42" s="391">
        <f>COUNTIFS('Master Data'!$I:$I,"Teacher",'Master Data'!$K:$K,"Élémentaire")+COUNTIFS('Master Data'!$I:$I,"Teacher",'Master Data'!$K:$K,"Primaire")</f>
        <v>38</v>
      </c>
      <c r="K42" s="391">
        <f>COUNTIFS('Master Data'!$I:$I,"Teacher",'Master Data'!$K:$K,"Élémentaire")+COUNTIFS('Master Data'!$I:$I,"Teacher",'Master Data'!$K:$K,"Primaire")</f>
        <v>38</v>
      </c>
      <c r="L42" s="391">
        <f>COUNTIFS('Master Data'!$I:$I,"Teacher",'Master Data'!$K:$K,"Élémentaire")+COUNTIFS('Master Data'!$I:$I,"Teacher",'Master Data'!$K:$K,"Primaire")</f>
        <v>38</v>
      </c>
      <c r="M42" s="391">
        <f>COUNTIFS('Master Data'!$I:$I,"Teacher",'Master Data'!$K:$K,"Élémentaire")+COUNTIFS('Master Data'!$I:$I,"Teacher",'Master Data'!$K:$K,"Primaire")</f>
        <v>38</v>
      </c>
      <c r="N42" s="392">
        <f>AVERAGE(B42:M42)</f>
        <v>38</v>
      </c>
    </row>
    <row r="43" spans="1:17" x14ac:dyDescent="0.2">
      <c r="A43" s="53" t="s">
        <v>818</v>
      </c>
      <c r="B43" s="391">
        <f>COUNTIFS('Master Data'!$I:$I,"Teacher",'Master Data'!$K:$K,"Secondaire",'Master Data'!$J:$J,"&lt;&gt;TBD",'Master Data'!$J:$J,"&lt;&gt;")</f>
        <v>67</v>
      </c>
      <c r="C43" s="391">
        <f>COUNTIFS('Master Data'!$I:$I,"Teacher",'Master Data'!$K:$K,"Secondaire",'Master Data'!$J:$J,"&lt;&gt;TBD",'Master Data'!$J:$J,"&lt;&gt;")</f>
        <v>67</v>
      </c>
      <c r="D43" s="391">
        <f>COUNTIFS('Master Data'!$I:$I,"Teacher",'Master Data'!$K:$K,"Secondaire",'Master Data'!$J:$J,"&lt;&gt;TBD",'Master Data'!$J:$J,"&lt;&gt;")</f>
        <v>67</v>
      </c>
      <c r="E43" s="391">
        <f>COUNTIFS('Master Data'!$I:$I,"Teacher",'Master Data'!$K:$K,"Secondaire",'Master Data'!$J:$J,"&lt;&gt;TBD",'Master Data'!$J:$J,"&lt;&gt;")</f>
        <v>67</v>
      </c>
      <c r="F43" s="391">
        <f>COUNTIFS('Master Data'!$I:$I,"Teacher",'Master Data'!$K:$K,"Secondaire",'Master Data'!$J:$J,"&lt;&gt;TBD",'Master Data'!$J:$J,"&lt;&gt;")</f>
        <v>67</v>
      </c>
      <c r="G43" s="391">
        <f>COUNTIFS('Master Data'!$I:$I,"Teacher",'Master Data'!$K:$K,"Secondaire",'Master Data'!$J:$J,"&lt;&gt;TBD",'Master Data'!$J:$J,"&lt;&gt;")</f>
        <v>67</v>
      </c>
      <c r="H43" s="391">
        <f>COUNTIFS('Master Data'!$I:$I,"Teacher",'Master Data'!$K:$K,"Secondaire",'Master Data'!$J:$J,"&lt;&gt;TBD",'Master Data'!$J:$J,"&lt;&gt;")</f>
        <v>67</v>
      </c>
      <c r="I43" s="391">
        <f>COUNTIFS('Master Data'!$I:$I,"Teacher",'Master Data'!$K:$K,"Secondaire",'Master Data'!$J:$J,"&lt;&gt;TBD",'Master Data'!$J:$J,"&lt;&gt;")</f>
        <v>67</v>
      </c>
      <c r="J43" s="391">
        <f>COUNTIFS('Master Data'!$I:$I,"Teacher",'Master Data'!$K:$K,"Secondaire",'Master Data'!$J:$J,"&lt;&gt;TBD",'Master Data'!$J:$J,"&lt;&gt;")</f>
        <v>67</v>
      </c>
      <c r="K43" s="391">
        <f>COUNTIFS('Master Data'!$I:$I,"Teacher",'Master Data'!$K:$K,"Secondaire",'Master Data'!$J:$J,"&lt;&gt;TBD",'Master Data'!$J:$J,"&lt;&gt;")</f>
        <v>67</v>
      </c>
      <c r="L43" s="391">
        <f>COUNTIFS('Master Data'!$I:$I,"Teacher",'Master Data'!$K:$K,"Secondaire",'Master Data'!$J:$J,"&lt;&gt;TBD",'Master Data'!$J:$J,"&lt;&gt;")</f>
        <v>67</v>
      </c>
      <c r="M43" s="391">
        <f>COUNTIFS('Master Data'!$I:$I,"Teacher",'Master Data'!$K:$K,"Secondaire",'Master Data'!$J:$J,"&lt;&gt;TBD",'Master Data'!$J:$J,"&lt;&gt;")</f>
        <v>67</v>
      </c>
      <c r="N43" s="392">
        <f>AVERAGE(B43:M43)</f>
        <v>67</v>
      </c>
    </row>
    <row r="44" spans="1:17" x14ac:dyDescent="0.2">
      <c r="A44" s="53" t="s">
        <v>819</v>
      </c>
      <c r="B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C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D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E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F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G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H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I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J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K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L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M44" s="391">
        <f>COUNTIFS('Master Data'!$I:$I,"Teacher",'Master Data'!$J:$J,"TBD")+COUNTIFS('Master Data'!$I:$I,"Teacher",'Master Data'!$J:$J,"")+COUNTIFS('Master Data'!$I:$I,"Teacher",'Master Data'!$K:$K,"",'Master Data'!$J:$J,"&lt;&gt;TBD",'Master Data'!$J:$J,"&lt;&gt;")</f>
        <v>6</v>
      </c>
      <c r="N44" s="392">
        <f>AVERAGE(B44:M44)</f>
        <v>6</v>
      </c>
    </row>
    <row r="45" spans="1:17" ht="17" thickBot="1" x14ac:dyDescent="0.25">
      <c r="A45" s="393" t="s">
        <v>820</v>
      </c>
      <c r="B45" s="394">
        <f>SUM(B41:B44)</f>
        <v>136</v>
      </c>
      <c r="C45" s="394">
        <f t="shared" ref="C45:M45" si="34">SUM(C41:C44)</f>
        <v>136</v>
      </c>
      <c r="D45" s="394">
        <f t="shared" si="34"/>
        <v>136</v>
      </c>
      <c r="E45" s="394">
        <f t="shared" si="34"/>
        <v>136</v>
      </c>
      <c r="F45" s="394">
        <f t="shared" si="34"/>
        <v>136</v>
      </c>
      <c r="G45" s="394">
        <f t="shared" si="34"/>
        <v>136</v>
      </c>
      <c r="H45" s="394">
        <f t="shared" si="34"/>
        <v>136</v>
      </c>
      <c r="I45" s="394">
        <f t="shared" si="34"/>
        <v>136</v>
      </c>
      <c r="J45" s="394">
        <f t="shared" si="34"/>
        <v>136</v>
      </c>
      <c r="K45" s="394">
        <f t="shared" si="34"/>
        <v>136</v>
      </c>
      <c r="L45" s="394">
        <f t="shared" si="34"/>
        <v>136</v>
      </c>
      <c r="M45" s="394">
        <f t="shared" si="34"/>
        <v>136</v>
      </c>
      <c r="N45" s="394">
        <f>AVERAGE(B45:M45)</f>
        <v>136</v>
      </c>
    </row>
    <row r="46" spans="1:17" x14ac:dyDescent="0.2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</row>
    <row r="47" spans="1:17" x14ac:dyDescent="0.2">
      <c r="A47" s="397" t="s">
        <v>821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</row>
    <row r="48" spans="1:17" x14ac:dyDescent="0.2">
      <c r="A48" s="53" t="s">
        <v>816</v>
      </c>
      <c r="B48" s="391">
        <f>COUNTIFS('Master Data'!$I:$I,"Non-Teacher",'Master Data'!$K:$K,"Maternelle")</f>
        <v>0</v>
      </c>
      <c r="C48" s="391">
        <f>COUNTIFS('Master Data'!$I:$I,"Non-Teacher",'Master Data'!$K:$K,"Maternelle")</f>
        <v>0</v>
      </c>
      <c r="D48" s="391">
        <f>COUNTIFS('Master Data'!$I:$I,"Non-Teacher",'Master Data'!$K:$K,"Maternelle")</f>
        <v>0</v>
      </c>
      <c r="E48" s="391">
        <f>COUNTIFS('Master Data'!$I:$I,"Non-Teacher",'Master Data'!$K:$K,"Maternelle")</f>
        <v>0</v>
      </c>
      <c r="F48" s="391">
        <f>COUNTIFS('Master Data'!$I:$I,"Non-Teacher",'Master Data'!$K:$K,"Maternelle")</f>
        <v>0</v>
      </c>
      <c r="G48" s="391">
        <f>COUNTIFS('Master Data'!$I:$I,"Non-Teacher",'Master Data'!$K:$K,"Maternelle")</f>
        <v>0</v>
      </c>
      <c r="H48" s="391">
        <f>COUNTIFS('Master Data'!$I:$I,"Non-Teacher",'Master Data'!$K:$K,"Maternelle")</f>
        <v>0</v>
      </c>
      <c r="I48" s="391">
        <f>COUNTIFS('Master Data'!$I:$I,"Non-Teacher",'Master Data'!$K:$K,"Maternelle")</f>
        <v>0</v>
      </c>
      <c r="J48" s="391">
        <f>COUNTIFS('Master Data'!$I:$I,"Non-Teacher",'Master Data'!$K:$K,"Maternelle")</f>
        <v>0</v>
      </c>
      <c r="K48" s="391">
        <f>COUNTIFS('Master Data'!$I:$I,"Non-Teacher",'Master Data'!$K:$K,"Maternelle")</f>
        <v>0</v>
      </c>
      <c r="L48" s="391">
        <f>COUNTIFS('Master Data'!$I:$I,"Non-Teacher",'Master Data'!$K:$K,"Maternelle")</f>
        <v>0</v>
      </c>
      <c r="M48" s="391">
        <f>COUNTIFS('Master Data'!$I:$I,"Non-Teacher",'Master Data'!$K:$K,"Maternelle")</f>
        <v>0</v>
      </c>
      <c r="N48" s="392">
        <f>AVERAGE(B48:M48)</f>
        <v>0</v>
      </c>
    </row>
    <row r="49" spans="1:14" x14ac:dyDescent="0.2">
      <c r="A49" s="53" t="s">
        <v>817</v>
      </c>
      <c r="B49" s="391">
        <f>COUNTIFS('Master Data'!$I:$I,"Non-Teacher",'Master Data'!$K:$K,"Élémentaire")+COUNTIFS('Master Data'!$I:$I,"Non-Teacher",'Master Data'!$K:$K,"Primaire")</f>
        <v>1</v>
      </c>
      <c r="C49" s="391">
        <f>COUNTIFS('Master Data'!$I:$I,"Non-Teacher",'Master Data'!$K:$K,"Élémentaire")+COUNTIFS('Master Data'!$I:$I,"Non-Teacher",'Master Data'!$K:$K,"Primaire")</f>
        <v>1</v>
      </c>
      <c r="D49" s="391">
        <f>COUNTIFS('Master Data'!$I:$I,"Non-Teacher",'Master Data'!$K:$K,"Élémentaire")+COUNTIFS('Master Data'!$I:$I,"Non-Teacher",'Master Data'!$K:$K,"Primaire")</f>
        <v>1</v>
      </c>
      <c r="E49" s="391">
        <f>COUNTIFS('Master Data'!$I:$I,"Non-Teacher",'Master Data'!$K:$K,"Élémentaire")+COUNTIFS('Master Data'!$I:$I,"Non-Teacher",'Master Data'!$K:$K,"Primaire")</f>
        <v>1</v>
      </c>
      <c r="F49" s="391">
        <f>COUNTIFS('Master Data'!$I:$I,"Non-Teacher",'Master Data'!$K:$K,"Élémentaire")+COUNTIFS('Master Data'!$I:$I,"Non-Teacher",'Master Data'!$K:$K,"Primaire")</f>
        <v>1</v>
      </c>
      <c r="G49" s="391">
        <f>COUNTIFS('Master Data'!$I:$I,"Non-Teacher",'Master Data'!$K:$K,"Élémentaire")+COUNTIFS('Master Data'!$I:$I,"Non-Teacher",'Master Data'!$K:$K,"Primaire")</f>
        <v>1</v>
      </c>
      <c r="H49" s="391">
        <f>COUNTIFS('Master Data'!$I:$I,"Non-Teacher",'Master Data'!$K:$K,"Élémentaire")+COUNTIFS('Master Data'!$I:$I,"Non-Teacher",'Master Data'!$K:$K,"Primaire")</f>
        <v>1</v>
      </c>
      <c r="I49" s="391">
        <f>COUNTIFS('Master Data'!$I:$I,"Non-Teacher",'Master Data'!$K:$K,"Élémentaire")+COUNTIFS('Master Data'!$I:$I,"Non-Teacher",'Master Data'!$K:$K,"Primaire")</f>
        <v>1</v>
      </c>
      <c r="J49" s="391">
        <f>COUNTIFS('Master Data'!$I:$I,"Non-Teacher",'Master Data'!$K:$K,"Élémentaire")+COUNTIFS('Master Data'!$I:$I,"Non-Teacher",'Master Data'!$K:$K,"Primaire")</f>
        <v>1</v>
      </c>
      <c r="K49" s="391">
        <f>COUNTIFS('Master Data'!$I:$I,"Non-Teacher",'Master Data'!$K:$K,"Élémentaire")+COUNTIFS('Master Data'!$I:$I,"Non-Teacher",'Master Data'!$K:$K,"Primaire")</f>
        <v>1</v>
      </c>
      <c r="L49" s="391">
        <f>COUNTIFS('Master Data'!$I:$I,"Non-Teacher",'Master Data'!$K:$K,"Élémentaire")+COUNTIFS('Master Data'!$I:$I,"Non-Teacher",'Master Data'!$K:$K,"Primaire")</f>
        <v>1</v>
      </c>
      <c r="M49" s="391">
        <f>COUNTIFS('Master Data'!$I:$I,"Non-Teacher",'Master Data'!$K:$K,"Élémentaire")+COUNTIFS('Master Data'!$I:$I,"Non-Teacher",'Master Data'!$K:$K,"Primaire")</f>
        <v>1</v>
      </c>
      <c r="N49" s="392">
        <f>AVERAGE(B49:M49)</f>
        <v>1</v>
      </c>
    </row>
    <row r="50" spans="1:14" x14ac:dyDescent="0.2">
      <c r="A50" s="53" t="s">
        <v>818</v>
      </c>
      <c r="B50" s="391">
        <f>COUNTIFS('Master Data'!$I:$I,"Non-Teacher",'Master Data'!$K:$K,"Secondaire")+COUNTIFS('Master Data'!$I:$I,"Non-Teacher",'Master Data'!$K:$K,"Vie Scolaire &amp; Support")</f>
        <v>23</v>
      </c>
      <c r="C50" s="391">
        <f>COUNTIFS('Master Data'!$I:$I,"Non-Teacher",'Master Data'!$K:$K,"Secondaire")+COUNTIFS('Master Data'!$I:$I,"Non-Teacher",'Master Data'!$K:$K,"Vie Scolaire &amp; Support")</f>
        <v>23</v>
      </c>
      <c r="D50" s="391">
        <f>COUNTIFS('Master Data'!$I:$I,"Non-Teacher",'Master Data'!$K:$K,"Secondaire")+COUNTIFS('Master Data'!$I:$I,"Non-Teacher",'Master Data'!$K:$K,"Vie Scolaire &amp; Support")</f>
        <v>23</v>
      </c>
      <c r="E50" s="391">
        <f>COUNTIFS('Master Data'!$I:$I,"Non-Teacher",'Master Data'!$K:$K,"Secondaire")+COUNTIFS('Master Data'!$I:$I,"Non-Teacher",'Master Data'!$K:$K,"Vie Scolaire &amp; Support")</f>
        <v>23</v>
      </c>
      <c r="F50" s="391">
        <f>COUNTIFS('Master Data'!$I:$I,"Non-Teacher",'Master Data'!$K:$K,"Secondaire")+COUNTIFS('Master Data'!$I:$I,"Non-Teacher",'Master Data'!$K:$K,"Vie Scolaire &amp; Support")</f>
        <v>23</v>
      </c>
      <c r="G50" s="391">
        <f>COUNTIFS('Master Data'!$I:$I,"Non-Teacher",'Master Data'!$K:$K,"Secondaire")+COUNTIFS('Master Data'!$I:$I,"Non-Teacher",'Master Data'!$K:$K,"Vie Scolaire &amp; Support")</f>
        <v>23</v>
      </c>
      <c r="H50" s="391">
        <f>COUNTIFS('Master Data'!$I:$I,"Non-Teacher",'Master Data'!$K:$K,"Secondaire")+COUNTIFS('Master Data'!$I:$I,"Non-Teacher",'Master Data'!$K:$K,"Vie Scolaire &amp; Support")</f>
        <v>23</v>
      </c>
      <c r="I50" s="391">
        <f>COUNTIFS('Master Data'!$I:$I,"Non-Teacher",'Master Data'!$K:$K,"Secondaire")+COUNTIFS('Master Data'!$I:$I,"Non-Teacher",'Master Data'!$K:$K,"Vie Scolaire &amp; Support")</f>
        <v>23</v>
      </c>
      <c r="J50" s="391">
        <f>COUNTIFS('Master Data'!$I:$I,"Non-Teacher",'Master Data'!$K:$K,"Secondaire")+COUNTIFS('Master Data'!$I:$I,"Non-Teacher",'Master Data'!$K:$K,"Vie Scolaire &amp; Support")</f>
        <v>23</v>
      </c>
      <c r="K50" s="391">
        <f>COUNTIFS('Master Data'!$I:$I,"Non-Teacher",'Master Data'!$K:$K,"Secondaire")+COUNTIFS('Master Data'!$I:$I,"Non-Teacher",'Master Data'!$K:$K,"Vie Scolaire &amp; Support")</f>
        <v>23</v>
      </c>
      <c r="L50" s="391">
        <f>COUNTIFS('Master Data'!$I:$I,"Non-Teacher",'Master Data'!$K:$K,"Secondaire")+COUNTIFS('Master Data'!$I:$I,"Non-Teacher",'Master Data'!$K:$K,"Vie Scolaire &amp; Support")</f>
        <v>23</v>
      </c>
      <c r="M50" s="391">
        <f>COUNTIFS('Master Data'!$I:$I,"Non-Teacher",'Master Data'!$K:$K,"Secondaire")+COUNTIFS('Master Data'!$I:$I,"Non-Teacher",'Master Data'!$K:$K,"Vie Scolaire &amp; Support")</f>
        <v>23</v>
      </c>
      <c r="N50" s="392">
        <f>AVERAGE(B50:M50)</f>
        <v>23</v>
      </c>
    </row>
    <row r="51" spans="1:14" x14ac:dyDescent="0.2">
      <c r="A51" s="53" t="s">
        <v>822</v>
      </c>
      <c r="B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C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D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E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F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G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H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I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J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K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L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M51" s="391">
        <f>COUNTIFS('Master Data'!$I:$I,"Non-Teacher",'Master Data'!$K:$K,"Administration")+COUNTIFS('Master Data'!$I:$I,"Non-Teacher",'Master Data'!$K:$K,"Direction")+COUNTIFS('Master Data'!$I:$I,"Non-Teacher",'Master Data'!$K:$K,"")</f>
        <v>26</v>
      </c>
      <c r="N51" s="392">
        <f>AVERAGE(B51:M51)</f>
        <v>26</v>
      </c>
    </row>
    <row r="52" spans="1:14" ht="17" thickBot="1" x14ac:dyDescent="0.25">
      <c r="A52" s="393" t="s">
        <v>823</v>
      </c>
      <c r="B52" s="394">
        <f>SUM(B48:B51)</f>
        <v>50</v>
      </c>
      <c r="C52" s="394">
        <f t="shared" ref="C52:M52" si="35">SUM(C48:C51)</f>
        <v>50</v>
      </c>
      <c r="D52" s="394">
        <f t="shared" si="35"/>
        <v>50</v>
      </c>
      <c r="E52" s="394">
        <f t="shared" si="35"/>
        <v>50</v>
      </c>
      <c r="F52" s="394">
        <f t="shared" si="35"/>
        <v>50</v>
      </c>
      <c r="G52" s="394">
        <f t="shared" si="35"/>
        <v>50</v>
      </c>
      <c r="H52" s="394">
        <f t="shared" si="35"/>
        <v>50</v>
      </c>
      <c r="I52" s="394">
        <f t="shared" si="35"/>
        <v>50</v>
      </c>
      <c r="J52" s="394">
        <f t="shared" si="35"/>
        <v>50</v>
      </c>
      <c r="K52" s="394">
        <f t="shared" si="35"/>
        <v>50</v>
      </c>
      <c r="L52" s="394">
        <f t="shared" si="35"/>
        <v>50</v>
      </c>
      <c r="M52" s="394">
        <f t="shared" si="35"/>
        <v>50</v>
      </c>
      <c r="N52" s="394">
        <f>AVERAGE(B52:M52)</f>
        <v>50</v>
      </c>
    </row>
    <row r="53" spans="1:14" x14ac:dyDescent="0.2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</row>
    <row r="54" spans="1:14" x14ac:dyDescent="0.2">
      <c r="A54" s="410" t="s">
        <v>862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</row>
    <row r="55" spans="1:14" x14ac:dyDescent="0.2">
      <c r="A55" s="411" t="s">
        <v>863</v>
      </c>
      <c r="B55" s="412">
        <f>IF(MONTH(B$3)&gt;=Assumptions!$B$33,Assumptions!$B$46,0)</f>
        <v>0</v>
      </c>
      <c r="C55" s="412">
        <f>IF(MONTH(C$3)&gt;=Assumptions!$B$33,Assumptions!$B$46,0)</f>
        <v>0</v>
      </c>
      <c r="D55" s="412">
        <f>IF(MONTH(D$3)&gt;=Assumptions!$B$33,Assumptions!$B$46,0)</f>
        <v>0</v>
      </c>
      <c r="E55" s="412">
        <f>IF(MONTH(E$3)&gt;=Assumptions!$B$33,Assumptions!$B$46,0)</f>
        <v>0</v>
      </c>
      <c r="F55" s="412">
        <f>IF(MONTH(F$3)&gt;=Assumptions!$B$33,Assumptions!$B$46,0)</f>
        <v>0</v>
      </c>
      <c r="G55" s="412">
        <f>IF(MONTH(G$3)&gt;=Assumptions!$B$33,Assumptions!$B$46,0)</f>
        <v>0</v>
      </c>
      <c r="H55" s="412">
        <f>IF(MONTH(H$3)&gt;=Assumptions!$B$33,Assumptions!$B$46,0)</f>
        <v>0</v>
      </c>
      <c r="I55" s="412">
        <f>IF(MONTH(I$3)&gt;=Assumptions!$B$33,Assumptions!$B$46,0)</f>
        <v>0</v>
      </c>
      <c r="J55" s="412">
        <f>IF(MONTH(J$3)&gt;=Assumptions!$B$33,Assumptions!$B$46,0)</f>
        <v>6</v>
      </c>
      <c r="K55" s="412">
        <f>IF(MONTH(K$3)&gt;=Assumptions!$B$33,Assumptions!$B$46,0)</f>
        <v>6</v>
      </c>
      <c r="L55" s="412">
        <f>IF(MONTH(L$3)&gt;=Assumptions!$B$33,Assumptions!$B$46,0)</f>
        <v>6</v>
      </c>
      <c r="M55" s="412">
        <f>IF(MONTH(M$3)&gt;=Assumptions!$B$33,Assumptions!$B$46,0)</f>
        <v>6</v>
      </c>
      <c r="N55" s="413">
        <f>AVERAGE(B55:M55)</f>
        <v>2</v>
      </c>
    </row>
    <row r="56" spans="1:14" ht="17" thickBot="1" x14ac:dyDescent="0.25">
      <c r="A56" s="395" t="s">
        <v>824</v>
      </c>
      <c r="B56" s="396">
        <f>B45+B52+B55</f>
        <v>186</v>
      </c>
      <c r="C56" s="396">
        <f t="shared" ref="C56:M56" si="36">C45+C52+C55</f>
        <v>186</v>
      </c>
      <c r="D56" s="396">
        <f t="shared" si="36"/>
        <v>186</v>
      </c>
      <c r="E56" s="396">
        <f t="shared" si="36"/>
        <v>186</v>
      </c>
      <c r="F56" s="396">
        <f t="shared" si="36"/>
        <v>186</v>
      </c>
      <c r="G56" s="396">
        <f t="shared" si="36"/>
        <v>186</v>
      </c>
      <c r="H56" s="396">
        <f t="shared" si="36"/>
        <v>186</v>
      </c>
      <c r="I56" s="396">
        <f t="shared" si="36"/>
        <v>186</v>
      </c>
      <c r="J56" s="396">
        <f t="shared" si="36"/>
        <v>192</v>
      </c>
      <c r="K56" s="396">
        <f t="shared" si="36"/>
        <v>192</v>
      </c>
      <c r="L56" s="396">
        <f t="shared" si="36"/>
        <v>192</v>
      </c>
      <c r="M56" s="396">
        <f t="shared" si="36"/>
        <v>192</v>
      </c>
      <c r="N56" s="396">
        <f>AVERAGE(B56:M56)</f>
        <v>188</v>
      </c>
    </row>
    <row r="57" spans="1:14" ht="17" thickTop="1" x14ac:dyDescent="0.2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Number of class 2025-26</vt:lpstr>
      <vt:lpstr>Teacher Requirements</vt:lpstr>
      <vt:lpstr>Curriculum_Detail</vt:lpstr>
      <vt:lpstr>Master Data</vt:lpstr>
      <vt:lpstr>Budget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Faker Helali</dc:creator>
  <cp:lastModifiedBy>Faker Helali</cp:lastModifiedBy>
  <dcterms:created xsi:type="dcterms:W3CDTF">2026-03-22T10:57:41Z</dcterms:created>
  <dcterms:modified xsi:type="dcterms:W3CDTF">2026-03-23T16:35:07Z</dcterms:modified>
</cp:coreProperties>
</file>