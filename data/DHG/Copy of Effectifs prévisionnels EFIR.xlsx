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166925"/>
  <mc:AlternateContent xmlns:mc="http://schemas.openxmlformats.org/markup-compatibility/2006">
    <mc:Choice Requires="x15">
      <x15ac:absPath xmlns:x15ac="http://schemas.microsoft.com/office/spreadsheetml/2010/11/ac" url="/Users/fakerhelali/Coding/School Historical Data/"/>
    </mc:Choice>
  </mc:AlternateContent>
  <xr:revisionPtr revIDLastSave="0" documentId="8_{0A3A2F88-DCEE-904F-9CB0-3A380F74B742}" xr6:coauthVersionLast="47" xr6:coauthVersionMax="47" xr10:uidLastSave="{00000000-0000-0000-0000-000000000000}"/>
  <bookViews>
    <workbookView xWindow="0" yWindow="0" windowWidth="38400" windowHeight="21600" xr2:uid="{C6862C78-E63D-4685-A164-1948813B979E}"/>
  </bookViews>
  <sheets>
    <sheet name="Méthodo" sheetId="6" r:id="rId1"/>
    <sheet name="Projection Effectifs" sheetId="1" r:id="rId2"/>
    <sheet name="Nbre de divisions" sheetId="17" r:id="rId3"/>
    <sheet name="Hypothèses " sheetId="5" r:id="rId4"/>
    <sheet name="Calcul MS Personnels" sheetId="4" r:id="rId5"/>
    <sheet name="Compte Résultat ML" sheetId="12" r:id="rId6"/>
    <sheet name="Compte Résultat Euro" sheetId="16" r:id="rId7"/>
    <sheet name="Calcul Cout Détaché" sheetId="10" state="hidden" r:id="rId8"/>
    <sheet name="Tables  Enseignants" sheetId="11" r:id="rId9"/>
    <sheet name="table années scolaires" sheetId="15" state="hidden"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7" i="17" l="1"/>
  <c r="E15" i="12"/>
  <c r="C58" i="5"/>
  <c r="D43" i="5"/>
  <c r="C38" i="5"/>
  <c r="M16" i="1"/>
  <c r="O13" i="1"/>
  <c r="E3" i="17"/>
  <c r="B39" i="17"/>
  <c r="O15" i="1"/>
  <c r="L22" i="17"/>
  <c r="D22" i="17"/>
  <c r="D23" i="17"/>
  <c r="D24" i="17"/>
  <c r="D25" i="17"/>
  <c r="D26" i="17"/>
  <c r="D21" i="17"/>
  <c r="C25" i="17"/>
  <c r="E25" i="17"/>
  <c r="F25" i="17"/>
  <c r="I25" i="17"/>
  <c r="I26" i="17" s="1"/>
  <c r="L25" i="17"/>
  <c r="L26" i="17" s="1"/>
  <c r="C24" i="17"/>
  <c r="E24" i="17"/>
  <c r="F24" i="17"/>
  <c r="I24" i="17"/>
  <c r="L24" i="17"/>
  <c r="C21" i="17"/>
  <c r="C22" i="17"/>
  <c r="F22" i="17"/>
  <c r="I22" i="17"/>
  <c r="L23" i="17"/>
  <c r="F21" i="17"/>
  <c r="I21" i="17"/>
  <c r="L21" i="17"/>
  <c r="C26" i="17"/>
  <c r="B25" i="17"/>
  <c r="B24" i="17"/>
  <c r="B26" i="17" s="1"/>
  <c r="B22" i="17"/>
  <c r="B21" i="17"/>
  <c r="B23" i="17" s="1"/>
  <c r="M4" i="17"/>
  <c r="G10" i="17"/>
  <c r="G4" i="17"/>
  <c r="D5" i="17"/>
  <c r="D6" i="17"/>
  <c r="D7" i="17"/>
  <c r="D8" i="17"/>
  <c r="D9" i="17"/>
  <c r="D10" i="17"/>
  <c r="D11" i="17"/>
  <c r="D12" i="17"/>
  <c r="D13" i="17"/>
  <c r="D14" i="17"/>
  <c r="D15" i="17"/>
  <c r="D16" i="17"/>
  <c r="D17" i="17"/>
  <c r="D18" i="17"/>
  <c r="D4" i="17"/>
  <c r="G18" i="17"/>
  <c r="H18" i="17"/>
  <c r="H17" i="17"/>
  <c r="K18" i="17" s="1"/>
  <c r="M18" i="17" s="1"/>
  <c r="H16" i="17"/>
  <c r="K17" i="17" s="1"/>
  <c r="M17" i="17" s="1"/>
  <c r="H15" i="17"/>
  <c r="K16" i="17" s="1"/>
  <c r="M16" i="17" s="1"/>
  <c r="H14" i="17"/>
  <c r="K15" i="17" s="1"/>
  <c r="M15" i="17" s="1"/>
  <c r="H13" i="17"/>
  <c r="K14" i="17" s="1"/>
  <c r="M14" i="17" s="1"/>
  <c r="H12" i="17"/>
  <c r="K13" i="17" s="1"/>
  <c r="M13" i="17" s="1"/>
  <c r="H11" i="17"/>
  <c r="K12" i="17" s="1"/>
  <c r="M12" i="17" s="1"/>
  <c r="H10" i="17"/>
  <c r="K11" i="17" s="1"/>
  <c r="M11" i="17" s="1"/>
  <c r="H9" i="17"/>
  <c r="K10" i="17" s="1"/>
  <c r="M10" i="17" s="1"/>
  <c r="H8" i="17"/>
  <c r="K9" i="17" s="1"/>
  <c r="M9" i="17" s="1"/>
  <c r="H7" i="17"/>
  <c r="K8" i="17" s="1"/>
  <c r="M8" i="17" s="1"/>
  <c r="K5" i="17"/>
  <c r="M5" i="17" s="1"/>
  <c r="K6" i="17"/>
  <c r="M6" i="17" s="1"/>
  <c r="H6" i="17"/>
  <c r="K7" i="17" s="1"/>
  <c r="M7" i="17" s="1"/>
  <c r="B3" i="17"/>
  <c r="B16" i="1"/>
  <c r="F55" i="11"/>
  <c r="H44" i="11"/>
  <c r="H45" i="11"/>
  <c r="H46" i="11"/>
  <c r="H47" i="11"/>
  <c r="H48" i="11"/>
  <c r="H49" i="11"/>
  <c r="H50" i="11"/>
  <c r="H51" i="11"/>
  <c r="H52" i="11"/>
  <c r="H53" i="11"/>
  <c r="H54" i="11"/>
  <c r="H55" i="11"/>
  <c r="H56" i="11"/>
  <c r="H57" i="11"/>
  <c r="H58" i="11"/>
  <c r="H59" i="11"/>
  <c r="H60" i="11"/>
  <c r="H61" i="11"/>
  <c r="H62" i="11"/>
  <c r="H43" i="11"/>
  <c r="G44" i="11"/>
  <c r="G45" i="11"/>
  <c r="G46" i="11"/>
  <c r="G47" i="11"/>
  <c r="G48" i="11"/>
  <c r="G49" i="11"/>
  <c r="G50" i="11"/>
  <c r="G51" i="11"/>
  <c r="G52" i="11"/>
  <c r="G53" i="11"/>
  <c r="G54" i="11"/>
  <c r="G55" i="11"/>
  <c r="G56" i="11"/>
  <c r="G57" i="11"/>
  <c r="G58" i="11"/>
  <c r="G59" i="11"/>
  <c r="G60" i="11"/>
  <c r="G61" i="11"/>
  <c r="G43" i="11"/>
  <c r="G62" i="11"/>
  <c r="H20" i="11"/>
  <c r="H21" i="11"/>
  <c r="H22" i="11"/>
  <c r="H23" i="11"/>
  <c r="H24" i="11"/>
  <c r="H25" i="11"/>
  <c r="H26" i="11"/>
  <c r="H27" i="11"/>
  <c r="H28" i="11"/>
  <c r="H29" i="11"/>
  <c r="H30" i="11"/>
  <c r="H31" i="11"/>
  <c r="H32" i="11"/>
  <c r="H33" i="11"/>
  <c r="H34" i="11"/>
  <c r="H35" i="11"/>
  <c r="H36" i="11"/>
  <c r="H19" i="11"/>
  <c r="G24" i="11"/>
  <c r="G25" i="11"/>
  <c r="G26" i="11"/>
  <c r="G27" i="11"/>
  <c r="G28" i="11"/>
  <c r="G29" i="11"/>
  <c r="G30" i="11"/>
  <c r="G31" i="11"/>
  <c r="G32" i="11"/>
  <c r="G33" i="11"/>
  <c r="G34" i="11"/>
  <c r="G35" i="11"/>
  <c r="G36" i="11"/>
  <c r="G20" i="11"/>
  <c r="G21" i="11"/>
  <c r="G22" i="11"/>
  <c r="G23" i="11"/>
  <c r="G19" i="11"/>
  <c r="H25" i="17" l="1"/>
  <c r="J25" i="17" s="1"/>
  <c r="K25" i="17"/>
  <c r="M25" i="17" s="1"/>
  <c r="H24" i="17"/>
  <c r="J24" i="17" s="1"/>
  <c r="K24" i="17"/>
  <c r="M24" i="17" s="1"/>
  <c r="I23" i="17"/>
  <c r="G24" i="17"/>
  <c r="E26" i="17"/>
  <c r="F26" i="17"/>
  <c r="G25" i="17"/>
  <c r="F23" i="17"/>
  <c r="C23" i="17"/>
  <c r="C27" i="17"/>
  <c r="B27" i="17"/>
  <c r="H21" i="17"/>
  <c r="J21" i="17" s="1"/>
  <c r="E21" i="17"/>
  <c r="G21" i="17" s="1"/>
  <c r="H22" i="17"/>
  <c r="J22" i="17" s="1"/>
  <c r="K22" i="17"/>
  <c r="M22" i="17" s="1"/>
  <c r="E22" i="17"/>
  <c r="G22" i="17" s="1"/>
  <c r="K21" i="17"/>
  <c r="L27" i="17"/>
  <c r="I27" i="17"/>
  <c r="G14" i="17"/>
  <c r="G9" i="17"/>
  <c r="G8" i="17"/>
  <c r="G6" i="17"/>
  <c r="G5" i="17"/>
  <c r="G7" i="17"/>
  <c r="G17" i="17"/>
  <c r="G16" i="17"/>
  <c r="G15" i="17"/>
  <c r="G13" i="17"/>
  <c r="G12" i="17"/>
  <c r="G11" i="17"/>
  <c r="K3" i="17"/>
  <c r="H3" i="17"/>
  <c r="E185" i="12"/>
  <c r="F185" i="12"/>
  <c r="G185" i="12"/>
  <c r="H185" i="12"/>
  <c r="D185" i="12"/>
  <c r="E133" i="12"/>
  <c r="F133" i="12"/>
  <c r="E159" i="12"/>
  <c r="F159" i="12"/>
  <c r="G159" i="12"/>
  <c r="H159" i="12"/>
  <c r="I159" i="12"/>
  <c r="J159" i="12"/>
  <c r="D159" i="12"/>
  <c r="D133" i="12"/>
  <c r="E107" i="12"/>
  <c r="D107" i="12"/>
  <c r="H17" i="1"/>
  <c r="I18" i="1" s="1"/>
  <c r="J19" i="1" s="1"/>
  <c r="K20" i="1" s="1"/>
  <c r="L21" i="1" s="1"/>
  <c r="M22" i="1" s="1"/>
  <c r="B22" i="1" s="1"/>
  <c r="H16" i="1"/>
  <c r="I17" i="1" s="1"/>
  <c r="J18" i="1" s="1"/>
  <c r="K19" i="1" s="1"/>
  <c r="L20" i="1" s="1"/>
  <c r="M21" i="1" s="1"/>
  <c r="B21" i="1" s="1"/>
  <c r="I16" i="1"/>
  <c r="J17" i="1" s="1"/>
  <c r="K18" i="1" s="1"/>
  <c r="L19" i="1" s="1"/>
  <c r="M20" i="1" s="1"/>
  <c r="B20" i="1" s="1"/>
  <c r="J16" i="1"/>
  <c r="K17" i="1" s="1"/>
  <c r="L18" i="1" s="1"/>
  <c r="M19" i="1" s="1"/>
  <c r="B19" i="1" s="1"/>
  <c r="K16" i="1"/>
  <c r="L16" i="1"/>
  <c r="L17" i="1"/>
  <c r="M18" i="1" s="1"/>
  <c r="B18" i="1" s="1"/>
  <c r="M17" i="1"/>
  <c r="B17" i="1" s="1"/>
  <c r="H19" i="1"/>
  <c r="I20" i="1" s="1"/>
  <c r="J21" i="1" s="1"/>
  <c r="K22" i="1" s="1"/>
  <c r="L23" i="1" s="1"/>
  <c r="M24" i="1" s="1"/>
  <c r="B24" i="1" s="1"/>
  <c r="H18" i="1"/>
  <c r="H20" i="1"/>
  <c r="I21" i="1" s="1"/>
  <c r="J22" i="1" s="1"/>
  <c r="K23" i="1" s="1"/>
  <c r="L24" i="1" s="1"/>
  <c r="M25" i="1" s="1"/>
  <c r="B25" i="1" s="1"/>
  <c r="H22" i="1"/>
  <c r="I23" i="1" s="1"/>
  <c r="J24" i="1" s="1"/>
  <c r="K25" i="1" s="1"/>
  <c r="L26" i="1" s="1"/>
  <c r="M27" i="1" s="1"/>
  <c r="B27" i="1" s="1"/>
  <c r="H21" i="1"/>
  <c r="I22" i="1" s="1"/>
  <c r="J23" i="1" s="1"/>
  <c r="K24" i="1" s="1"/>
  <c r="L25" i="1" s="1"/>
  <c r="M26" i="1" s="1"/>
  <c r="B26" i="1" s="1"/>
  <c r="H23" i="1"/>
  <c r="I24" i="1" s="1"/>
  <c r="J25" i="1" s="1"/>
  <c r="K26" i="1" s="1"/>
  <c r="L27" i="1" s="1"/>
  <c r="M28" i="1" s="1"/>
  <c r="B28" i="1" s="1"/>
  <c r="H25" i="1"/>
  <c r="I26" i="1" s="1"/>
  <c r="J27" i="1" s="1"/>
  <c r="K28" i="1" s="1"/>
  <c r="L29" i="1" s="1"/>
  <c r="H24" i="1"/>
  <c r="I25" i="1" s="1"/>
  <c r="J26" i="1" s="1"/>
  <c r="K27" i="1" s="1"/>
  <c r="L28" i="1" s="1"/>
  <c r="M29" i="1" s="1"/>
  <c r="B29" i="1" s="1"/>
  <c r="H27" i="1"/>
  <c r="I28" i="1" s="1"/>
  <c r="J29" i="1" s="1"/>
  <c r="H26" i="1"/>
  <c r="I27" i="1" s="1"/>
  <c r="J28" i="1" s="1"/>
  <c r="K29" i="1" s="1"/>
  <c r="H29" i="1"/>
  <c r="H28" i="1"/>
  <c r="I29" i="1" s="1"/>
  <c r="G26" i="17" l="1"/>
  <c r="H26" i="17"/>
  <c r="J26" i="17" s="1"/>
  <c r="K26" i="17"/>
  <c r="M26" i="17" s="1"/>
  <c r="I19" i="1"/>
  <c r="J20" i="1" s="1"/>
  <c r="K21" i="1" s="1"/>
  <c r="L22" i="1" s="1"/>
  <c r="M23" i="1" s="1"/>
  <c r="B23" i="1" s="1"/>
  <c r="F27" i="17"/>
  <c r="G27" i="17" s="1"/>
  <c r="K23" i="17"/>
  <c r="M21" i="17"/>
  <c r="E23" i="17"/>
  <c r="E27" i="17" s="1"/>
  <c r="H23" i="17"/>
  <c r="T36" i="1"/>
  <c r="S36" i="1"/>
  <c r="H27" i="17" l="1"/>
  <c r="J27" i="17" s="1"/>
  <c r="J23" i="17"/>
  <c r="M23" i="17"/>
  <c r="K27" i="17"/>
  <c r="M27" i="17" s="1"/>
  <c r="G23" i="17"/>
  <c r="E28" i="5"/>
  <c r="F28" i="5" s="1"/>
  <c r="G28" i="5" s="1"/>
  <c r="H28" i="5" s="1"/>
  <c r="I28" i="5" s="1"/>
  <c r="J28" i="5" s="1"/>
  <c r="K28" i="5" s="1"/>
  <c r="E23" i="5"/>
  <c r="F23" i="5" s="1"/>
  <c r="C187" i="16"/>
  <c r="C186" i="16"/>
  <c r="C161" i="16"/>
  <c r="C160" i="16"/>
  <c r="C135" i="16"/>
  <c r="C134" i="16"/>
  <c r="C109" i="16"/>
  <c r="C108" i="16"/>
  <c r="N48" i="5"/>
  <c r="O48" i="5" s="1"/>
  <c r="P48" i="5" s="1"/>
  <c r="Q48" i="5" s="1"/>
  <c r="R48" i="5" s="1"/>
  <c r="S48" i="5" s="1"/>
  <c r="T48" i="5" s="1"/>
  <c r="N20" i="5"/>
  <c r="O20" i="5" s="1"/>
  <c r="P20" i="5" s="1"/>
  <c r="Q20" i="5" s="1"/>
  <c r="R20" i="5" s="1"/>
  <c r="S20" i="5" s="1"/>
  <c r="T20" i="5" s="1"/>
  <c r="U59" i="5" l="1"/>
  <c r="U60" i="5"/>
  <c r="C10" i="5" l="1"/>
  <c r="E12" i="1" s="1"/>
  <c r="U37" i="1" s="1"/>
  <c r="C12" i="1" l="1"/>
  <c r="S31" i="1" s="1"/>
  <c r="I12" i="1"/>
  <c r="Y37" i="1" s="1"/>
  <c r="K12" i="1"/>
  <c r="K31" i="1" s="1"/>
  <c r="G12" i="1"/>
  <c r="G31" i="1" s="1"/>
  <c r="J12" i="1"/>
  <c r="Z31" i="1" s="1"/>
  <c r="D12" i="1"/>
  <c r="T44" i="1" s="1"/>
  <c r="L12" i="1"/>
  <c r="AB44" i="1" s="1"/>
  <c r="H12" i="1"/>
  <c r="X44" i="1" s="1"/>
  <c r="M12" i="1"/>
  <c r="AC37" i="1" s="1"/>
  <c r="F12" i="1"/>
  <c r="V31" i="1" s="1"/>
  <c r="U31" i="1"/>
  <c r="E31" i="1"/>
  <c r="U44" i="1"/>
  <c r="E12" i="5"/>
  <c r="P73" i="5" s="1"/>
  <c r="F12" i="5"/>
  <c r="Q73" i="5" s="1"/>
  <c r="G12" i="5"/>
  <c r="R73" i="5" s="1"/>
  <c r="H12" i="5"/>
  <c r="S73" i="5" s="1"/>
  <c r="I12" i="5"/>
  <c r="T73" i="5" s="1"/>
  <c r="J12" i="5"/>
  <c r="U73" i="5" s="1"/>
  <c r="K12" i="5"/>
  <c r="D12" i="5"/>
  <c r="O73" i="5" s="1"/>
  <c r="K97" i="5" l="1"/>
  <c r="K19" i="5"/>
  <c r="H97" i="5"/>
  <c r="H19" i="5"/>
  <c r="G97" i="5"/>
  <c r="G19" i="5"/>
  <c r="J97" i="5"/>
  <c r="J19" i="5"/>
  <c r="F97" i="5"/>
  <c r="F19" i="5"/>
  <c r="I97" i="5"/>
  <c r="I19" i="5"/>
  <c r="E97" i="5"/>
  <c r="E19" i="5"/>
  <c r="C31" i="1"/>
  <c r="S37" i="1"/>
  <c r="Z37" i="1"/>
  <c r="S44" i="1"/>
  <c r="AA31" i="1"/>
  <c r="AA37" i="1"/>
  <c r="Z44" i="1"/>
  <c r="L31" i="1"/>
  <c r="AA44" i="1"/>
  <c r="AB31" i="1"/>
  <c r="V37" i="1"/>
  <c r="F31" i="1"/>
  <c r="Y44" i="1"/>
  <c r="I31" i="1"/>
  <c r="AC44" i="1"/>
  <c r="W31" i="1"/>
  <c r="V44" i="1"/>
  <c r="T31" i="1"/>
  <c r="M31" i="1"/>
  <c r="Y31" i="1"/>
  <c r="T37" i="1"/>
  <c r="D31" i="1"/>
  <c r="X31" i="1"/>
  <c r="AB37" i="1"/>
  <c r="J31" i="1"/>
  <c r="W37" i="1"/>
  <c r="W44" i="1"/>
  <c r="X37" i="1"/>
  <c r="H31" i="1"/>
  <c r="AC31" i="1"/>
  <c r="D97" i="5"/>
  <c r="D19" i="5"/>
  <c r="D31" i="5"/>
  <c r="E31" i="5"/>
  <c r="F31" i="5"/>
  <c r="G31" i="5"/>
  <c r="H31" i="5"/>
  <c r="I31" i="5"/>
  <c r="J31" i="5"/>
  <c r="K31" i="5"/>
  <c r="M19" i="5"/>
  <c r="O22" i="1"/>
  <c r="O24" i="1"/>
  <c r="O25" i="1"/>
  <c r="D183" i="12" l="1"/>
  <c r="C183" i="12"/>
  <c r="D135" i="16" l="1"/>
  <c r="D134" i="16"/>
  <c r="D187" i="16"/>
  <c r="D186" i="16"/>
  <c r="D109" i="16"/>
  <c r="D108" i="16"/>
  <c r="E99" i="5" l="1"/>
  <c r="F99" i="5" s="1"/>
  <c r="G99" i="5" s="1"/>
  <c r="H99" i="5" s="1"/>
  <c r="I99" i="5" s="1"/>
  <c r="J99" i="5" s="1"/>
  <c r="K99" i="5" s="1"/>
  <c r="E100" i="5"/>
  <c r="E98" i="5"/>
  <c r="F100" i="5" l="1"/>
  <c r="E223" i="4"/>
  <c r="G98" i="5"/>
  <c r="G100" i="5" l="1"/>
  <c r="F223" i="4"/>
  <c r="H98" i="5"/>
  <c r="I98" i="5" s="1"/>
  <c r="E83" i="5"/>
  <c r="F83" i="5" s="1"/>
  <c r="G83" i="5" s="1"/>
  <c r="H83" i="5" s="1"/>
  <c r="I83" i="5" s="1"/>
  <c r="J83" i="5" s="1"/>
  <c r="K83" i="5" s="1"/>
  <c r="E82" i="5"/>
  <c r="F82" i="5" s="1"/>
  <c r="G82" i="5" s="1"/>
  <c r="H82" i="5" s="1"/>
  <c r="I82" i="5" s="1"/>
  <c r="J82" i="5" s="1"/>
  <c r="K82" i="5" s="1"/>
  <c r="E81" i="5"/>
  <c r="F81" i="5" s="1"/>
  <c r="G81" i="5" s="1"/>
  <c r="H81" i="5" s="1"/>
  <c r="I81" i="5" s="1"/>
  <c r="J81" i="5" s="1"/>
  <c r="K81" i="5" s="1"/>
  <c r="E80" i="5"/>
  <c r="F80" i="5" s="1"/>
  <c r="G80" i="5" s="1"/>
  <c r="H80" i="5" s="1"/>
  <c r="I80" i="5" s="1"/>
  <c r="J80" i="5" s="1"/>
  <c r="K80" i="5" s="1"/>
  <c r="E79" i="5"/>
  <c r="F79" i="5" s="1"/>
  <c r="G79" i="5" s="1"/>
  <c r="H79" i="5" s="1"/>
  <c r="I79" i="5" s="1"/>
  <c r="J79" i="5" s="1"/>
  <c r="K79" i="5" s="1"/>
  <c r="E78" i="5"/>
  <c r="F78" i="5" s="1"/>
  <c r="G78" i="5" s="1"/>
  <c r="H78" i="5" s="1"/>
  <c r="I78" i="5" s="1"/>
  <c r="J78" i="5" s="1"/>
  <c r="K78" i="5" s="1"/>
  <c r="E77" i="5"/>
  <c r="F77" i="5" s="1"/>
  <c r="G77" i="5" s="1"/>
  <c r="H77" i="5" s="1"/>
  <c r="I77" i="5" s="1"/>
  <c r="J77" i="5" s="1"/>
  <c r="K77" i="5" s="1"/>
  <c r="E76" i="5"/>
  <c r="F76" i="5" s="1"/>
  <c r="D75" i="5"/>
  <c r="C75" i="5"/>
  <c r="D67" i="5"/>
  <c r="C67" i="5"/>
  <c r="H100" i="5" l="1"/>
  <c r="G223" i="4"/>
  <c r="J98" i="5"/>
  <c r="E67" i="5"/>
  <c r="G76" i="5"/>
  <c r="F75" i="5"/>
  <c r="E75" i="5"/>
  <c r="I100" i="5" l="1"/>
  <c r="H223" i="4"/>
  <c r="K98" i="5"/>
  <c r="F67" i="5"/>
  <c r="H76" i="5"/>
  <c r="G75" i="5"/>
  <c r="J100" i="5" l="1"/>
  <c r="I223" i="4"/>
  <c r="G67" i="5"/>
  <c r="I76" i="5"/>
  <c r="H75" i="5"/>
  <c r="B246" i="4"/>
  <c r="B244" i="4"/>
  <c r="B243" i="4"/>
  <c r="B242" i="4"/>
  <c r="B241" i="4"/>
  <c r="B240" i="4"/>
  <c r="B239" i="4"/>
  <c r="B238" i="4"/>
  <c r="B237" i="4"/>
  <c r="B235" i="4"/>
  <c r="B234" i="4"/>
  <c r="B233" i="4"/>
  <c r="B232" i="4"/>
  <c r="B231" i="4"/>
  <c r="B230" i="4"/>
  <c r="B229" i="4"/>
  <c r="B228" i="4"/>
  <c r="B217" i="4"/>
  <c r="B216" i="4"/>
  <c r="B215" i="4"/>
  <c r="B214" i="4"/>
  <c r="B213" i="4"/>
  <c r="B212" i="4"/>
  <c r="B211" i="4"/>
  <c r="B210" i="4"/>
  <c r="B207" i="4"/>
  <c r="B206" i="4"/>
  <c r="B205" i="4"/>
  <c r="B204" i="4"/>
  <c r="B203" i="4"/>
  <c r="B202" i="4"/>
  <c r="B201" i="4"/>
  <c r="B200" i="4"/>
  <c r="B190" i="4"/>
  <c r="B189" i="4"/>
  <c r="B188" i="4"/>
  <c r="B187" i="4"/>
  <c r="B186" i="4"/>
  <c r="B185" i="4"/>
  <c r="B184" i="4"/>
  <c r="B183" i="4"/>
  <c r="B181" i="4"/>
  <c r="B180" i="4"/>
  <c r="B179" i="4"/>
  <c r="B178" i="4"/>
  <c r="B177" i="4"/>
  <c r="B176" i="4"/>
  <c r="B175" i="4"/>
  <c r="B174" i="4"/>
  <c r="B192" i="4"/>
  <c r="T169" i="11"/>
  <c r="T168" i="11"/>
  <c r="T167" i="11"/>
  <c r="T166" i="11"/>
  <c r="T165" i="11"/>
  <c r="T164" i="11"/>
  <c r="T163" i="11"/>
  <c r="T162" i="11"/>
  <c r="T161" i="11"/>
  <c r="T160" i="11"/>
  <c r="T159" i="11"/>
  <c r="T158" i="11"/>
  <c r="T157" i="11"/>
  <c r="T156" i="11"/>
  <c r="T155" i="11"/>
  <c r="K100" i="5" l="1"/>
  <c r="K223" i="4" s="1"/>
  <c r="J223" i="4"/>
  <c r="J76" i="5"/>
  <c r="I75" i="5"/>
  <c r="H67" i="5"/>
  <c r="I67" i="5" l="1"/>
  <c r="K76" i="5"/>
  <c r="K75" i="5" s="1"/>
  <c r="J75" i="5"/>
  <c r="K67" i="5" l="1"/>
  <c r="J67" i="5"/>
  <c r="B163" i="4" l="1"/>
  <c r="B162" i="4"/>
  <c r="B161" i="4"/>
  <c r="B160" i="4"/>
  <c r="B159" i="4"/>
  <c r="B158" i="4"/>
  <c r="B157" i="4"/>
  <c r="B156" i="4"/>
  <c r="B153" i="4"/>
  <c r="B152" i="4"/>
  <c r="B151" i="4"/>
  <c r="B150" i="4"/>
  <c r="B149" i="4"/>
  <c r="B148" i="4"/>
  <c r="B147" i="4"/>
  <c r="B146" i="4"/>
  <c r="B137" i="4"/>
  <c r="B104" i="4"/>
  <c r="B105" i="4"/>
  <c r="B106" i="4"/>
  <c r="B107" i="4"/>
  <c r="B108" i="4"/>
  <c r="B109" i="4"/>
  <c r="B110" i="4"/>
  <c r="B58" i="4"/>
  <c r="B57" i="4"/>
  <c r="B56" i="4"/>
  <c r="B55" i="4"/>
  <c r="B54" i="4"/>
  <c r="B53" i="4"/>
  <c r="B52" i="4"/>
  <c r="B101" i="4"/>
  <c r="B100" i="4"/>
  <c r="B99" i="4"/>
  <c r="B98" i="4"/>
  <c r="B97" i="4"/>
  <c r="B96" i="4"/>
  <c r="B95" i="4"/>
  <c r="B94" i="4"/>
  <c r="B49" i="4"/>
  <c r="B48" i="4"/>
  <c r="B47" i="4"/>
  <c r="B46" i="4"/>
  <c r="B45" i="4"/>
  <c r="B44" i="4"/>
  <c r="B43" i="4"/>
  <c r="B42" i="4"/>
  <c r="E22" i="4"/>
  <c r="F22" i="4"/>
  <c r="G22" i="4"/>
  <c r="M56" i="4"/>
  <c r="F4" i="4"/>
  <c r="G4" i="4"/>
  <c r="H4" i="4"/>
  <c r="I4" i="4"/>
  <c r="J4" i="4"/>
  <c r="K4" i="4"/>
  <c r="E4" i="4"/>
  <c r="C12" i="5"/>
  <c r="N73" i="5" s="1"/>
  <c r="C25" i="4"/>
  <c r="C26" i="4"/>
  <c r="C27" i="4"/>
  <c r="C28" i="4"/>
  <c r="C29" i="4"/>
  <c r="C30" i="4"/>
  <c r="C31" i="4"/>
  <c r="C32" i="4"/>
  <c r="D13" i="4"/>
  <c r="C22" i="4"/>
  <c r="D22" i="4"/>
  <c r="C16" i="4"/>
  <c r="C17" i="4"/>
  <c r="C18" i="4"/>
  <c r="C19" i="4"/>
  <c r="C20" i="4"/>
  <c r="C21" i="4"/>
  <c r="C8" i="4"/>
  <c r="C9" i="4"/>
  <c r="C10" i="4"/>
  <c r="C11" i="4"/>
  <c r="C12" i="4"/>
  <c r="C9" i="5"/>
  <c r="C13" i="16" l="1"/>
  <c r="C4" i="16"/>
  <c r="D34" i="4"/>
  <c r="B123" i="4"/>
  <c r="B81" i="4"/>
  <c r="B135" i="4"/>
  <c r="B131" i="4"/>
  <c r="B120" i="4"/>
  <c r="B124" i="4"/>
  <c r="B134" i="4"/>
  <c r="B130" i="4"/>
  <c r="B121" i="4"/>
  <c r="B125" i="4"/>
  <c r="B133" i="4"/>
  <c r="B129" i="4"/>
  <c r="B122" i="4"/>
  <c r="B126" i="4"/>
  <c r="B132" i="4"/>
  <c r="C31" i="5"/>
  <c r="C19" i="5"/>
  <c r="C4" i="12"/>
  <c r="C13" i="12"/>
  <c r="D68" i="4"/>
  <c r="E68" i="4" s="1"/>
  <c r="H38" i="4"/>
  <c r="H196" i="4"/>
  <c r="J90" i="4"/>
  <c r="J196" i="4"/>
  <c r="F90" i="4"/>
  <c r="F196" i="4"/>
  <c r="E142" i="4"/>
  <c r="E196" i="4"/>
  <c r="K90" i="4"/>
  <c r="K196" i="4"/>
  <c r="G90" i="4"/>
  <c r="G196" i="4"/>
  <c r="I90" i="4"/>
  <c r="I196" i="4"/>
  <c r="G142" i="4"/>
  <c r="K142" i="4"/>
  <c r="H142" i="4"/>
  <c r="I142" i="4"/>
  <c r="F142" i="4"/>
  <c r="J142" i="4"/>
  <c r="B127" i="4"/>
  <c r="F38" i="4"/>
  <c r="J38" i="4"/>
  <c r="E90" i="4"/>
  <c r="E38" i="4"/>
  <c r="H90" i="4"/>
  <c r="I38" i="4"/>
  <c r="D34" i="5"/>
  <c r="K38" i="4"/>
  <c r="G38" i="4"/>
  <c r="C24" i="4"/>
  <c r="C15" i="4"/>
  <c r="C133" i="12" l="1"/>
  <c r="C159" i="12"/>
  <c r="C185" i="12"/>
  <c r="C132" i="12"/>
  <c r="C135" i="12"/>
  <c r="C161" i="12"/>
  <c r="C187" i="12"/>
  <c r="C134" i="12"/>
  <c r="C160" i="12"/>
  <c r="C186" i="12"/>
  <c r="C109" i="12"/>
  <c r="C108" i="12"/>
  <c r="C158" i="12"/>
  <c r="C184" i="12"/>
  <c r="C107" i="12"/>
  <c r="C106" i="12"/>
  <c r="D161" i="16"/>
  <c r="D160" i="16"/>
  <c r="D4" i="12"/>
  <c r="E4" i="12" s="1"/>
  <c r="F4" i="12" s="1"/>
  <c r="G4" i="12" s="1"/>
  <c r="H4" i="12" s="1"/>
  <c r="I4" i="12" s="1"/>
  <c r="J4" i="12" s="1"/>
  <c r="U35" i="5" s="1"/>
  <c r="D4" i="16"/>
  <c r="D13" i="16"/>
  <c r="E13" i="16" s="1"/>
  <c r="F13" i="16" s="1"/>
  <c r="G13" i="16" s="1"/>
  <c r="H13" i="16" s="1"/>
  <c r="I13" i="16" s="1"/>
  <c r="J13" i="16" s="1"/>
  <c r="C58" i="16"/>
  <c r="C17" i="12"/>
  <c r="C17" i="16" s="1"/>
  <c r="C52" i="12"/>
  <c r="C51" i="12"/>
  <c r="C44" i="12"/>
  <c r="C43" i="12"/>
  <c r="C36" i="12"/>
  <c r="C28" i="12"/>
  <c r="C19" i="12"/>
  <c r="C18" i="12"/>
  <c r="C35" i="12"/>
  <c r="C27" i="12"/>
  <c r="C16" i="12"/>
  <c r="C16" i="16" s="1"/>
  <c r="E34" i="4"/>
  <c r="F68" i="4"/>
  <c r="D119" i="4"/>
  <c r="D173" i="4" s="1"/>
  <c r="D13" i="12"/>
  <c r="C58" i="12"/>
  <c r="C34" i="5"/>
  <c r="D105" i="5"/>
  <c r="D132" i="5" s="1"/>
  <c r="D148" i="5" s="1"/>
  <c r="E148" i="5" s="1"/>
  <c r="F148" i="5" s="1"/>
  <c r="G148" i="5" s="1"/>
  <c r="H148" i="5" s="1"/>
  <c r="I148" i="5" s="1"/>
  <c r="J148" i="5" s="1"/>
  <c r="K148" i="5" s="1"/>
  <c r="E34" i="5"/>
  <c r="F34" i="5" s="1"/>
  <c r="G34" i="5" s="1"/>
  <c r="H34" i="5" s="1"/>
  <c r="I34" i="5" s="1"/>
  <c r="J34" i="5" s="1"/>
  <c r="K34" i="5" s="1"/>
  <c r="D132" i="12" l="1"/>
  <c r="D134" i="12"/>
  <c r="D160" i="12"/>
  <c r="D186" i="12"/>
  <c r="D109" i="12"/>
  <c r="D108" i="12"/>
  <c r="D158" i="12"/>
  <c r="D184" i="12"/>
  <c r="D106" i="12"/>
  <c r="D135" i="12"/>
  <c r="D161" i="12"/>
  <c r="D187" i="12"/>
  <c r="U36" i="5"/>
  <c r="D23" i="12"/>
  <c r="C23" i="12"/>
  <c r="C59" i="16"/>
  <c r="D58" i="16"/>
  <c r="E4" i="16"/>
  <c r="D51" i="12"/>
  <c r="D43" i="12"/>
  <c r="D35" i="12"/>
  <c r="D28" i="12"/>
  <c r="D27" i="12"/>
  <c r="D19" i="12"/>
  <c r="D18" i="12"/>
  <c r="D17" i="12"/>
  <c r="D17" i="16" s="1"/>
  <c r="D16" i="12"/>
  <c r="D16" i="16" s="1"/>
  <c r="D58" i="12"/>
  <c r="C59" i="12"/>
  <c r="E13" i="12"/>
  <c r="D36" i="4"/>
  <c r="D35" i="4"/>
  <c r="E36" i="4"/>
  <c r="F34" i="4"/>
  <c r="G68" i="4"/>
  <c r="E119" i="4"/>
  <c r="F119" i="4" s="1"/>
  <c r="G119" i="4" s="1"/>
  <c r="H119" i="4" s="1"/>
  <c r="I119" i="4" s="1"/>
  <c r="J119" i="4" s="1"/>
  <c r="K119" i="4" s="1"/>
  <c r="E173" i="4"/>
  <c r="F173" i="4" s="1"/>
  <c r="G173" i="4" s="1"/>
  <c r="H173" i="4" s="1"/>
  <c r="I173" i="4" s="1"/>
  <c r="J173" i="4" s="1"/>
  <c r="K173" i="4" s="1"/>
  <c r="D227" i="4"/>
  <c r="E227" i="4" s="1"/>
  <c r="F227" i="4" s="1"/>
  <c r="G227" i="4" s="1"/>
  <c r="H227" i="4" s="1"/>
  <c r="I227" i="4" s="1"/>
  <c r="J227" i="4" s="1"/>
  <c r="K227" i="4" s="1"/>
  <c r="E23" i="12" l="1"/>
  <c r="E135" i="12"/>
  <c r="E161" i="12"/>
  <c r="E187" i="12"/>
  <c r="E132" i="12"/>
  <c r="E134" i="12"/>
  <c r="E160" i="12"/>
  <c r="E158" i="12"/>
  <c r="E184" i="12"/>
  <c r="E106" i="12"/>
  <c r="E186" i="12"/>
  <c r="E109" i="12"/>
  <c r="E108" i="12"/>
  <c r="E58" i="16"/>
  <c r="D59" i="16"/>
  <c r="F4" i="16"/>
  <c r="C105" i="12"/>
  <c r="E19" i="12"/>
  <c r="E16" i="12"/>
  <c r="E16" i="16" s="1"/>
  <c r="E27" i="12"/>
  <c r="E18" i="12"/>
  <c r="E17" i="12"/>
  <c r="E17" i="16" s="1"/>
  <c r="E58" i="12"/>
  <c r="F58" i="12" s="1"/>
  <c r="G58" i="12" s="1"/>
  <c r="H58" i="12" s="1"/>
  <c r="I58" i="12" s="1"/>
  <c r="J58" i="12" s="1"/>
  <c r="D59" i="12"/>
  <c r="F13" i="12"/>
  <c r="F36" i="4"/>
  <c r="G34" i="4"/>
  <c r="F35" i="4"/>
  <c r="H68" i="4"/>
  <c r="E35" i="4"/>
  <c r="D38" i="5" l="1"/>
  <c r="E38" i="5" s="1"/>
  <c r="F23" i="12"/>
  <c r="F109" i="12"/>
  <c r="F108" i="12"/>
  <c r="C5" i="16"/>
  <c r="D105" i="12"/>
  <c r="G4" i="16"/>
  <c r="E59" i="16"/>
  <c r="F58" i="16"/>
  <c r="F16" i="12"/>
  <c r="F16" i="16" s="1"/>
  <c r="F18" i="12"/>
  <c r="F17" i="12"/>
  <c r="F17" i="16" s="1"/>
  <c r="F19" i="12"/>
  <c r="G13" i="12"/>
  <c r="G36" i="4"/>
  <c r="H34" i="4"/>
  <c r="I68" i="4"/>
  <c r="C7" i="4"/>
  <c r="G35" i="4"/>
  <c r="D37" i="4" l="1"/>
  <c r="G23" i="12"/>
  <c r="G135" i="12"/>
  <c r="G134" i="12"/>
  <c r="C105" i="16"/>
  <c r="C44" i="16"/>
  <c r="C23" i="16"/>
  <c r="C36" i="16"/>
  <c r="C35" i="16"/>
  <c r="C28" i="16"/>
  <c r="C52" i="16"/>
  <c r="C183" i="16"/>
  <c r="C43" i="16"/>
  <c r="C19" i="16"/>
  <c r="C27" i="16"/>
  <c r="C18" i="16"/>
  <c r="C51" i="16"/>
  <c r="F38" i="5"/>
  <c r="D5" i="16"/>
  <c r="E37" i="4"/>
  <c r="G58" i="16"/>
  <c r="H4" i="16"/>
  <c r="G17" i="12"/>
  <c r="G17" i="16" s="1"/>
  <c r="G18" i="12"/>
  <c r="G19" i="12"/>
  <c r="G16" i="12"/>
  <c r="G16" i="16" s="1"/>
  <c r="E59" i="12"/>
  <c r="H13" i="12"/>
  <c r="H36" i="4"/>
  <c r="I34" i="4"/>
  <c r="J68" i="4"/>
  <c r="H35" i="4"/>
  <c r="F59" i="16"/>
  <c r="I11" i="10"/>
  <c r="I12" i="10" s="1"/>
  <c r="H23" i="12" l="1"/>
  <c r="D18" i="16"/>
  <c r="D27" i="16"/>
  <c r="D19" i="16"/>
  <c r="D51" i="16"/>
  <c r="D183" i="16"/>
  <c r="D35" i="16"/>
  <c r="D28" i="16"/>
  <c r="D43" i="16"/>
  <c r="D23" i="16"/>
  <c r="D184" i="16"/>
  <c r="G38" i="5"/>
  <c r="E5" i="16"/>
  <c r="F37" i="4"/>
  <c r="D132" i="16"/>
  <c r="D158" i="16"/>
  <c r="D105" i="16"/>
  <c r="I4" i="16"/>
  <c r="H58" i="16"/>
  <c r="H19" i="12"/>
  <c r="H18" i="12"/>
  <c r="H17" i="12"/>
  <c r="H17" i="16" s="1"/>
  <c r="H16" i="12"/>
  <c r="H16" i="16" s="1"/>
  <c r="G59" i="16"/>
  <c r="F59" i="12"/>
  <c r="I13" i="12"/>
  <c r="I36" i="4"/>
  <c r="J34" i="4"/>
  <c r="K68" i="4"/>
  <c r="I35" i="4"/>
  <c r="B12" i="10"/>
  <c r="C11" i="10"/>
  <c r="H12" i="10"/>
  <c r="E12" i="10"/>
  <c r="F11" i="10"/>
  <c r="D11" i="10"/>
  <c r="D12" i="10" s="1"/>
  <c r="I23" i="12" l="1"/>
  <c r="I187" i="12"/>
  <c r="I186" i="12"/>
  <c r="E19" i="16"/>
  <c r="E23" i="16"/>
  <c r="E184" i="16"/>
  <c r="E18" i="16"/>
  <c r="E27" i="16"/>
  <c r="H38" i="5"/>
  <c r="G37" i="4"/>
  <c r="F5" i="16"/>
  <c r="I58" i="16"/>
  <c r="J4" i="16"/>
  <c r="I17" i="12"/>
  <c r="I17" i="16" s="1"/>
  <c r="I19" i="12"/>
  <c r="I16" i="12"/>
  <c r="I16" i="16" s="1"/>
  <c r="I18" i="12"/>
  <c r="H59" i="16"/>
  <c r="G59" i="12"/>
  <c r="J13" i="12"/>
  <c r="J36" i="4"/>
  <c r="K34" i="4"/>
  <c r="J35" i="4"/>
  <c r="G11" i="10"/>
  <c r="B84" i="4"/>
  <c r="B83" i="4"/>
  <c r="B76" i="4"/>
  <c r="E25" i="4"/>
  <c r="F25" i="4"/>
  <c r="G25" i="4"/>
  <c r="H25" i="4"/>
  <c r="I25" i="4"/>
  <c r="J25" i="4"/>
  <c r="K25" i="4"/>
  <c r="E26" i="4"/>
  <c r="F26" i="4"/>
  <c r="G26" i="4"/>
  <c r="H26" i="4"/>
  <c r="I26" i="4"/>
  <c r="J26" i="4"/>
  <c r="K26" i="4"/>
  <c r="E27" i="4"/>
  <c r="F27" i="4"/>
  <c r="G27" i="4"/>
  <c r="H27" i="4"/>
  <c r="I27" i="4"/>
  <c r="J27" i="4"/>
  <c r="K27" i="4"/>
  <c r="E28" i="4"/>
  <c r="F28" i="4"/>
  <c r="G28" i="4"/>
  <c r="H28" i="4"/>
  <c r="I28" i="4"/>
  <c r="J28" i="4"/>
  <c r="K28" i="4"/>
  <c r="E29" i="4"/>
  <c r="F29" i="4"/>
  <c r="G29" i="4"/>
  <c r="H29" i="4"/>
  <c r="I29" i="4"/>
  <c r="J29" i="4"/>
  <c r="K29" i="4"/>
  <c r="E30" i="4"/>
  <c r="F30" i="4"/>
  <c r="G30" i="4"/>
  <c r="H30" i="4"/>
  <c r="I30" i="4"/>
  <c r="J30" i="4"/>
  <c r="K30" i="4"/>
  <c r="E31" i="4"/>
  <c r="F31" i="4"/>
  <c r="G31" i="4"/>
  <c r="H31" i="4"/>
  <c r="I31" i="4"/>
  <c r="J31" i="4"/>
  <c r="K31" i="4"/>
  <c r="E32" i="4"/>
  <c r="F32" i="4"/>
  <c r="G32" i="4"/>
  <c r="H32" i="4"/>
  <c r="I32" i="4"/>
  <c r="J32" i="4"/>
  <c r="K32" i="4"/>
  <c r="D26" i="4"/>
  <c r="D27" i="4"/>
  <c r="D28" i="4"/>
  <c r="D29" i="4"/>
  <c r="D30" i="4"/>
  <c r="D31" i="4"/>
  <c r="D32" i="4"/>
  <c r="D21" i="4"/>
  <c r="E21" i="4"/>
  <c r="F21" i="4"/>
  <c r="G21" i="4"/>
  <c r="H21" i="4"/>
  <c r="I21" i="4"/>
  <c r="J21" i="4"/>
  <c r="K21" i="4"/>
  <c r="H22" i="4"/>
  <c r="I22" i="4"/>
  <c r="J22" i="4"/>
  <c r="K22" i="4"/>
  <c r="E13" i="4"/>
  <c r="F13" i="4"/>
  <c r="G13" i="4"/>
  <c r="H13" i="4"/>
  <c r="I13" i="4"/>
  <c r="J13" i="4"/>
  <c r="K13" i="4"/>
  <c r="B88" i="4"/>
  <c r="B86" i="4"/>
  <c r="B78" i="4"/>
  <c r="B79" i="4"/>
  <c r="B80" i="4"/>
  <c r="B82" i="4"/>
  <c r="B70" i="4"/>
  <c r="B71" i="4"/>
  <c r="B72" i="4"/>
  <c r="B73" i="4"/>
  <c r="B74" i="4"/>
  <c r="B75" i="4"/>
  <c r="J23" i="12" l="1"/>
  <c r="I38" i="5"/>
  <c r="H37" i="4"/>
  <c r="G5" i="16"/>
  <c r="F19" i="16"/>
  <c r="F18" i="16"/>
  <c r="F23" i="16"/>
  <c r="J58" i="16"/>
  <c r="J16" i="12"/>
  <c r="J16" i="16" s="1"/>
  <c r="J19" i="12"/>
  <c r="J18" i="12"/>
  <c r="J17" i="12"/>
  <c r="J17" i="16" s="1"/>
  <c r="I59" i="16"/>
  <c r="H59" i="12"/>
  <c r="K36" i="4"/>
  <c r="K35" i="4"/>
  <c r="C4" i="4"/>
  <c r="C57" i="5"/>
  <c r="C6" i="4" s="1"/>
  <c r="F24" i="4"/>
  <c r="J24" i="4"/>
  <c r="H24" i="4"/>
  <c r="I24" i="4"/>
  <c r="E24" i="4"/>
  <c r="K24" i="4"/>
  <c r="G24" i="4"/>
  <c r="D4" i="4"/>
  <c r="D57" i="5"/>
  <c r="D85" i="5" s="1"/>
  <c r="J38" i="5" l="1"/>
  <c r="H5" i="16"/>
  <c r="I37" i="4"/>
  <c r="G23" i="16"/>
  <c r="G18" i="16"/>
  <c r="G19" i="16"/>
  <c r="J59" i="12"/>
  <c r="I59" i="12"/>
  <c r="C5" i="4"/>
  <c r="C42" i="5"/>
  <c r="C85" i="5"/>
  <c r="D142" i="4"/>
  <c r="D196" i="4"/>
  <c r="C142" i="4"/>
  <c r="C196" i="4"/>
  <c r="C90" i="4"/>
  <c r="C38" i="4"/>
  <c r="D38" i="4"/>
  <c r="D90" i="4"/>
  <c r="E57" i="5"/>
  <c r="H18" i="16" l="1"/>
  <c r="H19" i="16"/>
  <c r="H23" i="16"/>
  <c r="K38" i="5"/>
  <c r="I5" i="16"/>
  <c r="J37" i="4"/>
  <c r="J59" i="16"/>
  <c r="C48" i="5"/>
  <c r="F57" i="5"/>
  <c r="I18" i="16" l="1"/>
  <c r="I19" i="16"/>
  <c r="I23" i="16"/>
  <c r="K37" i="4"/>
  <c r="J5" i="16"/>
  <c r="C170" i="4"/>
  <c r="C224" i="4"/>
  <c r="C90" i="5"/>
  <c r="G57" i="5"/>
  <c r="H57" i="5"/>
  <c r="J23" i="16" l="1"/>
  <c r="J18" i="16"/>
  <c r="J19" i="16"/>
  <c r="C62" i="4"/>
  <c r="C97" i="5"/>
  <c r="C223" i="4" s="1"/>
  <c r="C114" i="4"/>
  <c r="I57" i="5"/>
  <c r="C169" i="4" l="1"/>
  <c r="J57" i="5"/>
  <c r="F16" i="5" l="1"/>
  <c r="E183" i="12"/>
  <c r="E183" i="16" s="1"/>
  <c r="F14" i="5"/>
  <c r="F15" i="5"/>
  <c r="K57" i="5"/>
  <c r="F161" i="12" l="1"/>
  <c r="F160" i="12"/>
  <c r="F158" i="12"/>
  <c r="F132" i="12"/>
  <c r="F135" i="12"/>
  <c r="F134" i="12"/>
  <c r="F184" i="12"/>
  <c r="F184" i="16" s="1"/>
  <c r="F187" i="12"/>
  <c r="F186" i="12"/>
  <c r="E135" i="16"/>
  <c r="E134" i="16"/>
  <c r="E187" i="16"/>
  <c r="E186" i="16"/>
  <c r="E161" i="16"/>
  <c r="E160" i="16"/>
  <c r="D82" i="12"/>
  <c r="D106" i="16"/>
  <c r="D82" i="16" s="1"/>
  <c r="E109" i="16"/>
  <c r="E108" i="16"/>
  <c r="G16" i="5"/>
  <c r="F183" i="12"/>
  <c r="F183" i="16" s="1"/>
  <c r="G15" i="5"/>
  <c r="G13" i="5"/>
  <c r="E42" i="5"/>
  <c r="F42" i="5"/>
  <c r="G42" i="5"/>
  <c r="H42" i="5"/>
  <c r="I42" i="5"/>
  <c r="J42" i="5"/>
  <c r="K42" i="5"/>
  <c r="D42" i="5"/>
  <c r="G161" i="12" l="1"/>
  <c r="G160" i="12"/>
  <c r="G158" i="12"/>
  <c r="G187" i="12"/>
  <c r="G184" i="12"/>
  <c r="G184" i="16" s="1"/>
  <c r="G186" i="12"/>
  <c r="G108" i="12"/>
  <c r="G109" i="12"/>
  <c r="F135" i="16"/>
  <c r="F134" i="16"/>
  <c r="F186" i="16"/>
  <c r="F187" i="16"/>
  <c r="F161" i="16"/>
  <c r="F160" i="16"/>
  <c r="F109" i="16"/>
  <c r="F108" i="16"/>
  <c r="G48" i="5"/>
  <c r="G90" i="5" s="1"/>
  <c r="I48" i="5"/>
  <c r="I90" i="5" s="1"/>
  <c r="H48" i="5"/>
  <c r="H90" i="5" s="1"/>
  <c r="K48" i="5"/>
  <c r="K90" i="5" s="1"/>
  <c r="J48" i="5"/>
  <c r="J90" i="5" s="1"/>
  <c r="F48" i="5"/>
  <c r="F90" i="5" s="1"/>
  <c r="E48" i="5"/>
  <c r="E90" i="5" s="1"/>
  <c r="D48" i="5"/>
  <c r="H16" i="5"/>
  <c r="G183" i="12"/>
  <c r="G183" i="16" s="1"/>
  <c r="H14" i="5"/>
  <c r="H15" i="5"/>
  <c r="H13" i="5"/>
  <c r="B69" i="4"/>
  <c r="D25" i="4"/>
  <c r="D16" i="4"/>
  <c r="E16" i="4"/>
  <c r="F16" i="4"/>
  <c r="G16" i="4"/>
  <c r="H16" i="4"/>
  <c r="I16" i="4"/>
  <c r="J16" i="4"/>
  <c r="K16" i="4"/>
  <c r="D17" i="4"/>
  <c r="E17" i="4"/>
  <c r="F17" i="4"/>
  <c r="G17" i="4"/>
  <c r="H17" i="4"/>
  <c r="I17" i="4"/>
  <c r="J17" i="4"/>
  <c r="K17" i="4"/>
  <c r="D18" i="4"/>
  <c r="E18" i="4"/>
  <c r="F18" i="4"/>
  <c r="G18" i="4"/>
  <c r="H18" i="4"/>
  <c r="I18" i="4"/>
  <c r="J18" i="4"/>
  <c r="K18" i="4"/>
  <c r="D19" i="4"/>
  <c r="E19" i="4"/>
  <c r="F19" i="4"/>
  <c r="G19" i="4"/>
  <c r="H19" i="4"/>
  <c r="I19" i="4"/>
  <c r="J19" i="4"/>
  <c r="K19" i="4"/>
  <c r="D20" i="4"/>
  <c r="E20" i="4"/>
  <c r="F20" i="4"/>
  <c r="G20" i="4"/>
  <c r="H20" i="4"/>
  <c r="I20" i="4"/>
  <c r="J20" i="4"/>
  <c r="K20" i="4"/>
  <c r="D8" i="4"/>
  <c r="E8" i="4"/>
  <c r="F8" i="4"/>
  <c r="G8" i="4"/>
  <c r="H8" i="4"/>
  <c r="I8" i="4"/>
  <c r="J8" i="4"/>
  <c r="K8" i="4"/>
  <c r="D9" i="4"/>
  <c r="E9" i="4"/>
  <c r="F9" i="4"/>
  <c r="G9" i="4"/>
  <c r="H9" i="4"/>
  <c r="I9" i="4"/>
  <c r="J9" i="4"/>
  <c r="K9" i="4"/>
  <c r="D10" i="4"/>
  <c r="E10" i="4"/>
  <c r="F10" i="4"/>
  <c r="G10" i="4"/>
  <c r="H10" i="4"/>
  <c r="I10" i="4"/>
  <c r="J10" i="4"/>
  <c r="K10" i="4"/>
  <c r="D11" i="4"/>
  <c r="E11" i="4"/>
  <c r="F11" i="4"/>
  <c r="G11" i="4"/>
  <c r="H11" i="4"/>
  <c r="I11" i="4"/>
  <c r="J11" i="4"/>
  <c r="K11" i="4"/>
  <c r="D12" i="4"/>
  <c r="E12" i="4"/>
  <c r="F12" i="4"/>
  <c r="G12" i="4"/>
  <c r="H12" i="4"/>
  <c r="I12" i="4"/>
  <c r="J12" i="4"/>
  <c r="K12" i="4"/>
  <c r="K58" i="5"/>
  <c r="K6" i="4" s="1"/>
  <c r="J58" i="5"/>
  <c r="J7" i="4" s="1"/>
  <c r="I58" i="5"/>
  <c r="I6" i="4" s="1"/>
  <c r="H58" i="5"/>
  <c r="H7" i="4" s="1"/>
  <c r="G58" i="5"/>
  <c r="G6" i="4" s="1"/>
  <c r="F58" i="5"/>
  <c r="F7" i="4" s="1"/>
  <c r="E58" i="5"/>
  <c r="E6" i="4" s="1"/>
  <c r="D58" i="5"/>
  <c r="D6" i="4" s="1"/>
  <c r="H135" i="12" l="1"/>
  <c r="H134" i="12"/>
  <c r="H109" i="12"/>
  <c r="H108" i="12"/>
  <c r="H184" i="12"/>
  <c r="H184" i="16" s="1"/>
  <c r="H186" i="12"/>
  <c r="H187" i="12"/>
  <c r="H161" i="12"/>
  <c r="H160" i="12"/>
  <c r="H158" i="12"/>
  <c r="G135" i="16"/>
  <c r="G134" i="16"/>
  <c r="G187" i="16"/>
  <c r="G186" i="16"/>
  <c r="G161" i="16"/>
  <c r="G160" i="16"/>
  <c r="G109" i="16"/>
  <c r="G108" i="16"/>
  <c r="E224" i="4"/>
  <c r="K224" i="4"/>
  <c r="G224" i="4"/>
  <c r="F224" i="4"/>
  <c r="H224" i="4"/>
  <c r="J224" i="4"/>
  <c r="I224" i="4"/>
  <c r="D170" i="4"/>
  <c r="D169" i="4" s="1"/>
  <c r="D90" i="5"/>
  <c r="F62" i="4" s="1"/>
  <c r="H170" i="4"/>
  <c r="H169" i="4" s="1"/>
  <c r="J170" i="4"/>
  <c r="J169" i="4" s="1"/>
  <c r="G170" i="4"/>
  <c r="G169" i="4" s="1"/>
  <c r="F170" i="4"/>
  <c r="F169" i="4" s="1"/>
  <c r="E170" i="4"/>
  <c r="E169" i="4" s="1"/>
  <c r="K170" i="4"/>
  <c r="K169" i="4" s="1"/>
  <c r="I170" i="4"/>
  <c r="I169" i="4" s="1"/>
  <c r="J6" i="4"/>
  <c r="H6" i="4"/>
  <c r="F6" i="4"/>
  <c r="D7" i="4"/>
  <c r="I7" i="4"/>
  <c r="E7" i="4"/>
  <c r="K7" i="4"/>
  <c r="G7" i="4"/>
  <c r="H183" i="12"/>
  <c r="H183" i="16" s="1"/>
  <c r="I14" i="5"/>
  <c r="I15" i="5"/>
  <c r="I13" i="5"/>
  <c r="D24" i="4"/>
  <c r="H15" i="4"/>
  <c r="D15" i="4"/>
  <c r="K15" i="4"/>
  <c r="G15" i="4"/>
  <c r="J15" i="4"/>
  <c r="F15" i="4"/>
  <c r="I15" i="4"/>
  <c r="E15" i="4"/>
  <c r="I108" i="12" l="1"/>
  <c r="I109" i="12"/>
  <c r="I160" i="12"/>
  <c r="I161" i="12"/>
  <c r="I158" i="12"/>
  <c r="I135" i="12"/>
  <c r="I134" i="12"/>
  <c r="H135" i="16"/>
  <c r="H134" i="16"/>
  <c r="H187" i="16"/>
  <c r="H186" i="16"/>
  <c r="H161" i="16"/>
  <c r="H160" i="16"/>
  <c r="H109" i="16"/>
  <c r="H108" i="16"/>
  <c r="D223" i="4"/>
  <c r="D224" i="4"/>
  <c r="J62" i="4"/>
  <c r="E114" i="4"/>
  <c r="G62" i="4"/>
  <c r="F114" i="4"/>
  <c r="E62" i="4"/>
  <c r="I62" i="4"/>
  <c r="K62" i="4"/>
  <c r="H114" i="4"/>
  <c r="I114" i="4"/>
  <c r="K114" i="4"/>
  <c r="D114" i="4"/>
  <c r="H62" i="4"/>
  <c r="G114" i="4"/>
  <c r="J114" i="4"/>
  <c r="D62" i="4"/>
  <c r="J5" i="4"/>
  <c r="G5" i="4"/>
  <c r="D5" i="4"/>
  <c r="K5" i="4"/>
  <c r="F5" i="4"/>
  <c r="E5" i="4"/>
  <c r="H5" i="4"/>
  <c r="I5" i="4"/>
  <c r="J16" i="5"/>
  <c r="I183" i="12"/>
  <c r="I183" i="16" s="1"/>
  <c r="J14" i="5"/>
  <c r="J15" i="5"/>
  <c r="J13" i="5"/>
  <c r="D33" i="1"/>
  <c r="E33" i="1"/>
  <c r="F33" i="1"/>
  <c r="D35" i="1"/>
  <c r="T47" i="1" s="1"/>
  <c r="E35" i="1"/>
  <c r="F35" i="1"/>
  <c r="D36" i="1"/>
  <c r="E36" i="1"/>
  <c r="F36" i="1"/>
  <c r="C36" i="1"/>
  <c r="C35" i="1"/>
  <c r="C33" i="1"/>
  <c r="J108" i="12" l="1"/>
  <c r="J109" i="12"/>
  <c r="J160" i="12"/>
  <c r="J161" i="12"/>
  <c r="J158" i="12"/>
  <c r="J135" i="12"/>
  <c r="J134" i="12"/>
  <c r="J187" i="12"/>
  <c r="J186" i="12"/>
  <c r="C50" i="12"/>
  <c r="D49" i="12"/>
  <c r="D49" i="16" s="1"/>
  <c r="D46" i="5"/>
  <c r="C41" i="12"/>
  <c r="C49" i="12"/>
  <c r="C34" i="12"/>
  <c r="D33" i="12"/>
  <c r="D33" i="16" s="1"/>
  <c r="D44" i="5"/>
  <c r="D113" i="4" s="1"/>
  <c r="D116" i="4" s="1"/>
  <c r="C42" i="12"/>
  <c r="D41" i="12"/>
  <c r="D41" i="16" s="1"/>
  <c r="D45" i="5"/>
  <c r="C33" i="12"/>
  <c r="C113" i="4"/>
  <c r="U46" i="1"/>
  <c r="T46" i="1"/>
  <c r="I135" i="16"/>
  <c r="I134" i="16"/>
  <c r="I187" i="16"/>
  <c r="I186" i="16"/>
  <c r="I161" i="16"/>
  <c r="I160" i="16"/>
  <c r="I109" i="16"/>
  <c r="I108" i="16"/>
  <c r="K137" i="4"/>
  <c r="J86" i="4"/>
  <c r="H86" i="4"/>
  <c r="I137" i="4"/>
  <c r="G137" i="4"/>
  <c r="K86" i="4"/>
  <c r="E86" i="4"/>
  <c r="D86" i="4"/>
  <c r="E137" i="4"/>
  <c r="D137" i="4"/>
  <c r="G86" i="4"/>
  <c r="H137" i="4"/>
  <c r="J137" i="4"/>
  <c r="F86" i="4"/>
  <c r="F137" i="4"/>
  <c r="I86" i="4"/>
  <c r="K16" i="5"/>
  <c r="J183" i="12"/>
  <c r="J183" i="16" s="1"/>
  <c r="K14" i="5"/>
  <c r="K15" i="5"/>
  <c r="U47" i="1"/>
  <c r="V47" i="1"/>
  <c r="V46" i="1"/>
  <c r="K13" i="5"/>
  <c r="U48" i="1"/>
  <c r="V48" i="1"/>
  <c r="T48" i="1"/>
  <c r="D37" i="1"/>
  <c r="T41" i="1" s="1"/>
  <c r="F37" i="1"/>
  <c r="V41" i="1" s="1"/>
  <c r="C37" i="1"/>
  <c r="S41" i="1" s="1"/>
  <c r="E37" i="1"/>
  <c r="U41" i="1" s="1"/>
  <c r="V42" i="1" l="1"/>
  <c r="C41" i="16"/>
  <c r="C45" i="12"/>
  <c r="C45" i="16" s="1"/>
  <c r="C46" i="12"/>
  <c r="C46" i="16" s="1"/>
  <c r="C166" i="4"/>
  <c r="C167" i="4" s="1"/>
  <c r="C165" i="4" s="1"/>
  <c r="N81" i="5" s="1"/>
  <c r="C155" i="4"/>
  <c r="D220" i="4"/>
  <c r="D209" i="4"/>
  <c r="D115" i="4"/>
  <c r="D112" i="4" s="1"/>
  <c r="O79" i="5" s="1"/>
  <c r="C115" i="4"/>
  <c r="C116" i="4"/>
  <c r="C42" i="16"/>
  <c r="C47" i="12"/>
  <c r="C47" i="16" s="1"/>
  <c r="C34" i="16"/>
  <c r="C39" i="12"/>
  <c r="C39" i="16" s="1"/>
  <c r="C49" i="16"/>
  <c r="C54" i="12"/>
  <c r="C54" i="16" s="1"/>
  <c r="C53" i="12"/>
  <c r="C53" i="16" s="1"/>
  <c r="D166" i="4"/>
  <c r="D155" i="4"/>
  <c r="C33" i="16"/>
  <c r="C38" i="12"/>
  <c r="C38" i="16" s="1"/>
  <c r="C37" i="12"/>
  <c r="C37" i="16" s="1"/>
  <c r="C50" i="16"/>
  <c r="C55" i="12"/>
  <c r="C55" i="16" s="1"/>
  <c r="J135" i="16"/>
  <c r="J134" i="16"/>
  <c r="J187" i="16"/>
  <c r="J186" i="16"/>
  <c r="J160" i="16"/>
  <c r="J161" i="16"/>
  <c r="J109" i="16"/>
  <c r="J108" i="16"/>
  <c r="F87" i="12"/>
  <c r="F87" i="16" s="1"/>
  <c r="D87" i="12"/>
  <c r="D87" i="16" s="1"/>
  <c r="C113" i="12"/>
  <c r="C113" i="16" s="1"/>
  <c r="H113" i="12"/>
  <c r="H113" i="16" s="1"/>
  <c r="C87" i="12"/>
  <c r="C87" i="16" s="1"/>
  <c r="J87" i="12"/>
  <c r="D113" i="12"/>
  <c r="D113" i="16" s="1"/>
  <c r="F113" i="12"/>
  <c r="F113" i="16" s="1"/>
  <c r="G113" i="12"/>
  <c r="G113" i="16" s="1"/>
  <c r="H87" i="12"/>
  <c r="H87" i="16" s="1"/>
  <c r="E87" i="12"/>
  <c r="E87" i="16" s="1"/>
  <c r="I87" i="12"/>
  <c r="I87" i="16" s="1"/>
  <c r="E113" i="12"/>
  <c r="E113" i="16" s="1"/>
  <c r="I113" i="12"/>
  <c r="I113" i="16" s="1"/>
  <c r="J113" i="12"/>
  <c r="J113" i="16" s="1"/>
  <c r="G87" i="12"/>
  <c r="G87" i="16" s="1"/>
  <c r="T42" i="1"/>
  <c r="T43" i="1" s="1"/>
  <c r="U42" i="1"/>
  <c r="S42" i="1"/>
  <c r="S43" i="1" s="1"/>
  <c r="V43" i="1"/>
  <c r="D138" i="4" l="1"/>
  <c r="C112" i="12" s="1"/>
  <c r="D163" i="4"/>
  <c r="D158" i="4"/>
  <c r="D157" i="4"/>
  <c r="D159" i="4"/>
  <c r="D160" i="4"/>
  <c r="D162" i="4"/>
  <c r="D161" i="4"/>
  <c r="D156" i="4"/>
  <c r="D211" i="4"/>
  <c r="D212" i="4"/>
  <c r="D213" i="4"/>
  <c r="D215" i="4"/>
  <c r="D216" i="4"/>
  <c r="D217" i="4"/>
  <c r="D214" i="4"/>
  <c r="D210" i="4"/>
  <c r="D192" i="4"/>
  <c r="D167" i="4"/>
  <c r="D246" i="4"/>
  <c r="D221" i="4"/>
  <c r="D219" i="4" s="1"/>
  <c r="O83" i="5" s="1"/>
  <c r="C209" i="4"/>
  <c r="C220" i="4"/>
  <c r="C221" i="4" s="1"/>
  <c r="C112" i="4"/>
  <c r="N79" i="5" s="1"/>
  <c r="C157" i="4"/>
  <c r="C156" i="4"/>
  <c r="C162" i="4"/>
  <c r="C160" i="4"/>
  <c r="C161" i="4"/>
  <c r="C163" i="4"/>
  <c r="C159" i="4"/>
  <c r="C158" i="4"/>
  <c r="J87" i="16"/>
  <c r="D222" i="4"/>
  <c r="U43" i="1"/>
  <c r="D190" i="4" l="1"/>
  <c r="D185" i="4"/>
  <c r="D189" i="4"/>
  <c r="D188" i="4"/>
  <c r="D184" i="4"/>
  <c r="D186" i="4"/>
  <c r="D187" i="4"/>
  <c r="D183" i="4"/>
  <c r="D247" i="4"/>
  <c r="C216" i="4"/>
  <c r="D243" i="4" s="1"/>
  <c r="C214" i="4"/>
  <c r="D241" i="4" s="1"/>
  <c r="C211" i="4"/>
  <c r="D238" i="4" s="1"/>
  <c r="C212" i="4"/>
  <c r="D239" i="4" s="1"/>
  <c r="C217" i="4"/>
  <c r="D244" i="4" s="1"/>
  <c r="C215" i="4"/>
  <c r="D242" i="4" s="1"/>
  <c r="C210" i="4"/>
  <c r="D237" i="4" s="1"/>
  <c r="C213" i="4"/>
  <c r="D240" i="4" s="1"/>
  <c r="C219" i="4"/>
  <c r="N83" i="5" s="1"/>
  <c r="C112" i="16"/>
  <c r="C165" i="12"/>
  <c r="C165" i="16" s="1"/>
  <c r="C139" i="12"/>
  <c r="C139" i="16" s="1"/>
  <c r="C222" i="4"/>
  <c r="F32" i="1"/>
  <c r="O29" i="1"/>
  <c r="O28" i="1"/>
  <c r="O27" i="1"/>
  <c r="O26" i="1"/>
  <c r="O23" i="1"/>
  <c r="O21" i="1"/>
  <c r="O20" i="1"/>
  <c r="O19" i="1"/>
  <c r="O18" i="1"/>
  <c r="O17" i="1"/>
  <c r="O16" i="1"/>
  <c r="E32" i="1"/>
  <c r="C25" i="12" l="1"/>
  <c r="C61" i="4"/>
  <c r="C26" i="12"/>
  <c r="D25" i="12"/>
  <c r="D25" i="16" s="1"/>
  <c r="C63" i="16"/>
  <c r="C63" i="12"/>
  <c r="C164" i="12"/>
  <c r="V45" i="1"/>
  <c r="E34" i="1"/>
  <c r="F34" i="1"/>
  <c r="G36" i="1"/>
  <c r="C13" i="1"/>
  <c r="C32" i="1"/>
  <c r="D13" i="1"/>
  <c r="D32" i="1"/>
  <c r="G35" i="1"/>
  <c r="F13" i="1"/>
  <c r="E13" i="1"/>
  <c r="C26" i="16" l="1"/>
  <c r="C31" i="12"/>
  <c r="C31" i="16" s="1"/>
  <c r="C65" i="4"/>
  <c r="C63" i="4"/>
  <c r="C64" i="4"/>
  <c r="D65" i="4"/>
  <c r="D61" i="4"/>
  <c r="C25" i="16"/>
  <c r="C29" i="12"/>
  <c r="C30" i="12"/>
  <c r="C30" i="16" s="1"/>
  <c r="D42" i="12"/>
  <c r="E41" i="12"/>
  <c r="E45" i="5"/>
  <c r="D50" i="12"/>
  <c r="E49" i="12"/>
  <c r="E46" i="5"/>
  <c r="C164" i="16"/>
  <c r="V39" i="1"/>
  <c r="D103" i="4" s="1"/>
  <c r="U39" i="1"/>
  <c r="C103" i="4" s="1"/>
  <c r="U38" i="1"/>
  <c r="C51" i="4" s="1"/>
  <c r="V38" i="1"/>
  <c r="D51" i="4" s="1"/>
  <c r="U45" i="1"/>
  <c r="T45" i="1"/>
  <c r="W47" i="1"/>
  <c r="W48" i="1"/>
  <c r="C34" i="1"/>
  <c r="S39" i="1" s="1"/>
  <c r="F38" i="1"/>
  <c r="V36" i="1" s="1"/>
  <c r="G37" i="1"/>
  <c r="W41" i="1" s="1"/>
  <c r="D34" i="1"/>
  <c r="T39" i="1" s="1"/>
  <c r="E38" i="1"/>
  <c r="U36" i="1" s="1"/>
  <c r="H35" i="1"/>
  <c r="G33" i="1"/>
  <c r="J36" i="1"/>
  <c r="H36" i="1"/>
  <c r="H33" i="1"/>
  <c r="C22" i="12" l="1"/>
  <c r="C22" i="16" s="1"/>
  <c r="C21" i="12"/>
  <c r="C21" i="16" s="1"/>
  <c r="C55" i="4"/>
  <c r="C54" i="4"/>
  <c r="C56" i="4"/>
  <c r="C52" i="4"/>
  <c r="C58" i="4"/>
  <c r="C53" i="4"/>
  <c r="C57" i="4"/>
  <c r="D57" i="4"/>
  <c r="D58" i="4"/>
  <c r="D55" i="4"/>
  <c r="D53" i="4"/>
  <c r="D56" i="4"/>
  <c r="D52" i="4"/>
  <c r="D54" i="4"/>
  <c r="C105" i="4"/>
  <c r="C104" i="4"/>
  <c r="C106" i="4"/>
  <c r="C108" i="4"/>
  <c r="C107" i="4"/>
  <c r="C109" i="4"/>
  <c r="C110" i="4"/>
  <c r="D64" i="4"/>
  <c r="D63" i="4"/>
  <c r="D109" i="4"/>
  <c r="D110" i="4"/>
  <c r="D107" i="4"/>
  <c r="D105" i="4"/>
  <c r="D108" i="4"/>
  <c r="D106" i="4"/>
  <c r="D104" i="4"/>
  <c r="D88" i="4"/>
  <c r="D134" i="5"/>
  <c r="D135" i="5"/>
  <c r="D136" i="5"/>
  <c r="D133" i="5"/>
  <c r="U32" i="1"/>
  <c r="C29" i="16"/>
  <c r="C60" i="4"/>
  <c r="N77" i="5" s="1"/>
  <c r="G50" i="12"/>
  <c r="H49" i="12"/>
  <c r="H46" i="5"/>
  <c r="D34" i="12"/>
  <c r="E33" i="12"/>
  <c r="E44" i="5"/>
  <c r="E113" i="4" s="1"/>
  <c r="E49" i="16"/>
  <c r="E41" i="16"/>
  <c r="E34" i="12"/>
  <c r="F33" i="12"/>
  <c r="F44" i="5"/>
  <c r="F113" i="4" s="1"/>
  <c r="E42" i="12"/>
  <c r="F41" i="12"/>
  <c r="F45" i="5"/>
  <c r="E155" i="4"/>
  <c r="E166" i="4"/>
  <c r="D50" i="16"/>
  <c r="D54" i="12"/>
  <c r="D54" i="16" s="1"/>
  <c r="D55" i="12"/>
  <c r="D55" i="16" s="1"/>
  <c r="E50" i="12"/>
  <c r="E54" i="12" s="1"/>
  <c r="E54" i="16" s="1"/>
  <c r="F49" i="12"/>
  <c r="F46" i="5"/>
  <c r="D42" i="16"/>
  <c r="D46" i="12"/>
  <c r="D46" i="16" s="1"/>
  <c r="D47" i="12"/>
  <c r="D47" i="16" s="1"/>
  <c r="C168" i="4"/>
  <c r="D165" i="4"/>
  <c r="D168" i="4"/>
  <c r="T38" i="1"/>
  <c r="T40" i="1" s="1"/>
  <c r="S38" i="1"/>
  <c r="S40" i="1" s="1"/>
  <c r="X46" i="1"/>
  <c r="W46" i="1"/>
  <c r="X47" i="1"/>
  <c r="W42" i="1"/>
  <c r="X48" i="1"/>
  <c r="V34" i="1"/>
  <c r="V32" i="1"/>
  <c r="V33" i="1"/>
  <c r="C184" i="16" s="1"/>
  <c r="V35" i="1"/>
  <c r="U33" i="1"/>
  <c r="U34" i="1"/>
  <c r="U35" i="1"/>
  <c r="G13" i="1"/>
  <c r="G32" i="1"/>
  <c r="U40" i="1"/>
  <c r="V40" i="1"/>
  <c r="C38" i="1"/>
  <c r="D38" i="1"/>
  <c r="H37" i="1"/>
  <c r="X41" i="1" s="1"/>
  <c r="I35" i="1"/>
  <c r="K36" i="1"/>
  <c r="J35" i="1"/>
  <c r="L35" i="1"/>
  <c r="M35" i="1"/>
  <c r="K35" i="1"/>
  <c r="M36" i="1"/>
  <c r="L36" i="1"/>
  <c r="I36" i="1"/>
  <c r="M32" i="1"/>
  <c r="L32" i="1"/>
  <c r="H32" i="1"/>
  <c r="I33" i="1"/>
  <c r="H13" i="1"/>
  <c r="D78" i="4" l="1"/>
  <c r="C158" i="16"/>
  <c r="D84" i="4"/>
  <c r="D81" i="4"/>
  <c r="D80" i="4"/>
  <c r="D83" i="4"/>
  <c r="D100" i="12"/>
  <c r="D100" i="16" s="1"/>
  <c r="D95" i="12"/>
  <c r="D95" i="16" s="1"/>
  <c r="D96" i="12"/>
  <c r="D96" i="16" s="1"/>
  <c r="D101" i="12"/>
  <c r="D101" i="16" s="1"/>
  <c r="D99" i="12"/>
  <c r="D99" i="16" s="1"/>
  <c r="D102" i="12"/>
  <c r="D102" i="16" s="1"/>
  <c r="D98" i="12"/>
  <c r="D98" i="16" s="1"/>
  <c r="D97" i="12"/>
  <c r="D97" i="16" s="1"/>
  <c r="D103" i="12"/>
  <c r="D103" i="16" s="1"/>
  <c r="D41" i="4"/>
  <c r="C117" i="12"/>
  <c r="C143" i="12"/>
  <c r="C91" i="12"/>
  <c r="C169" i="12"/>
  <c r="D155" i="12"/>
  <c r="D155" i="16" s="1"/>
  <c r="D151" i="12"/>
  <c r="D151" i="16" s="1"/>
  <c r="D147" i="12"/>
  <c r="D147" i="16" s="1"/>
  <c r="D149" i="12"/>
  <c r="D149" i="16" s="1"/>
  <c r="D152" i="12"/>
  <c r="D152" i="16" s="1"/>
  <c r="D154" i="12"/>
  <c r="D154" i="16" s="1"/>
  <c r="D150" i="12"/>
  <c r="D150" i="16" s="1"/>
  <c r="D153" i="12"/>
  <c r="D153" i="16" s="1"/>
  <c r="D148" i="12"/>
  <c r="D148" i="16" s="1"/>
  <c r="D145" i="4"/>
  <c r="C132" i="16"/>
  <c r="C168" i="12"/>
  <c r="C142" i="12"/>
  <c r="C90" i="12"/>
  <c r="C116" i="12"/>
  <c r="D60" i="4"/>
  <c r="O77" i="5"/>
  <c r="D82" i="4"/>
  <c r="D180" i="12"/>
  <c r="D180" i="16" s="1"/>
  <c r="D176" i="12"/>
  <c r="D176" i="16" s="1"/>
  <c r="D178" i="12"/>
  <c r="D178" i="16" s="1"/>
  <c r="D174" i="12"/>
  <c r="D174" i="16" s="1"/>
  <c r="D181" i="12"/>
  <c r="D181" i="16" s="1"/>
  <c r="D173" i="12"/>
  <c r="D173" i="16" s="1"/>
  <c r="D179" i="12"/>
  <c r="D179" i="16" s="1"/>
  <c r="D175" i="12"/>
  <c r="D175" i="16" s="1"/>
  <c r="D177" i="12"/>
  <c r="D177" i="16" s="1"/>
  <c r="D199" i="4"/>
  <c r="C119" i="12"/>
  <c r="C145" i="12"/>
  <c r="C171" i="12"/>
  <c r="C93" i="12"/>
  <c r="C147" i="12"/>
  <c r="C147" i="16" s="1"/>
  <c r="C149" i="12"/>
  <c r="C149" i="16" s="1"/>
  <c r="C151" i="12"/>
  <c r="C151" i="16" s="1"/>
  <c r="C153" i="12"/>
  <c r="C153" i="16" s="1"/>
  <c r="C148" i="12"/>
  <c r="C148" i="16" s="1"/>
  <c r="C154" i="12"/>
  <c r="C154" i="16" s="1"/>
  <c r="C150" i="12"/>
  <c r="C150" i="16" s="1"/>
  <c r="C152" i="12"/>
  <c r="C152" i="16" s="1"/>
  <c r="C155" i="12"/>
  <c r="C155" i="16" s="1"/>
  <c r="C145" i="4"/>
  <c r="C100" i="12"/>
  <c r="C100" i="16" s="1"/>
  <c r="C99" i="12"/>
  <c r="C99" i="16" s="1"/>
  <c r="C97" i="12"/>
  <c r="C97" i="16" s="1"/>
  <c r="C101" i="12"/>
  <c r="C101" i="16" s="1"/>
  <c r="C96" i="12"/>
  <c r="C96" i="16" s="1"/>
  <c r="C95" i="12"/>
  <c r="C95" i="16" s="1"/>
  <c r="C103" i="12"/>
  <c r="C103" i="16" s="1"/>
  <c r="C102" i="12"/>
  <c r="C102" i="16" s="1"/>
  <c r="C98" i="12"/>
  <c r="C98" i="16" s="1"/>
  <c r="C41" i="4"/>
  <c r="C129" i="12"/>
  <c r="C129" i="16" s="1"/>
  <c r="C123" i="12"/>
  <c r="C123" i="16" s="1"/>
  <c r="C122" i="12"/>
  <c r="C122" i="16" s="1"/>
  <c r="C125" i="12"/>
  <c r="C125" i="16" s="1"/>
  <c r="C127" i="12"/>
  <c r="C127" i="16" s="1"/>
  <c r="C126" i="12"/>
  <c r="C126" i="16" s="1"/>
  <c r="C121" i="12"/>
  <c r="C121" i="16" s="1"/>
  <c r="C128" i="12"/>
  <c r="C128" i="16" s="1"/>
  <c r="C124" i="12"/>
  <c r="C124" i="16" s="1"/>
  <c r="C93" i="4"/>
  <c r="C176" i="12"/>
  <c r="C176" i="16" s="1"/>
  <c r="C178" i="12"/>
  <c r="C178" i="16" s="1"/>
  <c r="C173" i="12"/>
  <c r="C173" i="16" s="1"/>
  <c r="C174" i="12"/>
  <c r="C174" i="16" s="1"/>
  <c r="C181" i="12"/>
  <c r="C181" i="16" s="1"/>
  <c r="C177" i="12"/>
  <c r="C177" i="16" s="1"/>
  <c r="C179" i="12"/>
  <c r="C179" i="16" s="1"/>
  <c r="C180" i="12"/>
  <c r="C180" i="16" s="1"/>
  <c r="C175" i="12"/>
  <c r="C175" i="16" s="1"/>
  <c r="C199" i="4"/>
  <c r="D126" i="12"/>
  <c r="D126" i="16" s="1"/>
  <c r="D124" i="12"/>
  <c r="D124" i="16" s="1"/>
  <c r="D122" i="12"/>
  <c r="D122" i="16" s="1"/>
  <c r="D123" i="12"/>
  <c r="D123" i="16" s="1"/>
  <c r="D129" i="12"/>
  <c r="D129" i="16" s="1"/>
  <c r="D125" i="12"/>
  <c r="D125" i="16" s="1"/>
  <c r="D121" i="12"/>
  <c r="D121" i="16" s="1"/>
  <c r="D128" i="12"/>
  <c r="D128" i="16" s="1"/>
  <c r="D127" i="12"/>
  <c r="D127" i="16" s="1"/>
  <c r="D93" i="4"/>
  <c r="D87" i="4"/>
  <c r="C86" i="12" s="1"/>
  <c r="C86" i="16" s="1"/>
  <c r="C170" i="12"/>
  <c r="C118" i="12"/>
  <c r="C144" i="12"/>
  <c r="C92" i="12"/>
  <c r="D131" i="4"/>
  <c r="I26" i="12"/>
  <c r="J25" i="12"/>
  <c r="J43" i="5"/>
  <c r="G42" i="12"/>
  <c r="H41" i="12"/>
  <c r="H45" i="5"/>
  <c r="H42" i="12"/>
  <c r="I41" i="12"/>
  <c r="I45" i="5"/>
  <c r="H50" i="12"/>
  <c r="H54" i="12" s="1"/>
  <c r="H54" i="16" s="1"/>
  <c r="I49" i="12"/>
  <c r="I46" i="5"/>
  <c r="E156" i="4"/>
  <c r="E159" i="4"/>
  <c r="E160" i="4"/>
  <c r="E161" i="4"/>
  <c r="E163" i="4"/>
  <c r="E157" i="4"/>
  <c r="E162" i="4"/>
  <c r="E158" i="4"/>
  <c r="E42" i="16"/>
  <c r="E47" i="12"/>
  <c r="E47" i="16" s="1"/>
  <c r="E46" i="12"/>
  <c r="E46" i="16" s="1"/>
  <c r="E116" i="4"/>
  <c r="E115" i="4"/>
  <c r="F34" i="12"/>
  <c r="F38" i="12" s="1"/>
  <c r="F38" i="16" s="1"/>
  <c r="G33" i="12"/>
  <c r="G44" i="5"/>
  <c r="G113" i="4" s="1"/>
  <c r="F50" i="12"/>
  <c r="F54" i="12" s="1"/>
  <c r="F54" i="16" s="1"/>
  <c r="G49" i="12"/>
  <c r="G46" i="5"/>
  <c r="J42" i="12"/>
  <c r="K45" i="5"/>
  <c r="F42" i="12"/>
  <c r="F46" i="12" s="1"/>
  <c r="F46" i="16" s="1"/>
  <c r="G41" i="12"/>
  <c r="G45" i="5"/>
  <c r="D26" i="12"/>
  <c r="E25" i="12"/>
  <c r="E43" i="5"/>
  <c r="E220" i="4"/>
  <c r="E209" i="4"/>
  <c r="F116" i="4"/>
  <c r="F115" i="4"/>
  <c r="E33" i="16"/>
  <c r="E38" i="12"/>
  <c r="E38" i="16" s="1"/>
  <c r="E26" i="12"/>
  <c r="F25" i="12"/>
  <c r="F43" i="5"/>
  <c r="I50" i="12"/>
  <c r="J49" i="12"/>
  <c r="J46" i="5"/>
  <c r="I42" i="12"/>
  <c r="J41" i="12"/>
  <c r="J45" i="5"/>
  <c r="F155" i="4"/>
  <c r="F166" i="4"/>
  <c r="F49" i="16"/>
  <c r="F33" i="16"/>
  <c r="D34" i="16"/>
  <c r="D39" i="12"/>
  <c r="D39" i="16" s="1"/>
  <c r="D38" i="12"/>
  <c r="D38" i="16" s="1"/>
  <c r="E50" i="16"/>
  <c r="E55" i="12"/>
  <c r="E55" i="16" s="1"/>
  <c r="E192" i="4"/>
  <c r="E167" i="4"/>
  <c r="F41" i="16"/>
  <c r="E34" i="16"/>
  <c r="E39" i="12"/>
  <c r="E39" i="16" s="1"/>
  <c r="J50" i="12"/>
  <c r="K46" i="5"/>
  <c r="J26" i="12"/>
  <c r="K43" i="5"/>
  <c r="H49" i="16"/>
  <c r="G50" i="16"/>
  <c r="G55" i="12"/>
  <c r="G55" i="16" s="1"/>
  <c r="O81" i="5"/>
  <c r="N75" i="5"/>
  <c r="D193" i="4"/>
  <c r="D79" i="4"/>
  <c r="AA47" i="1"/>
  <c r="AC47" i="1"/>
  <c r="Y47" i="1"/>
  <c r="AB47" i="1"/>
  <c r="Z47" i="1"/>
  <c r="X45" i="1"/>
  <c r="AC45" i="1"/>
  <c r="Y46" i="1"/>
  <c r="G34" i="1"/>
  <c r="W39" i="1" s="1"/>
  <c r="E103" i="4" s="1"/>
  <c r="W45" i="1"/>
  <c r="E168" i="4"/>
  <c r="AC48" i="1"/>
  <c r="AA48" i="1"/>
  <c r="T32" i="1"/>
  <c r="T33" i="1"/>
  <c r="T34" i="1"/>
  <c r="T35" i="1"/>
  <c r="Y48" i="1"/>
  <c r="Z48" i="1"/>
  <c r="X42" i="1"/>
  <c r="AB48" i="1"/>
  <c r="S32" i="1"/>
  <c r="S34" i="1"/>
  <c r="S33" i="1"/>
  <c r="S35" i="1"/>
  <c r="W43" i="1"/>
  <c r="D130" i="4"/>
  <c r="D135" i="4"/>
  <c r="D129" i="4"/>
  <c r="D134" i="4"/>
  <c r="D133" i="4"/>
  <c r="D132" i="4"/>
  <c r="I37" i="1"/>
  <c r="Y41" i="1" s="1"/>
  <c r="M37" i="1"/>
  <c r="AC41" i="1" s="1"/>
  <c r="H34" i="1"/>
  <c r="X39" i="1" s="1"/>
  <c r="F103" i="4" s="1"/>
  <c r="K37" i="1"/>
  <c r="AA41" i="1" s="1"/>
  <c r="J37" i="1"/>
  <c r="L37" i="1"/>
  <c r="AB41" i="1" s="1"/>
  <c r="I13" i="1"/>
  <c r="J13" i="1"/>
  <c r="K32" i="1"/>
  <c r="J33" i="1"/>
  <c r="J32" i="1"/>
  <c r="I32" i="1"/>
  <c r="O75" i="5" l="1"/>
  <c r="C77" i="16"/>
  <c r="D77" i="16"/>
  <c r="D101" i="4"/>
  <c r="D100" i="4"/>
  <c r="D98" i="4"/>
  <c r="D99" i="4"/>
  <c r="D96" i="4"/>
  <c r="D94" i="4"/>
  <c r="D97" i="4"/>
  <c r="D95" i="4"/>
  <c r="D145" i="12"/>
  <c r="C145" i="16"/>
  <c r="D143" i="12"/>
  <c r="C143" i="16"/>
  <c r="D73" i="16"/>
  <c r="E138" i="4"/>
  <c r="D170" i="12"/>
  <c r="C170" i="16"/>
  <c r="C172" i="16"/>
  <c r="C79" i="16"/>
  <c r="C73" i="16"/>
  <c r="C146" i="16"/>
  <c r="D119" i="12"/>
  <c r="C119" i="16"/>
  <c r="D142" i="12"/>
  <c r="C142" i="16"/>
  <c r="D117" i="12"/>
  <c r="C117" i="16"/>
  <c r="D74" i="16"/>
  <c r="D72" i="16"/>
  <c r="D118" i="12"/>
  <c r="C118" i="16"/>
  <c r="C99" i="4"/>
  <c r="C94" i="4"/>
  <c r="C100" i="4"/>
  <c r="C97" i="4"/>
  <c r="C95" i="4"/>
  <c r="C101" i="4"/>
  <c r="C96" i="4"/>
  <c r="C98" i="4"/>
  <c r="C78" i="16"/>
  <c r="C148" i="4"/>
  <c r="C147" i="4"/>
  <c r="C152" i="4"/>
  <c r="C151" i="4"/>
  <c r="C149" i="4"/>
  <c r="C146" i="4"/>
  <c r="C153" i="4"/>
  <c r="C150" i="4"/>
  <c r="D90" i="12"/>
  <c r="D90" i="16" s="1"/>
  <c r="C90" i="16"/>
  <c r="D153" i="4"/>
  <c r="D146" i="4"/>
  <c r="D151" i="4"/>
  <c r="D149" i="4"/>
  <c r="D150" i="4"/>
  <c r="D148" i="4"/>
  <c r="D152" i="4"/>
  <c r="D147" i="4"/>
  <c r="D92" i="12"/>
  <c r="D92" i="16" s="1"/>
  <c r="C92" i="16"/>
  <c r="C207" i="4"/>
  <c r="C204" i="4"/>
  <c r="C206" i="4"/>
  <c r="C202" i="4"/>
  <c r="C200" i="4"/>
  <c r="C205" i="4"/>
  <c r="C203" i="4"/>
  <c r="C201" i="4"/>
  <c r="C45" i="4"/>
  <c r="C46" i="4"/>
  <c r="C42" i="4"/>
  <c r="C49" i="4"/>
  <c r="C48" i="4"/>
  <c r="C43" i="4"/>
  <c r="C47" i="4"/>
  <c r="C44" i="4"/>
  <c r="C71" i="16"/>
  <c r="C94" i="16"/>
  <c r="C75" i="16"/>
  <c r="D93" i="12"/>
  <c r="D93" i="16" s="1"/>
  <c r="C93" i="16"/>
  <c r="D207" i="4"/>
  <c r="D206" i="4"/>
  <c r="D204" i="4"/>
  <c r="D202" i="4"/>
  <c r="D200" i="4"/>
  <c r="D205" i="4"/>
  <c r="D203" i="4"/>
  <c r="D201" i="4"/>
  <c r="D172" i="16"/>
  <c r="D168" i="12"/>
  <c r="C168" i="16"/>
  <c r="D169" i="12"/>
  <c r="C169" i="16"/>
  <c r="D49" i="4"/>
  <c r="D48" i="4"/>
  <c r="D46" i="4"/>
  <c r="D44" i="4"/>
  <c r="D42" i="4"/>
  <c r="D45" i="4"/>
  <c r="D47" i="4"/>
  <c r="D43" i="4"/>
  <c r="D78" i="16"/>
  <c r="D94" i="16"/>
  <c r="D71" i="16"/>
  <c r="D144" i="12"/>
  <c r="C144" i="16"/>
  <c r="C106" i="16"/>
  <c r="C82" i="16" s="1"/>
  <c r="C82" i="12"/>
  <c r="D120" i="16"/>
  <c r="C120" i="16"/>
  <c r="C74" i="16"/>
  <c r="C72" i="16"/>
  <c r="C76" i="16"/>
  <c r="D171" i="12"/>
  <c r="C171" i="16"/>
  <c r="D116" i="12"/>
  <c r="C116" i="16"/>
  <c r="D146" i="16"/>
  <c r="D91" i="12"/>
  <c r="D91" i="16" s="1"/>
  <c r="C91" i="16"/>
  <c r="D79" i="16"/>
  <c r="D75" i="16"/>
  <c r="D76" i="16"/>
  <c r="G26" i="12"/>
  <c r="H25" i="12"/>
  <c r="H43" i="5"/>
  <c r="F110" i="4"/>
  <c r="F109" i="4"/>
  <c r="F108" i="4"/>
  <c r="F107" i="4"/>
  <c r="F106" i="4"/>
  <c r="F105" i="4"/>
  <c r="F104" i="4"/>
  <c r="G34" i="12"/>
  <c r="G38" i="12" s="1"/>
  <c r="G38" i="16" s="1"/>
  <c r="H33" i="12"/>
  <c r="H44" i="5"/>
  <c r="H113" i="4" s="1"/>
  <c r="J155" i="4"/>
  <c r="J166" i="4"/>
  <c r="J49" i="16"/>
  <c r="J54" i="12"/>
  <c r="J54" i="16" s="1"/>
  <c r="E26" i="16"/>
  <c r="E31" i="12"/>
  <c r="E31" i="16" s="1"/>
  <c r="G41" i="16"/>
  <c r="G46" i="12"/>
  <c r="G46" i="16" s="1"/>
  <c r="J42" i="16"/>
  <c r="J47" i="12"/>
  <c r="J47" i="16" s="1"/>
  <c r="E188" i="4"/>
  <c r="H26" i="12"/>
  <c r="I25" i="12"/>
  <c r="I43" i="5"/>
  <c r="G166" i="4"/>
  <c r="G155" i="4"/>
  <c r="J50" i="16"/>
  <c r="J55" i="12"/>
  <c r="J55" i="16" s="1"/>
  <c r="F192" i="4"/>
  <c r="F167" i="4"/>
  <c r="F193" i="4" s="1"/>
  <c r="J41" i="16"/>
  <c r="J46" i="12"/>
  <c r="J46" i="16" s="1"/>
  <c r="I50" i="16"/>
  <c r="I55" i="12"/>
  <c r="I55" i="16" s="1"/>
  <c r="E214" i="4"/>
  <c r="E215" i="4"/>
  <c r="E217" i="4"/>
  <c r="E212" i="4"/>
  <c r="E213" i="4"/>
  <c r="E216" i="4"/>
  <c r="E210" i="4"/>
  <c r="E211" i="4"/>
  <c r="F42" i="16"/>
  <c r="F47" i="12"/>
  <c r="F47" i="16" s="1"/>
  <c r="G33" i="16"/>
  <c r="E189" i="4"/>
  <c r="E187" i="4"/>
  <c r="I41" i="16"/>
  <c r="I46" i="12"/>
  <c r="I46" i="16" s="1"/>
  <c r="F26" i="12"/>
  <c r="F30" i="12" s="1"/>
  <c r="F30" i="16" s="1"/>
  <c r="G25" i="12"/>
  <c r="G43" i="5"/>
  <c r="I155" i="4"/>
  <c r="I166" i="4"/>
  <c r="F220" i="4"/>
  <c r="F221" i="4" s="1"/>
  <c r="F209" i="4"/>
  <c r="E110" i="4"/>
  <c r="E109" i="4"/>
  <c r="E108" i="4"/>
  <c r="E107" i="4"/>
  <c r="E106" i="4"/>
  <c r="E105" i="4"/>
  <c r="E104" i="4"/>
  <c r="K65" i="4"/>
  <c r="K61" i="4"/>
  <c r="E193" i="4"/>
  <c r="D138" i="12" s="1"/>
  <c r="E165" i="4"/>
  <c r="P81" i="5" s="1"/>
  <c r="F156" i="4"/>
  <c r="F157" i="4"/>
  <c r="F161" i="4"/>
  <c r="F188" i="4" s="1"/>
  <c r="F162" i="4"/>
  <c r="F189" i="4" s="1"/>
  <c r="F158" i="4"/>
  <c r="F160" i="4"/>
  <c r="F187" i="4" s="1"/>
  <c r="F159" i="4"/>
  <c r="F186" i="4" s="1"/>
  <c r="F163" i="4"/>
  <c r="F190" i="4" s="1"/>
  <c r="I42" i="16"/>
  <c r="I47" i="12"/>
  <c r="I47" i="16" s="1"/>
  <c r="F65" i="4"/>
  <c r="F61" i="4"/>
  <c r="E221" i="4"/>
  <c r="E246" i="4"/>
  <c r="G49" i="16"/>
  <c r="G54" i="12"/>
  <c r="G54" i="16" s="1"/>
  <c r="F34" i="16"/>
  <c r="F39" i="12"/>
  <c r="F39" i="16" s="1"/>
  <c r="E184" i="4"/>
  <c r="E186" i="4"/>
  <c r="H50" i="16"/>
  <c r="H55" i="12"/>
  <c r="H55" i="16" s="1"/>
  <c r="H42" i="16"/>
  <c r="H47" i="12"/>
  <c r="H47" i="16" s="1"/>
  <c r="G42" i="16"/>
  <c r="G47" i="12"/>
  <c r="G47" i="16" s="1"/>
  <c r="J26" i="16"/>
  <c r="J31" i="12"/>
  <c r="J31" i="16" s="1"/>
  <c r="F25" i="16"/>
  <c r="F112" i="4"/>
  <c r="Q79" i="5" s="1"/>
  <c r="E61" i="4"/>
  <c r="E65" i="4"/>
  <c r="F50" i="16"/>
  <c r="F55" i="12"/>
  <c r="F55" i="16" s="1"/>
  <c r="E112" i="4"/>
  <c r="P79" i="5" s="1"/>
  <c r="F138" i="4"/>
  <c r="E190" i="4"/>
  <c r="E183" i="4"/>
  <c r="J61" i="4"/>
  <c r="J65" i="4"/>
  <c r="G116" i="4"/>
  <c r="G115" i="4"/>
  <c r="E185" i="4"/>
  <c r="J25" i="16"/>
  <c r="J30" i="12"/>
  <c r="J30" i="16" s="1"/>
  <c r="K155" i="4"/>
  <c r="K166" i="4"/>
  <c r="E25" i="16"/>
  <c r="E30" i="12"/>
  <c r="E30" i="16" s="1"/>
  <c r="D26" i="16"/>
  <c r="D29" i="12"/>
  <c r="D29" i="16" s="1"/>
  <c r="D30" i="12"/>
  <c r="D30" i="16" s="1"/>
  <c r="D31" i="12"/>
  <c r="D31" i="16" s="1"/>
  <c r="I49" i="16"/>
  <c r="I54" i="12"/>
  <c r="I54" i="16" s="1"/>
  <c r="H41" i="16"/>
  <c r="H46" i="12"/>
  <c r="H46" i="16" s="1"/>
  <c r="I26" i="16"/>
  <c r="I31" i="12"/>
  <c r="I31" i="16" s="1"/>
  <c r="D139" i="12"/>
  <c r="D139" i="16" s="1"/>
  <c r="C138" i="12"/>
  <c r="E222" i="4"/>
  <c r="AB45" i="1"/>
  <c r="C172" i="12"/>
  <c r="C115" i="12"/>
  <c r="C78" i="12"/>
  <c r="C75" i="12"/>
  <c r="C74" i="12"/>
  <c r="C66" i="12"/>
  <c r="C146" i="12"/>
  <c r="C77" i="12"/>
  <c r="C72" i="12"/>
  <c r="C71" i="12"/>
  <c r="C94" i="12"/>
  <c r="C120" i="12"/>
  <c r="C141" i="12"/>
  <c r="C76" i="12"/>
  <c r="C67" i="12"/>
  <c r="C167" i="12"/>
  <c r="C73" i="12"/>
  <c r="C79" i="12"/>
  <c r="C68" i="12"/>
  <c r="C69" i="12"/>
  <c r="G38" i="1"/>
  <c r="W34" i="1" s="1"/>
  <c r="C89" i="12"/>
  <c r="W38" i="1"/>
  <c r="E51" i="4" s="1"/>
  <c r="X38" i="1"/>
  <c r="F51" i="4" s="1"/>
  <c r="Y45" i="1"/>
  <c r="Z45" i="1"/>
  <c r="Z46" i="1"/>
  <c r="AA45" i="1"/>
  <c r="Y42" i="1"/>
  <c r="Z41" i="1"/>
  <c r="Z42" i="1"/>
  <c r="AC42" i="1"/>
  <c r="AB42" i="1"/>
  <c r="AA42" i="1"/>
  <c r="X43" i="1"/>
  <c r="I34" i="1"/>
  <c r="Y39" i="1" s="1"/>
  <c r="G103" i="4" s="1"/>
  <c r="H38" i="1"/>
  <c r="J34" i="1"/>
  <c r="J38" i="1" s="1"/>
  <c r="M13" i="1"/>
  <c r="M33" i="1"/>
  <c r="L13" i="1"/>
  <c r="L33" i="1"/>
  <c r="K33" i="1"/>
  <c r="K13" i="1"/>
  <c r="D122" i="4" l="1"/>
  <c r="D125" i="4"/>
  <c r="D124" i="4"/>
  <c r="D231" i="4"/>
  <c r="D123" i="4"/>
  <c r="C115" i="16"/>
  <c r="D179" i="4"/>
  <c r="D72" i="4"/>
  <c r="D71" i="4"/>
  <c r="D174" i="4"/>
  <c r="D126" i="4"/>
  <c r="D21" i="12"/>
  <c r="D21" i="16" s="1"/>
  <c r="E21" i="12"/>
  <c r="E21" i="16" s="1"/>
  <c r="D24" i="16"/>
  <c r="E93" i="12"/>
  <c r="E93" i="16" s="1"/>
  <c r="D229" i="4"/>
  <c r="D230" i="4"/>
  <c r="D75" i="4"/>
  <c r="D176" i="4"/>
  <c r="D76" i="4"/>
  <c r="D178" i="4"/>
  <c r="D175" i="4"/>
  <c r="D235" i="4"/>
  <c r="D177" i="4"/>
  <c r="D127" i="4"/>
  <c r="O76" i="5"/>
  <c r="D233" i="4"/>
  <c r="D234" i="4"/>
  <c r="D181" i="4"/>
  <c r="F165" i="4"/>
  <c r="Q81" i="5" s="1"/>
  <c r="C141" i="16"/>
  <c r="D92" i="4"/>
  <c r="D91" i="4" s="1"/>
  <c r="O78" i="5" s="1"/>
  <c r="E22" i="12"/>
  <c r="E22" i="16" s="1"/>
  <c r="E92" i="12"/>
  <c r="E92" i="16" s="1"/>
  <c r="G138" i="4"/>
  <c r="C198" i="4"/>
  <c r="C197" i="4" s="1"/>
  <c r="N82" i="5" s="1"/>
  <c r="K88" i="4"/>
  <c r="D70" i="16"/>
  <c r="C167" i="16"/>
  <c r="C69" i="16"/>
  <c r="D89" i="16"/>
  <c r="C92" i="4"/>
  <c r="C91" i="4" s="1"/>
  <c r="N78" i="5" s="1"/>
  <c r="D120" i="4"/>
  <c r="D228" i="4"/>
  <c r="E90" i="12"/>
  <c r="E90" i="16" s="1"/>
  <c r="D171" i="16"/>
  <c r="E171" i="12"/>
  <c r="D168" i="16"/>
  <c r="E168" i="12"/>
  <c r="C68" i="16"/>
  <c r="D144" i="4"/>
  <c r="D143" i="4" s="1"/>
  <c r="O80" i="5" s="1"/>
  <c r="D121" i="4"/>
  <c r="D142" i="16"/>
  <c r="E142" i="12"/>
  <c r="D170" i="16"/>
  <c r="E170" i="12"/>
  <c r="D143" i="16"/>
  <c r="E143" i="12"/>
  <c r="D144" i="16"/>
  <c r="E144" i="12"/>
  <c r="D40" i="4"/>
  <c r="D39" i="4" s="1"/>
  <c r="D74" i="4"/>
  <c r="C40" i="4"/>
  <c r="C39" i="4" s="1"/>
  <c r="N76" i="5" s="1"/>
  <c r="D69" i="4"/>
  <c r="D180" i="4"/>
  <c r="D22" i="12"/>
  <c r="D22" i="16" s="1"/>
  <c r="E91" i="12"/>
  <c r="F91" i="12" s="1"/>
  <c r="C67" i="16"/>
  <c r="D116" i="16"/>
  <c r="E116" i="12"/>
  <c r="D169" i="16"/>
  <c r="E169" i="12"/>
  <c r="D198" i="4"/>
  <c r="D197" i="4" s="1"/>
  <c r="O82" i="5" s="1"/>
  <c r="C70" i="16"/>
  <c r="D70" i="4"/>
  <c r="D73" i="4"/>
  <c r="D232" i="4"/>
  <c r="C89" i="16"/>
  <c r="C66" i="16"/>
  <c r="C144" i="4"/>
  <c r="C143" i="4" s="1"/>
  <c r="N80" i="5" s="1"/>
  <c r="D118" i="16"/>
  <c r="E118" i="12"/>
  <c r="D117" i="16"/>
  <c r="E117" i="12"/>
  <c r="D119" i="16"/>
  <c r="E119" i="12"/>
  <c r="D145" i="16"/>
  <c r="E145" i="12"/>
  <c r="K209" i="4"/>
  <c r="K220" i="4"/>
  <c r="K221" i="4" s="1"/>
  <c r="K219" i="4" s="1"/>
  <c r="F58" i="4"/>
  <c r="F57" i="4"/>
  <c r="F56" i="4"/>
  <c r="F55" i="4"/>
  <c r="F54" i="4"/>
  <c r="F53" i="4"/>
  <c r="F52" i="4"/>
  <c r="K192" i="4"/>
  <c r="K167" i="4"/>
  <c r="K165" i="4" s="1"/>
  <c r="G112" i="4"/>
  <c r="R79" i="5" s="1"/>
  <c r="J34" i="12"/>
  <c r="K44" i="5"/>
  <c r="K113" i="4" s="1"/>
  <c r="G110" i="4"/>
  <c r="G135" i="4" s="1"/>
  <c r="G109" i="4"/>
  <c r="G134" i="4" s="1"/>
  <c r="G108" i="4"/>
  <c r="G133" i="4" s="1"/>
  <c r="G106" i="4"/>
  <c r="G131" i="4" s="1"/>
  <c r="G107" i="4"/>
  <c r="G132" i="4" s="1"/>
  <c r="G105" i="4"/>
  <c r="G130" i="4" s="1"/>
  <c r="G104" i="4"/>
  <c r="G129" i="4" s="1"/>
  <c r="H220" i="4"/>
  <c r="H221" i="4" s="1"/>
  <c r="H209" i="4"/>
  <c r="E58" i="4"/>
  <c r="E57" i="4"/>
  <c r="E56" i="4"/>
  <c r="E55" i="4"/>
  <c r="E54" i="4"/>
  <c r="E53" i="4"/>
  <c r="E52" i="4"/>
  <c r="K162" i="4"/>
  <c r="K163" i="4"/>
  <c r="K157" i="4"/>
  <c r="K158" i="4"/>
  <c r="K159" i="4"/>
  <c r="K161" i="4"/>
  <c r="K156" i="4"/>
  <c r="K160" i="4"/>
  <c r="K64" i="4"/>
  <c r="K63" i="4"/>
  <c r="F129" i="4"/>
  <c r="E129" i="4"/>
  <c r="E133" i="4"/>
  <c r="F133" i="4"/>
  <c r="E239" i="4"/>
  <c r="H34" i="12"/>
  <c r="H38" i="12" s="1"/>
  <c r="H38" i="16" s="1"/>
  <c r="I33" i="12"/>
  <c r="I44" i="5"/>
  <c r="I113" i="4" s="1"/>
  <c r="I220" i="4"/>
  <c r="I221" i="4" s="1"/>
  <c r="I209" i="4"/>
  <c r="H166" i="4"/>
  <c r="H155" i="4"/>
  <c r="F88" i="4"/>
  <c r="E88" i="4"/>
  <c r="F184" i="4"/>
  <c r="F134" i="4"/>
  <c r="E134" i="4"/>
  <c r="I192" i="4"/>
  <c r="I167" i="4"/>
  <c r="F26" i="16"/>
  <c r="F31" i="12"/>
  <c r="F31" i="16" s="1"/>
  <c r="E237" i="4"/>
  <c r="E244" i="4"/>
  <c r="J192" i="4"/>
  <c r="J167" i="4"/>
  <c r="I34" i="12"/>
  <c r="J33" i="12"/>
  <c r="J44" i="5"/>
  <c r="J113" i="4" s="1"/>
  <c r="J209" i="4"/>
  <c r="J220" i="4"/>
  <c r="J221" i="4" s="1"/>
  <c r="Y43" i="1"/>
  <c r="G209" i="4"/>
  <c r="G220" i="4"/>
  <c r="G221" i="4" s="1"/>
  <c r="G247" i="4" s="1"/>
  <c r="F185" i="4"/>
  <c r="F183" i="4"/>
  <c r="E64" i="4"/>
  <c r="E63" i="4"/>
  <c r="F64" i="4"/>
  <c r="F63" i="4"/>
  <c r="E131" i="4"/>
  <c r="F131" i="4"/>
  <c r="F135" i="4"/>
  <c r="E135" i="4"/>
  <c r="I160" i="4"/>
  <c r="I156" i="4"/>
  <c r="I159" i="4"/>
  <c r="I157" i="4"/>
  <c r="I161" i="4"/>
  <c r="I163" i="4"/>
  <c r="I158" i="4"/>
  <c r="I162" i="4"/>
  <c r="E243" i="4"/>
  <c r="E242" i="4"/>
  <c r="I61" i="4"/>
  <c r="I65" i="4"/>
  <c r="J88" i="4" s="1"/>
  <c r="J161" i="4"/>
  <c r="J156" i="4"/>
  <c r="J157" i="4"/>
  <c r="J158" i="4"/>
  <c r="J160" i="4"/>
  <c r="J162" i="4"/>
  <c r="J163" i="4"/>
  <c r="J159" i="4"/>
  <c r="F247" i="4"/>
  <c r="E247" i="4"/>
  <c r="E219" i="4"/>
  <c r="P83" i="5" s="1"/>
  <c r="E132" i="4"/>
  <c r="F132" i="4"/>
  <c r="F210" i="4"/>
  <c r="F215" i="4"/>
  <c r="F242" i="4" s="1"/>
  <c r="F216" i="4"/>
  <c r="F243" i="4" s="1"/>
  <c r="F213" i="4"/>
  <c r="F211" i="4"/>
  <c r="F238" i="4" s="1"/>
  <c r="F212" i="4"/>
  <c r="F217" i="4"/>
  <c r="F244" i="4" s="1"/>
  <c r="F214" i="4"/>
  <c r="F241" i="4" s="1"/>
  <c r="G61" i="4"/>
  <c r="G65" i="4"/>
  <c r="E240" i="4"/>
  <c r="E241" i="4"/>
  <c r="I25" i="16"/>
  <c r="I30" i="12"/>
  <c r="I30" i="16" s="1"/>
  <c r="H116" i="4"/>
  <c r="H115" i="4"/>
  <c r="H61" i="4"/>
  <c r="H65" i="4"/>
  <c r="E145" i="4"/>
  <c r="E149" i="12"/>
  <c r="E149" i="16" s="1"/>
  <c r="E155" i="12"/>
  <c r="E155" i="16" s="1"/>
  <c r="E151" i="12"/>
  <c r="E151" i="16" s="1"/>
  <c r="E147" i="12"/>
  <c r="E147" i="16" s="1"/>
  <c r="E154" i="12"/>
  <c r="E154" i="16" s="1"/>
  <c r="E150" i="12"/>
  <c r="E150" i="16" s="1"/>
  <c r="E153" i="12"/>
  <c r="E153" i="16" s="1"/>
  <c r="E152" i="12"/>
  <c r="E152" i="16" s="1"/>
  <c r="E148" i="12"/>
  <c r="E148" i="16" s="1"/>
  <c r="J64" i="4"/>
  <c r="J63" i="4"/>
  <c r="G25" i="16"/>
  <c r="G30" i="12"/>
  <c r="G30" i="16" s="1"/>
  <c r="E238" i="4"/>
  <c r="G157" i="4"/>
  <c r="G158" i="4"/>
  <c r="G185" i="4" s="1"/>
  <c r="G162" i="4"/>
  <c r="G163" i="4"/>
  <c r="G190" i="4" s="1"/>
  <c r="G159" i="4"/>
  <c r="G156" i="4"/>
  <c r="G160" i="4"/>
  <c r="G187" i="4" s="1"/>
  <c r="G161" i="4"/>
  <c r="H26" i="16"/>
  <c r="H31" i="12"/>
  <c r="H31" i="16" s="1"/>
  <c r="H33" i="16"/>
  <c r="H25" i="16"/>
  <c r="H30" i="12"/>
  <c r="H30" i="16" s="1"/>
  <c r="E130" i="4"/>
  <c r="F130" i="4"/>
  <c r="G192" i="4"/>
  <c r="G167" i="4"/>
  <c r="G193" i="4" s="1"/>
  <c r="G34" i="16"/>
  <c r="G39" i="12"/>
  <c r="G39" i="16" s="1"/>
  <c r="G26" i="16"/>
  <c r="G31" i="12"/>
  <c r="G31" i="16" s="1"/>
  <c r="F219" i="4"/>
  <c r="D138" i="16"/>
  <c r="N29" i="5"/>
  <c r="C138" i="16"/>
  <c r="C62" i="12"/>
  <c r="D165" i="12"/>
  <c r="F222" i="4"/>
  <c r="W33" i="1"/>
  <c r="C70" i="12"/>
  <c r="D141" i="12"/>
  <c r="D115" i="12"/>
  <c r="D167" i="12"/>
  <c r="D120" i="12"/>
  <c r="D94" i="12"/>
  <c r="D66" i="12"/>
  <c r="F21" i="12"/>
  <c r="F21" i="16" s="1"/>
  <c r="W35" i="1"/>
  <c r="W36" i="1"/>
  <c r="W32" i="1"/>
  <c r="W40" i="1"/>
  <c r="C65" i="12"/>
  <c r="D67" i="12"/>
  <c r="D68" i="12"/>
  <c r="D69" i="12"/>
  <c r="D89" i="12"/>
  <c r="F246" i="4"/>
  <c r="Z39" i="1"/>
  <c r="H103" i="4" s="1"/>
  <c r="AA46" i="1"/>
  <c r="AB46" i="1"/>
  <c r="Z38" i="1"/>
  <c r="H51" i="4" s="1"/>
  <c r="AC46" i="1"/>
  <c r="Y38" i="1"/>
  <c r="G51" i="4" s="1"/>
  <c r="Z34" i="1"/>
  <c r="Z32" i="1"/>
  <c r="Z33" i="1"/>
  <c r="Z35" i="1"/>
  <c r="X33" i="1"/>
  <c r="X32" i="1"/>
  <c r="X34" i="1"/>
  <c r="X35" i="1"/>
  <c r="G168" i="4"/>
  <c r="AC43" i="1"/>
  <c r="Z43" i="1"/>
  <c r="X36" i="1"/>
  <c r="AA43" i="1"/>
  <c r="F168" i="4"/>
  <c r="AB43" i="1"/>
  <c r="K168" i="4"/>
  <c r="X40" i="1"/>
  <c r="K34" i="1"/>
  <c r="AA38" i="1" s="1"/>
  <c r="I51" i="4" s="1"/>
  <c r="M34" i="1"/>
  <c r="AC38" i="1" s="1"/>
  <c r="K51" i="4" s="1"/>
  <c r="L34" i="1"/>
  <c r="AB38" i="1" s="1"/>
  <c r="J51" i="4" s="1"/>
  <c r="I38" i="1"/>
  <c r="Z36" i="1"/>
  <c r="C114" i="12" l="1"/>
  <c r="C114" i="16" s="1"/>
  <c r="C111" i="16" s="1"/>
  <c r="E91" i="16"/>
  <c r="E89" i="16" s="1"/>
  <c r="F90" i="12"/>
  <c r="F90" i="16" s="1"/>
  <c r="F93" i="12"/>
  <c r="F93" i="16" s="1"/>
  <c r="G21" i="12"/>
  <c r="G21" i="16" s="1"/>
  <c r="C88" i="12"/>
  <c r="C88" i="16" s="1"/>
  <c r="C85" i="16" s="1"/>
  <c r="N74" i="5"/>
  <c r="C140" i="12"/>
  <c r="C137" i="12" s="1"/>
  <c r="C159" i="16" s="1"/>
  <c r="K186" i="4"/>
  <c r="K193" i="4"/>
  <c r="C65" i="16"/>
  <c r="D68" i="16"/>
  <c r="I246" i="4"/>
  <c r="H165" i="12" s="1"/>
  <c r="H165" i="16" s="1"/>
  <c r="K188" i="4"/>
  <c r="O74" i="5"/>
  <c r="H246" i="4"/>
  <c r="G165" i="12" s="1"/>
  <c r="G165" i="16" s="1"/>
  <c r="F22" i="12"/>
  <c r="F22" i="16" s="1"/>
  <c r="H222" i="4"/>
  <c r="F92" i="12"/>
  <c r="G92" i="12" s="1"/>
  <c r="D69" i="16"/>
  <c r="K185" i="4"/>
  <c r="I222" i="4"/>
  <c r="K190" i="4"/>
  <c r="K184" i="4"/>
  <c r="D67" i="16"/>
  <c r="C166" i="12"/>
  <c r="C166" i="16" s="1"/>
  <c r="C163" i="16" s="1"/>
  <c r="J189" i="4"/>
  <c r="J184" i="4"/>
  <c r="E118" i="16"/>
  <c r="F118" i="12"/>
  <c r="E87" i="4"/>
  <c r="J193" i="4"/>
  <c r="D115" i="16"/>
  <c r="E143" i="16"/>
  <c r="F143" i="12"/>
  <c r="E142" i="16"/>
  <c r="F142" i="12"/>
  <c r="F171" i="12"/>
  <c r="E171" i="16"/>
  <c r="E119" i="16"/>
  <c r="F119" i="12"/>
  <c r="E116" i="16"/>
  <c r="F116" i="12"/>
  <c r="D167" i="16"/>
  <c r="H138" i="4"/>
  <c r="K183" i="4"/>
  <c r="E145" i="16"/>
  <c r="F145" i="12"/>
  <c r="E117" i="16"/>
  <c r="F117" i="12"/>
  <c r="E169" i="16"/>
  <c r="F169" i="12"/>
  <c r="D141" i="16"/>
  <c r="K187" i="4"/>
  <c r="K247" i="4"/>
  <c r="F144" i="12"/>
  <c r="E144" i="16"/>
  <c r="E170" i="16"/>
  <c r="F170" i="12"/>
  <c r="E168" i="16"/>
  <c r="F168" i="12"/>
  <c r="D66" i="16"/>
  <c r="F41" i="4"/>
  <c r="F101" i="12"/>
  <c r="F101" i="16" s="1"/>
  <c r="F97" i="12"/>
  <c r="F97" i="16" s="1"/>
  <c r="F99" i="12"/>
  <c r="F99" i="16" s="1"/>
  <c r="F102" i="12"/>
  <c r="F102" i="16" s="1"/>
  <c r="F103" i="12"/>
  <c r="F103" i="16" s="1"/>
  <c r="F95" i="12"/>
  <c r="F95" i="16" s="1"/>
  <c r="F100" i="12"/>
  <c r="F100" i="16" s="1"/>
  <c r="F98" i="12"/>
  <c r="F98" i="16" s="1"/>
  <c r="F96" i="12"/>
  <c r="F96" i="16" s="1"/>
  <c r="H41" i="4"/>
  <c r="H101" i="12"/>
  <c r="H101" i="16" s="1"/>
  <c r="H99" i="12"/>
  <c r="H99" i="16" s="1"/>
  <c r="H100" i="12"/>
  <c r="H100" i="16" s="1"/>
  <c r="H95" i="12"/>
  <c r="H95" i="16" s="1"/>
  <c r="H102" i="12"/>
  <c r="H102" i="16" s="1"/>
  <c r="H103" i="12"/>
  <c r="H103" i="16" s="1"/>
  <c r="H97" i="12"/>
  <c r="H97" i="16" s="1"/>
  <c r="H96" i="12"/>
  <c r="H96" i="16" s="1"/>
  <c r="H98" i="12"/>
  <c r="H98" i="16" s="1"/>
  <c r="H110" i="4"/>
  <c r="H135" i="4" s="1"/>
  <c r="H109" i="4"/>
  <c r="H134" i="4" s="1"/>
  <c r="H107" i="4"/>
  <c r="H132" i="4" s="1"/>
  <c r="H108" i="4"/>
  <c r="H133" i="4" s="1"/>
  <c r="H106" i="4"/>
  <c r="H131" i="4" s="1"/>
  <c r="H105" i="4"/>
  <c r="H130" i="4" s="1"/>
  <c r="H104" i="4"/>
  <c r="H129" i="4" s="1"/>
  <c r="J58" i="4"/>
  <c r="J57" i="4"/>
  <c r="J56" i="4"/>
  <c r="J55" i="4"/>
  <c r="J54" i="4"/>
  <c r="J53" i="4"/>
  <c r="J52" i="4"/>
  <c r="H57" i="4"/>
  <c r="H58" i="4"/>
  <c r="H56" i="4"/>
  <c r="H55" i="4"/>
  <c r="H54" i="4"/>
  <c r="H53" i="4"/>
  <c r="H52" i="4"/>
  <c r="E146" i="16"/>
  <c r="E153" i="4"/>
  <c r="E146" i="4"/>
  <c r="E152" i="4"/>
  <c r="E151" i="4"/>
  <c r="E150" i="4"/>
  <c r="E149" i="4"/>
  <c r="E148" i="4"/>
  <c r="E147" i="4"/>
  <c r="G64" i="4"/>
  <c r="G63" i="4"/>
  <c r="F60" i="4"/>
  <c r="Q77" i="5"/>
  <c r="J33" i="16"/>
  <c r="J38" i="12"/>
  <c r="J38" i="16" s="1"/>
  <c r="K58" i="4"/>
  <c r="K57" i="4"/>
  <c r="K52" i="4"/>
  <c r="K56" i="4"/>
  <c r="K55" i="4"/>
  <c r="K53" i="4"/>
  <c r="K54" i="4"/>
  <c r="I165" i="4"/>
  <c r="T81" i="5" s="1"/>
  <c r="F199" i="4"/>
  <c r="F181" i="12"/>
  <c r="F181" i="16" s="1"/>
  <c r="F173" i="12"/>
  <c r="F173" i="16" s="1"/>
  <c r="F180" i="12"/>
  <c r="F180" i="16" s="1"/>
  <c r="F179" i="12"/>
  <c r="F179" i="16" s="1"/>
  <c r="F178" i="12"/>
  <c r="F178" i="16" s="1"/>
  <c r="F177" i="12"/>
  <c r="F177" i="16" s="1"/>
  <c r="F176" i="12"/>
  <c r="F176" i="16" s="1"/>
  <c r="F175" i="12"/>
  <c r="F175" i="16" s="1"/>
  <c r="F174" i="12"/>
  <c r="F174" i="16" s="1"/>
  <c r="H199" i="4"/>
  <c r="H181" i="12"/>
  <c r="H181" i="16" s="1"/>
  <c r="H178" i="12"/>
  <c r="H178" i="16" s="1"/>
  <c r="H176" i="12"/>
  <c r="H176" i="16" s="1"/>
  <c r="H179" i="12"/>
  <c r="H179" i="16" s="1"/>
  <c r="H177" i="12"/>
  <c r="H177" i="16" s="1"/>
  <c r="H174" i="12"/>
  <c r="H174" i="16" s="1"/>
  <c r="H175" i="12"/>
  <c r="H175" i="16" s="1"/>
  <c r="H173" i="12"/>
  <c r="H173" i="16" s="1"/>
  <c r="H180" i="12"/>
  <c r="H180" i="16" s="1"/>
  <c r="F91" i="16"/>
  <c r="G91" i="12"/>
  <c r="I88" i="4"/>
  <c r="G188" i="4"/>
  <c r="I64" i="4"/>
  <c r="I63" i="4"/>
  <c r="J185" i="4"/>
  <c r="J186" i="4"/>
  <c r="I34" i="16"/>
  <c r="I39" i="12"/>
  <c r="I39" i="16" s="1"/>
  <c r="F237" i="4"/>
  <c r="J247" i="4"/>
  <c r="I33" i="16"/>
  <c r="I38" i="12"/>
  <c r="I38" i="16" s="1"/>
  <c r="E78" i="4"/>
  <c r="F78" i="4"/>
  <c r="I58" i="4"/>
  <c r="I57" i="4"/>
  <c r="I55" i="4"/>
  <c r="I56" i="4"/>
  <c r="I54" i="4"/>
  <c r="I53" i="4"/>
  <c r="I52" i="4"/>
  <c r="G22" i="12"/>
  <c r="G22" i="16" s="1"/>
  <c r="F145" i="4"/>
  <c r="F151" i="12"/>
  <c r="F151" i="16" s="1"/>
  <c r="F155" i="12"/>
  <c r="F155" i="16" s="1"/>
  <c r="F150" i="12"/>
  <c r="F150" i="16" s="1"/>
  <c r="F149" i="12"/>
  <c r="F149" i="16" s="1"/>
  <c r="F154" i="12"/>
  <c r="F154" i="16" s="1"/>
  <c r="F153" i="12"/>
  <c r="F153" i="16" s="1"/>
  <c r="F152" i="12"/>
  <c r="F152" i="16" s="1"/>
  <c r="F148" i="12"/>
  <c r="F148" i="16" s="1"/>
  <c r="F147" i="12"/>
  <c r="F147" i="16" s="1"/>
  <c r="H93" i="4"/>
  <c r="H125" i="12"/>
  <c r="H125" i="16" s="1"/>
  <c r="H121" i="12"/>
  <c r="H121" i="16" s="1"/>
  <c r="H127" i="12"/>
  <c r="H127" i="16" s="1"/>
  <c r="H128" i="12"/>
  <c r="H128" i="16" s="1"/>
  <c r="H126" i="12"/>
  <c r="H126" i="16" s="1"/>
  <c r="H124" i="12"/>
  <c r="H124" i="16" s="1"/>
  <c r="H123" i="12"/>
  <c r="H123" i="16" s="1"/>
  <c r="H129" i="12"/>
  <c r="H129" i="16" s="1"/>
  <c r="H122" i="12"/>
  <c r="H122" i="16" s="1"/>
  <c r="G58" i="4"/>
  <c r="G84" i="4" s="1"/>
  <c r="G57" i="4"/>
  <c r="G55" i="4"/>
  <c r="G53" i="4"/>
  <c r="G79" i="4" s="1"/>
  <c r="G52" i="4"/>
  <c r="G78" i="4" s="1"/>
  <c r="G56" i="4"/>
  <c r="G82" i="4" s="1"/>
  <c r="G54" i="4"/>
  <c r="E41" i="4"/>
  <c r="E95" i="12"/>
  <c r="E95" i="16" s="1"/>
  <c r="E101" i="12"/>
  <c r="E101" i="16" s="1"/>
  <c r="E97" i="12"/>
  <c r="E97" i="16" s="1"/>
  <c r="E100" i="12"/>
  <c r="E100" i="16" s="1"/>
  <c r="E96" i="12"/>
  <c r="E96" i="16" s="1"/>
  <c r="E103" i="12"/>
  <c r="E103" i="16" s="1"/>
  <c r="E99" i="12"/>
  <c r="E99" i="16" s="1"/>
  <c r="E102" i="12"/>
  <c r="E102" i="16" s="1"/>
  <c r="E98" i="12"/>
  <c r="E98" i="16" s="1"/>
  <c r="E93" i="4"/>
  <c r="E126" i="12"/>
  <c r="E126" i="16" s="1"/>
  <c r="E122" i="12"/>
  <c r="E122" i="16" s="1"/>
  <c r="E129" i="12"/>
  <c r="E129" i="16" s="1"/>
  <c r="E125" i="12"/>
  <c r="E125" i="16" s="1"/>
  <c r="E121" i="12"/>
  <c r="E121" i="16" s="1"/>
  <c r="E128" i="12"/>
  <c r="E128" i="16" s="1"/>
  <c r="E124" i="12"/>
  <c r="E124" i="16" s="1"/>
  <c r="E127" i="12"/>
  <c r="E127" i="16" s="1"/>
  <c r="E123" i="12"/>
  <c r="E123" i="16" s="1"/>
  <c r="H64" i="4"/>
  <c r="H63" i="4"/>
  <c r="H112" i="4"/>
  <c r="S79" i="5" s="1"/>
  <c r="F240" i="4"/>
  <c r="G186" i="4"/>
  <c r="K189" i="4"/>
  <c r="J190" i="4"/>
  <c r="J183" i="4"/>
  <c r="G189" i="4"/>
  <c r="E60" i="4"/>
  <c r="F87" i="4"/>
  <c r="P77" i="5"/>
  <c r="P75" i="5" s="1"/>
  <c r="H247" i="4"/>
  <c r="J215" i="4"/>
  <c r="J210" i="4"/>
  <c r="J211" i="4"/>
  <c r="J212" i="4"/>
  <c r="J217" i="4"/>
  <c r="J216" i="4"/>
  <c r="J214" i="4"/>
  <c r="J213" i="4"/>
  <c r="H159" i="4"/>
  <c r="I186" i="4" s="1"/>
  <c r="H163" i="4"/>
  <c r="I190" i="4" s="1"/>
  <c r="H162" i="4"/>
  <c r="I189" i="4" s="1"/>
  <c r="H158" i="4"/>
  <c r="I185" i="4" s="1"/>
  <c r="H156" i="4"/>
  <c r="I183" i="4" s="1"/>
  <c r="H160" i="4"/>
  <c r="I187" i="4" s="1"/>
  <c r="H161" i="4"/>
  <c r="I188" i="4" s="1"/>
  <c r="H157" i="4"/>
  <c r="I184" i="4" s="1"/>
  <c r="I219" i="4"/>
  <c r="T83" i="5" s="1"/>
  <c r="H34" i="16"/>
  <c r="H39" i="12"/>
  <c r="H39" i="16" s="1"/>
  <c r="K60" i="4"/>
  <c r="E79" i="4"/>
  <c r="F79" i="4"/>
  <c r="F83" i="4"/>
  <c r="E83" i="4"/>
  <c r="H219" i="4"/>
  <c r="S83" i="5" s="1"/>
  <c r="K116" i="4"/>
  <c r="K115" i="4"/>
  <c r="G88" i="4"/>
  <c r="H88" i="4"/>
  <c r="J188" i="4"/>
  <c r="J187" i="4"/>
  <c r="G211" i="4"/>
  <c r="G238" i="4" s="1"/>
  <c r="G216" i="4"/>
  <c r="G217" i="4"/>
  <c r="G244" i="4" s="1"/>
  <c r="G215" i="4"/>
  <c r="G214" i="4"/>
  <c r="G212" i="4"/>
  <c r="G239" i="4" s="1"/>
  <c r="G210" i="4"/>
  <c r="G213" i="4"/>
  <c r="J116" i="4"/>
  <c r="J115" i="4"/>
  <c r="H192" i="4"/>
  <c r="H167" i="4"/>
  <c r="E80" i="4"/>
  <c r="F80" i="4"/>
  <c r="F84" i="4"/>
  <c r="E84" i="4"/>
  <c r="J34" i="16"/>
  <c r="J39" i="12"/>
  <c r="J39" i="16" s="1"/>
  <c r="H145" i="4"/>
  <c r="H154" i="12"/>
  <c r="H154" i="16" s="1"/>
  <c r="H149" i="12"/>
  <c r="H149" i="16" s="1"/>
  <c r="H147" i="12"/>
  <c r="H147" i="16" s="1"/>
  <c r="H148" i="12"/>
  <c r="H148" i="16" s="1"/>
  <c r="H151" i="12"/>
  <c r="H151" i="16" s="1"/>
  <c r="H152" i="12"/>
  <c r="H152" i="16" s="1"/>
  <c r="H150" i="12"/>
  <c r="H150" i="16" s="1"/>
  <c r="H153" i="12"/>
  <c r="H153" i="16" s="1"/>
  <c r="H155" i="12"/>
  <c r="H155" i="16" s="1"/>
  <c r="E199" i="4"/>
  <c r="E173" i="12"/>
  <c r="E173" i="16" s="1"/>
  <c r="E181" i="12"/>
  <c r="E181" i="16" s="1"/>
  <c r="E180" i="12"/>
  <c r="E180" i="16" s="1"/>
  <c r="E176" i="12"/>
  <c r="E176" i="16" s="1"/>
  <c r="E179" i="12"/>
  <c r="E179" i="16" s="1"/>
  <c r="E175" i="12"/>
  <c r="E175" i="16" s="1"/>
  <c r="E178" i="12"/>
  <c r="E178" i="16" s="1"/>
  <c r="E174" i="12"/>
  <c r="E174" i="16" s="1"/>
  <c r="E177" i="12"/>
  <c r="E177" i="16" s="1"/>
  <c r="G183" i="4"/>
  <c r="I214" i="4"/>
  <c r="I210" i="4"/>
  <c r="I213" i="4"/>
  <c r="I211" i="4"/>
  <c r="I216" i="4"/>
  <c r="I215" i="4"/>
  <c r="I217" i="4"/>
  <c r="I212" i="4"/>
  <c r="I116" i="4"/>
  <c r="I115" i="4"/>
  <c r="F239" i="4"/>
  <c r="G184" i="4"/>
  <c r="E81" i="4"/>
  <c r="F81" i="4"/>
  <c r="H217" i="4"/>
  <c r="H216" i="4"/>
  <c r="H212" i="4"/>
  <c r="H210" i="4"/>
  <c r="H215" i="4"/>
  <c r="H213" i="4"/>
  <c r="H214" i="4"/>
  <c r="H211" i="4"/>
  <c r="K216" i="4"/>
  <c r="K211" i="4"/>
  <c r="K212" i="4"/>
  <c r="K213" i="4"/>
  <c r="K210" i="4"/>
  <c r="K214" i="4"/>
  <c r="K217" i="4"/>
  <c r="K215" i="4"/>
  <c r="F93" i="4"/>
  <c r="F123" i="12"/>
  <c r="F123" i="16" s="1"/>
  <c r="F129" i="12"/>
  <c r="F129" i="16" s="1"/>
  <c r="F126" i="12"/>
  <c r="F126" i="16" s="1"/>
  <c r="F127" i="12"/>
  <c r="F127" i="16" s="1"/>
  <c r="F125" i="12"/>
  <c r="F125" i="16" s="1"/>
  <c r="F122" i="12"/>
  <c r="F122" i="16" s="1"/>
  <c r="F128" i="12"/>
  <c r="F128" i="16" s="1"/>
  <c r="F124" i="12"/>
  <c r="F124" i="16" s="1"/>
  <c r="F121" i="12"/>
  <c r="F121" i="16" s="1"/>
  <c r="K87" i="4"/>
  <c r="J60" i="4"/>
  <c r="U77" i="5"/>
  <c r="E82" i="4"/>
  <c r="F82" i="4"/>
  <c r="I247" i="4"/>
  <c r="G165" i="4"/>
  <c r="R81" i="5" s="1"/>
  <c r="Q83" i="5"/>
  <c r="G219" i="4"/>
  <c r="J219" i="4"/>
  <c r="J165" i="4"/>
  <c r="N55" i="5"/>
  <c r="D63" i="12"/>
  <c r="D165" i="16"/>
  <c r="D63" i="16" s="1"/>
  <c r="C62" i="16"/>
  <c r="D164" i="12"/>
  <c r="J139" i="12"/>
  <c r="J139" i="16" s="1"/>
  <c r="E164" i="12"/>
  <c r="E165" i="12"/>
  <c r="E165" i="16" s="1"/>
  <c r="F139" i="12"/>
  <c r="F139" i="16" s="1"/>
  <c r="E139" i="12"/>
  <c r="E139" i="16" s="1"/>
  <c r="G222" i="4"/>
  <c r="J222" i="4"/>
  <c r="K222" i="4"/>
  <c r="E115" i="12"/>
  <c r="E141" i="12"/>
  <c r="E167" i="12"/>
  <c r="E68" i="12"/>
  <c r="E69" i="12"/>
  <c r="E67" i="12"/>
  <c r="H21" i="12"/>
  <c r="H21" i="16" s="1"/>
  <c r="K246" i="4"/>
  <c r="J246" i="4"/>
  <c r="D65" i="12"/>
  <c r="E89" i="12"/>
  <c r="E66" i="12"/>
  <c r="AB39" i="1"/>
  <c r="J103" i="4" s="1"/>
  <c r="AC39" i="1"/>
  <c r="K103" i="4" s="1"/>
  <c r="AA39" i="1"/>
  <c r="I103" i="4" s="1"/>
  <c r="Y33" i="1"/>
  <c r="Y32" i="1"/>
  <c r="Y34" i="1"/>
  <c r="Y35" i="1"/>
  <c r="G246" i="4"/>
  <c r="H168" i="4"/>
  <c r="I168" i="4"/>
  <c r="Y36" i="1"/>
  <c r="J168" i="4"/>
  <c r="Y40" i="1"/>
  <c r="K38" i="1"/>
  <c r="M38" i="1"/>
  <c r="L38" i="1"/>
  <c r="Z40" i="1"/>
  <c r="I237" i="4" l="1"/>
  <c r="I241" i="4"/>
  <c r="G90" i="12"/>
  <c r="G90" i="16" s="1"/>
  <c r="C111" i="12"/>
  <c r="C133" i="16" s="1"/>
  <c r="C85" i="12"/>
  <c r="C107" i="16" s="1"/>
  <c r="H81" i="4"/>
  <c r="J80" i="4"/>
  <c r="G93" i="12"/>
  <c r="H93" i="12" s="1"/>
  <c r="C64" i="12"/>
  <c r="J84" i="4"/>
  <c r="F92" i="16"/>
  <c r="F89" i="16" s="1"/>
  <c r="C163" i="12"/>
  <c r="C185" i="16" s="1"/>
  <c r="C182" i="16" s="1"/>
  <c r="C162" i="16" s="1"/>
  <c r="C140" i="16"/>
  <c r="C64" i="16" s="1"/>
  <c r="J78" i="4"/>
  <c r="Q75" i="5"/>
  <c r="G81" i="4"/>
  <c r="T77" i="5"/>
  <c r="I21" i="12"/>
  <c r="I21" i="16" s="1"/>
  <c r="I244" i="4"/>
  <c r="J21" i="12"/>
  <c r="J21" i="16" s="1"/>
  <c r="J239" i="4"/>
  <c r="G87" i="4"/>
  <c r="E69" i="16"/>
  <c r="I22" i="12"/>
  <c r="I22" i="16" s="1"/>
  <c r="J240" i="4"/>
  <c r="H185" i="4"/>
  <c r="J81" i="4"/>
  <c r="E94" i="12"/>
  <c r="I242" i="4"/>
  <c r="J244" i="4"/>
  <c r="J82" i="4"/>
  <c r="E67" i="16"/>
  <c r="E68" i="16"/>
  <c r="K243" i="4"/>
  <c r="J241" i="4"/>
  <c r="D65" i="16"/>
  <c r="K237" i="4"/>
  <c r="I138" i="4"/>
  <c r="J243" i="4"/>
  <c r="I240" i="4"/>
  <c r="J238" i="4"/>
  <c r="H237" i="4"/>
  <c r="E79" i="16"/>
  <c r="H83" i="4"/>
  <c r="J79" i="4"/>
  <c r="J83" i="4"/>
  <c r="I239" i="4"/>
  <c r="E172" i="16"/>
  <c r="H242" i="4"/>
  <c r="F170" i="16"/>
  <c r="G170" i="12"/>
  <c r="E141" i="16"/>
  <c r="K242" i="4"/>
  <c r="H78" i="4"/>
  <c r="K84" i="4"/>
  <c r="G117" i="12"/>
  <c r="F117" i="16"/>
  <c r="F116" i="16"/>
  <c r="G116" i="12"/>
  <c r="F143" i="16"/>
  <c r="G143" i="12"/>
  <c r="E66" i="16"/>
  <c r="K81" i="4"/>
  <c r="G168" i="12"/>
  <c r="F168" i="16"/>
  <c r="E115" i="16"/>
  <c r="G171" i="12"/>
  <c r="F171" i="16"/>
  <c r="G118" i="12"/>
  <c r="F118" i="16"/>
  <c r="H238" i="4"/>
  <c r="G242" i="4"/>
  <c r="H172" i="16"/>
  <c r="H184" i="4"/>
  <c r="E167" i="16"/>
  <c r="F144" i="16"/>
  <c r="G144" i="12"/>
  <c r="F169" i="16"/>
  <c r="G169" i="12"/>
  <c r="F145" i="16"/>
  <c r="G145" i="12"/>
  <c r="F119" i="16"/>
  <c r="G119" i="12"/>
  <c r="F142" i="16"/>
  <c r="G142" i="12"/>
  <c r="G145" i="4"/>
  <c r="G154" i="12"/>
  <c r="G154" i="16" s="1"/>
  <c r="G151" i="12"/>
  <c r="G151" i="16" s="1"/>
  <c r="G155" i="12"/>
  <c r="G155" i="16" s="1"/>
  <c r="G147" i="12"/>
  <c r="G147" i="16" s="1"/>
  <c r="G152" i="12"/>
  <c r="G152" i="16" s="1"/>
  <c r="G150" i="12"/>
  <c r="G150" i="16" s="1"/>
  <c r="G153" i="12"/>
  <c r="G153" i="16" s="1"/>
  <c r="G148" i="12"/>
  <c r="G148" i="16" s="1"/>
  <c r="G149" i="12"/>
  <c r="G149" i="16" s="1"/>
  <c r="K110" i="4"/>
  <c r="K109" i="4"/>
  <c r="K104" i="4"/>
  <c r="K107" i="4"/>
  <c r="K105" i="4"/>
  <c r="K108" i="4"/>
  <c r="K106" i="4"/>
  <c r="J109" i="4"/>
  <c r="J110" i="4"/>
  <c r="J105" i="4"/>
  <c r="J108" i="4"/>
  <c r="J107" i="4"/>
  <c r="J106" i="4"/>
  <c r="J104" i="4"/>
  <c r="F120" i="16"/>
  <c r="I243" i="4"/>
  <c r="E207" i="4"/>
  <c r="E200" i="4"/>
  <c r="E206" i="4"/>
  <c r="E205" i="4"/>
  <c r="E204" i="4"/>
  <c r="E203" i="4"/>
  <c r="E202" i="4"/>
  <c r="E201" i="4"/>
  <c r="I193" i="4"/>
  <c r="H165" i="4"/>
  <c r="S81" i="5" s="1"/>
  <c r="H240" i="4"/>
  <c r="E101" i="4"/>
  <c r="E94" i="4"/>
  <c r="E100" i="4"/>
  <c r="E99" i="4"/>
  <c r="E97" i="4"/>
  <c r="E96" i="4"/>
  <c r="E98" i="4"/>
  <c r="E95" i="4"/>
  <c r="E77" i="16"/>
  <c r="F146" i="16"/>
  <c r="H190" i="4"/>
  <c r="G93" i="4"/>
  <c r="G127" i="12"/>
  <c r="G127" i="16" s="1"/>
  <c r="G126" i="12"/>
  <c r="G126" i="16" s="1"/>
  <c r="G123" i="12"/>
  <c r="G123" i="16" s="1"/>
  <c r="G129" i="12"/>
  <c r="G129" i="16" s="1"/>
  <c r="G121" i="12"/>
  <c r="G121" i="16" s="1"/>
  <c r="G124" i="12"/>
  <c r="G124" i="16" s="1"/>
  <c r="G122" i="12"/>
  <c r="G122" i="16" s="1"/>
  <c r="G125" i="12"/>
  <c r="G125" i="16" s="1"/>
  <c r="G128" i="12"/>
  <c r="G128" i="16" s="1"/>
  <c r="G83" i="4"/>
  <c r="F101" i="4"/>
  <c r="F100" i="4"/>
  <c r="F99" i="4"/>
  <c r="F98" i="4"/>
  <c r="F97" i="4"/>
  <c r="F96" i="4"/>
  <c r="F95" i="4"/>
  <c r="F94" i="4"/>
  <c r="H244" i="4"/>
  <c r="K244" i="4"/>
  <c r="H189" i="4"/>
  <c r="E74" i="16"/>
  <c r="E72" i="16"/>
  <c r="E94" i="16"/>
  <c r="E71" i="16"/>
  <c r="F153" i="4"/>
  <c r="F181" i="4" s="1"/>
  <c r="F152" i="4"/>
  <c r="F180" i="4" s="1"/>
  <c r="F151" i="4"/>
  <c r="F179" i="4" s="1"/>
  <c r="F150" i="4"/>
  <c r="F178" i="4" s="1"/>
  <c r="F149" i="4"/>
  <c r="F148" i="4"/>
  <c r="F176" i="4" s="1"/>
  <c r="F147" i="4"/>
  <c r="F175" i="4" s="1"/>
  <c r="F146" i="4"/>
  <c r="H188" i="4"/>
  <c r="G237" i="4"/>
  <c r="E176" i="4"/>
  <c r="E180" i="4"/>
  <c r="I83" i="4"/>
  <c r="G199" i="4"/>
  <c r="G180" i="12"/>
  <c r="G180" i="16" s="1"/>
  <c r="G177" i="12"/>
  <c r="G177" i="16" s="1"/>
  <c r="G178" i="12"/>
  <c r="G178" i="16" s="1"/>
  <c r="G175" i="12"/>
  <c r="G175" i="16" s="1"/>
  <c r="G179" i="12"/>
  <c r="G179" i="16" s="1"/>
  <c r="G176" i="12"/>
  <c r="G176" i="16" s="1"/>
  <c r="G174" i="12"/>
  <c r="G174" i="16" s="1"/>
  <c r="G173" i="12"/>
  <c r="G173" i="16" s="1"/>
  <c r="G181" i="12"/>
  <c r="G181" i="16" s="1"/>
  <c r="I110" i="4"/>
  <c r="I109" i="4"/>
  <c r="I134" i="4" s="1"/>
  <c r="I104" i="4"/>
  <c r="I129" i="4" s="1"/>
  <c r="I108" i="4"/>
  <c r="I133" i="4" s="1"/>
  <c r="I106" i="4"/>
  <c r="I107" i="4"/>
  <c r="I105" i="4"/>
  <c r="J22" i="12"/>
  <c r="J22" i="16" s="1"/>
  <c r="H22" i="12"/>
  <c r="H22" i="16" s="1"/>
  <c r="E120" i="12"/>
  <c r="I238" i="4"/>
  <c r="I112" i="4"/>
  <c r="T79" i="5" s="1"/>
  <c r="J138" i="4"/>
  <c r="J242" i="4"/>
  <c r="J237" i="4"/>
  <c r="H153" i="4"/>
  <c r="H152" i="4"/>
  <c r="H151" i="4"/>
  <c r="H147" i="4"/>
  <c r="H150" i="4"/>
  <c r="H149" i="4"/>
  <c r="H148" i="4"/>
  <c r="H146" i="4"/>
  <c r="K138" i="4"/>
  <c r="J112" i="4"/>
  <c r="U79" i="5" s="1"/>
  <c r="H239" i="4"/>
  <c r="H243" i="4"/>
  <c r="K112" i="4"/>
  <c r="K240" i="4"/>
  <c r="K239" i="4"/>
  <c r="G243" i="4"/>
  <c r="H187" i="4"/>
  <c r="E78" i="16"/>
  <c r="E76" i="16"/>
  <c r="E49" i="4"/>
  <c r="E47" i="4"/>
  <c r="E45" i="4"/>
  <c r="E44" i="4"/>
  <c r="E46" i="4"/>
  <c r="E48" i="4"/>
  <c r="E42" i="4"/>
  <c r="E43" i="4"/>
  <c r="H79" i="4"/>
  <c r="G240" i="4"/>
  <c r="G91" i="16"/>
  <c r="H91" i="12"/>
  <c r="H193" i="4"/>
  <c r="G138" i="12" s="1"/>
  <c r="F207" i="4"/>
  <c r="F206" i="4"/>
  <c r="F205" i="4"/>
  <c r="F204" i="4"/>
  <c r="F203" i="4"/>
  <c r="F202" i="4"/>
  <c r="F201" i="4"/>
  <c r="F200" i="4"/>
  <c r="G60" i="4"/>
  <c r="H87" i="4"/>
  <c r="R77" i="5"/>
  <c r="E177" i="4"/>
  <c r="E174" i="4"/>
  <c r="E144" i="4"/>
  <c r="E143" i="4" s="1"/>
  <c r="P80" i="5" s="1"/>
  <c r="H186" i="4"/>
  <c r="I81" i="4"/>
  <c r="K78" i="4"/>
  <c r="K82" i="4"/>
  <c r="H72" i="16"/>
  <c r="H94" i="16"/>
  <c r="H71" i="16"/>
  <c r="H49" i="4"/>
  <c r="H47" i="4"/>
  <c r="H43" i="4"/>
  <c r="H48" i="4"/>
  <c r="H46" i="4"/>
  <c r="H45" i="4"/>
  <c r="H44" i="4"/>
  <c r="H42" i="4"/>
  <c r="F71" i="16"/>
  <c r="F94" i="16"/>
  <c r="F73" i="16"/>
  <c r="H241" i="4"/>
  <c r="K241" i="4"/>
  <c r="K238" i="4"/>
  <c r="H60" i="4"/>
  <c r="I87" i="4"/>
  <c r="S77" i="5"/>
  <c r="E120" i="16"/>
  <c r="E75" i="16"/>
  <c r="E73" i="16"/>
  <c r="G80" i="4"/>
  <c r="H80" i="4"/>
  <c r="H101" i="4"/>
  <c r="H97" i="4"/>
  <c r="H95" i="4"/>
  <c r="H100" i="4"/>
  <c r="H99" i="4"/>
  <c r="H98" i="4"/>
  <c r="H96" i="4"/>
  <c r="H94" i="4"/>
  <c r="I60" i="4"/>
  <c r="J87" i="4"/>
  <c r="G241" i="4"/>
  <c r="E178" i="4"/>
  <c r="E181" i="4"/>
  <c r="I78" i="4"/>
  <c r="H82" i="4"/>
  <c r="I82" i="4"/>
  <c r="K79" i="4"/>
  <c r="K83" i="4"/>
  <c r="H73" i="16"/>
  <c r="H76" i="16"/>
  <c r="F72" i="16"/>
  <c r="F79" i="16"/>
  <c r="F77" i="16"/>
  <c r="H207" i="4"/>
  <c r="H204" i="4"/>
  <c r="H206" i="4"/>
  <c r="H205" i="4"/>
  <c r="H202" i="4"/>
  <c r="H201" i="4"/>
  <c r="H203" i="4"/>
  <c r="H200" i="4"/>
  <c r="F172" i="16"/>
  <c r="G92" i="16"/>
  <c r="H92" i="12"/>
  <c r="E175" i="4"/>
  <c r="E179" i="4"/>
  <c r="I79" i="4"/>
  <c r="H84" i="4"/>
  <c r="I84" i="4"/>
  <c r="K80" i="4"/>
  <c r="H79" i="16"/>
  <c r="H75" i="16"/>
  <c r="F74" i="16"/>
  <c r="F78" i="16"/>
  <c r="F49" i="4"/>
  <c r="F46" i="4"/>
  <c r="F43" i="4"/>
  <c r="F48" i="4"/>
  <c r="F47" i="4"/>
  <c r="F45" i="4"/>
  <c r="F44" i="4"/>
  <c r="F42" i="4"/>
  <c r="H146" i="16"/>
  <c r="G41" i="4"/>
  <c r="G95" i="12"/>
  <c r="G95" i="16" s="1"/>
  <c r="G97" i="12"/>
  <c r="G97" i="16" s="1"/>
  <c r="G96" i="12"/>
  <c r="G96" i="16" s="1"/>
  <c r="G100" i="12"/>
  <c r="G100" i="16" s="1"/>
  <c r="G103" i="12"/>
  <c r="G103" i="16" s="1"/>
  <c r="G98" i="12"/>
  <c r="G98" i="16" s="1"/>
  <c r="G101" i="12"/>
  <c r="G101" i="16" s="1"/>
  <c r="G99" i="12"/>
  <c r="G99" i="16" s="1"/>
  <c r="G102" i="12"/>
  <c r="G102" i="16" s="1"/>
  <c r="H120" i="16"/>
  <c r="I80" i="4"/>
  <c r="H183" i="4"/>
  <c r="H74" i="16"/>
  <c r="H78" i="16"/>
  <c r="H77" i="16"/>
  <c r="F76" i="16"/>
  <c r="F75" i="16"/>
  <c r="R83" i="5"/>
  <c r="U83" i="5"/>
  <c r="U81" i="5"/>
  <c r="E63" i="16"/>
  <c r="E164" i="16"/>
  <c r="O57" i="5" s="1"/>
  <c r="O32" i="5"/>
  <c r="D164" i="16"/>
  <c r="N32" i="5"/>
  <c r="E63" i="12"/>
  <c r="H164" i="12"/>
  <c r="G139" i="12"/>
  <c r="I164" i="12"/>
  <c r="J165" i="12"/>
  <c r="F165" i="12"/>
  <c r="E138" i="12"/>
  <c r="I139" i="12"/>
  <c r="I139" i="16" s="1"/>
  <c r="H139" i="12"/>
  <c r="F138" i="12"/>
  <c r="I165" i="12"/>
  <c r="I165" i="16" s="1"/>
  <c r="F115" i="12"/>
  <c r="D71" i="12"/>
  <c r="D72" i="12"/>
  <c r="D76" i="12"/>
  <c r="D79" i="12"/>
  <c r="D74" i="12"/>
  <c r="D172" i="12"/>
  <c r="D75" i="12"/>
  <c r="D146" i="12"/>
  <c r="D73" i="12"/>
  <c r="F94" i="12"/>
  <c r="D78" i="12"/>
  <c r="D77" i="12"/>
  <c r="F120" i="12"/>
  <c r="F167" i="12"/>
  <c r="F141" i="12"/>
  <c r="F67" i="12"/>
  <c r="E75" i="12"/>
  <c r="C182" i="12"/>
  <c r="E76" i="12"/>
  <c r="E77" i="12"/>
  <c r="E74" i="12"/>
  <c r="E79" i="12"/>
  <c r="E78" i="12"/>
  <c r="E172" i="12"/>
  <c r="E71" i="12"/>
  <c r="E73" i="12"/>
  <c r="E146" i="12"/>
  <c r="E72" i="12"/>
  <c r="F68" i="12"/>
  <c r="E65" i="12"/>
  <c r="F69" i="12"/>
  <c r="F89" i="12"/>
  <c r="F66" i="12"/>
  <c r="AC33" i="1"/>
  <c r="K93" i="4" s="1"/>
  <c r="AC34" i="1"/>
  <c r="K145" i="4" s="1"/>
  <c r="AC32" i="1"/>
  <c r="K41" i="4" s="1"/>
  <c r="AC35" i="1"/>
  <c r="K199" i="4" s="1"/>
  <c r="AB32" i="1"/>
  <c r="AB33" i="1"/>
  <c r="AB34" i="1"/>
  <c r="AB35" i="1"/>
  <c r="AA34" i="1"/>
  <c r="AA32" i="1"/>
  <c r="AA33" i="1"/>
  <c r="AA35" i="1"/>
  <c r="AC36" i="1"/>
  <c r="AC40" i="1"/>
  <c r="AA40" i="1"/>
  <c r="AB40" i="1"/>
  <c r="AB36" i="1"/>
  <c r="AA36" i="1"/>
  <c r="H90" i="12" l="1"/>
  <c r="J131" i="4"/>
  <c r="J135" i="4"/>
  <c r="G93" i="16"/>
  <c r="G89" i="16" s="1"/>
  <c r="C137" i="16"/>
  <c r="C61" i="16" s="1"/>
  <c r="T75" i="5"/>
  <c r="K135" i="4"/>
  <c r="C83" i="16"/>
  <c r="C61" i="12"/>
  <c r="K132" i="4"/>
  <c r="F69" i="16"/>
  <c r="K134" i="4"/>
  <c r="I131" i="4"/>
  <c r="F66" i="16"/>
  <c r="F67" i="16"/>
  <c r="P76" i="5"/>
  <c r="G74" i="16"/>
  <c r="I135" i="4"/>
  <c r="D140" i="12"/>
  <c r="D140" i="16" s="1"/>
  <c r="D137" i="16" s="1"/>
  <c r="S75" i="5"/>
  <c r="G77" i="16"/>
  <c r="G72" i="16"/>
  <c r="J130" i="4"/>
  <c r="J129" i="4"/>
  <c r="F68" i="16"/>
  <c r="K133" i="4"/>
  <c r="G116" i="16"/>
  <c r="H116" i="12"/>
  <c r="H117" i="12"/>
  <c r="G117" i="16"/>
  <c r="G73" i="16"/>
  <c r="G171" i="16"/>
  <c r="H171" i="12"/>
  <c r="H142" i="12"/>
  <c r="G142" i="16"/>
  <c r="H145" i="12"/>
  <c r="G145" i="16"/>
  <c r="G144" i="16"/>
  <c r="H144" i="12"/>
  <c r="E65" i="16"/>
  <c r="F115" i="16"/>
  <c r="G119" i="16"/>
  <c r="H119" i="12"/>
  <c r="G169" i="16"/>
  <c r="H169" i="12"/>
  <c r="G168" i="16"/>
  <c r="H168" i="12"/>
  <c r="G78" i="16"/>
  <c r="G79" i="16"/>
  <c r="I130" i="4"/>
  <c r="J132" i="4"/>
  <c r="J134" i="4"/>
  <c r="G172" i="12"/>
  <c r="G146" i="12"/>
  <c r="F141" i="16"/>
  <c r="G118" i="16"/>
  <c r="H118" i="12"/>
  <c r="F167" i="16"/>
  <c r="G143" i="16"/>
  <c r="H143" i="12"/>
  <c r="G170" i="16"/>
  <c r="H170" i="12"/>
  <c r="I199" i="4"/>
  <c r="I177" i="12"/>
  <c r="I177" i="16" s="1"/>
  <c r="I176" i="12"/>
  <c r="I176" i="16" s="1"/>
  <c r="I179" i="12"/>
  <c r="I179" i="16" s="1"/>
  <c r="I180" i="12"/>
  <c r="I180" i="16" s="1"/>
  <c r="I173" i="12"/>
  <c r="I173" i="16" s="1"/>
  <c r="I181" i="12"/>
  <c r="I181" i="16" s="1"/>
  <c r="I174" i="12"/>
  <c r="I174" i="16" s="1"/>
  <c r="I178" i="12"/>
  <c r="I178" i="16" s="1"/>
  <c r="I175" i="12"/>
  <c r="I175" i="16" s="1"/>
  <c r="J199" i="4"/>
  <c r="J174" i="12"/>
  <c r="J174" i="16" s="1"/>
  <c r="J178" i="12"/>
  <c r="J178" i="16" s="1"/>
  <c r="J176" i="12"/>
  <c r="J176" i="16" s="1"/>
  <c r="J181" i="12"/>
  <c r="J181" i="16" s="1"/>
  <c r="J180" i="12"/>
  <c r="J180" i="16" s="1"/>
  <c r="J175" i="12"/>
  <c r="J175" i="16" s="1"/>
  <c r="J177" i="12"/>
  <c r="J177" i="16" s="1"/>
  <c r="J179" i="12"/>
  <c r="J179" i="16" s="1"/>
  <c r="J173" i="12"/>
  <c r="J173" i="16" s="1"/>
  <c r="K207" i="4"/>
  <c r="K200" i="4"/>
  <c r="K205" i="4"/>
  <c r="K203" i="4"/>
  <c r="K206" i="4"/>
  <c r="K204" i="4"/>
  <c r="K202" i="4"/>
  <c r="K201" i="4"/>
  <c r="I93" i="4"/>
  <c r="I121" i="12"/>
  <c r="I121" i="16" s="1"/>
  <c r="I129" i="12"/>
  <c r="I129" i="16" s="1"/>
  <c r="I127" i="12"/>
  <c r="I127" i="16" s="1"/>
  <c r="I122" i="12"/>
  <c r="I122" i="16" s="1"/>
  <c r="I124" i="12"/>
  <c r="I124" i="16" s="1"/>
  <c r="I126" i="12"/>
  <c r="I126" i="16" s="1"/>
  <c r="I125" i="12"/>
  <c r="I125" i="16" s="1"/>
  <c r="I123" i="12"/>
  <c r="I123" i="16" s="1"/>
  <c r="I128" i="12"/>
  <c r="I128" i="16" s="1"/>
  <c r="K49" i="4"/>
  <c r="K46" i="4"/>
  <c r="K47" i="4"/>
  <c r="K44" i="4"/>
  <c r="K42" i="4"/>
  <c r="K48" i="4"/>
  <c r="K45" i="4"/>
  <c r="K43" i="4"/>
  <c r="Q76" i="5"/>
  <c r="F40" i="4"/>
  <c r="F39" i="4" s="1"/>
  <c r="H92" i="4"/>
  <c r="H91" i="4" s="1"/>
  <c r="S78" i="5" s="1"/>
  <c r="H40" i="4"/>
  <c r="H39" i="4" s="1"/>
  <c r="F75" i="4"/>
  <c r="E75" i="4"/>
  <c r="E74" i="4"/>
  <c r="F74" i="4"/>
  <c r="I41" i="4"/>
  <c r="I101" i="12"/>
  <c r="I101" i="16" s="1"/>
  <c r="I98" i="12"/>
  <c r="I98" i="16" s="1"/>
  <c r="I95" i="12"/>
  <c r="I95" i="16" s="1"/>
  <c r="I103" i="12"/>
  <c r="I103" i="16" s="1"/>
  <c r="I100" i="12"/>
  <c r="I100" i="16" s="1"/>
  <c r="I97" i="12"/>
  <c r="I97" i="16" s="1"/>
  <c r="I99" i="12"/>
  <c r="I99" i="16" s="1"/>
  <c r="I102" i="12"/>
  <c r="I102" i="16" s="1"/>
  <c r="I96" i="12"/>
  <c r="I96" i="16" s="1"/>
  <c r="J93" i="4"/>
  <c r="J121" i="12"/>
  <c r="J121" i="16" s="1"/>
  <c r="J125" i="12"/>
  <c r="J125" i="16" s="1"/>
  <c r="J122" i="12"/>
  <c r="J122" i="16" s="1"/>
  <c r="J129" i="12"/>
  <c r="J129" i="16" s="1"/>
  <c r="J126" i="12"/>
  <c r="J126" i="16" s="1"/>
  <c r="J128" i="12"/>
  <c r="J128" i="16" s="1"/>
  <c r="J124" i="12"/>
  <c r="J124" i="16" s="1"/>
  <c r="J127" i="12"/>
  <c r="J127" i="16" s="1"/>
  <c r="J123" i="12"/>
  <c r="J123" i="16" s="1"/>
  <c r="K153" i="4"/>
  <c r="K149" i="4"/>
  <c r="K152" i="4"/>
  <c r="K150" i="4"/>
  <c r="K148" i="4"/>
  <c r="K146" i="4"/>
  <c r="K151" i="4"/>
  <c r="K147" i="4"/>
  <c r="G94" i="16"/>
  <c r="G71" i="16"/>
  <c r="H70" i="16"/>
  <c r="F177" i="4"/>
  <c r="F198" i="4"/>
  <c r="F197" i="4" s="1"/>
  <c r="Q82" i="5" s="1"/>
  <c r="F73" i="4"/>
  <c r="E73" i="4"/>
  <c r="F76" i="4"/>
  <c r="E76" i="4"/>
  <c r="F144" i="4"/>
  <c r="F143" i="4" s="1"/>
  <c r="Q80" i="5" s="1"/>
  <c r="F122" i="4"/>
  <c r="E122" i="4"/>
  <c r="I145" i="4"/>
  <c r="I154" i="12"/>
  <c r="I154" i="16" s="1"/>
  <c r="I151" i="12"/>
  <c r="I151" i="16" s="1"/>
  <c r="I155" i="12"/>
  <c r="I155" i="16" s="1"/>
  <c r="I153" i="12"/>
  <c r="I153" i="16" s="1"/>
  <c r="I148" i="12"/>
  <c r="I148" i="16" s="1"/>
  <c r="I152" i="12"/>
  <c r="I152" i="16" s="1"/>
  <c r="I149" i="12"/>
  <c r="I149" i="16" s="1"/>
  <c r="I150" i="12"/>
  <c r="I150" i="16" s="1"/>
  <c r="I147" i="12"/>
  <c r="I147" i="16" s="1"/>
  <c r="J41" i="4"/>
  <c r="J96" i="12"/>
  <c r="J96" i="16" s="1"/>
  <c r="J97" i="12"/>
  <c r="J97" i="16" s="1"/>
  <c r="J101" i="12"/>
  <c r="J101" i="16" s="1"/>
  <c r="J98" i="12"/>
  <c r="J98" i="16" s="1"/>
  <c r="J100" i="12"/>
  <c r="J100" i="16" s="1"/>
  <c r="J95" i="12"/>
  <c r="J95" i="16" s="1"/>
  <c r="J102" i="12"/>
  <c r="J102" i="16" s="1"/>
  <c r="J99" i="12"/>
  <c r="J99" i="16" s="1"/>
  <c r="J103" i="12"/>
  <c r="J103" i="16" s="1"/>
  <c r="K101" i="4"/>
  <c r="K100" i="4"/>
  <c r="K97" i="4"/>
  <c r="K98" i="4"/>
  <c r="K99" i="4"/>
  <c r="K96" i="4"/>
  <c r="K94" i="4"/>
  <c r="K95" i="4"/>
  <c r="S76" i="5"/>
  <c r="R75" i="5"/>
  <c r="G75" i="16"/>
  <c r="G76" i="16"/>
  <c r="G49" i="4"/>
  <c r="H76" i="4" s="1"/>
  <c r="G46" i="4"/>
  <c r="G48" i="4"/>
  <c r="H75" i="4" s="1"/>
  <c r="G47" i="4"/>
  <c r="H74" i="4" s="1"/>
  <c r="G44" i="4"/>
  <c r="H71" i="4" s="1"/>
  <c r="G45" i="4"/>
  <c r="G72" i="4" s="1"/>
  <c r="G42" i="4"/>
  <c r="G43" i="4"/>
  <c r="H70" i="4" s="1"/>
  <c r="H92" i="16"/>
  <c r="I92" i="12"/>
  <c r="F70" i="16"/>
  <c r="F174" i="4"/>
  <c r="H91" i="16"/>
  <c r="I91" i="12"/>
  <c r="F70" i="4"/>
  <c r="E70" i="4"/>
  <c r="F71" i="4"/>
  <c r="E71" i="4"/>
  <c r="J133" i="4"/>
  <c r="H93" i="16"/>
  <c r="I93" i="12"/>
  <c r="E70" i="16"/>
  <c r="F92" i="4"/>
  <c r="F91" i="4" s="1"/>
  <c r="Q78" i="5" s="1"/>
  <c r="E123" i="4"/>
  <c r="F123" i="4"/>
  <c r="F127" i="4"/>
  <c r="E127" i="4"/>
  <c r="F229" i="4"/>
  <c r="E229" i="4"/>
  <c r="E233" i="4"/>
  <c r="F233" i="4"/>
  <c r="K129" i="4"/>
  <c r="K130" i="4"/>
  <c r="H198" i="4"/>
  <c r="H197" i="4" s="1"/>
  <c r="S82" i="5" s="1"/>
  <c r="I132" i="4"/>
  <c r="E69" i="4"/>
  <c r="E40" i="4"/>
  <c r="E39" i="4" s="1"/>
  <c r="F69" i="4"/>
  <c r="E72" i="4"/>
  <c r="F72" i="4"/>
  <c r="H90" i="16"/>
  <c r="I90" i="12"/>
  <c r="H144" i="4"/>
  <c r="H143" i="4" s="1"/>
  <c r="S80" i="5" s="1"/>
  <c r="G172" i="16"/>
  <c r="G207" i="4"/>
  <c r="H235" i="4" s="1"/>
  <c r="G203" i="4"/>
  <c r="H231" i="4" s="1"/>
  <c r="G205" i="4"/>
  <c r="H233" i="4" s="1"/>
  <c r="G204" i="4"/>
  <c r="H232" i="4" s="1"/>
  <c r="G202" i="4"/>
  <c r="H230" i="4" s="1"/>
  <c r="G200" i="4"/>
  <c r="G228" i="4" s="1"/>
  <c r="G206" i="4"/>
  <c r="H234" i="4" s="1"/>
  <c r="G201" i="4"/>
  <c r="H229" i="4" s="1"/>
  <c r="F121" i="4"/>
  <c r="E121" i="4"/>
  <c r="E125" i="4"/>
  <c r="F125" i="4"/>
  <c r="F230" i="4"/>
  <c r="E230" i="4"/>
  <c r="F234" i="4"/>
  <c r="E234" i="4"/>
  <c r="K131" i="4"/>
  <c r="J145" i="4"/>
  <c r="J149" i="12"/>
  <c r="J149" i="16" s="1"/>
  <c r="J152" i="12"/>
  <c r="J152" i="16" s="1"/>
  <c r="J155" i="12"/>
  <c r="J155" i="16" s="1"/>
  <c r="J147" i="12"/>
  <c r="J147" i="16" s="1"/>
  <c r="J148" i="12"/>
  <c r="J148" i="16" s="1"/>
  <c r="J151" i="12"/>
  <c r="J151" i="16" s="1"/>
  <c r="J153" i="12"/>
  <c r="J153" i="16" s="1"/>
  <c r="J150" i="12"/>
  <c r="J150" i="16" s="1"/>
  <c r="J154" i="12"/>
  <c r="J154" i="16" s="1"/>
  <c r="G120" i="16"/>
  <c r="F124" i="4"/>
  <c r="E124" i="4"/>
  <c r="F126" i="4"/>
  <c r="E126" i="4"/>
  <c r="F231" i="4"/>
  <c r="E231" i="4"/>
  <c r="E228" i="4"/>
  <c r="E198" i="4"/>
  <c r="E197" i="4" s="1"/>
  <c r="P82" i="5" s="1"/>
  <c r="F228" i="4"/>
  <c r="G101" i="4"/>
  <c r="H127" i="4" s="1"/>
  <c r="G100" i="4"/>
  <c r="H126" i="4" s="1"/>
  <c r="G97" i="4"/>
  <c r="H123" i="4" s="1"/>
  <c r="G98" i="4"/>
  <c r="H124" i="4" s="1"/>
  <c r="G94" i="4"/>
  <c r="G120" i="4" s="1"/>
  <c r="G99" i="4"/>
  <c r="H125" i="4" s="1"/>
  <c r="G96" i="4"/>
  <c r="H122" i="4" s="1"/>
  <c r="G95" i="4"/>
  <c r="H121" i="4" s="1"/>
  <c r="E120" i="4"/>
  <c r="F120" i="4"/>
  <c r="E92" i="4"/>
  <c r="E91" i="4" s="1"/>
  <c r="P78" i="5" s="1"/>
  <c r="F232" i="4"/>
  <c r="E232" i="4"/>
  <c r="F235" i="4"/>
  <c r="E235" i="4"/>
  <c r="G146" i="16"/>
  <c r="G153" i="4"/>
  <c r="H181" i="4" s="1"/>
  <c r="G149" i="4"/>
  <c r="H177" i="4" s="1"/>
  <c r="G151" i="4"/>
  <c r="H179" i="4" s="1"/>
  <c r="G148" i="4"/>
  <c r="H176" i="4" s="1"/>
  <c r="G146" i="4"/>
  <c r="G152" i="4"/>
  <c r="H180" i="4" s="1"/>
  <c r="G150" i="4"/>
  <c r="H178" i="4" s="1"/>
  <c r="G147" i="4"/>
  <c r="H175" i="4" s="1"/>
  <c r="U75" i="5"/>
  <c r="I63" i="16"/>
  <c r="F63" i="12"/>
  <c r="F165" i="16"/>
  <c r="F63" i="16" s="1"/>
  <c r="J63" i="12"/>
  <c r="J165" i="16"/>
  <c r="J63" i="16" s="1"/>
  <c r="S32" i="5"/>
  <c r="H164" i="16"/>
  <c r="R57" i="5" s="1"/>
  <c r="I164" i="16"/>
  <c r="S57" i="5" s="1"/>
  <c r="N57" i="5"/>
  <c r="P29" i="5"/>
  <c r="E138" i="16"/>
  <c r="O29" i="5"/>
  <c r="G63" i="12"/>
  <c r="G139" i="16"/>
  <c r="G63" i="16" s="1"/>
  <c r="Q29" i="5"/>
  <c r="F138" i="16"/>
  <c r="G138" i="16"/>
  <c r="H63" i="12"/>
  <c r="H139" i="16"/>
  <c r="H63" i="16" s="1"/>
  <c r="I63" i="12"/>
  <c r="G74" i="12"/>
  <c r="H138" i="12"/>
  <c r="J138" i="12"/>
  <c r="T29" i="5" s="1"/>
  <c r="F164" i="12"/>
  <c r="I138" i="12"/>
  <c r="J164" i="12"/>
  <c r="G164" i="12"/>
  <c r="G115" i="12"/>
  <c r="G79" i="12"/>
  <c r="G72" i="12"/>
  <c r="G71" i="12"/>
  <c r="G68" i="12"/>
  <c r="D70" i="12"/>
  <c r="G141" i="12"/>
  <c r="G94" i="12"/>
  <c r="G73" i="12"/>
  <c r="G75" i="12"/>
  <c r="G76" i="12"/>
  <c r="G120" i="12"/>
  <c r="G78" i="12"/>
  <c r="G77" i="12"/>
  <c r="G167" i="12"/>
  <c r="G69" i="12"/>
  <c r="C162" i="12"/>
  <c r="C83" i="12"/>
  <c r="F75" i="12"/>
  <c r="F78" i="12"/>
  <c r="F79" i="12"/>
  <c r="F172" i="12"/>
  <c r="F71" i="12"/>
  <c r="F77" i="12"/>
  <c r="F146" i="12"/>
  <c r="F72" i="12"/>
  <c r="F73" i="12"/>
  <c r="F76" i="12"/>
  <c r="E70" i="12"/>
  <c r="F74" i="12"/>
  <c r="G67" i="12"/>
  <c r="F65" i="12"/>
  <c r="G89" i="12"/>
  <c r="G66" i="12"/>
  <c r="E140" i="12" l="1"/>
  <c r="E140" i="16" s="1"/>
  <c r="E137" i="16" s="1"/>
  <c r="P74" i="5"/>
  <c r="G75" i="4"/>
  <c r="G66" i="16"/>
  <c r="Q74" i="5"/>
  <c r="D137" i="12"/>
  <c r="G144" i="4"/>
  <c r="G143" i="4" s="1"/>
  <c r="R80" i="5" s="1"/>
  <c r="D166" i="12"/>
  <c r="D166" i="16" s="1"/>
  <c r="D163" i="16" s="1"/>
  <c r="E166" i="12"/>
  <c r="E166" i="16" s="1"/>
  <c r="E163" i="16" s="1"/>
  <c r="G125" i="4"/>
  <c r="G76" i="4"/>
  <c r="F65" i="16"/>
  <c r="G67" i="16"/>
  <c r="G68" i="16"/>
  <c r="G69" i="16"/>
  <c r="G124" i="4"/>
  <c r="J79" i="16"/>
  <c r="G233" i="4"/>
  <c r="H72" i="4"/>
  <c r="S74" i="5"/>
  <c r="G178" i="4"/>
  <c r="I118" i="12"/>
  <c r="H118" i="16"/>
  <c r="G167" i="16"/>
  <c r="H144" i="16"/>
  <c r="I144" i="12"/>
  <c r="G141" i="16"/>
  <c r="G234" i="4"/>
  <c r="I78" i="16"/>
  <c r="H145" i="16"/>
  <c r="I145" i="12"/>
  <c r="H143" i="16"/>
  <c r="I143" i="12"/>
  <c r="I169" i="12"/>
  <c r="H169" i="16"/>
  <c r="H142" i="16"/>
  <c r="I142" i="12"/>
  <c r="I116" i="12"/>
  <c r="H116" i="16"/>
  <c r="I170" i="12"/>
  <c r="H170" i="16"/>
  <c r="H168" i="16"/>
  <c r="I168" i="12"/>
  <c r="H119" i="16"/>
  <c r="I119" i="12"/>
  <c r="G176" i="4"/>
  <c r="G175" i="4"/>
  <c r="G126" i="4"/>
  <c r="I72" i="16"/>
  <c r="G231" i="4"/>
  <c r="H171" i="16"/>
  <c r="I171" i="12"/>
  <c r="H117" i="16"/>
  <c r="I117" i="12"/>
  <c r="G115" i="16"/>
  <c r="G127" i="4"/>
  <c r="G121" i="4"/>
  <c r="H174" i="4"/>
  <c r="G140" i="12" s="1"/>
  <c r="G140" i="16" s="1"/>
  <c r="G137" i="16" s="1"/>
  <c r="J93" i="12"/>
  <c r="J93" i="16" s="1"/>
  <c r="I93" i="16"/>
  <c r="J72" i="16"/>
  <c r="G70" i="16"/>
  <c r="J146" i="16"/>
  <c r="J153" i="4"/>
  <c r="K181" i="4" s="1"/>
  <c r="J152" i="4"/>
  <c r="K180" i="4" s="1"/>
  <c r="J151" i="4"/>
  <c r="K179" i="4" s="1"/>
  <c r="J149" i="4"/>
  <c r="K177" i="4" s="1"/>
  <c r="J150" i="4"/>
  <c r="K178" i="4" s="1"/>
  <c r="J148" i="4"/>
  <c r="K176" i="4" s="1"/>
  <c r="J147" i="4"/>
  <c r="K175" i="4" s="1"/>
  <c r="J146" i="4"/>
  <c r="I90" i="16"/>
  <c r="J90" i="12"/>
  <c r="J90" i="16" s="1"/>
  <c r="G230" i="4"/>
  <c r="G229" i="4"/>
  <c r="J92" i="12"/>
  <c r="J92" i="16" s="1"/>
  <c r="I92" i="16"/>
  <c r="H69" i="4"/>
  <c r="G40" i="4"/>
  <c r="G39" i="4" s="1"/>
  <c r="K92" i="4"/>
  <c r="K91" i="4" s="1"/>
  <c r="J75" i="16"/>
  <c r="J74" i="16"/>
  <c r="J49" i="4"/>
  <c r="K76" i="4" s="1"/>
  <c r="J48" i="4"/>
  <c r="K75" i="4" s="1"/>
  <c r="J47" i="4"/>
  <c r="K74" i="4" s="1"/>
  <c r="J46" i="4"/>
  <c r="K73" i="4" s="1"/>
  <c r="J45" i="4"/>
  <c r="K72" i="4" s="1"/>
  <c r="J44" i="4"/>
  <c r="K71" i="4" s="1"/>
  <c r="J43" i="4"/>
  <c r="K70" i="4" s="1"/>
  <c r="J42" i="4"/>
  <c r="G232" i="4"/>
  <c r="G70" i="4"/>
  <c r="K144" i="4"/>
  <c r="K143" i="4" s="1"/>
  <c r="J120" i="16"/>
  <c r="I75" i="16"/>
  <c r="I94" i="16"/>
  <c r="I71" i="16"/>
  <c r="G181" i="4"/>
  <c r="G69" i="4"/>
  <c r="R76" i="5"/>
  <c r="G122" i="4"/>
  <c r="G180" i="4"/>
  <c r="H228" i="4"/>
  <c r="G166" i="12" s="1"/>
  <c r="G166" i="16" s="1"/>
  <c r="G198" i="4"/>
  <c r="G197" i="4" s="1"/>
  <c r="R82" i="5" s="1"/>
  <c r="H89" i="16"/>
  <c r="G179" i="4"/>
  <c r="J91" i="12"/>
  <c r="J91" i="16" s="1"/>
  <c r="I91" i="16"/>
  <c r="G73" i="4"/>
  <c r="H73" i="4"/>
  <c r="J78" i="16"/>
  <c r="J77" i="16"/>
  <c r="I146" i="16"/>
  <c r="G123" i="4"/>
  <c r="G174" i="4"/>
  <c r="G71" i="4"/>
  <c r="J101" i="4"/>
  <c r="K127" i="4" s="1"/>
  <c r="J97" i="4"/>
  <c r="K123" i="4" s="1"/>
  <c r="J100" i="4"/>
  <c r="K126" i="4" s="1"/>
  <c r="J99" i="4"/>
  <c r="K125" i="4" s="1"/>
  <c r="J98" i="4"/>
  <c r="K124" i="4" s="1"/>
  <c r="J96" i="4"/>
  <c r="K122" i="4" s="1"/>
  <c r="J95" i="4"/>
  <c r="K121" i="4" s="1"/>
  <c r="J94" i="4"/>
  <c r="I73" i="16"/>
  <c r="I74" i="16"/>
  <c r="G177" i="4"/>
  <c r="K40" i="4"/>
  <c r="K39" i="4" s="1"/>
  <c r="K198" i="4"/>
  <c r="K197" i="4" s="1"/>
  <c r="J172" i="16"/>
  <c r="G92" i="4"/>
  <c r="G91" i="4" s="1"/>
  <c r="R78" i="5" s="1"/>
  <c r="H120" i="4"/>
  <c r="J71" i="16"/>
  <c r="J94" i="16"/>
  <c r="J73" i="16"/>
  <c r="I153" i="4"/>
  <c r="I146" i="4"/>
  <c r="I152" i="4"/>
  <c r="I151" i="4"/>
  <c r="I150" i="4"/>
  <c r="I149" i="4"/>
  <c r="I148" i="4"/>
  <c r="I147" i="4"/>
  <c r="I76" i="16"/>
  <c r="I77" i="16"/>
  <c r="G235" i="4"/>
  <c r="I120" i="16"/>
  <c r="J207" i="4"/>
  <c r="K235" i="4" s="1"/>
  <c r="J206" i="4"/>
  <c r="K234" i="4" s="1"/>
  <c r="J205" i="4"/>
  <c r="K233" i="4" s="1"/>
  <c r="J204" i="4"/>
  <c r="K232" i="4" s="1"/>
  <c r="J203" i="4"/>
  <c r="K231" i="4" s="1"/>
  <c r="J202" i="4"/>
  <c r="K230" i="4" s="1"/>
  <c r="J201" i="4"/>
  <c r="K229" i="4" s="1"/>
  <c r="J200" i="4"/>
  <c r="I79" i="16"/>
  <c r="I49" i="4"/>
  <c r="I47" i="4"/>
  <c r="I42" i="4"/>
  <c r="I45" i="4"/>
  <c r="I44" i="4"/>
  <c r="I48" i="4"/>
  <c r="I46" i="4"/>
  <c r="I43" i="4"/>
  <c r="I101" i="4"/>
  <c r="I98" i="4"/>
  <c r="I94" i="4"/>
  <c r="I97" i="4"/>
  <c r="I96" i="4"/>
  <c r="I99" i="4"/>
  <c r="I100" i="4"/>
  <c r="I95" i="4"/>
  <c r="I172" i="16"/>
  <c r="J76" i="16"/>
  <c r="G74" i="4"/>
  <c r="I207" i="4"/>
  <c r="I200" i="4"/>
  <c r="I206" i="4"/>
  <c r="I205" i="4"/>
  <c r="I204" i="4"/>
  <c r="I203" i="4"/>
  <c r="I202" i="4"/>
  <c r="I201" i="4"/>
  <c r="J164" i="16"/>
  <c r="T57" i="5" s="1"/>
  <c r="T32" i="5"/>
  <c r="J138" i="16"/>
  <c r="T55" i="5" s="1"/>
  <c r="Q32" i="5"/>
  <c r="F164" i="16"/>
  <c r="P57" i="5" s="1"/>
  <c r="P32" i="5"/>
  <c r="R32" i="5"/>
  <c r="G164" i="16"/>
  <c r="Q57" i="5" s="1"/>
  <c r="S29" i="5"/>
  <c r="H138" i="16"/>
  <c r="O55" i="5"/>
  <c r="I138" i="16"/>
  <c r="S55" i="5" s="1"/>
  <c r="Q55" i="5"/>
  <c r="R29" i="5"/>
  <c r="P55" i="5"/>
  <c r="D159" i="16"/>
  <c r="H115" i="12"/>
  <c r="G70" i="12"/>
  <c r="H167" i="12"/>
  <c r="H94" i="12"/>
  <c r="H68" i="12"/>
  <c r="H141" i="12"/>
  <c r="H69" i="12"/>
  <c r="I146" i="12"/>
  <c r="H120" i="12"/>
  <c r="H67" i="12"/>
  <c r="H76" i="12"/>
  <c r="H79" i="12"/>
  <c r="H77" i="12"/>
  <c r="H78" i="12"/>
  <c r="H73" i="12"/>
  <c r="F70" i="12"/>
  <c r="I172" i="12"/>
  <c r="H172" i="12"/>
  <c r="H71" i="12"/>
  <c r="J172" i="12"/>
  <c r="H74" i="12"/>
  <c r="H146" i="12"/>
  <c r="H72" i="12"/>
  <c r="H75" i="12"/>
  <c r="G65" i="12"/>
  <c r="H89" i="12"/>
  <c r="H66" i="12"/>
  <c r="E137" i="12" l="1"/>
  <c r="E159" i="16" s="1"/>
  <c r="D163" i="12"/>
  <c r="D185" i="16" s="1"/>
  <c r="D182" i="16" s="1"/>
  <c r="D162" i="16" s="1"/>
  <c r="H68" i="16"/>
  <c r="F140" i="12"/>
  <c r="F140" i="16" s="1"/>
  <c r="F137" i="16" s="1"/>
  <c r="R74" i="5"/>
  <c r="F166" i="12"/>
  <c r="F166" i="16" s="1"/>
  <c r="F163" i="16" s="1"/>
  <c r="G65" i="16"/>
  <c r="E163" i="12"/>
  <c r="E185" i="16" s="1"/>
  <c r="E182" i="16" s="1"/>
  <c r="E162" i="16" s="1"/>
  <c r="T76" i="5"/>
  <c r="H67" i="16"/>
  <c r="H69" i="16"/>
  <c r="H141" i="16"/>
  <c r="J119" i="12"/>
  <c r="J119" i="16" s="1"/>
  <c r="I119" i="16"/>
  <c r="H115" i="16"/>
  <c r="U76" i="5"/>
  <c r="I171" i="16"/>
  <c r="J171" i="12"/>
  <c r="J171" i="16" s="1"/>
  <c r="I170" i="16"/>
  <c r="J170" i="12"/>
  <c r="J170" i="16" s="1"/>
  <c r="J116" i="12"/>
  <c r="J116" i="16" s="1"/>
  <c r="I116" i="16"/>
  <c r="J169" i="12"/>
  <c r="J169" i="16" s="1"/>
  <c r="I169" i="16"/>
  <c r="I145" i="16"/>
  <c r="J145" i="12"/>
  <c r="J145" i="16" s="1"/>
  <c r="J70" i="16"/>
  <c r="J168" i="12"/>
  <c r="J168" i="16" s="1"/>
  <c r="I168" i="16"/>
  <c r="I142" i="16"/>
  <c r="J142" i="12"/>
  <c r="J142" i="16" s="1"/>
  <c r="J143" i="12"/>
  <c r="J143" i="16" s="1"/>
  <c r="I143" i="16"/>
  <c r="J144" i="12"/>
  <c r="J144" i="16" s="1"/>
  <c r="I144" i="16"/>
  <c r="J118" i="12"/>
  <c r="J118" i="16" s="1"/>
  <c r="I118" i="16"/>
  <c r="H66" i="16"/>
  <c r="J117" i="12"/>
  <c r="J117" i="16" s="1"/>
  <c r="I117" i="16"/>
  <c r="H167" i="16"/>
  <c r="J234" i="4"/>
  <c r="I234" i="4"/>
  <c r="J125" i="4"/>
  <c r="I125" i="4"/>
  <c r="J124" i="4"/>
  <c r="I124" i="4"/>
  <c r="J231" i="4"/>
  <c r="I231" i="4"/>
  <c r="I198" i="4"/>
  <c r="I197" i="4" s="1"/>
  <c r="T82" i="5" s="1"/>
  <c r="I228" i="4"/>
  <c r="J122" i="4"/>
  <c r="I122" i="4"/>
  <c r="J127" i="4"/>
  <c r="I127" i="4"/>
  <c r="J71" i="4"/>
  <c r="I71" i="4"/>
  <c r="J76" i="4"/>
  <c r="I76" i="4"/>
  <c r="J175" i="4"/>
  <c r="I175" i="4"/>
  <c r="J232" i="4"/>
  <c r="I232" i="4"/>
  <c r="J235" i="4"/>
  <c r="I235" i="4"/>
  <c r="J123" i="4"/>
  <c r="I123" i="4"/>
  <c r="J70" i="4"/>
  <c r="I70" i="4"/>
  <c r="J72" i="4"/>
  <c r="I72" i="4"/>
  <c r="J180" i="4"/>
  <c r="I180" i="4"/>
  <c r="I229" i="4"/>
  <c r="J229" i="4"/>
  <c r="J233" i="4"/>
  <c r="I233" i="4"/>
  <c r="J126" i="4"/>
  <c r="I126" i="4"/>
  <c r="J120" i="4"/>
  <c r="I92" i="4"/>
  <c r="I91" i="4" s="1"/>
  <c r="T78" i="5" s="1"/>
  <c r="I120" i="4"/>
  <c r="J73" i="4"/>
  <c r="I73" i="4"/>
  <c r="I40" i="4"/>
  <c r="I39" i="4" s="1"/>
  <c r="J69" i="4"/>
  <c r="I69" i="4"/>
  <c r="J228" i="4"/>
  <c r="J198" i="4"/>
  <c r="J197" i="4" s="1"/>
  <c r="U82" i="5" s="1"/>
  <c r="K228" i="4"/>
  <c r="J166" i="12" s="1"/>
  <c r="J166" i="16" s="1"/>
  <c r="J163" i="16" s="1"/>
  <c r="J177" i="4"/>
  <c r="I177" i="4"/>
  <c r="I144" i="4"/>
  <c r="I143" i="4" s="1"/>
  <c r="T80" i="5" s="1"/>
  <c r="J174" i="4"/>
  <c r="I174" i="4"/>
  <c r="K69" i="4"/>
  <c r="J40" i="4"/>
  <c r="J39" i="4" s="1"/>
  <c r="J75" i="4"/>
  <c r="I75" i="4"/>
  <c r="J178" i="4"/>
  <c r="I178" i="4"/>
  <c r="J181" i="4"/>
  <c r="I181" i="4"/>
  <c r="K120" i="4"/>
  <c r="J92" i="4"/>
  <c r="J91" i="4" s="1"/>
  <c r="U78" i="5" s="1"/>
  <c r="J89" i="16"/>
  <c r="I70" i="16"/>
  <c r="I89" i="16"/>
  <c r="J230" i="4"/>
  <c r="I230" i="4"/>
  <c r="J74" i="4"/>
  <c r="I74" i="4"/>
  <c r="J179" i="4"/>
  <c r="I179" i="4"/>
  <c r="J121" i="4"/>
  <c r="I121" i="4"/>
  <c r="J176" i="4"/>
  <c r="I176" i="4"/>
  <c r="J144" i="4"/>
  <c r="J143" i="4" s="1"/>
  <c r="U80" i="5" s="1"/>
  <c r="K174" i="4"/>
  <c r="J140" i="12" s="1"/>
  <c r="G163" i="16"/>
  <c r="D182" i="12"/>
  <c r="R55" i="5"/>
  <c r="E182" i="12"/>
  <c r="I115" i="12"/>
  <c r="I76" i="12"/>
  <c r="I72" i="12"/>
  <c r="I74" i="12"/>
  <c r="I73" i="12"/>
  <c r="I68" i="12"/>
  <c r="I69" i="12"/>
  <c r="I89" i="12"/>
  <c r="I120" i="12"/>
  <c r="I79" i="12"/>
  <c r="I78" i="12"/>
  <c r="I77" i="12"/>
  <c r="I94" i="12"/>
  <c r="I167" i="12"/>
  <c r="I66" i="12"/>
  <c r="I71" i="12"/>
  <c r="I75" i="12"/>
  <c r="I141" i="12"/>
  <c r="I67" i="12"/>
  <c r="G163" i="12"/>
  <c r="G185" i="16" s="1"/>
  <c r="G182" i="16" s="1"/>
  <c r="G137" i="12"/>
  <c r="G159" i="16" s="1"/>
  <c r="H70" i="12"/>
  <c r="H65" i="12"/>
  <c r="F137" i="12" l="1"/>
  <c r="F159" i="16" s="1"/>
  <c r="E162" i="12"/>
  <c r="O33" i="5"/>
  <c r="D162" i="12"/>
  <c r="N33" i="5"/>
  <c r="I66" i="16"/>
  <c r="F163" i="12"/>
  <c r="F185" i="16" s="1"/>
  <c r="F182" i="16" s="1"/>
  <c r="F162" i="16" s="1"/>
  <c r="J66" i="16"/>
  <c r="J69" i="16"/>
  <c r="I69" i="16"/>
  <c r="I166" i="12"/>
  <c r="I166" i="16" s="1"/>
  <c r="I163" i="16" s="1"/>
  <c r="U74" i="5"/>
  <c r="I140" i="12"/>
  <c r="I140" i="16" s="1"/>
  <c r="I137" i="16" s="1"/>
  <c r="H65" i="16"/>
  <c r="I68" i="16"/>
  <c r="I167" i="16"/>
  <c r="I67" i="16"/>
  <c r="J68" i="16"/>
  <c r="J67" i="16"/>
  <c r="J141" i="16"/>
  <c r="H140" i="12"/>
  <c r="H137" i="12" s="1"/>
  <c r="H159" i="16" s="1"/>
  <c r="H166" i="12"/>
  <c r="H166" i="16" s="1"/>
  <c r="H163" i="16" s="1"/>
  <c r="J167" i="16"/>
  <c r="I115" i="16"/>
  <c r="T74" i="5"/>
  <c r="I141" i="16"/>
  <c r="J115" i="16"/>
  <c r="G162" i="16"/>
  <c r="J137" i="12"/>
  <c r="J159" i="16" s="1"/>
  <c r="J140" i="16"/>
  <c r="J137" i="16" s="1"/>
  <c r="G182" i="12"/>
  <c r="Q33" i="5" s="1"/>
  <c r="J115" i="12"/>
  <c r="J66" i="12"/>
  <c r="J67" i="12"/>
  <c r="J76" i="12"/>
  <c r="J146" i="12"/>
  <c r="J75" i="12"/>
  <c r="I70" i="12"/>
  <c r="J73" i="12"/>
  <c r="J79" i="12"/>
  <c r="J77" i="12"/>
  <c r="J72" i="12"/>
  <c r="J78" i="12"/>
  <c r="J89" i="12"/>
  <c r="J141" i="12"/>
  <c r="J69" i="12"/>
  <c r="J74" i="12"/>
  <c r="I65" i="12"/>
  <c r="J68" i="12"/>
  <c r="J167" i="12"/>
  <c r="J94" i="12"/>
  <c r="J71" i="12"/>
  <c r="J120" i="12"/>
  <c r="J163" i="12"/>
  <c r="F182" i="12" l="1"/>
  <c r="I137" i="12"/>
  <c r="I159" i="16" s="1"/>
  <c r="I163" i="12"/>
  <c r="J185" i="12" s="1"/>
  <c r="J185" i="16" s="1"/>
  <c r="H140" i="16"/>
  <c r="H137" i="16" s="1"/>
  <c r="I65" i="16"/>
  <c r="H163" i="12"/>
  <c r="J65" i="16"/>
  <c r="G162" i="12"/>
  <c r="J65" i="12"/>
  <c r="J70" i="12"/>
  <c r="H185" i="16" l="1"/>
  <c r="H182" i="16" s="1"/>
  <c r="H162" i="16" s="1"/>
  <c r="I185" i="12"/>
  <c r="I185" i="16" s="1"/>
  <c r="F162" i="12"/>
  <c r="P33" i="5"/>
  <c r="H182" i="12"/>
  <c r="H162" i="12" l="1"/>
  <c r="R33" i="5"/>
  <c r="C48" i="12"/>
  <c r="C10" i="12" s="1"/>
  <c r="E26" i="5"/>
  <c r="E22" i="5"/>
  <c r="F22" i="5" s="1"/>
  <c r="G22" i="5" s="1"/>
  <c r="H22" i="5" s="1"/>
  <c r="I22" i="5" s="1"/>
  <c r="J22" i="5" s="1"/>
  <c r="K22" i="5" s="1"/>
  <c r="E28" i="12" l="1"/>
  <c r="F27" i="12"/>
  <c r="D52" i="12"/>
  <c r="E51" i="12"/>
  <c r="C40" i="12"/>
  <c r="C157" i="12"/>
  <c r="C157" i="16" s="1"/>
  <c r="E25" i="5"/>
  <c r="E24" i="5"/>
  <c r="G23" i="5"/>
  <c r="F26" i="5"/>
  <c r="D36" i="12" l="1"/>
  <c r="E35" i="12"/>
  <c r="E51" i="16"/>
  <c r="E52" i="12"/>
  <c r="E52" i="16" s="1"/>
  <c r="F51" i="12"/>
  <c r="D44" i="12"/>
  <c r="E43" i="12"/>
  <c r="D52" i="16"/>
  <c r="D53" i="12"/>
  <c r="F28" i="12"/>
  <c r="F28" i="16" s="1"/>
  <c r="G27" i="12"/>
  <c r="F27" i="16"/>
  <c r="E28" i="16"/>
  <c r="E29" i="12"/>
  <c r="C32" i="12"/>
  <c r="C131" i="12"/>
  <c r="C104" i="12"/>
  <c r="C156" i="12"/>
  <c r="C136" i="12" s="1"/>
  <c r="C9" i="12" s="1"/>
  <c r="F25" i="5"/>
  <c r="G25" i="5" s="1"/>
  <c r="F24" i="5"/>
  <c r="G26" i="5"/>
  <c r="H23" i="5"/>
  <c r="C20" i="12"/>
  <c r="C24" i="12"/>
  <c r="D24" i="12"/>
  <c r="E132" i="16" l="1"/>
  <c r="E158" i="16"/>
  <c r="F44" i="12"/>
  <c r="F44" i="16" s="1"/>
  <c r="G43" i="12"/>
  <c r="E29" i="16"/>
  <c r="E24" i="16" s="1"/>
  <c r="E105" i="12"/>
  <c r="E105" i="16" s="1"/>
  <c r="G27" i="16"/>
  <c r="E43" i="16"/>
  <c r="E24" i="12"/>
  <c r="F52" i="12"/>
  <c r="F52" i="16" s="1"/>
  <c r="G51" i="12"/>
  <c r="D44" i="16"/>
  <c r="D45" i="12"/>
  <c r="D45" i="16" s="1"/>
  <c r="D40" i="16" s="1"/>
  <c r="E53" i="12"/>
  <c r="G24" i="5"/>
  <c r="H24" i="5" s="1"/>
  <c r="E36" i="12"/>
  <c r="E36" i="16" s="1"/>
  <c r="F35" i="12"/>
  <c r="F29" i="12"/>
  <c r="F106" i="12" s="1"/>
  <c r="D53" i="16"/>
  <c r="D48" i="16" s="1"/>
  <c r="D10" i="16" s="1"/>
  <c r="N56" i="5" s="1"/>
  <c r="D48" i="12"/>
  <c r="D10" i="12" s="1"/>
  <c r="N31" i="5" s="1"/>
  <c r="F51" i="16"/>
  <c r="E35" i="16"/>
  <c r="G28" i="12"/>
  <c r="G28" i="16" s="1"/>
  <c r="H27" i="12"/>
  <c r="E44" i="12"/>
  <c r="E44" i="16" s="1"/>
  <c r="F43" i="12"/>
  <c r="D36" i="16"/>
  <c r="D37" i="12"/>
  <c r="D37" i="16" s="1"/>
  <c r="D32" i="16" s="1"/>
  <c r="C81" i="12"/>
  <c r="C131" i="16"/>
  <c r="C15" i="12"/>
  <c r="C20" i="16"/>
  <c r="C130" i="12"/>
  <c r="C110" i="12" s="1"/>
  <c r="C8" i="12" s="1"/>
  <c r="C84" i="12"/>
  <c r="C7" i="12" s="1"/>
  <c r="H25" i="5"/>
  <c r="I23" i="5"/>
  <c r="H26" i="5"/>
  <c r="F24" i="12" l="1"/>
  <c r="F158" i="16"/>
  <c r="F132" i="16"/>
  <c r="E106" i="16"/>
  <c r="E82" i="16" s="1"/>
  <c r="E82" i="12"/>
  <c r="D32" i="12"/>
  <c r="F53" i="12"/>
  <c r="F53" i="16" s="1"/>
  <c r="F48" i="16" s="1"/>
  <c r="F10" i="16" s="1"/>
  <c r="P56" i="5" s="1"/>
  <c r="D40" i="12"/>
  <c r="D20" i="12"/>
  <c r="D131" i="12"/>
  <c r="D131" i="16" s="1"/>
  <c r="H28" i="12"/>
  <c r="H28" i="16" s="1"/>
  <c r="I27" i="12"/>
  <c r="F43" i="16"/>
  <c r="F45" i="12"/>
  <c r="E37" i="12"/>
  <c r="E37" i="16" s="1"/>
  <c r="E32" i="16" s="1"/>
  <c r="G36" i="12"/>
  <c r="G36" i="16" s="1"/>
  <c r="H35" i="12"/>
  <c r="G44" i="12"/>
  <c r="G44" i="16" s="1"/>
  <c r="H43" i="12"/>
  <c r="F36" i="12"/>
  <c r="F36" i="16" s="1"/>
  <c r="G35" i="12"/>
  <c r="G51" i="16"/>
  <c r="G52" i="12"/>
  <c r="G52" i="16" s="1"/>
  <c r="H51" i="12"/>
  <c r="D157" i="12"/>
  <c r="D157" i="16" s="1"/>
  <c r="D156" i="16" s="1"/>
  <c r="D136" i="16" s="1"/>
  <c r="D9" i="16" s="1"/>
  <c r="N54" i="5" s="1"/>
  <c r="H27" i="16"/>
  <c r="F29" i="16"/>
  <c r="F24" i="16" s="1"/>
  <c r="F105" i="12"/>
  <c r="F105" i="16" s="1"/>
  <c r="E53" i="16"/>
  <c r="E48" i="16" s="1"/>
  <c r="E10" i="16" s="1"/>
  <c r="O56" i="5" s="1"/>
  <c r="E48" i="12"/>
  <c r="E10" i="12" s="1"/>
  <c r="O31" i="5" s="1"/>
  <c r="E45" i="12"/>
  <c r="E45" i="16" s="1"/>
  <c r="E40" i="16" s="1"/>
  <c r="F35" i="16"/>
  <c r="G43" i="16"/>
  <c r="G29" i="12"/>
  <c r="G106" i="12" s="1"/>
  <c r="C80" i="12"/>
  <c r="C60" i="12" s="1"/>
  <c r="C6" i="12" s="1"/>
  <c r="I24" i="5"/>
  <c r="I26" i="5"/>
  <c r="J23" i="5"/>
  <c r="I25" i="5"/>
  <c r="F106" i="16" l="1"/>
  <c r="F82" i="16" s="1"/>
  <c r="F82" i="12"/>
  <c r="G158" i="16"/>
  <c r="H29" i="12"/>
  <c r="H106" i="12" s="1"/>
  <c r="E40" i="12"/>
  <c r="E32" i="12"/>
  <c r="D20" i="16"/>
  <c r="D15" i="16" s="1"/>
  <c r="D15" i="12"/>
  <c r="F48" i="12"/>
  <c r="F10" i="12" s="1"/>
  <c r="P31" i="5" s="1"/>
  <c r="E131" i="12"/>
  <c r="E131" i="16" s="1"/>
  <c r="E157" i="12"/>
  <c r="E157" i="16" s="1"/>
  <c r="E156" i="16" s="1"/>
  <c r="E136" i="16" s="1"/>
  <c r="E9" i="16" s="1"/>
  <c r="O54" i="5" s="1"/>
  <c r="D81" i="12"/>
  <c r="H51" i="16"/>
  <c r="G35" i="16"/>
  <c r="G37" i="12"/>
  <c r="H35" i="16"/>
  <c r="F45" i="16"/>
  <c r="F40" i="16" s="1"/>
  <c r="F157" i="12"/>
  <c r="F40" i="12"/>
  <c r="D156" i="12"/>
  <c r="E20" i="12"/>
  <c r="I27" i="16"/>
  <c r="I28" i="12"/>
  <c r="I28" i="16" s="1"/>
  <c r="J27" i="12"/>
  <c r="H36" i="12"/>
  <c r="H36" i="16" s="1"/>
  <c r="I35" i="12"/>
  <c r="G29" i="16"/>
  <c r="G24" i="16" s="1"/>
  <c r="G105" i="12"/>
  <c r="G105" i="16" s="1"/>
  <c r="G24" i="12"/>
  <c r="D81" i="16"/>
  <c r="H44" i="12"/>
  <c r="H44" i="16" s="1"/>
  <c r="I43" i="12"/>
  <c r="G45" i="12"/>
  <c r="G45" i="16" s="1"/>
  <c r="G40" i="16" s="1"/>
  <c r="H105" i="12"/>
  <c r="H105" i="16" s="1"/>
  <c r="H52" i="12"/>
  <c r="H52" i="16" s="1"/>
  <c r="I51" i="12"/>
  <c r="F37" i="12"/>
  <c r="G53" i="12"/>
  <c r="H43" i="16"/>
  <c r="J25" i="5"/>
  <c r="J26" i="5"/>
  <c r="K23" i="5"/>
  <c r="J28" i="12" s="1"/>
  <c r="J28" i="16" s="1"/>
  <c r="J24" i="5"/>
  <c r="D136" i="12" l="1"/>
  <c r="D9" i="12" s="1"/>
  <c r="N28" i="5" s="1"/>
  <c r="N30" i="5"/>
  <c r="G32" i="12"/>
  <c r="G132" i="12"/>
  <c r="G132" i="16" s="1"/>
  <c r="H24" i="12"/>
  <c r="H158" i="16"/>
  <c r="G106" i="16"/>
  <c r="H29" i="16"/>
  <c r="H24" i="16" s="1"/>
  <c r="E156" i="12"/>
  <c r="E81" i="12"/>
  <c r="E81" i="16"/>
  <c r="E20" i="16"/>
  <c r="E15" i="16" s="1"/>
  <c r="G157" i="12"/>
  <c r="G157" i="16" s="1"/>
  <c r="G156" i="16" s="1"/>
  <c r="G136" i="16" s="1"/>
  <c r="G9" i="16" s="1"/>
  <c r="Q54" i="5" s="1"/>
  <c r="G20" i="12"/>
  <c r="G20" i="16" s="1"/>
  <c r="G15" i="16" s="1"/>
  <c r="I36" i="12"/>
  <c r="I36" i="16" s="1"/>
  <c r="J35" i="12"/>
  <c r="F37" i="16"/>
  <c r="F32" i="16" s="1"/>
  <c r="F32" i="12"/>
  <c r="F131" i="12"/>
  <c r="F20" i="12"/>
  <c r="I52" i="12"/>
  <c r="I52" i="16" s="1"/>
  <c r="J51" i="12"/>
  <c r="H45" i="12"/>
  <c r="I51" i="16"/>
  <c r="F157" i="16"/>
  <c r="F156" i="16" s="1"/>
  <c r="F136" i="16" s="1"/>
  <c r="F9" i="16" s="1"/>
  <c r="P54" i="5" s="1"/>
  <c r="F156" i="12"/>
  <c r="G37" i="16"/>
  <c r="G32" i="16" s="1"/>
  <c r="G131" i="12"/>
  <c r="G131" i="16" s="1"/>
  <c r="G40" i="12"/>
  <c r="I43" i="16"/>
  <c r="J27" i="16"/>
  <c r="J29" i="12"/>
  <c r="J106" i="12" s="1"/>
  <c r="I44" i="12"/>
  <c r="I44" i="16" s="1"/>
  <c r="J43" i="12"/>
  <c r="G53" i="16"/>
  <c r="G48" i="16" s="1"/>
  <c r="G10" i="16" s="1"/>
  <c r="Q56" i="5" s="1"/>
  <c r="G48" i="12"/>
  <c r="G10" i="12" s="1"/>
  <c r="Q31" i="5" s="1"/>
  <c r="H53" i="12"/>
  <c r="I35" i="16"/>
  <c r="I29" i="12"/>
  <c r="I106" i="12" s="1"/>
  <c r="H37" i="12"/>
  <c r="K25" i="5"/>
  <c r="J44" i="12" s="1"/>
  <c r="J44" i="16" s="1"/>
  <c r="K26" i="5"/>
  <c r="K24" i="5"/>
  <c r="F136" i="12" l="1"/>
  <c r="F9" i="12" s="1"/>
  <c r="P28" i="5" s="1"/>
  <c r="P30" i="5"/>
  <c r="E136" i="12"/>
  <c r="E9" i="12" s="1"/>
  <c r="O28" i="5" s="1"/>
  <c r="O30" i="5"/>
  <c r="G82" i="16"/>
  <c r="G82" i="12"/>
  <c r="H37" i="16"/>
  <c r="H32" i="16" s="1"/>
  <c r="H132" i="12"/>
  <c r="H132" i="16" s="1"/>
  <c r="J24" i="12"/>
  <c r="J158" i="16"/>
  <c r="H106" i="16"/>
  <c r="I158" i="16"/>
  <c r="G81" i="16"/>
  <c r="I53" i="12"/>
  <c r="G81" i="12"/>
  <c r="G156" i="12"/>
  <c r="G15" i="12"/>
  <c r="F131" i="16"/>
  <c r="F81" i="16" s="1"/>
  <c r="F81" i="12"/>
  <c r="H45" i="16"/>
  <c r="H40" i="16" s="1"/>
  <c r="H157" i="12"/>
  <c r="J35" i="16"/>
  <c r="J36" i="12"/>
  <c r="J36" i="16" s="1"/>
  <c r="H20" i="12"/>
  <c r="I29" i="16"/>
  <c r="I24" i="16" s="1"/>
  <c r="I105" i="12"/>
  <c r="I105" i="16" s="1"/>
  <c r="I24" i="12"/>
  <c r="J105" i="12"/>
  <c r="J105" i="16" s="1"/>
  <c r="J29" i="16"/>
  <c r="J24" i="16" s="1"/>
  <c r="J51" i="16"/>
  <c r="J52" i="12"/>
  <c r="J52" i="16" s="1"/>
  <c r="H40" i="12"/>
  <c r="I37" i="12"/>
  <c r="I132" i="12" s="1"/>
  <c r="I132" i="16" s="1"/>
  <c r="H32" i="12"/>
  <c r="H53" i="16"/>
  <c r="H48" i="16" s="1"/>
  <c r="H10" i="16" s="1"/>
  <c r="R56" i="5" s="1"/>
  <c r="H48" i="12"/>
  <c r="H10" i="12" s="1"/>
  <c r="R31" i="5" s="1"/>
  <c r="H131" i="12"/>
  <c r="H131" i="16" s="1"/>
  <c r="J43" i="16"/>
  <c r="J45" i="12"/>
  <c r="J45" i="16" s="1"/>
  <c r="J40" i="16" s="1"/>
  <c r="I45" i="12"/>
  <c r="F15" i="12"/>
  <c r="F20" i="16"/>
  <c r="F15" i="16" s="1"/>
  <c r="G136" i="12" l="1"/>
  <c r="G9" i="12" s="1"/>
  <c r="Q28" i="5" s="1"/>
  <c r="Q30" i="5"/>
  <c r="H82" i="16"/>
  <c r="I53" i="16"/>
  <c r="I48" i="16" s="1"/>
  <c r="I184" i="12"/>
  <c r="I82" i="12" s="1"/>
  <c r="H82" i="12"/>
  <c r="J106" i="16"/>
  <c r="I106" i="16"/>
  <c r="I48" i="12"/>
  <c r="H20" i="16"/>
  <c r="H15" i="16" s="1"/>
  <c r="J40" i="12"/>
  <c r="I20" i="12"/>
  <c r="J157" i="12"/>
  <c r="J157" i="16" s="1"/>
  <c r="J156" i="16" s="1"/>
  <c r="J136" i="16" s="1"/>
  <c r="J9" i="16" s="1"/>
  <c r="T54" i="5" s="1"/>
  <c r="I37" i="16"/>
  <c r="I32" i="16" s="1"/>
  <c r="I32" i="12"/>
  <c r="I131" i="12"/>
  <c r="H81" i="12"/>
  <c r="H15" i="12"/>
  <c r="I45" i="16"/>
  <c r="I40" i="16" s="1"/>
  <c r="I40" i="12"/>
  <c r="I157" i="12"/>
  <c r="J53" i="12"/>
  <c r="J184" i="12" s="1"/>
  <c r="H157" i="16"/>
  <c r="H156" i="16" s="1"/>
  <c r="H136" i="16" s="1"/>
  <c r="H9" i="16" s="1"/>
  <c r="R54" i="5" s="1"/>
  <c r="H156" i="12"/>
  <c r="J37" i="12"/>
  <c r="J132" i="12" s="1"/>
  <c r="J132" i="16" s="1"/>
  <c r="H136" i="12" l="1"/>
  <c r="H9" i="12" s="1"/>
  <c r="R28" i="5" s="1"/>
  <c r="R30" i="5"/>
  <c r="I184" i="16"/>
  <c r="I182" i="16" s="1"/>
  <c r="I162" i="16" s="1"/>
  <c r="I10" i="16" s="1"/>
  <c r="S56" i="5" s="1"/>
  <c r="I182" i="12"/>
  <c r="J184" i="16"/>
  <c r="J182" i="16" s="1"/>
  <c r="J162" i="16" s="1"/>
  <c r="J182" i="12"/>
  <c r="J82" i="12"/>
  <c r="J156" i="12"/>
  <c r="I15" i="12"/>
  <c r="I20" i="16"/>
  <c r="I15" i="16" s="1"/>
  <c r="H81" i="16"/>
  <c r="J53" i="16"/>
  <c r="J48" i="16" s="1"/>
  <c r="J48" i="12"/>
  <c r="J37" i="16"/>
  <c r="J32" i="16" s="1"/>
  <c r="J131" i="12"/>
  <c r="J20" i="12"/>
  <c r="J32" i="12"/>
  <c r="I131" i="16"/>
  <c r="I81" i="12"/>
  <c r="I157" i="16"/>
  <c r="I156" i="16" s="1"/>
  <c r="I136" i="16" s="1"/>
  <c r="I9" i="16" s="1"/>
  <c r="S54" i="5" s="1"/>
  <c r="I156" i="12"/>
  <c r="I162" i="12" l="1"/>
  <c r="I10" i="12" s="1"/>
  <c r="S31" i="5" s="1"/>
  <c r="S33" i="5"/>
  <c r="J162" i="12"/>
  <c r="J10" i="12" s="1"/>
  <c r="T31" i="5" s="1"/>
  <c r="T33" i="5"/>
  <c r="I136" i="12"/>
  <c r="I9" i="12" s="1"/>
  <c r="S28" i="5" s="1"/>
  <c r="S30" i="5"/>
  <c r="J136" i="12"/>
  <c r="J9" i="12" s="1"/>
  <c r="T28" i="5" s="1"/>
  <c r="T30" i="5"/>
  <c r="J10" i="16"/>
  <c r="T56" i="5" s="1"/>
  <c r="J82" i="16"/>
  <c r="I82" i="16"/>
  <c r="I81" i="16"/>
  <c r="J131" i="16"/>
  <c r="J81" i="16" s="1"/>
  <c r="J81" i="12"/>
  <c r="J20" i="16"/>
  <c r="J15" i="16" s="1"/>
  <c r="J15" i="12"/>
  <c r="D112" i="12"/>
  <c r="D88" i="12"/>
  <c r="D88" i="16" s="1"/>
  <c r="D114" i="12"/>
  <c r="D114" i="16" s="1"/>
  <c r="D86" i="12"/>
  <c r="D64" i="16" l="1"/>
  <c r="D86" i="16"/>
  <c r="N23" i="5"/>
  <c r="D112" i="16"/>
  <c r="N26" i="5"/>
  <c r="D64" i="12"/>
  <c r="D62" i="12"/>
  <c r="D111" i="12"/>
  <c r="D85" i="12"/>
  <c r="D107" i="16" s="1"/>
  <c r="D130" i="12" l="1"/>
  <c r="D133" i="16"/>
  <c r="D130" i="16" s="1"/>
  <c r="D111" i="16"/>
  <c r="N53" i="5"/>
  <c r="D104" i="16"/>
  <c r="D85" i="16"/>
  <c r="D62" i="16"/>
  <c r="N51" i="5"/>
  <c r="D61" i="12"/>
  <c r="D110" i="12" l="1"/>
  <c r="D8" i="12" s="1"/>
  <c r="N25" i="5" s="1"/>
  <c r="N27" i="5"/>
  <c r="D110" i="16"/>
  <c r="D8" i="16" s="1"/>
  <c r="N52" i="5" s="1"/>
  <c r="D80" i="16"/>
  <c r="D83" i="16"/>
  <c r="D61" i="16"/>
  <c r="D84" i="16"/>
  <c r="D7" i="16" s="1"/>
  <c r="N50" i="5" s="1"/>
  <c r="D104" i="12"/>
  <c r="N24" i="5" s="1"/>
  <c r="D83" i="12"/>
  <c r="D60" i="16" l="1"/>
  <c r="D6" i="16" s="1"/>
  <c r="N49" i="5" s="1"/>
  <c r="D80" i="12"/>
  <c r="D60" i="12" s="1"/>
  <c r="D84" i="12"/>
  <c r="D7" i="12" s="1"/>
  <c r="D6" i="12" l="1"/>
  <c r="N21" i="5" s="1"/>
  <c r="N60" i="5"/>
  <c r="N58" i="5"/>
  <c r="N22" i="5"/>
  <c r="E112" i="12"/>
  <c r="J88" i="12"/>
  <c r="J88" i="16" s="1"/>
  <c r="H112" i="12"/>
  <c r="J112" i="12"/>
  <c r="T26" i="5" s="1"/>
  <c r="F86" i="12"/>
  <c r="H86" i="12"/>
  <c r="E86" i="12"/>
  <c r="E88" i="12"/>
  <c r="E88" i="16" s="1"/>
  <c r="I88" i="12"/>
  <c r="I88" i="16" s="1"/>
  <c r="G114" i="12"/>
  <c r="G114" i="16" s="1"/>
  <c r="I114" i="12"/>
  <c r="I114" i="16" s="1"/>
  <c r="I112" i="12"/>
  <c r="G112" i="12"/>
  <c r="G86" i="12"/>
  <c r="H88" i="12"/>
  <c r="H88" i="16" s="1"/>
  <c r="F88" i="12"/>
  <c r="F88" i="16" s="1"/>
  <c r="I86" i="12"/>
  <c r="J86" i="12"/>
  <c r="T23" i="5" s="1"/>
  <c r="H114" i="12"/>
  <c r="H114" i="16" s="1"/>
  <c r="J114" i="12"/>
  <c r="J114" i="16" s="1"/>
  <c r="G88" i="12"/>
  <c r="G88" i="16" s="1"/>
  <c r="E114" i="12"/>
  <c r="E114" i="16" s="1"/>
  <c r="F114" i="12"/>
  <c r="F114" i="16" s="1"/>
  <c r="F112" i="12"/>
  <c r="J86" i="16" l="1"/>
  <c r="T51" i="5" s="1"/>
  <c r="J112" i="16"/>
  <c r="T53" i="5" s="1"/>
  <c r="G64" i="16"/>
  <c r="H64" i="16"/>
  <c r="R26" i="5"/>
  <c r="G112" i="16"/>
  <c r="Q26" i="5"/>
  <c r="F112" i="16"/>
  <c r="F64" i="16"/>
  <c r="I112" i="16"/>
  <c r="I111" i="16" s="1"/>
  <c r="E64" i="16"/>
  <c r="N35" i="5"/>
  <c r="N34" i="5"/>
  <c r="N36" i="5"/>
  <c r="N59" i="5"/>
  <c r="P23" i="5"/>
  <c r="E86" i="16"/>
  <c r="O23" i="5"/>
  <c r="S26" i="5"/>
  <c r="H112" i="16"/>
  <c r="R23" i="5"/>
  <c r="G86" i="16"/>
  <c r="S23" i="5"/>
  <c r="H86" i="16"/>
  <c r="J64" i="16"/>
  <c r="I86" i="16"/>
  <c r="I64" i="16"/>
  <c r="Q23" i="5"/>
  <c r="F86" i="16"/>
  <c r="P26" i="5"/>
  <c r="E112" i="16"/>
  <c r="O26" i="5"/>
  <c r="F62" i="12"/>
  <c r="G64" i="12"/>
  <c r="E64" i="12"/>
  <c r="I85" i="12"/>
  <c r="J107" i="12" s="1"/>
  <c r="G111" i="12"/>
  <c r="H133" i="12" s="1"/>
  <c r="J85" i="12"/>
  <c r="H62" i="12"/>
  <c r="J62" i="12"/>
  <c r="G85" i="12"/>
  <c r="H107" i="12" s="1"/>
  <c r="E85" i="12"/>
  <c r="H85" i="12"/>
  <c r="I107" i="12" s="1"/>
  <c r="E111" i="12"/>
  <c r="G62" i="12"/>
  <c r="I111" i="12"/>
  <c r="J133" i="12" s="1"/>
  <c r="F85" i="12"/>
  <c r="G107" i="12" s="1"/>
  <c r="H111" i="12"/>
  <c r="I133" i="12" s="1"/>
  <c r="H64" i="12"/>
  <c r="I64" i="12"/>
  <c r="J111" i="12"/>
  <c r="J64" i="12"/>
  <c r="F64" i="12"/>
  <c r="I62" i="12"/>
  <c r="F111" i="12"/>
  <c r="G133" i="12" s="1"/>
  <c r="E62" i="12"/>
  <c r="E107" i="16" l="1"/>
  <c r="E104" i="16" s="1"/>
  <c r="F107" i="12"/>
  <c r="F107" i="16" s="1"/>
  <c r="F104" i="16" s="1"/>
  <c r="J133" i="16"/>
  <c r="J130" i="16" s="1"/>
  <c r="H107" i="16"/>
  <c r="G107" i="16"/>
  <c r="H130" i="12"/>
  <c r="I107" i="16"/>
  <c r="I104" i="16" s="1"/>
  <c r="J107" i="16"/>
  <c r="G130" i="12"/>
  <c r="J85" i="16"/>
  <c r="J111" i="16"/>
  <c r="J62" i="16"/>
  <c r="S53" i="5"/>
  <c r="F111" i="16"/>
  <c r="P53" i="5"/>
  <c r="E111" i="16"/>
  <c r="O53" i="5"/>
  <c r="H85" i="16"/>
  <c r="H62" i="16"/>
  <c r="R51" i="5"/>
  <c r="I62" i="16"/>
  <c r="I85" i="16"/>
  <c r="S51" i="5"/>
  <c r="E62" i="16"/>
  <c r="E85" i="16"/>
  <c r="O51" i="5"/>
  <c r="G111" i="16"/>
  <c r="Q53" i="5"/>
  <c r="F62" i="16"/>
  <c r="P51" i="5"/>
  <c r="F85" i="16"/>
  <c r="G85" i="16"/>
  <c r="G62" i="16"/>
  <c r="Q51" i="5"/>
  <c r="H111" i="16"/>
  <c r="R53" i="5"/>
  <c r="G61" i="12"/>
  <c r="I61" i="12"/>
  <c r="J61" i="12"/>
  <c r="F61" i="12"/>
  <c r="I133" i="16"/>
  <c r="I130" i="16" s="1"/>
  <c r="I110" i="16" s="1"/>
  <c r="I8" i="16" s="1"/>
  <c r="S52" i="5" s="1"/>
  <c r="H61" i="12"/>
  <c r="E61" i="12"/>
  <c r="E104" i="12"/>
  <c r="O24" i="5" s="1"/>
  <c r="H104" i="12"/>
  <c r="R24" i="5" s="1"/>
  <c r="F104" i="12" l="1"/>
  <c r="P24" i="5" s="1"/>
  <c r="G110" i="12"/>
  <c r="G8" i="12" s="1"/>
  <c r="Q27" i="5"/>
  <c r="H110" i="12"/>
  <c r="H8" i="12" s="1"/>
  <c r="R25" i="5" s="1"/>
  <c r="R27" i="5"/>
  <c r="J104" i="12"/>
  <c r="T24" i="5" s="1"/>
  <c r="G104" i="12"/>
  <c r="G80" i="12" s="1"/>
  <c r="G60" i="12" s="1"/>
  <c r="G6" i="12" s="1"/>
  <c r="H133" i="16"/>
  <c r="H130" i="16" s="1"/>
  <c r="H110" i="16" s="1"/>
  <c r="H8" i="16" s="1"/>
  <c r="R52" i="5" s="1"/>
  <c r="H83" i="12"/>
  <c r="G133" i="16"/>
  <c r="G130" i="16" s="1"/>
  <c r="G110" i="16" s="1"/>
  <c r="G8" i="16" s="1"/>
  <c r="Q52" i="5" s="1"/>
  <c r="J83" i="16"/>
  <c r="J104" i="16"/>
  <c r="J80" i="16" s="1"/>
  <c r="G104" i="16"/>
  <c r="G84" i="16" s="1"/>
  <c r="G7" i="16" s="1"/>
  <c r="Q50" i="5" s="1"/>
  <c r="H104" i="16"/>
  <c r="J130" i="12"/>
  <c r="I104" i="12"/>
  <c r="J61" i="16"/>
  <c r="J110" i="16"/>
  <c r="J8" i="16" s="1"/>
  <c r="T52" i="5" s="1"/>
  <c r="F83" i="12"/>
  <c r="F133" i="16"/>
  <c r="H61" i="16"/>
  <c r="G61" i="16"/>
  <c r="I80" i="16"/>
  <c r="I61" i="16"/>
  <c r="I84" i="16"/>
  <c r="I7" i="16" s="1"/>
  <c r="S50" i="5" s="1"/>
  <c r="E83" i="12"/>
  <c r="E133" i="16"/>
  <c r="F61" i="16"/>
  <c r="F84" i="16"/>
  <c r="F7" i="16" s="1"/>
  <c r="P50" i="5" s="1"/>
  <c r="E61" i="16"/>
  <c r="E84" i="16"/>
  <c r="E7" i="16" s="1"/>
  <c r="O50" i="5" s="1"/>
  <c r="I83" i="16"/>
  <c r="I83" i="12"/>
  <c r="G83" i="12"/>
  <c r="I130" i="12"/>
  <c r="J83" i="12"/>
  <c r="E130" i="12"/>
  <c r="F130" i="12"/>
  <c r="H80" i="12"/>
  <c r="H60" i="12" s="1"/>
  <c r="H84" i="12"/>
  <c r="H7" i="12" s="1"/>
  <c r="E84" i="12"/>
  <c r="E7" i="12" s="1"/>
  <c r="F84" i="12" l="1"/>
  <c r="F7" i="12" s="1"/>
  <c r="P22" i="5" s="1"/>
  <c r="J84" i="12"/>
  <c r="J7" i="12" s="1"/>
  <c r="T22" i="5" s="1"/>
  <c r="F110" i="12"/>
  <c r="F8" i="12" s="1"/>
  <c r="Q25" i="5" s="1"/>
  <c r="P27" i="5"/>
  <c r="I110" i="12"/>
  <c r="I8" i="12" s="1"/>
  <c r="S25" i="5" s="1"/>
  <c r="S27" i="5"/>
  <c r="E110" i="12"/>
  <c r="E8" i="12" s="1"/>
  <c r="O25" i="5" s="1"/>
  <c r="O27" i="5"/>
  <c r="J110" i="12"/>
  <c r="J8" i="12" s="1"/>
  <c r="T25" i="5" s="1"/>
  <c r="T27" i="5"/>
  <c r="I84" i="12"/>
  <c r="I7" i="12" s="1"/>
  <c r="S22" i="5" s="1"/>
  <c r="S24" i="5"/>
  <c r="G84" i="12"/>
  <c r="G7" i="12" s="1"/>
  <c r="Q22" i="5" s="1"/>
  <c r="Q24" i="5"/>
  <c r="H80" i="16"/>
  <c r="H60" i="16" s="1"/>
  <c r="H6" i="16" s="1"/>
  <c r="R49" i="5" s="1"/>
  <c r="R60" i="5" s="1"/>
  <c r="G80" i="16"/>
  <c r="G60" i="16" s="1"/>
  <c r="G6" i="16" s="1"/>
  <c r="Q49" i="5" s="1"/>
  <c r="Q60" i="5" s="1"/>
  <c r="H83" i="16"/>
  <c r="G83" i="16"/>
  <c r="H84" i="16"/>
  <c r="H7" i="16" s="1"/>
  <c r="R50" i="5" s="1"/>
  <c r="J84" i="16"/>
  <c r="J7" i="16" s="1"/>
  <c r="T50" i="5" s="1"/>
  <c r="J80" i="12"/>
  <c r="J60" i="12" s="1"/>
  <c r="J6" i="12" s="1"/>
  <c r="T21" i="5" s="1"/>
  <c r="T59" i="5" s="1"/>
  <c r="J60" i="16"/>
  <c r="J6" i="16" s="1"/>
  <c r="T49" i="5" s="1"/>
  <c r="T60" i="5" s="1"/>
  <c r="H6" i="12"/>
  <c r="R21" i="5" s="1"/>
  <c r="R34" i="5" s="1"/>
  <c r="I60" i="16"/>
  <c r="I6" i="16" s="1"/>
  <c r="S49" i="5" s="1"/>
  <c r="O22" i="5"/>
  <c r="E130" i="16"/>
  <c r="E83" i="16"/>
  <c r="F130" i="16"/>
  <c r="F83" i="16"/>
  <c r="R22" i="5"/>
  <c r="I80" i="12"/>
  <c r="I60" i="12" s="1"/>
  <c r="E80" i="12"/>
  <c r="E60" i="12" s="1"/>
  <c r="F80" i="12"/>
  <c r="F60" i="12" s="1"/>
  <c r="P25" i="5" l="1"/>
  <c r="R58" i="5"/>
  <c r="T58" i="5"/>
  <c r="Q58" i="5"/>
  <c r="T35" i="5"/>
  <c r="T36" i="5"/>
  <c r="I6" i="12"/>
  <c r="S21" i="5" s="1"/>
  <c r="S36" i="5" s="1"/>
  <c r="T34" i="5"/>
  <c r="E6" i="12"/>
  <c r="O21" i="5" s="1"/>
  <c r="O34" i="5" s="1"/>
  <c r="F6" i="12"/>
  <c r="Q21" i="5" s="1"/>
  <c r="Q36" i="5" s="1"/>
  <c r="S60" i="5"/>
  <c r="S58" i="5"/>
  <c r="R35" i="5"/>
  <c r="R59" i="5"/>
  <c r="R36" i="5"/>
  <c r="F110" i="16"/>
  <c r="F8" i="16" s="1"/>
  <c r="P52" i="5" s="1"/>
  <c r="F80" i="16"/>
  <c r="F60" i="16" s="1"/>
  <c r="F6" i="16" s="1"/>
  <c r="P49" i="5" s="1"/>
  <c r="E80" i="16"/>
  <c r="E60" i="16" s="1"/>
  <c r="E6" i="16" s="1"/>
  <c r="O49" i="5" s="1"/>
  <c r="E110" i="16"/>
  <c r="E8" i="16" s="1"/>
  <c r="O52" i="5" s="1"/>
  <c r="S34" i="5" l="1"/>
  <c r="S35" i="5"/>
  <c r="S59" i="5"/>
  <c r="O59" i="5"/>
  <c r="Q34" i="5"/>
  <c r="O36" i="5"/>
  <c r="P21" i="5"/>
  <c r="P35" i="5" s="1"/>
  <c r="O35" i="5"/>
  <c r="Q35" i="5"/>
  <c r="Q59" i="5"/>
  <c r="O60" i="5"/>
  <c r="O58" i="5"/>
  <c r="P60" i="5"/>
  <c r="P58" i="5"/>
  <c r="P59" i="5" l="1"/>
  <c r="P34" i="5"/>
  <c r="P36" i="5"/>
  <c r="C32" i="16" l="1"/>
  <c r="C104" i="16"/>
  <c r="C84" i="16" s="1"/>
  <c r="C24" i="16"/>
  <c r="C40" i="16"/>
  <c r="C156" i="16"/>
  <c r="C136" i="16" s="1"/>
  <c r="C48" i="16" l="1"/>
  <c r="C10" i="16" s="1"/>
  <c r="C15" i="16"/>
  <c r="C9" i="16"/>
  <c r="C7" i="16"/>
  <c r="C130" i="16"/>
  <c r="C110" i="16" l="1"/>
  <c r="C8" i="16" s="1"/>
  <c r="C80" i="16"/>
  <c r="C60" i="16" s="1"/>
  <c r="C6" i="16" s="1"/>
  <c r="C81"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ANELONE Isabelle</author>
  </authors>
  <commentList>
    <comment ref="B18" authorId="0" shapeId="0" xr:uid="{4708DBFE-9558-4F8E-97A4-4F4FD9D78770}">
      <text>
        <r>
          <rPr>
            <b/>
            <sz val="10"/>
            <color indexed="81"/>
            <rFont val="Tahoma"/>
            <family val="2"/>
          </rPr>
          <t>A saisir AEFE à partir des données Power BI</t>
        </r>
        <r>
          <rPr>
            <sz val="10"/>
            <color indexed="81"/>
            <rFont val="Tahoma"/>
            <family val="2"/>
          </rPr>
          <t xml:space="preserve">
</t>
        </r>
      </text>
    </comment>
    <comment ref="C19" authorId="0" shapeId="0" xr:uid="{2BFA9D67-C7DE-49CB-A645-7E808B853F7E}">
      <text>
        <r>
          <rPr>
            <b/>
            <sz val="10"/>
            <color indexed="81"/>
            <rFont val="Tahoma"/>
            <family val="2"/>
          </rPr>
          <t>Tarifs réels 2022/2023</t>
        </r>
        <r>
          <rPr>
            <sz val="10"/>
            <color indexed="81"/>
            <rFont val="Tahoma"/>
            <family val="2"/>
          </rPr>
          <t xml:space="preserve">
</t>
        </r>
      </text>
    </comment>
    <comment ref="D19" authorId="0" shapeId="0" xr:uid="{FBC3406B-AAD7-4FBD-9565-533FAD716A5E}">
      <text>
        <r>
          <rPr>
            <b/>
            <sz val="10"/>
            <color indexed="81"/>
            <rFont val="Tahoma"/>
            <family val="2"/>
          </rPr>
          <t xml:space="preserve">Tarif réels 2023/2024
</t>
        </r>
        <r>
          <rPr>
            <sz val="10"/>
            <color indexed="81"/>
            <rFont val="Tahoma"/>
            <family val="2"/>
          </rPr>
          <t xml:space="preserve">
</t>
        </r>
      </text>
    </comment>
    <comment ref="E19" authorId="0" shapeId="0" xr:uid="{79287093-F8BF-4D1E-99BC-058B15D30DF3}">
      <text>
        <r>
          <rPr>
            <sz val="10"/>
            <color indexed="81"/>
            <rFont val="Tahoma"/>
            <family val="2"/>
          </rPr>
          <t xml:space="preserve">
Le contenu des cellules F26 à K31 sont en police de couleur"blanche" afin de ne pas alourdir la présentation. A mettre en noir si besoin - Ne pas supprimer ces cellules ni leur contenu.</t>
        </r>
      </text>
    </comment>
    <comment ref="B29" authorId="0" shapeId="0" xr:uid="{878E3B20-F5FC-4DBE-9036-C95D89483FB6}">
      <text>
        <r>
          <rPr>
            <b/>
            <sz val="10"/>
            <color indexed="81"/>
            <rFont val="Tahoma"/>
            <family val="2"/>
          </rPr>
          <t>Taux moyen AEFE, à affiner par chaque établissement</t>
        </r>
        <r>
          <rPr>
            <sz val="10"/>
            <color indexed="81"/>
            <rFont val="Tahoma"/>
            <family val="2"/>
          </rPr>
          <t xml:space="preserve">
</t>
        </r>
      </text>
    </comment>
    <comment ref="D29" authorId="0" shapeId="0" xr:uid="{110B791C-A098-4111-8912-FC7D18E3B861}">
      <text>
        <r>
          <rPr>
            <b/>
            <sz val="10"/>
            <color indexed="81"/>
            <rFont val="Tahoma"/>
            <family val="2"/>
          </rPr>
          <t>ANELONE Isabelle:</t>
        </r>
        <r>
          <rPr>
            <sz val="10"/>
            <color indexed="81"/>
            <rFont val="Tahoma"/>
            <family val="2"/>
          </rPr>
          <t xml:space="preserve">
Taux moyen AEFE, à affiner par chaque établissement</t>
        </r>
      </text>
    </comment>
    <comment ref="B40" authorId="0" shapeId="0" xr:uid="{494976FA-F0D2-4159-A630-E74620D97E13}">
      <text>
        <r>
          <rPr>
            <b/>
            <sz val="10"/>
            <color indexed="81"/>
            <rFont val="Tahoma"/>
            <family val="2"/>
          </rPr>
          <t>ANELONE Isabelle:</t>
        </r>
        <r>
          <rPr>
            <sz val="10"/>
            <color indexed="81"/>
            <rFont val="Tahoma"/>
            <family val="2"/>
          </rPr>
          <t xml:space="preserve">
A masquer pour les partenaires, à verrouiller pour les conventionnés</t>
        </r>
      </text>
    </comment>
    <comment ref="B42" authorId="0" shapeId="0" xr:uid="{A1AF8264-1A2F-4D6C-BE0D-F02738465B44}">
      <text>
        <r>
          <rPr>
            <b/>
            <sz val="10"/>
            <color indexed="81"/>
            <rFont val="Tahoma"/>
            <family val="2"/>
          </rPr>
          <t>ANELONE Isabelle:</t>
        </r>
        <r>
          <rPr>
            <sz val="10"/>
            <color indexed="81"/>
            <rFont val="Tahoma"/>
            <family val="2"/>
          </rPr>
          <t xml:space="preserve">
Nombre à saisir pour 2022/2023 et 2023/2024 à partir du fichier des structures des établissements. 
Pour les années suivantes, le nombre moyen  de divisions est calculé par le ratio du nombre d'élèves par le nombre d'élèves par division.</t>
        </r>
      </text>
    </comment>
    <comment ref="B48" authorId="0" shapeId="0" xr:uid="{B0F98A48-07CF-4A90-845E-C85C47445512}">
      <text>
        <r>
          <rPr>
            <sz val="10"/>
            <color indexed="81"/>
            <rFont val="Tahoma"/>
            <family val="2"/>
          </rPr>
          <t xml:space="preserve">Pour 2022/2023 et 2023/2024, le nombre d'élèves par classe est calculé parle rappport du nombre d'élèves par le nombre de divisions.
Pour les années suivantes, c'est une hypothèse que les étblissements doivent étudier attentivement 
</t>
        </r>
      </text>
    </comment>
    <comment ref="B58" authorId="0" shapeId="0" xr:uid="{8B1BD555-C18A-4E9E-AEF9-8088E236CF0D}">
      <text>
        <r>
          <rPr>
            <sz val="10"/>
            <color indexed="81"/>
            <rFont val="Tahoma"/>
            <family val="2"/>
          </rPr>
          <t xml:space="preserve">Ces personnels communs ont des fonctions transverses sur l'ensemble de l'établissement.
Leur poids est proratisé par niveau
</t>
        </r>
      </text>
    </comment>
    <comment ref="B67" authorId="0" shapeId="0" xr:uid="{0078C239-207D-4C33-A243-1ADC0D07E962}">
      <text>
        <r>
          <rPr>
            <sz val="10"/>
            <color indexed="81"/>
            <rFont val="Tahoma"/>
            <family val="2"/>
          </rPr>
          <t xml:space="preserve">Ces personnels sont communs au primaire seulement, hos ceux qui ont des  fonctions transverses sur l'ensemble de l'établissement.
Leur poids est proratisé entre la maternelle et l'élémentaire.
</t>
        </r>
      </text>
    </comment>
    <comment ref="M70" authorId="0" shapeId="0" xr:uid="{847217D9-FBCE-4487-9C6A-64F97179F03E}">
      <text>
        <r>
          <rPr>
            <b/>
            <sz val="10"/>
            <color indexed="81"/>
            <rFont val="Tahoma"/>
            <family val="2"/>
          </rPr>
          <t>Le nombre de personnels est pesenté et calculé en année scolaire, la masse salariale en année civile</t>
        </r>
        <r>
          <rPr>
            <sz val="10"/>
            <color indexed="81"/>
            <rFont val="Tahoma"/>
            <family val="2"/>
          </rPr>
          <t xml:space="preserve">
</t>
        </r>
      </text>
    </comment>
    <comment ref="B75" authorId="0" shapeId="0" xr:uid="{44FC6AF3-90B7-4AB9-8C6E-ACA8F00945FA}">
      <text>
        <r>
          <rPr>
            <sz val="10"/>
            <color indexed="81"/>
            <rFont val="Tahoma"/>
            <family val="2"/>
          </rPr>
          <t>Ces personnels sont communs au secondaire seulement, hos ceux qui ont des  fonctions transverses sur l'ensemble de l'établissement.
Leur poids est proratisé entre le collège et le lycée</t>
        </r>
        <r>
          <rPr>
            <b/>
            <sz val="10"/>
            <color indexed="81"/>
            <rFont val="Tahoma"/>
            <family val="2"/>
          </rPr>
          <t xml:space="preserve">
</t>
        </r>
        <r>
          <rPr>
            <sz val="10"/>
            <color indexed="81"/>
            <rFont val="Tahoma"/>
            <family val="2"/>
          </rPr>
          <t xml:space="preserve">
</t>
        </r>
      </text>
    </comment>
    <comment ref="B104" authorId="0" shapeId="0" xr:uid="{CBC9E54B-5A16-4BED-8779-74DE19BE4D1D}">
      <text>
        <r>
          <rPr>
            <b/>
            <sz val="10"/>
            <color indexed="81"/>
            <rFont val="Tahoma"/>
            <family val="2"/>
          </rPr>
          <t>Ne pas ajouter de type de personnel ni modifier les intitulés, cela impacterait toute la suite des calculs.
Utiliser "Autre Primaire commun" ou "Autre secondaire commun" ou "autre commun" si besoin (sasns modifier l'intitulé).</t>
        </r>
        <r>
          <rPr>
            <sz val="10"/>
            <color indexed="81"/>
            <rFont val="Tahoma"/>
            <family val="2"/>
          </rPr>
          <t xml:space="preserve">
</t>
        </r>
      </text>
    </comment>
    <comment ref="B132" authorId="0" shapeId="0" xr:uid="{27031A41-6010-4FC0-8F75-28ECC544D659}">
      <text>
        <r>
          <rPr>
            <b/>
            <sz val="10"/>
            <color indexed="81"/>
            <rFont val="Tahoma"/>
            <family val="2"/>
          </rPr>
          <t>ANELONE Isabelle:</t>
        </r>
        <r>
          <rPr>
            <sz val="10"/>
            <color indexed="81"/>
            <rFont val="Tahoma"/>
            <family val="2"/>
          </rPr>
          <t xml:space="preserve">
Dépendant directement du nombre d'élèves </t>
        </r>
      </text>
    </comment>
    <comment ref="C133" authorId="0" shapeId="0" xr:uid="{9B613E0F-B8AB-45B1-A1B7-E79D9F5E8ECC}">
      <text>
        <r>
          <rPr>
            <b/>
            <sz val="10"/>
            <color indexed="81"/>
            <rFont val="Tahoma"/>
            <family val="2"/>
          </rPr>
          <t>ANELONE Isabelle:</t>
        </r>
        <r>
          <rPr>
            <sz val="10"/>
            <color indexed="81"/>
            <rFont val="Tahoma"/>
            <family val="2"/>
          </rPr>
          <t xml:space="preserve">
A saisir en monnaie locale</t>
        </r>
      </text>
    </comment>
    <comment ref="B136" authorId="0" shapeId="0" xr:uid="{8D295A17-B210-4948-BF13-F38F8D008D52}">
      <text>
        <r>
          <rPr>
            <b/>
            <sz val="10"/>
            <color indexed="81"/>
            <rFont val="Tahoma"/>
            <family val="2"/>
          </rPr>
          <t>Voyages scolaires par exemple</t>
        </r>
        <r>
          <rPr>
            <sz val="10"/>
            <color indexed="81"/>
            <rFont val="Tahoma"/>
            <family val="2"/>
          </rPr>
          <t xml:space="preserve">
</t>
        </r>
      </text>
    </comment>
    <comment ref="B138" authorId="0" shapeId="0" xr:uid="{530D49C0-100E-42B3-A2C4-BEF57359C937}">
      <text>
        <r>
          <rPr>
            <sz val="10"/>
            <color indexed="81"/>
            <rFont val="Tahoma"/>
            <family val="2"/>
          </rPr>
          <t xml:space="preserve">
Si modification significative une année spécifique (en cas de construction …), modifier directement dans l'onglet compte de résultat pour les 4 niveaux</t>
        </r>
      </text>
    </comment>
    <comment ref="B141" authorId="0" shapeId="0" xr:uid="{ABBB6E5E-050A-47D9-BD6D-6EEB58A4E0FD}">
      <text>
        <r>
          <rPr>
            <sz val="10"/>
            <color indexed="81"/>
            <rFont val="Tahoma"/>
            <family val="2"/>
          </rPr>
          <t xml:space="preserve">
Si aménagements sur une année spécifique (en cas de construction …), modifier directement dans l'onglet compte de résultat pour les 4 niveaux</t>
        </r>
      </text>
    </comment>
    <comment ref="B149" authorId="0" shapeId="0" xr:uid="{97B03250-0FD4-4D21-95C8-42E5F5CE67BF}">
      <text>
        <r>
          <rPr>
            <b/>
            <sz val="10"/>
            <color indexed="81"/>
            <rFont val="Tahoma"/>
            <family val="2"/>
          </rPr>
          <t xml:space="preserve">Subventions étatiques par exemple </t>
        </r>
        <r>
          <rPr>
            <sz val="10"/>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ANELONE Isabelle</author>
  </authors>
  <commentList>
    <comment ref="C40" authorId="0" shapeId="0" xr:uid="{8BDD94A1-85F3-45EC-BD5C-BAC8B6A8EF19}">
      <text>
        <r>
          <rPr>
            <b/>
            <sz val="10"/>
            <color indexed="81"/>
            <rFont val="Tahoma"/>
            <family val="2"/>
          </rPr>
          <t>ANELONE Isabelle:</t>
        </r>
        <r>
          <rPr>
            <sz val="10"/>
            <color indexed="81"/>
            <rFont val="Tahoma"/>
            <family val="2"/>
          </rPr>
          <t xml:space="preserve">
dont ASEM
</t>
        </r>
      </text>
    </comment>
    <comment ref="C60" authorId="0" shapeId="0" xr:uid="{1EC4C75D-6FBC-4AB9-AB4D-818BD7A1AA82}">
      <text>
        <r>
          <rPr>
            <b/>
            <sz val="10"/>
            <color indexed="81"/>
            <rFont val="Tahoma"/>
            <family val="2"/>
          </rPr>
          <t>ANELONE Isabelle:</t>
        </r>
        <r>
          <rPr>
            <sz val="10"/>
            <color indexed="81"/>
            <rFont val="Tahoma"/>
            <family val="2"/>
          </rPr>
          <t xml:space="preserve">
hors ASEM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ANELONE Isabelle</author>
  </authors>
  <commentList>
    <comment ref="B66" authorId="0" shapeId="0" xr:uid="{CE8564BE-497E-4E42-9FA2-E9675BD06096}">
      <text>
        <r>
          <rPr>
            <sz val="10"/>
            <color indexed="81"/>
            <rFont val="Tahoma"/>
            <family val="2"/>
          </rPr>
          <t xml:space="preserve">Crédits disciplinaires, manuels scolaires ...
</t>
        </r>
      </text>
    </comment>
    <comment ref="B81" authorId="0" shapeId="0" xr:uid="{A41BCDA3-9F39-401F-B6E9-4E3B83A3E8BC}">
      <text>
        <r>
          <rPr>
            <b/>
            <sz val="10"/>
            <color indexed="81"/>
            <rFont val="Tahoma"/>
            <family val="2"/>
          </rPr>
          <t>ANELONE Isabelle:</t>
        </r>
        <r>
          <rPr>
            <sz val="10"/>
            <color indexed="81"/>
            <rFont val="Tahoma"/>
            <family val="2"/>
          </rPr>
          <t xml:space="preserve">
Conventionnés</t>
        </r>
      </text>
    </comment>
    <comment ref="B82" authorId="0" shapeId="0" xr:uid="{4BF07A68-BA33-42C4-B3E2-7023C9F050A6}">
      <text>
        <r>
          <rPr>
            <b/>
            <sz val="10"/>
            <color indexed="81"/>
            <rFont val="Tahoma"/>
            <family val="2"/>
          </rPr>
          <t>ANELONE Isabelle:</t>
        </r>
        <r>
          <rPr>
            <sz val="10"/>
            <color indexed="81"/>
            <rFont val="Tahoma"/>
            <family val="2"/>
          </rPr>
          <t xml:space="preserve">
Partenaires</t>
        </r>
      </text>
    </comment>
    <comment ref="B83" authorId="0" shapeId="0" xr:uid="{C1A870C5-4BC7-4E03-9968-95FC159202D8}">
      <text>
        <r>
          <rPr>
            <b/>
            <sz val="10"/>
            <color indexed="81"/>
            <rFont val="Tahoma"/>
            <family val="2"/>
          </rPr>
          <t>ANELONE Isabelle:</t>
        </r>
        <r>
          <rPr>
            <sz val="10"/>
            <color indexed="81"/>
            <rFont val="Tahoma"/>
            <family val="2"/>
          </rPr>
          <t xml:space="preserve">
sur les niveaux homologués pour les partenaires</t>
        </r>
      </text>
    </comment>
    <comment ref="B90" authorId="0" shapeId="0" xr:uid="{AD71784E-5E2C-4FCA-BF9C-93EA46948418}">
      <text>
        <r>
          <rPr>
            <sz val="10"/>
            <color indexed="81"/>
            <rFont val="Tahoma"/>
            <family val="2"/>
          </rPr>
          <t xml:space="preserve">Crédits disciplinaires, manuels scolaires ...
</t>
        </r>
      </text>
    </comment>
    <comment ref="B98" authorId="0" shapeId="0" xr:uid="{A78C1B41-C3F8-40F0-9E38-6B77A004D4F0}">
      <text>
        <r>
          <rPr>
            <b/>
            <sz val="10"/>
            <color indexed="81"/>
            <rFont val="Tahoma"/>
            <family val="2"/>
          </rPr>
          <t>ANELONE Isabelle:</t>
        </r>
        <r>
          <rPr>
            <sz val="10"/>
            <color indexed="81"/>
            <rFont val="Tahoma"/>
            <family val="2"/>
          </rPr>
          <t xml:space="preserve">
Si aménagements sur une année spécifique (en cas de construction …), modifier dans l'onglet compte de résultat</t>
        </r>
      </text>
    </comment>
    <comment ref="B105" authorId="0" shapeId="0" xr:uid="{705008CD-004C-4BBC-9C54-90B6F813E581}">
      <text>
        <r>
          <rPr>
            <b/>
            <sz val="10"/>
            <color indexed="81"/>
            <rFont val="Tahoma"/>
            <family val="2"/>
          </rPr>
          <t>ANELONE Isabelle:</t>
        </r>
        <r>
          <rPr>
            <sz val="10"/>
            <color indexed="81"/>
            <rFont val="Tahoma"/>
            <family val="2"/>
          </rPr>
          <t xml:space="preserve">
Conventionnés</t>
        </r>
      </text>
    </comment>
    <comment ref="B106" authorId="0" shapeId="0" xr:uid="{D46132B5-C8E0-4D6B-A2C1-43A4714E2E2C}">
      <text>
        <r>
          <rPr>
            <b/>
            <sz val="10"/>
            <color indexed="81"/>
            <rFont val="Tahoma"/>
            <family val="2"/>
          </rPr>
          <t>ANELONE Isabelle:</t>
        </r>
        <r>
          <rPr>
            <sz val="10"/>
            <color indexed="81"/>
            <rFont val="Tahoma"/>
            <family val="2"/>
          </rPr>
          <t xml:space="preserve">
Partenaires</t>
        </r>
      </text>
    </comment>
    <comment ref="B107" authorId="0" shapeId="0" xr:uid="{17AB55DC-6A07-4039-A1F8-7EFE8EC9783D}">
      <text>
        <r>
          <rPr>
            <b/>
            <sz val="10"/>
            <color indexed="81"/>
            <rFont val="Tahoma"/>
            <family val="2"/>
          </rPr>
          <t>ANELONE Isabelle:</t>
        </r>
        <r>
          <rPr>
            <sz val="10"/>
            <color indexed="81"/>
            <rFont val="Tahoma"/>
            <family val="2"/>
          </rPr>
          <t xml:space="preserve">
sur les niveaux homologués pour les partenaires- Masse salariale N-1
</t>
        </r>
      </text>
    </comment>
    <comment ref="B116" authorId="0" shapeId="0" xr:uid="{CFDC56B3-6944-42A6-853D-9E206A18FEEF}">
      <text>
        <r>
          <rPr>
            <sz val="10"/>
            <color indexed="81"/>
            <rFont val="Tahoma"/>
            <family val="2"/>
          </rPr>
          <t xml:space="preserve">Crédits disciplinaires, manuels scolaires ...
</t>
        </r>
      </text>
    </comment>
    <comment ref="B124" authorId="0" shapeId="0" xr:uid="{2CE60BF5-0739-4DD3-97E4-B902806A7809}">
      <text>
        <r>
          <rPr>
            <b/>
            <sz val="10"/>
            <color indexed="81"/>
            <rFont val="Tahoma"/>
            <family val="2"/>
          </rPr>
          <t>ANELONE Isabelle:</t>
        </r>
        <r>
          <rPr>
            <sz val="10"/>
            <color indexed="81"/>
            <rFont val="Tahoma"/>
            <family val="2"/>
          </rPr>
          <t xml:space="preserve">
Si aménagements sur une année spécifique (en cas de construction …), modifier dans l'onglet compte de résultat</t>
        </r>
      </text>
    </comment>
    <comment ref="B131" authorId="0" shapeId="0" xr:uid="{9501BEC7-65BA-4770-8438-2F868DCF968A}">
      <text>
        <r>
          <rPr>
            <b/>
            <sz val="10"/>
            <color indexed="81"/>
            <rFont val="Tahoma"/>
            <family val="2"/>
          </rPr>
          <t>ANELONE Isabelle:</t>
        </r>
        <r>
          <rPr>
            <sz val="10"/>
            <color indexed="81"/>
            <rFont val="Tahoma"/>
            <family val="2"/>
          </rPr>
          <t xml:space="preserve">
Conventionnés</t>
        </r>
      </text>
    </comment>
    <comment ref="B132" authorId="0" shapeId="0" xr:uid="{E55631F6-3699-4826-B45D-10164AEFD8AC}">
      <text>
        <r>
          <rPr>
            <b/>
            <sz val="10"/>
            <color indexed="81"/>
            <rFont val="Tahoma"/>
            <family val="2"/>
          </rPr>
          <t>ANELONE Isabelle:</t>
        </r>
        <r>
          <rPr>
            <sz val="10"/>
            <color indexed="81"/>
            <rFont val="Tahoma"/>
            <family val="2"/>
          </rPr>
          <t xml:space="preserve">
Partenaires</t>
        </r>
      </text>
    </comment>
    <comment ref="B133" authorId="0" shapeId="0" xr:uid="{D6C5FB4B-3A6B-47FD-A3C2-B1DA7AE7F2A0}">
      <text>
        <r>
          <rPr>
            <b/>
            <sz val="10"/>
            <color indexed="81"/>
            <rFont val="Tahoma"/>
            <family val="2"/>
          </rPr>
          <t>ANELONE Isabelle:</t>
        </r>
        <r>
          <rPr>
            <sz val="10"/>
            <color indexed="81"/>
            <rFont val="Tahoma"/>
            <family val="2"/>
          </rPr>
          <t xml:space="preserve">
sur les niveaux homologués pour les partenaires -  Masse salariale N-1</t>
        </r>
      </text>
    </comment>
    <comment ref="B142" authorId="0" shapeId="0" xr:uid="{E95D722A-FE8F-47B0-8ADC-86F53A84859A}">
      <text>
        <r>
          <rPr>
            <sz val="10"/>
            <color indexed="81"/>
            <rFont val="Tahoma"/>
            <family val="2"/>
          </rPr>
          <t xml:space="preserve">Crédits disciplinaires, manuels scolaires ...
</t>
        </r>
      </text>
    </comment>
    <comment ref="B150" authorId="0" shapeId="0" xr:uid="{E9DC4302-9437-48C2-88B7-28D9E660F789}">
      <text>
        <r>
          <rPr>
            <b/>
            <sz val="10"/>
            <color indexed="81"/>
            <rFont val="Tahoma"/>
            <family val="2"/>
          </rPr>
          <t>ANELONE Isabelle:</t>
        </r>
        <r>
          <rPr>
            <sz val="10"/>
            <color indexed="81"/>
            <rFont val="Tahoma"/>
            <family val="2"/>
          </rPr>
          <t xml:space="preserve">
Si aménagements sur une année spécifique (en cas de construction …), modifier dans l'onglet compte de résultat</t>
        </r>
      </text>
    </comment>
    <comment ref="B157" authorId="0" shapeId="0" xr:uid="{60D36FF2-CDDF-471A-890C-784E1A85664D}">
      <text>
        <r>
          <rPr>
            <b/>
            <sz val="10"/>
            <color indexed="81"/>
            <rFont val="Tahoma"/>
            <family val="2"/>
          </rPr>
          <t>ANELONE Isabelle:</t>
        </r>
        <r>
          <rPr>
            <sz val="10"/>
            <color indexed="81"/>
            <rFont val="Tahoma"/>
            <family val="2"/>
          </rPr>
          <t xml:space="preserve">
Conventionnés</t>
        </r>
      </text>
    </comment>
    <comment ref="B158" authorId="0" shapeId="0" xr:uid="{A2D806FA-FC4F-47D9-9C70-AFD115718AAE}">
      <text>
        <r>
          <rPr>
            <b/>
            <sz val="10"/>
            <color indexed="81"/>
            <rFont val="Tahoma"/>
            <family val="2"/>
          </rPr>
          <t>ANELONE Isabelle:</t>
        </r>
        <r>
          <rPr>
            <sz val="10"/>
            <color indexed="81"/>
            <rFont val="Tahoma"/>
            <family val="2"/>
          </rPr>
          <t xml:space="preserve">
Partenaires</t>
        </r>
      </text>
    </comment>
    <comment ref="B159" authorId="0" shapeId="0" xr:uid="{8DA3A1B8-226E-41D7-BAC9-B3C07FF27CD6}">
      <text>
        <r>
          <rPr>
            <b/>
            <sz val="10"/>
            <color indexed="81"/>
            <rFont val="Tahoma"/>
            <family val="2"/>
          </rPr>
          <t>ANELONE Isabelle:</t>
        </r>
        <r>
          <rPr>
            <sz val="10"/>
            <color indexed="81"/>
            <rFont val="Tahoma"/>
            <family val="2"/>
          </rPr>
          <t xml:space="preserve">
sur les niveaux homologués pour les partenaires -  Masse salariale N-1
</t>
        </r>
      </text>
    </comment>
    <comment ref="B168" authorId="0" shapeId="0" xr:uid="{DEF69209-AC32-4292-B0EB-410F7E9BCDB3}">
      <text>
        <r>
          <rPr>
            <sz val="10"/>
            <color indexed="81"/>
            <rFont val="Tahoma"/>
            <family val="2"/>
          </rPr>
          <t xml:space="preserve">Crédits disciplinaires, manuels scolaires ...
</t>
        </r>
      </text>
    </comment>
    <comment ref="B176" authorId="0" shapeId="0" xr:uid="{E203D992-97BF-47DE-BEA0-B08A5DCA5F0E}">
      <text>
        <r>
          <rPr>
            <b/>
            <sz val="10"/>
            <color indexed="81"/>
            <rFont val="Tahoma"/>
            <family val="2"/>
          </rPr>
          <t>ANELONE Isabelle:</t>
        </r>
        <r>
          <rPr>
            <sz val="10"/>
            <color indexed="81"/>
            <rFont val="Tahoma"/>
            <family val="2"/>
          </rPr>
          <t xml:space="preserve">
Si aménagements sur une année spécifique (en cas de construction …), modifier dans l'onglet compte de résultat</t>
        </r>
      </text>
    </comment>
    <comment ref="B183" authorId="0" shapeId="0" xr:uid="{88AB4380-A87D-44B3-A013-27A81B80B9FA}">
      <text>
        <r>
          <rPr>
            <b/>
            <sz val="10"/>
            <color indexed="81"/>
            <rFont val="Tahoma"/>
            <family val="2"/>
          </rPr>
          <t>ANELONE Isabelle:</t>
        </r>
        <r>
          <rPr>
            <sz val="10"/>
            <color indexed="81"/>
            <rFont val="Tahoma"/>
            <family val="2"/>
          </rPr>
          <t xml:space="preserve">
Conventionnés</t>
        </r>
      </text>
    </comment>
    <comment ref="B184" authorId="0" shapeId="0" xr:uid="{AE9B9B59-943A-4DE7-AC8D-77A2A433853A}">
      <text>
        <r>
          <rPr>
            <b/>
            <sz val="10"/>
            <color indexed="81"/>
            <rFont val="Tahoma"/>
            <family val="2"/>
          </rPr>
          <t>ANELONE Isabelle:</t>
        </r>
        <r>
          <rPr>
            <sz val="10"/>
            <color indexed="81"/>
            <rFont val="Tahoma"/>
            <family val="2"/>
          </rPr>
          <t xml:space="preserve">
Partenaires</t>
        </r>
      </text>
    </comment>
    <comment ref="B185" authorId="0" shapeId="0" xr:uid="{7E9C2BE2-EA41-4261-B58C-CDB4099326EB}">
      <text>
        <r>
          <rPr>
            <b/>
            <sz val="10"/>
            <color indexed="81"/>
            <rFont val="Tahoma"/>
            <family val="2"/>
          </rPr>
          <t>ANELONE Isabelle:</t>
        </r>
        <r>
          <rPr>
            <sz val="10"/>
            <color indexed="81"/>
            <rFont val="Tahoma"/>
            <family val="2"/>
          </rPr>
          <t xml:space="preserve">
sur les niveaux homologués pour les partenaires  Masse salariale N-1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ANELONE Isabelle</author>
  </authors>
  <commentList>
    <comment ref="B66" authorId="0" shapeId="0" xr:uid="{B6F34375-592D-42C0-B6DD-D80909B6BA42}">
      <text>
        <r>
          <rPr>
            <sz val="10"/>
            <color indexed="81"/>
            <rFont val="Tahoma"/>
            <family val="2"/>
          </rPr>
          <t xml:space="preserve">Crédits disciplinaires, manuels scolaires ...
</t>
        </r>
      </text>
    </comment>
    <comment ref="B81" authorId="0" shapeId="0" xr:uid="{602F9B5B-DF11-4D52-8DE7-3AC367CBDA51}">
      <text>
        <r>
          <rPr>
            <b/>
            <sz val="10"/>
            <color indexed="81"/>
            <rFont val="Tahoma"/>
            <family val="2"/>
          </rPr>
          <t>ANELONE Isabelle:</t>
        </r>
        <r>
          <rPr>
            <sz val="10"/>
            <color indexed="81"/>
            <rFont val="Tahoma"/>
            <family val="2"/>
          </rPr>
          <t xml:space="preserve">
Conventionnés</t>
        </r>
      </text>
    </comment>
    <comment ref="B82" authorId="0" shapeId="0" xr:uid="{EB263451-5D3D-40D6-9BC7-44BE10CB0FDB}">
      <text>
        <r>
          <rPr>
            <b/>
            <sz val="10"/>
            <color indexed="81"/>
            <rFont val="Tahoma"/>
            <family val="2"/>
          </rPr>
          <t>ANELONE Isabelle:</t>
        </r>
        <r>
          <rPr>
            <sz val="10"/>
            <color indexed="81"/>
            <rFont val="Tahoma"/>
            <family val="2"/>
          </rPr>
          <t xml:space="preserve">
Partenaires</t>
        </r>
      </text>
    </comment>
    <comment ref="B83" authorId="0" shapeId="0" xr:uid="{2BE74CCD-BFFD-4628-9D16-C6D123DAEC40}">
      <text>
        <r>
          <rPr>
            <b/>
            <sz val="10"/>
            <color indexed="81"/>
            <rFont val="Tahoma"/>
            <family val="2"/>
          </rPr>
          <t>ANELONE Isabelle:</t>
        </r>
        <r>
          <rPr>
            <sz val="10"/>
            <color indexed="81"/>
            <rFont val="Tahoma"/>
            <family val="2"/>
          </rPr>
          <t xml:space="preserve">
sur les niveaux homologués pour les partenaires</t>
        </r>
      </text>
    </comment>
    <comment ref="B90" authorId="0" shapeId="0" xr:uid="{5B6CD41F-45AE-48A6-BF15-95A69C5933D0}">
      <text>
        <r>
          <rPr>
            <sz val="10"/>
            <color indexed="81"/>
            <rFont val="Tahoma"/>
            <family val="2"/>
          </rPr>
          <t xml:space="preserve">Crédits disciplinaires, manuels scolaires ...
</t>
        </r>
      </text>
    </comment>
    <comment ref="B98" authorId="0" shapeId="0" xr:uid="{9AFC6294-170E-4BD9-8614-7372703D8F16}">
      <text>
        <r>
          <rPr>
            <b/>
            <sz val="10"/>
            <color indexed="81"/>
            <rFont val="Tahoma"/>
            <family val="2"/>
          </rPr>
          <t>ANELONE Isabelle:</t>
        </r>
        <r>
          <rPr>
            <sz val="10"/>
            <color indexed="81"/>
            <rFont val="Tahoma"/>
            <family val="2"/>
          </rPr>
          <t xml:space="preserve">
Si aménagements sur une année spécifique (en cas de construction …), modifier dans l'onglet compte de résultat</t>
        </r>
      </text>
    </comment>
    <comment ref="B105" authorId="0" shapeId="0" xr:uid="{56F16580-F311-4E01-921D-28FDF96674C2}">
      <text>
        <r>
          <rPr>
            <b/>
            <sz val="10"/>
            <color indexed="81"/>
            <rFont val="Tahoma"/>
            <family val="2"/>
          </rPr>
          <t>ANELONE Isabelle:</t>
        </r>
        <r>
          <rPr>
            <sz val="10"/>
            <color indexed="81"/>
            <rFont val="Tahoma"/>
            <family val="2"/>
          </rPr>
          <t xml:space="preserve">
Conventionnés</t>
        </r>
      </text>
    </comment>
    <comment ref="B106" authorId="0" shapeId="0" xr:uid="{63943988-E587-4726-BB46-BFB5A8795C2D}">
      <text>
        <r>
          <rPr>
            <b/>
            <sz val="10"/>
            <color indexed="81"/>
            <rFont val="Tahoma"/>
            <family val="2"/>
          </rPr>
          <t>ANELONE Isabelle:</t>
        </r>
        <r>
          <rPr>
            <sz val="10"/>
            <color indexed="81"/>
            <rFont val="Tahoma"/>
            <family val="2"/>
          </rPr>
          <t xml:space="preserve">
Partenaires</t>
        </r>
      </text>
    </comment>
    <comment ref="B107" authorId="0" shapeId="0" xr:uid="{C340CA70-356B-4096-8F9E-65C72132B2B4}">
      <text>
        <r>
          <rPr>
            <b/>
            <sz val="10"/>
            <color indexed="81"/>
            <rFont val="Tahoma"/>
            <family val="2"/>
          </rPr>
          <t>ANELONE Isabelle:</t>
        </r>
        <r>
          <rPr>
            <sz val="10"/>
            <color indexed="81"/>
            <rFont val="Tahoma"/>
            <family val="2"/>
          </rPr>
          <t xml:space="preserve">
sur les niveaux homologués pour les partenaires</t>
        </r>
      </text>
    </comment>
    <comment ref="B116" authorId="0" shapeId="0" xr:uid="{BBE2FE4C-FAED-4372-B489-E1E6C3BED639}">
      <text>
        <r>
          <rPr>
            <sz val="10"/>
            <color indexed="81"/>
            <rFont val="Tahoma"/>
            <family val="2"/>
          </rPr>
          <t xml:space="preserve">Crédits disciplinaires, manuels scolaires ...
</t>
        </r>
      </text>
    </comment>
    <comment ref="B124" authorId="0" shapeId="0" xr:uid="{C5D4ED32-A1DD-4285-9804-F40E10358CAB}">
      <text>
        <r>
          <rPr>
            <b/>
            <sz val="10"/>
            <color indexed="81"/>
            <rFont val="Tahoma"/>
            <family val="2"/>
          </rPr>
          <t>ANELONE Isabelle:</t>
        </r>
        <r>
          <rPr>
            <sz val="10"/>
            <color indexed="81"/>
            <rFont val="Tahoma"/>
            <family val="2"/>
          </rPr>
          <t xml:space="preserve">
Si aménagements sur une année spécifique (en cas de construction …), modifier dans l'onglet compte de résultat</t>
        </r>
      </text>
    </comment>
    <comment ref="B131" authorId="0" shapeId="0" xr:uid="{65AC2B8A-4ECE-4B0C-99AE-60C023D93156}">
      <text>
        <r>
          <rPr>
            <b/>
            <sz val="10"/>
            <color indexed="81"/>
            <rFont val="Tahoma"/>
            <family val="2"/>
          </rPr>
          <t>ANELONE Isabelle:</t>
        </r>
        <r>
          <rPr>
            <sz val="10"/>
            <color indexed="81"/>
            <rFont val="Tahoma"/>
            <family val="2"/>
          </rPr>
          <t xml:space="preserve">
Conventionnés</t>
        </r>
      </text>
    </comment>
    <comment ref="B132" authorId="0" shapeId="0" xr:uid="{A9D16E02-5BCB-4432-9AA8-F98089F9181E}">
      <text>
        <r>
          <rPr>
            <b/>
            <sz val="10"/>
            <color indexed="81"/>
            <rFont val="Tahoma"/>
            <family val="2"/>
          </rPr>
          <t>ANELONE Isabelle:</t>
        </r>
        <r>
          <rPr>
            <sz val="10"/>
            <color indexed="81"/>
            <rFont val="Tahoma"/>
            <family val="2"/>
          </rPr>
          <t xml:space="preserve">
Partenaires</t>
        </r>
      </text>
    </comment>
    <comment ref="B133" authorId="0" shapeId="0" xr:uid="{6F529227-B56A-4D44-8AD6-EC092BAC0785}">
      <text>
        <r>
          <rPr>
            <b/>
            <sz val="10"/>
            <color indexed="81"/>
            <rFont val="Tahoma"/>
            <family val="2"/>
          </rPr>
          <t>ANELONE Isabelle:</t>
        </r>
        <r>
          <rPr>
            <sz val="10"/>
            <color indexed="81"/>
            <rFont val="Tahoma"/>
            <family val="2"/>
          </rPr>
          <t xml:space="preserve">
sur les niveaux homologués pour les partenaires</t>
        </r>
      </text>
    </comment>
    <comment ref="B142" authorId="0" shapeId="0" xr:uid="{A04415BA-C6A2-4FF7-91E2-AD74145B7CEB}">
      <text>
        <r>
          <rPr>
            <sz val="10"/>
            <color indexed="81"/>
            <rFont val="Tahoma"/>
            <family val="2"/>
          </rPr>
          <t xml:space="preserve">Crédits disciplinaires, manuels scolaires ...
</t>
        </r>
      </text>
    </comment>
    <comment ref="B150" authorId="0" shapeId="0" xr:uid="{D82E3D04-D4B1-45F8-A202-701D393D6311}">
      <text>
        <r>
          <rPr>
            <b/>
            <sz val="10"/>
            <color indexed="81"/>
            <rFont val="Tahoma"/>
            <family val="2"/>
          </rPr>
          <t>ANELONE Isabelle:</t>
        </r>
        <r>
          <rPr>
            <sz val="10"/>
            <color indexed="81"/>
            <rFont val="Tahoma"/>
            <family val="2"/>
          </rPr>
          <t xml:space="preserve">
Si aménagements sur une année spécifique (en cas de construction …), modifier dans l'onglet compte de résultat</t>
        </r>
      </text>
    </comment>
    <comment ref="B157" authorId="0" shapeId="0" xr:uid="{5DB7F47C-E49E-4C63-AD9F-F1376E754A74}">
      <text>
        <r>
          <rPr>
            <b/>
            <sz val="10"/>
            <color indexed="81"/>
            <rFont val="Tahoma"/>
            <family val="2"/>
          </rPr>
          <t>ANELONE Isabelle:</t>
        </r>
        <r>
          <rPr>
            <sz val="10"/>
            <color indexed="81"/>
            <rFont val="Tahoma"/>
            <family val="2"/>
          </rPr>
          <t xml:space="preserve">
Conventionnés</t>
        </r>
      </text>
    </comment>
    <comment ref="B158" authorId="0" shapeId="0" xr:uid="{72664D08-5E23-4FBF-AD8E-A21715096CF0}">
      <text>
        <r>
          <rPr>
            <b/>
            <sz val="10"/>
            <color indexed="81"/>
            <rFont val="Tahoma"/>
            <family val="2"/>
          </rPr>
          <t>ANELONE Isabelle:</t>
        </r>
        <r>
          <rPr>
            <sz val="10"/>
            <color indexed="81"/>
            <rFont val="Tahoma"/>
            <family val="2"/>
          </rPr>
          <t xml:space="preserve">
Partenaires</t>
        </r>
      </text>
    </comment>
    <comment ref="B159" authorId="0" shapeId="0" xr:uid="{2D98A1DB-56FA-433D-981B-1055D978C190}">
      <text>
        <r>
          <rPr>
            <b/>
            <sz val="10"/>
            <color indexed="81"/>
            <rFont val="Tahoma"/>
            <family val="2"/>
          </rPr>
          <t>ANELONE Isabelle:</t>
        </r>
        <r>
          <rPr>
            <sz val="10"/>
            <color indexed="81"/>
            <rFont val="Tahoma"/>
            <family val="2"/>
          </rPr>
          <t xml:space="preserve">
sur les niveaux homologués pour les partenaires</t>
        </r>
      </text>
    </comment>
    <comment ref="B168" authorId="0" shapeId="0" xr:uid="{DB85F87F-E654-42D7-B572-7D69F23C7716}">
      <text>
        <r>
          <rPr>
            <sz val="10"/>
            <color indexed="81"/>
            <rFont val="Tahoma"/>
            <family val="2"/>
          </rPr>
          <t xml:space="preserve">Crédits disciplinaires, manuels scolaires ...
</t>
        </r>
      </text>
    </comment>
    <comment ref="B176" authorId="0" shapeId="0" xr:uid="{9CDE0F5F-6C4E-4C76-B266-2FF56B41DCF5}">
      <text>
        <r>
          <rPr>
            <b/>
            <sz val="10"/>
            <color indexed="81"/>
            <rFont val="Tahoma"/>
            <family val="2"/>
          </rPr>
          <t>ANELONE Isabelle:</t>
        </r>
        <r>
          <rPr>
            <sz val="10"/>
            <color indexed="81"/>
            <rFont val="Tahoma"/>
            <family val="2"/>
          </rPr>
          <t xml:space="preserve">
Si aménagements sur une année spécifique (en cas de construction …), modifier dans l'onglet compte de résultat</t>
        </r>
      </text>
    </comment>
    <comment ref="B183" authorId="0" shapeId="0" xr:uid="{A2EB69B6-8CC9-4254-B573-68F900EB41D5}">
      <text>
        <r>
          <rPr>
            <b/>
            <sz val="10"/>
            <color indexed="81"/>
            <rFont val="Tahoma"/>
            <family val="2"/>
          </rPr>
          <t>ANELONE Isabelle:</t>
        </r>
        <r>
          <rPr>
            <sz val="10"/>
            <color indexed="81"/>
            <rFont val="Tahoma"/>
            <family val="2"/>
          </rPr>
          <t xml:space="preserve">
Conventionnés</t>
        </r>
      </text>
    </comment>
    <comment ref="B184" authorId="0" shapeId="0" xr:uid="{861FE52D-0B56-4ACC-9022-939EAE00064B}">
      <text>
        <r>
          <rPr>
            <b/>
            <sz val="10"/>
            <color indexed="81"/>
            <rFont val="Tahoma"/>
            <family val="2"/>
          </rPr>
          <t>ANELONE Isabelle:</t>
        </r>
        <r>
          <rPr>
            <sz val="10"/>
            <color indexed="81"/>
            <rFont val="Tahoma"/>
            <family val="2"/>
          </rPr>
          <t xml:space="preserve">
Partenaires</t>
        </r>
      </text>
    </comment>
    <comment ref="B185" authorId="0" shapeId="0" xr:uid="{1D004F00-0FEA-4228-B2DA-74E63505019B}">
      <text>
        <r>
          <rPr>
            <b/>
            <sz val="10"/>
            <color indexed="81"/>
            <rFont val="Tahoma"/>
            <family val="2"/>
          </rPr>
          <t>ANELONE Isabelle:</t>
        </r>
        <r>
          <rPr>
            <sz val="10"/>
            <color indexed="81"/>
            <rFont val="Tahoma"/>
            <family val="2"/>
          </rPr>
          <t xml:space="preserve">
sur les niveaux homologués pour les partenaires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ANELONE Isabelle</author>
  </authors>
  <commentList>
    <comment ref="C11" authorId="0" shapeId="0" xr:uid="{65AF63E3-14B6-4E16-849A-9D2E26D1E6B1}">
      <text>
        <r>
          <rPr>
            <b/>
            <sz val="10"/>
            <color indexed="81"/>
            <rFont val="Tahoma"/>
            <family val="2"/>
          </rPr>
          <t>ANELONE Isabelle:</t>
        </r>
        <r>
          <rPr>
            <sz val="10"/>
            <color indexed="81"/>
            <rFont val="Tahoma"/>
            <family val="2"/>
          </rPr>
          <t xml:space="preserve">
Report année 2023 - a modifier pour les années ultérieures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ANELONE Isabelle</author>
  </authors>
  <commentList>
    <comment ref="D22" authorId="0" shapeId="0" xr:uid="{D8ABCA9F-94A1-487B-81F2-E013A0A70EBB}">
      <text>
        <r>
          <rPr>
            <b/>
            <sz val="10"/>
            <color indexed="81"/>
            <rFont val="Tahoma"/>
            <family val="2"/>
          </rPr>
          <t>ANELONE Isabelle:</t>
        </r>
        <r>
          <rPr>
            <sz val="10"/>
            <color indexed="81"/>
            <rFont val="Tahoma"/>
            <family val="2"/>
          </rPr>
          <t xml:space="preserve">
extrapolé - pas de données</t>
        </r>
      </text>
    </comment>
    <comment ref="E22" authorId="0" shapeId="0" xr:uid="{4065ADE2-A596-4EA0-A9A9-C5164F3A9888}">
      <text>
        <r>
          <rPr>
            <b/>
            <sz val="10"/>
            <color indexed="81"/>
            <rFont val="Tahoma"/>
            <family val="2"/>
          </rPr>
          <t>ANELONE Isabelle:</t>
        </r>
        <r>
          <rPr>
            <sz val="10"/>
            <color indexed="81"/>
            <rFont val="Tahoma"/>
            <family val="2"/>
          </rPr>
          <t xml:space="preserve">
extrapolé - pas de données
</t>
        </r>
      </text>
    </comment>
    <comment ref="E23" authorId="0" shapeId="0" xr:uid="{04044DE7-8DD2-46FC-A117-855ED8D43052}">
      <text>
        <r>
          <rPr>
            <b/>
            <sz val="10"/>
            <color indexed="81"/>
            <rFont val="Tahoma"/>
            <family val="2"/>
          </rPr>
          <t>ANELONE Isabelle:</t>
        </r>
        <r>
          <rPr>
            <sz val="10"/>
            <color indexed="81"/>
            <rFont val="Tahoma"/>
            <family val="2"/>
          </rPr>
          <t xml:space="preserve">
hors Kuala</t>
        </r>
      </text>
    </comment>
    <comment ref="T25" authorId="0" shapeId="0" xr:uid="{EE959480-80F1-4658-99E3-19BD368622A6}">
      <text>
        <r>
          <rPr>
            <b/>
            <sz val="10"/>
            <color indexed="81"/>
            <rFont val="Tahoma"/>
            <family val="2"/>
          </rPr>
          <t>ANELONE Isabelle:</t>
        </r>
        <r>
          <rPr>
            <sz val="10"/>
            <color indexed="81"/>
            <rFont val="Tahoma"/>
            <family val="2"/>
          </rPr>
          <t xml:space="preserve">
hors Kuala</t>
        </r>
      </text>
    </comment>
    <comment ref="S43" authorId="0" shapeId="0" xr:uid="{BB041B75-EEB5-4857-93A6-F3B9F128D2F0}">
      <text>
        <r>
          <rPr>
            <b/>
            <sz val="10"/>
            <color indexed="81"/>
            <rFont val="Tahoma"/>
            <family val="2"/>
          </rPr>
          <t>ANELONE Isabelle:</t>
        </r>
        <r>
          <rPr>
            <sz val="10"/>
            <color indexed="81"/>
            <rFont val="Tahoma"/>
            <family val="2"/>
          </rPr>
          <t xml:space="preserve">
hors Kuala</t>
        </r>
      </text>
    </comment>
    <comment ref="E46" authorId="0" shapeId="0" xr:uid="{DFD51388-1A85-40EE-ADD9-498A7865C024}">
      <text>
        <r>
          <rPr>
            <b/>
            <sz val="10"/>
            <color indexed="81"/>
            <rFont val="Tahoma"/>
            <family val="2"/>
          </rPr>
          <t>ANELONE Isabelle:</t>
        </r>
        <r>
          <rPr>
            <sz val="10"/>
            <color indexed="81"/>
            <rFont val="Tahoma"/>
            <family val="2"/>
          </rPr>
          <t xml:space="preserve">
2,73 anormalement fort, remplacé par extrapolation
</t>
        </r>
      </text>
    </comment>
    <comment ref="E48" authorId="0" shapeId="0" xr:uid="{1BA0B65F-4F41-4253-9B40-A84DE118E5EF}">
      <text>
        <r>
          <rPr>
            <b/>
            <sz val="10"/>
            <color indexed="81"/>
            <rFont val="Tahoma"/>
            <family val="2"/>
          </rPr>
          <t>ANELONE Isabelle:</t>
        </r>
        <r>
          <rPr>
            <sz val="10"/>
            <color indexed="81"/>
            <rFont val="Tahoma"/>
            <family val="2"/>
          </rPr>
          <t xml:space="preserve">
hors Chili</t>
        </r>
      </text>
    </comment>
    <comment ref="F55" authorId="0" shapeId="0" xr:uid="{87712256-0055-42FB-9763-01F619BD2912}">
      <text>
        <r>
          <rPr>
            <b/>
            <sz val="10"/>
            <color indexed="81"/>
            <rFont val="Tahoma"/>
            <family val="2"/>
          </rPr>
          <t>ANELONE Isabelle:</t>
        </r>
        <r>
          <rPr>
            <sz val="10"/>
            <color indexed="81"/>
            <rFont val="Tahoma"/>
            <family val="2"/>
          </rPr>
          <t xml:space="preserve">
2,3 anormalement fort, remplacé par extrapolation</t>
        </r>
      </text>
    </comment>
    <comment ref="E56" authorId="0" shapeId="0" xr:uid="{7152F659-02C6-45D1-BD23-F2542EC129AD}">
      <text>
        <r>
          <rPr>
            <b/>
            <sz val="10"/>
            <color indexed="81"/>
            <rFont val="Tahoma"/>
            <family val="2"/>
          </rPr>
          <t>ANELONE Isabelle:</t>
        </r>
        <r>
          <rPr>
            <sz val="10"/>
            <color indexed="81"/>
            <rFont val="Tahoma"/>
            <family val="2"/>
          </rPr>
          <t xml:space="preserve">
hors Cali</t>
        </r>
      </text>
    </comment>
    <comment ref="U120" authorId="0" shapeId="0" xr:uid="{DCF63B12-441D-43DC-ADDD-A37C3291DD69}">
      <text>
        <r>
          <rPr>
            <b/>
            <sz val="10"/>
            <color indexed="81"/>
            <rFont val="Tahoma"/>
            <family val="2"/>
          </rPr>
          <t>ANELONE Isabelle:</t>
        </r>
        <r>
          <rPr>
            <sz val="10"/>
            <color indexed="81"/>
            <rFont val="Tahoma"/>
            <family val="2"/>
          </rPr>
          <t xml:space="preserve">
hors Chili</t>
        </r>
      </text>
    </comment>
    <comment ref="U128" authorId="0" shapeId="0" xr:uid="{4F6FDBD7-8938-4761-B21B-6A7878513BBA}">
      <text>
        <r>
          <rPr>
            <b/>
            <sz val="10"/>
            <color indexed="81"/>
            <rFont val="Tahoma"/>
            <family val="2"/>
          </rPr>
          <t>ANELONE Isabelle:</t>
        </r>
        <r>
          <rPr>
            <sz val="10"/>
            <color indexed="81"/>
            <rFont val="Tahoma"/>
            <family val="2"/>
          </rPr>
          <t xml:space="preserve">
hors Cali</t>
        </r>
      </text>
    </comment>
    <comment ref="S158" authorId="0" shapeId="0" xr:uid="{8B39875B-52DB-4A5D-BAE8-41BE146F3323}">
      <text>
        <r>
          <rPr>
            <b/>
            <sz val="10"/>
            <color indexed="81"/>
            <rFont val="Tahoma"/>
            <family val="2"/>
          </rPr>
          <t>ANELONE Isabelle:</t>
        </r>
        <r>
          <rPr>
            <sz val="10"/>
            <color indexed="81"/>
            <rFont val="Tahoma"/>
            <family val="2"/>
          </rPr>
          <t xml:space="preserve">
hors Chili</t>
        </r>
      </text>
    </comment>
    <comment ref="S166" authorId="0" shapeId="0" xr:uid="{92FAA06A-52D0-405D-B6D6-1552BB6A58BF}">
      <text>
        <r>
          <rPr>
            <b/>
            <sz val="10"/>
            <color indexed="81"/>
            <rFont val="Tahoma"/>
            <family val="2"/>
          </rPr>
          <t>ANELONE Isabelle:</t>
        </r>
        <r>
          <rPr>
            <sz val="10"/>
            <color indexed="81"/>
            <rFont val="Tahoma"/>
            <family val="2"/>
          </rPr>
          <t xml:space="preserve">
hors Cali</t>
        </r>
      </text>
    </comment>
  </commentList>
</comments>
</file>

<file path=xl/sharedStrings.xml><?xml version="1.0" encoding="utf-8"?>
<sst xmlns="http://schemas.openxmlformats.org/spreadsheetml/2006/main" count="2003" uniqueCount="724">
  <si>
    <t>01- Petite Section</t>
  </si>
  <si>
    <t>02- Moyenne Section</t>
  </si>
  <si>
    <t>03- Grande Section</t>
  </si>
  <si>
    <t>04- CP</t>
  </si>
  <si>
    <t>05- CE1</t>
  </si>
  <si>
    <t>06- CE2</t>
  </si>
  <si>
    <t>07- CM1</t>
  </si>
  <si>
    <t>08- CM2</t>
  </si>
  <si>
    <t>09- 6ème</t>
  </si>
  <si>
    <t>10- 5ème</t>
  </si>
  <si>
    <t>11- 4ème</t>
  </si>
  <si>
    <t>12- 3ème</t>
  </si>
  <si>
    <t>13- Seconde</t>
  </si>
  <si>
    <t>14- Première</t>
  </si>
  <si>
    <t>15- Terminale</t>
  </si>
  <si>
    <t xml:space="preserve">POTENTIEL </t>
  </si>
  <si>
    <t xml:space="preserve">Nb divisions </t>
  </si>
  <si>
    <t xml:space="preserve">PROJECTION D'EFFECTIFS HOMOLOGUES </t>
  </si>
  <si>
    <t xml:space="preserve"> </t>
  </si>
  <si>
    <t>HYPOTHESES</t>
  </si>
  <si>
    <t>Taux de croissance des cohortes</t>
  </si>
  <si>
    <t>Par exemple , s'il y a 50 élèves en CP et un taux de "montée" moyen de 110%, on prévoie un effectif de 55 élèves en CE1 l'année suivante</t>
  </si>
  <si>
    <t>Le taux de croissance moyen est calculé à partir des 3 années précédentes</t>
  </si>
  <si>
    <t>00- Préscolaire</t>
  </si>
  <si>
    <t>Maternelle</t>
  </si>
  <si>
    <t>Elémentaire</t>
  </si>
  <si>
    <t>Collège</t>
  </si>
  <si>
    <t>Lycée</t>
  </si>
  <si>
    <t>PRIMAIRE</t>
  </si>
  <si>
    <t xml:space="preserve">Collège </t>
  </si>
  <si>
    <t>SECONDAIRE</t>
  </si>
  <si>
    <t>Total ETABLISSEMENT</t>
  </si>
  <si>
    <t>Primaire</t>
  </si>
  <si>
    <t>Secondaire</t>
  </si>
  <si>
    <t>Niveaux homologués</t>
  </si>
  <si>
    <t>Moyenne existant AEFE</t>
  </si>
  <si>
    <t>Personnels Primaire</t>
  </si>
  <si>
    <t>Nb elèves Primaire</t>
  </si>
  <si>
    <t>&lt;100</t>
  </si>
  <si>
    <t>100 à 200</t>
  </si>
  <si>
    <t>200 à 500</t>
  </si>
  <si>
    <t>500 à 1000</t>
  </si>
  <si>
    <t>1000 à 1500</t>
  </si>
  <si>
    <t>Directrice ou directeur</t>
  </si>
  <si>
    <t>direction adjoint</t>
  </si>
  <si>
    <t xml:space="preserve">Vie scolaire - CPE /Educateurs  </t>
  </si>
  <si>
    <t>Documentation</t>
  </si>
  <si>
    <t>Infirmière</t>
  </si>
  <si>
    <t>Personnels généraux communs</t>
  </si>
  <si>
    <t>Technique - Informatique - Maintenance</t>
  </si>
  <si>
    <t>Entretien / Sécurité</t>
  </si>
  <si>
    <t>Personnels Primaire Commun</t>
  </si>
  <si>
    <t>Conseiller pédagogique</t>
  </si>
  <si>
    <t>Vie scolaire  - Educateurs</t>
  </si>
  <si>
    <t>Personnels secondaire commun</t>
  </si>
  <si>
    <t>Laboratoire</t>
  </si>
  <si>
    <t>Orientation</t>
  </si>
  <si>
    <t>DRH</t>
  </si>
  <si>
    <t>Autre Administratif</t>
  </si>
  <si>
    <t xml:space="preserve">Direction adjointe </t>
  </si>
  <si>
    <t>Référenciel</t>
  </si>
  <si>
    <t>Chef d'Etablissement PDL</t>
  </si>
  <si>
    <t>DAF PDL</t>
  </si>
  <si>
    <t>Direction PDL</t>
  </si>
  <si>
    <t>Proviseur adjoint PDL</t>
  </si>
  <si>
    <t>CPE (Conseiller Principal d'Education) PDL</t>
  </si>
  <si>
    <t>Report Hypothèses</t>
  </si>
  <si>
    <t>Communs</t>
  </si>
  <si>
    <t>CALCULS MASSE SALARIALE</t>
  </si>
  <si>
    <t xml:space="preserve">MATERNELLE </t>
  </si>
  <si>
    <t>Personnels  non enseignants - Proratisation par niveau</t>
  </si>
  <si>
    <t>Pro rata Global</t>
  </si>
  <si>
    <t>Pro rata Niveau</t>
  </si>
  <si>
    <t>Personnels Enseignants et ASEM</t>
  </si>
  <si>
    <t>Communs Primaire</t>
  </si>
  <si>
    <t>Nb max d'élèves</t>
  </si>
  <si>
    <t>Les autres cases à partir de 2024 peuvent être forcées en cas de situation particulière ou atteinte du potentiel maximum</t>
  </si>
  <si>
    <t>Enseignants Détachés</t>
  </si>
  <si>
    <t>ASEM</t>
  </si>
  <si>
    <t>Nombre de divisions</t>
  </si>
  <si>
    <t>Enseignants classe PDL</t>
  </si>
  <si>
    <t>Enseignants Langues et complémentaires</t>
  </si>
  <si>
    <t>TABLES du modele</t>
  </si>
  <si>
    <t>Enseignant PDL</t>
  </si>
  <si>
    <t>Autre commun</t>
  </si>
  <si>
    <t>Autre primaire commun</t>
  </si>
  <si>
    <t>Autre secondaire commun</t>
  </si>
  <si>
    <t>Personnels Calculs masse salariale</t>
  </si>
  <si>
    <t>ELEMENTAIRE</t>
  </si>
  <si>
    <t xml:space="preserve">Personnels Enseignants </t>
  </si>
  <si>
    <t xml:space="preserve">Taux change / chancellerie </t>
  </si>
  <si>
    <t>Calcul Cout D3 / Résident</t>
  </si>
  <si>
    <t xml:space="preserve">Cout Global Rémunérations AEFE </t>
  </si>
  <si>
    <t>Contribution théorique</t>
  </si>
  <si>
    <t>Contribution réelle</t>
  </si>
  <si>
    <t>taux réel</t>
  </si>
  <si>
    <t>Correctif</t>
  </si>
  <si>
    <t>ISVL</t>
  </si>
  <si>
    <t>Contribution finale</t>
  </si>
  <si>
    <t>Cout moyen</t>
  </si>
  <si>
    <t xml:space="preserve">taux PRRD 2023 </t>
  </si>
  <si>
    <t>A partir de la facture annuelle PRRD définitive N-1 transmise par la DAF, saisir les éléments du tableau ci-dessous qui se reporte dans le fichier calcul Masse Salariale - Cases jaune à compléter</t>
  </si>
  <si>
    <t>Le report des cases en vert se fait automatiquement dans les zones de calcul</t>
  </si>
  <si>
    <t>Cout Global</t>
  </si>
  <si>
    <t>Effectif Détachés annualisé</t>
  </si>
  <si>
    <t xml:space="preserve">Pour info </t>
  </si>
  <si>
    <t>2023 Cout moyen AEFE d'un expatrié D1 et D2 , y compris Pension Civile : 178 388€</t>
  </si>
  <si>
    <t>2023 Coût Moyen AEFE d'un D3  y compris Avantage Familial, ISOE, charges patronales, PC et ISVL : 98 742€</t>
  </si>
  <si>
    <t>2023 Coût Moyen AEFE d'un D3  y compris Avantage Familial, ISOE, charges patronales et PC mais hors ISVL : 92 800€</t>
  </si>
  <si>
    <t>2023 Coût Moyen AEFE d'un D3  y compris Avantage Familial, ISOE, charges patronales horc PC et hors ISVL : 57 311€</t>
  </si>
  <si>
    <t>Cases jaune à compléter à partir de la lecture de la facture de l'établissement - exemple ci-dessous</t>
  </si>
  <si>
    <t>Taux augmentation frais scolarité</t>
  </si>
  <si>
    <t>Année Scolaire
Rentrée 20xx</t>
  </si>
  <si>
    <t>Année civile - Exercice comptable</t>
  </si>
  <si>
    <t>Année 1 de la projection financière</t>
  </si>
  <si>
    <t>2020/2021</t>
  </si>
  <si>
    <t>2021/2022</t>
  </si>
  <si>
    <t>2022/2023</t>
  </si>
  <si>
    <t>2023/2024</t>
  </si>
  <si>
    <t>2024/2025</t>
  </si>
  <si>
    <t>2025/2026</t>
  </si>
  <si>
    <t>2026/2027</t>
  </si>
  <si>
    <t>2027/2028</t>
  </si>
  <si>
    <t>2028/2029</t>
  </si>
  <si>
    <t>2029/2030</t>
  </si>
  <si>
    <t>Année scolaire initiale</t>
  </si>
  <si>
    <t>COLLEGE</t>
  </si>
  <si>
    <t>Communs Secondaire</t>
  </si>
  <si>
    <t>Etablissement Code</t>
  </si>
  <si>
    <t>Etablissement Code - Nom - Ville</t>
  </si>
  <si>
    <t>Etablissement ZFC</t>
  </si>
  <si>
    <t>Etablissement Pays</t>
  </si>
  <si>
    <t>Etablissement Ville</t>
  </si>
  <si>
    <t>Etablissement Statut</t>
  </si>
  <si>
    <t>H/E Théo CLG</t>
  </si>
  <si>
    <t>H/E Réel CLG</t>
  </si>
  <si>
    <t>Nb eleves / div. CLG</t>
  </si>
  <si>
    <t>560C10</t>
  </si>
  <si>
    <t>560C10 - Collège français René-Cassin (FIANARANTSOA)</t>
  </si>
  <si>
    <t>Océan Indien</t>
  </si>
  <si>
    <t>MADAGASCAR</t>
  </si>
  <si>
    <t>FIANARANTSOA</t>
  </si>
  <si>
    <t>Conventionné</t>
  </si>
  <si>
    <t>Table Lycée</t>
  </si>
  <si>
    <t>H/E Théo</t>
  </si>
  <si>
    <t>H/E Réel Min</t>
  </si>
  <si>
    <t>H/E Réel Moy</t>
  </si>
  <si>
    <t>H/E Réel Max</t>
  </si>
  <si>
    <t>440M01</t>
  </si>
  <si>
    <t>440M01 - Lycée français (JERUSALEM)</t>
  </si>
  <si>
    <t>Europe du Sud-Est</t>
  </si>
  <si>
    <t>JERUSALEM</t>
  </si>
  <si>
    <t>980E01</t>
  </si>
  <si>
    <t>980E01 - Ecole française (BELGRADE)</t>
  </si>
  <si>
    <t>SERBIE</t>
  </si>
  <si>
    <t>BELGRADE</t>
  </si>
  <si>
    <t>410A05</t>
  </si>
  <si>
    <t>410A05 - Lycée français (PONDICHERY)</t>
  </si>
  <si>
    <t>Asie Pacifique</t>
  </si>
  <si>
    <t>INDE</t>
  </si>
  <si>
    <t>PONDICHERY</t>
  </si>
  <si>
    <t>Gestion directe</t>
  </si>
  <si>
    <t>930H01</t>
  </si>
  <si>
    <t>930H01 - Lycée français Jules-Verne (JOHANNESBURG)</t>
  </si>
  <si>
    <t>Afrique Australe et Orientale</t>
  </si>
  <si>
    <t>AFRIQUE DU SUD</t>
  </si>
  <si>
    <t>JOHANNESBURG</t>
  </si>
  <si>
    <t>145C09</t>
  </si>
  <si>
    <t>145C09 - Lycée français Fustel-de-Coulanges (YAOUNDE)</t>
  </si>
  <si>
    <t>Afrique Centrale</t>
  </si>
  <si>
    <t>CAMEROUN</t>
  </si>
  <si>
    <t>YAOUNDE</t>
  </si>
  <si>
    <t>565A01</t>
  </si>
  <si>
    <t>565A01 - Lycée français de Kuala Lumpur, Henri Fauconnier (KUALA LUMPUR)</t>
  </si>
  <si>
    <t>MALAISIE</t>
  </si>
  <si>
    <t>KUALA LUMPUR</t>
  </si>
  <si>
    <t>165L01</t>
  </si>
  <si>
    <t>165L01 - Lycée français Charles-de-Gaulle (CONCEPCION)</t>
  </si>
  <si>
    <t>Amérique Latine du Sud</t>
  </si>
  <si>
    <t>CHILI</t>
  </si>
  <si>
    <t>CONCEPCION</t>
  </si>
  <si>
    <t>560C15</t>
  </si>
  <si>
    <t>560C15 - Ecole primaire française Lamartine (NOSY BE)</t>
  </si>
  <si>
    <t>NOSY BE</t>
  </si>
  <si>
    <t>538O01</t>
  </si>
  <si>
    <t>538O01 - Lycée international français de Vilnius (VILNIUS)</t>
  </si>
  <si>
    <t>Europe Centrale et Orientale</t>
  </si>
  <si>
    <t>LITUANIE</t>
  </si>
  <si>
    <t>VILNIUS</t>
  </si>
  <si>
    <t>190C03</t>
  </si>
  <si>
    <t>190C03 - Lycée français Charlemagne (POINTE NOIRE)</t>
  </si>
  <si>
    <t>CONGO</t>
  </si>
  <si>
    <t>POINTE NOIRE</t>
  </si>
  <si>
    <t>500H01</t>
  </si>
  <si>
    <t>500H01 - Lycée français Denis-Diderot (NAIROBI)</t>
  </si>
  <si>
    <t>KENYA</t>
  </si>
  <si>
    <t>NAIROBI</t>
  </si>
  <si>
    <t>485M01</t>
  </si>
  <si>
    <t>485M01 - Lycée français d'Amman (AMMAN)</t>
  </si>
  <si>
    <t>Moyen-Orient</t>
  </si>
  <si>
    <t>JORDANIE</t>
  </si>
  <si>
    <t>AMMAN</t>
  </si>
  <si>
    <t>415A02</t>
  </si>
  <si>
    <t>415A02 - Lycée international français Louis-Charles Damais (JAKARTA)</t>
  </si>
  <si>
    <t>INDONESIE</t>
  </si>
  <si>
    <t>JAKARTA</t>
  </si>
  <si>
    <t>315H01</t>
  </si>
  <si>
    <t>315H01 - Lycée français Jacques Prévert d'Accra (ACCRA)</t>
  </si>
  <si>
    <t>GHANA</t>
  </si>
  <si>
    <t>ACCRA</t>
  </si>
  <si>
    <t>265O08</t>
  </si>
  <si>
    <t>265O08 - Lycée français International (IBIZA)</t>
  </si>
  <si>
    <t>Europe Ibérique</t>
  </si>
  <si>
    <t>ESPAGNE</t>
  </si>
  <si>
    <t>IBIZA</t>
  </si>
  <si>
    <t>935E01</t>
  </si>
  <si>
    <t>935E01 - Lycée français Alexandre-Dumas (MOSCOU)</t>
  </si>
  <si>
    <t>RUSSIE</t>
  </si>
  <si>
    <t>MOSCOU</t>
  </si>
  <si>
    <t>025O04</t>
  </si>
  <si>
    <t>025O04 - Lycée français Victor-Hugo (FRANCFORT SUR LE MAIN)</t>
  </si>
  <si>
    <t>ALLEMAGNE</t>
  </si>
  <si>
    <t>FRANCFORT SUR LE MAIN</t>
  </si>
  <si>
    <t>820A01</t>
  </si>
  <si>
    <t>820A01 - Lycée français (SINGAPOUR)</t>
  </si>
  <si>
    <t>SINGAPOUR</t>
  </si>
  <si>
    <t>705L01</t>
  </si>
  <si>
    <t>705L01 - Lycée franco-péruvien (LIMA)</t>
  </si>
  <si>
    <t>PEROU</t>
  </si>
  <si>
    <t>LIMA</t>
  </si>
  <si>
    <t>effectif</t>
  </si>
  <si>
    <t xml:space="preserve">H/E </t>
  </si>
  <si>
    <t>560C12</t>
  </si>
  <si>
    <t>560C12 - Collège français Françoise-Dolto (MAJUNGA)</t>
  </si>
  <si>
    <t>MAJUNGA</t>
  </si>
  <si>
    <t>560C09</t>
  </si>
  <si>
    <t>560C09 - Lycée français Sadi-Carnot (ANTSIRANANA)</t>
  </si>
  <si>
    <t>ANTSIRANANA</t>
  </si>
  <si>
    <t>187C01</t>
  </si>
  <si>
    <t>187C01 - Ecole française Henri-Matisse (MORONI)</t>
  </si>
  <si>
    <t>COMORES</t>
  </si>
  <si>
    <t>MORONI</t>
  </si>
  <si>
    <t>945A01</t>
  </si>
  <si>
    <t>945A01 - Lycée français Jean-Marie Gustave Le Clezio (PORT VILA)</t>
  </si>
  <si>
    <t>VANUATU</t>
  </si>
  <si>
    <t>PORT VILA</t>
  </si>
  <si>
    <t>875C01</t>
  </si>
  <si>
    <t>875C01 - Lycée français Montaigne (N DJAMENA)</t>
  </si>
  <si>
    <t>TCHAD</t>
  </si>
  <si>
    <t>N DJAMENA</t>
  </si>
  <si>
    <t>770E01</t>
  </si>
  <si>
    <t>770E01 - Lycée français Anna-de-Noailles (BUCAREST)</t>
  </si>
  <si>
    <t>ROUMANIE</t>
  </si>
  <si>
    <t>BUCAREST</t>
  </si>
  <si>
    <t>715E01</t>
  </si>
  <si>
    <t>715E01 - Lycée René-Goscinny (VARSOVIE)</t>
  </si>
  <si>
    <t>POLOGNE</t>
  </si>
  <si>
    <t>VARSOVIE</t>
  </si>
  <si>
    <t>710A01</t>
  </si>
  <si>
    <t>710A01 - Lycée français de Manille (MANILLE)</t>
  </si>
  <si>
    <t>PHILIPPINES</t>
  </si>
  <si>
    <t>MANILLE</t>
  </si>
  <si>
    <t>690L01</t>
  </si>
  <si>
    <t>690L01 - Ecole française Paul-Gauguin (PANAMA CIUDAD)</t>
  </si>
  <si>
    <t>Amérique Latine du Nord</t>
  </si>
  <si>
    <t>PANAMA</t>
  </si>
  <si>
    <t>PANAMA CIUDAD</t>
  </si>
  <si>
    <t>150N03</t>
  </si>
  <si>
    <t>150N03 - Lycée Claudel (OTTAWA)</t>
  </si>
  <si>
    <t>Amérique du Nord</t>
  </si>
  <si>
    <t>CANADA</t>
  </si>
  <si>
    <t>OTTAWA</t>
  </si>
  <si>
    <t>185L01</t>
  </si>
  <si>
    <t>185L01 - Lycée Louis-Pasteur (BOGOTA)</t>
  </si>
  <si>
    <t>COLOMBIE</t>
  </si>
  <si>
    <t>BOGOTA</t>
  </si>
  <si>
    <t>185L02</t>
  </si>
  <si>
    <t>185L02 - Lycée français Paul Valéry (CALI)</t>
  </si>
  <si>
    <t>CALI</t>
  </si>
  <si>
    <t>520A01</t>
  </si>
  <si>
    <t>520A01 - Lycée français international Josué-Hoffet de vientiane (VIENTIANE)</t>
  </si>
  <si>
    <t>LAOS</t>
  </si>
  <si>
    <t>VIENTIANE</t>
  </si>
  <si>
    <t>343C01</t>
  </si>
  <si>
    <t>343C01 - Lycée français Le Concorde (MALABO)</t>
  </si>
  <si>
    <t>GUINEE EQUATORIALE</t>
  </si>
  <si>
    <t>MALABO</t>
  </si>
  <si>
    <t>310C04</t>
  </si>
  <si>
    <t>310C04 - Lycée français Victor-Hugo (PORT GENTIL)</t>
  </si>
  <si>
    <t>GABON</t>
  </si>
  <si>
    <t>PORT GENTIL</t>
  </si>
  <si>
    <t>003M01</t>
  </si>
  <si>
    <t>003M01 - Lycée Louis-Massignon (ABU DHABI)</t>
  </si>
  <si>
    <t>EMIRATS ARABES UNIS</t>
  </si>
  <si>
    <t>ABU DHABI</t>
  </si>
  <si>
    <t>035C01</t>
  </si>
  <si>
    <t>035C01 - Lycée français Alioune-Blondin Bèye (LUANDA)</t>
  </si>
  <si>
    <t>ANGOLA</t>
  </si>
  <si>
    <t>LUANDA</t>
  </si>
  <si>
    <t>2,07;1,86;1,88;1,71;1,66;1,58;1,48;1,46;1,44;1,27;1,34;1,38;1,27;1,31</t>
  </si>
  <si>
    <t>890C01</t>
  </si>
  <si>
    <t>890C01 - Lycée français de Lomé (LOME)</t>
  </si>
  <si>
    <t>TOGO</t>
  </si>
  <si>
    <t>LOME</t>
  </si>
  <si>
    <t>885A01</t>
  </si>
  <si>
    <t>885A01 - Lycée français International (BANGKOK)</t>
  </si>
  <si>
    <t>THAILANDE</t>
  </si>
  <si>
    <t>BANGKOK</t>
  </si>
  <si>
    <t>805L01</t>
  </si>
  <si>
    <t>805L01 - Lycée français Antoine et Consuelo de Saint  Exupéry (SAN SALVADOR)</t>
  </si>
  <si>
    <t>EL SALVADOR</t>
  </si>
  <si>
    <t>SAN SALVADOR</t>
  </si>
  <si>
    <t>755L01</t>
  </si>
  <si>
    <t>755L01 - Lycée français de Saint-Domingue (SAINT DOMINGUE)</t>
  </si>
  <si>
    <t>REPUBLIQUE DOMINICAINE</t>
  </si>
  <si>
    <t>SAINT DOMINGUE</t>
  </si>
  <si>
    <t>754C06</t>
  </si>
  <si>
    <t>754C06 - Lycée français de Djibouti (DJIBOUTI)</t>
  </si>
  <si>
    <t>DJIBOUTI</t>
  </si>
  <si>
    <t>725O02</t>
  </si>
  <si>
    <t>725O02 - Lycée français international de Porto (PORTO)</t>
  </si>
  <si>
    <t>PORTUGAL</t>
  </si>
  <si>
    <t>PORTO</t>
  </si>
  <si>
    <t>695L01</t>
  </si>
  <si>
    <t>695L01 - Ecole française et collège Marcel-Pagnol (ASUNCION)</t>
  </si>
  <si>
    <t>PARAGUAY</t>
  </si>
  <si>
    <t>ASUNCION</t>
  </si>
  <si>
    <t>110E01</t>
  </si>
  <si>
    <t>110E01 - Lycée français Victor-Hugo (SOFIA)</t>
  </si>
  <si>
    <t>BULGARIE</t>
  </si>
  <si>
    <t>SOFIA</t>
  </si>
  <si>
    <t>445O02</t>
  </si>
  <si>
    <t>445O02 - Lycée Stendhal (MILAN)</t>
  </si>
  <si>
    <t>ITALIE</t>
  </si>
  <si>
    <t>MILAN</t>
  </si>
  <si>
    <t>265O13</t>
  </si>
  <si>
    <t>265O13 - Lycée français International (MALAGA)</t>
  </si>
  <si>
    <t>MALAGA</t>
  </si>
  <si>
    <t>955A02</t>
  </si>
  <si>
    <t>955A02 - Lycée français Alexandre-Yersin (HANOI)</t>
  </si>
  <si>
    <t>VIET NAM</t>
  </si>
  <si>
    <t>HANOI</t>
  </si>
  <si>
    <t>906O01</t>
  </si>
  <si>
    <t>906O01 - Lycée français Charles-de-Gaulle (ANKARA)</t>
  </si>
  <si>
    <t>TURQUIE</t>
  </si>
  <si>
    <t>ANKARA</t>
  </si>
  <si>
    <t>700O02</t>
  </si>
  <si>
    <t>700O02 - Lycée Van-Gogh (LA HAYE)</t>
  </si>
  <si>
    <t>Europe du Nord-Ouest et Scandinavie</t>
  </si>
  <si>
    <t>PAYS BAS</t>
  </si>
  <si>
    <t>LA HAYE</t>
  </si>
  <si>
    <t>600L06</t>
  </si>
  <si>
    <t>600L06 - Section française du lycée franco-mexicain (MEXICO)</t>
  </si>
  <si>
    <t>MEXIQUE</t>
  </si>
  <si>
    <t>MEXICO</t>
  </si>
  <si>
    <t>145C02</t>
  </si>
  <si>
    <t>145C02 - Lycée français Dominique-Savio (DOUALA)</t>
  </si>
  <si>
    <t>DOUALA</t>
  </si>
  <si>
    <t>475A02</t>
  </si>
  <si>
    <t>475A02 - Lycée français international de Tokyo (TOKYO)</t>
  </si>
  <si>
    <t>JAPON</t>
  </si>
  <si>
    <t>TOKYO</t>
  </si>
  <si>
    <t>660O01</t>
  </si>
  <si>
    <t>660O01 - Lycée français René-Cassin (OSLO)</t>
  </si>
  <si>
    <t>NORVEGE</t>
  </si>
  <si>
    <t>OSLO</t>
  </si>
  <si>
    <t>170A01</t>
  </si>
  <si>
    <t>170A01 - Lycée français international Charles de Gaulle (PEKIN)</t>
  </si>
  <si>
    <t>CHINE</t>
  </si>
  <si>
    <t>PEKIN</t>
  </si>
  <si>
    <t>445O05</t>
  </si>
  <si>
    <t>445O05 - Lycée Chateaubriand (ROME)</t>
  </si>
  <si>
    <t>ROME</t>
  </si>
  <si>
    <t>380L01</t>
  </si>
  <si>
    <t>380L01 - Lycée franco-hondurien (TEGUCIGALPA)</t>
  </si>
  <si>
    <t>HONDURAS</t>
  </si>
  <si>
    <t>TEGUCIGALPA</t>
  </si>
  <si>
    <t>260L01</t>
  </si>
  <si>
    <t>260L01 - Lycée franco-équatorien La Condamine (QUITO)</t>
  </si>
  <si>
    <t>EQUATEUR</t>
  </si>
  <si>
    <t>QUITO</t>
  </si>
  <si>
    <t>020B10</t>
  </si>
  <si>
    <t>020B10 - Lycée international Alexandre-Dumas (ALGER)</t>
  </si>
  <si>
    <t>Maghreb-Est</t>
  </si>
  <si>
    <t>ALGERIE</t>
  </si>
  <si>
    <t>ALGER</t>
  </si>
  <si>
    <t>810C07</t>
  </si>
  <si>
    <t>810C07 - Lycée français Jean-Mermoz (DAKAR)</t>
  </si>
  <si>
    <t>Afrique Occidentale</t>
  </si>
  <si>
    <t>SENEGAL</t>
  </si>
  <si>
    <t>DAKAR</t>
  </si>
  <si>
    <t>750H02</t>
  </si>
  <si>
    <t>750H02 - Lycée français (LE CAIRE)</t>
  </si>
  <si>
    <t>EGYPTE</t>
  </si>
  <si>
    <t>LE CAIRE</t>
  </si>
  <si>
    <t>575C01</t>
  </si>
  <si>
    <t>575C01 - Etablissement Liberté Bamako (BAMAKO)</t>
  </si>
  <si>
    <t>MALI</t>
  </si>
  <si>
    <t>BAMAKO</t>
  </si>
  <si>
    <t>155C01</t>
  </si>
  <si>
    <t>155C01 - Lycée français Charles-de-Gaulle (BANGUI)</t>
  </si>
  <si>
    <t>REPUBLIQUE CENTRAFRICAINE</t>
  </si>
  <si>
    <t>BANGUI</t>
  </si>
  <si>
    <t>560C16</t>
  </si>
  <si>
    <t>560C16 - Lycée français (TAMATAVE)</t>
  </si>
  <si>
    <t>TAMATAVE</t>
  </si>
  <si>
    <t>560C06</t>
  </si>
  <si>
    <t>560C06 - Lycée français de Tananarive (TANANARIVE)</t>
  </si>
  <si>
    <t>TANANARIVE</t>
  </si>
  <si>
    <t>240C01</t>
  </si>
  <si>
    <t>240C01 - Etablissement français d'enseignement Montaigne (COTONOU)</t>
  </si>
  <si>
    <t>BENIN</t>
  </si>
  <si>
    <t>COTONOU</t>
  </si>
  <si>
    <t>265O16</t>
  </si>
  <si>
    <t>265O16 - Lycée français (PATERNA)</t>
  </si>
  <si>
    <t>PATERNA</t>
  </si>
  <si>
    <t>900B09</t>
  </si>
  <si>
    <t>900B09 - Etablissement français Philippe Séguin (SOUSSE)</t>
  </si>
  <si>
    <t>TUNISIE</t>
  </si>
  <si>
    <t>SOUSSE</t>
  </si>
  <si>
    <t>760C02</t>
  </si>
  <si>
    <t>760C02 - Lycée Saint-Exupéry de Ouagadougou (OUAGADOUGOU)</t>
  </si>
  <si>
    <t>BURKINA FASO</t>
  </si>
  <si>
    <t>OUAGADOUGOU</t>
  </si>
  <si>
    <t>725O01</t>
  </si>
  <si>
    <t>725O01 - Lycée français Charles-Lepierre (LISBONNE)</t>
  </si>
  <si>
    <t>LISBONNE</t>
  </si>
  <si>
    <t>590C02</t>
  </si>
  <si>
    <t>590C02 - Lycée français Théodore-Monod (Nouakchott) (NOUAKCHOTT)</t>
  </si>
  <si>
    <t>MAURITANIE</t>
  </si>
  <si>
    <t>NOUAKCHOTT</t>
  </si>
  <si>
    <t>585B41</t>
  </si>
  <si>
    <t>585B41 - Collège Saint-Exupéry (RABAT)</t>
  </si>
  <si>
    <t>Maroc</t>
  </si>
  <si>
    <t>MAROC</t>
  </si>
  <si>
    <t>RABAT</t>
  </si>
  <si>
    <t>585B26</t>
  </si>
  <si>
    <t>585B26 - Lycée Descartes (RABAT)</t>
  </si>
  <si>
    <t>585B21</t>
  </si>
  <si>
    <t>585B21 - Groupe scolaire Claude-Monet (MOHAMMEDIA)</t>
  </si>
  <si>
    <t>MOHAMMEDIA</t>
  </si>
  <si>
    <t>585B13</t>
  </si>
  <si>
    <t>585B13 - Groupe scolaire Jean-de-La Fontaine (FES  VN)</t>
  </si>
  <si>
    <t>FES  VN</t>
  </si>
  <si>
    <t>585B10</t>
  </si>
  <si>
    <t>585B10 - Collège Anatole-France (CASABLANCA)</t>
  </si>
  <si>
    <t>CASABLANCA</t>
  </si>
  <si>
    <t>560C17</t>
  </si>
  <si>
    <t>560C17 - Collège Etienne-de-Flacourt (TULEAR)</t>
  </si>
  <si>
    <t>TULEAR</t>
  </si>
  <si>
    <t>330O01</t>
  </si>
  <si>
    <t>330O01 - Lycée franco-hellénique Eugène Delacroix (ATHENES)</t>
  </si>
  <si>
    <t>GRECE</t>
  </si>
  <si>
    <t>ATHENES</t>
  </si>
  <si>
    <t>585B29</t>
  </si>
  <si>
    <t>585B29 - Lycée Régnault (TANGER)</t>
  </si>
  <si>
    <t>TANGER</t>
  </si>
  <si>
    <t>265O22</t>
  </si>
  <si>
    <t>265O22 - Lycée français et son annexe Saint-Exupéry (MADRID)</t>
  </si>
  <si>
    <t>MADRID</t>
  </si>
  <si>
    <t>265O04</t>
  </si>
  <si>
    <t>265O04 - Lycée français (BARCELONE)</t>
  </si>
  <si>
    <t>BARCELONE</t>
  </si>
  <si>
    <t>900B11</t>
  </si>
  <si>
    <t>900B11 - Lycée Pierre-Mendès-France (TUNIS)</t>
  </si>
  <si>
    <t>TUNIS</t>
  </si>
  <si>
    <t>900B04</t>
  </si>
  <si>
    <t>900B04 - Lycée français Gustave-Flaubert (LA MARSA)</t>
  </si>
  <si>
    <t>LA MARSA</t>
  </si>
  <si>
    <t>085O01</t>
  </si>
  <si>
    <t>085O01 - Lycée français Jean-Monnet (BRUXELLES)</t>
  </si>
  <si>
    <t>BELGIQUE</t>
  </si>
  <si>
    <t>BRUXELLES</t>
  </si>
  <si>
    <t>585B05</t>
  </si>
  <si>
    <t>585B05 - Lycée Lyautey (CASABLANCA)</t>
  </si>
  <si>
    <t>585B18</t>
  </si>
  <si>
    <t>585B18 - Lycée Victor-Hugo (MARRAKECH)</t>
  </si>
  <si>
    <t>MARRAKECH</t>
  </si>
  <si>
    <t>150N02</t>
  </si>
  <si>
    <t>150N02 - Collège international Marie-de-France (MONTREAL)</t>
  </si>
  <si>
    <t>MONTREAL</t>
  </si>
  <si>
    <t>585B15</t>
  </si>
  <si>
    <t>585B15 - Groupe scolaire Honoré-de-Balzac (KENITRA)</t>
  </si>
  <si>
    <t>KENITRA</t>
  </si>
  <si>
    <t>190C01</t>
  </si>
  <si>
    <t>190C01 - Lycée français Saint-Exupéry (BRAZZAVILLE)</t>
  </si>
  <si>
    <t>BRAZZAVILLE</t>
  </si>
  <si>
    <t>LYCEES</t>
  </si>
  <si>
    <t>H/E Théo LYC</t>
  </si>
  <si>
    <t>H/E Réel LYC</t>
  </si>
  <si>
    <t>Nb eleves / div. LYC</t>
  </si>
  <si>
    <t>nombre élèves par classe</t>
  </si>
  <si>
    <t>H/E</t>
  </si>
  <si>
    <t>serie abcisses</t>
  </si>
  <si>
    <t>16;17;18;19;20;21;22;23;24;25;26;27;28;29;30</t>
  </si>
  <si>
    <t>serie ordonnées</t>
  </si>
  <si>
    <t>2,46;2,73;2,38;2,22;2,12;2,11;1,94;1,83;1,85;1,6;1,67;1,6;1,69;1,51;1,47</t>
  </si>
  <si>
    <t>Nb elèves/division</t>
  </si>
  <si>
    <t>LYCEE</t>
  </si>
  <si>
    <t>\[ y = -0.0536x + 2.798 \]</t>
  </si>
  <si>
    <t>extrapolation</t>
  </si>
  <si>
    <t>\[ y = -0.0809x + 3.805 \]</t>
  </si>
  <si>
    <t>Moy extrapolée</t>
  </si>
  <si>
    <t>Ne pas modifier - voir onglet Hypothèses</t>
  </si>
  <si>
    <t>Frais Reinscription</t>
  </si>
  <si>
    <t>Droits Première Inscription</t>
  </si>
  <si>
    <t>COMPTE DE RESULTAT PREVISIONNEL</t>
  </si>
  <si>
    <t>Frais scolarité</t>
  </si>
  <si>
    <t>DPI</t>
  </si>
  <si>
    <t>Frais Réinscription</t>
  </si>
  <si>
    <t>Loyer</t>
  </si>
  <si>
    <t>Informatique / Licences / hébergement</t>
  </si>
  <si>
    <t>Sécurité</t>
  </si>
  <si>
    <t>Charges variables</t>
  </si>
  <si>
    <t>PRODUITS</t>
  </si>
  <si>
    <t>CHARGES</t>
  </si>
  <si>
    <t>Charges fixes</t>
  </si>
  <si>
    <t>Maintenance courante</t>
  </si>
  <si>
    <t>Aménagements</t>
  </si>
  <si>
    <t>produits liés à la scolarité, hors services de restauration, de transport, d'activités extra scolaires et d'examen</t>
  </si>
  <si>
    <t>Communication</t>
  </si>
  <si>
    <t>PFC</t>
  </si>
  <si>
    <t>Frais fonctionnement</t>
  </si>
  <si>
    <t>Formation continue</t>
  </si>
  <si>
    <t>Charges réseau AEFE</t>
  </si>
  <si>
    <t>Charges  de fonctionnement courant hors services de restauration, de transport, d'activités extra scolaires, d'examen  et  investissements</t>
  </si>
  <si>
    <t xml:space="preserve">Administratif </t>
  </si>
  <si>
    <t>Autres dépenses</t>
  </si>
  <si>
    <t>Viabilisation (Eau, énergies)</t>
  </si>
  <si>
    <t>Crédits disciplinaires</t>
  </si>
  <si>
    <t>Manuels scolaires</t>
  </si>
  <si>
    <t xml:space="preserve">Equipements individuels (tablettes …) </t>
  </si>
  <si>
    <t>Autres charges variables</t>
  </si>
  <si>
    <t>MATERNELLE</t>
  </si>
  <si>
    <t xml:space="preserve">Taux croissance </t>
  </si>
  <si>
    <t>Statut de l'établissement</t>
  </si>
  <si>
    <t>GLOBAL</t>
  </si>
  <si>
    <t>Taux frais fonctionnement</t>
  </si>
  <si>
    <t>Taux FC</t>
  </si>
  <si>
    <t>Masse salariale non enseignants</t>
  </si>
  <si>
    <t>Masse salariale Enseignants PDL</t>
  </si>
  <si>
    <t>Masse salariale Enseignants Détachés</t>
  </si>
  <si>
    <t>Masse salariale</t>
  </si>
  <si>
    <t>Charges Maternelle</t>
  </si>
  <si>
    <t>Charges Elémentaire</t>
  </si>
  <si>
    <t>Charges collège</t>
  </si>
  <si>
    <t>Charges Lycée</t>
  </si>
  <si>
    <t>Charges globales</t>
  </si>
  <si>
    <t>RESULTAT OPERATIONNEL</t>
  </si>
  <si>
    <t>HYPOTHESES et DONNEES du modèle</t>
  </si>
  <si>
    <t>Taux remontée PRRD (conventionnés)</t>
  </si>
  <si>
    <t>HYPOTHESES ET DONNEES GENERALES</t>
  </si>
  <si>
    <t>HYPOTHESES ET DONNEES de PERSONNEL</t>
  </si>
  <si>
    <t>Frais scolarité GLOBAL</t>
  </si>
  <si>
    <t>Frais scolarité MATERNELLE</t>
  </si>
  <si>
    <t>Frais scolarité ELEMENTAIRE</t>
  </si>
  <si>
    <t>Frais scolarité COLLEGE</t>
  </si>
  <si>
    <t>Frais scolarité LYCEE</t>
  </si>
  <si>
    <t>Indice</t>
  </si>
  <si>
    <t>HYPOTHESES ET DONNEES de COÛT</t>
  </si>
  <si>
    <t xml:space="preserve">Sections internationales / Enseignements renforcés ou complémentaires </t>
  </si>
  <si>
    <t>Données à remplir par l'AEFE</t>
  </si>
  <si>
    <t>Données ou hypothèses à compléter par l'établissement</t>
  </si>
  <si>
    <t>METHODOLOGIE  du modèle de projections financières</t>
  </si>
  <si>
    <t>Code Couleur :</t>
  </si>
  <si>
    <t>A saisir par l'AEFE</t>
  </si>
  <si>
    <t>Informations concernant la maternelle</t>
  </si>
  <si>
    <t>Informations concernant l'élémentaire</t>
  </si>
  <si>
    <t>Informations concernant le collège</t>
  </si>
  <si>
    <t>Informations concernant le lycée</t>
  </si>
  <si>
    <t>Ce modèle est un outil d'aide à la décision, outil de projection dynamique des données fiancières d'un établissement déjà existant de l'EFE.</t>
  </si>
  <si>
    <r>
      <t>A saisir par l'établissement -</t>
    </r>
    <r>
      <rPr>
        <b/>
        <sz val="11"/>
        <color theme="1"/>
        <rFont val="Calibri"/>
        <family val="2"/>
        <scheme val="minor"/>
      </rPr>
      <t xml:space="preserve"> Seules les cellules en jaune sont à saisir ou modifier</t>
    </r>
  </si>
  <si>
    <t>Les cases en  Jaune pour la Petite Section et le Préscolaire éventuel  sont à saisir</t>
  </si>
  <si>
    <r>
      <rPr>
        <b/>
        <sz val="11"/>
        <color theme="1"/>
        <rFont val="Calibri"/>
        <family val="2"/>
        <scheme val="minor"/>
      </rPr>
      <t>Onglet "Projection des effectifs" :</t>
    </r>
    <r>
      <rPr>
        <sz val="11"/>
        <color theme="1"/>
        <rFont val="Calibri"/>
        <family val="2"/>
        <scheme val="minor"/>
      </rPr>
      <t xml:space="preserve"> projection jusqu'en 2030 à partir de l'historique de croissance des 4 dernières années. Calculs automatisés mais permettant des corrections manuelles de l'établissement en fonction du contexte et de la politique</t>
    </r>
  </si>
  <si>
    <t>C'est la 1ere étape, toutes les données sont à saisir , d'abord par l'AEFE puis par l'établissement.</t>
  </si>
  <si>
    <t>Certaines données sont des variables à faire varier pour mesurer l'impact sur le résultat</t>
  </si>
  <si>
    <t xml:space="preserve">A usage de l'AEFE uniquement - n'a pas vocation à être modifié sauf H/E.
Le calcul du nombre et de la masse salariale des personnels et des enseignants se fait par niveau, bloc de couleur </t>
  </si>
  <si>
    <t>La base du modèle pour projeter le nombre d'enseignants du secondaire en fonction du nombre d'élèves repose sur l'utilisation d'une table de H/E par nombre d'élèves par division.</t>
  </si>
  <si>
    <t>Le H/E peut être soit estimé via la table, soit donné par l'établissement et dans ce cas saisi directement en lignes 153 (college) et/ou 202 (lycée)</t>
  </si>
  <si>
    <t>Le cout des détachés est isolé dans l'onglet "Calcul Cout Détachés" et reporté dans cet onglet.</t>
  </si>
  <si>
    <t xml:space="preserve">Pour faire évoluer le modèle d'une année, le changement des cellules C8, C9 et C10 met à jour tous les onglets. </t>
  </si>
  <si>
    <t>A usage AEFE dans sa forme détaillée.</t>
  </si>
  <si>
    <t>Le calcul se fait par niveau, matérialisé par bloc de couleur.</t>
  </si>
  <si>
    <t>Le calcul de la PFC, des Frais de fonctionnement et de la participation à la formation continue se fait en fonction du statut de l'établissement.</t>
  </si>
  <si>
    <t>Un calcul de capacité maximale est proposé pour plafonner éventuellement les effectifs en fonction de la capacité maximale. Aucune prise en compte automatique. Les effectifs sont à modifier manuellement le cas échéant.</t>
  </si>
  <si>
    <t>Le modèle donne une analyse par niveau, maternelle/élémentaire/collège/lycée.</t>
  </si>
  <si>
    <t>Il permet de faire des simulations en faisant varier de  nombreuses hypothèses telles que l'augmentation des frais de scolarité,  de salaire, le nombre d'élèves par division … et en mesurant l'impact sur le résultat et sur l'augmentation induite des frais de scolarité.</t>
  </si>
  <si>
    <t xml:space="preserve">Onglet "Hypothèses" : </t>
  </si>
  <si>
    <t>Onglet "Calcul MS Personnels"</t>
  </si>
  <si>
    <t>Onglet "Compte Résultat ML"</t>
  </si>
  <si>
    <t>Le résultat est le résultat"opérationnel", correspondant à l'EBE, hors charges et recettes financières, et hors amortissements.</t>
  </si>
  <si>
    <t>Le modèle ne concerne que la partie "fonctionnement pédagogique" cœur de métier de l'établissement. Les services  annexes tels que la restauration, le transport, les activités extra scolaires ou les examens ne sont pas, et ne doivent pas être comptabilisés.</t>
  </si>
  <si>
    <t xml:space="preserve">Le taux de croissance pondéré par niveau de 2020 à 2023 permet de projeter les effectifs jusqu'à 2030 </t>
  </si>
  <si>
    <t>Réferentiel- Avec commentaire</t>
  </si>
  <si>
    <t>Clés de répartition</t>
  </si>
  <si>
    <t>ENSEIGNANTS 1er Degré</t>
  </si>
  <si>
    <t>Taux enseignants langues et intervenants</t>
  </si>
  <si>
    <t>ENSEIGNANTS 2e Degré</t>
  </si>
  <si>
    <t xml:space="preserve">indice </t>
  </si>
  <si>
    <t xml:space="preserve">Taux </t>
  </si>
  <si>
    <t xml:space="preserve">H/E collège </t>
  </si>
  <si>
    <t xml:space="preserve">H/E lycée </t>
  </si>
  <si>
    <t>Nombre intervenants 1er degré</t>
  </si>
  <si>
    <t>Monnaie Locale</t>
  </si>
  <si>
    <t>RESULTAT des SIMULATIONS du modèle</t>
  </si>
  <si>
    <t>MS enseignants PDL</t>
  </si>
  <si>
    <t>Taux nouveaux inscrits</t>
  </si>
  <si>
    <t>L'outil n'est pas directement à destination  des établissements, il doit être préparé par un expert ou un personnel AEFE pour saisir des données historiques et de base. Ensuite, soit il peut être transmis à l'établissement qui complète et s'empare des prévisions, soit il est piloté en totalité par l'AEFE</t>
  </si>
  <si>
    <t>Résultat en nb d'élèves</t>
  </si>
  <si>
    <t>RESULTAT OPERATIONNEL SCOLAIRE</t>
  </si>
  <si>
    <t>Résultat en nb jours fonct</t>
  </si>
  <si>
    <t>Résultat en point d'augm des FS</t>
  </si>
  <si>
    <t>non</t>
  </si>
  <si>
    <t>Subvention de fonctionnement (hors AEFE)</t>
  </si>
  <si>
    <t>Subvention spécifique (hors AEFE)</t>
  </si>
  <si>
    <t xml:space="preserve">Taux abattement (familles nombreuses … ou exonérations  personnels) </t>
  </si>
  <si>
    <t>Taux augmentation annuel salaires</t>
  </si>
  <si>
    <t>Taux  annuel inflation</t>
  </si>
  <si>
    <t>Personnel non enseignants ni ASEM</t>
  </si>
  <si>
    <t>Nb élèves/classe</t>
  </si>
  <si>
    <t>Tarifs - moyens pondérés en fonction des nationalités</t>
  </si>
  <si>
    <t>Année référence compte financier</t>
  </si>
  <si>
    <t>Nbre personnels secondaire (hors enseignants)</t>
  </si>
  <si>
    <t>Nbre personnels primaire (hors enseignants)</t>
  </si>
  <si>
    <t>Nb résidents ou D3 maternelle</t>
  </si>
  <si>
    <t>Nb résidents ou D3 élémentaire</t>
  </si>
  <si>
    <t>Nb résidents ou D3 secondaire</t>
  </si>
  <si>
    <t>Rémunérations des personnels</t>
  </si>
  <si>
    <t>Cout annuel chargé moyen par catégorie en monnaie Locale</t>
  </si>
  <si>
    <t>en Euro</t>
  </si>
  <si>
    <t>Nbre personnels commun à tout établissement</t>
  </si>
  <si>
    <t>Basé sur statistiques d'un échantillon de 93 établissements du réseau (43 partenaires + 50 Conventionnés/EGD)</t>
  </si>
  <si>
    <t>cf fichier "Base Indice SI Primaire"</t>
  </si>
  <si>
    <t xml:space="preserve">Nombre de PERSONNELS </t>
  </si>
  <si>
    <t>ELEMENTAIRE Tot personnel</t>
  </si>
  <si>
    <t>LYCEE Tot personnel</t>
  </si>
  <si>
    <t>Total personnel</t>
  </si>
  <si>
    <t>Total  enseignants</t>
  </si>
  <si>
    <t>Tot  enseignants</t>
  </si>
  <si>
    <t xml:space="preserve">COLLEGE Tot personnel </t>
  </si>
  <si>
    <t xml:space="preserve">MATERNELLE Tot personnel </t>
  </si>
  <si>
    <t>en ETP</t>
  </si>
  <si>
    <t xml:space="preserve">Il s'agit toujours d'ETP. Le nombre de personnels est établi par année scolaire, l'augmentation ainsi que la masse salariale sont calculés par exercice </t>
  </si>
  <si>
    <t>oui</t>
  </si>
  <si>
    <t>2030/2031</t>
  </si>
  <si>
    <t>2031/2032</t>
  </si>
  <si>
    <t>2032/2033</t>
  </si>
  <si>
    <t>2033/2034</t>
  </si>
  <si>
    <t>2034/2035</t>
  </si>
  <si>
    <t>hors charges AEFE - PFC, frais de fonctionnement, formation continue</t>
  </si>
  <si>
    <t>coef directeur</t>
  </si>
  <si>
    <t>nb élèves moyen par division - report</t>
  </si>
  <si>
    <t>Clé répartition</t>
  </si>
  <si>
    <t>Nb divisions</t>
  </si>
  <si>
    <t>indice année</t>
  </si>
  <si>
    <t>augmentation salariale</t>
  </si>
  <si>
    <t>taux PRRD</t>
  </si>
  <si>
    <t>Taux change</t>
  </si>
  <si>
    <t>Effectifs</t>
  </si>
  <si>
    <t>Effectifs AS N-1</t>
  </si>
  <si>
    <t>Effectifs AS N</t>
  </si>
  <si>
    <t>Frais scol AS N-1</t>
  </si>
  <si>
    <t>Frais scol AS N</t>
  </si>
  <si>
    <t>Frais Réinscption</t>
  </si>
  <si>
    <t>taux nouveaux inscrits</t>
  </si>
  <si>
    <t>Taus abattement</t>
  </si>
  <si>
    <t>Inflation report</t>
  </si>
  <si>
    <t>Personnel total</t>
  </si>
  <si>
    <t>Données issues MAGE, à vérifier par l'établissement; à comparer avec la table de l'onglet "Tables Enseignants"</t>
  </si>
  <si>
    <t>après homologation</t>
  </si>
  <si>
    <t>A titre indicatif (à finaliser )</t>
  </si>
  <si>
    <t>Indice 2 = avec SI</t>
  </si>
  <si>
    <t>Choisir le niveau par niveau et par année. Ce choix impact le nombre d'enseignants par élève</t>
  </si>
  <si>
    <t xml:space="preserve">Indice 1 = sans SI   </t>
  </si>
  <si>
    <t>Cout par élève</t>
  </si>
  <si>
    <t>Min</t>
  </si>
  <si>
    <t>Max</t>
  </si>
  <si>
    <t>selon projet</t>
  </si>
  <si>
    <t>Sorties et voyages pédagogiques, selon projet</t>
  </si>
  <si>
    <t>fonction de l'immobilier</t>
  </si>
  <si>
    <t>lors d'extension</t>
  </si>
  <si>
    <t xml:space="preserve">fonction de l'immobilier, + logiciels ENT (Windows 365…) , + logiciels spécialisés (Pronote, EDT, Eduka …) </t>
  </si>
  <si>
    <t>fonction de la situation locale</t>
  </si>
  <si>
    <t>Frais d'honoraires, frais bancaires …</t>
  </si>
  <si>
    <t>Coût par élève</t>
  </si>
  <si>
    <t>soutraitance éventuelle</t>
  </si>
  <si>
    <r>
      <rPr>
        <b/>
        <sz val="11"/>
        <color theme="1"/>
        <rFont val="Calibri"/>
        <family val="2"/>
        <scheme val="minor"/>
      </rPr>
      <t>Note de méthodologie SDC</t>
    </r>
    <r>
      <rPr>
        <sz val="11"/>
        <color theme="1"/>
        <rFont val="Calibri"/>
        <family val="2"/>
        <scheme val="minor"/>
      </rPr>
      <t xml:space="preserve"> : différences entre le modèle conventionné  et le modèle PP (porteur de projet) : </t>
    </r>
  </si>
  <si>
    <t xml:space="preserve">-  tableau des effectifs (pas d'historique, calcul montée de cohorte différent, calcul taux moyen différent) </t>
  </si>
  <si>
    <t>- onglet hypothèses : statut différent  / PRRD = à et nb détachés = 0 et lignes masquées</t>
  </si>
  <si>
    <t>-  charges de réseau ajoutées dans les tableaux de résultat</t>
  </si>
  <si>
    <t>- lignes PFC et masse salariale détachés masquées dans les comptes de résultat + onglet "calcul cout détaché" masqué</t>
  </si>
  <si>
    <t>- lignes nb intervenants et base H/E et  masquées</t>
  </si>
  <si>
    <r>
      <rPr>
        <b/>
        <sz val="11"/>
        <color theme="1"/>
        <rFont val="Calibri"/>
        <family val="2"/>
        <scheme val="minor"/>
      </rPr>
      <t>NB: pour le secondaire</t>
    </r>
    <r>
      <rPr>
        <sz val="11"/>
        <color theme="1"/>
        <rFont val="Calibri"/>
        <family val="2"/>
        <scheme val="minor"/>
      </rPr>
      <t>, le modèle ne fonctionne qu'à partir d'une taille minimum critique qui correspond à 1 division par niveau</t>
    </r>
  </si>
  <si>
    <t xml:space="preserve">Taux Croissance moyen </t>
  </si>
  <si>
    <t>Le calcul se fait sur 1 année de fonctionnement complète</t>
  </si>
  <si>
    <t>Frais réseau AEFE (FC+Partenariat)</t>
  </si>
  <si>
    <t>Max Extrapolé</t>
  </si>
  <si>
    <t>Ordo Origine</t>
  </si>
  <si>
    <t>\[ y = -0.0498x + 2.9057\]</t>
  </si>
  <si>
    <t>En jaune, données stat modifiées</t>
  </si>
  <si>
    <t>Max extrapolé</t>
  </si>
  <si>
    <t>Division</t>
  </si>
  <si>
    <t>Elève/classe</t>
  </si>
  <si>
    <t>Elèves/Classe</t>
  </si>
  <si>
    <t>R.2024</t>
  </si>
  <si>
    <t>R.2025</t>
  </si>
  <si>
    <t>R.2026</t>
  </si>
  <si>
    <t>R.2027</t>
  </si>
  <si>
    <t>Structure prévisionnelle Maternelle</t>
  </si>
  <si>
    <t>PS</t>
  </si>
  <si>
    <t>MS</t>
  </si>
  <si>
    <t>GS</t>
  </si>
  <si>
    <t>CP</t>
  </si>
  <si>
    <t>CE1</t>
  </si>
  <si>
    <t>CE2</t>
  </si>
  <si>
    <t>CM1</t>
  </si>
  <si>
    <t>CM2</t>
  </si>
  <si>
    <t xml:space="preserve">Monnaie : Riyal </t>
  </si>
  <si>
    <t>conventionné</t>
  </si>
  <si>
    <t>Proviseur adjoint D1</t>
  </si>
  <si>
    <t>Chef d'Etablissement D1</t>
  </si>
  <si>
    <t>DAF D1</t>
  </si>
  <si>
    <t>Direction D1</t>
  </si>
  <si>
    <t>Technique - Informatique -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</si>
</sst>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 &quot;€&quot;;\-#,##0\ &quot;€&quot;"/>
    <numFmt numFmtId="165" formatCode="#,##0\ &quot;€&quot;;[Red]\-#,##0\ &quot;€&quot;"/>
    <numFmt numFmtId="166" formatCode="_-* #,##0.00\ &quot;€&quot;_-;\-* #,##0.00\ &quot;€&quot;_-;_-* &quot;-&quot;??\ &quot;€&quot;_-;_-@_-"/>
    <numFmt numFmtId="167" formatCode="_-* #,##0.00_-;\-* #,##0.00_-;_-* &quot;-&quot;??_-;_-@_-"/>
    <numFmt numFmtId="168" formatCode="0.0"/>
    <numFmt numFmtId="169" formatCode="_-* #,##0\ &quot;€&quot;_-;\-* #,##0\ &quot;€&quot;_-;_-* &quot;-&quot;??\ &quot;€&quot;_-;_-@_-"/>
    <numFmt numFmtId="170" formatCode="0.0%"/>
    <numFmt numFmtId="171" formatCode="#,##0.0"/>
    <numFmt numFmtId="172" formatCode="#,##0\ _€"/>
    <numFmt numFmtId="173" formatCode="_-* #,##0\ _€_-;\-* #,##0\ _€_-;_-* &quot;-&quot;\ _€_-;_-@_-"/>
    <numFmt numFmtId="174" formatCode="#,##0.00_ ;\-#,##0.00\ "/>
    <numFmt numFmtId="175" formatCode="#,##0.000000_ ;\-#,##0.000000\ "/>
    <numFmt numFmtId="176" formatCode="_-* #,##0_-;\-* #,##0_-;_-* &quot;-&quot;??_-;_-@_-"/>
    <numFmt numFmtId="177" formatCode="#,##0\ &quot;€&quot;"/>
    <numFmt numFmtId="178" formatCode="#,##0.000"/>
  </numFmts>
  <fonts count="54" x14ac:knownFonts="1">
    <font>
      <sz val="11"/>
      <color theme="1"/>
      <name val="Calibri"/>
      <family val="2"/>
      <scheme val="minor"/>
    </font>
    <font>
      <sz val="11"/>
      <color theme="1"/>
      <name val="Calibri"/>
      <family val="2"/>
      <scheme val="minor"/>
    </font>
    <font>
      <b/>
      <sz val="16"/>
      <color theme="1"/>
      <name val="Calibri"/>
      <family val="2"/>
      <scheme val="minor"/>
    </font>
    <font>
      <b/>
      <sz val="16"/>
      <color rgb="FF7030A0"/>
      <name val="Calibri"/>
      <family val="2"/>
      <scheme val="minor"/>
    </font>
    <font>
      <b/>
      <sz val="14"/>
      <color rgb="FFFF0000"/>
      <name val="Calibri"/>
      <family val="2"/>
      <scheme val="minor"/>
    </font>
    <font>
      <sz val="14"/>
      <color theme="1"/>
      <name val="Calibri"/>
      <family val="2"/>
      <scheme val="minor"/>
    </font>
    <font>
      <sz val="14"/>
      <color rgb="FF7030A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6"/>
      <color theme="0"/>
      <name val="Calibri"/>
      <family val="2"/>
      <scheme val="minor"/>
    </font>
    <font>
      <b/>
      <sz val="11"/>
      <color theme="4" tint="-0.499984740745262"/>
      <name val="Calibri"/>
      <family val="2"/>
      <scheme val="minor"/>
    </font>
    <font>
      <b/>
      <sz val="11"/>
      <color theme="4" tint="-0.249977111117893"/>
      <name val="Calibri"/>
      <family val="2"/>
      <scheme val="minor"/>
    </font>
    <font>
      <sz val="11"/>
      <color theme="4" tint="-0.249977111117893"/>
      <name val="Calibri"/>
      <family val="2"/>
      <scheme val="minor"/>
    </font>
    <font>
      <sz val="14"/>
      <color rgb="FF0070C0"/>
      <name val="Calibri"/>
      <family val="2"/>
      <scheme val="minor"/>
    </font>
    <font>
      <b/>
      <sz val="14"/>
      <color rgb="FF0070C0"/>
      <name val="Calibri"/>
      <family val="2"/>
      <scheme val="minor"/>
    </font>
    <font>
      <b/>
      <sz val="16"/>
      <color rgb="FF0070C0"/>
      <name val="Calibri"/>
      <family val="2"/>
      <scheme val="minor"/>
    </font>
    <font>
      <sz val="16"/>
      <name val="Calibri"/>
      <family val="2"/>
      <scheme val="minor"/>
    </font>
    <font>
      <sz val="14"/>
      <name val="Calibri"/>
      <family val="2"/>
      <scheme val="minor"/>
    </font>
    <font>
      <b/>
      <sz val="12"/>
      <color theme="1"/>
      <name val="Calibri"/>
      <family val="2"/>
      <scheme val="minor"/>
    </font>
    <font>
      <sz val="12"/>
      <color theme="1"/>
      <name val="Calibri"/>
      <family val="2"/>
      <scheme val="minor"/>
    </font>
    <font>
      <b/>
      <sz val="12"/>
      <color rgb="FFFF0000"/>
      <name val="Calibri"/>
      <family val="2"/>
      <scheme val="minor"/>
    </font>
    <font>
      <b/>
      <sz val="11"/>
      <color theme="4"/>
      <name val="Calibri"/>
      <family val="2"/>
      <scheme val="minor"/>
    </font>
    <font>
      <b/>
      <sz val="16"/>
      <name val="Calibri"/>
      <family val="2"/>
      <scheme val="minor"/>
    </font>
    <font>
      <b/>
      <sz val="11"/>
      <color rgb="FFFF0000"/>
      <name val="Calibri"/>
      <family val="2"/>
      <scheme val="minor"/>
    </font>
    <font>
      <sz val="10"/>
      <color indexed="81"/>
      <name val="Tahoma"/>
      <family val="2"/>
    </font>
    <font>
      <b/>
      <sz val="10"/>
      <color indexed="81"/>
      <name val="Tahoma"/>
      <family val="2"/>
    </font>
    <font>
      <b/>
      <sz val="11"/>
      <color theme="0"/>
      <name val="Calibri"/>
      <family val="2"/>
      <scheme val="minor"/>
    </font>
    <font>
      <sz val="11"/>
      <name val="Calibri"/>
      <family val="2"/>
      <scheme val="minor"/>
    </font>
    <font>
      <sz val="8"/>
      <name val="Calibri"/>
      <family val="2"/>
      <scheme val="minor"/>
    </font>
    <font>
      <b/>
      <sz val="12"/>
      <name val="Calibri"/>
      <family val="2"/>
      <scheme val="minor"/>
    </font>
    <font>
      <sz val="12"/>
      <name val="Calibri"/>
      <family val="2"/>
      <scheme val="minor"/>
    </font>
    <font>
      <sz val="11"/>
      <color rgb="FF000000"/>
      <name val="Arial"/>
      <family val="2"/>
    </font>
    <font>
      <i/>
      <sz val="11"/>
      <color theme="1"/>
      <name val="Calibri"/>
      <family val="2"/>
      <scheme val="minor"/>
    </font>
    <font>
      <b/>
      <sz val="14"/>
      <color theme="4"/>
      <name val="Calibri"/>
      <family val="2"/>
      <scheme val="minor"/>
    </font>
    <font>
      <b/>
      <sz val="16"/>
      <color theme="4"/>
      <name val="Calibri"/>
      <family val="2"/>
      <scheme val="minor"/>
    </font>
    <font>
      <b/>
      <i/>
      <sz val="12"/>
      <name val="Calibri"/>
      <family val="2"/>
      <scheme val="minor"/>
    </font>
    <font>
      <i/>
      <sz val="12"/>
      <name val="Calibri"/>
      <family val="2"/>
      <scheme val="minor"/>
    </font>
    <font>
      <sz val="10"/>
      <color theme="1"/>
      <name val="Calibri"/>
      <family val="2"/>
      <scheme val="minor"/>
    </font>
    <font>
      <b/>
      <i/>
      <sz val="12"/>
      <color theme="0"/>
      <name val="Calibri"/>
      <family val="2"/>
      <scheme val="minor"/>
    </font>
    <font>
      <i/>
      <sz val="12"/>
      <color theme="0"/>
      <name val="Calibri"/>
      <family val="2"/>
      <scheme val="minor"/>
    </font>
    <font>
      <sz val="9"/>
      <color theme="1"/>
      <name val="Calibri"/>
      <family val="2"/>
      <scheme val="minor"/>
    </font>
    <font>
      <sz val="10"/>
      <name val="Calibri"/>
      <family val="2"/>
      <scheme val="minor"/>
    </font>
    <font>
      <b/>
      <sz val="11"/>
      <name val="Calibri"/>
      <family val="2"/>
      <scheme val="minor"/>
    </font>
    <font>
      <sz val="9"/>
      <name val="Calibri"/>
      <family val="2"/>
      <scheme val="minor"/>
    </font>
    <font>
      <i/>
      <sz val="12"/>
      <color theme="1"/>
      <name val="Calibri"/>
      <family val="2"/>
      <scheme val="minor"/>
    </font>
    <font>
      <i/>
      <sz val="9"/>
      <name val="Calibri"/>
      <family val="2"/>
      <scheme val="minor"/>
    </font>
    <font>
      <i/>
      <sz val="11"/>
      <name val="Calibri"/>
      <family val="2"/>
      <scheme val="minor"/>
    </font>
    <font>
      <sz val="10"/>
      <color theme="0"/>
      <name val="Calibri"/>
      <family val="2"/>
      <scheme val="minor"/>
    </font>
    <font>
      <i/>
      <sz val="10"/>
      <color theme="1"/>
      <name val="Calibri"/>
      <family val="2"/>
      <scheme val="minor"/>
    </font>
    <font>
      <b/>
      <sz val="12"/>
      <color theme="0"/>
      <name val="Calibri"/>
      <family val="2"/>
      <scheme val="minor"/>
    </font>
    <font>
      <b/>
      <sz val="10"/>
      <color theme="0"/>
      <name val="Calibri"/>
      <family val="2"/>
      <scheme val="minor"/>
    </font>
    <font>
      <sz val="12"/>
      <color theme="0"/>
      <name val="Calibri"/>
      <family val="2"/>
      <scheme val="minor"/>
    </font>
    <font>
      <b/>
      <sz val="14"/>
      <color theme="1"/>
      <name val="Calibri"/>
      <family val="2"/>
      <scheme val="minor"/>
    </font>
  </fonts>
  <fills count="30">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rgb="FFDEC8EE"/>
        <bgColor indexed="64"/>
      </patternFill>
    </fill>
    <fill>
      <patternFill patternType="solid">
        <fgColor rgb="FFD3B0F6"/>
        <bgColor indexed="64"/>
      </patternFill>
    </fill>
    <fill>
      <patternFill patternType="solid">
        <fgColor theme="6" tint="0.79998168889431442"/>
        <bgColor indexed="64"/>
      </patternFill>
    </fill>
    <fill>
      <patternFill patternType="solid">
        <fgColor rgb="FF002060"/>
        <bgColor indexed="64"/>
      </patternFill>
    </fill>
    <fill>
      <patternFill patternType="solid">
        <fgColor rgb="FFFAFCA6"/>
        <bgColor indexed="64"/>
      </patternFill>
    </fill>
    <fill>
      <patternFill patternType="gray0625">
        <bgColor theme="0"/>
      </patternFill>
    </fill>
    <fill>
      <patternFill patternType="gray0625"/>
    </fill>
    <fill>
      <patternFill patternType="solid">
        <fgColor theme="3"/>
        <bgColor indexed="64"/>
      </patternFill>
    </fill>
    <fill>
      <patternFill patternType="solid">
        <fgColor rgb="FFFFFFD5"/>
        <bgColor indexed="64"/>
      </patternFill>
    </fill>
    <fill>
      <patternFill patternType="solid">
        <fgColor rgb="FFFFFFCC"/>
        <bgColor indexed="64"/>
      </patternFill>
    </fill>
    <fill>
      <patternFill patternType="solid">
        <fgColor theme="5" tint="0.79998168889431442"/>
        <bgColor indexed="64"/>
      </patternFill>
    </fill>
    <fill>
      <patternFill patternType="solid">
        <fgColor theme="7"/>
        <bgColor indexed="64"/>
      </patternFill>
    </fill>
  </fills>
  <borders count="71">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dashed">
        <color auto="1"/>
      </bottom>
      <diagonal/>
    </border>
    <border>
      <left/>
      <right/>
      <top style="dashed">
        <color auto="1"/>
      </top>
      <bottom style="dashed">
        <color auto="1"/>
      </bottom>
      <diagonal/>
    </border>
    <border>
      <left/>
      <right/>
      <top style="dashed">
        <color auto="1"/>
      </top>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style="dashed">
        <color indexed="64"/>
      </top>
      <bottom style="thin">
        <color indexed="64"/>
      </bottom>
      <diagonal/>
    </border>
    <border>
      <left/>
      <right style="thin">
        <color indexed="64"/>
      </right>
      <top style="thin">
        <color indexed="64"/>
      </top>
      <bottom style="thin">
        <color indexed="64"/>
      </bottom>
      <diagonal/>
    </border>
    <border>
      <left/>
      <right style="thin">
        <color auto="1"/>
      </right>
      <top/>
      <bottom style="dashed">
        <color auto="1"/>
      </bottom>
      <diagonal/>
    </border>
    <border>
      <left style="thin">
        <color auto="1"/>
      </left>
      <right style="thin">
        <color auto="1"/>
      </right>
      <top/>
      <bottom style="dashed">
        <color auto="1"/>
      </bottom>
      <diagonal/>
    </border>
    <border>
      <left style="thin">
        <color auto="1"/>
      </left>
      <right/>
      <top/>
      <bottom style="dashed">
        <color auto="1"/>
      </bottom>
      <diagonal/>
    </border>
    <border>
      <left style="dashed">
        <color auto="1"/>
      </left>
      <right style="thin">
        <color auto="1"/>
      </right>
      <top style="dashed">
        <color auto="1"/>
      </top>
      <bottom/>
      <diagonal/>
    </border>
    <border>
      <left style="thin">
        <color auto="1"/>
      </left>
      <right style="thin">
        <color auto="1"/>
      </right>
      <top style="dashed">
        <color auto="1"/>
      </top>
      <bottom style="dashed">
        <color auto="1"/>
      </bottom>
      <diagonal/>
    </border>
    <border>
      <left style="medium">
        <color auto="1"/>
      </left>
      <right style="thin">
        <color auto="1"/>
      </right>
      <top style="medium">
        <color auto="1"/>
      </top>
      <bottom style="medium">
        <color auto="1"/>
      </bottom>
      <diagonal/>
    </border>
    <border>
      <left style="dashed">
        <color auto="1"/>
      </left>
      <right style="thin">
        <color auto="1"/>
      </right>
      <top/>
      <bottom style="dashed">
        <color auto="1"/>
      </bottom>
      <diagonal/>
    </border>
    <border>
      <left style="thin">
        <color auto="1"/>
      </left>
      <right style="thin">
        <color auto="1"/>
      </right>
      <top style="medium">
        <color auto="1"/>
      </top>
      <bottom style="medium">
        <color auto="1"/>
      </bottom>
      <diagonal/>
    </border>
    <border>
      <left style="thin">
        <color auto="1"/>
      </left>
      <right style="medium">
        <color indexed="64"/>
      </right>
      <top/>
      <bottom/>
      <diagonal/>
    </border>
    <border>
      <left style="medium">
        <color indexed="64"/>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indexed="64"/>
      </left>
      <right style="thin">
        <color auto="1"/>
      </right>
      <top style="thin">
        <color indexed="64"/>
      </top>
      <bottom style="medium">
        <color indexed="64"/>
      </bottom>
      <diagonal/>
    </border>
    <border>
      <left style="thin">
        <color auto="1"/>
      </left>
      <right style="thin">
        <color auto="1"/>
      </right>
      <top style="thin">
        <color indexed="64"/>
      </top>
      <bottom style="medium">
        <color indexed="64"/>
      </bottom>
      <diagonal/>
    </border>
    <border>
      <left style="thin">
        <color auto="1"/>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auto="1"/>
      </right>
      <top style="thin">
        <color indexed="64"/>
      </top>
      <bottom/>
      <diagonal/>
    </border>
    <border>
      <left style="thin">
        <color indexed="64"/>
      </left>
      <right style="thin">
        <color indexed="64"/>
      </right>
      <top style="thin">
        <color indexed="64"/>
      </top>
      <bottom/>
      <diagonal/>
    </border>
    <border>
      <left style="thin">
        <color auto="1"/>
      </left>
      <right style="medium">
        <color indexed="64"/>
      </right>
      <top style="thin">
        <color indexed="64"/>
      </top>
      <bottom/>
      <diagonal/>
    </border>
    <border>
      <left style="medium">
        <color indexed="64"/>
      </left>
      <right style="thin">
        <color auto="1"/>
      </right>
      <top/>
      <bottom style="thin">
        <color indexed="64"/>
      </bottom>
      <diagonal/>
    </border>
    <border>
      <left style="thin">
        <color indexed="64"/>
      </left>
      <right style="thin">
        <color indexed="64"/>
      </right>
      <top/>
      <bottom style="thin">
        <color indexed="64"/>
      </bottom>
      <diagonal/>
    </border>
    <border>
      <left style="thin">
        <color auto="1"/>
      </left>
      <right style="medium">
        <color indexed="64"/>
      </right>
      <top/>
      <bottom style="thin">
        <color indexed="64"/>
      </bottom>
      <diagonal/>
    </border>
    <border>
      <left style="medium">
        <color indexed="64"/>
      </left>
      <right/>
      <top style="medium">
        <color indexed="64"/>
      </top>
      <bottom style="dashed">
        <color auto="1"/>
      </bottom>
      <diagonal/>
    </border>
    <border>
      <left style="medium">
        <color indexed="64"/>
      </left>
      <right style="thin">
        <color auto="1"/>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dashed">
        <color auto="1"/>
      </top>
      <bottom style="dashed">
        <color auto="1"/>
      </bottom>
      <diagonal/>
    </border>
    <border>
      <left style="medium">
        <color indexed="64"/>
      </left>
      <right/>
      <top style="dashed">
        <color auto="1"/>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s>
  <cellStyleXfs count="4">
    <xf numFmtId="0" fontId="0" fillId="0" borderId="0"/>
    <xf numFmtId="9" fontId="1" fillId="0" borderId="0" applyFont="0" applyFill="0" applyBorder="0" applyAlignment="0" applyProtection="0"/>
    <xf numFmtId="166" fontId="1" fillId="0" borderId="0" applyFont="0" applyFill="0" applyBorder="0" applyAlignment="0" applyProtection="0"/>
    <xf numFmtId="167" fontId="1" fillId="0" borderId="0" applyFont="0" applyFill="0" applyBorder="0" applyAlignment="0" applyProtection="0"/>
  </cellStyleXfs>
  <cellXfs count="541">
    <xf numFmtId="0" fontId="0" fillId="0" borderId="0" xfId="0"/>
    <xf numFmtId="3" fontId="6" fillId="3" borderId="0" xfId="0" applyNumberFormat="1" applyFont="1" applyFill="1" applyAlignment="1">
      <alignment horizontal="right"/>
    </xf>
    <xf numFmtId="3" fontId="5" fillId="3" borderId="0" xfId="0" applyNumberFormat="1" applyFont="1" applyFill="1"/>
    <xf numFmtId="0" fontId="3" fillId="6" borderId="0" xfId="0" applyFont="1" applyFill="1" applyAlignment="1">
      <alignment horizontal="center" vertical="center" wrapText="1"/>
    </xf>
    <xf numFmtId="0" fontId="10" fillId="8" borderId="0" xfId="0" applyFont="1" applyFill="1"/>
    <xf numFmtId="0" fontId="9" fillId="8" borderId="0" xfId="0" applyFont="1" applyFill="1"/>
    <xf numFmtId="0" fontId="9" fillId="8" borderId="0" xfId="0" applyFont="1" applyFill="1" applyAlignment="1">
      <alignment horizontal="center"/>
    </xf>
    <xf numFmtId="0" fontId="7" fillId="0" borderId="0" xfId="0" applyFont="1" applyAlignment="1">
      <alignment horizontal="center"/>
    </xf>
    <xf numFmtId="0" fontId="13" fillId="9" borderId="6" xfId="0" applyFont="1" applyFill="1" applyBorder="1" applyAlignment="1">
      <alignment horizontal="left"/>
    </xf>
    <xf numFmtId="0" fontId="13" fillId="9" borderId="0" xfId="0" applyFont="1" applyFill="1" applyAlignment="1">
      <alignment horizontal="left"/>
    </xf>
    <xf numFmtId="0" fontId="13" fillId="9" borderId="7" xfId="0" applyFont="1" applyFill="1" applyBorder="1" applyAlignment="1">
      <alignment horizontal="left"/>
    </xf>
    <xf numFmtId="0" fontId="12" fillId="9" borderId="2" xfId="0" applyFont="1" applyFill="1" applyBorder="1"/>
    <xf numFmtId="0" fontId="12" fillId="9" borderId="3" xfId="0" applyFont="1" applyFill="1" applyBorder="1"/>
    <xf numFmtId="0" fontId="12" fillId="9" borderId="4" xfId="0" applyFont="1" applyFill="1" applyBorder="1"/>
    <xf numFmtId="0" fontId="13" fillId="9" borderId="6" xfId="0" applyFont="1" applyFill="1" applyBorder="1"/>
    <xf numFmtId="0" fontId="13" fillId="9" borderId="0" xfId="0" applyFont="1" applyFill="1"/>
    <xf numFmtId="0" fontId="13" fillId="9" borderId="7" xfId="0" applyFont="1" applyFill="1" applyBorder="1"/>
    <xf numFmtId="0" fontId="13" fillId="9" borderId="9" xfId="0" applyFont="1" applyFill="1" applyBorder="1"/>
    <xf numFmtId="0" fontId="13" fillId="9" borderId="10" xfId="0" applyFont="1" applyFill="1" applyBorder="1"/>
    <xf numFmtId="0" fontId="13" fillId="9" borderId="11" xfId="0" applyFont="1" applyFill="1" applyBorder="1"/>
    <xf numFmtId="0" fontId="0" fillId="0" borderId="0" xfId="0" applyAlignment="1">
      <alignment horizontal="center"/>
    </xf>
    <xf numFmtId="0" fontId="5" fillId="0" borderId="13" xfId="0" applyFont="1" applyBorder="1" applyAlignment="1">
      <alignment horizontal="left"/>
    </xf>
    <xf numFmtId="0" fontId="5" fillId="0" borderId="14" xfId="0" applyFont="1" applyBorder="1"/>
    <xf numFmtId="0" fontId="5" fillId="0" borderId="0" xfId="0" applyFont="1"/>
    <xf numFmtId="3" fontId="5" fillId="5" borderId="0" xfId="0" applyNumberFormat="1" applyFont="1" applyFill="1"/>
    <xf numFmtId="0" fontId="14" fillId="0" borderId="16" xfId="0" applyFont="1" applyBorder="1"/>
    <xf numFmtId="0" fontId="14" fillId="0" borderId="19" xfId="0" applyFont="1" applyBorder="1"/>
    <xf numFmtId="9" fontId="0" fillId="0" borderId="0" xfId="1" applyFont="1"/>
    <xf numFmtId="0" fontId="15" fillId="0" borderId="19" xfId="0" applyFont="1" applyBorder="1"/>
    <xf numFmtId="3" fontId="16" fillId="0" borderId="24" xfId="0" applyNumberFormat="1" applyFont="1" applyBorder="1"/>
    <xf numFmtId="0" fontId="15" fillId="0" borderId="23" xfId="0" applyFont="1" applyBorder="1"/>
    <xf numFmtId="0" fontId="15" fillId="0" borderId="24" xfId="0" applyFont="1" applyBorder="1"/>
    <xf numFmtId="0" fontId="14" fillId="0" borderId="17" xfId="0" applyFont="1" applyBorder="1"/>
    <xf numFmtId="3" fontId="14" fillId="0" borderId="17" xfId="0" applyNumberFormat="1" applyFont="1" applyBorder="1"/>
    <xf numFmtId="0" fontId="14" fillId="0" borderId="14" xfId="0" applyFont="1" applyBorder="1"/>
    <xf numFmtId="3" fontId="14" fillId="0" borderId="14" xfId="0" applyNumberFormat="1" applyFont="1" applyBorder="1"/>
    <xf numFmtId="0" fontId="15" fillId="0" borderId="14" xfId="0" applyFont="1" applyBorder="1"/>
    <xf numFmtId="3" fontId="15" fillId="0" borderId="14" xfId="0" applyNumberFormat="1" applyFont="1" applyBorder="1"/>
    <xf numFmtId="0" fontId="15" fillId="0" borderId="21" xfId="0" applyFont="1" applyBorder="1"/>
    <xf numFmtId="0" fontId="5" fillId="0" borderId="22" xfId="0" applyFont="1" applyBorder="1"/>
    <xf numFmtId="3" fontId="15" fillId="0" borderId="22" xfId="0" applyNumberFormat="1" applyFont="1" applyBorder="1"/>
    <xf numFmtId="0" fontId="17" fillId="2" borderId="0" xfId="0" applyFont="1" applyFill="1" applyAlignment="1">
      <alignment horizontal="center" vertical="center" wrapText="1"/>
    </xf>
    <xf numFmtId="9" fontId="18" fillId="4" borderId="0" xfId="1" applyFont="1" applyFill="1" applyAlignment="1">
      <alignment horizontal="center"/>
    </xf>
    <xf numFmtId="9" fontId="18" fillId="4" borderId="13" xfId="1" applyFont="1" applyFill="1" applyBorder="1" applyAlignment="1">
      <alignment horizontal="center"/>
    </xf>
    <xf numFmtId="9" fontId="18" fillId="4" borderId="14" xfId="1" applyFont="1" applyFill="1" applyBorder="1" applyAlignment="1">
      <alignment horizontal="center"/>
    </xf>
    <xf numFmtId="0" fontId="8" fillId="0" borderId="0" xfId="0" applyFont="1"/>
    <xf numFmtId="0" fontId="19" fillId="0" borderId="0" xfId="0" applyFont="1" applyAlignment="1">
      <alignment horizontal="center"/>
    </xf>
    <xf numFmtId="0" fontId="0" fillId="10" borderId="0" xfId="0" applyFill="1"/>
    <xf numFmtId="0" fontId="20" fillId="0" borderId="0" xfId="0" applyFont="1"/>
    <xf numFmtId="0" fontId="19" fillId="12" borderId="0" xfId="0" applyFont="1" applyFill="1"/>
    <xf numFmtId="0" fontId="20" fillId="12" borderId="0" xfId="0" applyFont="1" applyFill="1"/>
    <xf numFmtId="0" fontId="19" fillId="10" borderId="0" xfId="0" applyFont="1" applyFill="1"/>
    <xf numFmtId="0" fontId="20" fillId="10" borderId="0" xfId="0" applyFont="1" applyFill="1"/>
    <xf numFmtId="0" fontId="2" fillId="0" borderId="0" xfId="0" applyFont="1" applyAlignment="1">
      <alignment horizontal="center"/>
    </xf>
    <xf numFmtId="0" fontId="8" fillId="0" borderId="0" xfId="0" applyFont="1" applyAlignment="1">
      <alignment horizontal="center"/>
    </xf>
    <xf numFmtId="0" fontId="7" fillId="0" borderId="0" xfId="0" applyFont="1"/>
    <xf numFmtId="9" fontId="0" fillId="0" borderId="0" xfId="0" applyNumberFormat="1"/>
    <xf numFmtId="3" fontId="6" fillId="5" borderId="0" xfId="0" applyNumberFormat="1" applyFont="1" applyFill="1" applyAlignment="1">
      <alignment horizontal="right"/>
    </xf>
    <xf numFmtId="0" fontId="10" fillId="5" borderId="0" xfId="0" applyFont="1" applyFill="1" applyAlignment="1">
      <alignment horizontal="left"/>
    </xf>
    <xf numFmtId="0" fontId="10" fillId="8" borderId="0" xfId="0" applyFont="1" applyFill="1" applyAlignment="1">
      <alignment horizontal="left"/>
    </xf>
    <xf numFmtId="0" fontId="20" fillId="5" borderId="0" xfId="0" applyFont="1" applyFill="1"/>
    <xf numFmtId="0" fontId="19" fillId="0" borderId="0" xfId="0" applyFont="1"/>
    <xf numFmtId="9" fontId="7" fillId="0" borderId="0" xfId="0" applyNumberFormat="1" applyFont="1"/>
    <xf numFmtId="0" fontId="24" fillId="0" borderId="0" xfId="0" applyFont="1"/>
    <xf numFmtId="0" fontId="21" fillId="9" borderId="0" xfId="0" applyFont="1" applyFill="1"/>
    <xf numFmtId="0" fontId="0" fillId="9" borderId="0" xfId="0" applyFill="1"/>
    <xf numFmtId="0" fontId="22" fillId="9" borderId="0" xfId="0" applyFont="1" applyFill="1"/>
    <xf numFmtId="0" fontId="21" fillId="13" borderId="0" xfId="0" applyFont="1" applyFill="1"/>
    <xf numFmtId="0" fontId="0" fillId="13" borderId="0" xfId="0" applyFill="1"/>
    <xf numFmtId="0" fontId="22" fillId="13" borderId="0" xfId="0" applyFont="1" applyFill="1"/>
    <xf numFmtId="169" fontId="0" fillId="0" borderId="0" xfId="0" applyNumberFormat="1"/>
    <xf numFmtId="0" fontId="0" fillId="0" borderId="12" xfId="0" applyBorder="1"/>
    <xf numFmtId="0" fontId="0" fillId="0" borderId="12" xfId="0" applyBorder="1" applyAlignment="1">
      <alignment wrapText="1"/>
    </xf>
    <xf numFmtId="169" fontId="0" fillId="7" borderId="12" xfId="2" applyNumberFormat="1" applyFont="1" applyFill="1" applyBorder="1"/>
    <xf numFmtId="9" fontId="0" fillId="0" borderId="12" xfId="0" applyNumberFormat="1" applyBorder="1"/>
    <xf numFmtId="169" fontId="0" fillId="0" borderId="12" xfId="0" applyNumberFormat="1" applyBorder="1"/>
    <xf numFmtId="170" fontId="0" fillId="0" borderId="12" xfId="1" applyNumberFormat="1" applyFont="1" applyBorder="1"/>
    <xf numFmtId="170" fontId="0" fillId="11" borderId="12" xfId="1" applyNumberFormat="1" applyFont="1" applyFill="1" applyBorder="1"/>
    <xf numFmtId="169" fontId="0" fillId="7" borderId="12" xfId="0" applyNumberFormat="1" applyFill="1" applyBorder="1"/>
    <xf numFmtId="0" fontId="0" fillId="7" borderId="12" xfId="0" applyFill="1" applyBorder="1"/>
    <xf numFmtId="169" fontId="0" fillId="11" borderId="12" xfId="0" applyNumberFormat="1" applyFill="1" applyBorder="1"/>
    <xf numFmtId="169" fontId="0" fillId="5" borderId="12" xfId="0" applyNumberFormat="1" applyFill="1" applyBorder="1"/>
    <xf numFmtId="0" fontId="0" fillId="0" borderId="0" xfId="0" applyAlignment="1">
      <alignment wrapText="1"/>
    </xf>
    <xf numFmtId="3" fontId="0" fillId="9" borderId="0" xfId="0" applyNumberFormat="1" applyFill="1"/>
    <xf numFmtId="0" fontId="0" fillId="5" borderId="0" xfId="0" applyFill="1"/>
    <xf numFmtId="0" fontId="2" fillId="2" borderId="0" xfId="0" applyFont="1" applyFill="1" applyAlignment="1">
      <alignment vertical="center" wrapText="1"/>
    </xf>
    <xf numFmtId="0" fontId="8" fillId="9" borderId="0" xfId="0" applyFont="1" applyFill="1"/>
    <xf numFmtId="0" fontId="19" fillId="2" borderId="0" xfId="0" applyFont="1" applyFill="1" applyAlignment="1">
      <alignment vertical="center"/>
    </xf>
    <xf numFmtId="0" fontId="19" fillId="9" borderId="0" xfId="0" applyFont="1" applyFill="1" applyAlignment="1">
      <alignment horizontal="center"/>
    </xf>
    <xf numFmtId="0" fontId="19" fillId="13" borderId="0" xfId="0" applyFont="1" applyFill="1" applyAlignment="1">
      <alignment horizontal="center"/>
    </xf>
    <xf numFmtId="3" fontId="0" fillId="9" borderId="0" xfId="0" applyNumberFormat="1" applyFill="1" applyAlignment="1">
      <alignment horizontal="center"/>
    </xf>
    <xf numFmtId="0" fontId="30" fillId="9" borderId="0" xfId="0" applyFont="1" applyFill="1" applyAlignment="1">
      <alignment horizontal="center"/>
    </xf>
    <xf numFmtId="0" fontId="31" fillId="5" borderId="0" xfId="0" applyFont="1" applyFill="1" applyAlignment="1">
      <alignment horizontal="left"/>
    </xf>
    <xf numFmtId="2" fontId="0" fillId="13" borderId="0" xfId="0" applyNumberFormat="1" applyFill="1" applyAlignment="1">
      <alignment horizontal="center"/>
    </xf>
    <xf numFmtId="0" fontId="8" fillId="13" borderId="0" xfId="0" applyFont="1" applyFill="1"/>
    <xf numFmtId="0" fontId="30" fillId="13" borderId="0" xfId="0" applyFont="1" applyFill="1" applyAlignment="1">
      <alignment horizontal="center"/>
    </xf>
    <xf numFmtId="3" fontId="0" fillId="13" borderId="0" xfId="0" applyNumberFormat="1" applyFill="1" applyAlignment="1">
      <alignment horizontal="center"/>
    </xf>
    <xf numFmtId="3" fontId="0" fillId="13" borderId="0" xfId="0" applyNumberFormat="1" applyFill="1"/>
    <xf numFmtId="0" fontId="21" fillId="14" borderId="0" xfId="0" applyFont="1" applyFill="1"/>
    <xf numFmtId="0" fontId="0" fillId="14" borderId="0" xfId="0" applyFill="1"/>
    <xf numFmtId="0" fontId="22" fillId="14" borderId="0" xfId="0" applyFont="1" applyFill="1"/>
    <xf numFmtId="0" fontId="19" fillId="14" borderId="0" xfId="0" applyFont="1" applyFill="1" applyAlignment="1">
      <alignment horizontal="center"/>
    </xf>
    <xf numFmtId="2" fontId="0" fillId="14" borderId="0" xfId="0" applyNumberFormat="1" applyFill="1" applyAlignment="1">
      <alignment horizontal="center"/>
    </xf>
    <xf numFmtId="3" fontId="0" fillId="14" borderId="0" xfId="0" applyNumberFormat="1" applyFill="1"/>
    <xf numFmtId="0" fontId="27" fillId="15" borderId="26" xfId="0" applyFont="1" applyFill="1" applyBorder="1"/>
    <xf numFmtId="0" fontId="0" fillId="16" borderId="25" xfId="0" applyFill="1" applyBorder="1"/>
    <xf numFmtId="0" fontId="0" fillId="16" borderId="26" xfId="0" applyFill="1" applyBorder="1"/>
    <xf numFmtId="2" fontId="0" fillId="16" borderId="26" xfId="0" applyNumberFormat="1" applyFill="1" applyBorder="1"/>
    <xf numFmtId="0" fontId="0" fillId="0" borderId="25" xfId="0" applyBorder="1"/>
    <xf numFmtId="0" fontId="0" fillId="0" borderId="26" xfId="0" applyBorder="1"/>
    <xf numFmtId="2" fontId="0" fillId="0" borderId="26" xfId="0" applyNumberFormat="1" applyBorder="1"/>
    <xf numFmtId="2" fontId="0" fillId="0" borderId="0" xfId="0" applyNumberFormat="1"/>
    <xf numFmtId="4" fontId="0" fillId="4" borderId="12" xfId="0" applyNumberFormat="1" applyFill="1" applyBorder="1"/>
    <xf numFmtId="0" fontId="27" fillId="15" borderId="27" xfId="0" applyFont="1" applyFill="1" applyBorder="1"/>
    <xf numFmtId="0" fontId="0" fillId="16" borderId="27" xfId="0" applyFill="1" applyBorder="1"/>
    <xf numFmtId="0" fontId="0" fillId="0" borderId="27" xfId="0" applyBorder="1"/>
    <xf numFmtId="2" fontId="0" fillId="0" borderId="12" xfId="0" applyNumberFormat="1" applyBorder="1"/>
    <xf numFmtId="0" fontId="32" fillId="0" borderId="0" xfId="0" applyFont="1" applyAlignment="1">
      <alignment vertical="center"/>
    </xf>
    <xf numFmtId="0" fontId="0" fillId="0" borderId="12" xfId="0" applyBorder="1" applyAlignment="1">
      <alignment horizontal="center" wrapText="1"/>
    </xf>
    <xf numFmtId="0" fontId="33" fillId="14" borderId="0" xfId="0" applyFont="1" applyFill="1"/>
    <xf numFmtId="0" fontId="8" fillId="14" borderId="0" xfId="0" applyFont="1" applyFill="1"/>
    <xf numFmtId="0" fontId="30" fillId="14" borderId="0" xfId="0" applyFont="1" applyFill="1" applyAlignment="1">
      <alignment horizontal="center"/>
    </xf>
    <xf numFmtId="3" fontId="0" fillId="14" borderId="0" xfId="0" applyNumberFormat="1" applyFill="1" applyAlignment="1">
      <alignment horizontal="center"/>
    </xf>
    <xf numFmtId="168" fontId="0" fillId="14" borderId="0" xfId="0" applyNumberFormat="1" applyFill="1" applyAlignment="1">
      <alignment horizontal="center"/>
    </xf>
    <xf numFmtId="168" fontId="33" fillId="14" borderId="0" xfId="0" applyNumberFormat="1" applyFont="1" applyFill="1" applyAlignment="1">
      <alignment horizontal="center"/>
    </xf>
    <xf numFmtId="0" fontId="28" fillId="14" borderId="0" xfId="0" applyFont="1" applyFill="1" applyAlignment="1">
      <alignment horizontal="center"/>
    </xf>
    <xf numFmtId="0" fontId="0" fillId="14" borderId="0" xfId="0" applyFill="1" applyAlignment="1">
      <alignment horizontal="center"/>
    </xf>
    <xf numFmtId="0" fontId="21" fillId="17" borderId="0" xfId="0" applyFont="1" applyFill="1"/>
    <xf numFmtId="0" fontId="0" fillId="17" borderId="0" xfId="0" applyFill="1"/>
    <xf numFmtId="0" fontId="22" fillId="17" borderId="0" xfId="0" applyFont="1" applyFill="1"/>
    <xf numFmtId="0" fontId="19" fillId="17" borderId="0" xfId="0" applyFont="1" applyFill="1" applyAlignment="1">
      <alignment horizontal="center"/>
    </xf>
    <xf numFmtId="2" fontId="0" fillId="17" borderId="0" xfId="0" applyNumberFormat="1" applyFill="1" applyAlignment="1">
      <alignment horizontal="center"/>
    </xf>
    <xf numFmtId="3" fontId="0" fillId="17" borderId="0" xfId="0" applyNumberFormat="1" applyFill="1" applyAlignment="1">
      <alignment horizontal="center"/>
    </xf>
    <xf numFmtId="168" fontId="0" fillId="17" borderId="0" xfId="0" applyNumberFormat="1" applyFill="1" applyAlignment="1">
      <alignment horizontal="center"/>
    </xf>
    <xf numFmtId="0" fontId="33" fillId="17" borderId="0" xfId="0" applyFont="1" applyFill="1"/>
    <xf numFmtId="168" fontId="33" fillId="17" borderId="0" xfId="0" applyNumberFormat="1" applyFont="1" applyFill="1" applyAlignment="1">
      <alignment horizontal="center"/>
    </xf>
    <xf numFmtId="0" fontId="28" fillId="17" borderId="0" xfId="0" applyFont="1" applyFill="1" applyAlignment="1">
      <alignment horizontal="center"/>
    </xf>
    <xf numFmtId="0" fontId="8" fillId="17" borderId="0" xfId="0" applyFont="1" applyFill="1"/>
    <xf numFmtId="0" fontId="0" fillId="17" borderId="0" xfId="0" applyFill="1" applyAlignment="1">
      <alignment horizontal="center"/>
    </xf>
    <xf numFmtId="0" fontId="30" fillId="17" borderId="0" xfId="0" applyFont="1" applyFill="1" applyAlignment="1">
      <alignment horizontal="center"/>
    </xf>
    <xf numFmtId="171" fontId="0" fillId="14" borderId="0" xfId="0" applyNumberFormat="1" applyFill="1" applyAlignment="1">
      <alignment horizontal="center"/>
    </xf>
    <xf numFmtId="171" fontId="0" fillId="17" borderId="0" xfId="0" applyNumberFormat="1" applyFill="1" applyAlignment="1">
      <alignment horizontal="center"/>
    </xf>
    <xf numFmtId="0" fontId="19" fillId="9" borderId="0" xfId="0" applyFont="1" applyFill="1"/>
    <xf numFmtId="0" fontId="20" fillId="9" borderId="0" xfId="0" applyFont="1" applyFill="1"/>
    <xf numFmtId="0" fontId="19" fillId="14" borderId="0" xfId="0" applyFont="1" applyFill="1"/>
    <xf numFmtId="0" fontId="20" fillId="14" borderId="0" xfId="0" applyFont="1" applyFill="1"/>
    <xf numFmtId="0" fontId="19" fillId="0" borderId="0" xfId="0" applyFont="1" applyAlignment="1">
      <alignment horizontal="right"/>
    </xf>
    <xf numFmtId="0" fontId="22" fillId="0" borderId="0" xfId="0" applyFont="1"/>
    <xf numFmtId="0" fontId="8" fillId="0" borderId="0" xfId="0" applyFont="1" applyAlignment="1">
      <alignment horizontal="right"/>
    </xf>
    <xf numFmtId="0" fontId="0" fillId="0" borderId="0" xfId="0" applyAlignment="1">
      <alignment horizontal="right"/>
    </xf>
    <xf numFmtId="3" fontId="19" fillId="9" borderId="0" xfId="0" applyNumberFormat="1" applyFont="1" applyFill="1"/>
    <xf numFmtId="3" fontId="19" fillId="13" borderId="0" xfId="0" applyNumberFormat="1" applyFont="1" applyFill="1"/>
    <xf numFmtId="3" fontId="19" fillId="14" borderId="0" xfId="0" applyNumberFormat="1" applyFont="1" applyFill="1"/>
    <xf numFmtId="3" fontId="19" fillId="17" borderId="0" xfId="0" applyNumberFormat="1" applyFont="1" applyFill="1"/>
    <xf numFmtId="3" fontId="0" fillId="17" borderId="0" xfId="0" applyNumberFormat="1" applyFill="1"/>
    <xf numFmtId="3" fontId="8" fillId="14" borderId="0" xfId="0" applyNumberFormat="1" applyFont="1" applyFill="1"/>
    <xf numFmtId="0" fontId="8" fillId="10" borderId="0" xfId="0" applyFont="1" applyFill="1"/>
    <xf numFmtId="3" fontId="19" fillId="10" borderId="0" xfId="0" applyNumberFormat="1" applyFont="1" applyFill="1"/>
    <xf numFmtId="3" fontId="0" fillId="10" borderId="0" xfId="0" applyNumberFormat="1" applyFill="1"/>
    <xf numFmtId="0" fontId="34" fillId="0" borderId="0" xfId="0" applyFont="1"/>
    <xf numFmtId="0" fontId="34" fillId="14" borderId="0" xfId="0" applyFont="1" applyFill="1"/>
    <xf numFmtId="0" fontId="34" fillId="10" borderId="0" xfId="0" applyFont="1" applyFill="1"/>
    <xf numFmtId="9" fontId="33" fillId="14" borderId="0" xfId="1" applyFont="1" applyFill="1"/>
    <xf numFmtId="3" fontId="8" fillId="17" borderId="0" xfId="0" applyNumberFormat="1" applyFont="1" applyFill="1"/>
    <xf numFmtId="0" fontId="34" fillId="17" borderId="0" xfId="0" applyFont="1" applyFill="1"/>
    <xf numFmtId="9" fontId="33" fillId="17" borderId="0" xfId="1" applyFont="1" applyFill="1"/>
    <xf numFmtId="3" fontId="8" fillId="9" borderId="0" xfId="0" applyNumberFormat="1" applyFont="1" applyFill="1"/>
    <xf numFmtId="0" fontId="34" fillId="9" borderId="0" xfId="0" applyFont="1" applyFill="1"/>
    <xf numFmtId="0" fontId="33" fillId="9" borderId="0" xfId="0" applyFont="1" applyFill="1"/>
    <xf numFmtId="9" fontId="33" fillId="9" borderId="0" xfId="1" applyFont="1" applyFill="1"/>
    <xf numFmtId="3" fontId="8" fillId="13" borderId="0" xfId="0" applyNumberFormat="1" applyFont="1" applyFill="1"/>
    <xf numFmtId="0" fontId="34" fillId="13" borderId="0" xfId="0" applyFont="1" applyFill="1"/>
    <xf numFmtId="0" fontId="33" fillId="13" borderId="0" xfId="0" applyFont="1" applyFill="1"/>
    <xf numFmtId="9" fontId="33" fillId="13" borderId="0" xfId="1" applyFont="1" applyFill="1"/>
    <xf numFmtId="3" fontId="8" fillId="10" borderId="0" xfId="0" applyNumberFormat="1" applyFont="1" applyFill="1"/>
    <xf numFmtId="0" fontId="2" fillId="0" borderId="0" xfId="0" applyFont="1"/>
    <xf numFmtId="0" fontId="19" fillId="13" borderId="0" xfId="0" applyFont="1" applyFill="1"/>
    <xf numFmtId="0" fontId="8" fillId="12" borderId="0" xfId="0" applyFont="1" applyFill="1"/>
    <xf numFmtId="0" fontId="0" fillId="12" borderId="0" xfId="0" applyFill="1"/>
    <xf numFmtId="3" fontId="19" fillId="12" borderId="0" xfId="0" applyNumberFormat="1" applyFont="1" applyFill="1"/>
    <xf numFmtId="0" fontId="35" fillId="0" borderId="0" xfId="0" applyFont="1"/>
    <xf numFmtId="0" fontId="19" fillId="5" borderId="0" xfId="0" applyFont="1" applyFill="1"/>
    <xf numFmtId="172" fontId="37" fillId="5" borderId="0" xfId="0" applyNumberFormat="1" applyFont="1" applyFill="1" applyAlignment="1">
      <alignment horizontal="center"/>
    </xf>
    <xf numFmtId="9" fontId="0" fillId="5" borderId="0" xfId="1" applyFont="1" applyFill="1"/>
    <xf numFmtId="0" fontId="10" fillId="18" borderId="0" xfId="0" applyFont="1" applyFill="1" applyAlignment="1">
      <alignment horizontal="left"/>
    </xf>
    <xf numFmtId="0" fontId="19" fillId="0" borderId="0" xfId="0" applyFont="1" applyAlignment="1">
      <alignment horizontal="left"/>
    </xf>
    <xf numFmtId="0" fontId="10" fillId="20" borderId="0" xfId="0" applyFont="1" applyFill="1" applyAlignment="1">
      <alignment horizontal="left"/>
    </xf>
    <xf numFmtId="0" fontId="0" fillId="20" borderId="0" xfId="0" applyFill="1"/>
    <xf numFmtId="9" fontId="0" fillId="20" borderId="0" xfId="0" applyNumberFormat="1" applyFill="1"/>
    <xf numFmtId="0" fontId="8" fillId="20" borderId="0" xfId="0" applyFont="1" applyFill="1"/>
    <xf numFmtId="0" fontId="7" fillId="20" borderId="0" xfId="0" applyFont="1" applyFill="1"/>
    <xf numFmtId="0" fontId="10" fillId="21" borderId="0" xfId="0" applyFont="1" applyFill="1" applyAlignment="1">
      <alignment horizontal="left"/>
    </xf>
    <xf numFmtId="0" fontId="20" fillId="0" borderId="0" xfId="0" applyFont="1" applyAlignment="1">
      <alignment horizontal="left"/>
    </xf>
    <xf numFmtId="0" fontId="0" fillId="22" borderId="0" xfId="0" applyFill="1"/>
    <xf numFmtId="0" fontId="0" fillId="19" borderId="0" xfId="0" applyFill="1"/>
    <xf numFmtId="0" fontId="31" fillId="5" borderId="0" xfId="0" applyFont="1" applyFill="1" applyAlignment="1">
      <alignment horizontal="center"/>
    </xf>
    <xf numFmtId="0" fontId="23" fillId="5" borderId="0" xfId="0" applyFont="1" applyFill="1" applyAlignment="1">
      <alignment horizontal="left"/>
    </xf>
    <xf numFmtId="0" fontId="30" fillId="5" borderId="0" xfId="0" applyFont="1" applyFill="1" applyAlignment="1">
      <alignment horizontal="left"/>
    </xf>
    <xf numFmtId="0" fontId="39" fillId="5" borderId="0" xfId="0" applyFont="1" applyFill="1" applyAlignment="1">
      <alignment vertical="center"/>
    </xf>
    <xf numFmtId="172" fontId="40" fillId="5" borderId="0" xfId="0" applyNumberFormat="1" applyFont="1" applyFill="1" applyAlignment="1">
      <alignment horizontal="center"/>
    </xf>
    <xf numFmtId="0" fontId="19" fillId="2" borderId="0" xfId="0" applyFont="1" applyFill="1" applyAlignment="1">
      <alignment horizontal="center" vertical="center"/>
    </xf>
    <xf numFmtId="0" fontId="38" fillId="5" borderId="0" xfId="0" applyFont="1" applyFill="1" applyAlignment="1">
      <alignment horizontal="center"/>
    </xf>
    <xf numFmtId="0" fontId="19" fillId="5" borderId="0" xfId="0" applyFont="1" applyFill="1" applyAlignment="1">
      <alignment vertical="center"/>
    </xf>
    <xf numFmtId="0" fontId="41" fillId="5" borderId="0" xfId="0" applyFont="1" applyFill="1"/>
    <xf numFmtId="0" fontId="8" fillId="5" borderId="0" xfId="0" applyFont="1" applyFill="1"/>
    <xf numFmtId="9" fontId="7" fillId="5" borderId="0" xfId="0" applyNumberFormat="1" applyFont="1" applyFill="1"/>
    <xf numFmtId="0" fontId="0" fillId="5" borderId="0" xfId="0" applyFill="1" applyProtection="1">
      <protection locked="0"/>
    </xf>
    <xf numFmtId="3" fontId="8" fillId="5" borderId="0" xfId="0" applyNumberFormat="1" applyFont="1" applyFill="1" applyProtection="1">
      <protection locked="0"/>
    </xf>
    <xf numFmtId="0" fontId="30" fillId="5" borderId="0" xfId="0" applyFont="1" applyFill="1" applyAlignment="1">
      <alignment vertical="center"/>
    </xf>
    <xf numFmtId="9" fontId="28" fillId="5" borderId="0" xfId="1" applyFont="1" applyFill="1"/>
    <xf numFmtId="0" fontId="28" fillId="5" borderId="0" xfId="0" applyFont="1" applyFill="1"/>
    <xf numFmtId="0" fontId="44" fillId="5" borderId="0" xfId="0" applyFont="1" applyFill="1"/>
    <xf numFmtId="0" fontId="43" fillId="5" borderId="0" xfId="0" applyFont="1" applyFill="1"/>
    <xf numFmtId="9" fontId="28" fillId="5" borderId="0" xfId="0" applyNumberFormat="1" applyFont="1" applyFill="1"/>
    <xf numFmtId="0" fontId="28" fillId="5" borderId="0" xfId="0" applyFont="1" applyFill="1" applyProtection="1">
      <protection locked="0"/>
    </xf>
    <xf numFmtId="3" fontId="43" fillId="5" borderId="0" xfId="0" applyNumberFormat="1" applyFont="1" applyFill="1" applyProtection="1">
      <protection locked="0"/>
    </xf>
    <xf numFmtId="0" fontId="23" fillId="23" borderId="0" xfId="0" applyFont="1" applyFill="1" applyAlignment="1">
      <alignment horizontal="left"/>
    </xf>
    <xf numFmtId="0" fontId="10" fillId="23" borderId="0" xfId="0" applyFont="1" applyFill="1" applyAlignment="1">
      <alignment horizontal="left"/>
    </xf>
    <xf numFmtId="0" fontId="42" fillId="23" borderId="0" xfId="0" applyFont="1" applyFill="1" applyAlignment="1">
      <alignment horizontal="center"/>
    </xf>
    <xf numFmtId="0" fontId="38" fillId="23" borderId="0" xfId="0" applyFont="1" applyFill="1" applyAlignment="1">
      <alignment horizontal="center"/>
    </xf>
    <xf numFmtId="0" fontId="30" fillId="23" borderId="0" xfId="0" applyFont="1" applyFill="1" applyAlignment="1">
      <alignment vertical="center"/>
    </xf>
    <xf numFmtId="0" fontId="19" fillId="23" borderId="0" xfId="0" applyFont="1" applyFill="1" applyAlignment="1">
      <alignment vertical="center"/>
    </xf>
    <xf numFmtId="0" fontId="31" fillId="23" borderId="0" xfId="0" applyFont="1" applyFill="1" applyAlignment="1">
      <alignment horizontal="center"/>
    </xf>
    <xf numFmtId="0" fontId="34" fillId="24" borderId="0" xfId="0" applyFont="1" applyFill="1"/>
    <xf numFmtId="0" fontId="28" fillId="23" borderId="0" xfId="0" applyFont="1" applyFill="1"/>
    <xf numFmtId="0" fontId="0" fillId="23" borderId="0" xfId="0" applyFill="1"/>
    <xf numFmtId="172" fontId="37" fillId="23" borderId="0" xfId="0" applyNumberFormat="1" applyFont="1" applyFill="1" applyAlignment="1">
      <alignment horizontal="center"/>
    </xf>
    <xf numFmtId="172" fontId="40" fillId="23" borderId="0" xfId="0" applyNumberFormat="1" applyFont="1" applyFill="1" applyAlignment="1">
      <alignment horizontal="center"/>
    </xf>
    <xf numFmtId="9" fontId="28" fillId="23" borderId="0" xfId="1" applyFont="1" applyFill="1"/>
    <xf numFmtId="9" fontId="0" fillId="23" borderId="0" xfId="1" applyFont="1" applyFill="1"/>
    <xf numFmtId="0" fontId="43" fillId="23" borderId="0" xfId="0" applyFont="1" applyFill="1"/>
    <xf numFmtId="0" fontId="8" fillId="23" borderId="0" xfId="0" applyFont="1" applyFill="1"/>
    <xf numFmtId="9" fontId="28" fillId="23" borderId="0" xfId="0" applyNumberFormat="1" applyFont="1" applyFill="1"/>
    <xf numFmtId="9" fontId="7" fillId="23" borderId="0" xfId="0" applyNumberFormat="1" applyFont="1" applyFill="1"/>
    <xf numFmtId="0" fontId="28" fillId="23" borderId="0" xfId="0" applyFont="1" applyFill="1" applyProtection="1">
      <protection locked="0"/>
    </xf>
    <xf numFmtId="0" fontId="0" fillId="23" borderId="0" xfId="0" applyFill="1" applyProtection="1">
      <protection locked="0"/>
    </xf>
    <xf numFmtId="3" fontId="43" fillId="23" borderId="0" xfId="0" applyNumberFormat="1" applyFont="1" applyFill="1" applyProtection="1">
      <protection locked="0"/>
    </xf>
    <xf numFmtId="3" fontId="8" fillId="23" borderId="0" xfId="0" applyNumberFormat="1" applyFont="1" applyFill="1" applyProtection="1">
      <protection locked="0"/>
    </xf>
    <xf numFmtId="0" fontId="10" fillId="5" borderId="0" xfId="0" applyFont="1" applyFill="1"/>
    <xf numFmtId="3" fontId="5" fillId="22" borderId="13" xfId="0" applyNumberFormat="1" applyFont="1" applyFill="1" applyBorder="1"/>
    <xf numFmtId="0" fontId="8" fillId="0" borderId="0" xfId="0" applyFont="1" applyAlignment="1">
      <alignment wrapText="1"/>
    </xf>
    <xf numFmtId="0" fontId="31" fillId="26" borderId="0" xfId="0" applyFont="1" applyFill="1" applyAlignment="1">
      <alignment horizontal="center"/>
    </xf>
    <xf numFmtId="172" fontId="20" fillId="5" borderId="0" xfId="0" applyNumberFormat="1" applyFont="1" applyFill="1" applyAlignment="1">
      <alignment horizontal="center"/>
    </xf>
    <xf numFmtId="0" fontId="0" fillId="13" borderId="0" xfId="0" applyFill="1" applyAlignment="1">
      <alignment horizontal="center"/>
    </xf>
    <xf numFmtId="0" fontId="0" fillId="9" borderId="0" xfId="0" applyFill="1" applyAlignment="1">
      <alignment horizontal="center"/>
    </xf>
    <xf numFmtId="2" fontId="0" fillId="9" borderId="0" xfId="0" applyNumberFormat="1" applyFill="1" applyAlignment="1">
      <alignment horizontal="center"/>
    </xf>
    <xf numFmtId="0" fontId="28" fillId="13" borderId="0" xfId="0" applyFont="1" applyFill="1" applyAlignment="1">
      <alignment horizontal="center"/>
    </xf>
    <xf numFmtId="0" fontId="20" fillId="5" borderId="0" xfId="0" applyFont="1" applyFill="1" applyAlignment="1">
      <alignment horizontal="left"/>
    </xf>
    <xf numFmtId="0" fontId="19" fillId="14" borderId="0" xfId="0" applyFont="1" applyFill="1" applyAlignment="1">
      <alignment horizontal="left"/>
    </xf>
    <xf numFmtId="9" fontId="7" fillId="0" borderId="0" xfId="0" applyNumberFormat="1" applyFont="1" applyAlignment="1">
      <alignment horizontal="center"/>
    </xf>
    <xf numFmtId="0" fontId="0" fillId="19" borderId="0" xfId="0" applyFill="1" applyAlignment="1">
      <alignment horizontal="center"/>
    </xf>
    <xf numFmtId="0" fontId="0" fillId="19" borderId="0" xfId="0" applyFill="1" applyAlignment="1" applyProtection="1">
      <alignment horizontal="center"/>
      <protection locked="0"/>
    </xf>
    <xf numFmtId="3" fontId="8" fillId="19" borderId="0" xfId="0" applyNumberFormat="1" applyFont="1" applyFill="1" applyAlignment="1" applyProtection="1">
      <alignment horizontal="center"/>
      <protection locked="0"/>
    </xf>
    <xf numFmtId="0" fontId="10" fillId="8" borderId="0" xfId="0" applyFont="1" applyFill="1" applyAlignment="1">
      <alignment horizontal="center"/>
    </xf>
    <xf numFmtId="0" fontId="10" fillId="5" borderId="0" xfId="0" applyFont="1" applyFill="1" applyAlignment="1">
      <alignment horizontal="center"/>
    </xf>
    <xf numFmtId="0" fontId="10" fillId="18" borderId="0" xfId="0" applyFont="1" applyFill="1" applyAlignment="1">
      <alignment horizontal="center"/>
    </xf>
    <xf numFmtId="0" fontId="19" fillId="19" borderId="0" xfId="0" applyFont="1" applyFill="1" applyAlignment="1">
      <alignment horizontal="center"/>
    </xf>
    <xf numFmtId="0" fontId="20" fillId="0" borderId="0" xfId="0" applyFont="1" applyAlignment="1">
      <alignment horizontal="center"/>
    </xf>
    <xf numFmtId="10" fontId="20" fillId="5" borderId="0" xfId="0" applyNumberFormat="1" applyFont="1" applyFill="1" applyAlignment="1" applyProtection="1">
      <alignment horizontal="center"/>
      <protection locked="0"/>
    </xf>
    <xf numFmtId="9" fontId="0" fillId="19" borderId="0" xfId="1" applyFont="1" applyFill="1" applyAlignment="1">
      <alignment horizontal="center"/>
    </xf>
    <xf numFmtId="9" fontId="0" fillId="5" borderId="0" xfId="1" applyFont="1" applyFill="1" applyAlignment="1">
      <alignment horizontal="center"/>
    </xf>
    <xf numFmtId="0" fontId="41" fillId="0" borderId="0" xfId="0" applyFont="1" applyAlignment="1">
      <alignment horizontal="center"/>
    </xf>
    <xf numFmtId="9" fontId="0" fillId="0" borderId="0" xfId="1" applyFont="1" applyAlignment="1">
      <alignment horizontal="center"/>
    </xf>
    <xf numFmtId="0" fontId="20" fillId="5" borderId="0" xfId="0" applyFont="1" applyFill="1" applyAlignment="1">
      <alignment horizontal="center"/>
    </xf>
    <xf numFmtId="0" fontId="0" fillId="5" borderId="0" xfId="0" applyFill="1" applyAlignment="1">
      <alignment horizontal="center"/>
    </xf>
    <xf numFmtId="0" fontId="0" fillId="3" borderId="0" xfId="0" applyFill="1" applyAlignment="1">
      <alignment horizontal="center"/>
    </xf>
    <xf numFmtId="0" fontId="10" fillId="19" borderId="12" xfId="0" applyFont="1" applyFill="1" applyBorder="1" applyAlignment="1">
      <alignment horizontal="right"/>
    </xf>
    <xf numFmtId="172" fontId="37" fillId="23" borderId="0" xfId="0" applyNumberFormat="1" applyFont="1" applyFill="1" applyAlignment="1">
      <alignment horizontal="center" wrapText="1"/>
    </xf>
    <xf numFmtId="0" fontId="10" fillId="27" borderId="12" xfId="0" applyFont="1" applyFill="1" applyBorder="1" applyAlignment="1">
      <alignment horizontal="right"/>
    </xf>
    <xf numFmtId="10" fontId="20" fillId="27" borderId="0" xfId="0" applyNumberFormat="1" applyFont="1" applyFill="1" applyAlignment="1" applyProtection="1">
      <alignment horizontal="center"/>
      <protection locked="0"/>
    </xf>
    <xf numFmtId="9" fontId="0" fillId="27" borderId="0" xfId="1" applyFont="1" applyFill="1" applyAlignment="1">
      <alignment horizontal="center"/>
    </xf>
    <xf numFmtId="9" fontId="43" fillId="27" borderId="0" xfId="1" applyFont="1" applyFill="1" applyAlignment="1">
      <alignment horizontal="center"/>
    </xf>
    <xf numFmtId="0" fontId="0" fillId="27" borderId="0" xfId="0" applyFill="1" applyAlignment="1">
      <alignment horizontal="center"/>
    </xf>
    <xf numFmtId="0" fontId="31" fillId="27" borderId="0" xfId="0" applyFont="1" applyFill="1" applyAlignment="1">
      <alignment horizontal="center"/>
    </xf>
    <xf numFmtId="3" fontId="0" fillId="27" borderId="0" xfId="0" applyNumberFormat="1" applyFill="1" applyAlignment="1">
      <alignment horizontal="center"/>
    </xf>
    <xf numFmtId="3" fontId="0" fillId="0" borderId="0" xfId="0" applyNumberFormat="1"/>
    <xf numFmtId="0" fontId="28" fillId="5" borderId="28" xfId="0" applyFont="1" applyFill="1" applyBorder="1"/>
    <xf numFmtId="0" fontId="19" fillId="3" borderId="29" xfId="0" applyFont="1" applyFill="1" applyBorder="1" applyAlignment="1">
      <alignment horizontal="center"/>
    </xf>
    <xf numFmtId="0" fontId="8" fillId="10" borderId="28" xfId="0" applyFont="1" applyFill="1" applyBorder="1"/>
    <xf numFmtId="173" fontId="19" fillId="10" borderId="29" xfId="0" applyNumberFormat="1" applyFont="1" applyFill="1" applyBorder="1"/>
    <xf numFmtId="0" fontId="8" fillId="12" borderId="28" xfId="0" applyFont="1" applyFill="1" applyBorder="1"/>
    <xf numFmtId="173" fontId="19" fillId="12" borderId="29" xfId="0" applyNumberFormat="1" applyFont="1" applyFill="1" applyBorder="1"/>
    <xf numFmtId="0" fontId="33" fillId="12" borderId="28" xfId="0" applyFont="1" applyFill="1" applyBorder="1"/>
    <xf numFmtId="173" fontId="45" fillId="12" borderId="29" xfId="0" applyNumberFormat="1" applyFont="1" applyFill="1" applyBorder="1"/>
    <xf numFmtId="0" fontId="8" fillId="13" borderId="28" xfId="0" applyFont="1" applyFill="1" applyBorder="1"/>
    <xf numFmtId="173" fontId="19" fillId="13" borderId="29" xfId="0" applyNumberFormat="1" applyFont="1" applyFill="1" applyBorder="1"/>
    <xf numFmtId="0" fontId="33" fillId="13" borderId="28" xfId="0" applyFont="1" applyFill="1" applyBorder="1"/>
    <xf numFmtId="173" fontId="45" fillId="13" borderId="29" xfId="0" applyNumberFormat="1" applyFont="1" applyFill="1" applyBorder="1"/>
    <xf numFmtId="0" fontId="8" fillId="14" borderId="28" xfId="0" applyFont="1" applyFill="1" applyBorder="1"/>
    <xf numFmtId="173" fontId="19" fillId="14" borderId="29" xfId="0" applyNumberFormat="1" applyFont="1" applyFill="1" applyBorder="1"/>
    <xf numFmtId="0" fontId="33" fillId="14" borderId="28" xfId="0" applyFont="1" applyFill="1" applyBorder="1"/>
    <xf numFmtId="173" fontId="45" fillId="14" borderId="29" xfId="0" applyNumberFormat="1" applyFont="1" applyFill="1" applyBorder="1"/>
    <xf numFmtId="0" fontId="8" fillId="17" borderId="28" xfId="0" applyFont="1" applyFill="1" applyBorder="1"/>
    <xf numFmtId="173" fontId="19" fillId="17" borderId="29" xfId="0" applyNumberFormat="1" applyFont="1" applyFill="1" applyBorder="1"/>
    <xf numFmtId="0" fontId="33" fillId="17" borderId="28" xfId="0" applyFont="1" applyFill="1" applyBorder="1"/>
    <xf numFmtId="173" fontId="45" fillId="17" borderId="29" xfId="0" applyNumberFormat="1" applyFont="1" applyFill="1" applyBorder="1"/>
    <xf numFmtId="172" fontId="37" fillId="5" borderId="0" xfId="0" applyNumberFormat="1" applyFont="1" applyFill="1" applyAlignment="1">
      <alignment horizontal="left"/>
    </xf>
    <xf numFmtId="172" fontId="46" fillId="5" borderId="0" xfId="0" applyNumberFormat="1" applyFont="1" applyFill="1" applyAlignment="1">
      <alignment horizontal="left" wrapText="1"/>
    </xf>
    <xf numFmtId="0" fontId="20" fillId="0" borderId="0" xfId="0" applyFont="1" applyAlignment="1">
      <alignment vertical="top" wrapText="1"/>
    </xf>
    <xf numFmtId="10" fontId="20" fillId="6" borderId="0" xfId="0" applyNumberFormat="1" applyFont="1" applyFill="1" applyAlignment="1" applyProtection="1">
      <alignment horizontal="center"/>
      <protection locked="0"/>
    </xf>
    <xf numFmtId="168" fontId="0" fillId="13" borderId="0" xfId="0" applyNumberFormat="1" applyFill="1" applyAlignment="1">
      <alignment horizontal="center"/>
    </xf>
    <xf numFmtId="174" fontId="19" fillId="10" borderId="29" xfId="2" applyNumberFormat="1" applyFont="1" applyFill="1" applyBorder="1"/>
    <xf numFmtId="174" fontId="19" fillId="12" borderId="29" xfId="2" applyNumberFormat="1" applyFont="1" applyFill="1" applyBorder="1"/>
    <xf numFmtId="174" fontId="45" fillId="12" borderId="29" xfId="2" applyNumberFormat="1" applyFont="1" applyFill="1" applyBorder="1"/>
    <xf numFmtId="174" fontId="19" fillId="13" borderId="29" xfId="2" applyNumberFormat="1" applyFont="1" applyFill="1" applyBorder="1"/>
    <xf numFmtId="174" fontId="45" fillId="13" borderId="29" xfId="2" applyNumberFormat="1" applyFont="1" applyFill="1" applyBorder="1"/>
    <xf numFmtId="174" fontId="19" fillId="14" borderId="29" xfId="2" applyNumberFormat="1" applyFont="1" applyFill="1" applyBorder="1"/>
    <xf numFmtId="174" fontId="45" fillId="14" borderId="29" xfId="2" applyNumberFormat="1" applyFont="1" applyFill="1" applyBorder="1"/>
    <xf numFmtId="174" fontId="19" fillId="17" borderId="29" xfId="2" applyNumberFormat="1" applyFont="1" applyFill="1" applyBorder="1"/>
    <xf numFmtId="174" fontId="45" fillId="17" borderId="29" xfId="2" applyNumberFormat="1" applyFont="1" applyFill="1" applyBorder="1"/>
    <xf numFmtId="0" fontId="43" fillId="5" borderId="28" xfId="0" applyFont="1" applyFill="1" applyBorder="1"/>
    <xf numFmtId="3" fontId="8" fillId="5" borderId="0" xfId="0" applyNumberFormat="1" applyFont="1" applyFill="1"/>
    <xf numFmtId="0" fontId="19" fillId="18" borderId="0" xfId="0" applyFont="1" applyFill="1" applyAlignment="1">
      <alignment horizontal="center" vertical="center"/>
    </xf>
    <xf numFmtId="2" fontId="0" fillId="7" borderId="12" xfId="0" applyNumberFormat="1" applyFill="1" applyBorder="1" applyAlignment="1">
      <alignment horizontal="center"/>
    </xf>
    <xf numFmtId="2" fontId="33" fillId="14" borderId="0" xfId="0" applyNumberFormat="1" applyFont="1" applyFill="1" applyAlignment="1">
      <alignment horizontal="center"/>
    </xf>
    <xf numFmtId="2" fontId="33" fillId="17" borderId="0" xfId="0" applyNumberFormat="1" applyFont="1" applyFill="1" applyAlignment="1">
      <alignment horizontal="center"/>
    </xf>
    <xf numFmtId="0" fontId="28" fillId="0" borderId="0" xfId="0" applyFont="1"/>
    <xf numFmtId="0" fontId="31" fillId="6" borderId="0" xfId="0" applyFont="1" applyFill="1" applyAlignment="1">
      <alignment horizontal="center"/>
    </xf>
    <xf numFmtId="0" fontId="33" fillId="14" borderId="0" xfId="0" applyFont="1" applyFill="1" applyAlignment="1">
      <alignment horizontal="center"/>
    </xf>
    <xf numFmtId="9" fontId="33" fillId="9" borderId="0" xfId="1" applyFont="1" applyFill="1" applyAlignment="1">
      <alignment horizontal="center"/>
    </xf>
    <xf numFmtId="0" fontId="33" fillId="9" borderId="0" xfId="0" applyFont="1" applyFill="1" applyAlignment="1">
      <alignment horizontal="center"/>
    </xf>
    <xf numFmtId="0" fontId="47" fillId="9" borderId="0" xfId="0" applyFont="1" applyFill="1" applyAlignment="1">
      <alignment horizontal="center"/>
    </xf>
    <xf numFmtId="0" fontId="30" fillId="5" borderId="0" xfId="0" applyFont="1" applyFill="1" applyAlignment="1">
      <alignment horizontal="center"/>
    </xf>
    <xf numFmtId="0" fontId="33" fillId="5" borderId="0" xfId="0" applyFont="1" applyFill="1"/>
    <xf numFmtId="0" fontId="4" fillId="5" borderId="0" xfId="0" applyFont="1" applyFill="1"/>
    <xf numFmtId="0" fontId="24" fillId="5" borderId="0" xfId="0" applyFont="1" applyFill="1"/>
    <xf numFmtId="9" fontId="47" fillId="5" borderId="0" xfId="1" applyFont="1" applyFill="1" applyAlignment="1">
      <alignment horizontal="center"/>
    </xf>
    <xf numFmtId="175" fontId="47" fillId="5" borderId="0" xfId="2" applyNumberFormat="1" applyFont="1" applyFill="1" applyAlignment="1">
      <alignment horizontal="center"/>
    </xf>
    <xf numFmtId="0" fontId="48" fillId="5" borderId="0" xfId="0" applyFont="1" applyFill="1" applyAlignment="1">
      <alignment horizontal="center"/>
    </xf>
    <xf numFmtId="0" fontId="19" fillId="5" borderId="0" xfId="0" applyFont="1" applyFill="1" applyAlignment="1">
      <alignment horizontal="center"/>
    </xf>
    <xf numFmtId="9" fontId="49" fillId="13" borderId="0" xfId="1" applyFont="1" applyFill="1" applyAlignment="1">
      <alignment horizontal="center"/>
    </xf>
    <xf numFmtId="9" fontId="49" fillId="14" borderId="0" xfId="1" applyFont="1" applyFill="1" applyAlignment="1">
      <alignment horizontal="center"/>
    </xf>
    <xf numFmtId="9" fontId="33" fillId="17" borderId="0" xfId="1" applyFont="1" applyFill="1" applyAlignment="1">
      <alignment horizontal="center"/>
    </xf>
    <xf numFmtId="9" fontId="49" fillId="17" borderId="0" xfId="1" applyFont="1" applyFill="1" applyAlignment="1">
      <alignment horizontal="center"/>
    </xf>
    <xf numFmtId="0" fontId="36" fillId="5" borderId="0" xfId="0" applyFont="1" applyFill="1" applyAlignment="1">
      <alignment horizontal="center" vertical="center"/>
    </xf>
    <xf numFmtId="0" fontId="50" fillId="5" borderId="0" xfId="0" applyFont="1" applyFill="1" applyAlignment="1">
      <alignment horizontal="center" vertical="center"/>
    </xf>
    <xf numFmtId="0" fontId="49" fillId="9" borderId="0" xfId="0" applyFont="1" applyFill="1"/>
    <xf numFmtId="3" fontId="49" fillId="9" borderId="0" xfId="0" applyNumberFormat="1" applyFont="1" applyFill="1"/>
    <xf numFmtId="0" fontId="49" fillId="13" borderId="0" xfId="0" applyFont="1" applyFill="1"/>
    <xf numFmtId="3" fontId="49" fillId="13" borderId="0" xfId="0" applyNumberFormat="1" applyFont="1" applyFill="1"/>
    <xf numFmtId="0" fontId="49" fillId="14" borderId="0" xfId="0" applyFont="1" applyFill="1"/>
    <xf numFmtId="3" fontId="49" fillId="14" borderId="0" xfId="0" applyNumberFormat="1" applyFont="1" applyFill="1"/>
    <xf numFmtId="0" fontId="49" fillId="17" borderId="0" xfId="0" applyFont="1" applyFill="1"/>
    <xf numFmtId="3" fontId="49" fillId="17" borderId="0" xfId="0" applyNumberFormat="1" applyFont="1" applyFill="1"/>
    <xf numFmtId="0" fontId="49" fillId="10" borderId="0" xfId="0" applyFont="1" applyFill="1"/>
    <xf numFmtId="9" fontId="49" fillId="10" borderId="0" xfId="1" applyFont="1" applyFill="1"/>
    <xf numFmtId="0" fontId="38" fillId="10" borderId="0" xfId="0" applyFont="1" applyFill="1"/>
    <xf numFmtId="176" fontId="49" fillId="10" borderId="0" xfId="3" applyNumberFormat="1" applyFont="1" applyFill="1"/>
    <xf numFmtId="9" fontId="45" fillId="0" borderId="0" xfId="1" applyFont="1"/>
    <xf numFmtId="170" fontId="0" fillId="0" borderId="0" xfId="1" applyNumberFormat="1" applyFont="1"/>
    <xf numFmtId="10" fontId="0" fillId="0" borderId="0" xfId="1" applyNumberFormat="1" applyFont="1"/>
    <xf numFmtId="173" fontId="28" fillId="23" borderId="0" xfId="0" applyNumberFormat="1" applyFont="1" applyFill="1"/>
    <xf numFmtId="177" fontId="19" fillId="9" borderId="0" xfId="0" applyNumberFormat="1" applyFont="1" applyFill="1"/>
    <xf numFmtId="177" fontId="49" fillId="9" borderId="0" xfId="0" applyNumberFormat="1" applyFont="1" applyFill="1"/>
    <xf numFmtId="177" fontId="19" fillId="13" borderId="0" xfId="0" applyNumberFormat="1" applyFont="1" applyFill="1"/>
    <xf numFmtId="177" fontId="49" fillId="13" borderId="0" xfId="0" applyNumberFormat="1" applyFont="1" applyFill="1"/>
    <xf numFmtId="177" fontId="19" fillId="14" borderId="0" xfId="0" applyNumberFormat="1" applyFont="1" applyFill="1"/>
    <xf numFmtId="177" fontId="49" fillId="14" borderId="0" xfId="0" applyNumberFormat="1" applyFont="1" applyFill="1"/>
    <xf numFmtId="177" fontId="19" fillId="17" borderId="0" xfId="0" applyNumberFormat="1" applyFont="1" applyFill="1"/>
    <xf numFmtId="177" fontId="49" fillId="17" borderId="0" xfId="0" applyNumberFormat="1" applyFont="1" applyFill="1"/>
    <xf numFmtId="177" fontId="19" fillId="10" borderId="0" xfId="0" applyNumberFormat="1" applyFont="1" applyFill="1"/>
    <xf numFmtId="177" fontId="49" fillId="10" borderId="0" xfId="3" applyNumberFormat="1" applyFont="1" applyFill="1"/>
    <xf numFmtId="177" fontId="19" fillId="12" borderId="0" xfId="0" applyNumberFormat="1" applyFont="1" applyFill="1"/>
    <xf numFmtId="1" fontId="49" fillId="9" borderId="0" xfId="0" applyNumberFormat="1" applyFont="1" applyFill="1"/>
    <xf numFmtId="177" fontId="1" fillId="10" borderId="0" xfId="3" applyNumberFormat="1" applyFont="1" applyFill="1"/>
    <xf numFmtId="1" fontId="49" fillId="17" borderId="0" xfId="0" applyNumberFormat="1" applyFont="1" applyFill="1"/>
    <xf numFmtId="1" fontId="49" fillId="14" borderId="0" xfId="0" applyNumberFormat="1" applyFont="1" applyFill="1"/>
    <xf numFmtId="1" fontId="49" fillId="13" borderId="0" xfId="0" applyNumberFormat="1" applyFont="1" applyFill="1"/>
    <xf numFmtId="2" fontId="8" fillId="17" borderId="0" xfId="0" applyNumberFormat="1" applyFont="1" applyFill="1" applyAlignment="1">
      <alignment horizontal="center"/>
    </xf>
    <xf numFmtId="171" fontId="8" fillId="17" borderId="0" xfId="0" applyNumberFormat="1" applyFont="1" applyFill="1" applyAlignment="1">
      <alignment horizontal="center"/>
    </xf>
    <xf numFmtId="171" fontId="8" fillId="14" borderId="0" xfId="0" applyNumberFormat="1" applyFont="1" applyFill="1" applyAlignment="1">
      <alignment horizontal="center"/>
    </xf>
    <xf numFmtId="2" fontId="8" fillId="14" borderId="0" xfId="0" applyNumberFormat="1" applyFont="1" applyFill="1" applyAlignment="1">
      <alignment horizontal="center"/>
    </xf>
    <xf numFmtId="2" fontId="8" fillId="13" borderId="0" xfId="0" applyNumberFormat="1" applyFont="1" applyFill="1" applyAlignment="1">
      <alignment horizontal="center"/>
    </xf>
    <xf numFmtId="2" fontId="8" fillId="9" borderId="0" xfId="0" applyNumberFormat="1" applyFont="1" applyFill="1" applyAlignment="1">
      <alignment horizontal="center"/>
    </xf>
    <xf numFmtId="2" fontId="19" fillId="9" borderId="0" xfId="0" applyNumberFormat="1" applyFont="1" applyFill="1" applyAlignment="1">
      <alignment horizontal="center"/>
    </xf>
    <xf numFmtId="2" fontId="19" fillId="13" borderId="0" xfId="0" applyNumberFormat="1" applyFont="1" applyFill="1" applyAlignment="1">
      <alignment horizontal="center"/>
    </xf>
    <xf numFmtId="2" fontId="19" fillId="14" borderId="0" xfId="0" applyNumberFormat="1" applyFont="1" applyFill="1" applyAlignment="1">
      <alignment horizontal="center"/>
    </xf>
    <xf numFmtId="2" fontId="19" fillId="17" borderId="0" xfId="0" applyNumberFormat="1" applyFont="1" applyFill="1" applyAlignment="1">
      <alignment horizontal="center"/>
    </xf>
    <xf numFmtId="0" fontId="33" fillId="17" borderId="0" xfId="0" applyFont="1" applyFill="1" applyAlignment="1">
      <alignment horizontal="center"/>
    </xf>
    <xf numFmtId="9" fontId="28" fillId="0" borderId="0" xfId="1" applyFont="1"/>
    <xf numFmtId="168" fontId="0" fillId="0" borderId="0" xfId="0" applyNumberFormat="1" applyAlignment="1">
      <alignment horizontal="center"/>
    </xf>
    <xf numFmtId="164" fontId="19" fillId="10" borderId="29" xfId="0" applyNumberFormat="1" applyFont="1" applyFill="1" applyBorder="1" applyAlignment="1">
      <alignment horizontal="center"/>
    </xf>
    <xf numFmtId="164" fontId="19" fillId="12" borderId="29" xfId="0" applyNumberFormat="1" applyFont="1" applyFill="1" applyBorder="1" applyAlignment="1">
      <alignment horizontal="center"/>
    </xf>
    <xf numFmtId="164" fontId="45" fillId="14" borderId="29" xfId="0" applyNumberFormat="1" applyFont="1" applyFill="1" applyBorder="1" applyAlignment="1">
      <alignment horizontal="center"/>
    </xf>
    <xf numFmtId="164" fontId="19" fillId="13" borderId="29" xfId="0" applyNumberFormat="1" applyFont="1" applyFill="1" applyBorder="1" applyAlignment="1">
      <alignment horizontal="center"/>
    </xf>
    <xf numFmtId="164" fontId="45" fillId="13" borderId="29" xfId="0" applyNumberFormat="1" applyFont="1" applyFill="1" applyBorder="1" applyAlignment="1">
      <alignment horizontal="center"/>
    </xf>
    <xf numFmtId="164" fontId="19" fillId="14" borderId="29" xfId="0" applyNumberFormat="1" applyFont="1" applyFill="1" applyBorder="1" applyAlignment="1">
      <alignment horizontal="center"/>
    </xf>
    <xf numFmtId="164" fontId="19" fillId="17" borderId="29" xfId="0" applyNumberFormat="1" applyFont="1" applyFill="1" applyBorder="1" applyAlignment="1">
      <alignment horizontal="center"/>
    </xf>
    <xf numFmtId="164" fontId="45" fillId="17" borderId="29" xfId="0" applyNumberFormat="1" applyFont="1" applyFill="1" applyBorder="1" applyAlignment="1">
      <alignment horizontal="center"/>
    </xf>
    <xf numFmtId="9" fontId="20" fillId="27" borderId="0" xfId="0" applyNumberFormat="1" applyFont="1" applyFill="1" applyAlignment="1">
      <alignment horizontal="center"/>
    </xf>
    <xf numFmtId="0" fontId="51" fillId="5" borderId="0" xfId="0" applyFont="1" applyFill="1" applyAlignment="1">
      <alignment horizontal="center"/>
    </xf>
    <xf numFmtId="0" fontId="48" fillId="0" borderId="0" xfId="0" applyFont="1" applyAlignment="1">
      <alignment horizontal="center"/>
    </xf>
    <xf numFmtId="172" fontId="20" fillId="27" borderId="0" xfId="0" applyNumberFormat="1" applyFont="1" applyFill="1" applyAlignment="1">
      <alignment horizontal="center"/>
    </xf>
    <xf numFmtId="9" fontId="20" fillId="5" borderId="0" xfId="0" applyNumberFormat="1" applyFont="1" applyFill="1" applyAlignment="1">
      <alignment horizontal="center"/>
    </xf>
    <xf numFmtId="0" fontId="19" fillId="27" borderId="0" xfId="0" applyFont="1" applyFill="1"/>
    <xf numFmtId="0" fontId="0" fillId="0" borderId="0" xfId="0" applyAlignment="1">
      <alignment horizontal="left"/>
    </xf>
    <xf numFmtId="165" fontId="0" fillId="0" borderId="0" xfId="0" applyNumberFormat="1" applyAlignment="1">
      <alignment horizontal="center"/>
    </xf>
    <xf numFmtId="3" fontId="5" fillId="3" borderId="28" xfId="0" applyNumberFormat="1" applyFont="1" applyFill="1" applyBorder="1"/>
    <xf numFmtId="3" fontId="5" fillId="3" borderId="29" xfId="0" applyNumberFormat="1" applyFont="1" applyFill="1" applyBorder="1"/>
    <xf numFmtId="3" fontId="5" fillId="5" borderId="29" xfId="0" applyNumberFormat="1" applyFont="1" applyFill="1" applyBorder="1"/>
    <xf numFmtId="3" fontId="5" fillId="5" borderId="30" xfId="0" applyNumberFormat="1" applyFont="1" applyFill="1" applyBorder="1"/>
    <xf numFmtId="3" fontId="5" fillId="22" borderId="33" xfId="0" applyNumberFormat="1" applyFont="1" applyFill="1" applyBorder="1"/>
    <xf numFmtId="3" fontId="5" fillId="22" borderId="34" xfId="0" applyNumberFormat="1" applyFont="1" applyFill="1" applyBorder="1"/>
    <xf numFmtId="3" fontId="5" fillId="22" borderId="35" xfId="0" applyNumberFormat="1" applyFont="1" applyFill="1" applyBorder="1"/>
    <xf numFmtId="3" fontId="5" fillId="26" borderId="36" xfId="0" applyNumberFormat="1" applyFont="1" applyFill="1" applyBorder="1"/>
    <xf numFmtId="3" fontId="5" fillId="22" borderId="37" xfId="0" applyNumberFormat="1" applyFont="1" applyFill="1" applyBorder="1"/>
    <xf numFmtId="3" fontId="5" fillId="26" borderId="38" xfId="0" applyNumberFormat="1" applyFont="1" applyFill="1" applyBorder="1"/>
    <xf numFmtId="3" fontId="5" fillId="26" borderId="37" xfId="0" applyNumberFormat="1" applyFont="1" applyFill="1" applyBorder="1"/>
    <xf numFmtId="3" fontId="5" fillId="26" borderId="39" xfId="0" applyNumberFormat="1" applyFont="1" applyFill="1" applyBorder="1"/>
    <xf numFmtId="3" fontId="5" fillId="26" borderId="40" xfId="0" applyNumberFormat="1" applyFont="1" applyFill="1" applyBorder="1"/>
    <xf numFmtId="3" fontId="5" fillId="26" borderId="20" xfId="0" applyNumberFormat="1" applyFont="1" applyFill="1" applyBorder="1"/>
    <xf numFmtId="0" fontId="19" fillId="2" borderId="28" xfId="0" applyFont="1" applyFill="1" applyBorder="1" applyAlignment="1">
      <alignment horizontal="center" vertical="center"/>
    </xf>
    <xf numFmtId="0" fontId="19" fillId="2" borderId="29" xfId="0" applyFont="1" applyFill="1" applyBorder="1" applyAlignment="1">
      <alignment horizontal="center" vertical="center"/>
    </xf>
    <xf numFmtId="0" fontId="19" fillId="2" borderId="30" xfId="0" applyFont="1" applyFill="1" applyBorder="1" applyAlignment="1">
      <alignment horizontal="center" vertical="center"/>
    </xf>
    <xf numFmtId="0" fontId="0" fillId="0" borderId="0" xfId="0" quotePrefix="1"/>
    <xf numFmtId="9" fontId="18" fillId="5" borderId="15" xfId="1" applyFont="1" applyFill="1" applyBorder="1" applyAlignment="1">
      <alignment horizontal="center"/>
    </xf>
    <xf numFmtId="3" fontId="5" fillId="27" borderId="14" xfId="0" applyNumberFormat="1" applyFont="1" applyFill="1" applyBorder="1"/>
    <xf numFmtId="3" fontId="5" fillId="27" borderId="36" xfId="0" applyNumberFormat="1" applyFont="1" applyFill="1" applyBorder="1"/>
    <xf numFmtId="3" fontId="5" fillId="27" borderId="38" xfId="0" applyNumberFormat="1" applyFont="1" applyFill="1" applyBorder="1"/>
    <xf numFmtId="3" fontId="5" fillId="27" borderId="39" xfId="0" applyNumberFormat="1" applyFont="1" applyFill="1" applyBorder="1"/>
    <xf numFmtId="3" fontId="5" fillId="27" borderId="20" xfId="0" applyNumberFormat="1" applyFont="1" applyFill="1" applyBorder="1"/>
    <xf numFmtId="3" fontId="5" fillId="27" borderId="15" xfId="0" applyNumberFormat="1" applyFont="1" applyFill="1" applyBorder="1"/>
    <xf numFmtId="0" fontId="52" fillId="5" borderId="0" xfId="0" applyFont="1" applyFill="1" applyAlignment="1">
      <alignment horizontal="center"/>
    </xf>
    <xf numFmtId="3" fontId="0" fillId="27" borderId="0" xfId="0" applyNumberFormat="1" applyFill="1" applyAlignment="1">
      <alignment horizontal="left"/>
    </xf>
    <xf numFmtId="3" fontId="0" fillId="5" borderId="0" xfId="0" applyNumberFormat="1" applyFill="1" applyAlignment="1">
      <alignment horizontal="left"/>
    </xf>
    <xf numFmtId="0" fontId="0" fillId="7" borderId="0" xfId="0" applyFill="1" applyAlignment="1">
      <alignment horizontal="center"/>
    </xf>
    <xf numFmtId="2" fontId="0" fillId="7" borderId="12" xfId="0" applyNumberFormat="1" applyFill="1" applyBorder="1"/>
    <xf numFmtId="0" fontId="0" fillId="7" borderId="0" xfId="0" applyFill="1"/>
    <xf numFmtId="0" fontId="0" fillId="7" borderId="12" xfId="0" applyFill="1" applyBorder="1" applyAlignment="1">
      <alignment horizontal="center" wrapText="1"/>
    </xf>
    <xf numFmtId="3" fontId="14" fillId="0" borderId="17" xfId="0" applyNumberFormat="1" applyFont="1" applyBorder="1" applyAlignment="1">
      <alignment horizontal="center"/>
    </xf>
    <xf numFmtId="3" fontId="14" fillId="0" borderId="18" xfId="0" applyNumberFormat="1" applyFont="1" applyBorder="1" applyAlignment="1">
      <alignment horizontal="center"/>
    </xf>
    <xf numFmtId="3" fontId="14" fillId="0" borderId="14" xfId="0" applyNumberFormat="1" applyFont="1" applyBorder="1" applyAlignment="1">
      <alignment horizontal="center"/>
    </xf>
    <xf numFmtId="3" fontId="14" fillId="0" borderId="20" xfId="0" applyNumberFormat="1" applyFont="1" applyBorder="1" applyAlignment="1">
      <alignment horizontal="center"/>
    </xf>
    <xf numFmtId="3" fontId="15" fillId="0" borderId="14" xfId="0" applyNumberFormat="1" applyFont="1" applyBorder="1" applyAlignment="1">
      <alignment horizontal="center"/>
    </xf>
    <xf numFmtId="3" fontId="15" fillId="0" borderId="20" xfId="0" applyNumberFormat="1" applyFont="1" applyBorder="1" applyAlignment="1">
      <alignment horizontal="center"/>
    </xf>
    <xf numFmtId="3" fontId="15" fillId="0" borderId="22" xfId="0" applyNumberFormat="1" applyFont="1" applyBorder="1" applyAlignment="1">
      <alignment horizontal="center"/>
    </xf>
    <xf numFmtId="3" fontId="15" fillId="0" borderId="31" xfId="0" applyNumberFormat="1" applyFont="1" applyBorder="1" applyAlignment="1">
      <alignment horizontal="center"/>
    </xf>
    <xf numFmtId="3" fontId="16" fillId="0" borderId="24" xfId="0" applyNumberFormat="1" applyFont="1" applyBorder="1" applyAlignment="1">
      <alignment horizontal="center"/>
    </xf>
    <xf numFmtId="3" fontId="16" fillId="0" borderId="32" xfId="0" applyNumberFormat="1" applyFont="1" applyBorder="1" applyAlignment="1">
      <alignment horizontal="center"/>
    </xf>
    <xf numFmtId="3" fontId="5" fillId="28" borderId="12" xfId="0" applyNumberFormat="1" applyFont="1" applyFill="1" applyBorder="1" applyAlignment="1">
      <alignment horizontal="center"/>
    </xf>
    <xf numFmtId="3" fontId="5" fillId="26" borderId="42" xfId="0" applyNumberFormat="1" applyFont="1" applyFill="1" applyBorder="1" applyAlignment="1">
      <alignment horizontal="center"/>
    </xf>
    <xf numFmtId="3" fontId="5" fillId="28" borderId="43" xfId="0" applyNumberFormat="1" applyFont="1" applyFill="1" applyBorder="1" applyAlignment="1">
      <alignment horizontal="center"/>
    </xf>
    <xf numFmtId="3" fontId="5" fillId="26" borderId="44" xfId="0" applyNumberFormat="1" applyFont="1" applyFill="1" applyBorder="1" applyAlignment="1">
      <alignment horizontal="center"/>
    </xf>
    <xf numFmtId="3" fontId="5" fillId="28" borderId="45" xfId="0" applyNumberFormat="1" applyFont="1" applyFill="1" applyBorder="1" applyAlignment="1">
      <alignment horizontal="center"/>
    </xf>
    <xf numFmtId="3" fontId="5" fillId="28" borderId="46" xfId="0" applyNumberFormat="1" applyFont="1" applyFill="1" applyBorder="1" applyAlignment="1">
      <alignment horizontal="center"/>
    </xf>
    <xf numFmtId="0" fontId="5" fillId="0" borderId="56" xfId="0" applyFont="1" applyBorder="1"/>
    <xf numFmtId="3" fontId="5" fillId="26" borderId="57" xfId="0" applyNumberFormat="1" applyFont="1" applyFill="1" applyBorder="1" applyAlignment="1">
      <alignment horizontal="center"/>
    </xf>
    <xf numFmtId="3" fontId="5" fillId="28" borderId="58" xfId="0" applyNumberFormat="1" applyFont="1" applyFill="1" applyBorder="1" applyAlignment="1">
      <alignment horizontal="center"/>
    </xf>
    <xf numFmtId="3" fontId="5" fillId="28" borderId="59" xfId="0" applyNumberFormat="1" applyFont="1" applyFill="1" applyBorder="1" applyAlignment="1">
      <alignment horizontal="center"/>
    </xf>
    <xf numFmtId="0" fontId="5" fillId="0" borderId="62" xfId="0" applyFont="1" applyBorder="1"/>
    <xf numFmtId="0" fontId="5" fillId="0" borderId="63" xfId="0" applyFont="1" applyBorder="1"/>
    <xf numFmtId="3" fontId="5" fillId="22" borderId="57" xfId="0" applyNumberFormat="1" applyFont="1" applyFill="1" applyBorder="1" applyAlignment="1">
      <alignment horizontal="center"/>
    </xf>
    <xf numFmtId="3" fontId="5" fillId="28" borderId="60" xfId="0" applyNumberFormat="1" applyFont="1" applyFill="1" applyBorder="1" applyAlignment="1">
      <alignment horizontal="center"/>
    </xf>
    <xf numFmtId="3" fontId="5" fillId="28" borderId="61" xfId="0" applyNumberFormat="1" applyFont="1" applyFill="1" applyBorder="1" applyAlignment="1">
      <alignment horizontal="center"/>
    </xf>
    <xf numFmtId="3" fontId="5" fillId="28" borderId="32" xfId="0" applyNumberFormat="1" applyFont="1" applyFill="1" applyBorder="1" applyAlignment="1">
      <alignment horizontal="center"/>
    </xf>
    <xf numFmtId="3" fontId="5" fillId="28" borderId="47" xfId="0" applyNumberFormat="1" applyFont="1" applyFill="1" applyBorder="1" applyAlignment="1">
      <alignment horizontal="center"/>
    </xf>
    <xf numFmtId="3" fontId="5" fillId="28" borderId="48" xfId="0" applyNumberFormat="1" applyFont="1" applyFill="1" applyBorder="1" applyAlignment="1">
      <alignment horizontal="center"/>
    </xf>
    <xf numFmtId="3" fontId="5" fillId="28" borderId="49" xfId="0" applyNumberFormat="1" applyFont="1" applyFill="1" applyBorder="1" applyAlignment="1">
      <alignment horizontal="center"/>
    </xf>
    <xf numFmtId="0" fontId="19" fillId="2" borderId="12" xfId="0" applyFont="1" applyFill="1" applyBorder="1" applyAlignment="1">
      <alignment horizontal="center" vertical="center"/>
    </xf>
    <xf numFmtId="0" fontId="19" fillId="2" borderId="43" xfId="0" applyFont="1" applyFill="1" applyBorder="1" applyAlignment="1">
      <alignment horizontal="center" vertical="center"/>
    </xf>
    <xf numFmtId="0" fontId="19" fillId="2" borderId="42" xfId="0" applyFont="1" applyFill="1" applyBorder="1" applyAlignment="1">
      <alignment horizontal="center" vertical="center"/>
    </xf>
    <xf numFmtId="0" fontId="19" fillId="2" borderId="32" xfId="0" applyFont="1" applyFill="1" applyBorder="1" applyAlignment="1">
      <alignment horizontal="center" vertical="center"/>
    </xf>
    <xf numFmtId="0" fontId="19" fillId="2" borderId="47" xfId="0" applyFont="1" applyFill="1" applyBorder="1" applyAlignment="1">
      <alignment horizontal="center" vertical="center"/>
    </xf>
    <xf numFmtId="3" fontId="0" fillId="0" borderId="12" xfId="0" applyNumberFormat="1" applyBorder="1" applyAlignment="1">
      <alignment horizontal="center"/>
    </xf>
    <xf numFmtId="3" fontId="8" fillId="0" borderId="12" xfId="0" applyNumberFormat="1" applyFont="1" applyBorder="1" applyAlignment="1">
      <alignment horizontal="center"/>
    </xf>
    <xf numFmtId="3" fontId="0" fillId="0" borderId="54" xfId="0" applyNumberFormat="1" applyBorder="1" applyAlignment="1">
      <alignment horizontal="center"/>
    </xf>
    <xf numFmtId="3" fontId="0" fillId="0" borderId="55" xfId="0" applyNumberFormat="1" applyBorder="1" applyAlignment="1">
      <alignment horizontal="center"/>
    </xf>
    <xf numFmtId="0" fontId="19" fillId="2" borderId="38" xfId="0" applyFont="1" applyFill="1" applyBorder="1" applyAlignment="1">
      <alignment horizontal="center" vertical="center"/>
    </xf>
    <xf numFmtId="0" fontId="19" fillId="2" borderId="40" xfId="0" applyFont="1" applyFill="1" applyBorder="1" applyAlignment="1">
      <alignment horizontal="center" vertical="center"/>
    </xf>
    <xf numFmtId="0" fontId="19" fillId="2" borderId="66" xfId="0" applyFont="1" applyFill="1" applyBorder="1" applyAlignment="1">
      <alignment horizontal="center" vertical="center"/>
    </xf>
    <xf numFmtId="0" fontId="19" fillId="2" borderId="67" xfId="0" applyFont="1" applyFill="1" applyBorder="1" applyAlignment="1">
      <alignment horizontal="center" vertical="center"/>
    </xf>
    <xf numFmtId="0" fontId="19" fillId="2" borderId="65" xfId="0" applyFont="1" applyFill="1" applyBorder="1" applyAlignment="1">
      <alignment horizontal="center" vertical="center"/>
    </xf>
    <xf numFmtId="0" fontId="14" fillId="0" borderId="68" xfId="0" applyFont="1" applyBorder="1"/>
    <xf numFmtId="0" fontId="14" fillId="0" borderId="69" xfId="0" applyFont="1" applyBorder="1"/>
    <xf numFmtId="0" fontId="15" fillId="0" borderId="69" xfId="0" applyFont="1" applyBorder="1"/>
    <xf numFmtId="3" fontId="0" fillId="0" borderId="53" xfId="0" applyNumberFormat="1" applyBorder="1" applyAlignment="1">
      <alignment horizontal="center"/>
    </xf>
    <xf numFmtId="3" fontId="0" fillId="0" borderId="42" xfId="0" applyNumberFormat="1" applyBorder="1" applyAlignment="1">
      <alignment horizontal="center"/>
    </xf>
    <xf numFmtId="3" fontId="8" fillId="0" borderId="42" xfId="0" applyNumberFormat="1" applyFont="1" applyBorder="1" applyAlignment="1">
      <alignment horizontal="center"/>
    </xf>
    <xf numFmtId="3" fontId="0" fillId="14" borderId="54" xfId="0" applyNumberFormat="1" applyFill="1" applyBorder="1" applyAlignment="1">
      <alignment horizontal="center"/>
    </xf>
    <xf numFmtId="3" fontId="0" fillId="14" borderId="55" xfId="0" applyNumberFormat="1" applyFill="1" applyBorder="1" applyAlignment="1">
      <alignment horizontal="center"/>
    </xf>
    <xf numFmtId="3" fontId="0" fillId="14" borderId="12" xfId="0" applyNumberFormat="1" applyFill="1" applyBorder="1" applyAlignment="1">
      <alignment horizontal="center"/>
    </xf>
    <xf numFmtId="3" fontId="8" fillId="14" borderId="12" xfId="0" applyNumberFormat="1" applyFont="1" applyFill="1" applyBorder="1" applyAlignment="1">
      <alignment horizontal="center"/>
    </xf>
    <xf numFmtId="3" fontId="0" fillId="28" borderId="54" xfId="0" applyNumberFormat="1" applyFill="1" applyBorder="1" applyAlignment="1">
      <alignment horizontal="center"/>
    </xf>
    <xf numFmtId="3" fontId="0" fillId="28" borderId="55" xfId="0" applyNumberFormat="1" applyFill="1" applyBorder="1" applyAlignment="1">
      <alignment horizontal="center"/>
    </xf>
    <xf numFmtId="3" fontId="0" fillId="28" borderId="12" xfId="0" applyNumberFormat="1" applyFill="1" applyBorder="1" applyAlignment="1">
      <alignment horizontal="center"/>
    </xf>
    <xf numFmtId="3" fontId="0" fillId="28" borderId="43" xfId="0" applyNumberFormat="1" applyFill="1" applyBorder="1" applyAlignment="1">
      <alignment horizontal="center"/>
    </xf>
    <xf numFmtId="3" fontId="8" fillId="28" borderId="12" xfId="0" applyNumberFormat="1" applyFont="1" applyFill="1" applyBorder="1" applyAlignment="1">
      <alignment horizontal="center"/>
    </xf>
    <xf numFmtId="0" fontId="15" fillId="0" borderId="70" xfId="0" applyFont="1" applyBorder="1"/>
    <xf numFmtId="3" fontId="8" fillId="0" borderId="50" xfId="0" applyNumberFormat="1" applyFont="1" applyBorder="1" applyAlignment="1">
      <alignment horizontal="center"/>
    </xf>
    <xf numFmtId="3" fontId="8" fillId="28" borderId="51" xfId="0" applyNumberFormat="1" applyFont="1" applyFill="1" applyBorder="1" applyAlignment="1">
      <alignment horizontal="center"/>
    </xf>
    <xf numFmtId="3" fontId="0" fillId="28" borderId="52" xfId="0" applyNumberFormat="1" applyFill="1" applyBorder="1" applyAlignment="1">
      <alignment horizontal="center"/>
    </xf>
    <xf numFmtId="3" fontId="8" fillId="14" borderId="51" xfId="0" applyNumberFormat="1" applyFont="1" applyFill="1" applyBorder="1" applyAlignment="1">
      <alignment horizontal="center"/>
    </xf>
    <xf numFmtId="3" fontId="0" fillId="14" borderId="41" xfId="0" applyNumberFormat="1" applyFill="1" applyBorder="1" applyAlignment="1">
      <alignment horizontal="center"/>
    </xf>
    <xf numFmtId="3" fontId="8" fillId="0" borderId="51" xfId="0" applyNumberFormat="1" applyFont="1" applyBorder="1" applyAlignment="1">
      <alignment horizontal="center"/>
    </xf>
    <xf numFmtId="0" fontId="15" fillId="0" borderId="64" xfId="0" applyFont="1" applyBorder="1"/>
    <xf numFmtId="3" fontId="24" fillId="0" borderId="38" xfId="0" applyNumberFormat="1" applyFont="1" applyBorder="1" applyAlignment="1">
      <alignment horizontal="center"/>
    </xf>
    <xf numFmtId="3" fontId="24" fillId="28" borderId="40" xfId="0" applyNumberFormat="1" applyFont="1" applyFill="1" applyBorder="1" applyAlignment="1">
      <alignment horizontal="center"/>
    </xf>
    <xf numFmtId="3" fontId="24" fillId="14" borderId="40" xfId="0" applyNumberFormat="1" applyFont="1" applyFill="1" applyBorder="1" applyAlignment="1">
      <alignment horizontal="center"/>
    </xf>
    <xf numFmtId="3" fontId="24" fillId="0" borderId="40" xfId="0" applyNumberFormat="1" applyFont="1" applyBorder="1" applyAlignment="1">
      <alignment horizontal="center"/>
    </xf>
    <xf numFmtId="3" fontId="24" fillId="0" borderId="66" xfId="0" applyNumberFormat="1" applyFont="1" applyBorder="1" applyAlignment="1">
      <alignment horizontal="center"/>
    </xf>
    <xf numFmtId="3" fontId="0" fillId="0" borderId="41" xfId="0" applyNumberFormat="1" applyBorder="1" applyAlignment="1">
      <alignment horizontal="center"/>
    </xf>
    <xf numFmtId="3" fontId="5" fillId="7" borderId="57" xfId="0" applyNumberFormat="1" applyFont="1" applyFill="1" applyBorder="1" applyAlignment="1">
      <alignment horizontal="center"/>
    </xf>
    <xf numFmtId="3" fontId="5" fillId="7" borderId="58" xfId="0" applyNumberFormat="1" applyFont="1" applyFill="1" applyBorder="1" applyAlignment="1">
      <alignment horizontal="center"/>
    </xf>
    <xf numFmtId="3" fontId="5" fillId="7" borderId="59" xfId="0" applyNumberFormat="1" applyFont="1" applyFill="1" applyBorder="1" applyAlignment="1">
      <alignment horizontal="center"/>
    </xf>
    <xf numFmtId="3" fontId="5" fillId="7" borderId="42" xfId="0" applyNumberFormat="1" applyFont="1" applyFill="1" applyBorder="1" applyAlignment="1">
      <alignment horizontal="center"/>
    </xf>
    <xf numFmtId="3" fontId="5" fillId="7" borderId="12" xfId="0" applyNumberFormat="1" applyFont="1" applyFill="1" applyBorder="1" applyAlignment="1">
      <alignment horizontal="center"/>
    </xf>
    <xf numFmtId="3" fontId="5" fillId="7" borderId="43" xfId="0" applyNumberFormat="1" applyFont="1" applyFill="1" applyBorder="1" applyAlignment="1">
      <alignment horizontal="center"/>
    </xf>
    <xf numFmtId="3" fontId="5" fillId="7" borderId="44" xfId="0" applyNumberFormat="1" applyFont="1" applyFill="1" applyBorder="1" applyAlignment="1">
      <alignment horizontal="center"/>
    </xf>
    <xf numFmtId="3" fontId="5" fillId="7" borderId="45" xfId="0" applyNumberFormat="1" applyFont="1" applyFill="1" applyBorder="1" applyAlignment="1">
      <alignment horizontal="center"/>
    </xf>
    <xf numFmtId="3" fontId="5" fillId="7" borderId="46" xfId="0" applyNumberFormat="1" applyFont="1" applyFill="1" applyBorder="1" applyAlignment="1">
      <alignment horizontal="center"/>
    </xf>
    <xf numFmtId="3" fontId="5" fillId="29" borderId="57" xfId="0" applyNumberFormat="1" applyFont="1" applyFill="1" applyBorder="1" applyAlignment="1">
      <alignment horizontal="center"/>
    </xf>
    <xf numFmtId="3" fontId="5" fillId="29" borderId="58" xfId="0" applyNumberFormat="1" applyFont="1" applyFill="1" applyBorder="1" applyAlignment="1">
      <alignment horizontal="center"/>
    </xf>
    <xf numFmtId="3" fontId="5" fillId="29" borderId="59" xfId="0" applyNumberFormat="1" applyFont="1" applyFill="1" applyBorder="1" applyAlignment="1">
      <alignment horizontal="center"/>
    </xf>
    <xf numFmtId="3" fontId="18" fillId="29" borderId="42" xfId="0" applyNumberFormat="1" applyFont="1" applyFill="1" applyBorder="1" applyAlignment="1">
      <alignment horizontal="center"/>
    </xf>
    <xf numFmtId="3" fontId="5" fillId="29" borderId="12" xfId="0" applyNumberFormat="1" applyFont="1" applyFill="1" applyBorder="1" applyAlignment="1">
      <alignment horizontal="center"/>
    </xf>
    <xf numFmtId="3" fontId="5" fillId="29" borderId="43" xfId="0" applyNumberFormat="1" applyFont="1" applyFill="1" applyBorder="1" applyAlignment="1">
      <alignment horizontal="center"/>
    </xf>
    <xf numFmtId="3" fontId="5" fillId="29" borderId="44" xfId="0" applyNumberFormat="1" applyFont="1" applyFill="1" applyBorder="1" applyAlignment="1">
      <alignment horizontal="center"/>
    </xf>
    <xf numFmtId="3" fontId="5" fillId="29" borderId="45" xfId="0" applyNumberFormat="1" applyFont="1" applyFill="1" applyBorder="1" applyAlignment="1">
      <alignment horizontal="center"/>
    </xf>
    <xf numFmtId="3" fontId="5" fillId="29" borderId="46" xfId="0" applyNumberFormat="1" applyFont="1" applyFill="1" applyBorder="1" applyAlignment="1">
      <alignment horizontal="center"/>
    </xf>
    <xf numFmtId="3" fontId="5" fillId="29" borderId="42" xfId="0" applyNumberFormat="1" applyFont="1" applyFill="1" applyBorder="1" applyAlignment="1">
      <alignment horizontal="center"/>
    </xf>
    <xf numFmtId="178" fontId="24" fillId="28" borderId="66" xfId="0" applyNumberFormat="1" applyFont="1" applyFill="1" applyBorder="1" applyAlignment="1">
      <alignment horizontal="center"/>
    </xf>
    <xf numFmtId="4" fontId="24" fillId="14" borderId="66" xfId="0" applyNumberFormat="1" applyFont="1" applyFill="1" applyBorder="1" applyAlignment="1">
      <alignment horizontal="center"/>
    </xf>
    <xf numFmtId="0" fontId="10" fillId="25" borderId="0" xfId="0" applyFont="1" applyFill="1" applyAlignment="1">
      <alignment horizontal="left" wrapText="1"/>
    </xf>
    <xf numFmtId="0" fontId="11" fillId="9" borderId="1" xfId="0" applyFont="1" applyFill="1" applyBorder="1" applyAlignment="1">
      <alignment vertical="center" textRotation="90"/>
    </xf>
    <xf numFmtId="0" fontId="11" fillId="9" borderId="5" xfId="0" applyFont="1" applyFill="1" applyBorder="1" applyAlignment="1">
      <alignment vertical="center" textRotation="90"/>
    </xf>
    <xf numFmtId="0" fontId="11" fillId="9" borderId="8" xfId="0" applyFont="1" applyFill="1" applyBorder="1" applyAlignment="1">
      <alignment vertical="center" textRotation="90"/>
    </xf>
    <xf numFmtId="3" fontId="53" fillId="5" borderId="6" xfId="0" applyNumberFormat="1" applyFont="1" applyFill="1" applyBorder="1" applyAlignment="1">
      <alignment horizontal="center"/>
    </xf>
    <xf numFmtId="0" fontId="0" fillId="0" borderId="0" xfId="0" applyAlignment="1">
      <alignment horizontal="center"/>
    </xf>
    <xf numFmtId="0" fontId="0" fillId="0" borderId="7" xfId="0" applyBorder="1" applyAlignment="1">
      <alignment horizontal="center"/>
    </xf>
    <xf numFmtId="3" fontId="53" fillId="0" borderId="6" xfId="0" applyNumberFormat="1" applyFont="1" applyBorder="1" applyAlignment="1">
      <alignment horizontal="center"/>
    </xf>
    <xf numFmtId="0" fontId="8" fillId="0" borderId="0" xfId="0" applyFont="1" applyAlignment="1">
      <alignment horizontal="center"/>
    </xf>
    <xf numFmtId="0" fontId="8" fillId="0" borderId="7"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10" fillId="8" borderId="0" xfId="0" applyFont="1" applyFill="1" applyAlignment="1">
      <alignment horizontal="left"/>
    </xf>
    <xf numFmtId="0" fontId="10" fillId="21" borderId="0" xfId="0" applyFont="1" applyFill="1" applyAlignment="1">
      <alignment horizontal="left"/>
    </xf>
    <xf numFmtId="0" fontId="0" fillId="0" borderId="0" xfId="0" applyAlignment="1">
      <alignment horizontal="center" vertical="center" wrapText="1"/>
    </xf>
    <xf numFmtId="0" fontId="19" fillId="0" borderId="0" xfId="0" applyFont="1" applyAlignment="1">
      <alignment horizontal="left" wrapText="1"/>
    </xf>
    <xf numFmtId="0" fontId="0" fillId="0" borderId="0" xfId="0" applyAlignment="1">
      <alignment horizontal="left" vertical="center" wrapText="1"/>
    </xf>
    <xf numFmtId="0" fontId="20" fillId="0" borderId="0" xfId="0" applyFont="1" applyAlignment="1">
      <alignment horizontal="left" vertical="top" wrapText="1"/>
    </xf>
  </cellXfs>
  <cellStyles count="4">
    <cellStyle name="Comma" xfId="3" builtinId="3"/>
    <cellStyle name="Currency" xfId="2" builtinId="4"/>
    <cellStyle name="Normal" xfId="0" builtinId="0"/>
    <cellStyle name="Per cent" xfId="1" builtinId="5"/>
  </cellStyles>
  <dxfs count="3">
    <dxf>
      <font>
        <strike val="0"/>
        <color rgb="FFFF0000"/>
      </font>
    </dxf>
    <dxf>
      <font>
        <strike val="0"/>
        <color rgb="FFFF0000"/>
      </font>
    </dxf>
    <dxf>
      <font>
        <strike val="0"/>
        <color rgb="FFFF0000"/>
      </font>
    </dxf>
  </dxfs>
  <tableStyles count="0" defaultTableStyle="TableStyleMedium2" defaultPivotStyle="PivotStyleLight16"/>
  <colors>
    <mruColors>
      <color rgb="FFFFFFCC"/>
      <color rgb="FFD3B0F6"/>
      <color rgb="FFFAFCA6"/>
      <color rgb="FFFFFFD5"/>
      <color rgb="FFFFFFE7"/>
      <color rgb="FFFFFF66"/>
      <color rgb="FFC496EA"/>
      <color rgb="FFA857C9"/>
      <color rgb="FFDEC8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13</xdr:row>
      <xdr:rowOff>133350</xdr:rowOff>
    </xdr:from>
    <xdr:to>
      <xdr:col>14</xdr:col>
      <xdr:colOff>445952</xdr:colOff>
      <xdr:row>44</xdr:row>
      <xdr:rowOff>27850</xdr:rowOff>
    </xdr:to>
    <xdr:pic>
      <xdr:nvPicPr>
        <xdr:cNvPr id="2" name="Image 1">
          <a:extLst>
            <a:ext uri="{FF2B5EF4-FFF2-40B4-BE49-F238E27FC236}">
              <a16:creationId xmlns:a16="http://schemas.microsoft.com/office/drawing/2014/main" id="{5D56767E-1CA9-4032-8880-DC31C38C394E}"/>
            </a:ext>
          </a:extLst>
        </xdr:cNvPr>
        <xdr:cNvPicPr>
          <a:picLocks noChangeAspect="1"/>
        </xdr:cNvPicPr>
      </xdr:nvPicPr>
      <xdr:blipFill>
        <a:blip xmlns:r="http://schemas.openxmlformats.org/officeDocument/2006/relationships" r:embed="rId1"/>
        <a:stretch>
          <a:fillRect/>
        </a:stretch>
      </xdr:blipFill>
      <xdr:spPr>
        <a:xfrm>
          <a:off x="95250" y="3600450"/>
          <a:ext cx="13780952" cy="58000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782BB-B492-4208-B553-C17C9EF86449}">
  <dimension ref="B3:M50"/>
  <sheetViews>
    <sheetView showGridLines="0" tabSelected="1" zoomScale="80" zoomScaleNormal="80" workbookViewId="0">
      <selection activeCell="C28" sqref="C28"/>
    </sheetView>
  </sheetViews>
  <sheetFormatPr baseColWidth="10" defaultRowHeight="15" x14ac:dyDescent="0.2"/>
  <cols>
    <col min="2" max="2" width="7.5" customWidth="1"/>
    <col min="3" max="3" width="126" customWidth="1"/>
  </cols>
  <sheetData>
    <row r="3" spans="2:13" ht="29.25" customHeight="1" x14ac:dyDescent="0.25">
      <c r="B3" s="522" t="s">
        <v>563</v>
      </c>
      <c r="C3" s="522"/>
      <c r="D3" s="238"/>
      <c r="E3" s="238"/>
      <c r="F3" s="238"/>
      <c r="G3" s="238"/>
      <c r="H3" s="238"/>
      <c r="I3" s="238"/>
      <c r="J3" s="238"/>
      <c r="K3" s="238"/>
      <c r="L3" s="238"/>
      <c r="M3" s="238"/>
    </row>
    <row r="4" spans="2:13" x14ac:dyDescent="0.2">
      <c r="C4" s="82"/>
    </row>
    <row r="5" spans="2:13" ht="39" customHeight="1" x14ac:dyDescent="0.2">
      <c r="C5" s="82" t="s">
        <v>570</v>
      </c>
    </row>
    <row r="6" spans="2:13" ht="48" customHeight="1" x14ac:dyDescent="0.2">
      <c r="C6" s="82" t="s">
        <v>586</v>
      </c>
    </row>
    <row r="7" spans="2:13" ht="27" customHeight="1" x14ac:dyDescent="0.2">
      <c r="C7" s="82" t="s">
        <v>585</v>
      </c>
    </row>
    <row r="8" spans="2:13" ht="56.25" customHeight="1" x14ac:dyDescent="0.2">
      <c r="C8" s="82" t="s">
        <v>607</v>
      </c>
    </row>
    <row r="9" spans="2:13" ht="49.5" customHeight="1" x14ac:dyDescent="0.2">
      <c r="C9" s="82" t="s">
        <v>591</v>
      </c>
    </row>
    <row r="10" spans="2:13" x14ac:dyDescent="0.2">
      <c r="C10" s="82"/>
    </row>
    <row r="11" spans="2:13" ht="18.75" customHeight="1" x14ac:dyDescent="0.2">
      <c r="C11" s="240" t="s">
        <v>564</v>
      </c>
    </row>
    <row r="12" spans="2:13" ht="16" x14ac:dyDescent="0.2">
      <c r="B12" s="194"/>
      <c r="C12" s="82" t="s">
        <v>565</v>
      </c>
    </row>
    <row r="13" spans="2:13" ht="16" x14ac:dyDescent="0.2">
      <c r="B13" s="193"/>
      <c r="C13" s="82" t="s">
        <v>571</v>
      </c>
    </row>
    <row r="14" spans="2:13" ht="16" x14ac:dyDescent="0.2">
      <c r="B14" s="178"/>
      <c r="C14" s="82" t="s">
        <v>566</v>
      </c>
    </row>
    <row r="15" spans="2:13" ht="16" x14ac:dyDescent="0.2">
      <c r="B15" s="68"/>
      <c r="C15" s="82" t="s">
        <v>567</v>
      </c>
    </row>
    <row r="16" spans="2:13" ht="16" x14ac:dyDescent="0.2">
      <c r="B16" s="99"/>
      <c r="C16" s="82" t="s">
        <v>568</v>
      </c>
    </row>
    <row r="17" spans="2:3" ht="16" x14ac:dyDescent="0.2">
      <c r="B17" s="128"/>
      <c r="C17" s="82" t="s">
        <v>569</v>
      </c>
    </row>
    <row r="18" spans="2:3" x14ac:dyDescent="0.2">
      <c r="C18" s="82"/>
    </row>
    <row r="19" spans="2:3" ht="32.25" customHeight="1" x14ac:dyDescent="0.2">
      <c r="C19" s="82" t="s">
        <v>573</v>
      </c>
    </row>
    <row r="20" spans="2:3" ht="36" customHeight="1" x14ac:dyDescent="0.2">
      <c r="C20" s="82" t="s">
        <v>584</v>
      </c>
    </row>
    <row r="21" spans="2:3" x14ac:dyDescent="0.2">
      <c r="C21" s="82"/>
    </row>
    <row r="22" spans="2:3" ht="16" x14ac:dyDescent="0.2">
      <c r="C22" s="240" t="s">
        <v>587</v>
      </c>
    </row>
    <row r="23" spans="2:3" ht="16" x14ac:dyDescent="0.2">
      <c r="C23" s="82" t="s">
        <v>574</v>
      </c>
    </row>
    <row r="24" spans="2:3" ht="16" x14ac:dyDescent="0.2">
      <c r="C24" s="82" t="s">
        <v>575</v>
      </c>
    </row>
    <row r="25" spans="2:3" ht="16" x14ac:dyDescent="0.2">
      <c r="C25" s="82" t="s">
        <v>580</v>
      </c>
    </row>
    <row r="27" spans="2:3" ht="16" x14ac:dyDescent="0.2">
      <c r="C27" s="240" t="s">
        <v>588</v>
      </c>
    </row>
    <row r="28" spans="2:3" ht="32" x14ac:dyDescent="0.2">
      <c r="C28" s="82" t="s">
        <v>576</v>
      </c>
    </row>
    <row r="29" spans="2:3" ht="16" x14ac:dyDescent="0.2">
      <c r="C29" s="82" t="s">
        <v>642</v>
      </c>
    </row>
    <row r="30" spans="2:3" ht="32" x14ac:dyDescent="0.2">
      <c r="C30" s="82" t="s">
        <v>577</v>
      </c>
    </row>
    <row r="31" spans="2:3" ht="16" x14ac:dyDescent="0.2">
      <c r="C31" s="82" t="s">
        <v>578</v>
      </c>
    </row>
    <row r="32" spans="2:3" x14ac:dyDescent="0.2">
      <c r="C32" t="s">
        <v>579</v>
      </c>
    </row>
    <row r="34" spans="3:3" x14ac:dyDescent="0.2">
      <c r="C34" s="45" t="s">
        <v>589</v>
      </c>
    </row>
    <row r="35" spans="3:3" x14ac:dyDescent="0.2">
      <c r="C35" t="s">
        <v>581</v>
      </c>
    </row>
    <row r="36" spans="3:3" x14ac:dyDescent="0.2">
      <c r="C36" t="s">
        <v>582</v>
      </c>
    </row>
    <row r="37" spans="3:3" ht="16" x14ac:dyDescent="0.2">
      <c r="C37" s="82" t="s">
        <v>583</v>
      </c>
    </row>
    <row r="38" spans="3:3" x14ac:dyDescent="0.2">
      <c r="C38" t="s">
        <v>590</v>
      </c>
    </row>
    <row r="40" spans="3:3" x14ac:dyDescent="0.2">
      <c r="C40" t="s">
        <v>694</v>
      </c>
    </row>
    <row r="42" spans="3:3" x14ac:dyDescent="0.2">
      <c r="C42" t="s">
        <v>692</v>
      </c>
    </row>
    <row r="45" spans="3:3" x14ac:dyDescent="0.2">
      <c r="C45" t="s">
        <v>686</v>
      </c>
    </row>
    <row r="46" spans="3:3" x14ac:dyDescent="0.2">
      <c r="C46" s="414" t="s">
        <v>687</v>
      </c>
    </row>
    <row r="47" spans="3:3" x14ac:dyDescent="0.2">
      <c r="C47" s="414" t="s">
        <v>688</v>
      </c>
    </row>
    <row r="48" spans="3:3" x14ac:dyDescent="0.2">
      <c r="C48" s="414" t="s">
        <v>689</v>
      </c>
    </row>
    <row r="49" spans="3:3" x14ac:dyDescent="0.2">
      <c r="C49" s="414" t="s">
        <v>690</v>
      </c>
    </row>
    <row r="50" spans="3:3" x14ac:dyDescent="0.2">
      <c r="C50" s="414" t="s">
        <v>691</v>
      </c>
    </row>
  </sheetData>
  <mergeCells count="1">
    <mergeCell ref="B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09E44-72D6-4ED6-B2B5-744A7F0F0F88}">
  <dimension ref="A1:AC48"/>
  <sheetViews>
    <sheetView showGridLines="0" topLeftCell="A12" zoomScale="80" zoomScaleNormal="80" workbookViewId="0">
      <selection activeCell="G30" sqref="G30"/>
    </sheetView>
  </sheetViews>
  <sheetFormatPr baseColWidth="10" defaultRowHeight="15" x14ac:dyDescent="0.2"/>
  <cols>
    <col min="1" max="1" width="30" customWidth="1"/>
    <col min="2" max="2" width="16.83203125" customWidth="1"/>
    <col min="3" max="4" width="11.5" hidden="1" customWidth="1"/>
    <col min="5" max="5" width="13.6640625" hidden="1" customWidth="1"/>
    <col min="6" max="13" width="13.6640625" customWidth="1"/>
    <col min="15" max="15" width="16.33203125" customWidth="1"/>
    <col min="16" max="16" width="12.5" customWidth="1"/>
    <col min="17" max="17" width="15.5" customWidth="1"/>
    <col min="18" max="18" width="14.5" customWidth="1"/>
  </cols>
  <sheetData>
    <row r="1" spans="1:17" ht="24" customHeight="1" x14ac:dyDescent="0.25">
      <c r="A1" s="4" t="s">
        <v>17</v>
      </c>
      <c r="B1" s="5"/>
      <c r="C1" s="6"/>
      <c r="D1" s="6"/>
      <c r="E1" s="5"/>
      <c r="F1" s="5"/>
      <c r="G1" s="5"/>
      <c r="H1" s="5"/>
      <c r="I1" s="5"/>
      <c r="J1" s="5"/>
      <c r="K1" s="5"/>
      <c r="L1" s="5"/>
      <c r="M1" s="5" t="s">
        <v>18</v>
      </c>
      <c r="N1" s="5"/>
      <c r="O1" s="5"/>
    </row>
    <row r="2" spans="1:17" ht="14.25" customHeight="1" x14ac:dyDescent="0.2">
      <c r="C2" s="7"/>
      <c r="D2" s="7"/>
    </row>
    <row r="3" spans="1:17" ht="16.5" hidden="1" customHeight="1" x14ac:dyDescent="0.2">
      <c r="A3" s="523" t="s">
        <v>19</v>
      </c>
      <c r="B3" s="11" t="s">
        <v>20</v>
      </c>
      <c r="C3" s="12"/>
      <c r="D3" s="12"/>
      <c r="E3" s="12"/>
      <c r="F3" s="12"/>
      <c r="G3" s="12"/>
      <c r="H3" s="12"/>
      <c r="I3" s="12"/>
      <c r="J3" s="12"/>
      <c r="K3" s="13"/>
    </row>
    <row r="4" spans="1:17" ht="14.25" hidden="1" customHeight="1" x14ac:dyDescent="0.2">
      <c r="A4" s="524"/>
      <c r="B4" s="14" t="s">
        <v>592</v>
      </c>
      <c r="C4" s="15"/>
      <c r="D4" s="15"/>
      <c r="E4" s="15"/>
      <c r="F4" s="15"/>
      <c r="G4" s="15"/>
      <c r="H4" s="15"/>
      <c r="I4" s="15"/>
      <c r="J4" s="15"/>
      <c r="K4" s="16"/>
    </row>
    <row r="5" spans="1:17" ht="18.75" hidden="1" customHeight="1" x14ac:dyDescent="0.2">
      <c r="A5" s="524"/>
      <c r="B5" s="14" t="s">
        <v>21</v>
      </c>
      <c r="C5" s="15"/>
      <c r="D5" s="15"/>
      <c r="E5" s="15"/>
      <c r="F5" s="15"/>
      <c r="G5" s="15"/>
      <c r="H5" s="15"/>
      <c r="I5" s="15"/>
      <c r="J5" s="15"/>
      <c r="K5" s="16"/>
    </row>
    <row r="6" spans="1:17" ht="18.75" hidden="1" customHeight="1" x14ac:dyDescent="0.2">
      <c r="A6" s="524"/>
      <c r="B6" s="8" t="s">
        <v>572</v>
      </c>
      <c r="C6" s="15"/>
      <c r="D6" s="15"/>
      <c r="E6" s="15"/>
      <c r="F6" s="15"/>
      <c r="G6" s="15"/>
      <c r="H6" s="15"/>
      <c r="I6" s="15"/>
      <c r="J6" s="15"/>
      <c r="K6" s="16"/>
    </row>
    <row r="7" spans="1:17" ht="18.75" hidden="1" customHeight="1" x14ac:dyDescent="0.2">
      <c r="A7" s="524"/>
      <c r="B7" s="8" t="s">
        <v>76</v>
      </c>
      <c r="C7" s="9"/>
      <c r="D7" s="9"/>
      <c r="E7" s="9"/>
      <c r="F7" s="9"/>
      <c r="G7" s="9"/>
      <c r="H7" s="9"/>
      <c r="I7" s="9"/>
      <c r="J7" s="9"/>
      <c r="K7" s="10"/>
    </row>
    <row r="8" spans="1:17" ht="18" hidden="1" customHeight="1" thickBot="1" x14ac:dyDescent="0.25">
      <c r="A8" s="525"/>
      <c r="B8" s="17" t="s">
        <v>22</v>
      </c>
      <c r="C8" s="18"/>
      <c r="D8" s="18"/>
      <c r="E8" s="18"/>
      <c r="F8" s="18"/>
      <c r="G8" s="18"/>
      <c r="H8" s="18"/>
      <c r="I8" s="18"/>
      <c r="J8" s="18"/>
      <c r="K8" s="19"/>
    </row>
    <row r="12" spans="1:17" ht="66" x14ac:dyDescent="0.2">
      <c r="A12" s="85" t="s">
        <v>112</v>
      </c>
      <c r="B12" s="41" t="s">
        <v>693</v>
      </c>
      <c r="C12" s="87" t="str">
        <f>VLOOKUP('Hypothèses '!$C$10,'table années scolaires'!$C$9:$O$13,'Hypothèses '!D$11,FALSE)</f>
        <v>2021/2022</v>
      </c>
      <c r="D12" s="87" t="str">
        <f>VLOOKUP('Hypothèses '!$C$10,'table années scolaires'!$C$9:$O$13,'Hypothèses '!E$11,FALSE)</f>
        <v>2022/2023</v>
      </c>
      <c r="E12" s="411" t="str">
        <f>VLOOKUP('Hypothèses '!$C$10,'table années scolaires'!$C$9:$O$13,'Hypothèses '!F$11,FALSE)</f>
        <v>2023/2024</v>
      </c>
      <c r="F12" s="412" t="str">
        <f>VLOOKUP('Hypothèses '!$C$10,'table années scolaires'!$C$9:$O$13,'Hypothèses '!G$11,FALSE)</f>
        <v>2024/2025</v>
      </c>
      <c r="G12" s="412" t="str">
        <f>VLOOKUP('Hypothèses '!$C$10,'table années scolaires'!$C$9:$O$13,'Hypothèses '!H$11,FALSE)</f>
        <v>2025/2026</v>
      </c>
      <c r="H12" s="412" t="str">
        <f>VLOOKUP('Hypothèses '!$C$10,'table années scolaires'!$C$9:$O$13,'Hypothèses '!I$11,FALSE)</f>
        <v>2026/2027</v>
      </c>
      <c r="I12" s="412" t="str">
        <f>VLOOKUP('Hypothèses '!$C$10,'table années scolaires'!$C$9:$O$13,'Hypothèses '!J$11,FALSE)</f>
        <v>2027/2028</v>
      </c>
      <c r="J12" s="412" t="str">
        <f>VLOOKUP('Hypothèses '!$C$10,'table années scolaires'!$C$9:$O$13,'Hypothèses '!K$11,FALSE)</f>
        <v>2028/2029</v>
      </c>
      <c r="K12" s="412" t="str">
        <f>VLOOKUP('Hypothèses '!$C$10,'table années scolaires'!$C$9:$O$13,'Hypothèses '!L$11,FALSE)</f>
        <v>2029/2030</v>
      </c>
      <c r="L12" s="412" t="str">
        <f>VLOOKUP('Hypothèses '!$C$10,'table années scolaires'!$C$9:$O$13,'Hypothèses '!M$11,FALSE)</f>
        <v>2030/2031</v>
      </c>
      <c r="M12" s="413" t="str">
        <f>VLOOKUP('Hypothèses '!$C$10,'table années scolaires'!$C$9:$O$13,'Hypothèses '!N$11,FALSE)</f>
        <v>2031/2032</v>
      </c>
      <c r="O12" s="3" t="s">
        <v>15</v>
      </c>
      <c r="P12" s="3" t="s">
        <v>16</v>
      </c>
      <c r="Q12" s="3" t="s">
        <v>75</v>
      </c>
    </row>
    <row r="13" spans="1:17" ht="19" x14ac:dyDescent="0.25">
      <c r="B13" s="42"/>
      <c r="C13" s="2">
        <f>SUM(C15:C29)</f>
        <v>0</v>
      </c>
      <c r="D13" s="2">
        <f>SUM(D15:D29)</f>
        <v>0</v>
      </c>
      <c r="E13" s="397">
        <f>SUM(E15:E29)</f>
        <v>0</v>
      </c>
      <c r="F13" s="398">
        <f>SUM(F15:F29)</f>
        <v>1796</v>
      </c>
      <c r="G13" s="399">
        <f>SUM(G15:G29)</f>
        <v>1825</v>
      </c>
      <c r="H13" s="399">
        <f t="shared" ref="H13:M13" si="0">SUM(H15:H29)</f>
        <v>1775</v>
      </c>
      <c r="I13" s="399">
        <f t="shared" si="0"/>
        <v>1709</v>
      </c>
      <c r="J13" s="399">
        <f t="shared" si="0"/>
        <v>1699</v>
      </c>
      <c r="K13" s="399">
        <f t="shared" si="0"/>
        <v>1706</v>
      </c>
      <c r="L13" s="399">
        <f t="shared" si="0"/>
        <v>1700</v>
      </c>
      <c r="M13" s="400">
        <f t="shared" si="0"/>
        <v>1677</v>
      </c>
      <c r="O13" s="1">
        <f>SUM(O15:O29)</f>
        <v>1875</v>
      </c>
      <c r="P13" s="1"/>
      <c r="Q13" s="1"/>
    </row>
    <row r="14" spans="1:17" ht="19" x14ac:dyDescent="0.25">
      <c r="A14" s="21" t="s">
        <v>23</v>
      </c>
      <c r="B14" s="43"/>
      <c r="C14" s="239"/>
      <c r="D14" s="239"/>
      <c r="E14" s="401"/>
      <c r="F14" s="402"/>
      <c r="G14" s="402"/>
      <c r="H14" s="402"/>
      <c r="I14" s="402"/>
      <c r="J14" s="402"/>
      <c r="K14" s="402"/>
      <c r="L14" s="402"/>
      <c r="M14" s="403"/>
      <c r="O14" s="1"/>
      <c r="P14" s="1"/>
      <c r="Q14" s="1"/>
    </row>
    <row r="15" spans="1:17" ht="20" thickBot="1" x14ac:dyDescent="0.3">
      <c r="A15" s="22" t="s">
        <v>0</v>
      </c>
      <c r="B15" s="44"/>
      <c r="C15" s="416"/>
      <c r="D15" s="416"/>
      <c r="E15" s="417"/>
      <c r="F15" s="404">
        <v>61</v>
      </c>
      <c r="G15" s="405">
        <v>70</v>
      </c>
      <c r="H15" s="405">
        <v>60</v>
      </c>
      <c r="I15" s="405">
        <v>60</v>
      </c>
      <c r="J15" s="405">
        <v>120</v>
      </c>
      <c r="K15" s="405">
        <v>120</v>
      </c>
      <c r="L15" s="405">
        <v>120</v>
      </c>
      <c r="M15" s="405">
        <v>120</v>
      </c>
      <c r="O15" s="1">
        <f>P15*Q15</f>
        <v>125</v>
      </c>
      <c r="P15" s="1">
        <v>5</v>
      </c>
      <c r="Q15" s="1">
        <v>25</v>
      </c>
    </row>
    <row r="16" spans="1:17" ht="20" thickBot="1" x14ac:dyDescent="0.3">
      <c r="A16" s="22" t="s">
        <v>1</v>
      </c>
      <c r="B16" s="44">
        <f>IFERROR((M16/E16)^(1/(8))-1,0)</f>
        <v>0</v>
      </c>
      <c r="C16" s="416"/>
      <c r="D16" s="416"/>
      <c r="E16" s="418"/>
      <c r="F16" s="406">
        <v>109</v>
      </c>
      <c r="G16" s="407">
        <v>72</v>
      </c>
      <c r="H16" s="407">
        <f t="shared" ref="H16:M17" si="1">G15</f>
        <v>70</v>
      </c>
      <c r="I16" s="407">
        <f t="shared" si="1"/>
        <v>60</v>
      </c>
      <c r="J16" s="407">
        <f t="shared" si="1"/>
        <v>60</v>
      </c>
      <c r="K16" s="407">
        <f t="shared" si="1"/>
        <v>120</v>
      </c>
      <c r="L16" s="407">
        <f t="shared" si="1"/>
        <v>120</v>
      </c>
      <c r="M16" s="407">
        <f>L15</f>
        <v>120</v>
      </c>
      <c r="O16" s="1">
        <f t="shared" ref="O16:O29" si="2">P16*Q16</f>
        <v>125</v>
      </c>
      <c r="P16" s="1">
        <v>5</v>
      </c>
      <c r="Q16" s="1">
        <v>25</v>
      </c>
    </row>
    <row r="17" spans="1:29" ht="20" thickBot="1" x14ac:dyDescent="0.3">
      <c r="A17" s="22" t="s">
        <v>2</v>
      </c>
      <c r="B17" s="44">
        <f t="shared" ref="B17:B29" si="3">IFERROR((M17/E17)^(1/(8))-1,0)</f>
        <v>0</v>
      </c>
      <c r="C17" s="416"/>
      <c r="D17" s="416"/>
      <c r="E17" s="419"/>
      <c r="F17" s="408">
        <v>123</v>
      </c>
      <c r="G17" s="409">
        <v>130</v>
      </c>
      <c r="H17" s="407">
        <f t="shared" si="1"/>
        <v>72</v>
      </c>
      <c r="I17" s="407">
        <f t="shared" si="1"/>
        <v>70</v>
      </c>
      <c r="J17" s="407">
        <f t="shared" si="1"/>
        <v>60</v>
      </c>
      <c r="K17" s="407">
        <f t="shared" si="1"/>
        <v>60</v>
      </c>
      <c r="L17" s="407">
        <f t="shared" si="1"/>
        <v>120</v>
      </c>
      <c r="M17" s="407">
        <f t="shared" si="1"/>
        <v>120</v>
      </c>
      <c r="O17" s="1">
        <f t="shared" si="2"/>
        <v>125</v>
      </c>
      <c r="P17" s="1">
        <v>5</v>
      </c>
      <c r="Q17" s="1">
        <v>25</v>
      </c>
    </row>
    <row r="18" spans="1:29" ht="20" thickBot="1" x14ac:dyDescent="0.3">
      <c r="A18" s="22" t="s">
        <v>3</v>
      </c>
      <c r="B18" s="44">
        <f t="shared" si="3"/>
        <v>0</v>
      </c>
      <c r="C18" s="416"/>
      <c r="D18" s="416"/>
      <c r="E18" s="419"/>
      <c r="F18" s="408">
        <v>116</v>
      </c>
      <c r="G18" s="407">
        <v>134</v>
      </c>
      <c r="H18" s="409">
        <f t="shared" ref="H18:H29" si="4">G17</f>
        <v>130</v>
      </c>
      <c r="I18" s="407">
        <f t="shared" ref="I18:I29" si="5">H17</f>
        <v>72</v>
      </c>
      <c r="J18" s="407">
        <f t="shared" ref="J18:J29" si="6">I17</f>
        <v>70</v>
      </c>
      <c r="K18" s="407">
        <f t="shared" ref="K18:K29" si="7">J17</f>
        <v>60</v>
      </c>
      <c r="L18" s="407">
        <f t="shared" ref="L18:L29" si="8">K17</f>
        <v>60</v>
      </c>
      <c r="M18" s="407">
        <f t="shared" ref="M18:M29" si="9">L17</f>
        <v>120</v>
      </c>
      <c r="O18" s="1">
        <f t="shared" si="2"/>
        <v>125</v>
      </c>
      <c r="P18" s="1">
        <v>5</v>
      </c>
      <c r="Q18" s="1">
        <v>25</v>
      </c>
    </row>
    <row r="19" spans="1:29" ht="20" thickBot="1" x14ac:dyDescent="0.3">
      <c r="A19" s="22" t="s">
        <v>4</v>
      </c>
      <c r="B19" s="44">
        <f t="shared" si="3"/>
        <v>0</v>
      </c>
      <c r="C19" s="416"/>
      <c r="D19" s="416"/>
      <c r="E19" s="419"/>
      <c r="F19" s="408">
        <v>140</v>
      </c>
      <c r="G19" s="407">
        <v>124</v>
      </c>
      <c r="H19" s="407">
        <f t="shared" si="4"/>
        <v>134</v>
      </c>
      <c r="I19" s="409">
        <f>H18</f>
        <v>130</v>
      </c>
      <c r="J19" s="407">
        <f t="shared" si="6"/>
        <v>72</v>
      </c>
      <c r="K19" s="407">
        <f t="shared" si="7"/>
        <v>70</v>
      </c>
      <c r="L19" s="407">
        <f t="shared" si="8"/>
        <v>60</v>
      </c>
      <c r="M19" s="407">
        <f t="shared" si="9"/>
        <v>60</v>
      </c>
      <c r="O19" s="1">
        <f t="shared" si="2"/>
        <v>125</v>
      </c>
      <c r="P19" s="1">
        <v>5</v>
      </c>
      <c r="Q19" s="1">
        <v>25</v>
      </c>
    </row>
    <row r="20" spans="1:29" ht="20" thickBot="1" x14ac:dyDescent="0.3">
      <c r="A20" s="22" t="s">
        <v>5</v>
      </c>
      <c r="B20" s="44">
        <f t="shared" si="3"/>
        <v>0</v>
      </c>
      <c r="C20" s="416"/>
      <c r="D20" s="416"/>
      <c r="E20" s="419"/>
      <c r="F20" s="408">
        <v>126</v>
      </c>
      <c r="G20" s="407">
        <v>137</v>
      </c>
      <c r="H20" s="407">
        <f t="shared" si="4"/>
        <v>124</v>
      </c>
      <c r="I20" s="407">
        <f t="shared" si="5"/>
        <v>134</v>
      </c>
      <c r="J20" s="409">
        <f t="shared" si="6"/>
        <v>130</v>
      </c>
      <c r="K20" s="407">
        <f t="shared" si="7"/>
        <v>72</v>
      </c>
      <c r="L20" s="407">
        <f t="shared" si="8"/>
        <v>70</v>
      </c>
      <c r="M20" s="407">
        <f t="shared" si="9"/>
        <v>60</v>
      </c>
      <c r="O20" s="1">
        <f t="shared" si="2"/>
        <v>125</v>
      </c>
      <c r="P20" s="1">
        <v>5</v>
      </c>
      <c r="Q20" s="1">
        <v>25</v>
      </c>
    </row>
    <row r="21" spans="1:29" ht="20" thickBot="1" x14ac:dyDescent="0.3">
      <c r="A21" s="22" t="s">
        <v>6</v>
      </c>
      <c r="B21" s="44">
        <f t="shared" si="3"/>
        <v>0</v>
      </c>
      <c r="C21" s="416"/>
      <c r="D21" s="416"/>
      <c r="E21" s="419"/>
      <c r="F21" s="408">
        <v>124</v>
      </c>
      <c r="G21" s="407">
        <v>128</v>
      </c>
      <c r="H21" s="407">
        <f t="shared" si="4"/>
        <v>137</v>
      </c>
      <c r="I21" s="407">
        <f t="shared" si="5"/>
        <v>124</v>
      </c>
      <c r="J21" s="407">
        <f t="shared" si="6"/>
        <v>134</v>
      </c>
      <c r="K21" s="409">
        <f t="shared" si="7"/>
        <v>130</v>
      </c>
      <c r="L21" s="407">
        <f t="shared" si="8"/>
        <v>72</v>
      </c>
      <c r="M21" s="407">
        <f t="shared" si="9"/>
        <v>70</v>
      </c>
      <c r="O21" s="1">
        <f t="shared" si="2"/>
        <v>125</v>
      </c>
      <c r="P21" s="1">
        <v>5</v>
      </c>
      <c r="Q21" s="1">
        <v>25</v>
      </c>
    </row>
    <row r="22" spans="1:29" ht="20" thickBot="1" x14ac:dyDescent="0.3">
      <c r="A22" s="22" t="s">
        <v>7</v>
      </c>
      <c r="B22" s="44">
        <f t="shared" si="3"/>
        <v>0</v>
      </c>
      <c r="C22" s="416"/>
      <c r="D22" s="416"/>
      <c r="E22" s="418"/>
      <c r="F22" s="406">
        <v>145</v>
      </c>
      <c r="G22" s="407">
        <v>129</v>
      </c>
      <c r="H22" s="407">
        <f t="shared" si="4"/>
        <v>128</v>
      </c>
      <c r="I22" s="407">
        <f t="shared" si="5"/>
        <v>137</v>
      </c>
      <c r="J22" s="407">
        <f t="shared" si="6"/>
        <v>124</v>
      </c>
      <c r="K22" s="407">
        <f t="shared" si="7"/>
        <v>134</v>
      </c>
      <c r="L22" s="409">
        <f t="shared" si="8"/>
        <v>130</v>
      </c>
      <c r="M22" s="407">
        <f t="shared" si="9"/>
        <v>72</v>
      </c>
      <c r="O22" s="1">
        <f>P22*Q22</f>
        <v>125</v>
      </c>
      <c r="P22" s="1">
        <v>5</v>
      </c>
      <c r="Q22" s="1">
        <v>25</v>
      </c>
    </row>
    <row r="23" spans="1:29" ht="20" thickBot="1" x14ac:dyDescent="0.3">
      <c r="A23" s="22" t="s">
        <v>8</v>
      </c>
      <c r="B23" s="44">
        <f t="shared" si="3"/>
        <v>0</v>
      </c>
      <c r="C23" s="416"/>
      <c r="D23" s="416"/>
      <c r="E23" s="420"/>
      <c r="F23" s="410">
        <v>146</v>
      </c>
      <c r="G23" s="409">
        <v>153</v>
      </c>
      <c r="H23" s="407">
        <f t="shared" si="4"/>
        <v>129</v>
      </c>
      <c r="I23" s="407">
        <f t="shared" si="5"/>
        <v>128</v>
      </c>
      <c r="J23" s="407">
        <f t="shared" si="6"/>
        <v>137</v>
      </c>
      <c r="K23" s="407">
        <f t="shared" si="7"/>
        <v>124</v>
      </c>
      <c r="L23" s="407">
        <f t="shared" si="8"/>
        <v>134</v>
      </c>
      <c r="M23" s="409">
        <f t="shared" si="9"/>
        <v>130</v>
      </c>
      <c r="O23" s="1">
        <f t="shared" si="2"/>
        <v>125</v>
      </c>
      <c r="P23" s="1">
        <v>5</v>
      </c>
      <c r="Q23" s="1">
        <v>25</v>
      </c>
    </row>
    <row r="24" spans="1:29" ht="20" thickBot="1" x14ac:dyDescent="0.3">
      <c r="A24" s="22" t="s">
        <v>9</v>
      </c>
      <c r="B24" s="44">
        <f t="shared" si="3"/>
        <v>0</v>
      </c>
      <c r="C24" s="416"/>
      <c r="D24" s="416"/>
      <c r="E24" s="420"/>
      <c r="F24" s="410">
        <v>121</v>
      </c>
      <c r="G24" s="407">
        <v>143</v>
      </c>
      <c r="H24" s="409">
        <f t="shared" si="4"/>
        <v>153</v>
      </c>
      <c r="I24" s="407">
        <f t="shared" si="5"/>
        <v>129</v>
      </c>
      <c r="J24" s="407">
        <f t="shared" si="6"/>
        <v>128</v>
      </c>
      <c r="K24" s="407">
        <f t="shared" si="7"/>
        <v>137</v>
      </c>
      <c r="L24" s="407">
        <f t="shared" si="8"/>
        <v>124</v>
      </c>
      <c r="M24" s="407">
        <f t="shared" si="9"/>
        <v>134</v>
      </c>
      <c r="O24" s="1">
        <f t="shared" ref="O24:O25" si="10">P24*Q24</f>
        <v>125</v>
      </c>
      <c r="P24" s="1">
        <v>5</v>
      </c>
      <c r="Q24" s="1">
        <v>25</v>
      </c>
    </row>
    <row r="25" spans="1:29" ht="20" thickBot="1" x14ac:dyDescent="0.3">
      <c r="A25" s="22" t="s">
        <v>10</v>
      </c>
      <c r="B25" s="44">
        <f t="shared" si="3"/>
        <v>0</v>
      </c>
      <c r="C25" s="416"/>
      <c r="D25" s="416"/>
      <c r="E25" s="420"/>
      <c r="F25" s="410">
        <v>104</v>
      </c>
      <c r="G25" s="407">
        <v>126</v>
      </c>
      <c r="H25" s="407">
        <f t="shared" si="4"/>
        <v>143</v>
      </c>
      <c r="I25" s="409">
        <f t="shared" si="5"/>
        <v>153</v>
      </c>
      <c r="J25" s="407">
        <f t="shared" si="6"/>
        <v>129</v>
      </c>
      <c r="K25" s="407">
        <f t="shared" si="7"/>
        <v>128</v>
      </c>
      <c r="L25" s="407">
        <f t="shared" si="8"/>
        <v>137</v>
      </c>
      <c r="M25" s="407">
        <f t="shared" si="9"/>
        <v>124</v>
      </c>
      <c r="O25" s="1">
        <f t="shared" si="10"/>
        <v>125</v>
      </c>
      <c r="P25" s="1">
        <v>5</v>
      </c>
      <c r="Q25" s="1">
        <v>25</v>
      </c>
    </row>
    <row r="26" spans="1:29" ht="20" thickBot="1" x14ac:dyDescent="0.3">
      <c r="A26" s="22" t="s">
        <v>11</v>
      </c>
      <c r="B26" s="44">
        <f t="shared" si="3"/>
        <v>0</v>
      </c>
      <c r="C26" s="416"/>
      <c r="D26" s="416"/>
      <c r="E26" s="420"/>
      <c r="F26" s="410">
        <v>128</v>
      </c>
      <c r="G26" s="407">
        <v>113</v>
      </c>
      <c r="H26" s="407">
        <f t="shared" si="4"/>
        <v>126</v>
      </c>
      <c r="I26" s="407">
        <f t="shared" si="5"/>
        <v>143</v>
      </c>
      <c r="J26" s="409">
        <f t="shared" si="6"/>
        <v>153</v>
      </c>
      <c r="K26" s="407">
        <f t="shared" si="7"/>
        <v>129</v>
      </c>
      <c r="L26" s="407">
        <f t="shared" si="8"/>
        <v>128</v>
      </c>
      <c r="M26" s="407">
        <f t="shared" si="9"/>
        <v>137</v>
      </c>
      <c r="O26" s="1">
        <f t="shared" si="2"/>
        <v>125</v>
      </c>
      <c r="P26" s="1">
        <v>5</v>
      </c>
      <c r="Q26" s="1">
        <v>25</v>
      </c>
    </row>
    <row r="27" spans="1:29" ht="20" thickBot="1" x14ac:dyDescent="0.3">
      <c r="A27" s="22" t="s">
        <v>12</v>
      </c>
      <c r="B27" s="44">
        <f t="shared" si="3"/>
        <v>0</v>
      </c>
      <c r="C27" s="416"/>
      <c r="D27" s="416"/>
      <c r="E27" s="420"/>
      <c r="F27" s="410">
        <v>130</v>
      </c>
      <c r="G27" s="407">
        <v>130</v>
      </c>
      <c r="H27" s="407">
        <f t="shared" si="4"/>
        <v>113</v>
      </c>
      <c r="I27" s="407">
        <f t="shared" si="5"/>
        <v>126</v>
      </c>
      <c r="J27" s="407">
        <f t="shared" si="6"/>
        <v>143</v>
      </c>
      <c r="K27" s="409">
        <f t="shared" si="7"/>
        <v>153</v>
      </c>
      <c r="L27" s="407">
        <f t="shared" si="8"/>
        <v>129</v>
      </c>
      <c r="M27" s="407">
        <f t="shared" si="9"/>
        <v>128</v>
      </c>
      <c r="O27" s="1">
        <f t="shared" si="2"/>
        <v>125</v>
      </c>
      <c r="P27" s="1">
        <v>5</v>
      </c>
      <c r="Q27" s="1">
        <v>25</v>
      </c>
    </row>
    <row r="28" spans="1:29" ht="20" thickBot="1" x14ac:dyDescent="0.3">
      <c r="A28" s="22" t="s">
        <v>13</v>
      </c>
      <c r="B28" s="44">
        <f t="shared" si="3"/>
        <v>0</v>
      </c>
      <c r="C28" s="416"/>
      <c r="D28" s="416"/>
      <c r="E28" s="420"/>
      <c r="F28" s="410">
        <v>114</v>
      </c>
      <c r="G28" s="407">
        <v>126</v>
      </c>
      <c r="H28" s="407">
        <f t="shared" si="4"/>
        <v>130</v>
      </c>
      <c r="I28" s="407">
        <f t="shared" si="5"/>
        <v>113</v>
      </c>
      <c r="J28" s="407">
        <f t="shared" si="6"/>
        <v>126</v>
      </c>
      <c r="K28" s="407">
        <f t="shared" si="7"/>
        <v>143</v>
      </c>
      <c r="L28" s="409">
        <f t="shared" si="8"/>
        <v>153</v>
      </c>
      <c r="M28" s="407">
        <f t="shared" si="9"/>
        <v>129</v>
      </c>
      <c r="O28" s="1">
        <f t="shared" si="2"/>
        <v>125</v>
      </c>
      <c r="P28" s="1">
        <v>5</v>
      </c>
      <c r="Q28" s="1">
        <v>25</v>
      </c>
    </row>
    <row r="29" spans="1:29" ht="20" thickBot="1" x14ac:dyDescent="0.3">
      <c r="A29" s="22" t="s">
        <v>14</v>
      </c>
      <c r="B29" s="44">
        <f t="shared" si="3"/>
        <v>0</v>
      </c>
      <c r="C29" s="421"/>
      <c r="D29" s="421"/>
      <c r="E29" s="420"/>
      <c r="F29" s="410">
        <v>109</v>
      </c>
      <c r="G29" s="407">
        <v>110</v>
      </c>
      <c r="H29" s="407">
        <f t="shared" si="4"/>
        <v>126</v>
      </c>
      <c r="I29" s="407">
        <f t="shared" si="5"/>
        <v>130</v>
      </c>
      <c r="J29" s="407">
        <f t="shared" si="6"/>
        <v>113</v>
      </c>
      <c r="K29" s="407">
        <f t="shared" si="7"/>
        <v>126</v>
      </c>
      <c r="L29" s="407">
        <f t="shared" si="8"/>
        <v>143</v>
      </c>
      <c r="M29" s="409">
        <f t="shared" si="9"/>
        <v>153</v>
      </c>
      <c r="O29" s="1">
        <f t="shared" si="2"/>
        <v>125</v>
      </c>
      <c r="P29" s="1">
        <v>5</v>
      </c>
      <c r="Q29" s="1">
        <v>25</v>
      </c>
    </row>
    <row r="30" spans="1:29" ht="19" x14ac:dyDescent="0.25">
      <c r="A30" s="23"/>
      <c r="B30" s="415"/>
      <c r="C30" s="24"/>
      <c r="D30" s="24"/>
      <c r="E30" s="24"/>
      <c r="F30" s="24"/>
      <c r="G30" s="24"/>
      <c r="H30" s="24"/>
      <c r="I30" s="24"/>
      <c r="J30" s="24"/>
      <c r="K30" s="24"/>
      <c r="L30" s="24"/>
      <c r="M30" s="24"/>
      <c r="O30" s="57"/>
      <c r="P30" s="57"/>
      <c r="Q30" s="57"/>
      <c r="R30" s="61" t="s">
        <v>594</v>
      </c>
    </row>
    <row r="31" spans="1:29" ht="16" x14ac:dyDescent="0.2">
      <c r="C31" s="87" t="str">
        <f>C12</f>
        <v>2021/2022</v>
      </c>
      <c r="D31" s="87" t="str">
        <f t="shared" ref="D31:M31" si="11">D12</f>
        <v>2022/2023</v>
      </c>
      <c r="E31" s="87" t="str">
        <f t="shared" si="11"/>
        <v>2023/2024</v>
      </c>
      <c r="F31" s="87" t="str">
        <f t="shared" si="11"/>
        <v>2024/2025</v>
      </c>
      <c r="G31" s="87" t="str">
        <f t="shared" si="11"/>
        <v>2025/2026</v>
      </c>
      <c r="H31" s="87" t="str">
        <f t="shared" si="11"/>
        <v>2026/2027</v>
      </c>
      <c r="I31" s="87" t="str">
        <f t="shared" si="11"/>
        <v>2027/2028</v>
      </c>
      <c r="J31" s="87" t="str">
        <f t="shared" si="11"/>
        <v>2028/2029</v>
      </c>
      <c r="K31" s="87" t="str">
        <f t="shared" si="11"/>
        <v>2029/2030</v>
      </c>
      <c r="L31" s="87" t="str">
        <f t="shared" si="11"/>
        <v>2030/2031</v>
      </c>
      <c r="M31" s="87" t="str">
        <f t="shared" si="11"/>
        <v>2031/2032</v>
      </c>
      <c r="R31" s="45" t="s">
        <v>71</v>
      </c>
      <c r="S31" s="87" t="str">
        <f>C12</f>
        <v>2021/2022</v>
      </c>
      <c r="T31" s="87" t="str">
        <f t="shared" ref="T31:AC31" si="12">D12</f>
        <v>2022/2023</v>
      </c>
      <c r="U31" s="87" t="str">
        <f t="shared" si="12"/>
        <v>2023/2024</v>
      </c>
      <c r="V31" s="87" t="str">
        <f t="shared" si="12"/>
        <v>2024/2025</v>
      </c>
      <c r="W31" s="87" t="str">
        <f t="shared" si="12"/>
        <v>2025/2026</v>
      </c>
      <c r="X31" s="87" t="str">
        <f t="shared" si="12"/>
        <v>2026/2027</v>
      </c>
      <c r="Y31" s="87" t="str">
        <f t="shared" si="12"/>
        <v>2027/2028</v>
      </c>
      <c r="Z31" s="87" t="str">
        <f t="shared" si="12"/>
        <v>2028/2029</v>
      </c>
      <c r="AA31" s="87" t="str">
        <f t="shared" si="12"/>
        <v>2029/2030</v>
      </c>
      <c r="AB31" s="87" t="str">
        <f t="shared" si="12"/>
        <v>2030/2031</v>
      </c>
      <c r="AC31" s="87" t="str">
        <f t="shared" si="12"/>
        <v>2031/2032</v>
      </c>
    </row>
    <row r="32" spans="1:29" ht="19" x14ac:dyDescent="0.25">
      <c r="A32" s="25" t="s">
        <v>24</v>
      </c>
      <c r="B32" s="32"/>
      <c r="C32" s="33">
        <f>SUM(C14:C17)</f>
        <v>0</v>
      </c>
      <c r="D32" s="33">
        <f t="shared" ref="D32:M32" si="13">SUM(D14:D17)</f>
        <v>0</v>
      </c>
      <c r="E32" s="33">
        <f t="shared" si="13"/>
        <v>0</v>
      </c>
      <c r="F32" s="429">
        <f t="shared" si="13"/>
        <v>293</v>
      </c>
      <c r="G32" s="429">
        <f t="shared" si="13"/>
        <v>272</v>
      </c>
      <c r="H32" s="429">
        <f t="shared" si="13"/>
        <v>202</v>
      </c>
      <c r="I32" s="429">
        <f t="shared" si="13"/>
        <v>190</v>
      </c>
      <c r="J32" s="429">
        <f t="shared" si="13"/>
        <v>240</v>
      </c>
      <c r="K32" s="429">
        <f t="shared" si="13"/>
        <v>300</v>
      </c>
      <c r="L32" s="429">
        <f t="shared" si="13"/>
        <v>360</v>
      </c>
      <c r="M32" s="430">
        <f t="shared" si="13"/>
        <v>360</v>
      </c>
      <c r="R32" t="s">
        <v>24</v>
      </c>
      <c r="S32" s="27">
        <f>IFERROR(C32/C$38,0)</f>
        <v>0</v>
      </c>
      <c r="T32" s="27">
        <f t="shared" ref="T32:AC32" si="14">IFERROR(D32/D$38,0)</f>
        <v>0</v>
      </c>
      <c r="U32" s="27">
        <f t="shared" si="14"/>
        <v>0</v>
      </c>
      <c r="V32" s="27">
        <f t="shared" si="14"/>
        <v>0.1631403118040089</v>
      </c>
      <c r="W32" s="27">
        <f t="shared" si="14"/>
        <v>0.14904109589041095</v>
      </c>
      <c r="X32" s="27">
        <f t="shared" si="14"/>
        <v>0.11380281690140845</v>
      </c>
      <c r="Y32" s="27">
        <f t="shared" si="14"/>
        <v>0.11117612638970158</v>
      </c>
      <c r="Z32" s="27">
        <f t="shared" si="14"/>
        <v>0.14125956444967627</v>
      </c>
      <c r="AA32" s="27">
        <f t="shared" si="14"/>
        <v>0.17584994138335286</v>
      </c>
      <c r="AB32" s="27">
        <f t="shared" si="14"/>
        <v>0.21176470588235294</v>
      </c>
      <c r="AC32" s="27">
        <f t="shared" si="14"/>
        <v>0.21466905187835419</v>
      </c>
    </row>
    <row r="33" spans="1:29" ht="19" x14ac:dyDescent="0.25">
      <c r="A33" s="26" t="s">
        <v>25</v>
      </c>
      <c r="B33" s="34"/>
      <c r="C33" s="35">
        <f>SUM(C18:C22)</f>
        <v>0</v>
      </c>
      <c r="D33" s="35">
        <f t="shared" ref="D33:M33" si="15">SUM(D18:D22)</f>
        <v>0</v>
      </c>
      <c r="E33" s="35">
        <f t="shared" si="15"/>
        <v>0</v>
      </c>
      <c r="F33" s="431">
        <f t="shared" si="15"/>
        <v>651</v>
      </c>
      <c r="G33" s="431">
        <f t="shared" si="15"/>
        <v>652</v>
      </c>
      <c r="H33" s="431">
        <f t="shared" si="15"/>
        <v>653</v>
      </c>
      <c r="I33" s="431">
        <f t="shared" si="15"/>
        <v>597</v>
      </c>
      <c r="J33" s="431">
        <f t="shared" si="15"/>
        <v>530</v>
      </c>
      <c r="K33" s="431">
        <f t="shared" si="15"/>
        <v>466</v>
      </c>
      <c r="L33" s="431">
        <f t="shared" si="15"/>
        <v>392</v>
      </c>
      <c r="M33" s="432">
        <f t="shared" si="15"/>
        <v>382</v>
      </c>
      <c r="R33" t="s">
        <v>25</v>
      </c>
      <c r="S33" s="27">
        <f>IFERROR(C33/C$38,0)</f>
        <v>0</v>
      </c>
      <c r="T33" s="27">
        <f t="shared" ref="T33" si="16">IFERROR(D33/D$38,0)</f>
        <v>0</v>
      </c>
      <c r="U33" s="27">
        <f t="shared" ref="U33" si="17">IFERROR(E33/E$38,0)</f>
        <v>0</v>
      </c>
      <c r="V33" s="27">
        <f t="shared" ref="V33" si="18">IFERROR(F33/F$38,0)</f>
        <v>0.36247216035634744</v>
      </c>
      <c r="W33" s="27">
        <f t="shared" ref="W33" si="19">IFERROR(G33/G$38,0)</f>
        <v>0.35726027397260274</v>
      </c>
      <c r="X33" s="27">
        <f t="shared" ref="X33" si="20">IFERROR(H33/H$38,0)</f>
        <v>0.36788732394366197</v>
      </c>
      <c r="Y33" s="27">
        <f t="shared" ref="Y33" si="21">IFERROR(I33/I$38,0)</f>
        <v>0.34932709186658867</v>
      </c>
      <c r="Z33" s="27">
        <f t="shared" ref="Z33" si="22">IFERROR(J33/J$38,0)</f>
        <v>0.31194820482636842</v>
      </c>
      <c r="AA33" s="27">
        <f t="shared" ref="AA33" si="23">IFERROR(K33/K$38,0)</f>
        <v>0.27315357561547482</v>
      </c>
      <c r="AB33" s="27">
        <f t="shared" ref="AB33" si="24">IFERROR(L33/L$38,0)</f>
        <v>0.23058823529411765</v>
      </c>
      <c r="AC33" s="27">
        <f t="shared" ref="AC33" si="25">IFERROR(M33/M$38,0)</f>
        <v>0.22778771615980919</v>
      </c>
    </row>
    <row r="34" spans="1:29" ht="19" x14ac:dyDescent="0.25">
      <c r="A34" s="28" t="s">
        <v>28</v>
      </c>
      <c r="B34" s="36"/>
      <c r="C34" s="37">
        <f>C33+C32</f>
        <v>0</v>
      </c>
      <c r="D34" s="37">
        <f t="shared" ref="D34:M34" si="26">D33+D32</f>
        <v>0</v>
      </c>
      <c r="E34" s="37">
        <f t="shared" si="26"/>
        <v>0</v>
      </c>
      <c r="F34" s="433">
        <f t="shared" si="26"/>
        <v>944</v>
      </c>
      <c r="G34" s="433">
        <f t="shared" si="26"/>
        <v>924</v>
      </c>
      <c r="H34" s="433">
        <f t="shared" si="26"/>
        <v>855</v>
      </c>
      <c r="I34" s="433">
        <f t="shared" si="26"/>
        <v>787</v>
      </c>
      <c r="J34" s="433">
        <f t="shared" si="26"/>
        <v>770</v>
      </c>
      <c r="K34" s="433">
        <f t="shared" si="26"/>
        <v>766</v>
      </c>
      <c r="L34" s="433">
        <f t="shared" si="26"/>
        <v>752</v>
      </c>
      <c r="M34" s="434">
        <f t="shared" si="26"/>
        <v>742</v>
      </c>
      <c r="R34" t="s">
        <v>29</v>
      </c>
      <c r="S34" s="27">
        <f>IFERROR(C35/C$38,0)</f>
        <v>0</v>
      </c>
      <c r="T34" s="27">
        <f t="shared" ref="T34:AC34" si="27">IFERROR(D35/D$38,0)</f>
        <v>0</v>
      </c>
      <c r="U34" s="27">
        <f t="shared" si="27"/>
        <v>0</v>
      </c>
      <c r="V34" s="27">
        <f t="shared" si="27"/>
        <v>0.27783964365256125</v>
      </c>
      <c r="W34" s="27">
        <f t="shared" si="27"/>
        <v>0.29315068493150687</v>
      </c>
      <c r="X34" s="27">
        <f t="shared" si="27"/>
        <v>0.31042253521126761</v>
      </c>
      <c r="Y34" s="27">
        <f t="shared" si="27"/>
        <v>0.32358104154476303</v>
      </c>
      <c r="Z34" s="27">
        <f t="shared" si="27"/>
        <v>0.32195409064155384</v>
      </c>
      <c r="AA34" s="27">
        <f t="shared" si="27"/>
        <v>0.30363423212192264</v>
      </c>
      <c r="AB34" s="27">
        <f t="shared" si="27"/>
        <v>0.30764705882352938</v>
      </c>
      <c r="AC34" s="27">
        <f t="shared" si="27"/>
        <v>0.31305903398926654</v>
      </c>
    </row>
    <row r="35" spans="1:29" ht="19" x14ac:dyDescent="0.25">
      <c r="A35" s="26" t="s">
        <v>26</v>
      </c>
      <c r="B35" s="36"/>
      <c r="C35" s="35">
        <f>SUM(C23:C26)</f>
        <v>0</v>
      </c>
      <c r="D35" s="35">
        <f t="shared" ref="D35:M35" si="28">SUM(D23:D26)</f>
        <v>0</v>
      </c>
      <c r="E35" s="35">
        <f t="shared" si="28"/>
        <v>0</v>
      </c>
      <c r="F35" s="431">
        <f t="shared" si="28"/>
        <v>499</v>
      </c>
      <c r="G35" s="431">
        <f t="shared" si="28"/>
        <v>535</v>
      </c>
      <c r="H35" s="431">
        <f t="shared" si="28"/>
        <v>551</v>
      </c>
      <c r="I35" s="431">
        <f t="shared" si="28"/>
        <v>553</v>
      </c>
      <c r="J35" s="431">
        <f t="shared" si="28"/>
        <v>547</v>
      </c>
      <c r="K35" s="431">
        <f t="shared" si="28"/>
        <v>518</v>
      </c>
      <c r="L35" s="431">
        <f t="shared" si="28"/>
        <v>523</v>
      </c>
      <c r="M35" s="432">
        <f t="shared" si="28"/>
        <v>525</v>
      </c>
      <c r="R35" t="s">
        <v>27</v>
      </c>
      <c r="S35" s="27">
        <f>IFERROR(C36/C$38,0)</f>
        <v>0</v>
      </c>
      <c r="T35" s="27">
        <f t="shared" ref="T35" si="29">IFERROR(D36/D$38,0)</f>
        <v>0</v>
      </c>
      <c r="U35" s="27">
        <f t="shared" ref="U35" si="30">IFERROR(E36/E$38,0)</f>
        <v>0</v>
      </c>
      <c r="V35" s="27">
        <f t="shared" ref="V35" si="31">IFERROR(F36/F$38,0)</f>
        <v>0.19654788418708241</v>
      </c>
      <c r="W35" s="27">
        <f t="shared" ref="W35" si="32">IFERROR(G36/G$38,0)</f>
        <v>0.20054794520547944</v>
      </c>
      <c r="X35" s="27">
        <f t="shared" ref="X35" si="33">IFERROR(H36/H$38,0)</f>
        <v>0.20788732394366197</v>
      </c>
      <c r="Y35" s="27">
        <f t="shared" ref="Y35" si="34">IFERROR(I36/I$38,0)</f>
        <v>0.21591574019894674</v>
      </c>
      <c r="Z35" s="27">
        <f t="shared" ref="Z35" si="35">IFERROR(J36/J$38,0)</f>
        <v>0.22483814008240141</v>
      </c>
      <c r="AA35" s="27">
        <f t="shared" ref="AA35" si="36">IFERROR(K36/K$38,0)</f>
        <v>0.24736225087924971</v>
      </c>
      <c r="AB35" s="27">
        <f t="shared" ref="AB35" si="37">IFERROR(L36/L$38,0)</f>
        <v>0.25</v>
      </c>
      <c r="AC35" s="27">
        <f t="shared" ref="AC35" si="38">IFERROR(M36/M$38,0)</f>
        <v>0.24448419797257007</v>
      </c>
    </row>
    <row r="36" spans="1:29" ht="19" x14ac:dyDescent="0.25">
      <c r="A36" s="26" t="s">
        <v>27</v>
      </c>
      <c r="B36" s="36"/>
      <c r="C36" s="35">
        <f>SUM(C27:C29)</f>
        <v>0</v>
      </c>
      <c r="D36" s="35">
        <f t="shared" ref="D36:M36" si="39">SUM(D27:D29)</f>
        <v>0</v>
      </c>
      <c r="E36" s="35">
        <f t="shared" si="39"/>
        <v>0</v>
      </c>
      <c r="F36" s="431">
        <f t="shared" si="39"/>
        <v>353</v>
      </c>
      <c r="G36" s="431">
        <f t="shared" si="39"/>
        <v>366</v>
      </c>
      <c r="H36" s="431">
        <f t="shared" si="39"/>
        <v>369</v>
      </c>
      <c r="I36" s="431">
        <f t="shared" si="39"/>
        <v>369</v>
      </c>
      <c r="J36" s="431">
        <f t="shared" si="39"/>
        <v>382</v>
      </c>
      <c r="K36" s="431">
        <f t="shared" si="39"/>
        <v>422</v>
      </c>
      <c r="L36" s="431">
        <f t="shared" si="39"/>
        <v>425</v>
      </c>
      <c r="M36" s="432">
        <f t="shared" si="39"/>
        <v>410</v>
      </c>
      <c r="S36" s="27">
        <f>IFERROR(C38/C$38,0)</f>
        <v>0</v>
      </c>
      <c r="T36" s="27">
        <f t="shared" ref="T36:V36" si="40">IFERROR(D38/D$38,0)</f>
        <v>0</v>
      </c>
      <c r="U36" s="27">
        <f t="shared" si="40"/>
        <v>0</v>
      </c>
      <c r="V36" s="27">
        <f t="shared" si="40"/>
        <v>1</v>
      </c>
      <c r="W36" s="27">
        <f t="shared" ref="W36:AC36" si="41">G38/G$38</f>
        <v>1</v>
      </c>
      <c r="X36" s="27">
        <f t="shared" si="41"/>
        <v>1</v>
      </c>
      <c r="Y36" s="27">
        <f t="shared" si="41"/>
        <v>1</v>
      </c>
      <c r="Z36" s="27">
        <f t="shared" si="41"/>
        <v>1</v>
      </c>
      <c r="AA36" s="27">
        <f t="shared" si="41"/>
        <v>1</v>
      </c>
      <c r="AB36" s="27">
        <f t="shared" si="41"/>
        <v>1</v>
      </c>
      <c r="AC36" s="27">
        <f t="shared" si="41"/>
        <v>1</v>
      </c>
    </row>
    <row r="37" spans="1:29" ht="19" x14ac:dyDescent="0.25">
      <c r="A37" s="38" t="s">
        <v>30</v>
      </c>
      <c r="B37" s="39"/>
      <c r="C37" s="40">
        <f>C36+C35</f>
        <v>0</v>
      </c>
      <c r="D37" s="40">
        <f t="shared" ref="D37:M37" si="42">D36+D35</f>
        <v>0</v>
      </c>
      <c r="E37" s="40">
        <f t="shared" si="42"/>
        <v>0</v>
      </c>
      <c r="F37" s="435">
        <f t="shared" si="42"/>
        <v>852</v>
      </c>
      <c r="G37" s="435">
        <f t="shared" si="42"/>
        <v>901</v>
      </c>
      <c r="H37" s="435">
        <f t="shared" si="42"/>
        <v>920</v>
      </c>
      <c r="I37" s="435">
        <f t="shared" si="42"/>
        <v>922</v>
      </c>
      <c r="J37" s="435">
        <f t="shared" si="42"/>
        <v>929</v>
      </c>
      <c r="K37" s="435">
        <f t="shared" si="42"/>
        <v>940</v>
      </c>
      <c r="L37" s="435">
        <f t="shared" si="42"/>
        <v>948</v>
      </c>
      <c r="M37" s="436">
        <f t="shared" si="42"/>
        <v>935</v>
      </c>
      <c r="R37" s="45" t="s">
        <v>72</v>
      </c>
      <c r="S37" s="87" t="str">
        <f>C12</f>
        <v>2021/2022</v>
      </c>
      <c r="T37" s="87" t="str">
        <f t="shared" ref="T37:AC37" si="43">D12</f>
        <v>2022/2023</v>
      </c>
      <c r="U37" s="87" t="str">
        <f t="shared" si="43"/>
        <v>2023/2024</v>
      </c>
      <c r="V37" s="87" t="str">
        <f t="shared" si="43"/>
        <v>2024/2025</v>
      </c>
      <c r="W37" s="87" t="str">
        <f t="shared" si="43"/>
        <v>2025/2026</v>
      </c>
      <c r="X37" s="87" t="str">
        <f t="shared" si="43"/>
        <v>2026/2027</v>
      </c>
      <c r="Y37" s="87" t="str">
        <f t="shared" si="43"/>
        <v>2027/2028</v>
      </c>
      <c r="Z37" s="87" t="str">
        <f t="shared" si="43"/>
        <v>2028/2029</v>
      </c>
      <c r="AA37" s="87" t="str">
        <f t="shared" si="43"/>
        <v>2029/2030</v>
      </c>
      <c r="AB37" s="87" t="str">
        <f t="shared" si="43"/>
        <v>2030/2031</v>
      </c>
      <c r="AC37" s="87" t="str">
        <f t="shared" si="43"/>
        <v>2031/2032</v>
      </c>
    </row>
    <row r="38" spans="1:29" ht="21" x14ac:dyDescent="0.25">
      <c r="A38" s="30" t="s">
        <v>31</v>
      </c>
      <c r="B38" s="31"/>
      <c r="C38" s="29">
        <f>C37+C34</f>
        <v>0</v>
      </c>
      <c r="D38" s="29">
        <f t="shared" ref="D38:M38" si="44">D37+D34</f>
        <v>0</v>
      </c>
      <c r="E38" s="29">
        <f t="shared" si="44"/>
        <v>0</v>
      </c>
      <c r="F38" s="437">
        <f t="shared" si="44"/>
        <v>1796</v>
      </c>
      <c r="G38" s="437">
        <f t="shared" si="44"/>
        <v>1825</v>
      </c>
      <c r="H38" s="437">
        <f t="shared" si="44"/>
        <v>1775</v>
      </c>
      <c r="I38" s="437">
        <f t="shared" si="44"/>
        <v>1709</v>
      </c>
      <c r="J38" s="437">
        <f t="shared" si="44"/>
        <v>1699</v>
      </c>
      <c r="K38" s="437">
        <f t="shared" si="44"/>
        <v>1706</v>
      </c>
      <c r="L38" s="437">
        <f t="shared" si="44"/>
        <v>1700</v>
      </c>
      <c r="M38" s="438">
        <f t="shared" si="44"/>
        <v>1677</v>
      </c>
      <c r="R38" t="s">
        <v>24</v>
      </c>
      <c r="S38" s="27">
        <f>IFERROR(C32/C$34,0)</f>
        <v>0</v>
      </c>
      <c r="T38" s="27">
        <f t="shared" ref="T38:AC38" si="45">IFERROR(D32/D$34,0)</f>
        <v>0</v>
      </c>
      <c r="U38" s="27">
        <f t="shared" si="45"/>
        <v>0</v>
      </c>
      <c r="V38" s="27">
        <f t="shared" si="45"/>
        <v>0.3103813559322034</v>
      </c>
      <c r="W38" s="27">
        <f t="shared" si="45"/>
        <v>0.2943722943722944</v>
      </c>
      <c r="X38" s="27">
        <f t="shared" si="45"/>
        <v>0.23625730994152047</v>
      </c>
      <c r="Y38" s="27">
        <f t="shared" si="45"/>
        <v>0.24142312579415501</v>
      </c>
      <c r="Z38" s="27">
        <f t="shared" si="45"/>
        <v>0.31168831168831168</v>
      </c>
      <c r="AA38" s="27">
        <f t="shared" si="45"/>
        <v>0.391644908616188</v>
      </c>
      <c r="AB38" s="27">
        <f t="shared" si="45"/>
        <v>0.47872340425531917</v>
      </c>
      <c r="AC38" s="27">
        <f t="shared" si="45"/>
        <v>0.48517520215633425</v>
      </c>
    </row>
    <row r="39" spans="1:29" x14ac:dyDescent="0.2">
      <c r="R39" t="s">
        <v>25</v>
      </c>
      <c r="S39" s="27">
        <f>IFERROR(C33/C$34,0)</f>
        <v>0</v>
      </c>
      <c r="T39" s="27">
        <f t="shared" ref="T39" si="46">IFERROR(D33/D$34,0)</f>
        <v>0</v>
      </c>
      <c r="U39" s="27">
        <f t="shared" ref="U39" si="47">IFERROR(E33/E$34,0)</f>
        <v>0</v>
      </c>
      <c r="V39" s="27">
        <f t="shared" ref="V39" si="48">IFERROR(F33/F$34,0)</f>
        <v>0.6896186440677966</v>
      </c>
      <c r="W39" s="27">
        <f t="shared" ref="W39" si="49">IFERROR(G33/G$34,0)</f>
        <v>0.7056277056277056</v>
      </c>
      <c r="X39" s="27">
        <f t="shared" ref="X39" si="50">IFERROR(H33/H$34,0)</f>
        <v>0.7637426900584795</v>
      </c>
      <c r="Y39" s="27">
        <f t="shared" ref="Y39" si="51">IFERROR(I33/I$34,0)</f>
        <v>0.75857687420584496</v>
      </c>
      <c r="Z39" s="27">
        <f t="shared" ref="Z39" si="52">IFERROR(J33/J$34,0)</f>
        <v>0.68831168831168832</v>
      </c>
      <c r="AA39" s="27">
        <f t="shared" ref="AA39" si="53">IFERROR(K33/K$34,0)</f>
        <v>0.60835509138381205</v>
      </c>
      <c r="AB39" s="27">
        <f t="shared" ref="AB39" si="54">IFERROR(L33/L$34,0)</f>
        <v>0.52127659574468088</v>
      </c>
      <c r="AC39" s="27">
        <f t="shared" ref="AC39" si="55">IFERROR(M33/M$34,0)</f>
        <v>0.51482479784366575</v>
      </c>
    </row>
    <row r="40" spans="1:29" x14ac:dyDescent="0.2">
      <c r="R40" t="s">
        <v>32</v>
      </c>
      <c r="S40" s="56">
        <f>S39+S38</f>
        <v>0</v>
      </c>
      <c r="T40" s="56">
        <f t="shared" ref="T40:AC40" si="56">T39+T38</f>
        <v>0</v>
      </c>
      <c r="U40" s="56">
        <f t="shared" si="56"/>
        <v>0</v>
      </c>
      <c r="V40" s="56">
        <f t="shared" si="56"/>
        <v>1</v>
      </c>
      <c r="W40" s="56">
        <f t="shared" si="56"/>
        <v>1</v>
      </c>
      <c r="X40" s="56">
        <f t="shared" si="56"/>
        <v>1</v>
      </c>
      <c r="Y40" s="56">
        <f t="shared" si="56"/>
        <v>1</v>
      </c>
      <c r="Z40" s="56">
        <f t="shared" si="56"/>
        <v>1</v>
      </c>
      <c r="AA40" s="56">
        <f t="shared" si="56"/>
        <v>1</v>
      </c>
      <c r="AB40" s="56">
        <f t="shared" si="56"/>
        <v>1</v>
      </c>
      <c r="AC40" s="56">
        <f t="shared" si="56"/>
        <v>1</v>
      </c>
    </row>
    <row r="41" spans="1:29" x14ac:dyDescent="0.2">
      <c r="R41" t="s">
        <v>29</v>
      </c>
      <c r="S41" s="27">
        <f>IFERROR(C35/C$37,0)</f>
        <v>0</v>
      </c>
      <c r="T41" s="27">
        <f t="shared" ref="T41:AC41" si="57">IFERROR(D35/D$37,0)</f>
        <v>0</v>
      </c>
      <c r="U41" s="27">
        <f t="shared" si="57"/>
        <v>0</v>
      </c>
      <c r="V41" s="27">
        <f t="shared" si="57"/>
        <v>0.58568075117370888</v>
      </c>
      <c r="W41" s="27">
        <f t="shared" si="57"/>
        <v>0.59378468368479465</v>
      </c>
      <c r="X41" s="27">
        <f t="shared" si="57"/>
        <v>0.59891304347826091</v>
      </c>
      <c r="Y41" s="27">
        <f t="shared" si="57"/>
        <v>0.59978308026030369</v>
      </c>
      <c r="Z41" s="27">
        <f t="shared" si="57"/>
        <v>0.58880516684607109</v>
      </c>
      <c r="AA41" s="27">
        <f t="shared" si="57"/>
        <v>0.55106382978723401</v>
      </c>
      <c r="AB41" s="27">
        <f t="shared" si="57"/>
        <v>0.55168776371308015</v>
      </c>
      <c r="AC41" s="27">
        <f t="shared" si="57"/>
        <v>0.56149732620320858</v>
      </c>
    </row>
    <row r="42" spans="1:29" x14ac:dyDescent="0.2">
      <c r="R42" t="s">
        <v>27</v>
      </c>
      <c r="S42" s="27">
        <f>IFERROR(C36/C$37,0)</f>
        <v>0</v>
      </c>
      <c r="T42" s="27">
        <f t="shared" ref="T42" si="58">IFERROR(D36/D$37,0)</f>
        <v>0</v>
      </c>
      <c r="U42" s="27">
        <f t="shared" ref="U42" si="59">IFERROR(E36/E$37,0)</f>
        <v>0</v>
      </c>
      <c r="V42" s="27">
        <f t="shared" ref="V42" si="60">IFERROR(F36/F$37,0)</f>
        <v>0.41431924882629106</v>
      </c>
      <c r="W42" s="27">
        <f t="shared" ref="W42" si="61">IFERROR(G36/G$37,0)</f>
        <v>0.40621531631520535</v>
      </c>
      <c r="X42" s="27">
        <f t="shared" ref="X42" si="62">IFERROR(H36/H$37,0)</f>
        <v>0.40108695652173915</v>
      </c>
      <c r="Y42" s="27">
        <f t="shared" ref="Y42" si="63">IFERROR(I36/I$37,0)</f>
        <v>0.40021691973969631</v>
      </c>
      <c r="Z42" s="27">
        <f t="shared" ref="Z42" si="64">IFERROR(J36/J$37,0)</f>
        <v>0.41119483315392896</v>
      </c>
      <c r="AA42" s="27">
        <f t="shared" ref="AA42" si="65">IFERROR(K36/K$37,0)</f>
        <v>0.44893617021276594</v>
      </c>
      <c r="AB42" s="27">
        <f t="shared" ref="AB42" si="66">IFERROR(L36/L$37,0)</f>
        <v>0.44831223628691985</v>
      </c>
      <c r="AC42" s="27">
        <f t="shared" ref="AC42" si="67">IFERROR(M36/M$37,0)</f>
        <v>0.43850267379679142</v>
      </c>
    </row>
    <row r="43" spans="1:29" x14ac:dyDescent="0.2">
      <c r="R43" t="s">
        <v>33</v>
      </c>
      <c r="S43" s="56">
        <f>S41+S42</f>
        <v>0</v>
      </c>
      <c r="T43" s="56">
        <f t="shared" ref="T43:AC43" si="68">T41+T42</f>
        <v>0</v>
      </c>
      <c r="U43" s="56">
        <f t="shared" si="68"/>
        <v>0</v>
      </c>
      <c r="V43" s="56">
        <f t="shared" si="68"/>
        <v>1</v>
      </c>
      <c r="W43" s="56">
        <f t="shared" si="68"/>
        <v>1</v>
      </c>
      <c r="X43" s="56">
        <f t="shared" si="68"/>
        <v>1</v>
      </c>
      <c r="Y43" s="56">
        <f t="shared" si="68"/>
        <v>1</v>
      </c>
      <c r="Z43" s="56">
        <f t="shared" si="68"/>
        <v>1</v>
      </c>
      <c r="AA43" s="56">
        <f t="shared" si="68"/>
        <v>1</v>
      </c>
      <c r="AB43" s="56">
        <f t="shared" si="68"/>
        <v>1</v>
      </c>
      <c r="AC43" s="56">
        <f t="shared" si="68"/>
        <v>1</v>
      </c>
    </row>
    <row r="44" spans="1:29" ht="16" x14ac:dyDescent="0.2">
      <c r="R44" s="45" t="s">
        <v>534</v>
      </c>
      <c r="S44" s="87" t="str">
        <f>C12</f>
        <v>2021/2022</v>
      </c>
      <c r="T44" s="87" t="str">
        <f t="shared" ref="T44:AC44" si="69">D12</f>
        <v>2022/2023</v>
      </c>
      <c r="U44" s="87" t="str">
        <f t="shared" si="69"/>
        <v>2023/2024</v>
      </c>
      <c r="V44" s="87" t="str">
        <f t="shared" si="69"/>
        <v>2024/2025</v>
      </c>
      <c r="W44" s="87" t="str">
        <f t="shared" si="69"/>
        <v>2025/2026</v>
      </c>
      <c r="X44" s="87" t="str">
        <f t="shared" si="69"/>
        <v>2026/2027</v>
      </c>
      <c r="Y44" s="87" t="str">
        <f t="shared" si="69"/>
        <v>2027/2028</v>
      </c>
      <c r="Z44" s="87" t="str">
        <f t="shared" si="69"/>
        <v>2028/2029</v>
      </c>
      <c r="AA44" s="87" t="str">
        <f t="shared" si="69"/>
        <v>2029/2030</v>
      </c>
      <c r="AB44" s="87" t="str">
        <f t="shared" si="69"/>
        <v>2030/2031</v>
      </c>
      <c r="AC44" s="87" t="str">
        <f t="shared" si="69"/>
        <v>2031/2032</v>
      </c>
    </row>
    <row r="45" spans="1:29" x14ac:dyDescent="0.2">
      <c r="R45" t="s">
        <v>24</v>
      </c>
      <c r="T45" s="27">
        <f>IFERROR((D32-C32)/C32,0)</f>
        <v>0</v>
      </c>
      <c r="U45" s="349">
        <f t="shared" ref="U45:AC45" si="70">IFERROR((E32-D32)/D32,0)</f>
        <v>0</v>
      </c>
      <c r="V45" s="27">
        <f t="shared" si="70"/>
        <v>0</v>
      </c>
      <c r="W45" s="27">
        <f t="shared" si="70"/>
        <v>-7.1672354948805458E-2</v>
      </c>
      <c r="X45" s="27">
        <f t="shared" si="70"/>
        <v>-0.25735294117647056</v>
      </c>
      <c r="Y45" s="27">
        <f t="shared" si="70"/>
        <v>-5.9405940594059403E-2</v>
      </c>
      <c r="Z45" s="27">
        <f t="shared" si="70"/>
        <v>0.26315789473684209</v>
      </c>
      <c r="AA45" s="27">
        <f t="shared" si="70"/>
        <v>0.25</v>
      </c>
      <c r="AB45" s="27">
        <f t="shared" si="70"/>
        <v>0.2</v>
      </c>
      <c r="AC45" s="27">
        <f t="shared" si="70"/>
        <v>0</v>
      </c>
    </row>
    <row r="46" spans="1:29" x14ac:dyDescent="0.2">
      <c r="R46" t="s">
        <v>25</v>
      </c>
      <c r="T46" s="27">
        <f>IFERROR((D33-C33)/C33,0)</f>
        <v>0</v>
      </c>
      <c r="U46" s="27">
        <f t="shared" ref="U46" si="71">IFERROR((E33-D33)/D33,0)</f>
        <v>0</v>
      </c>
      <c r="V46" s="27">
        <f t="shared" ref="V46" si="72">IFERROR((F33-E33)/E33,0)</f>
        <v>0</v>
      </c>
      <c r="W46" s="27">
        <f t="shared" ref="W46" si="73">IFERROR((G33-F33)/F33,0)</f>
        <v>1.5360983102918587E-3</v>
      </c>
      <c r="X46" s="27">
        <f t="shared" ref="X46" si="74">IFERROR((H33-G33)/G33,0)</f>
        <v>1.5337423312883436E-3</v>
      </c>
      <c r="Y46" s="27">
        <f t="shared" ref="Y46" si="75">IFERROR((I33-H33)/H33,0)</f>
        <v>-8.575803981623277E-2</v>
      </c>
      <c r="Z46" s="27">
        <f t="shared" ref="Z46" si="76">IFERROR((J33-I33)/I33,0)</f>
        <v>-0.11222780569514237</v>
      </c>
      <c r="AA46" s="27">
        <f t="shared" ref="AA46" si="77">IFERROR((K33-J33)/J33,0)</f>
        <v>-0.12075471698113208</v>
      </c>
      <c r="AB46" s="27">
        <f t="shared" ref="AB46" si="78">IFERROR((L33-K33)/K33,0)</f>
        <v>-0.15879828326180256</v>
      </c>
      <c r="AC46" s="27">
        <f t="shared" ref="AC46" si="79">IFERROR((M33-L33)/L33,0)</f>
        <v>-2.5510204081632654E-2</v>
      </c>
    </row>
    <row r="47" spans="1:29" x14ac:dyDescent="0.2">
      <c r="R47" t="s">
        <v>29</v>
      </c>
      <c r="T47" s="27">
        <f>IFERROR((D35-C35)/C35,0)</f>
        <v>0</v>
      </c>
      <c r="U47" s="27">
        <f t="shared" ref="U47:AC47" si="80">IFERROR((E35-D35)/D35,0)</f>
        <v>0</v>
      </c>
      <c r="V47" s="27">
        <f t="shared" si="80"/>
        <v>0</v>
      </c>
      <c r="W47" s="27">
        <f t="shared" si="80"/>
        <v>7.2144288577154311E-2</v>
      </c>
      <c r="X47" s="27">
        <f t="shared" si="80"/>
        <v>2.9906542056074768E-2</v>
      </c>
      <c r="Y47" s="27">
        <f t="shared" si="80"/>
        <v>3.629764065335753E-3</v>
      </c>
      <c r="Z47" s="27">
        <f t="shared" si="80"/>
        <v>-1.0849909584086799E-2</v>
      </c>
      <c r="AA47" s="27">
        <f t="shared" si="80"/>
        <v>-5.3016453382084092E-2</v>
      </c>
      <c r="AB47" s="27">
        <f t="shared" si="80"/>
        <v>9.6525096525096523E-3</v>
      </c>
      <c r="AC47" s="27">
        <f t="shared" si="80"/>
        <v>3.8240917782026767E-3</v>
      </c>
    </row>
    <row r="48" spans="1:29" x14ac:dyDescent="0.2">
      <c r="R48" t="s">
        <v>27</v>
      </c>
      <c r="T48" s="27">
        <f>IFERROR((D36-C36)/C36,0)</f>
        <v>0</v>
      </c>
      <c r="U48" s="27">
        <f t="shared" ref="U48" si="81">IFERROR((E36-D36)/D36,0)</f>
        <v>0</v>
      </c>
      <c r="V48" s="27">
        <f t="shared" ref="V48" si="82">IFERROR((F36-E36)/E36,0)</f>
        <v>0</v>
      </c>
      <c r="W48" s="27">
        <f t="shared" ref="W48" si="83">IFERROR((G36-F36)/F36,0)</f>
        <v>3.6827195467422094E-2</v>
      </c>
      <c r="X48" s="27">
        <f t="shared" ref="X48" si="84">IFERROR((H36-G36)/G36,0)</f>
        <v>8.1967213114754103E-3</v>
      </c>
      <c r="Y48" s="27">
        <f t="shared" ref="Y48" si="85">IFERROR((I36-H36)/H36,0)</f>
        <v>0</v>
      </c>
      <c r="Z48" s="27">
        <f t="shared" ref="Z48" si="86">IFERROR((J36-I36)/I36,0)</f>
        <v>3.5230352303523033E-2</v>
      </c>
      <c r="AA48" s="27">
        <f t="shared" ref="AA48" si="87">IFERROR((K36-J36)/J36,0)</f>
        <v>0.10471204188481675</v>
      </c>
      <c r="AB48" s="27">
        <f t="shared" ref="AB48" si="88">IFERROR((L36-K36)/K36,0)</f>
        <v>7.1090047393364926E-3</v>
      </c>
      <c r="AC48" s="27">
        <f t="shared" ref="AC48" si="89">IFERROR((M36-L36)/L36,0)</f>
        <v>-3.5294117647058823E-2</v>
      </c>
    </row>
  </sheetData>
  <mergeCells count="1">
    <mergeCell ref="A3:A8"/>
  </mergeCells>
  <phoneticPr fontId="29" type="noConversion"/>
  <pageMargins left="0.7" right="0.7" top="0.75" bottom="0.75" header="0.3" footer="0.3"/>
  <pageSetup paperSize="9" orientation="portrait" r:id="rId1"/>
  <ignoredErrors>
    <ignoredError sqref="C35:F36 C33:F33"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89361-BDFA-4BB4-BB42-5E94A4B7A6B7}">
  <dimension ref="A1:M39"/>
  <sheetViews>
    <sheetView zoomScale="150" zoomScaleNormal="150" workbookViewId="0">
      <selection activeCell="D37" sqref="D37"/>
    </sheetView>
  </sheetViews>
  <sheetFormatPr baseColWidth="10" defaultRowHeight="15" x14ac:dyDescent="0.2"/>
  <cols>
    <col min="1" max="1" width="24.5" bestFit="1" customWidth="1"/>
    <col min="4" max="4" width="12" bestFit="1" customWidth="1"/>
    <col min="7" max="7" width="12" bestFit="1" customWidth="1"/>
    <col min="10" max="10" width="13.1640625" bestFit="1" customWidth="1"/>
    <col min="13" max="13" width="12" bestFit="1" customWidth="1"/>
  </cols>
  <sheetData>
    <row r="1" spans="1:13" ht="21" x14ac:dyDescent="0.25">
      <c r="B1" s="532" t="s">
        <v>704</v>
      </c>
      <c r="C1" s="533"/>
      <c r="D1" s="534"/>
      <c r="E1" s="532" t="s">
        <v>705</v>
      </c>
      <c r="F1" s="533"/>
      <c r="G1" s="534"/>
      <c r="H1" s="532" t="s">
        <v>706</v>
      </c>
      <c r="I1" s="533"/>
      <c r="J1" s="534"/>
      <c r="K1" s="532" t="s">
        <v>707</v>
      </c>
      <c r="L1" s="533"/>
      <c r="M1" s="534"/>
    </row>
    <row r="2" spans="1:13" ht="44" x14ac:dyDescent="0.2">
      <c r="A2" s="85" t="s">
        <v>112</v>
      </c>
      <c r="B2" s="460" t="s">
        <v>658</v>
      </c>
      <c r="C2" s="458" t="s">
        <v>701</v>
      </c>
      <c r="D2" s="459" t="s">
        <v>702</v>
      </c>
      <c r="E2" s="460" t="s">
        <v>658</v>
      </c>
      <c r="F2" s="458" t="s">
        <v>701</v>
      </c>
      <c r="G2" s="459" t="s">
        <v>702</v>
      </c>
      <c r="H2" s="460" t="s">
        <v>658</v>
      </c>
      <c r="I2" s="461" t="s">
        <v>701</v>
      </c>
      <c r="J2" s="462" t="s">
        <v>703</v>
      </c>
      <c r="K2" s="460" t="s">
        <v>658</v>
      </c>
      <c r="L2" s="458" t="s">
        <v>701</v>
      </c>
      <c r="M2" s="459" t="s">
        <v>702</v>
      </c>
    </row>
    <row r="3" spans="1:13" ht="20" thickBot="1" x14ac:dyDescent="0.3">
      <c r="B3" s="529">
        <f>SUM(B4:B18)</f>
        <v>1794</v>
      </c>
      <c r="C3" s="530"/>
      <c r="D3" s="531"/>
      <c r="E3" s="526">
        <f>SUM(E4:E18)</f>
        <v>1825</v>
      </c>
      <c r="F3" s="527"/>
      <c r="G3" s="528"/>
      <c r="H3" s="526">
        <f t="shared" ref="H3:K3" si="0">SUM(H4:H18)</f>
        <v>1765</v>
      </c>
      <c r="I3" s="530"/>
      <c r="J3" s="531"/>
      <c r="K3" s="526">
        <f t="shared" si="0"/>
        <v>1699</v>
      </c>
      <c r="L3" s="530"/>
      <c r="M3" s="531"/>
    </row>
    <row r="4" spans="1:13" ht="19" x14ac:dyDescent="0.25">
      <c r="A4" s="445" t="s">
        <v>0</v>
      </c>
      <c r="B4" s="446">
        <v>59</v>
      </c>
      <c r="C4" s="447">
        <v>3</v>
      </c>
      <c r="D4" s="448">
        <f>B4/C4</f>
        <v>19.666666666666668</v>
      </c>
      <c r="E4" s="510">
        <v>70</v>
      </c>
      <c r="F4" s="511">
        <v>3</v>
      </c>
      <c r="G4" s="512">
        <f>E4/F4</f>
        <v>23.333333333333332</v>
      </c>
      <c r="H4" s="451">
        <v>60</v>
      </c>
      <c r="I4" s="452"/>
      <c r="J4" s="453"/>
      <c r="K4" s="451">
        <v>60</v>
      </c>
      <c r="L4" s="447"/>
      <c r="M4" s="448" t="e">
        <f>K4/L4</f>
        <v>#DIV/0!</v>
      </c>
    </row>
    <row r="5" spans="1:13" ht="19" x14ac:dyDescent="0.25">
      <c r="A5" s="449" t="s">
        <v>1</v>
      </c>
      <c r="B5" s="440">
        <v>109</v>
      </c>
      <c r="C5" s="439">
        <v>5</v>
      </c>
      <c r="D5" s="441">
        <f t="shared" ref="D5:D18" si="1">B5/C5</f>
        <v>21.8</v>
      </c>
      <c r="E5" s="513">
        <v>72</v>
      </c>
      <c r="F5" s="514">
        <v>3</v>
      </c>
      <c r="G5" s="515">
        <f t="shared" ref="G5:G18" si="2">E5/F5</f>
        <v>24</v>
      </c>
      <c r="H5" s="440">
        <v>60</v>
      </c>
      <c r="I5" s="454"/>
      <c r="J5" s="455"/>
      <c r="K5" s="440">
        <f t="shared" ref="K5:K18" si="3">H4</f>
        <v>60</v>
      </c>
      <c r="L5" s="439"/>
      <c r="M5" s="441" t="e">
        <f t="shared" ref="M5:M18" si="4">K5/L5</f>
        <v>#DIV/0!</v>
      </c>
    </row>
    <row r="6" spans="1:13" ht="20" thickBot="1" x14ac:dyDescent="0.3">
      <c r="A6" s="450" t="s">
        <v>2</v>
      </c>
      <c r="B6" s="442">
        <v>123</v>
      </c>
      <c r="C6" s="443">
        <v>5</v>
      </c>
      <c r="D6" s="444">
        <f t="shared" si="1"/>
        <v>24.6</v>
      </c>
      <c r="E6" s="516">
        <v>130</v>
      </c>
      <c r="F6" s="517">
        <v>5</v>
      </c>
      <c r="G6" s="518">
        <f t="shared" si="2"/>
        <v>26</v>
      </c>
      <c r="H6" s="442">
        <f t="shared" ref="H6:H18" si="5">E5</f>
        <v>72</v>
      </c>
      <c r="I6" s="456"/>
      <c r="J6" s="457"/>
      <c r="K6" s="442">
        <f t="shared" si="3"/>
        <v>60</v>
      </c>
      <c r="L6" s="443"/>
      <c r="M6" s="444" t="e">
        <f t="shared" si="4"/>
        <v>#DIV/0!</v>
      </c>
    </row>
    <row r="7" spans="1:13" ht="19" x14ac:dyDescent="0.25">
      <c r="A7" s="445" t="s">
        <v>3</v>
      </c>
      <c r="B7" s="446">
        <v>116</v>
      </c>
      <c r="C7" s="447">
        <v>5</v>
      </c>
      <c r="D7" s="448">
        <f t="shared" si="1"/>
        <v>23.2</v>
      </c>
      <c r="E7" s="510">
        <v>134</v>
      </c>
      <c r="F7" s="511">
        <v>6</v>
      </c>
      <c r="G7" s="512">
        <f t="shared" si="2"/>
        <v>22.333333333333332</v>
      </c>
      <c r="H7" s="446">
        <f t="shared" si="5"/>
        <v>130</v>
      </c>
      <c r="I7" s="452"/>
      <c r="J7" s="453"/>
      <c r="K7" s="446">
        <f t="shared" si="3"/>
        <v>72</v>
      </c>
      <c r="L7" s="447"/>
      <c r="M7" s="448" t="e">
        <f t="shared" si="4"/>
        <v>#DIV/0!</v>
      </c>
    </row>
    <row r="8" spans="1:13" ht="19" x14ac:dyDescent="0.25">
      <c r="A8" s="449" t="s">
        <v>4</v>
      </c>
      <c r="B8" s="440">
        <v>140</v>
      </c>
      <c r="C8" s="439">
        <v>6</v>
      </c>
      <c r="D8" s="441">
        <f t="shared" si="1"/>
        <v>23.333333333333332</v>
      </c>
      <c r="E8" s="519">
        <v>124</v>
      </c>
      <c r="F8" s="514">
        <v>5</v>
      </c>
      <c r="G8" s="515">
        <f t="shared" si="2"/>
        <v>24.8</v>
      </c>
      <c r="H8" s="440">
        <f t="shared" si="5"/>
        <v>134</v>
      </c>
      <c r="I8" s="454"/>
      <c r="J8" s="455"/>
      <c r="K8" s="440">
        <f t="shared" si="3"/>
        <v>130</v>
      </c>
      <c r="L8" s="439"/>
      <c r="M8" s="441" t="e">
        <f t="shared" si="4"/>
        <v>#DIV/0!</v>
      </c>
    </row>
    <row r="9" spans="1:13" ht="19" x14ac:dyDescent="0.25">
      <c r="A9" s="449" t="s">
        <v>5</v>
      </c>
      <c r="B9" s="440">
        <v>126</v>
      </c>
      <c r="C9" s="439">
        <v>5</v>
      </c>
      <c r="D9" s="441">
        <f t="shared" si="1"/>
        <v>25.2</v>
      </c>
      <c r="E9" s="519">
        <v>137</v>
      </c>
      <c r="F9" s="514">
        <v>6</v>
      </c>
      <c r="G9" s="515">
        <f t="shared" si="2"/>
        <v>22.833333333333332</v>
      </c>
      <c r="H9" s="440">
        <f t="shared" si="5"/>
        <v>124</v>
      </c>
      <c r="I9" s="454"/>
      <c r="J9" s="455"/>
      <c r="K9" s="440">
        <f t="shared" si="3"/>
        <v>134</v>
      </c>
      <c r="L9" s="439"/>
      <c r="M9" s="441" t="e">
        <f t="shared" si="4"/>
        <v>#DIV/0!</v>
      </c>
    </row>
    <row r="10" spans="1:13" ht="19" x14ac:dyDescent="0.25">
      <c r="A10" s="449" t="s">
        <v>6</v>
      </c>
      <c r="B10" s="440">
        <v>124</v>
      </c>
      <c r="C10" s="439">
        <v>5</v>
      </c>
      <c r="D10" s="441">
        <f t="shared" si="1"/>
        <v>24.8</v>
      </c>
      <c r="E10" s="519">
        <v>128</v>
      </c>
      <c r="F10" s="514">
        <v>5</v>
      </c>
      <c r="G10" s="515">
        <f t="shared" si="2"/>
        <v>25.6</v>
      </c>
      <c r="H10" s="440">
        <f t="shared" si="5"/>
        <v>137</v>
      </c>
      <c r="I10" s="454"/>
      <c r="J10" s="455"/>
      <c r="K10" s="440">
        <f t="shared" si="3"/>
        <v>124</v>
      </c>
      <c r="L10" s="439"/>
      <c r="M10" s="441" t="e">
        <f t="shared" si="4"/>
        <v>#DIV/0!</v>
      </c>
    </row>
    <row r="11" spans="1:13" ht="20" thickBot="1" x14ac:dyDescent="0.3">
      <c r="A11" s="450" t="s">
        <v>7</v>
      </c>
      <c r="B11" s="442">
        <v>145</v>
      </c>
      <c r="C11" s="443">
        <v>6</v>
      </c>
      <c r="D11" s="444">
        <f t="shared" si="1"/>
        <v>24.166666666666668</v>
      </c>
      <c r="E11" s="516">
        <v>129</v>
      </c>
      <c r="F11" s="517">
        <v>5</v>
      </c>
      <c r="G11" s="518">
        <f t="shared" si="2"/>
        <v>25.8</v>
      </c>
      <c r="H11" s="442">
        <f t="shared" si="5"/>
        <v>128</v>
      </c>
      <c r="I11" s="456"/>
      <c r="J11" s="457"/>
      <c r="K11" s="442">
        <f t="shared" si="3"/>
        <v>137</v>
      </c>
      <c r="L11" s="443"/>
      <c r="M11" s="444" t="e">
        <f t="shared" si="4"/>
        <v>#DIV/0!</v>
      </c>
    </row>
    <row r="12" spans="1:13" ht="19" x14ac:dyDescent="0.25">
      <c r="A12" s="445" t="s">
        <v>8</v>
      </c>
      <c r="B12" s="446">
        <v>146</v>
      </c>
      <c r="C12" s="447">
        <v>6</v>
      </c>
      <c r="D12" s="448">
        <f t="shared" si="1"/>
        <v>24.333333333333332</v>
      </c>
      <c r="E12" s="501">
        <v>153</v>
      </c>
      <c r="F12" s="502">
        <v>6</v>
      </c>
      <c r="G12" s="503">
        <f t="shared" si="2"/>
        <v>25.5</v>
      </c>
      <c r="H12" s="446">
        <f t="shared" si="5"/>
        <v>129</v>
      </c>
      <c r="I12" s="452"/>
      <c r="J12" s="453"/>
      <c r="K12" s="446">
        <f t="shared" si="3"/>
        <v>128</v>
      </c>
      <c r="L12" s="447"/>
      <c r="M12" s="448" t="e">
        <f t="shared" si="4"/>
        <v>#DIV/0!</v>
      </c>
    </row>
    <row r="13" spans="1:13" ht="19" x14ac:dyDescent="0.25">
      <c r="A13" s="449" t="s">
        <v>9</v>
      </c>
      <c r="B13" s="440">
        <v>121</v>
      </c>
      <c r="C13" s="439">
        <v>5</v>
      </c>
      <c r="D13" s="441">
        <f t="shared" si="1"/>
        <v>24.2</v>
      </c>
      <c r="E13" s="504">
        <v>143</v>
      </c>
      <c r="F13" s="505">
        <v>6</v>
      </c>
      <c r="G13" s="506">
        <f t="shared" si="2"/>
        <v>23.833333333333332</v>
      </c>
      <c r="H13" s="440">
        <f t="shared" si="5"/>
        <v>153</v>
      </c>
      <c r="I13" s="454"/>
      <c r="J13" s="455"/>
      <c r="K13" s="440">
        <f t="shared" si="3"/>
        <v>129</v>
      </c>
      <c r="L13" s="439"/>
      <c r="M13" s="441" t="e">
        <f t="shared" si="4"/>
        <v>#DIV/0!</v>
      </c>
    </row>
    <row r="14" spans="1:13" ht="19" x14ac:dyDescent="0.25">
      <c r="A14" s="449" t="s">
        <v>10</v>
      </c>
      <c r="B14" s="440">
        <v>104</v>
      </c>
      <c r="C14" s="439">
        <v>4</v>
      </c>
      <c r="D14" s="441">
        <f t="shared" si="1"/>
        <v>26</v>
      </c>
      <c r="E14" s="504">
        <v>126</v>
      </c>
      <c r="F14" s="505">
        <v>5</v>
      </c>
      <c r="G14" s="506">
        <f t="shared" si="2"/>
        <v>25.2</v>
      </c>
      <c r="H14" s="440">
        <f t="shared" si="5"/>
        <v>143</v>
      </c>
      <c r="I14" s="454"/>
      <c r="J14" s="455"/>
      <c r="K14" s="440">
        <f t="shared" si="3"/>
        <v>153</v>
      </c>
      <c r="L14" s="439"/>
      <c r="M14" s="441" t="e">
        <f t="shared" si="4"/>
        <v>#DIV/0!</v>
      </c>
    </row>
    <row r="15" spans="1:13" ht="20" thickBot="1" x14ac:dyDescent="0.3">
      <c r="A15" s="450" t="s">
        <v>11</v>
      </c>
      <c r="B15" s="442">
        <v>128</v>
      </c>
      <c r="C15" s="443">
        <v>5</v>
      </c>
      <c r="D15" s="444">
        <f t="shared" si="1"/>
        <v>25.6</v>
      </c>
      <c r="E15" s="507">
        <v>113</v>
      </c>
      <c r="F15" s="508">
        <v>4</v>
      </c>
      <c r="G15" s="509">
        <f t="shared" si="2"/>
        <v>28.25</v>
      </c>
      <c r="H15" s="442">
        <f t="shared" si="5"/>
        <v>126</v>
      </c>
      <c r="I15" s="456"/>
      <c r="J15" s="457"/>
      <c r="K15" s="442">
        <f t="shared" si="3"/>
        <v>143</v>
      </c>
      <c r="L15" s="443"/>
      <c r="M15" s="444" t="e">
        <f t="shared" si="4"/>
        <v>#DIV/0!</v>
      </c>
    </row>
    <row r="16" spans="1:13" ht="19" x14ac:dyDescent="0.25">
      <c r="A16" s="445" t="s">
        <v>12</v>
      </c>
      <c r="B16" s="446">
        <v>130</v>
      </c>
      <c r="C16" s="447">
        <v>5</v>
      </c>
      <c r="D16" s="448">
        <f t="shared" si="1"/>
        <v>26</v>
      </c>
      <c r="E16" s="501">
        <v>130</v>
      </c>
      <c r="F16" s="502">
        <v>5</v>
      </c>
      <c r="G16" s="503">
        <f t="shared" si="2"/>
        <v>26</v>
      </c>
      <c r="H16" s="446">
        <f t="shared" si="5"/>
        <v>113</v>
      </c>
      <c r="I16" s="452"/>
      <c r="J16" s="453"/>
      <c r="K16" s="446">
        <f t="shared" si="3"/>
        <v>126</v>
      </c>
      <c r="L16" s="447"/>
      <c r="M16" s="448" t="e">
        <f t="shared" si="4"/>
        <v>#DIV/0!</v>
      </c>
    </row>
    <row r="17" spans="1:13" ht="19" x14ac:dyDescent="0.25">
      <c r="A17" s="449" t="s">
        <v>13</v>
      </c>
      <c r="B17" s="440">
        <v>114</v>
      </c>
      <c r="C17" s="439">
        <v>4</v>
      </c>
      <c r="D17" s="441">
        <f t="shared" si="1"/>
        <v>28.5</v>
      </c>
      <c r="E17" s="504">
        <v>126</v>
      </c>
      <c r="F17" s="505">
        <v>5</v>
      </c>
      <c r="G17" s="506">
        <f t="shared" si="2"/>
        <v>25.2</v>
      </c>
      <c r="H17" s="440">
        <f t="shared" si="5"/>
        <v>130</v>
      </c>
      <c r="I17" s="454"/>
      <c r="J17" s="455"/>
      <c r="K17" s="440">
        <f t="shared" si="3"/>
        <v>113</v>
      </c>
      <c r="L17" s="439"/>
      <c r="M17" s="441" t="e">
        <f t="shared" si="4"/>
        <v>#DIV/0!</v>
      </c>
    </row>
    <row r="18" spans="1:13" ht="20" thickBot="1" x14ac:dyDescent="0.3">
      <c r="A18" s="450" t="s">
        <v>14</v>
      </c>
      <c r="B18" s="442">
        <v>109</v>
      </c>
      <c r="C18" s="443">
        <v>4</v>
      </c>
      <c r="D18" s="444">
        <f t="shared" si="1"/>
        <v>27.25</v>
      </c>
      <c r="E18" s="507">
        <v>110</v>
      </c>
      <c r="F18" s="508">
        <v>4</v>
      </c>
      <c r="G18" s="509">
        <f t="shared" si="2"/>
        <v>27.5</v>
      </c>
      <c r="H18" s="442">
        <f t="shared" si="5"/>
        <v>126</v>
      </c>
      <c r="I18" s="456"/>
      <c r="J18" s="457"/>
      <c r="K18" s="442">
        <f t="shared" si="3"/>
        <v>130</v>
      </c>
      <c r="L18" s="443"/>
      <c r="M18" s="444" t="e">
        <f t="shared" si="4"/>
        <v>#DIV/0!</v>
      </c>
    </row>
    <row r="19" spans="1:13" ht="16" thickBot="1" x14ac:dyDescent="0.25"/>
    <row r="20" spans="1:13" ht="17" thickBot="1" x14ac:dyDescent="0.25">
      <c r="B20" s="467" t="s">
        <v>658</v>
      </c>
      <c r="C20" s="468" t="s">
        <v>701</v>
      </c>
      <c r="D20" s="469" t="s">
        <v>702</v>
      </c>
      <c r="E20" s="467" t="s">
        <v>658</v>
      </c>
      <c r="F20" s="468" t="s">
        <v>701</v>
      </c>
      <c r="G20" s="469" t="s">
        <v>702</v>
      </c>
      <c r="H20" s="467" t="s">
        <v>658</v>
      </c>
      <c r="I20" s="470" t="s">
        <v>701</v>
      </c>
      <c r="J20" s="471" t="s">
        <v>703</v>
      </c>
      <c r="K20" s="467" t="s">
        <v>658</v>
      </c>
      <c r="L20" s="468" t="s">
        <v>701</v>
      </c>
      <c r="M20" s="469" t="s">
        <v>702</v>
      </c>
    </row>
    <row r="21" spans="1:13" ht="19" x14ac:dyDescent="0.25">
      <c r="A21" s="472" t="s">
        <v>24</v>
      </c>
      <c r="B21" s="475">
        <f>B4+B5+B6</f>
        <v>291</v>
      </c>
      <c r="C21" s="482">
        <f>C4+C5+C6</f>
        <v>13</v>
      </c>
      <c r="D21" s="483">
        <f>B21/C21</f>
        <v>22.384615384615383</v>
      </c>
      <c r="E21" s="475">
        <f t="shared" ref="E21:L21" si="6">E4+E5+E6</f>
        <v>272</v>
      </c>
      <c r="F21" s="478">
        <f t="shared" si="6"/>
        <v>11</v>
      </c>
      <c r="G21" s="479">
        <f>E21/F21</f>
        <v>24.727272727272727</v>
      </c>
      <c r="H21" s="475">
        <f t="shared" si="6"/>
        <v>192</v>
      </c>
      <c r="I21" s="465">
        <f t="shared" si="6"/>
        <v>0</v>
      </c>
      <c r="J21" s="466" t="e">
        <f>H21/I21</f>
        <v>#DIV/0!</v>
      </c>
      <c r="K21" s="475">
        <f t="shared" si="6"/>
        <v>180</v>
      </c>
      <c r="L21" s="465">
        <f t="shared" si="6"/>
        <v>0</v>
      </c>
      <c r="M21" s="466" t="e">
        <f>K21/L21</f>
        <v>#DIV/0!</v>
      </c>
    </row>
    <row r="22" spans="1:13" ht="19" x14ac:dyDescent="0.25">
      <c r="A22" s="473" t="s">
        <v>25</v>
      </c>
      <c r="B22" s="476">
        <f>B7+B8+B9+B10+B11</f>
        <v>651</v>
      </c>
      <c r="C22" s="484">
        <f t="shared" ref="C22:K22" si="7">C7+C8+C9+C10+C11</f>
        <v>27</v>
      </c>
      <c r="D22" s="485">
        <f t="shared" ref="D22:D26" si="8">B22/C22</f>
        <v>24.111111111111111</v>
      </c>
      <c r="E22" s="476">
        <f t="shared" si="7"/>
        <v>652</v>
      </c>
      <c r="F22" s="480">
        <f t="shared" si="7"/>
        <v>27</v>
      </c>
      <c r="G22" s="479">
        <f t="shared" ref="G22:G26" si="9">E22/F22</f>
        <v>24.148148148148149</v>
      </c>
      <c r="H22" s="476">
        <f t="shared" si="7"/>
        <v>653</v>
      </c>
      <c r="I22" s="463">
        <f t="shared" si="7"/>
        <v>0</v>
      </c>
      <c r="J22" s="466" t="e">
        <f t="shared" ref="J22:J27" si="10">H22/I22</f>
        <v>#DIV/0!</v>
      </c>
      <c r="K22" s="476">
        <f t="shared" si="7"/>
        <v>597</v>
      </c>
      <c r="L22" s="463">
        <f>L7+L8+L9+L10+L11</f>
        <v>0</v>
      </c>
      <c r="M22" s="466" t="e">
        <f t="shared" ref="M22:M27" si="11">K22/L22</f>
        <v>#DIV/0!</v>
      </c>
    </row>
    <row r="23" spans="1:13" ht="19" x14ac:dyDescent="0.25">
      <c r="A23" s="474" t="s">
        <v>28</v>
      </c>
      <c r="B23" s="477">
        <f>B21+B22</f>
        <v>942</v>
      </c>
      <c r="C23" s="486">
        <f t="shared" ref="C23:L23" si="12">C21+C22</f>
        <v>40</v>
      </c>
      <c r="D23" s="485">
        <f t="shared" si="8"/>
        <v>23.55</v>
      </c>
      <c r="E23" s="477">
        <f t="shared" si="12"/>
        <v>924</v>
      </c>
      <c r="F23" s="481">
        <f t="shared" si="12"/>
        <v>38</v>
      </c>
      <c r="G23" s="479">
        <f t="shared" si="9"/>
        <v>24.315789473684209</v>
      </c>
      <c r="H23" s="477">
        <f t="shared" si="12"/>
        <v>845</v>
      </c>
      <c r="I23" s="464">
        <f t="shared" si="12"/>
        <v>0</v>
      </c>
      <c r="J23" s="466" t="e">
        <f t="shared" si="10"/>
        <v>#DIV/0!</v>
      </c>
      <c r="K23" s="477">
        <f t="shared" si="12"/>
        <v>777</v>
      </c>
      <c r="L23" s="464">
        <f t="shared" si="12"/>
        <v>0</v>
      </c>
      <c r="M23" s="466" t="e">
        <f t="shared" si="11"/>
        <v>#DIV/0!</v>
      </c>
    </row>
    <row r="24" spans="1:13" ht="19" x14ac:dyDescent="0.25">
      <c r="A24" s="473" t="s">
        <v>26</v>
      </c>
      <c r="B24" s="476">
        <f>B12+B13+B14+B15</f>
        <v>499</v>
      </c>
      <c r="C24" s="484">
        <f t="shared" ref="C24:L24" si="13">C12+C13+C14+C15</f>
        <v>20</v>
      </c>
      <c r="D24" s="485">
        <f t="shared" si="8"/>
        <v>24.95</v>
      </c>
      <c r="E24" s="476">
        <f t="shared" si="13"/>
        <v>535</v>
      </c>
      <c r="F24" s="480">
        <f t="shared" si="13"/>
        <v>21</v>
      </c>
      <c r="G24" s="479">
        <f t="shared" si="9"/>
        <v>25.476190476190474</v>
      </c>
      <c r="H24" s="476">
        <f t="shared" si="13"/>
        <v>551</v>
      </c>
      <c r="I24" s="463">
        <f t="shared" si="13"/>
        <v>0</v>
      </c>
      <c r="J24" s="466" t="e">
        <f t="shared" si="10"/>
        <v>#DIV/0!</v>
      </c>
      <c r="K24" s="476">
        <f t="shared" si="13"/>
        <v>553</v>
      </c>
      <c r="L24" s="463">
        <f t="shared" si="13"/>
        <v>0</v>
      </c>
      <c r="M24" s="466" t="e">
        <f t="shared" si="11"/>
        <v>#DIV/0!</v>
      </c>
    </row>
    <row r="25" spans="1:13" ht="19" x14ac:dyDescent="0.25">
      <c r="A25" s="473" t="s">
        <v>27</v>
      </c>
      <c r="B25" s="476">
        <f>B16+B17+B18</f>
        <v>353</v>
      </c>
      <c r="C25" s="484">
        <f t="shared" ref="C25:L25" si="14">C16+C17+C18</f>
        <v>13</v>
      </c>
      <c r="D25" s="485">
        <f t="shared" si="8"/>
        <v>27.153846153846153</v>
      </c>
      <c r="E25" s="476">
        <f t="shared" si="14"/>
        <v>366</v>
      </c>
      <c r="F25" s="480">
        <f t="shared" si="14"/>
        <v>14</v>
      </c>
      <c r="G25" s="479">
        <f t="shared" si="9"/>
        <v>26.142857142857142</v>
      </c>
      <c r="H25" s="476">
        <f t="shared" si="14"/>
        <v>369</v>
      </c>
      <c r="I25" s="463">
        <f t="shared" si="14"/>
        <v>0</v>
      </c>
      <c r="J25" s="466" t="e">
        <f t="shared" si="10"/>
        <v>#DIV/0!</v>
      </c>
      <c r="K25" s="476">
        <f t="shared" si="14"/>
        <v>369</v>
      </c>
      <c r="L25" s="463">
        <f t="shared" si="14"/>
        <v>0</v>
      </c>
      <c r="M25" s="466" t="e">
        <f t="shared" si="11"/>
        <v>#DIV/0!</v>
      </c>
    </row>
    <row r="26" spans="1:13" ht="20" thickBot="1" x14ac:dyDescent="0.3">
      <c r="A26" s="487" t="s">
        <v>30</v>
      </c>
      <c r="B26" s="488">
        <f>B24+B25</f>
        <v>852</v>
      </c>
      <c r="C26" s="489">
        <f t="shared" ref="C26:L26" si="15">C24+C25</f>
        <v>33</v>
      </c>
      <c r="D26" s="490">
        <f t="shared" si="8"/>
        <v>25.818181818181817</v>
      </c>
      <c r="E26" s="488">
        <f t="shared" si="15"/>
        <v>901</v>
      </c>
      <c r="F26" s="491">
        <f t="shared" si="15"/>
        <v>35</v>
      </c>
      <c r="G26" s="492">
        <f t="shared" si="9"/>
        <v>25.742857142857144</v>
      </c>
      <c r="H26" s="488">
        <f t="shared" si="15"/>
        <v>920</v>
      </c>
      <c r="I26" s="493">
        <f t="shared" si="15"/>
        <v>0</v>
      </c>
      <c r="J26" s="500" t="e">
        <f t="shared" si="10"/>
        <v>#DIV/0!</v>
      </c>
      <c r="K26" s="488">
        <f t="shared" si="15"/>
        <v>922</v>
      </c>
      <c r="L26" s="493">
        <f t="shared" si="15"/>
        <v>0</v>
      </c>
      <c r="M26" s="500" t="e">
        <f t="shared" si="11"/>
        <v>#DIV/0!</v>
      </c>
    </row>
    <row r="27" spans="1:13" ht="20" thickBot="1" x14ac:dyDescent="0.3">
      <c r="A27" s="494" t="s">
        <v>31</v>
      </c>
      <c r="B27" s="495">
        <f>B23+B26</f>
        <v>1794</v>
      </c>
      <c r="C27" s="496">
        <f t="shared" ref="C27:L27" si="16">C23+C26</f>
        <v>73</v>
      </c>
      <c r="D27" s="520">
        <f>B27/C27</f>
        <v>24.575342465753426</v>
      </c>
      <c r="E27" s="495">
        <f t="shared" si="16"/>
        <v>1825</v>
      </c>
      <c r="F27" s="497">
        <f t="shared" si="16"/>
        <v>73</v>
      </c>
      <c r="G27" s="521">
        <f>E27/F27</f>
        <v>25</v>
      </c>
      <c r="H27" s="495">
        <f t="shared" si="16"/>
        <v>1765</v>
      </c>
      <c r="I27" s="498">
        <f t="shared" si="16"/>
        <v>0</v>
      </c>
      <c r="J27" s="499" t="e">
        <f t="shared" si="10"/>
        <v>#DIV/0!</v>
      </c>
      <c r="K27" s="495">
        <f t="shared" si="16"/>
        <v>1699</v>
      </c>
      <c r="L27" s="498">
        <f t="shared" si="16"/>
        <v>0</v>
      </c>
      <c r="M27" s="499" t="e">
        <f t="shared" si="11"/>
        <v>#DIV/0!</v>
      </c>
    </row>
    <row r="30" spans="1:13" ht="32" x14ac:dyDescent="0.2">
      <c r="A30" s="82" t="s">
        <v>708</v>
      </c>
    </row>
    <row r="31" spans="1:13" x14ac:dyDescent="0.2">
      <c r="A31" t="s">
        <v>709</v>
      </c>
      <c r="B31" s="20"/>
    </row>
    <row r="32" spans="1:13" x14ac:dyDescent="0.2">
      <c r="A32" t="s">
        <v>710</v>
      </c>
      <c r="B32" s="20"/>
    </row>
    <row r="33" spans="1:2" x14ac:dyDescent="0.2">
      <c r="A33" t="s">
        <v>711</v>
      </c>
      <c r="B33" s="20"/>
    </row>
    <row r="34" spans="1:2" x14ac:dyDescent="0.2">
      <c r="A34" t="s">
        <v>712</v>
      </c>
      <c r="B34" s="20"/>
    </row>
    <row r="35" spans="1:2" x14ac:dyDescent="0.2">
      <c r="A35" t="s">
        <v>713</v>
      </c>
      <c r="B35" s="20"/>
    </row>
    <row r="36" spans="1:2" x14ac:dyDescent="0.2">
      <c r="A36" t="s">
        <v>714</v>
      </c>
      <c r="B36" s="20"/>
    </row>
    <row r="37" spans="1:2" x14ac:dyDescent="0.2">
      <c r="A37" t="s">
        <v>715</v>
      </c>
      <c r="B37" s="20"/>
    </row>
    <row r="38" spans="1:2" x14ac:dyDescent="0.2">
      <c r="A38" t="s">
        <v>716</v>
      </c>
      <c r="B38" s="20"/>
    </row>
    <row r="39" spans="1:2" x14ac:dyDescent="0.2">
      <c r="B39" s="54">
        <f>SUM(B31:B38)</f>
        <v>0</v>
      </c>
    </row>
  </sheetData>
  <mergeCells count="8">
    <mergeCell ref="E3:G3"/>
    <mergeCell ref="B3:D3"/>
    <mergeCell ref="H3:J3"/>
    <mergeCell ref="K3:M3"/>
    <mergeCell ref="B1:D1"/>
    <mergeCell ref="E1:G1"/>
    <mergeCell ref="H1:J1"/>
    <mergeCell ref="K1:M1"/>
  </mergeCells>
  <pageMargins left="0.7" right="0.7" top="0.75" bottom="0.75" header="0.3" footer="0.3"/>
  <ignoredErrors>
    <ignoredError sqref="D21:D26 G21:G26 J21:J23 J27" formula="1"/>
    <ignoredError sqref="J24:J26" evalError="1" formula="1"/>
    <ignoredError sqref="M22 M24:M26" evalError="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4D727-CC9E-4BC6-ACCD-0B29F520DC59}">
  <dimension ref="A2:AH149"/>
  <sheetViews>
    <sheetView showGridLines="0" zoomScale="90" zoomScaleNormal="90" workbookViewId="0">
      <selection activeCell="D155" sqref="D155"/>
    </sheetView>
  </sheetViews>
  <sheetFormatPr baseColWidth="10" defaultRowHeight="15" x14ac:dyDescent="0.2"/>
  <cols>
    <col min="1" max="1" width="5.6640625" customWidth="1"/>
    <col min="2" max="2" width="47.1640625" customWidth="1"/>
    <col min="3" max="3" width="15.83203125" style="20" customWidth="1"/>
    <col min="4" max="4" width="13.5" style="20" customWidth="1"/>
    <col min="5" max="11" width="11.5" style="20" customWidth="1"/>
    <col min="12" max="12" width="14.5" style="210" customWidth="1"/>
    <col min="13" max="13" width="30.5" style="224" customWidth="1"/>
    <col min="14" max="14" width="16.5" style="224" customWidth="1"/>
    <col min="15" max="15" width="19.1640625" style="224" customWidth="1"/>
    <col min="16" max="16" width="18.1640625" style="224" customWidth="1"/>
    <col min="17" max="17" width="19.1640625" style="224" customWidth="1"/>
    <col min="18" max="18" width="16.5" style="225" customWidth="1"/>
    <col min="19" max="19" width="16.1640625" style="225" customWidth="1"/>
    <col min="20" max="21" width="15.6640625" style="225" customWidth="1"/>
    <col min="22" max="22" width="11.5" style="84" customWidth="1"/>
    <col min="23" max="23" width="7.1640625" customWidth="1"/>
    <col min="24" max="24" width="29.83203125" customWidth="1"/>
  </cols>
  <sheetData>
    <row r="2" spans="1:33" ht="21" x14ac:dyDescent="0.25">
      <c r="A2" s="535" t="s">
        <v>549</v>
      </c>
      <c r="B2" s="535"/>
      <c r="C2" s="535"/>
      <c r="D2" s="535"/>
      <c r="E2" s="535"/>
      <c r="F2" s="535"/>
      <c r="G2" s="535"/>
      <c r="H2" s="535"/>
      <c r="I2" s="535"/>
      <c r="J2" s="535"/>
      <c r="K2" s="535"/>
      <c r="L2" s="196"/>
      <c r="M2" s="4" t="s">
        <v>604</v>
      </c>
      <c r="N2" s="4"/>
      <c r="O2" s="4"/>
      <c r="P2" s="4"/>
      <c r="Q2" s="4"/>
      <c r="R2" s="4"/>
      <c r="S2" s="4"/>
      <c r="T2" s="4"/>
      <c r="U2" s="4"/>
      <c r="V2" s="58"/>
      <c r="X2" s="536" t="s">
        <v>82</v>
      </c>
      <c r="Y2" s="536"/>
      <c r="Z2" s="536"/>
      <c r="AA2" s="536"/>
      <c r="AB2" s="536"/>
      <c r="AC2" s="536"/>
      <c r="AD2" s="536"/>
      <c r="AE2" s="536"/>
      <c r="AF2" s="536"/>
      <c r="AG2" s="536"/>
    </row>
    <row r="3" spans="1:33" ht="21" x14ac:dyDescent="0.25">
      <c r="A3" s="59"/>
      <c r="B3" s="59"/>
      <c r="C3" s="253"/>
      <c r="D3" s="253"/>
      <c r="E3" s="253"/>
      <c r="F3" s="253"/>
      <c r="G3" s="253"/>
      <c r="H3" s="253"/>
      <c r="I3" s="253"/>
      <c r="J3" s="253"/>
      <c r="K3" s="253"/>
      <c r="L3" s="196"/>
      <c r="M3" s="59"/>
      <c r="N3" s="59"/>
      <c r="O3" s="253"/>
      <c r="P3" s="253"/>
      <c r="Q3" s="253"/>
      <c r="R3" s="253"/>
      <c r="S3" s="253"/>
      <c r="T3" s="253"/>
      <c r="U3" s="253"/>
      <c r="V3" s="58"/>
      <c r="X3" s="191"/>
      <c r="Y3" s="191"/>
      <c r="Z3" s="191"/>
      <c r="AA3" s="191"/>
      <c r="AB3" s="191"/>
      <c r="AC3" s="191"/>
      <c r="AD3" s="191"/>
      <c r="AE3" s="191"/>
      <c r="AF3" s="191"/>
      <c r="AG3" s="191"/>
    </row>
    <row r="4" spans="1:33" s="84" customFormat="1" ht="21" x14ac:dyDescent="0.25">
      <c r="A4" s="58"/>
      <c r="B4" s="58"/>
      <c r="C4" s="266"/>
      <c r="D4" s="92" t="s">
        <v>561</v>
      </c>
      <c r="E4" s="254"/>
      <c r="F4" s="254"/>
      <c r="G4" s="254"/>
      <c r="H4" s="254"/>
      <c r="I4" s="254"/>
      <c r="J4" s="254"/>
      <c r="K4" s="254"/>
      <c r="L4" s="196"/>
      <c r="M4" s="216"/>
      <c r="N4" s="216"/>
      <c r="O4" s="216"/>
      <c r="P4" s="216"/>
      <c r="Q4" s="216"/>
      <c r="R4" s="217"/>
      <c r="S4" s="217"/>
      <c r="T4" s="217"/>
      <c r="U4" s="217"/>
      <c r="V4" s="58"/>
      <c r="X4" s="58"/>
      <c r="Y4" s="58"/>
      <c r="Z4" s="58"/>
      <c r="AA4" s="58"/>
      <c r="AB4" s="58"/>
      <c r="AC4" s="58"/>
      <c r="AD4" s="58"/>
      <c r="AE4" s="58"/>
      <c r="AF4" s="58"/>
      <c r="AG4" s="58"/>
    </row>
    <row r="5" spans="1:33" s="84" customFormat="1" ht="21" x14ac:dyDescent="0.25">
      <c r="A5" s="58"/>
      <c r="B5" s="58"/>
      <c r="C5" s="268"/>
      <c r="D5" s="92" t="s">
        <v>562</v>
      </c>
      <c r="E5" s="254"/>
      <c r="F5" s="254"/>
      <c r="G5" s="254"/>
      <c r="H5" s="254"/>
      <c r="I5" s="254"/>
      <c r="J5" s="254"/>
      <c r="K5" s="254"/>
      <c r="L5" s="196"/>
      <c r="M5" s="216"/>
      <c r="N5" s="216"/>
      <c r="O5" s="216"/>
      <c r="P5" s="216"/>
      <c r="Q5" s="216"/>
      <c r="R5" s="217"/>
      <c r="S5" s="217"/>
      <c r="T5" s="217"/>
      <c r="U5" s="217"/>
      <c r="V5" s="58"/>
      <c r="X5" s="186"/>
      <c r="Y5" s="186"/>
      <c r="Z5" s="186"/>
      <c r="AA5" s="186"/>
      <c r="AB5" s="186"/>
      <c r="AC5" s="186"/>
      <c r="AD5" s="186"/>
      <c r="AE5" s="186"/>
      <c r="AF5" s="186"/>
      <c r="AG5" s="186"/>
    </row>
    <row r="6" spans="1:33" s="84" customFormat="1" ht="21" x14ac:dyDescent="0.25">
      <c r="A6" s="184" t="s">
        <v>551</v>
      </c>
      <c r="B6" s="184"/>
      <c r="C6" s="255"/>
      <c r="D6" s="255"/>
      <c r="E6" s="255"/>
      <c r="F6" s="255"/>
      <c r="G6" s="255"/>
      <c r="H6" s="255"/>
      <c r="I6" s="255"/>
      <c r="J6" s="255"/>
      <c r="K6" s="255"/>
      <c r="L6" s="196"/>
      <c r="M6" s="216"/>
      <c r="N6" s="216"/>
      <c r="O6" s="216"/>
      <c r="P6" s="216"/>
      <c r="Q6" s="216"/>
      <c r="R6" s="217"/>
      <c r="S6" s="217"/>
      <c r="T6" s="217"/>
      <c r="U6" s="217"/>
      <c r="V6" s="58"/>
      <c r="X6" s="186"/>
      <c r="Y6" s="186"/>
      <c r="Z6" s="186"/>
      <c r="AA6" s="186"/>
      <c r="AB6" s="186"/>
      <c r="AC6" s="186"/>
      <c r="AD6" s="186"/>
      <c r="AE6" s="186"/>
      <c r="AF6" s="186"/>
      <c r="AG6" s="186"/>
    </row>
    <row r="7" spans="1:33" ht="18.75" customHeight="1" x14ac:dyDescent="0.25">
      <c r="B7" s="61" t="s">
        <v>535</v>
      </c>
      <c r="C7" s="256" t="s">
        <v>718</v>
      </c>
      <c r="D7" s="254" t="s">
        <v>669</v>
      </c>
      <c r="E7" s="254"/>
      <c r="F7" s="254"/>
      <c r="G7" s="254"/>
      <c r="H7" s="254"/>
      <c r="I7" s="254"/>
      <c r="J7" s="254"/>
      <c r="K7" s="254"/>
      <c r="L7" s="196"/>
      <c r="M7" s="216"/>
      <c r="N7" s="216"/>
      <c r="O7" s="216"/>
      <c r="P7" s="216"/>
      <c r="Q7" s="216"/>
      <c r="R7" s="217"/>
      <c r="S7" s="217"/>
      <c r="T7" s="217"/>
      <c r="U7" s="217"/>
      <c r="V7" s="58"/>
      <c r="X7" s="187"/>
      <c r="Y7" s="187"/>
      <c r="Z7" s="187"/>
      <c r="AA7" s="187"/>
      <c r="AB7" s="187"/>
      <c r="AC7" s="187"/>
      <c r="AD7" s="187"/>
      <c r="AE7" s="187"/>
      <c r="AF7" s="187"/>
      <c r="AG7" s="187"/>
    </row>
    <row r="8" spans="1:33" s="84" customFormat="1" ht="18.75" customHeight="1" x14ac:dyDescent="0.25">
      <c r="B8" s="61" t="s">
        <v>114</v>
      </c>
      <c r="C8" s="256">
        <v>2025</v>
      </c>
      <c r="D8" s="254"/>
      <c r="E8" s="254"/>
      <c r="F8" s="254"/>
      <c r="G8" s="254"/>
      <c r="H8" s="254"/>
      <c r="I8" s="254"/>
      <c r="J8" s="254"/>
      <c r="K8" s="254"/>
      <c r="L8" s="196"/>
      <c r="M8" s="216"/>
      <c r="N8" s="216"/>
      <c r="O8" s="216"/>
      <c r="P8" s="216"/>
      <c r="Q8" s="216"/>
      <c r="R8" s="217"/>
      <c r="S8" s="217"/>
      <c r="T8" s="217"/>
      <c r="U8" s="217"/>
      <c r="V8" s="58"/>
      <c r="X8" s="186"/>
      <c r="Y8" s="186"/>
      <c r="Z8" s="186"/>
      <c r="AA8" s="186"/>
      <c r="AB8" s="186"/>
      <c r="AC8" s="186"/>
      <c r="AD8" s="186"/>
      <c r="AE8" s="186"/>
      <c r="AF8" s="186"/>
      <c r="AG8" s="186"/>
    </row>
    <row r="9" spans="1:33" s="84" customFormat="1" ht="18.75" hidden="1" customHeight="1" x14ac:dyDescent="0.25">
      <c r="B9" s="61" t="s">
        <v>621</v>
      </c>
      <c r="C9" s="329">
        <f>C8-1</f>
        <v>2024</v>
      </c>
      <c r="D9" s="254"/>
      <c r="E9" s="254"/>
      <c r="F9" s="254"/>
      <c r="G9" s="254"/>
      <c r="H9" s="254"/>
      <c r="I9" s="254"/>
      <c r="J9" s="254"/>
      <c r="K9" s="254"/>
      <c r="L9" s="196"/>
      <c r="M9" s="216"/>
      <c r="N9" s="216"/>
      <c r="O9" s="216"/>
      <c r="P9" s="216"/>
      <c r="Q9" s="216"/>
      <c r="R9" s="217"/>
      <c r="S9" s="217"/>
      <c r="T9" s="217"/>
      <c r="U9" s="217"/>
      <c r="V9" s="58"/>
      <c r="X9" s="186"/>
      <c r="Y9" s="186"/>
      <c r="Z9" s="186"/>
      <c r="AA9" s="186"/>
      <c r="AB9" s="186"/>
      <c r="AC9" s="186"/>
      <c r="AD9" s="186"/>
      <c r="AE9" s="186"/>
      <c r="AF9" s="186"/>
      <c r="AG9" s="186"/>
    </row>
    <row r="10" spans="1:33" ht="18.75" hidden="1" customHeight="1" x14ac:dyDescent="0.25">
      <c r="B10" s="61" t="s">
        <v>125</v>
      </c>
      <c r="C10" s="329" t="str">
        <f>IF(C8=2024,"2022/2023",IF(C8=2025,"2023/2024",IF(C8=2026,"2024/2025",IF(C8=2027,"2025/2026","2026/2027"))))</f>
        <v>2023/2024</v>
      </c>
      <c r="D10" s="254"/>
      <c r="E10" s="254"/>
      <c r="F10" s="254"/>
      <c r="G10" s="254"/>
      <c r="H10" s="254"/>
      <c r="I10" s="254"/>
      <c r="J10" s="254"/>
      <c r="K10" s="254"/>
      <c r="L10" s="196"/>
      <c r="M10" s="216"/>
      <c r="N10" s="216"/>
      <c r="O10" s="216"/>
      <c r="P10" s="216"/>
      <c r="Q10" s="216"/>
      <c r="R10" s="217"/>
      <c r="S10" s="217"/>
      <c r="T10" s="217"/>
      <c r="U10" s="217"/>
      <c r="V10" s="58"/>
      <c r="X10" s="187"/>
      <c r="Y10" s="187"/>
      <c r="Z10" s="187"/>
      <c r="AA10" s="187"/>
      <c r="AB10" s="187"/>
      <c r="AC10" s="187"/>
      <c r="AD10" s="187"/>
      <c r="AE10" s="187"/>
      <c r="AF10" s="187"/>
      <c r="AG10" s="187"/>
    </row>
    <row r="11" spans="1:33" ht="18" customHeight="1" x14ac:dyDescent="0.25">
      <c r="A11" s="63"/>
      <c r="B11" s="58"/>
      <c r="C11" s="390" t="s">
        <v>558</v>
      </c>
      <c r="D11" s="391">
        <v>3</v>
      </c>
      <c r="E11" s="391">
        <v>4</v>
      </c>
      <c r="F11" s="391">
        <v>5</v>
      </c>
      <c r="G11" s="391">
        <v>6</v>
      </c>
      <c r="H11" s="391">
        <v>7</v>
      </c>
      <c r="I11" s="391">
        <v>8</v>
      </c>
      <c r="J11" s="391">
        <v>9</v>
      </c>
      <c r="K11" s="391">
        <v>10</v>
      </c>
      <c r="L11" s="328">
        <v>11</v>
      </c>
      <c r="M11" s="217">
        <v>12</v>
      </c>
      <c r="N11" s="217">
        <v>13</v>
      </c>
      <c r="O11" s="218"/>
      <c r="P11" s="218"/>
      <c r="Q11" s="218"/>
      <c r="R11" s="219"/>
      <c r="S11" s="219"/>
      <c r="T11" s="219"/>
      <c r="U11" s="219"/>
      <c r="V11" s="201"/>
      <c r="X11" s="187"/>
      <c r="Y11" s="187"/>
      <c r="Z11" s="187"/>
      <c r="AA11" s="187"/>
      <c r="AB11" s="187"/>
      <c r="AC11" s="187"/>
      <c r="AD11" s="187"/>
      <c r="AE11" s="187"/>
      <c r="AF11" s="187"/>
      <c r="AG11" s="187"/>
    </row>
    <row r="12" spans="1:33" ht="16" x14ac:dyDescent="0.2">
      <c r="B12" s="197" t="s">
        <v>34</v>
      </c>
      <c r="C12" s="200" t="str">
        <f>C10</f>
        <v>2023/2024</v>
      </c>
      <c r="D12" s="312" t="str">
        <f>VLOOKUP($C$10,'table années scolaires'!$C$2:$L$6,'Hypothèses '!D$11,FALSE)</f>
        <v>2024/2025</v>
      </c>
      <c r="E12" s="312" t="str">
        <f>VLOOKUP($C$10,'table années scolaires'!$C$2:$L$6,'Hypothèses '!E$11,FALSE)</f>
        <v>2025/2026</v>
      </c>
      <c r="F12" s="312" t="str">
        <f>VLOOKUP($C$10,'table années scolaires'!$C$2:$L$6,'Hypothèses '!F$11,FALSE)</f>
        <v>2026/2027</v>
      </c>
      <c r="G12" s="312" t="str">
        <f>VLOOKUP($C$10,'table années scolaires'!$C$2:$L$6,'Hypothèses '!G$11,FALSE)</f>
        <v>2027/2028</v>
      </c>
      <c r="H12" s="312" t="str">
        <f>VLOOKUP($C$10,'table années scolaires'!$C$2:$L$6,'Hypothèses '!H$11,FALSE)</f>
        <v>2028/2029</v>
      </c>
      <c r="I12" s="312" t="str">
        <f>VLOOKUP($C$10,'table années scolaires'!$C$2:$L$6,'Hypothèses '!I$11,FALSE)</f>
        <v>2029/2030</v>
      </c>
      <c r="J12" s="312" t="str">
        <f>VLOOKUP($C$10,'table années scolaires'!$C$2:$L$6,'Hypothèses '!J$11,FALSE)</f>
        <v>2030/2031</v>
      </c>
      <c r="K12" s="312" t="str">
        <f>VLOOKUP($C$10,'table années scolaires'!$C$2:$L$6,'Hypothèses '!K$11,FALSE)</f>
        <v>2031/2032</v>
      </c>
      <c r="L12" s="208"/>
      <c r="M12" s="220"/>
      <c r="N12" s="220"/>
      <c r="O12" s="220"/>
      <c r="P12" s="220"/>
      <c r="Q12" s="220"/>
      <c r="R12" s="221"/>
      <c r="S12" s="221"/>
      <c r="T12" s="221"/>
      <c r="U12" s="221"/>
      <c r="V12" s="202"/>
      <c r="X12" s="187"/>
      <c r="Y12" s="187"/>
      <c r="Z12" s="187"/>
      <c r="AA12" s="187"/>
      <c r="AB12" s="187"/>
      <c r="AC12" s="187"/>
      <c r="AD12" s="187"/>
      <c r="AE12" s="187"/>
      <c r="AF12" s="187"/>
      <c r="AG12" s="187"/>
    </row>
    <row r="13" spans="1:33" ht="16" x14ac:dyDescent="0.2">
      <c r="B13" s="92" t="s">
        <v>24</v>
      </c>
      <c r="C13" s="422" t="s">
        <v>612</v>
      </c>
      <c r="D13" s="273" t="s">
        <v>612</v>
      </c>
      <c r="E13" s="273" t="s">
        <v>612</v>
      </c>
      <c r="F13" s="241" t="s">
        <v>643</v>
      </c>
      <c r="G13" s="241" t="str">
        <f t="shared" ref="G13:K13" si="0">F13</f>
        <v>oui</v>
      </c>
      <c r="H13" s="241" t="str">
        <f t="shared" si="0"/>
        <v>oui</v>
      </c>
      <c r="I13" s="241" t="str">
        <f t="shared" si="0"/>
        <v>oui</v>
      </c>
      <c r="J13" s="241" t="str">
        <f t="shared" si="0"/>
        <v>oui</v>
      </c>
      <c r="K13" s="241" t="str">
        <f t="shared" si="0"/>
        <v>oui</v>
      </c>
      <c r="L13" s="195"/>
      <c r="O13" s="222"/>
      <c r="P13" s="222"/>
      <c r="Q13" s="222"/>
      <c r="R13" s="222"/>
      <c r="S13" s="222"/>
      <c r="T13" s="222"/>
      <c r="U13" s="222"/>
      <c r="V13" s="195"/>
      <c r="X13" s="187"/>
      <c r="Y13" s="188"/>
      <c r="Z13" s="187"/>
      <c r="AA13" s="187"/>
      <c r="AB13" s="187"/>
      <c r="AC13" s="187"/>
      <c r="AD13" s="187"/>
      <c r="AE13" s="187"/>
      <c r="AF13" s="187"/>
      <c r="AG13" s="187"/>
    </row>
    <row r="14" spans="1:33" ht="16" x14ac:dyDescent="0.2">
      <c r="B14" s="92" t="s">
        <v>25</v>
      </c>
      <c r="C14" s="422" t="s">
        <v>612</v>
      </c>
      <c r="D14" s="273" t="s">
        <v>612</v>
      </c>
      <c r="E14" s="273" t="s">
        <v>612</v>
      </c>
      <c r="F14" s="241" t="str">
        <f t="shared" ref="F14:K16" si="1">E14</f>
        <v>non</v>
      </c>
      <c r="G14" s="241" t="s">
        <v>643</v>
      </c>
      <c r="H14" s="241" t="str">
        <f t="shared" si="1"/>
        <v>oui</v>
      </c>
      <c r="I14" s="241" t="str">
        <f t="shared" si="1"/>
        <v>oui</v>
      </c>
      <c r="J14" s="241" t="str">
        <f t="shared" si="1"/>
        <v>oui</v>
      </c>
      <c r="K14" s="241" t="str">
        <f t="shared" si="1"/>
        <v>oui</v>
      </c>
      <c r="L14" s="195"/>
      <c r="V14" s="195"/>
      <c r="X14" s="187"/>
      <c r="Y14" s="188"/>
      <c r="Z14" s="187"/>
      <c r="AA14" s="187"/>
      <c r="AB14" s="187"/>
      <c r="AC14" s="187"/>
      <c r="AD14" s="187"/>
      <c r="AE14" s="187"/>
      <c r="AF14" s="187"/>
      <c r="AG14" s="187"/>
    </row>
    <row r="15" spans="1:33" ht="16" x14ac:dyDescent="0.2">
      <c r="B15" s="92" t="s">
        <v>26</v>
      </c>
      <c r="C15" s="422" t="s">
        <v>612</v>
      </c>
      <c r="D15" s="273" t="s">
        <v>612</v>
      </c>
      <c r="E15" s="273" t="s">
        <v>612</v>
      </c>
      <c r="F15" s="241" t="str">
        <f t="shared" si="1"/>
        <v>non</v>
      </c>
      <c r="G15" s="241" t="str">
        <f t="shared" si="1"/>
        <v>non</v>
      </c>
      <c r="H15" s="241" t="str">
        <f t="shared" si="1"/>
        <v>non</v>
      </c>
      <c r="I15" s="241" t="str">
        <f t="shared" si="1"/>
        <v>non</v>
      </c>
      <c r="J15" s="241" t="str">
        <f t="shared" si="1"/>
        <v>non</v>
      </c>
      <c r="K15" s="241" t="str">
        <f t="shared" si="1"/>
        <v>non</v>
      </c>
      <c r="L15" s="195"/>
      <c r="V15" s="195"/>
      <c r="X15" s="187"/>
      <c r="Y15" s="188"/>
      <c r="Z15" s="187"/>
      <c r="AA15" s="187"/>
      <c r="AB15" s="187"/>
      <c r="AC15" s="187"/>
      <c r="AD15" s="187"/>
      <c r="AE15" s="187"/>
      <c r="AF15" s="187"/>
      <c r="AG15" s="187"/>
    </row>
    <row r="16" spans="1:33" ht="16" x14ac:dyDescent="0.2">
      <c r="B16" s="92" t="s">
        <v>27</v>
      </c>
      <c r="C16" s="422" t="s">
        <v>612</v>
      </c>
      <c r="D16" s="273" t="s">
        <v>612</v>
      </c>
      <c r="E16" s="273" t="s">
        <v>612</v>
      </c>
      <c r="F16" s="241" t="str">
        <f t="shared" si="1"/>
        <v>non</v>
      </c>
      <c r="G16" s="241" t="str">
        <f t="shared" si="1"/>
        <v>non</v>
      </c>
      <c r="H16" s="241" t="str">
        <f t="shared" si="1"/>
        <v>non</v>
      </c>
      <c r="I16" s="241" t="s">
        <v>643</v>
      </c>
      <c r="J16" s="241" t="str">
        <f t="shared" si="1"/>
        <v>oui</v>
      </c>
      <c r="K16" s="241" t="str">
        <f t="shared" si="1"/>
        <v>oui</v>
      </c>
      <c r="L16" s="195"/>
      <c r="V16" s="195"/>
      <c r="X16" s="187"/>
      <c r="Y16" s="188"/>
      <c r="Z16" s="187"/>
      <c r="AA16" s="187"/>
      <c r="AB16" s="187"/>
      <c r="AC16" s="187"/>
      <c r="AD16" s="187"/>
      <c r="AE16" s="187"/>
      <c r="AF16" s="187"/>
      <c r="AG16" s="187"/>
    </row>
    <row r="17" spans="1:33" ht="16" x14ac:dyDescent="0.2">
      <c r="B17" s="92"/>
      <c r="C17" s="195"/>
      <c r="D17" s="195"/>
      <c r="E17" s="195"/>
      <c r="F17" s="195"/>
      <c r="G17" s="195"/>
      <c r="H17" s="195"/>
      <c r="I17" s="195"/>
      <c r="J17" s="195"/>
      <c r="K17" s="195"/>
      <c r="L17" s="195"/>
      <c r="V17" s="195"/>
      <c r="X17" s="187"/>
      <c r="Y17" s="188"/>
      <c r="Z17" s="187"/>
      <c r="AA17" s="187"/>
      <c r="AB17" s="187"/>
      <c r="AC17" s="187"/>
      <c r="AD17" s="187"/>
      <c r="AE17" s="187"/>
      <c r="AF17" s="187"/>
      <c r="AG17" s="187"/>
    </row>
    <row r="18" spans="1:33" ht="18.75" customHeight="1" x14ac:dyDescent="0.25">
      <c r="A18" s="63"/>
      <c r="B18" s="538" t="s">
        <v>620</v>
      </c>
      <c r="C18" s="195"/>
      <c r="D18" s="195"/>
      <c r="E18" s="195"/>
      <c r="F18" s="195"/>
      <c r="G18" s="195"/>
      <c r="H18" s="195"/>
      <c r="I18" s="195"/>
      <c r="J18" s="195"/>
      <c r="K18" s="195"/>
      <c r="L18" s="92"/>
      <c r="M18" s="223" t="s">
        <v>609</v>
      </c>
      <c r="N18" s="222"/>
      <c r="O18" s="222"/>
      <c r="P18" s="222"/>
      <c r="Q18" s="222"/>
      <c r="R18" s="222"/>
      <c r="S18" s="222"/>
      <c r="T18" s="222"/>
      <c r="U18" s="222"/>
      <c r="V18" s="92"/>
      <c r="X18" s="187"/>
      <c r="Y18" s="188"/>
      <c r="Z18" s="187"/>
      <c r="AA18" s="187"/>
      <c r="AB18" s="187"/>
      <c r="AC18" s="187"/>
      <c r="AD18" s="187"/>
      <c r="AE18" s="187"/>
      <c r="AF18" s="187"/>
      <c r="AG18" s="187"/>
    </row>
    <row r="19" spans="1:33" ht="19" x14ac:dyDescent="0.25">
      <c r="B19" s="538"/>
      <c r="C19" s="200" t="str">
        <f>C12</f>
        <v>2023/2024</v>
      </c>
      <c r="D19" s="200" t="str">
        <f>D12</f>
        <v>2024/2025</v>
      </c>
      <c r="E19" s="335" t="str">
        <f t="shared" ref="E19:K19" si="2">E12</f>
        <v>2025/2026</v>
      </c>
      <c r="F19" s="335" t="str">
        <f t="shared" si="2"/>
        <v>2026/2027</v>
      </c>
      <c r="G19" s="335" t="str">
        <f t="shared" si="2"/>
        <v>2027/2028</v>
      </c>
      <c r="H19" s="335" t="str">
        <f t="shared" si="2"/>
        <v>2028/2029</v>
      </c>
      <c r="I19" s="335" t="str">
        <f t="shared" si="2"/>
        <v>2029/2030</v>
      </c>
      <c r="J19" s="335" t="str">
        <f t="shared" si="2"/>
        <v>2030/2031</v>
      </c>
      <c r="K19" s="335" t="str">
        <f t="shared" si="2"/>
        <v>2031/2032</v>
      </c>
      <c r="L19" s="334"/>
      <c r="M19" s="223" t="str">
        <f>B38</f>
        <v xml:space="preserve">Monnaie : Riyal </v>
      </c>
      <c r="V19" s="198"/>
      <c r="X19" s="187"/>
      <c r="Y19" s="188"/>
      <c r="Z19" s="187"/>
      <c r="AA19" s="187"/>
      <c r="AB19" s="187"/>
      <c r="AC19" s="187"/>
      <c r="AD19" s="187"/>
      <c r="AE19" s="187"/>
      <c r="AF19" s="187"/>
      <c r="AG19" s="187"/>
    </row>
    <row r="20" spans="1:33" ht="16" x14ac:dyDescent="0.2">
      <c r="B20" s="48" t="s">
        <v>504</v>
      </c>
      <c r="C20" s="242"/>
      <c r="D20" s="392"/>
      <c r="E20" s="199">
        <v>65000</v>
      </c>
      <c r="F20" s="199">
        <v>65000</v>
      </c>
      <c r="G20" s="199">
        <v>65000</v>
      </c>
      <c r="H20" s="199">
        <v>65000</v>
      </c>
      <c r="I20" s="199">
        <v>65000</v>
      </c>
      <c r="J20" s="199">
        <v>65000</v>
      </c>
      <c r="K20" s="199">
        <v>65000</v>
      </c>
      <c r="L20" s="182"/>
      <c r="M20" s="276"/>
      <c r="N20" s="277">
        <f>'Hypothèses '!$C$8</f>
        <v>2025</v>
      </c>
      <c r="O20" s="277">
        <f>N20+1</f>
        <v>2026</v>
      </c>
      <c r="P20" s="277">
        <f t="shared" ref="P20:T20" si="3">O20+1</f>
        <v>2027</v>
      </c>
      <c r="Q20" s="277">
        <f t="shared" si="3"/>
        <v>2028</v>
      </c>
      <c r="R20" s="277">
        <f t="shared" si="3"/>
        <v>2029</v>
      </c>
      <c r="S20" s="277">
        <f t="shared" si="3"/>
        <v>2030</v>
      </c>
      <c r="T20" s="277">
        <f t="shared" si="3"/>
        <v>2031</v>
      </c>
      <c r="V20" s="199"/>
      <c r="X20" s="187"/>
      <c r="Y20" s="188"/>
      <c r="Z20" s="187"/>
      <c r="AA20" s="187"/>
      <c r="AB20" s="187"/>
      <c r="AC20" s="187"/>
      <c r="AD20" s="187"/>
      <c r="AE20" s="187"/>
      <c r="AF20" s="187"/>
      <c r="AG20" s="187"/>
    </row>
    <row r="21" spans="1:33" ht="16" x14ac:dyDescent="0.2">
      <c r="B21" s="48" t="s">
        <v>505</v>
      </c>
      <c r="C21" s="242"/>
      <c r="D21" s="392"/>
      <c r="E21" s="199">
        <v>500000</v>
      </c>
      <c r="F21" s="199">
        <v>500000</v>
      </c>
      <c r="G21" s="199">
        <v>500000</v>
      </c>
      <c r="H21" s="199">
        <v>500000</v>
      </c>
      <c r="I21" s="199">
        <v>500000</v>
      </c>
      <c r="J21" s="199">
        <v>500000</v>
      </c>
      <c r="K21" s="199">
        <v>500000</v>
      </c>
      <c r="L21" s="182"/>
      <c r="M21" s="278" t="s">
        <v>536</v>
      </c>
      <c r="N21" s="279" t="e">
        <f>HLOOKUP(N$20,'Compte Résultat ML'!$C$4:$J$10,3,FALSE)</f>
        <v>#N/A</v>
      </c>
      <c r="O21" s="279" t="e">
        <f>HLOOKUP(O$20,'Compte Résultat ML'!$C$4:$J$10,3,FALSE)</f>
        <v>#N/A</v>
      </c>
      <c r="P21" s="279" t="e">
        <f>HLOOKUP(P$20,'Compte Résultat ML'!$C$4:$J$10,3,FALSE)</f>
        <v>#N/A</v>
      </c>
      <c r="Q21" s="279" t="e">
        <f>HLOOKUP(Q$20,'Compte Résultat ML'!$C$4:$J$10,3,FALSE)</f>
        <v>#N/A</v>
      </c>
      <c r="R21" s="279" t="e">
        <f>HLOOKUP(R$20,'Compte Résultat ML'!$C$4:$J$10,3,FALSE)</f>
        <v>#N/A</v>
      </c>
      <c r="S21" s="279" t="e">
        <f>HLOOKUP(S$20,'Compte Résultat ML'!$C$4:$J$10,3,FALSE)</f>
        <v>#N/A</v>
      </c>
      <c r="T21" s="279" t="e">
        <f>HLOOKUP(T$20,'Compte Résultat ML'!$C$4:$J$10,3,FALSE)</f>
        <v>#N/A</v>
      </c>
      <c r="V21" s="199"/>
      <c r="X21" s="187"/>
      <c r="Y21" s="188"/>
      <c r="Z21" s="187"/>
      <c r="AA21" s="187"/>
      <c r="AB21" s="187"/>
      <c r="AC21" s="187"/>
      <c r="AD21" s="187"/>
      <c r="AE21" s="187"/>
      <c r="AF21" s="187"/>
      <c r="AG21" s="187"/>
    </row>
    <row r="22" spans="1:33" ht="16" x14ac:dyDescent="0.2">
      <c r="A22" s="146"/>
      <c r="B22" s="192" t="s">
        <v>553</v>
      </c>
      <c r="C22" s="242"/>
      <c r="D22" s="392"/>
      <c r="E22" s="199">
        <f t="shared" ref="E22:K26" si="4">D22*(1+E$32)</f>
        <v>0</v>
      </c>
      <c r="F22" s="199">
        <f t="shared" si="4"/>
        <v>0</v>
      </c>
      <c r="G22" s="199">
        <f t="shared" si="4"/>
        <v>0</v>
      </c>
      <c r="H22" s="199">
        <f t="shared" si="4"/>
        <v>0</v>
      </c>
      <c r="I22" s="199">
        <f t="shared" si="4"/>
        <v>0</v>
      </c>
      <c r="J22" s="199">
        <f t="shared" si="4"/>
        <v>0</v>
      </c>
      <c r="K22" s="199">
        <f t="shared" si="4"/>
        <v>0</v>
      </c>
      <c r="L22" s="182"/>
      <c r="M22" s="280" t="s">
        <v>533</v>
      </c>
      <c r="N22" s="281" t="e">
        <f>HLOOKUP(N$20,'Compte Résultat ML'!$C$4:$J$10,4,FALSE)</f>
        <v>#N/A</v>
      </c>
      <c r="O22" s="281" t="e">
        <f>HLOOKUP(O$20,'Compte Résultat ML'!$C$4:$J$10,4,FALSE)</f>
        <v>#N/A</v>
      </c>
      <c r="P22" s="281" t="e">
        <f>HLOOKUP(P$20,'Compte Résultat ML'!$C$4:$J$10,4,FALSE)</f>
        <v>#N/A</v>
      </c>
      <c r="Q22" s="281" t="e">
        <f>HLOOKUP(Q$20,'Compte Résultat ML'!$C$4:$J$10,4,FALSE)</f>
        <v>#N/A</v>
      </c>
      <c r="R22" s="281" t="e">
        <f>HLOOKUP(R$20,'Compte Résultat ML'!$C$4:$J$10,4,FALSE)</f>
        <v>#N/A</v>
      </c>
      <c r="S22" s="281" t="e">
        <f>HLOOKUP(S$20,'Compte Résultat ML'!$C$4:$J$10,4,FALSE)</f>
        <v>#N/A</v>
      </c>
      <c r="T22" s="281" t="e">
        <f>HLOOKUP(T$20,'Compte Résultat ML'!$C$4:$J$10,4,FALSE)</f>
        <v>#N/A</v>
      </c>
      <c r="V22" s="199"/>
      <c r="X22" s="187"/>
      <c r="Y22" s="188"/>
      <c r="Z22" s="187"/>
      <c r="AA22" s="187"/>
      <c r="AB22" s="187"/>
      <c r="AC22" s="187"/>
      <c r="AD22" s="187"/>
      <c r="AE22" s="187"/>
      <c r="AF22" s="187"/>
      <c r="AG22" s="187"/>
    </row>
    <row r="23" spans="1:33" ht="16" x14ac:dyDescent="0.2">
      <c r="A23" s="146"/>
      <c r="B23" s="192" t="s">
        <v>554</v>
      </c>
      <c r="C23" s="242"/>
      <c r="D23" s="392"/>
      <c r="E23" s="199">
        <f>D23*(1+E$32)</f>
        <v>0</v>
      </c>
      <c r="F23" s="199">
        <f>E23*(1+F$32)</f>
        <v>0</v>
      </c>
      <c r="G23" s="199">
        <f t="shared" si="4"/>
        <v>0</v>
      </c>
      <c r="H23" s="199">
        <f t="shared" si="4"/>
        <v>0</v>
      </c>
      <c r="I23" s="199">
        <f t="shared" si="4"/>
        <v>0</v>
      </c>
      <c r="J23" s="199">
        <f t="shared" si="4"/>
        <v>0</v>
      </c>
      <c r="K23" s="199">
        <f t="shared" si="4"/>
        <v>0</v>
      </c>
      <c r="L23" s="182"/>
      <c r="M23" s="282" t="s">
        <v>605</v>
      </c>
      <c r="N23" s="283">
        <f>HLOOKUP(N$20,'Compte Résultat ML'!$C$58:$J$87,29,FALSE)</f>
        <v>0</v>
      </c>
      <c r="O23" s="283">
        <f>HLOOKUP(O$20,'Compte Résultat ML'!$C$58:$J$87,29,FALSE)</f>
        <v>0</v>
      </c>
      <c r="P23" s="283">
        <f>HLOOKUP(P$20,'Compte Résultat ML'!$C$58:$J$87,29,FALSE)</f>
        <v>0</v>
      </c>
      <c r="Q23" s="283">
        <f>HLOOKUP(Q$20,'Compte Résultat ML'!$C$58:$J$87,29,FALSE)</f>
        <v>0</v>
      </c>
      <c r="R23" s="283">
        <f>HLOOKUP(R$20,'Compte Résultat ML'!$C$58:$J$87,29,FALSE)</f>
        <v>0</v>
      </c>
      <c r="S23" s="283">
        <f>HLOOKUP(S$20,'Compte Résultat ML'!$C$58:$J$87,29,FALSE)</f>
        <v>0</v>
      </c>
      <c r="T23" s="283">
        <f>HLOOKUP(T$20,'Compte Résultat ML'!$C$58:$J$87,29,FALSE)</f>
        <v>0</v>
      </c>
      <c r="V23" s="199"/>
      <c r="X23" s="187"/>
      <c r="Y23" s="188"/>
      <c r="Z23" s="187"/>
      <c r="AA23" s="187"/>
      <c r="AB23" s="187"/>
      <c r="AC23" s="187"/>
      <c r="AD23" s="187"/>
      <c r="AE23" s="187"/>
      <c r="AF23" s="187"/>
      <c r="AG23" s="187"/>
    </row>
    <row r="24" spans="1:33" ht="16" x14ac:dyDescent="0.2">
      <c r="A24" s="146"/>
      <c r="B24" s="192" t="s">
        <v>555</v>
      </c>
      <c r="C24" s="242"/>
      <c r="D24" s="392"/>
      <c r="E24" s="199">
        <f t="shared" si="4"/>
        <v>0</v>
      </c>
      <c r="F24" s="199">
        <f t="shared" si="4"/>
        <v>0</v>
      </c>
      <c r="G24" s="199">
        <f t="shared" si="4"/>
        <v>0</v>
      </c>
      <c r="H24" s="199">
        <f t="shared" si="4"/>
        <v>0</v>
      </c>
      <c r="I24" s="199">
        <f t="shared" si="4"/>
        <v>0</v>
      </c>
      <c r="J24" s="199">
        <f t="shared" si="4"/>
        <v>0</v>
      </c>
      <c r="K24" s="199">
        <f t="shared" si="4"/>
        <v>0</v>
      </c>
      <c r="L24" s="182"/>
      <c r="M24" s="282" t="s">
        <v>695</v>
      </c>
      <c r="N24" s="283">
        <f>HLOOKUP(N$20,'Compte Résultat ML'!$C$58:$J$104,47,FALSE)</f>
        <v>0</v>
      </c>
      <c r="O24" s="283">
        <f>HLOOKUP(O$20,'Compte Résultat ML'!$C$58:$J$104,47,FALSE)</f>
        <v>0</v>
      </c>
      <c r="P24" s="283" t="e">
        <f>HLOOKUP(P$20,'Compte Résultat ML'!$C$58:$J$104,47,FALSE)</f>
        <v>#N/A</v>
      </c>
      <c r="Q24" s="283" t="e">
        <f>HLOOKUP(Q$20,'Compte Résultat ML'!$C$58:$J$104,47,FALSE)</f>
        <v>#N/A</v>
      </c>
      <c r="R24" s="283" t="e">
        <f>HLOOKUP(R$20,'Compte Résultat ML'!$C$58:$J$104,47,FALSE)</f>
        <v>#N/A</v>
      </c>
      <c r="S24" s="283" t="e">
        <f>HLOOKUP(S$20,'Compte Résultat ML'!$C$58:$J$104,47,FALSE)</f>
        <v>#N/A</v>
      </c>
      <c r="T24" s="283" t="e">
        <f>HLOOKUP(T$20,'Compte Résultat ML'!$C$58:$J$104,47,FALSE)</f>
        <v>#N/A</v>
      </c>
      <c r="V24" s="199"/>
      <c r="X24" s="187"/>
      <c r="Y24" s="188"/>
      <c r="Z24" s="187"/>
      <c r="AA24" s="187"/>
      <c r="AB24" s="187"/>
      <c r="AC24" s="187"/>
      <c r="AD24" s="187"/>
      <c r="AE24" s="187"/>
      <c r="AF24" s="187"/>
      <c r="AG24" s="187"/>
    </row>
    <row r="25" spans="1:33" ht="16" x14ac:dyDescent="0.2">
      <c r="A25" s="146"/>
      <c r="B25" s="192" t="s">
        <v>556</v>
      </c>
      <c r="C25" s="242"/>
      <c r="D25" s="392"/>
      <c r="E25" s="199">
        <f t="shared" si="4"/>
        <v>0</v>
      </c>
      <c r="F25" s="199">
        <f t="shared" si="4"/>
        <v>0</v>
      </c>
      <c r="G25" s="199">
        <f t="shared" si="4"/>
        <v>0</v>
      </c>
      <c r="H25" s="199">
        <f t="shared" si="4"/>
        <v>0</v>
      </c>
      <c r="I25" s="199">
        <f t="shared" si="4"/>
        <v>0</v>
      </c>
      <c r="J25" s="199">
        <f t="shared" si="4"/>
        <v>0</v>
      </c>
      <c r="K25" s="199">
        <f t="shared" si="4"/>
        <v>0</v>
      </c>
      <c r="L25" s="182"/>
      <c r="M25" s="284" t="s">
        <v>88</v>
      </c>
      <c r="N25" s="285" t="e">
        <f>HLOOKUP(N$20,'Compte Résultat ML'!$C$4:$J$10,5,FALSE)</f>
        <v>#N/A</v>
      </c>
      <c r="O25" s="285" t="e">
        <f>HLOOKUP(O$20,'Compte Résultat ML'!$C$4:$J$10,5,FALSE)</f>
        <v>#N/A</v>
      </c>
      <c r="P25" s="285" t="e">
        <f>HLOOKUP(P$20,'Compte Résultat ML'!$C$4:$J$10,5,FALSE)</f>
        <v>#N/A</v>
      </c>
      <c r="Q25" s="285" t="e">
        <f>HLOOKUP(Q$20,'Compte Résultat ML'!$C$4:$J$10,5,FALSE)</f>
        <v>#N/A</v>
      </c>
      <c r="R25" s="285" t="e">
        <f>HLOOKUP(R$20,'Compte Résultat ML'!$C$4:$J$10,5,FALSE)</f>
        <v>#N/A</v>
      </c>
      <c r="S25" s="285" t="e">
        <f>HLOOKUP(S$20,'Compte Résultat ML'!$C$4:$J$10,5,FALSE)</f>
        <v>#N/A</v>
      </c>
      <c r="T25" s="285" t="e">
        <f>HLOOKUP(T$20,'Compte Résultat ML'!$C$4:$J$10,5,FALSE)</f>
        <v>#N/A</v>
      </c>
      <c r="V25" s="199"/>
      <c r="X25" s="187"/>
      <c r="Y25" s="188"/>
      <c r="Z25" s="187"/>
      <c r="AA25" s="187"/>
      <c r="AB25" s="187"/>
      <c r="AC25" s="187"/>
      <c r="AD25" s="187"/>
      <c r="AE25" s="187"/>
      <c r="AF25" s="187"/>
      <c r="AG25" s="187"/>
    </row>
    <row r="26" spans="1:33" ht="16" x14ac:dyDescent="0.2">
      <c r="A26" s="146"/>
      <c r="B26" s="192" t="s">
        <v>557</v>
      </c>
      <c r="C26" s="242"/>
      <c r="D26" s="392"/>
      <c r="E26" s="199">
        <f t="shared" si="4"/>
        <v>0</v>
      </c>
      <c r="F26" s="199">
        <f t="shared" si="4"/>
        <v>0</v>
      </c>
      <c r="G26" s="199">
        <f t="shared" si="4"/>
        <v>0</v>
      </c>
      <c r="H26" s="199">
        <f t="shared" si="4"/>
        <v>0</v>
      </c>
      <c r="I26" s="199">
        <f t="shared" si="4"/>
        <v>0</v>
      </c>
      <c r="J26" s="199">
        <f t="shared" si="4"/>
        <v>0</v>
      </c>
      <c r="K26" s="199">
        <f t="shared" si="4"/>
        <v>0</v>
      </c>
      <c r="L26" s="182"/>
      <c r="M26" s="286" t="s">
        <v>605</v>
      </c>
      <c r="N26" s="287">
        <f>HLOOKUP(N$20,'Compte Résultat ML'!$C$58:$J$112,55,FALSE)</f>
        <v>0</v>
      </c>
      <c r="O26" s="287">
        <f>HLOOKUP(O$20,'Compte Résultat ML'!$C$58:$J$112,55,FALSE)</f>
        <v>0</v>
      </c>
      <c r="P26" s="287">
        <f>HLOOKUP(P$20,'Compte Résultat ML'!$C$58:$J$112,55,FALSE)</f>
        <v>0</v>
      </c>
      <c r="Q26" s="287">
        <f>HLOOKUP(Q$20,'Compte Résultat ML'!$C$58:$J$112,55,FALSE)</f>
        <v>0</v>
      </c>
      <c r="R26" s="287">
        <f>HLOOKUP(R$20,'Compte Résultat ML'!$C$58:$J$112,55,FALSE)</f>
        <v>0</v>
      </c>
      <c r="S26" s="287">
        <f>HLOOKUP(S$20,'Compte Résultat ML'!$C$58:$J$112,55,FALSE)</f>
        <v>0</v>
      </c>
      <c r="T26" s="287">
        <f>HLOOKUP(T$20,'Compte Résultat ML'!$C$58:$J$112,55,FALSE)</f>
        <v>0</v>
      </c>
      <c r="V26" s="199"/>
      <c r="X26" s="187"/>
      <c r="Y26" s="188"/>
      <c r="Z26" s="187"/>
      <c r="AA26" s="187"/>
      <c r="AB26" s="187"/>
      <c r="AC26" s="187"/>
      <c r="AD26" s="187"/>
      <c r="AE26" s="187"/>
      <c r="AF26" s="187"/>
      <c r="AG26" s="187"/>
    </row>
    <row r="27" spans="1:33" ht="16.5" customHeight="1" x14ac:dyDescent="0.2">
      <c r="A27" s="146"/>
      <c r="B27" s="192"/>
      <c r="C27" s="242"/>
      <c r="D27" s="242"/>
      <c r="E27" s="199"/>
      <c r="F27" s="199"/>
      <c r="G27" s="199"/>
      <c r="H27" s="199"/>
      <c r="I27" s="199"/>
      <c r="J27" s="199"/>
      <c r="K27" s="199"/>
      <c r="L27"/>
      <c r="M27" s="286" t="s">
        <v>695</v>
      </c>
      <c r="N27" s="287">
        <f>HLOOKUP(N$20,'Compte Résultat ML'!$C$58:$J$300,73,FALSE)</f>
        <v>0</v>
      </c>
      <c r="O27" s="287">
        <f>HLOOKUP(O$20,'Compte Résultat ML'!$C$58:$J$300,73,FALSE)</f>
        <v>0</v>
      </c>
      <c r="P27" s="287">
        <f>HLOOKUP(P$20,'Compte Résultat ML'!$C$58:$J$300,73,FALSE)</f>
        <v>0</v>
      </c>
      <c r="Q27" s="287" t="e">
        <f>HLOOKUP(Q$20,'Compte Résultat ML'!$C$58:$J$300,73,FALSE)</f>
        <v>#N/A</v>
      </c>
      <c r="R27" s="287" t="e">
        <f>HLOOKUP(R$20,'Compte Résultat ML'!$C$58:$J$300,73,FALSE)</f>
        <v>#N/A</v>
      </c>
      <c r="S27" s="287" t="e">
        <f>HLOOKUP(S$20,'Compte Résultat ML'!$C$58:$J$300,73,FALSE)</f>
        <v>#N/A</v>
      </c>
      <c r="T27" s="287" t="e">
        <f>HLOOKUP(T$20,'Compte Résultat ML'!$C$58:$J$300,73,FALSE)</f>
        <v>#N/A</v>
      </c>
      <c r="V27" s="199"/>
      <c r="X27" s="187"/>
      <c r="Y27" s="188"/>
      <c r="Z27" s="187"/>
      <c r="AA27" s="187"/>
      <c r="AB27" s="187"/>
      <c r="AC27" s="187"/>
      <c r="AD27" s="187"/>
      <c r="AE27" s="187"/>
      <c r="AF27" s="187"/>
      <c r="AG27" s="187"/>
    </row>
    <row r="28" spans="1:33" ht="16" x14ac:dyDescent="0.2">
      <c r="B28" s="48" t="s">
        <v>606</v>
      </c>
      <c r="C28" s="393"/>
      <c r="D28" s="389">
        <v>0.1</v>
      </c>
      <c r="E28" s="389">
        <f t="shared" ref="E28:K28" si="5">D28</f>
        <v>0.1</v>
      </c>
      <c r="F28" s="389">
        <f t="shared" si="5"/>
        <v>0.1</v>
      </c>
      <c r="G28" s="389">
        <f t="shared" si="5"/>
        <v>0.1</v>
      </c>
      <c r="H28" s="389">
        <f t="shared" si="5"/>
        <v>0.1</v>
      </c>
      <c r="I28" s="389">
        <f t="shared" si="5"/>
        <v>0.1</v>
      </c>
      <c r="J28" s="389">
        <f t="shared" si="5"/>
        <v>0.1</v>
      </c>
      <c r="K28" s="389">
        <f t="shared" si="5"/>
        <v>0.1</v>
      </c>
      <c r="L28" s="92"/>
      <c r="M28" s="288" t="s">
        <v>126</v>
      </c>
      <c r="N28" s="289" t="e">
        <f>HLOOKUP(N$20,'Compte Résultat ML'!$C$4:$J$10,6,FALSE)</f>
        <v>#N/A</v>
      </c>
      <c r="O28" s="289" t="e">
        <f>HLOOKUP(O$20,'Compte Résultat ML'!$C$4:$J$10,6,FALSE)</f>
        <v>#N/A</v>
      </c>
      <c r="P28" s="289" t="e">
        <f>HLOOKUP(P$20,'Compte Résultat ML'!$C$4:$J$10,6,FALSE)</f>
        <v>#N/A</v>
      </c>
      <c r="Q28" s="289" t="e">
        <f>HLOOKUP(Q$20,'Compte Résultat ML'!$C$4:$J$10,6,FALSE)</f>
        <v>#N/A</v>
      </c>
      <c r="R28" s="289" t="e">
        <f>HLOOKUP(R$20,'Compte Résultat ML'!$C$4:$J$10,6,FALSE)</f>
        <v>#N/A</v>
      </c>
      <c r="S28" s="289" t="e">
        <f>HLOOKUP(S$20,'Compte Résultat ML'!$C$4:$J$10,6,FALSE)</f>
        <v>#N/A</v>
      </c>
      <c r="T28" s="289" t="e">
        <f>HLOOKUP(T$20,'Compte Résultat ML'!$C$4:$J$10,6,FALSE)</f>
        <v>#N/A</v>
      </c>
      <c r="V28" s="92"/>
      <c r="X28" s="187"/>
      <c r="Y28" s="188"/>
      <c r="Z28" s="187"/>
      <c r="AA28" s="187"/>
      <c r="AB28" s="187"/>
      <c r="AC28" s="187"/>
      <c r="AD28" s="187"/>
      <c r="AE28" s="187"/>
      <c r="AF28" s="187"/>
      <c r="AG28" s="187"/>
    </row>
    <row r="29" spans="1:33" ht="17.25" customHeight="1" x14ac:dyDescent="0.25">
      <c r="B29" s="540" t="s">
        <v>615</v>
      </c>
      <c r="C29" s="258"/>
      <c r="D29" s="269">
        <v>0.06</v>
      </c>
      <c r="E29" s="269">
        <v>0.06</v>
      </c>
      <c r="F29" s="269">
        <v>0.06</v>
      </c>
      <c r="G29" s="269">
        <v>0.06</v>
      </c>
      <c r="H29" s="269">
        <v>0.06</v>
      </c>
      <c r="I29" s="269">
        <v>0.06</v>
      </c>
      <c r="J29" s="269">
        <v>0.06</v>
      </c>
      <c r="K29" s="269">
        <v>0.06</v>
      </c>
      <c r="L29" s="196"/>
      <c r="M29" s="290" t="s">
        <v>605</v>
      </c>
      <c r="N29" s="291">
        <f>HLOOKUP(N$20,'Compte Résultat ML'!$C$58:$J$138,81,FALSE)</f>
        <v>0</v>
      </c>
      <c r="O29" s="291">
        <f>HLOOKUP(O$20,'Compte Résultat ML'!$C$58:$J$138,81,FALSE)</f>
        <v>0</v>
      </c>
      <c r="P29" s="291">
        <f>HLOOKUP(P$20,'Compte Résultat ML'!$C$58:$J$138,81,FALSE)</f>
        <v>0</v>
      </c>
      <c r="Q29" s="291">
        <f>HLOOKUP(Q$20,'Compte Résultat ML'!$C$58:$J$138,81,FALSE)</f>
        <v>0</v>
      </c>
      <c r="R29" s="291">
        <f>HLOOKUP(R$20,'Compte Résultat ML'!$C$58:$J$138,81,FALSE)</f>
        <v>0</v>
      </c>
      <c r="S29" s="291">
        <f>HLOOKUP(S$20,'Compte Résultat ML'!$C$58:$J$138,81,FALSE)</f>
        <v>0</v>
      </c>
      <c r="T29" s="291">
        <f>HLOOKUP(T$20,'Compte Résultat ML'!$C$58:$J$138,81,FALSE)</f>
        <v>0</v>
      </c>
      <c r="V29" s="58"/>
      <c r="X29" s="187"/>
      <c r="Y29" s="187"/>
      <c r="Z29" s="187"/>
      <c r="AA29" s="187"/>
      <c r="AB29" s="187"/>
      <c r="AC29" s="187"/>
      <c r="AD29" s="187"/>
      <c r="AE29" s="187"/>
      <c r="AF29" s="187"/>
      <c r="AG29" s="187"/>
    </row>
    <row r="30" spans="1:33" ht="17.25" customHeight="1" x14ac:dyDescent="0.25">
      <c r="B30" s="540"/>
      <c r="C30" s="258"/>
      <c r="E30" s="257"/>
      <c r="F30" s="257"/>
      <c r="G30" s="254"/>
      <c r="H30" s="254"/>
      <c r="I30" s="254"/>
      <c r="J30" s="254"/>
      <c r="K30" s="254"/>
      <c r="L30" s="196"/>
      <c r="M30" s="290" t="s">
        <v>695</v>
      </c>
      <c r="N30" s="291">
        <f>HLOOKUP(N$20,'Compte Résultat ML'!$C$58:$J$300,99,FALSE)</f>
        <v>0</v>
      </c>
      <c r="O30" s="291">
        <f>HLOOKUP(O$20,'Compte Résultat ML'!$C$58:$J$300,99,FALSE)</f>
        <v>0</v>
      </c>
      <c r="P30" s="291">
        <f>HLOOKUP(P$20,'Compte Résultat ML'!$C$58:$J$300,99,FALSE)</f>
        <v>0</v>
      </c>
      <c r="Q30" s="291">
        <f>HLOOKUP(Q$20,'Compte Résultat ML'!$C$58:$J$300,99,FALSE)</f>
        <v>0</v>
      </c>
      <c r="R30" s="291">
        <f>HLOOKUP(R$20,'Compte Résultat ML'!$C$58:$J$300,99,FALSE)</f>
        <v>0</v>
      </c>
      <c r="S30" s="291">
        <f>HLOOKUP(S$20,'Compte Résultat ML'!$C$58:$J$300,99,FALSE)</f>
        <v>0</v>
      </c>
      <c r="T30" s="291">
        <f>HLOOKUP(T$20,'Compte Résultat ML'!$C$58:$J$300,99,FALSE)</f>
        <v>0</v>
      </c>
      <c r="V30" s="58"/>
      <c r="X30" s="187"/>
      <c r="Y30" s="187"/>
      <c r="Z30" s="187"/>
      <c r="AA30" s="187"/>
      <c r="AB30" s="187"/>
      <c r="AC30" s="187"/>
      <c r="AD30" s="187"/>
      <c r="AE30" s="187"/>
      <c r="AF30" s="187"/>
      <c r="AG30" s="187"/>
    </row>
    <row r="31" spans="1:33" ht="17.25" customHeight="1" x14ac:dyDescent="0.25">
      <c r="B31" s="298"/>
      <c r="C31" s="299" t="str">
        <f>C12</f>
        <v>2023/2024</v>
      </c>
      <c r="D31" s="299" t="str">
        <f t="shared" ref="D31:K31" si="6">D12</f>
        <v>2024/2025</v>
      </c>
      <c r="E31" s="299" t="str">
        <f t="shared" si="6"/>
        <v>2025/2026</v>
      </c>
      <c r="F31" s="299" t="str">
        <f t="shared" si="6"/>
        <v>2026/2027</v>
      </c>
      <c r="G31" s="299" t="str">
        <f t="shared" si="6"/>
        <v>2027/2028</v>
      </c>
      <c r="H31" s="299" t="str">
        <f t="shared" si="6"/>
        <v>2028/2029</v>
      </c>
      <c r="I31" s="299" t="str">
        <f t="shared" si="6"/>
        <v>2029/2030</v>
      </c>
      <c r="J31" s="299" t="str">
        <f t="shared" si="6"/>
        <v>2030/2031</v>
      </c>
      <c r="K31" s="299" t="str">
        <f t="shared" si="6"/>
        <v>2031/2032</v>
      </c>
      <c r="L31" s="196"/>
      <c r="M31" s="292" t="s">
        <v>498</v>
      </c>
      <c r="N31" s="293" t="e">
        <f>HLOOKUP(N$20,'Compte Résultat ML'!$C$4:$J$10,7,FALSE)</f>
        <v>#N/A</v>
      </c>
      <c r="O31" s="293" t="e">
        <f>HLOOKUP(O$20,'Compte Résultat ML'!$C$4:$J$10,7,FALSE)</f>
        <v>#N/A</v>
      </c>
      <c r="P31" s="293" t="e">
        <f>HLOOKUP(P$20,'Compte Résultat ML'!$C$4:$J$10,7,FALSE)</f>
        <v>#N/A</v>
      </c>
      <c r="Q31" s="293" t="e">
        <f>HLOOKUP(Q$20,'Compte Résultat ML'!$C$4:$J$10,7,FALSE)</f>
        <v>#N/A</v>
      </c>
      <c r="R31" s="293" t="e">
        <f>HLOOKUP(R$20,'Compte Résultat ML'!$C$4:$J$10,7,FALSE)</f>
        <v>#N/A</v>
      </c>
      <c r="S31" s="293" t="e">
        <f>HLOOKUP(S$20,'Compte Résultat ML'!$C$4:$J$10,7,FALSE)</f>
        <v>#N/A</v>
      </c>
      <c r="T31" s="293" t="e">
        <f>HLOOKUP(T$20,'Compte Résultat ML'!$C$4:$J$10,7,FALSE)</f>
        <v>#N/A</v>
      </c>
      <c r="V31" s="58"/>
      <c r="X31" s="187"/>
      <c r="Y31" s="187"/>
      <c r="Z31" s="187"/>
      <c r="AA31" s="187"/>
      <c r="AB31" s="187"/>
      <c r="AC31" s="187"/>
      <c r="AD31" s="187"/>
      <c r="AE31" s="187"/>
      <c r="AF31" s="187"/>
      <c r="AG31" s="187"/>
    </row>
    <row r="32" spans="1:33" ht="17.25" customHeight="1" x14ac:dyDescent="0.25">
      <c r="B32" s="61" t="s">
        <v>111</v>
      </c>
      <c r="C32" s="260"/>
      <c r="D32" s="260"/>
      <c r="E32" s="271"/>
      <c r="F32" s="271"/>
      <c r="G32" s="271"/>
      <c r="H32" s="271"/>
      <c r="I32" s="271"/>
      <c r="J32" s="271"/>
      <c r="K32" s="271"/>
      <c r="L32" s="196"/>
      <c r="M32" s="294" t="s">
        <v>605</v>
      </c>
      <c r="N32" s="295">
        <f>HLOOKUP(N$20,'Compte Résultat ML'!$C$58:$J$164,107,FALSE)</f>
        <v>0</v>
      </c>
      <c r="O32" s="295">
        <f>HLOOKUP(O$20,'Compte Résultat ML'!$C$58:$J$164,107,FALSE)</f>
        <v>0</v>
      </c>
      <c r="P32" s="295">
        <f>HLOOKUP(P$20,'Compte Résultat ML'!$C$58:$J$164,107,FALSE)</f>
        <v>0</v>
      </c>
      <c r="Q32" s="295">
        <f>HLOOKUP(Q$20,'Compte Résultat ML'!$C$58:$J$164,107,FALSE)</f>
        <v>0</v>
      </c>
      <c r="R32" s="295">
        <f>HLOOKUP(R$20,'Compte Résultat ML'!$C$58:$J$164,107,FALSE)</f>
        <v>0</v>
      </c>
      <c r="S32" s="295">
        <f>HLOOKUP(S$20,'Compte Résultat ML'!$C$58:$J$164,107,FALSE)</f>
        <v>0</v>
      </c>
      <c r="T32" s="295">
        <f>HLOOKUP(T$20,'Compte Résultat ML'!$C$58:$J$164,107,FALSE)</f>
        <v>0</v>
      </c>
      <c r="V32" s="58"/>
      <c r="X32" s="187"/>
      <c r="Y32" s="187"/>
      <c r="Z32" s="187"/>
      <c r="AA32" s="187"/>
      <c r="AB32" s="187"/>
      <c r="AC32" s="187"/>
      <c r="AD32" s="187"/>
      <c r="AE32" s="187"/>
      <c r="AF32" s="187"/>
      <c r="AG32" s="187"/>
    </row>
    <row r="33" spans="2:33" ht="17.25" customHeight="1" x14ac:dyDescent="0.25">
      <c r="B33" s="298"/>
      <c r="C33" s="258"/>
      <c r="E33" s="257"/>
      <c r="F33" s="257"/>
      <c r="G33" s="254"/>
      <c r="H33" s="254"/>
      <c r="I33" s="254"/>
      <c r="J33" s="254"/>
      <c r="K33" s="254"/>
      <c r="L33" s="196"/>
      <c r="M33" s="134" t="s">
        <v>695</v>
      </c>
      <c r="N33" s="295">
        <f>HLOOKUP(N$20,'Compte Résultat ML'!$C$58:$J$300,125,FALSE)</f>
        <v>0</v>
      </c>
      <c r="O33" s="295">
        <f>HLOOKUP(O$20,'Compte Résultat ML'!$C$58:$J$300,125,FALSE)</f>
        <v>0</v>
      </c>
      <c r="P33" s="295">
        <f>HLOOKUP(P$20,'Compte Résultat ML'!$C$58:$J$300,125,FALSE)</f>
        <v>0</v>
      </c>
      <c r="Q33" s="295">
        <f>HLOOKUP(Q$20,'Compte Résultat ML'!$C$58:$J$300,125,FALSE)</f>
        <v>0</v>
      </c>
      <c r="R33" s="295">
        <f>HLOOKUP(R$20,'Compte Résultat ML'!$C$58:$J$300,125,FALSE)</f>
        <v>0</v>
      </c>
      <c r="S33" s="295" t="e">
        <f>HLOOKUP(S$20,'Compte Résultat ML'!$C$58:$J$300,125,FALSE)</f>
        <v>#N/A</v>
      </c>
      <c r="T33" s="295" t="e">
        <f>HLOOKUP(T$20,'Compte Résultat ML'!$C$58:$J$300,125,FALSE)</f>
        <v>#N/A</v>
      </c>
      <c r="V33" s="58"/>
      <c r="X33" s="187"/>
      <c r="Y33" s="187"/>
      <c r="Z33" s="187"/>
      <c r="AA33" s="187"/>
      <c r="AB33" s="187"/>
      <c r="AC33" s="187"/>
      <c r="AD33" s="187"/>
      <c r="AE33" s="187"/>
      <c r="AF33" s="187"/>
      <c r="AG33" s="187"/>
    </row>
    <row r="34" spans="2:33" ht="16" x14ac:dyDescent="0.2">
      <c r="B34" s="298"/>
      <c r="C34" s="200">
        <f>D34-1</f>
        <v>2023</v>
      </c>
      <c r="D34" s="200">
        <f>C9</f>
        <v>2024</v>
      </c>
      <c r="E34" s="200">
        <f>D34+1</f>
        <v>2025</v>
      </c>
      <c r="F34" s="200">
        <f t="shared" ref="F34:K34" si="7">E34+1</f>
        <v>2026</v>
      </c>
      <c r="G34" s="200">
        <f t="shared" si="7"/>
        <v>2027</v>
      </c>
      <c r="H34" s="200">
        <f t="shared" si="7"/>
        <v>2028</v>
      </c>
      <c r="I34" s="200">
        <f t="shared" si="7"/>
        <v>2029</v>
      </c>
      <c r="J34" s="200">
        <f t="shared" si="7"/>
        <v>2030</v>
      </c>
      <c r="K34" s="200">
        <f t="shared" si="7"/>
        <v>2031</v>
      </c>
      <c r="L34" s="208"/>
      <c r="M34" s="296" t="s">
        <v>610</v>
      </c>
      <c r="N34" s="182" t="e">
        <f>ABS(N$21/(HLOOKUP(N$20,'Compte Résultat ML'!$C$4:$J$120,57,FALSE)/360))</f>
        <v>#N/A</v>
      </c>
      <c r="O34" s="182" t="e">
        <f>ABS(O$21/(HLOOKUP(O$20,'Compte Résultat ML'!$C$4:$J$120,57,FALSE)/360))</f>
        <v>#N/A</v>
      </c>
      <c r="P34" s="182" t="e">
        <f>ABS(P$21/(HLOOKUP(P$20,'Compte Résultat ML'!$C$4:$J$120,57,FALSE)/360))</f>
        <v>#N/A</v>
      </c>
      <c r="Q34" s="182" t="e">
        <f>ABS(Q$21/(HLOOKUP(Q$20,'Compte Résultat ML'!$C$4:$J$120,57,FALSE)/360))</f>
        <v>#N/A</v>
      </c>
      <c r="R34" s="182" t="e">
        <f>ABS(R$21/(HLOOKUP(R$20,'Compte Résultat ML'!$C$4:$J$120,57,FALSE)/360))</f>
        <v>#N/A</v>
      </c>
      <c r="S34" s="182" t="e">
        <f>ABS(S$21/(HLOOKUP(S$20,'Compte Résultat ML'!$C$4:$J$120,57,FALSE)/360))</f>
        <v>#N/A</v>
      </c>
      <c r="T34" s="182" t="e">
        <f>ABS(T$21/(HLOOKUP(T$20,'Compte Résultat ML'!$C$4:$J$120,57,FALSE)/360))</f>
        <v>#N/A</v>
      </c>
      <c r="V34" s="202"/>
      <c r="X34" s="187"/>
      <c r="Y34" s="187"/>
      <c r="Z34" s="187"/>
      <c r="AA34" s="187"/>
      <c r="AB34" s="187"/>
      <c r="AC34" s="187"/>
      <c r="AD34" s="187"/>
      <c r="AE34" s="187"/>
      <c r="AF34" s="187"/>
      <c r="AG34" s="187"/>
    </row>
    <row r="35" spans="2:33" ht="16" x14ac:dyDescent="0.2">
      <c r="B35" s="61" t="s">
        <v>616</v>
      </c>
      <c r="C35" s="260"/>
      <c r="D35" s="270"/>
      <c r="E35" s="270"/>
      <c r="F35" s="270"/>
      <c r="G35" s="270"/>
      <c r="H35" s="270"/>
      <c r="I35" s="270"/>
      <c r="J35" s="270"/>
      <c r="K35" s="270"/>
      <c r="L35" s="209"/>
      <c r="M35" s="296" t="s">
        <v>608</v>
      </c>
      <c r="N35" s="182" t="e">
        <f>ABS(N$21/E$22)</f>
        <v>#N/A</v>
      </c>
      <c r="O35" s="182" t="e">
        <f t="shared" ref="O35:S35" si="8">ABS(O$21/F$22)</f>
        <v>#N/A</v>
      </c>
      <c r="P35" s="182" t="e">
        <f t="shared" si="8"/>
        <v>#N/A</v>
      </c>
      <c r="Q35" s="182" t="e">
        <f t="shared" si="8"/>
        <v>#N/A</v>
      </c>
      <c r="R35" s="182" t="e">
        <f t="shared" si="8"/>
        <v>#N/A</v>
      </c>
      <c r="S35" s="182" t="e">
        <f t="shared" si="8"/>
        <v>#N/A</v>
      </c>
      <c r="T35" s="182" t="e">
        <f t="shared" ref="T35" si="9">ABS(T$21/K$22)</f>
        <v>#N/A</v>
      </c>
      <c r="U35" s="182" t="str">
        <f>IFERROR(HLOOKUP(U$20,'Compte Résultat ML'!$C$4:$J$10,3,FALSE),"")</f>
        <v/>
      </c>
      <c r="V35" s="183"/>
      <c r="X35" s="187"/>
      <c r="Y35" s="187"/>
      <c r="Z35" s="187"/>
      <c r="AA35" s="187"/>
      <c r="AB35" s="187"/>
      <c r="AC35" s="187"/>
      <c r="AD35" s="187"/>
      <c r="AE35" s="187"/>
      <c r="AF35" s="187"/>
      <c r="AG35" s="187"/>
    </row>
    <row r="36" spans="2:33" ht="16" x14ac:dyDescent="0.2">
      <c r="B36" s="61" t="s">
        <v>617</v>
      </c>
      <c r="C36" s="260"/>
      <c r="D36" s="270"/>
      <c r="E36" s="270"/>
      <c r="F36" s="270"/>
      <c r="G36" s="270"/>
      <c r="H36" s="270"/>
      <c r="I36" s="270"/>
      <c r="J36" s="270"/>
      <c r="K36" s="270"/>
      <c r="L36" s="209"/>
      <c r="M36" s="297" t="s">
        <v>611</v>
      </c>
      <c r="N36" s="182" t="e">
        <f>ABS(N21/(HLOOKUP(N$20,'Compte Résultat ML'!$C$4:$J$120,58,FALSE)*1%))</f>
        <v>#N/A</v>
      </c>
      <c r="O36" s="182" t="e">
        <f>ABS(O21/(HLOOKUP(O$20,'Compte Résultat ML'!$C$4:$J$120,58,FALSE)*1%))</f>
        <v>#N/A</v>
      </c>
      <c r="P36" s="182" t="e">
        <f>ABS(P21/(HLOOKUP(P$20,'Compte Résultat ML'!$C$4:$J$120,58,FALSE)*1%))</f>
        <v>#N/A</v>
      </c>
      <c r="Q36" s="182" t="e">
        <f>ABS(Q21/(HLOOKUP(Q$20,'Compte Résultat ML'!$C$4:$J$120,58,FALSE)*1%))</f>
        <v>#N/A</v>
      </c>
      <c r="R36" s="182" t="e">
        <f>ABS(R21/(HLOOKUP(R$20,'Compte Résultat ML'!$C$4:$J$120,58,FALSE)*1%))</f>
        <v>#N/A</v>
      </c>
      <c r="S36" s="182" t="e">
        <f>ABS(S21/(HLOOKUP(S$20,'Compte Résultat ML'!$C$4:$J$120,58,FALSE)*1%))</f>
        <v>#N/A</v>
      </c>
      <c r="T36" s="182" t="e">
        <f>ABS(T21/(HLOOKUP(T$20,'Compte Résultat ML'!$C$4:$J$120,58,FALSE)*1%))</f>
        <v>#N/A</v>
      </c>
      <c r="U36" s="182" t="str">
        <f>IFERROR(HLOOKUP(U$20,'Compte Résultat ML'!$C$4:$J$10,3,FALSE),"")</f>
        <v/>
      </c>
      <c r="V36" s="183"/>
      <c r="X36" s="187"/>
      <c r="Y36" s="187"/>
      <c r="Z36" s="187"/>
      <c r="AA36" s="187"/>
      <c r="AB36" s="187"/>
      <c r="AC36" s="187"/>
      <c r="AD36" s="187"/>
      <c r="AE36" s="187"/>
      <c r="AF36" s="187"/>
      <c r="AG36" s="187"/>
    </row>
    <row r="37" spans="2:33" ht="24" customHeight="1" x14ac:dyDescent="0.2">
      <c r="B37" s="61" t="s">
        <v>90</v>
      </c>
      <c r="C37" s="46"/>
      <c r="X37" s="187"/>
      <c r="Y37" s="187"/>
      <c r="Z37" s="187"/>
      <c r="AA37" s="187"/>
      <c r="AB37" s="187"/>
      <c r="AC37" s="187"/>
      <c r="AD37" s="187"/>
      <c r="AE37" s="187"/>
      <c r="AF37" s="187"/>
      <c r="AG37" s="187"/>
    </row>
    <row r="38" spans="2:33" ht="16" x14ac:dyDescent="0.2">
      <c r="B38" s="394" t="s">
        <v>717</v>
      </c>
      <c r="C38" s="272">
        <f>1/4</f>
        <v>0.25</v>
      </c>
      <c r="D38" s="272">
        <f>C38</f>
        <v>0.25</v>
      </c>
      <c r="E38" s="272">
        <f t="shared" ref="E38:K38" si="10">D38</f>
        <v>0.25</v>
      </c>
      <c r="F38" s="272">
        <f t="shared" si="10"/>
        <v>0.25</v>
      </c>
      <c r="G38" s="272">
        <f t="shared" si="10"/>
        <v>0.25</v>
      </c>
      <c r="H38" s="272">
        <f t="shared" si="10"/>
        <v>0.25</v>
      </c>
      <c r="I38" s="272">
        <f t="shared" si="10"/>
        <v>0.25</v>
      </c>
      <c r="J38" s="272">
        <f t="shared" si="10"/>
        <v>0.25</v>
      </c>
      <c r="K38" s="272">
        <f t="shared" si="10"/>
        <v>0.25</v>
      </c>
      <c r="N38" s="351"/>
      <c r="X38" s="187"/>
      <c r="Y38" s="187"/>
      <c r="Z38" s="187"/>
      <c r="AA38" s="187"/>
      <c r="AB38" s="187"/>
      <c r="AC38" s="187"/>
      <c r="AD38" s="187"/>
      <c r="AE38" s="187"/>
      <c r="AF38" s="187"/>
      <c r="AG38" s="187"/>
    </row>
    <row r="39" spans="2:33" ht="6" customHeight="1" x14ac:dyDescent="0.2">
      <c r="X39" s="187"/>
      <c r="Y39" s="187"/>
      <c r="Z39" s="187"/>
      <c r="AA39" s="187"/>
      <c r="AB39" s="187"/>
      <c r="AC39" s="187"/>
      <c r="AD39" s="187"/>
      <c r="AE39" s="187"/>
      <c r="AF39" s="187"/>
      <c r="AG39" s="187"/>
    </row>
    <row r="40" spans="2:33" ht="16" hidden="1" x14ac:dyDescent="0.2">
      <c r="B40" s="61" t="s">
        <v>550</v>
      </c>
      <c r="C40" s="259">
        <v>0</v>
      </c>
      <c r="D40" s="259">
        <v>0</v>
      </c>
      <c r="E40" s="259">
        <v>0</v>
      </c>
      <c r="F40" s="259">
        <v>0</v>
      </c>
      <c r="G40" s="259">
        <v>0</v>
      </c>
      <c r="H40" s="259">
        <v>0</v>
      </c>
      <c r="I40" s="259">
        <v>0</v>
      </c>
      <c r="J40" s="259">
        <v>0</v>
      </c>
      <c r="K40" s="259">
        <v>0</v>
      </c>
      <c r="L40" s="209"/>
      <c r="V40" s="183"/>
      <c r="X40" s="187"/>
      <c r="Y40" s="187"/>
      <c r="Z40" s="187"/>
      <c r="AA40" s="187"/>
      <c r="AB40" s="187"/>
      <c r="AC40" s="187"/>
      <c r="AD40" s="187"/>
      <c r="AE40" s="187"/>
      <c r="AF40" s="187"/>
      <c r="AG40" s="187"/>
    </row>
    <row r="41" spans="2:33" ht="16" x14ac:dyDescent="0.2">
      <c r="B41" s="61"/>
      <c r="C41" s="260"/>
      <c r="D41" s="260"/>
      <c r="E41" s="260"/>
      <c r="F41" s="260"/>
      <c r="G41" s="260"/>
      <c r="H41" s="260"/>
      <c r="I41" s="260"/>
      <c r="J41" s="260"/>
      <c r="K41" s="260"/>
      <c r="L41" s="209"/>
      <c r="V41" s="183"/>
      <c r="X41" s="187"/>
      <c r="Y41" s="187"/>
      <c r="Z41" s="187"/>
      <c r="AA41" s="187"/>
      <c r="AB41" s="187"/>
      <c r="AC41" s="187"/>
      <c r="AD41" s="187"/>
      <c r="AE41" s="187"/>
      <c r="AF41" s="187"/>
      <c r="AG41" s="187"/>
    </row>
    <row r="42" spans="2:33" ht="16" x14ac:dyDescent="0.2">
      <c r="B42" s="181" t="s">
        <v>79</v>
      </c>
      <c r="C42" s="200" t="str">
        <f t="shared" ref="C42:K42" si="11">C57</f>
        <v>2023/2024</v>
      </c>
      <c r="D42" s="200" t="str">
        <f t="shared" si="11"/>
        <v>2024/2025</v>
      </c>
      <c r="E42" s="200" t="str">
        <f t="shared" si="11"/>
        <v>2025/2026</v>
      </c>
      <c r="F42" s="200" t="str">
        <f t="shared" si="11"/>
        <v>2026/2027</v>
      </c>
      <c r="G42" s="200" t="str">
        <f t="shared" si="11"/>
        <v>2027/2028</v>
      </c>
      <c r="H42" s="200" t="str">
        <f t="shared" si="11"/>
        <v>2028/2029</v>
      </c>
      <c r="I42" s="200" t="str">
        <f t="shared" si="11"/>
        <v>2029/2030</v>
      </c>
      <c r="J42" s="200" t="str">
        <f t="shared" si="11"/>
        <v>2030/2031</v>
      </c>
      <c r="K42" s="200" t="str">
        <f t="shared" si="11"/>
        <v>2031/2032</v>
      </c>
      <c r="L42" s="208"/>
      <c r="V42" s="202"/>
      <c r="X42" s="187"/>
      <c r="Y42" s="187"/>
      <c r="Z42" s="187"/>
      <c r="AA42" s="187"/>
      <c r="AB42" s="187"/>
      <c r="AC42" s="187"/>
      <c r="AD42" s="187"/>
      <c r="AE42" s="187"/>
      <c r="AF42" s="187"/>
      <c r="AG42" s="187"/>
    </row>
    <row r="43" spans="2:33" ht="16" x14ac:dyDescent="0.2">
      <c r="B43" s="60" t="s">
        <v>24</v>
      </c>
      <c r="C43" s="380"/>
      <c r="D43" s="380">
        <f>IFERROR(CEILING(HLOOKUP(D$42,'Projection Effectifs'!$C$31:$M$38,2,FALSE)/'Hypothèses '!D49,0.5),0)</f>
        <v>1.5</v>
      </c>
      <c r="E43" s="380">
        <f>IFERROR(CEILING(HLOOKUP(E$42,'Projection Effectifs'!$C$31:$M$38,2,FALSE)/'Hypothèses '!E49,0.5),0)</f>
        <v>0</v>
      </c>
      <c r="F43" s="380">
        <f>IFERROR(CEILING(HLOOKUP(F$42,'Projection Effectifs'!$C$31:$M$38,2,FALSE)/'Hypothèses '!F49,0.5),0)</f>
        <v>0</v>
      </c>
      <c r="G43" s="380">
        <f>IFERROR(CEILING(HLOOKUP(G$42,'Projection Effectifs'!$C$31:$M$38,2,FALSE)/'Hypothèses '!G49,0.5),0)</f>
        <v>0</v>
      </c>
      <c r="H43" s="380">
        <f>IFERROR(CEILING(HLOOKUP(H$42,'Projection Effectifs'!$C$31:$M$38,2,FALSE)/'Hypothèses '!H49,0.5),0)</f>
        <v>0</v>
      </c>
      <c r="I43" s="380">
        <f>IFERROR(CEILING(HLOOKUP(I$42,'Projection Effectifs'!$C$31:$M$38,2,FALSE)/'Hypothèses '!I49,0.5),0)</f>
        <v>0</v>
      </c>
      <c r="J43" s="380">
        <f>IFERROR(CEILING(HLOOKUP(J$42,'Projection Effectifs'!$C$31:$M$38,2,FALSE)/'Hypothèses '!J49,0.5),0)</f>
        <v>0</v>
      </c>
      <c r="K43" s="380">
        <f>IFERROR(CEILING(HLOOKUP(K$42,'Projection Effectifs'!$C$31:$M$38,2,FALSE)/'Hypothèses '!K49,0.5),0)</f>
        <v>0</v>
      </c>
      <c r="X43" s="187"/>
      <c r="Y43" s="187"/>
      <c r="Z43" s="187"/>
      <c r="AA43" s="187"/>
      <c r="AB43" s="187"/>
      <c r="AC43" s="187"/>
      <c r="AD43" s="187"/>
      <c r="AE43" s="187"/>
      <c r="AF43" s="187"/>
      <c r="AG43" s="187"/>
    </row>
    <row r="44" spans="2:33" ht="16" x14ac:dyDescent="0.2">
      <c r="B44" s="60" t="s">
        <v>25</v>
      </c>
      <c r="D44" s="20">
        <f>IFERROR(CEILING(HLOOKUP(D$42,'Projection Effectifs'!$C$31:$M$38,3,FALSE)/'Hypothèses '!D50,0.5),0)</f>
        <v>1</v>
      </c>
      <c r="E44" s="20">
        <f>IFERROR(CEILING(HLOOKUP(E$42,'Projection Effectifs'!$C$31:$M$38,3,FALSE)/'Hypothèses '!E50,0.5),0)</f>
        <v>0</v>
      </c>
      <c r="F44" s="20">
        <f>IFERROR(CEILING(HLOOKUP(F$42,'Projection Effectifs'!$C$31:$M$38,3,FALSE)/'Hypothèses '!F50,0.5),0)</f>
        <v>0</v>
      </c>
      <c r="G44" s="20">
        <f>IFERROR(CEILING(HLOOKUP(G$42,'Projection Effectifs'!$C$31:$M$38,3,FALSE)/'Hypothèses '!G50,0.5),0)</f>
        <v>0</v>
      </c>
      <c r="H44" s="20">
        <f>IFERROR(CEILING(HLOOKUP(H$42,'Projection Effectifs'!$C$31:$M$38,3,FALSE)/'Hypothèses '!H50,0.5),0)</f>
        <v>0</v>
      </c>
      <c r="I44" s="20">
        <f>IFERROR(CEILING(HLOOKUP(I$42,'Projection Effectifs'!$C$31:$M$38,3,FALSE)/'Hypothèses '!I50,0.5),0)</f>
        <v>0</v>
      </c>
      <c r="J44" s="20">
        <f>IFERROR(CEILING(HLOOKUP(J$42,'Projection Effectifs'!$C$31:$M$38,3,FALSE)/'Hypothèses '!J50,0.5),0)</f>
        <v>0</v>
      </c>
      <c r="K44" s="20">
        <f>IFERROR(CEILING(HLOOKUP(K$42,'Projection Effectifs'!$C$31:$M$38,3,FALSE)/'Hypothèses '!K50,0.5),0)</f>
        <v>0</v>
      </c>
      <c r="M44" s="267"/>
      <c r="N44" s="226"/>
      <c r="O44" s="226"/>
      <c r="P44" s="226"/>
      <c r="Q44" s="226"/>
      <c r="R44" s="227"/>
      <c r="S44" s="227"/>
      <c r="T44" s="227"/>
      <c r="U44" s="227"/>
      <c r="X44" s="187"/>
      <c r="Y44" s="187"/>
      <c r="Z44" s="187"/>
      <c r="AA44" s="187"/>
      <c r="AB44" s="187"/>
      <c r="AC44" s="187"/>
      <c r="AD44" s="187"/>
      <c r="AE44" s="187"/>
      <c r="AF44" s="187"/>
      <c r="AG44" s="187"/>
    </row>
    <row r="45" spans="2:33" ht="19" x14ac:dyDescent="0.25">
      <c r="B45" s="60" t="s">
        <v>26</v>
      </c>
      <c r="D45" s="20">
        <f>IFERROR(ROUNDUP(HLOOKUP(D$42,'Projection Effectifs'!$C$31:$M$38,5,FALSE)/'Hypothèses '!D51,0),0)</f>
        <v>1</v>
      </c>
      <c r="E45" s="20">
        <f>IFERROR(ROUNDUP(HLOOKUP(E$42,'Projection Effectifs'!$C$31:$M$38,5,FALSE)/'Hypothèses '!E51,0),0)</f>
        <v>0</v>
      </c>
      <c r="F45" s="20">
        <f>IFERROR(ROUNDUP(HLOOKUP(F$42,'Projection Effectifs'!$C$31:$M$38,5,FALSE)/'Hypothèses '!F51,0),0)</f>
        <v>0</v>
      </c>
      <c r="G45" s="20">
        <f>IFERROR(ROUNDUP(HLOOKUP(G$42,'Projection Effectifs'!$C$31:$M$38,5,FALSE)/'Hypothèses '!G51,0),0)</f>
        <v>0</v>
      </c>
      <c r="H45" s="20">
        <f>IFERROR(ROUNDUP(HLOOKUP(H$42,'Projection Effectifs'!$C$31:$M$38,5,FALSE)/'Hypothèses '!H51,0),0)</f>
        <v>0</v>
      </c>
      <c r="I45" s="20">
        <f>IFERROR(ROUNDUP(HLOOKUP(I$42,'Projection Effectifs'!$C$31:$M$38,5,FALSE)/'Hypothèses '!I51,0),0)</f>
        <v>0</v>
      </c>
      <c r="J45" s="20">
        <f>IFERROR(ROUNDUP(HLOOKUP(J$42,'Projection Effectifs'!$C$31:$M$38,5,FALSE)/'Hypothèses '!J51,0),0)</f>
        <v>0</v>
      </c>
      <c r="K45" s="20">
        <f>IFERROR(ROUNDUP(HLOOKUP(K$42,'Projection Effectifs'!$C$31:$M$38,5,FALSE)/'Hypothèses '!K51,0),0)</f>
        <v>0</v>
      </c>
      <c r="M45" s="223" t="s">
        <v>609</v>
      </c>
      <c r="P45" s="226"/>
      <c r="Q45" s="226"/>
      <c r="R45" s="227"/>
      <c r="S45" s="227"/>
      <c r="T45" s="227"/>
      <c r="U45" s="227"/>
      <c r="X45" s="187"/>
      <c r="Y45" s="187"/>
      <c r="Z45" s="187"/>
      <c r="AA45" s="187"/>
      <c r="AB45" s="187"/>
      <c r="AC45" s="187"/>
      <c r="AD45" s="187"/>
      <c r="AE45" s="187"/>
      <c r="AF45" s="187"/>
      <c r="AG45" s="187"/>
    </row>
    <row r="46" spans="2:33" ht="19" x14ac:dyDescent="0.25">
      <c r="B46" s="60" t="s">
        <v>27</v>
      </c>
      <c r="D46" s="20">
        <f>IFERROR(ROUNDUP(HLOOKUP(D$42,'Projection Effectifs'!$C$31:$M$38,6,FALSE)/'Hypothèses '!D52,0),0)</f>
        <v>1</v>
      </c>
      <c r="E46" s="20">
        <f>IFERROR(ROUNDUP(HLOOKUP(E$42,'Projection Effectifs'!$C$31:$M$38,6,FALSE)/'Hypothèses '!E52,0),0)</f>
        <v>0</v>
      </c>
      <c r="F46" s="20">
        <f>IFERROR(ROUNDUP(HLOOKUP(F$42,'Projection Effectifs'!$C$31:$M$38,6,FALSE)/'Hypothèses '!F52,0),0)</f>
        <v>0</v>
      </c>
      <c r="G46" s="20">
        <f>IFERROR(ROUNDUP(HLOOKUP(G$42,'Projection Effectifs'!$C$31:$M$38,6,FALSE)/'Hypothèses '!G52,0),0)</f>
        <v>0</v>
      </c>
      <c r="H46" s="20">
        <f>IFERROR(ROUNDUP(HLOOKUP(H$42,'Projection Effectifs'!$C$31:$M$38,6,FALSE)/'Hypothèses '!H52,0),0)</f>
        <v>0</v>
      </c>
      <c r="I46" s="20">
        <f>IFERROR(ROUNDUP(HLOOKUP(I$42,'Projection Effectifs'!$C$31:$M$38,6,FALSE)/'Hypothèses '!I52,0),0)</f>
        <v>0</v>
      </c>
      <c r="J46" s="20">
        <f>IFERROR(ROUNDUP(HLOOKUP(J$42,'Projection Effectifs'!$C$31:$M$38,6,FALSE)/'Hypothèses '!J52,0),0)</f>
        <v>0</v>
      </c>
      <c r="K46" s="20">
        <f>IFERROR(ROUNDUP(HLOOKUP(K$42,'Projection Effectifs'!$C$31:$M$38,6,FALSE)/'Hypothèses '!K52,0),0)</f>
        <v>0</v>
      </c>
      <c r="M46" s="223" t="s">
        <v>629</v>
      </c>
      <c r="N46" s="226"/>
      <c r="O46" s="226"/>
      <c r="P46" s="226"/>
      <c r="Q46" s="226"/>
      <c r="R46" s="227"/>
      <c r="S46" s="227"/>
      <c r="T46" s="227"/>
      <c r="U46" s="227"/>
      <c r="X46" s="187"/>
      <c r="Y46" s="187"/>
      <c r="Z46" s="187"/>
      <c r="AA46" s="187"/>
      <c r="AB46" s="187"/>
      <c r="AC46" s="187"/>
      <c r="AD46" s="187"/>
      <c r="AE46" s="187"/>
      <c r="AF46" s="187"/>
      <c r="AG46" s="187"/>
    </row>
    <row r="47" spans="2:33" ht="16" x14ac:dyDescent="0.2">
      <c r="M47" s="182"/>
      <c r="N47" s="182"/>
      <c r="O47" s="182"/>
      <c r="P47" s="182"/>
      <c r="Q47" s="182"/>
      <c r="R47" s="199"/>
      <c r="S47" s="199"/>
      <c r="T47" s="199"/>
      <c r="U47" s="227"/>
      <c r="X47" s="187"/>
      <c r="Y47" s="187"/>
      <c r="Z47" s="187"/>
      <c r="AA47" s="187"/>
      <c r="AB47" s="187"/>
      <c r="AC47" s="187"/>
      <c r="AD47" s="187"/>
      <c r="AE47" s="187"/>
      <c r="AF47" s="187"/>
      <c r="AG47" s="187"/>
    </row>
    <row r="48" spans="2:33" ht="16" x14ac:dyDescent="0.2">
      <c r="B48" s="181" t="s">
        <v>619</v>
      </c>
      <c r="C48" s="200" t="str">
        <f t="shared" ref="C48:K48" si="12">C42</f>
        <v>2023/2024</v>
      </c>
      <c r="D48" s="200" t="str">
        <f t="shared" si="12"/>
        <v>2024/2025</v>
      </c>
      <c r="E48" s="200" t="str">
        <f t="shared" si="12"/>
        <v>2025/2026</v>
      </c>
      <c r="F48" s="200" t="str">
        <f t="shared" si="12"/>
        <v>2026/2027</v>
      </c>
      <c r="G48" s="200" t="str">
        <f t="shared" si="12"/>
        <v>2027/2028</v>
      </c>
      <c r="H48" s="200" t="str">
        <f t="shared" si="12"/>
        <v>2028/2029</v>
      </c>
      <c r="I48" s="200" t="str">
        <f t="shared" si="12"/>
        <v>2029/2030</v>
      </c>
      <c r="J48" s="200" t="str">
        <f t="shared" si="12"/>
        <v>2030/2031</v>
      </c>
      <c r="K48" s="200" t="str">
        <f t="shared" si="12"/>
        <v>2031/2032</v>
      </c>
      <c r="L48" s="208"/>
      <c r="M48" s="276"/>
      <c r="N48" s="277">
        <f>'Hypothèses '!$C$8</f>
        <v>2025</v>
      </c>
      <c r="O48" s="277">
        <f>N48+1</f>
        <v>2026</v>
      </c>
      <c r="P48" s="277">
        <f t="shared" ref="P48:T48" si="13">O48+1</f>
        <v>2027</v>
      </c>
      <c r="Q48" s="277">
        <f t="shared" si="13"/>
        <v>2028</v>
      </c>
      <c r="R48" s="277">
        <f t="shared" si="13"/>
        <v>2029</v>
      </c>
      <c r="S48" s="277">
        <f t="shared" si="13"/>
        <v>2030</v>
      </c>
      <c r="T48" s="277">
        <f t="shared" si="13"/>
        <v>2031</v>
      </c>
      <c r="U48" s="227"/>
      <c r="V48" s="202"/>
      <c r="X48" s="187"/>
      <c r="Y48" s="187"/>
      <c r="Z48" s="187"/>
      <c r="AA48" s="187"/>
      <c r="AB48" s="187"/>
      <c r="AC48" s="187"/>
      <c r="AD48" s="187"/>
      <c r="AE48" s="187"/>
      <c r="AF48" s="187"/>
      <c r="AG48" s="187"/>
    </row>
    <row r="49" spans="1:33" ht="16" x14ac:dyDescent="0.2">
      <c r="B49" s="60" t="s">
        <v>24</v>
      </c>
      <c r="C49" s="272"/>
      <c r="D49" s="272">
        <v>272</v>
      </c>
      <c r="E49" s="272"/>
      <c r="F49" s="272"/>
      <c r="G49" s="272"/>
      <c r="H49" s="272"/>
      <c r="I49" s="272"/>
      <c r="J49" s="272"/>
      <c r="K49" s="272"/>
      <c r="M49" s="278" t="s">
        <v>536</v>
      </c>
      <c r="N49" s="381" t="e">
        <f>HLOOKUP(N$20,'Compte Résultat Euro'!$C$4:$J$10,3,FALSE)</f>
        <v>#N/A</v>
      </c>
      <c r="O49" s="381" t="e">
        <f>HLOOKUP(O$20,'Compte Résultat Euro'!$C$4:$J$10,3,FALSE)</f>
        <v>#N/A</v>
      </c>
      <c r="P49" s="381" t="e">
        <f>HLOOKUP(P$20,'Compte Résultat Euro'!$C$4:$J$10,3,FALSE)</f>
        <v>#N/A</v>
      </c>
      <c r="Q49" s="381" t="e">
        <f>HLOOKUP(Q$20,'Compte Résultat Euro'!$C$4:$J$10,3,FALSE)</f>
        <v>#N/A</v>
      </c>
      <c r="R49" s="381" t="e">
        <f>HLOOKUP(R$20,'Compte Résultat Euro'!$C$4:$J$10,3,FALSE)</f>
        <v>#N/A</v>
      </c>
      <c r="S49" s="381" t="e">
        <f>HLOOKUP(S$20,'Compte Résultat Euro'!$C$4:$J$10,3,FALSE)</f>
        <v>#N/A</v>
      </c>
      <c r="T49" s="381" t="e">
        <f>HLOOKUP(T$20,'Compte Résultat Euro'!$C$4:$J$10,3,FALSE)</f>
        <v>#N/A</v>
      </c>
      <c r="U49" s="227"/>
      <c r="X49" s="187"/>
      <c r="Y49" s="187"/>
      <c r="Z49" s="187"/>
      <c r="AA49" s="187"/>
      <c r="AB49" s="187"/>
      <c r="AC49" s="187"/>
      <c r="AD49" s="187"/>
      <c r="AE49" s="187"/>
      <c r="AF49" s="187"/>
      <c r="AG49" s="187"/>
    </row>
    <row r="50" spans="1:33" ht="16" x14ac:dyDescent="0.2">
      <c r="B50" s="60" t="s">
        <v>25</v>
      </c>
      <c r="C50" s="272"/>
      <c r="D50" s="272">
        <v>652</v>
      </c>
      <c r="E50" s="272"/>
      <c r="F50" s="272"/>
      <c r="G50" s="272"/>
      <c r="H50" s="272"/>
      <c r="I50" s="272"/>
      <c r="J50" s="272"/>
      <c r="K50" s="272"/>
      <c r="M50" s="280" t="s">
        <v>533</v>
      </c>
      <c r="N50" s="382" t="e">
        <f>HLOOKUP(N$20,'Compte Résultat Euro'!$C$4:$J$10,4,FALSE)</f>
        <v>#N/A</v>
      </c>
      <c r="O50" s="382" t="e">
        <f>HLOOKUP(O$20,'Compte Résultat Euro'!$C$4:$J$10,4,FALSE)</f>
        <v>#N/A</v>
      </c>
      <c r="P50" s="382" t="e">
        <f>HLOOKUP(P$20,'Compte Résultat Euro'!$C$4:$J$10,4,FALSE)</f>
        <v>#N/A</v>
      </c>
      <c r="Q50" s="382" t="e">
        <f>HLOOKUP(Q$20,'Compte Résultat Euro'!$C$4:$J$10,4,FALSE)</f>
        <v>#N/A</v>
      </c>
      <c r="R50" s="382" t="e">
        <f>HLOOKUP(R$20,'Compte Résultat Euro'!$C$4:$J$10,4,FALSE)</f>
        <v>#N/A</v>
      </c>
      <c r="S50" s="382" t="e">
        <f>HLOOKUP(S$20,'Compte Résultat Euro'!$C$4:$J$10,4,FALSE)</f>
        <v>#N/A</v>
      </c>
      <c r="T50" s="382" t="e">
        <f>HLOOKUP(T$20,'Compte Résultat Euro'!$C$4:$J$10,4,FALSE)</f>
        <v>#N/A</v>
      </c>
      <c r="U50" s="227"/>
      <c r="X50" s="187"/>
      <c r="Y50" s="187"/>
      <c r="Z50" s="187"/>
      <c r="AA50" s="187"/>
      <c r="AB50" s="187"/>
      <c r="AC50" s="187"/>
      <c r="AD50" s="187"/>
      <c r="AE50" s="187"/>
      <c r="AF50" s="187"/>
      <c r="AG50" s="187"/>
    </row>
    <row r="51" spans="1:33" ht="16" x14ac:dyDescent="0.2">
      <c r="B51" s="60" t="s">
        <v>26</v>
      </c>
      <c r="C51" s="272"/>
      <c r="D51" s="272">
        <v>535</v>
      </c>
      <c r="E51" s="272"/>
      <c r="F51" s="272"/>
      <c r="G51" s="272"/>
      <c r="H51" s="272"/>
      <c r="I51" s="272"/>
      <c r="J51" s="272"/>
      <c r="K51" s="272"/>
      <c r="M51" s="282" t="s">
        <v>605</v>
      </c>
      <c r="N51" s="383">
        <f>HLOOKUP(N$20,'Compte Résultat Euro'!$C$58:$J$87,29,FALSE)</f>
        <v>0</v>
      </c>
      <c r="O51" s="383">
        <f>HLOOKUP(O$20,'Compte Résultat Euro'!$C$58:$J$87,29,FALSE)</f>
        <v>0</v>
      </c>
      <c r="P51" s="383">
        <f>HLOOKUP(P$20,'Compte Résultat Euro'!$C$58:$J$87,29,FALSE)</f>
        <v>0</v>
      </c>
      <c r="Q51" s="383">
        <f>HLOOKUP(Q$20,'Compte Résultat Euro'!$C$58:$J$87,29,FALSE)</f>
        <v>0</v>
      </c>
      <c r="R51" s="383">
        <f>HLOOKUP(R$20,'Compte Résultat Euro'!$C$58:$J$87,29,FALSE)</f>
        <v>0</v>
      </c>
      <c r="S51" s="383">
        <f>HLOOKUP(S$20,'Compte Résultat Euro'!$C$58:$J$87,29,FALSE)</f>
        <v>0</v>
      </c>
      <c r="T51" s="383">
        <f>HLOOKUP(T$20,'Compte Résultat Euro'!$C$58:$J$87,29,FALSE)</f>
        <v>0</v>
      </c>
      <c r="U51" s="227"/>
      <c r="X51" s="187"/>
      <c r="Y51" s="187"/>
      <c r="Z51" s="187"/>
      <c r="AA51" s="187"/>
      <c r="AB51" s="187"/>
      <c r="AC51" s="187"/>
      <c r="AD51" s="187"/>
      <c r="AE51" s="187"/>
      <c r="AF51" s="187"/>
      <c r="AG51" s="187"/>
    </row>
    <row r="52" spans="1:33" ht="16" x14ac:dyDescent="0.2">
      <c r="B52" s="60" t="s">
        <v>27</v>
      </c>
      <c r="C52" s="272"/>
      <c r="D52" s="272">
        <v>366</v>
      </c>
      <c r="E52" s="272"/>
      <c r="F52" s="272"/>
      <c r="G52" s="272"/>
      <c r="H52" s="272"/>
      <c r="I52" s="272"/>
      <c r="J52" s="272"/>
      <c r="K52" s="272"/>
      <c r="M52" s="284" t="s">
        <v>88</v>
      </c>
      <c r="N52" s="384" t="e">
        <f>HLOOKUP(N$20,'Compte Résultat Euro'!$C$4:$J$10,5,FALSE)</f>
        <v>#N/A</v>
      </c>
      <c r="O52" s="384" t="e">
        <f>HLOOKUP(O$20,'Compte Résultat Euro'!$C$4:$J$10,5,FALSE)</f>
        <v>#N/A</v>
      </c>
      <c r="P52" s="384" t="e">
        <f>HLOOKUP(P$20,'Compte Résultat Euro'!$C$4:$J$10,5,FALSE)</f>
        <v>#N/A</v>
      </c>
      <c r="Q52" s="384" t="e">
        <f>HLOOKUP(Q$20,'Compte Résultat Euro'!$C$4:$J$10,5,FALSE)</f>
        <v>#N/A</v>
      </c>
      <c r="R52" s="384" t="e">
        <f>HLOOKUP(R$20,'Compte Résultat Euro'!$C$4:$J$10,5,FALSE)</f>
        <v>#N/A</v>
      </c>
      <c r="S52" s="384" t="e">
        <f>HLOOKUP(S$20,'Compte Résultat Euro'!$C$4:$J$10,5,FALSE)</f>
        <v>#N/A</v>
      </c>
      <c r="T52" s="384" t="e">
        <f>HLOOKUP(T$20,'Compte Résultat Euro'!$C$4:$J$10,5,FALSE)</f>
        <v>#N/A</v>
      </c>
      <c r="U52" s="227"/>
      <c r="X52" s="187"/>
      <c r="Y52" s="187"/>
      <c r="Z52" s="187"/>
      <c r="AA52" s="187"/>
      <c r="AB52" s="187"/>
      <c r="AC52" s="187"/>
      <c r="AD52" s="187"/>
      <c r="AE52" s="187"/>
      <c r="AF52" s="187"/>
      <c r="AG52" s="187"/>
    </row>
    <row r="53" spans="1:33" ht="16" x14ac:dyDescent="0.2">
      <c r="B53" s="60"/>
      <c r="E53" s="264"/>
      <c r="F53" s="264"/>
      <c r="G53" s="264"/>
      <c r="H53" s="264"/>
      <c r="I53" s="264"/>
      <c r="J53" s="264"/>
      <c r="K53" s="264"/>
      <c r="M53" s="286" t="s">
        <v>605</v>
      </c>
      <c r="N53" s="385">
        <f>HLOOKUP(N$20,'Compte Résultat Euro'!$C$58:$J$112,55,FALSE)</f>
        <v>0</v>
      </c>
      <c r="O53" s="385">
        <f>HLOOKUP(O$20,'Compte Résultat Euro'!$C$58:$J$112,55,FALSE)</f>
        <v>0</v>
      </c>
      <c r="P53" s="385">
        <f>HLOOKUP(P$20,'Compte Résultat Euro'!$C$58:$J$112,55,FALSE)</f>
        <v>0</v>
      </c>
      <c r="Q53" s="385">
        <f>HLOOKUP(Q$20,'Compte Résultat Euro'!$C$58:$J$112,55,FALSE)</f>
        <v>0</v>
      </c>
      <c r="R53" s="385">
        <f>HLOOKUP(R$20,'Compte Résultat Euro'!$C$58:$J$112,55,FALSE)</f>
        <v>0</v>
      </c>
      <c r="S53" s="385">
        <f>HLOOKUP(S$20,'Compte Résultat Euro'!$C$58:$J$112,55,FALSE)</f>
        <v>0</v>
      </c>
      <c r="T53" s="385">
        <f>HLOOKUP(T$20,'Compte Résultat Euro'!$C$58:$J$112,55,FALSE)</f>
        <v>0</v>
      </c>
      <c r="U53" s="227"/>
      <c r="X53" s="187"/>
      <c r="Y53" s="187"/>
      <c r="Z53" s="187"/>
      <c r="AA53" s="187"/>
      <c r="AB53" s="187"/>
      <c r="AC53" s="187"/>
      <c r="AD53" s="187"/>
      <c r="AE53" s="187"/>
      <c r="AF53" s="187"/>
      <c r="AG53" s="187"/>
    </row>
    <row r="54" spans="1:33" ht="16" x14ac:dyDescent="0.2">
      <c r="B54" s="61"/>
      <c r="C54" s="260"/>
      <c r="D54" s="260"/>
      <c r="E54" s="260"/>
      <c r="F54" s="260"/>
      <c r="G54" s="260"/>
      <c r="H54" s="260"/>
      <c r="I54" s="260"/>
      <c r="J54" s="260"/>
      <c r="K54" s="260"/>
      <c r="L54" s="209"/>
      <c r="M54" s="288" t="s">
        <v>126</v>
      </c>
      <c r="N54" s="386" t="e">
        <f>HLOOKUP(N$20,'Compte Résultat Euro'!$C$4:$J$10,6,FALSE)</f>
        <v>#N/A</v>
      </c>
      <c r="O54" s="386" t="e">
        <f>HLOOKUP(O$20,'Compte Résultat Euro'!$C$4:$J$10,6,FALSE)</f>
        <v>#N/A</v>
      </c>
      <c r="P54" s="386" t="e">
        <f>HLOOKUP(P$20,'Compte Résultat Euro'!$C$4:$J$10,6,FALSE)</f>
        <v>#N/A</v>
      </c>
      <c r="Q54" s="386" t="e">
        <f>HLOOKUP(Q$20,'Compte Résultat Euro'!$C$4:$J$10,6,FALSE)</f>
        <v>#N/A</v>
      </c>
      <c r="R54" s="386" t="e">
        <f>HLOOKUP(R$20,'Compte Résultat Euro'!$C$4:$J$10,6,FALSE)</f>
        <v>#N/A</v>
      </c>
      <c r="S54" s="386" t="e">
        <f>HLOOKUP(S$20,'Compte Résultat Euro'!$C$4:$J$10,6,FALSE)</f>
        <v>#N/A</v>
      </c>
      <c r="T54" s="386" t="e">
        <f>HLOOKUP(T$20,'Compte Résultat Euro'!$C$4:$J$10,6,FALSE)</f>
        <v>#N/A</v>
      </c>
      <c r="U54" s="227"/>
      <c r="V54" s="183"/>
      <c r="X54" s="187"/>
      <c r="Y54" s="187"/>
      <c r="Z54" s="187"/>
      <c r="AA54" s="187"/>
      <c r="AB54" s="187"/>
      <c r="AC54" s="187"/>
      <c r="AD54" s="187"/>
      <c r="AE54" s="187"/>
      <c r="AF54" s="187"/>
      <c r="AG54" s="187"/>
    </row>
    <row r="55" spans="1:33" ht="21" x14ac:dyDescent="0.25">
      <c r="A55" s="184" t="s">
        <v>552</v>
      </c>
      <c r="B55" s="184"/>
      <c r="C55" s="255"/>
      <c r="D55" s="255"/>
      <c r="E55" s="255"/>
      <c r="F55" s="255"/>
      <c r="G55" s="255"/>
      <c r="H55" s="255"/>
      <c r="I55" s="255"/>
      <c r="J55" s="255"/>
      <c r="K55" s="255"/>
      <c r="L55" s="196"/>
      <c r="M55" s="290" t="s">
        <v>605</v>
      </c>
      <c r="N55" s="383">
        <f>HLOOKUP(N$20,'Compte Résultat Euro'!$C$58:$J$138,81,FALSE)</f>
        <v>0</v>
      </c>
      <c r="O55" s="383">
        <f>HLOOKUP(O$20,'Compte Résultat Euro'!$C$58:$J$138,81,FALSE)</f>
        <v>0</v>
      </c>
      <c r="P55" s="383">
        <f>HLOOKUP(P$20,'Compte Résultat Euro'!$C$58:$J$138,81,FALSE)</f>
        <v>0</v>
      </c>
      <c r="Q55" s="383">
        <f>HLOOKUP(Q$20,'Compte Résultat Euro'!$C$58:$J$138,81,FALSE)</f>
        <v>0</v>
      </c>
      <c r="R55" s="383">
        <f>HLOOKUP(R$20,'Compte Résultat Euro'!$C$58:$J$138,81,FALSE)</f>
        <v>0</v>
      </c>
      <c r="S55" s="383">
        <f>HLOOKUP(S$20,'Compte Résultat Euro'!$C$58:$J$138,81,FALSE)</f>
        <v>0</v>
      </c>
      <c r="T55" s="383">
        <f>HLOOKUP(T$20,'Compte Résultat Euro'!$C$58:$J$138,81,FALSE)</f>
        <v>0</v>
      </c>
      <c r="U55" s="227"/>
      <c r="V55" s="58"/>
      <c r="X55" s="187"/>
      <c r="Y55" s="187"/>
      <c r="Z55" s="187"/>
      <c r="AA55" s="187"/>
      <c r="AB55" s="187"/>
      <c r="AC55" s="187"/>
      <c r="AD55" s="187"/>
      <c r="AE55" s="187"/>
      <c r="AF55" s="187"/>
      <c r="AG55" s="187"/>
    </row>
    <row r="56" spans="1:33" ht="16" x14ac:dyDescent="0.2">
      <c r="A56" s="63"/>
      <c r="B56" t="s">
        <v>593</v>
      </c>
      <c r="C56" s="261">
        <v>2</v>
      </c>
      <c r="D56" s="261">
        <v>3</v>
      </c>
      <c r="E56" s="261">
        <v>4</v>
      </c>
      <c r="F56" s="261">
        <v>5</v>
      </c>
      <c r="G56" s="261">
        <v>6</v>
      </c>
      <c r="H56" s="261">
        <v>7</v>
      </c>
      <c r="I56" s="261">
        <v>8</v>
      </c>
      <c r="J56" s="261">
        <v>9</v>
      </c>
      <c r="K56" s="261">
        <v>10</v>
      </c>
      <c r="L56" s="211"/>
      <c r="M56" s="292" t="s">
        <v>498</v>
      </c>
      <c r="N56" s="387" t="e">
        <f>HLOOKUP(N$20,'Compte Résultat Euro'!$C$4:$J$10,7,FALSE)</f>
        <v>#N/A</v>
      </c>
      <c r="O56" s="387" t="e">
        <f>HLOOKUP(O$20,'Compte Résultat Euro'!$C$4:$J$10,7,FALSE)</f>
        <v>#N/A</v>
      </c>
      <c r="P56" s="387" t="e">
        <f>HLOOKUP(P$20,'Compte Résultat Euro'!$C$4:$J$10,7,FALSE)</f>
        <v>#N/A</v>
      </c>
      <c r="Q56" s="387" t="e">
        <f>HLOOKUP(Q$20,'Compte Résultat Euro'!$C$4:$J$10,7,FALSE)</f>
        <v>#N/A</v>
      </c>
      <c r="R56" s="387" t="e">
        <f>HLOOKUP(R$20,'Compte Résultat Euro'!$C$4:$J$10,7,FALSE)</f>
        <v>#N/A</v>
      </c>
      <c r="S56" s="387" t="e">
        <f>HLOOKUP(S$20,'Compte Résultat Euro'!$C$4:$J$10,7,FALSE)</f>
        <v>#N/A</v>
      </c>
      <c r="T56" s="387" t="e">
        <f>HLOOKUP(T$20,'Compte Résultat Euro'!$C$4:$J$10,7,FALSE)</f>
        <v>#N/A</v>
      </c>
      <c r="U56" s="227"/>
      <c r="V56" s="203"/>
      <c r="X56" s="187" t="s">
        <v>670</v>
      </c>
      <c r="Y56" s="187"/>
      <c r="Z56" s="187"/>
      <c r="AA56" s="187"/>
      <c r="AB56" s="187"/>
      <c r="AC56" s="187"/>
      <c r="AD56" s="187"/>
      <c r="AE56" s="187"/>
      <c r="AF56" s="187"/>
      <c r="AG56" s="187"/>
    </row>
    <row r="57" spans="1:33" ht="16" x14ac:dyDescent="0.2">
      <c r="B57" s="45" t="s">
        <v>618</v>
      </c>
      <c r="C57" s="200" t="str">
        <f t="shared" ref="C57:K57" si="14">C12</f>
        <v>2023/2024</v>
      </c>
      <c r="D57" s="200" t="str">
        <f t="shared" si="14"/>
        <v>2024/2025</v>
      </c>
      <c r="E57" s="200" t="str">
        <f t="shared" si="14"/>
        <v>2025/2026</v>
      </c>
      <c r="F57" s="200" t="str">
        <f t="shared" si="14"/>
        <v>2026/2027</v>
      </c>
      <c r="G57" s="200" t="str">
        <f t="shared" si="14"/>
        <v>2027/2028</v>
      </c>
      <c r="H57" s="200" t="str">
        <f t="shared" si="14"/>
        <v>2028/2029</v>
      </c>
      <c r="I57" s="200" t="str">
        <f t="shared" si="14"/>
        <v>2029/2030</v>
      </c>
      <c r="J57" s="200" t="str">
        <f t="shared" si="14"/>
        <v>2030/2031</v>
      </c>
      <c r="K57" s="200" t="str">
        <f t="shared" si="14"/>
        <v>2031/2032</v>
      </c>
      <c r="L57" s="208"/>
      <c r="M57" s="294" t="s">
        <v>605</v>
      </c>
      <c r="N57" s="388">
        <f>HLOOKUP(N$20,'Compte Résultat Euro'!$C$58:$J$164,107,FALSE)</f>
        <v>0</v>
      </c>
      <c r="O57" s="388">
        <f>HLOOKUP(O$20,'Compte Résultat Euro'!$C$58:$J$164,107,FALSE)</f>
        <v>0</v>
      </c>
      <c r="P57" s="388">
        <f>HLOOKUP(P$20,'Compte Résultat Euro'!$C$58:$J$164,107,FALSE)</f>
        <v>0</v>
      </c>
      <c r="Q57" s="388">
        <f>HLOOKUP(Q$20,'Compte Résultat Euro'!$C$58:$J$164,107,FALSE)</f>
        <v>0</v>
      </c>
      <c r="R57" s="388">
        <f>HLOOKUP(R$20,'Compte Résultat Euro'!$C$58:$J$164,107,FALSE)</f>
        <v>0</v>
      </c>
      <c r="S57" s="388">
        <f>HLOOKUP(S$20,'Compte Résultat Euro'!$C$58:$J$164,107,FALSE)</f>
        <v>0</v>
      </c>
      <c r="T57" s="388">
        <f>HLOOKUP(T$20,'Compte Résultat Euro'!$C$58:$J$164,107,FALSE)</f>
        <v>0</v>
      </c>
      <c r="U57" s="227"/>
      <c r="V57" s="202"/>
      <c r="W57" s="46"/>
      <c r="X57" s="187"/>
      <c r="Y57" s="189" t="s">
        <v>35</v>
      </c>
      <c r="Z57" s="187"/>
      <c r="AA57" s="187"/>
      <c r="AB57" s="187"/>
      <c r="AC57" s="187"/>
      <c r="AD57" s="187"/>
      <c r="AE57" s="187"/>
      <c r="AF57" s="187"/>
      <c r="AG57" s="187"/>
    </row>
    <row r="58" spans="1:33" ht="16" x14ac:dyDescent="0.2">
      <c r="A58" s="45"/>
      <c r="B58" s="51" t="s">
        <v>630</v>
      </c>
      <c r="C58" s="54">
        <f>SUM(C59:C66)</f>
        <v>2</v>
      </c>
      <c r="D58" s="54">
        <f>SUM(D59:D66)</f>
        <v>12</v>
      </c>
      <c r="E58" s="54">
        <f t="shared" ref="E58:K58" si="15">SUM(E59:E66)</f>
        <v>0</v>
      </c>
      <c r="F58" s="54">
        <f t="shared" si="15"/>
        <v>0</v>
      </c>
      <c r="G58" s="54">
        <f t="shared" si="15"/>
        <v>0</v>
      </c>
      <c r="H58" s="54">
        <f t="shared" si="15"/>
        <v>0</v>
      </c>
      <c r="I58" s="54">
        <f t="shared" si="15"/>
        <v>0</v>
      </c>
      <c r="J58" s="54">
        <f t="shared" si="15"/>
        <v>0</v>
      </c>
      <c r="K58" s="54">
        <f t="shared" si="15"/>
        <v>0</v>
      </c>
      <c r="L58" s="212"/>
      <c r="M58" s="296" t="s">
        <v>610</v>
      </c>
      <c r="N58" s="182" t="e">
        <f>ABS(N$49/(HLOOKUP(N$48,'Compte Résultat Euro'!$C$4:$J$120,57,FALSE)/360))</f>
        <v>#N/A</v>
      </c>
      <c r="O58" s="182" t="e">
        <f>ABS(O$49/(HLOOKUP(O$48,'Compte Résultat Euro'!$C$4:$J$120,57,FALSE)/360))</f>
        <v>#N/A</v>
      </c>
      <c r="P58" s="182" t="e">
        <f>ABS(P$49/(HLOOKUP(P$48,'Compte Résultat Euro'!$C$4:$J$120,57,FALSE)/360))</f>
        <v>#N/A</v>
      </c>
      <c r="Q58" s="182" t="e">
        <f>ABS(Q$49/(HLOOKUP(Q$48,'Compte Résultat Euro'!$C$4:$J$120,57,FALSE)/360))</f>
        <v>#N/A</v>
      </c>
      <c r="R58" s="182" t="e">
        <f>ABS(R$49/(HLOOKUP(R$48,'Compte Résultat Euro'!$C$4:$J$120,57,FALSE)/360))</f>
        <v>#N/A</v>
      </c>
      <c r="S58" s="182" t="e">
        <f>ABS(S$49/(HLOOKUP(S$48,'Compte Résultat Euro'!$C$4:$J$120,57,FALSE)/360))</f>
        <v>#N/A</v>
      </c>
      <c r="T58" s="182" t="e">
        <f>ABS(T$49/(HLOOKUP(T$48,'Compte Résultat Euro'!$C$4:$J$120,57,FALSE)/360))</f>
        <v>#N/A</v>
      </c>
      <c r="U58" s="227"/>
      <c r="V58" s="204"/>
      <c r="X58" s="189" t="s">
        <v>36</v>
      </c>
      <c r="Y58" s="187"/>
      <c r="Z58" s="187"/>
      <c r="AA58" s="187"/>
      <c r="AB58" s="187"/>
      <c r="AC58" s="187"/>
      <c r="AD58" s="187"/>
      <c r="AE58" s="187"/>
      <c r="AF58" s="187"/>
      <c r="AG58" s="187"/>
    </row>
    <row r="59" spans="1:33" ht="16" x14ac:dyDescent="0.2">
      <c r="B59" s="52" t="s">
        <v>720</v>
      </c>
      <c r="C59" s="272">
        <v>2</v>
      </c>
      <c r="D59" s="272">
        <v>2</v>
      </c>
      <c r="E59" s="272"/>
      <c r="F59" s="272"/>
      <c r="G59" s="272"/>
      <c r="H59" s="272"/>
      <c r="I59" s="272"/>
      <c r="J59" s="272"/>
      <c r="K59" s="272"/>
      <c r="M59" s="296" t="s">
        <v>608</v>
      </c>
      <c r="N59" s="182" t="e">
        <f>ABS(N$21/E$22)</f>
        <v>#N/A</v>
      </c>
      <c r="O59" s="182" t="e">
        <f t="shared" ref="O59:T59" si="16">ABS(O$21/F$22)</f>
        <v>#N/A</v>
      </c>
      <c r="P59" s="182" t="e">
        <f t="shared" si="16"/>
        <v>#N/A</v>
      </c>
      <c r="Q59" s="182" t="e">
        <f t="shared" si="16"/>
        <v>#N/A</v>
      </c>
      <c r="R59" s="182" t="e">
        <f t="shared" si="16"/>
        <v>#N/A</v>
      </c>
      <c r="S59" s="182" t="e">
        <f t="shared" si="16"/>
        <v>#N/A</v>
      </c>
      <c r="T59" s="182" t="e">
        <f t="shared" si="16"/>
        <v>#N/A</v>
      </c>
      <c r="U59" s="182" t="str">
        <f>IF(T$20&lt;2030,HLOOKUP(U$20,'Compte Résultat Euro'!$C$4:$J$10,3,FALSE),"")</f>
        <v/>
      </c>
      <c r="X59" s="189" t="s">
        <v>37</v>
      </c>
      <c r="Y59" s="189" t="s">
        <v>38</v>
      </c>
      <c r="Z59" s="189" t="s">
        <v>39</v>
      </c>
      <c r="AA59" s="189" t="s">
        <v>40</v>
      </c>
      <c r="AB59" s="189" t="s">
        <v>41</v>
      </c>
      <c r="AC59" s="189" t="s">
        <v>42</v>
      </c>
      <c r="AD59" s="187"/>
      <c r="AE59" s="187"/>
      <c r="AF59" s="187"/>
      <c r="AG59" s="187"/>
    </row>
    <row r="60" spans="1:33" ht="16" x14ac:dyDescent="0.2">
      <c r="B60" s="52" t="s">
        <v>721</v>
      </c>
      <c r="C60" s="272"/>
      <c r="D60" s="272">
        <v>1</v>
      </c>
      <c r="E60" s="272"/>
      <c r="F60" s="272"/>
      <c r="G60" s="272"/>
      <c r="H60" s="272"/>
      <c r="I60" s="272"/>
      <c r="J60" s="272"/>
      <c r="K60" s="272"/>
      <c r="M60" s="297" t="s">
        <v>611</v>
      </c>
      <c r="N60" s="182" t="e">
        <f>ABS(N49/(HLOOKUP(N$20,'Compte Résultat Euro'!$C$4:$J$120,58,FALSE)*1%))</f>
        <v>#N/A</v>
      </c>
      <c r="O60" s="182" t="e">
        <f>ABS(O49/(HLOOKUP(O$20,'Compte Résultat Euro'!$C$4:$J$120,58,FALSE)*1%))</f>
        <v>#N/A</v>
      </c>
      <c r="P60" s="182" t="e">
        <f>ABS(P49/(HLOOKUP(P$20,'Compte Résultat Euro'!$C$4:$J$120,58,FALSE)*1%))</f>
        <v>#N/A</v>
      </c>
      <c r="Q60" s="182" t="e">
        <f>ABS(Q49/(HLOOKUP(Q$20,'Compte Résultat Euro'!$C$4:$J$120,58,FALSE)*1%))</f>
        <v>#N/A</v>
      </c>
      <c r="R60" s="182" t="e">
        <f>ABS(R49/(HLOOKUP(R$20,'Compte Résultat Euro'!$C$4:$J$120,58,FALSE)*1%))</f>
        <v>#N/A</v>
      </c>
      <c r="S60" s="182" t="e">
        <f>ABS(S49/(HLOOKUP(S$20,'Compte Résultat Euro'!$C$4:$J$120,58,FALSE)*1%))</f>
        <v>#N/A</v>
      </c>
      <c r="T60" s="182" t="e">
        <f>ABS(T49/(HLOOKUP(T$20,'Compte Résultat Euro'!$C$4:$J$120,58,FALSE)*1%))</f>
        <v>#N/A</v>
      </c>
      <c r="U60" s="182" t="str">
        <f>IF(T$20&lt;2030,HLOOKUP(U$20,'Compte Résultat Euro'!$C$4:$J$10,3,FALSE),"")</f>
        <v/>
      </c>
      <c r="X60" s="187" t="s">
        <v>43</v>
      </c>
      <c r="Y60" s="187">
        <v>1</v>
      </c>
      <c r="Z60" s="187">
        <v>1</v>
      </c>
      <c r="AA60" s="187">
        <v>1</v>
      </c>
      <c r="AB60" s="187">
        <v>1</v>
      </c>
      <c r="AC60" s="187">
        <v>1</v>
      </c>
      <c r="AD60" s="187"/>
      <c r="AE60" s="187"/>
      <c r="AF60" s="187"/>
      <c r="AG60" s="187"/>
    </row>
    <row r="61" spans="1:33" ht="16" x14ac:dyDescent="0.2">
      <c r="B61" s="52" t="s">
        <v>57</v>
      </c>
      <c r="C61" s="272"/>
      <c r="D61" s="272">
        <v>2</v>
      </c>
      <c r="E61" s="272"/>
      <c r="F61" s="272"/>
      <c r="G61" s="272"/>
      <c r="H61" s="272"/>
      <c r="I61" s="272"/>
      <c r="J61" s="272"/>
      <c r="K61" s="272"/>
      <c r="X61" s="187" t="s">
        <v>44</v>
      </c>
      <c r="Y61" s="187">
        <v>0</v>
      </c>
      <c r="Z61" s="187">
        <v>0</v>
      </c>
      <c r="AA61" s="187">
        <v>0</v>
      </c>
      <c r="AB61" s="187">
        <v>1</v>
      </c>
      <c r="AC61" s="187">
        <v>1</v>
      </c>
      <c r="AD61" s="187"/>
      <c r="AE61" s="187"/>
      <c r="AF61" s="187"/>
      <c r="AG61" s="187"/>
    </row>
    <row r="62" spans="1:33" ht="16" x14ac:dyDescent="0.2">
      <c r="B62" s="52" t="s">
        <v>58</v>
      </c>
      <c r="C62" s="272"/>
      <c r="D62" s="272"/>
      <c r="E62" s="272"/>
      <c r="F62" s="272"/>
      <c r="G62" s="272"/>
      <c r="H62" s="272"/>
      <c r="I62" s="272"/>
      <c r="J62" s="272"/>
      <c r="K62" s="272"/>
      <c r="X62" s="187" t="s">
        <v>45</v>
      </c>
      <c r="Y62" s="187">
        <v>0</v>
      </c>
      <c r="Z62" s="187">
        <v>0.5</v>
      </c>
      <c r="AA62" s="187">
        <v>1</v>
      </c>
      <c r="AB62" s="187">
        <v>2</v>
      </c>
      <c r="AC62" s="187">
        <v>3</v>
      </c>
      <c r="AD62" s="187"/>
      <c r="AE62" s="187"/>
      <c r="AF62" s="187"/>
      <c r="AG62" s="187"/>
    </row>
    <row r="63" spans="1:33" ht="16" x14ac:dyDescent="0.2">
      <c r="B63" s="52" t="s">
        <v>723</v>
      </c>
      <c r="C63" s="272"/>
      <c r="D63" s="272">
        <v>4</v>
      </c>
      <c r="E63" s="272"/>
      <c r="F63" s="272"/>
      <c r="G63" s="272"/>
      <c r="H63" s="272"/>
      <c r="I63" s="272"/>
      <c r="J63" s="272"/>
      <c r="K63" s="272"/>
      <c r="X63" s="187" t="s">
        <v>46</v>
      </c>
      <c r="Y63" s="187">
        <v>0</v>
      </c>
      <c r="Z63" s="187">
        <v>0.5</v>
      </c>
      <c r="AA63" s="187">
        <v>1</v>
      </c>
      <c r="AB63" s="187">
        <v>1.5</v>
      </c>
      <c r="AC63" s="187">
        <v>2</v>
      </c>
      <c r="AD63" s="187"/>
      <c r="AE63" s="187"/>
      <c r="AF63" s="187"/>
      <c r="AG63" s="187"/>
    </row>
    <row r="64" spans="1:33" ht="16" x14ac:dyDescent="0.2">
      <c r="B64" s="52" t="s">
        <v>50</v>
      </c>
      <c r="C64" s="272"/>
      <c r="D64" s="272">
        <v>1</v>
      </c>
      <c r="E64" s="272"/>
      <c r="F64" s="272"/>
      <c r="G64" s="272"/>
      <c r="H64" s="272"/>
      <c r="I64" s="272"/>
      <c r="J64" s="272"/>
      <c r="K64" s="272"/>
      <c r="X64" s="187" t="s">
        <v>47</v>
      </c>
      <c r="Y64" s="187">
        <v>0.5</v>
      </c>
      <c r="Z64" s="187">
        <v>1</v>
      </c>
      <c r="AA64" s="187">
        <v>1.5</v>
      </c>
      <c r="AB64" s="187">
        <v>2</v>
      </c>
      <c r="AC64" s="187">
        <v>2.5</v>
      </c>
      <c r="AD64" s="187"/>
      <c r="AE64" s="187"/>
      <c r="AF64" s="187"/>
      <c r="AG64" s="187"/>
    </row>
    <row r="65" spans="2:33" ht="16" x14ac:dyDescent="0.2">
      <c r="B65" s="52" t="s">
        <v>46</v>
      </c>
      <c r="C65" s="272"/>
      <c r="D65" s="272">
        <v>2</v>
      </c>
      <c r="E65" s="272"/>
      <c r="F65" s="272"/>
      <c r="G65" s="272"/>
      <c r="H65" s="272"/>
      <c r="I65" s="272"/>
      <c r="J65" s="272"/>
      <c r="K65" s="272"/>
      <c r="X65" s="187"/>
      <c r="Y65" s="187"/>
      <c r="Z65" s="187"/>
      <c r="AA65" s="187"/>
      <c r="AB65" s="187"/>
      <c r="AC65" s="187"/>
      <c r="AD65" s="187"/>
      <c r="AE65" s="187"/>
      <c r="AF65" s="187"/>
      <c r="AG65" s="187"/>
    </row>
    <row r="66" spans="2:33" ht="16" x14ac:dyDescent="0.2">
      <c r="B66" s="52" t="s">
        <v>84</v>
      </c>
      <c r="C66" s="272"/>
      <c r="D66" s="272"/>
      <c r="E66" s="272"/>
      <c r="F66" s="272"/>
      <c r="G66" s="272"/>
      <c r="H66" s="272"/>
      <c r="I66" s="272"/>
      <c r="J66" s="272"/>
      <c r="K66" s="272"/>
      <c r="X66" s="187"/>
      <c r="Y66" s="187"/>
      <c r="Z66" s="187"/>
      <c r="AA66" s="187"/>
      <c r="AB66" s="187"/>
      <c r="AC66" s="187"/>
      <c r="AD66" s="187"/>
      <c r="AE66" s="187"/>
      <c r="AF66" s="187"/>
      <c r="AG66" s="187"/>
    </row>
    <row r="67" spans="2:33" ht="16" x14ac:dyDescent="0.2">
      <c r="B67" s="49" t="s">
        <v>623</v>
      </c>
      <c r="C67" s="54">
        <f>SUM(C68:C74)</f>
        <v>1</v>
      </c>
      <c r="D67" s="54">
        <f>SUM(D68:D74)</f>
        <v>6</v>
      </c>
      <c r="E67" s="54">
        <f t="shared" ref="E67:K67" si="17">SUM(E68:E74)</f>
        <v>0</v>
      </c>
      <c r="F67" s="54">
        <f t="shared" si="17"/>
        <v>0</v>
      </c>
      <c r="G67" s="54">
        <f t="shared" si="17"/>
        <v>0</v>
      </c>
      <c r="H67" s="54">
        <f t="shared" si="17"/>
        <v>0</v>
      </c>
      <c r="I67" s="54">
        <f t="shared" si="17"/>
        <v>0</v>
      </c>
      <c r="J67" s="54">
        <f t="shared" si="17"/>
        <v>0</v>
      </c>
      <c r="K67" s="54">
        <f t="shared" si="17"/>
        <v>0</v>
      </c>
      <c r="L67" s="212"/>
      <c r="V67" s="204"/>
      <c r="X67" s="187"/>
      <c r="Y67" s="187"/>
      <c r="Z67" s="187"/>
      <c r="AA67" s="187"/>
      <c r="AB67" s="187"/>
      <c r="AC67" s="187"/>
      <c r="AD67" s="187"/>
      <c r="AE67" s="187"/>
      <c r="AF67" s="187"/>
      <c r="AG67" s="187"/>
    </row>
    <row r="68" spans="2:33" ht="16" x14ac:dyDescent="0.2">
      <c r="B68" s="50" t="s">
        <v>722</v>
      </c>
      <c r="C68" s="272">
        <v>1</v>
      </c>
      <c r="D68" s="272">
        <v>2</v>
      </c>
      <c r="E68" s="272"/>
      <c r="F68" s="272"/>
      <c r="G68" s="272"/>
      <c r="H68" s="272"/>
      <c r="I68" s="272"/>
      <c r="J68" s="272"/>
      <c r="K68" s="272"/>
      <c r="X68" s="187"/>
      <c r="Y68" s="187"/>
      <c r="Z68" s="187"/>
      <c r="AA68" s="187"/>
      <c r="AB68" s="187"/>
      <c r="AC68" s="187"/>
      <c r="AD68" s="187"/>
      <c r="AE68" s="187"/>
      <c r="AF68" s="187"/>
      <c r="AG68" s="187"/>
    </row>
    <row r="69" spans="2:33" ht="16" x14ac:dyDescent="0.2">
      <c r="B69" s="50" t="s">
        <v>59</v>
      </c>
      <c r="C69" s="272"/>
      <c r="D69" s="272"/>
      <c r="E69" s="272"/>
      <c r="F69" s="272"/>
      <c r="G69" s="272"/>
      <c r="H69" s="272"/>
      <c r="I69" s="272"/>
      <c r="J69" s="272"/>
      <c r="K69" s="272"/>
      <c r="X69" s="187"/>
      <c r="Y69" s="187"/>
      <c r="Z69" s="187"/>
      <c r="AA69" s="187"/>
      <c r="AB69" s="187"/>
      <c r="AC69" s="187"/>
      <c r="AD69" s="187"/>
      <c r="AE69" s="187"/>
      <c r="AF69" s="187"/>
      <c r="AG69" s="187"/>
    </row>
    <row r="70" spans="2:33" ht="19" x14ac:dyDescent="0.25">
      <c r="B70" s="50" t="s">
        <v>52</v>
      </c>
      <c r="C70" s="272"/>
      <c r="D70" s="272"/>
      <c r="E70" s="272"/>
      <c r="F70" s="272"/>
      <c r="G70" s="272"/>
      <c r="H70" s="272"/>
      <c r="I70" s="272"/>
      <c r="J70" s="272"/>
      <c r="K70" s="272"/>
      <c r="M70" s="223" t="s">
        <v>633</v>
      </c>
      <c r="P70" s="226"/>
      <c r="Q70" s="226"/>
      <c r="R70" s="227"/>
      <c r="S70" s="227"/>
      <c r="T70" s="227"/>
      <c r="U70" s="227"/>
      <c r="X70" s="187"/>
      <c r="Y70" s="187"/>
      <c r="Z70" s="187"/>
      <c r="AA70" s="187"/>
      <c r="AB70" s="187"/>
      <c r="AC70" s="187"/>
      <c r="AD70" s="187"/>
      <c r="AE70" s="187"/>
      <c r="AF70" s="187"/>
      <c r="AG70" s="187"/>
    </row>
    <row r="71" spans="2:33" ht="19" x14ac:dyDescent="0.25">
      <c r="B71" s="50" t="s">
        <v>53</v>
      </c>
      <c r="C71" s="272"/>
      <c r="D71" s="272">
        <v>1</v>
      </c>
      <c r="E71" s="272"/>
      <c r="F71" s="272"/>
      <c r="G71" s="272"/>
      <c r="H71" s="272"/>
      <c r="I71" s="272"/>
      <c r="J71" s="272"/>
      <c r="K71" s="272"/>
      <c r="M71" s="223"/>
      <c r="N71" s="226"/>
      <c r="O71" s="226"/>
      <c r="P71" s="226"/>
      <c r="Q71" s="226"/>
      <c r="R71" s="227"/>
      <c r="S71" s="227"/>
      <c r="T71" s="227"/>
      <c r="U71" s="227"/>
      <c r="X71" s="187"/>
      <c r="Y71" s="187"/>
      <c r="Z71" s="187"/>
      <c r="AA71" s="187"/>
      <c r="AB71" s="187"/>
      <c r="AC71" s="187"/>
      <c r="AD71" s="187"/>
      <c r="AE71" s="187"/>
      <c r="AF71" s="187"/>
      <c r="AG71" s="187"/>
    </row>
    <row r="72" spans="2:33" ht="16" x14ac:dyDescent="0.2">
      <c r="B72" s="50" t="s">
        <v>46</v>
      </c>
      <c r="C72" s="272"/>
      <c r="D72" s="272">
        <v>1</v>
      </c>
      <c r="E72" s="272"/>
      <c r="F72" s="272"/>
      <c r="G72" s="272"/>
      <c r="H72" s="272"/>
      <c r="I72" s="272"/>
      <c r="J72" s="272"/>
      <c r="K72" s="272"/>
      <c r="M72" s="182"/>
      <c r="N72" s="182"/>
      <c r="O72" s="182"/>
      <c r="P72" s="182"/>
      <c r="Q72" s="182"/>
      <c r="R72" s="199"/>
      <c r="S72" s="199"/>
      <c r="T72" s="199"/>
      <c r="U72" s="199"/>
      <c r="X72" s="187"/>
      <c r="Y72" s="187"/>
      <c r="Z72" s="187"/>
      <c r="AA72" s="187"/>
      <c r="AB72" s="187"/>
      <c r="AC72" s="187"/>
      <c r="AD72" s="187"/>
      <c r="AE72" s="187"/>
      <c r="AF72" s="187"/>
      <c r="AG72" s="187"/>
    </row>
    <row r="73" spans="2:33" ht="16" x14ac:dyDescent="0.2">
      <c r="B73" s="50" t="s">
        <v>47</v>
      </c>
      <c r="C73" s="272"/>
      <c r="D73" s="272"/>
      <c r="E73" s="272"/>
      <c r="F73" s="272"/>
      <c r="G73" s="272"/>
      <c r="H73" s="272"/>
      <c r="I73" s="272"/>
      <c r="J73" s="272"/>
      <c r="K73" s="272"/>
      <c r="M73" s="310" t="s">
        <v>641</v>
      </c>
      <c r="N73" s="277" t="str">
        <f>C$12</f>
        <v>2023/2024</v>
      </c>
      <c r="O73" s="277" t="str">
        <f t="shared" ref="O73:U73" si="18">D$12</f>
        <v>2024/2025</v>
      </c>
      <c r="P73" s="277" t="str">
        <f t="shared" si="18"/>
        <v>2025/2026</v>
      </c>
      <c r="Q73" s="277" t="str">
        <f t="shared" si="18"/>
        <v>2026/2027</v>
      </c>
      <c r="R73" s="277" t="str">
        <f t="shared" si="18"/>
        <v>2027/2028</v>
      </c>
      <c r="S73" s="277" t="str">
        <f t="shared" si="18"/>
        <v>2028/2029</v>
      </c>
      <c r="T73" s="277" t="str">
        <f t="shared" si="18"/>
        <v>2029/2030</v>
      </c>
      <c r="U73" s="277" t="str">
        <f t="shared" si="18"/>
        <v>2030/2031</v>
      </c>
      <c r="X73" s="187"/>
      <c r="Y73" s="187"/>
      <c r="Z73" s="187"/>
      <c r="AA73" s="187"/>
      <c r="AB73" s="187"/>
      <c r="AC73" s="187"/>
      <c r="AD73" s="187"/>
      <c r="AE73" s="187"/>
      <c r="AF73" s="187"/>
      <c r="AG73" s="187"/>
    </row>
    <row r="74" spans="2:33" ht="16" x14ac:dyDescent="0.2">
      <c r="B74" s="50" t="s">
        <v>85</v>
      </c>
      <c r="C74" s="272"/>
      <c r="D74" s="272">
        <v>2</v>
      </c>
      <c r="E74" s="272"/>
      <c r="F74" s="272"/>
      <c r="G74" s="272"/>
      <c r="H74" s="272"/>
      <c r="I74" s="272"/>
      <c r="J74" s="272"/>
      <c r="K74" s="272"/>
      <c r="M74" s="278" t="s">
        <v>636</v>
      </c>
      <c r="N74" s="301" t="e">
        <f>N76+N78+N80+N82</f>
        <v>#N/A</v>
      </c>
      <c r="O74" s="301" t="e">
        <f t="shared" ref="O74:U74" si="19">O76+O78+O80+O82</f>
        <v>#N/A</v>
      </c>
      <c r="P74" s="301" t="e">
        <f t="shared" si="19"/>
        <v>#N/A</v>
      </c>
      <c r="Q74" s="301" t="e">
        <f t="shared" si="19"/>
        <v>#N/A</v>
      </c>
      <c r="R74" s="301" t="e">
        <f t="shared" si="19"/>
        <v>#N/A</v>
      </c>
      <c r="S74" s="301" t="e">
        <f t="shared" si="19"/>
        <v>#N/A</v>
      </c>
      <c r="T74" s="301" t="e">
        <f t="shared" si="19"/>
        <v>#N/A</v>
      </c>
      <c r="U74" s="301" t="e">
        <f t="shared" si="19"/>
        <v>#N/A</v>
      </c>
      <c r="X74" s="187"/>
      <c r="Y74" s="187"/>
      <c r="Z74" s="187"/>
      <c r="AA74" s="187"/>
      <c r="AB74" s="187"/>
      <c r="AC74" s="187"/>
      <c r="AD74" s="187"/>
      <c r="AE74" s="187"/>
      <c r="AF74" s="187"/>
      <c r="AG74" s="187"/>
    </row>
    <row r="75" spans="2:33" ht="16" x14ac:dyDescent="0.2">
      <c r="B75" s="144" t="s">
        <v>622</v>
      </c>
      <c r="C75" s="54">
        <f>SUM(C76:C83)</f>
        <v>20</v>
      </c>
      <c r="D75" s="54">
        <f>SUM(D76:D83)</f>
        <v>21</v>
      </c>
      <c r="E75" s="54">
        <f t="shared" ref="E75:K75" si="20">SUM(E76:E83)</f>
        <v>21</v>
      </c>
      <c r="F75" s="54">
        <f t="shared" si="20"/>
        <v>21</v>
      </c>
      <c r="G75" s="54">
        <f t="shared" si="20"/>
        <v>21</v>
      </c>
      <c r="H75" s="54">
        <f t="shared" si="20"/>
        <v>21</v>
      </c>
      <c r="I75" s="54">
        <f t="shared" si="20"/>
        <v>21</v>
      </c>
      <c r="J75" s="54">
        <f t="shared" si="20"/>
        <v>21</v>
      </c>
      <c r="K75" s="54">
        <f t="shared" si="20"/>
        <v>21</v>
      </c>
      <c r="L75" s="212"/>
      <c r="M75" s="278" t="s">
        <v>637</v>
      </c>
      <c r="N75" s="301">
        <f>N77+N79+N81+N83</f>
        <v>0</v>
      </c>
      <c r="O75" s="301">
        <f t="shared" ref="O75:U75" si="21">O77+O79+O81+O83</f>
        <v>3.25</v>
      </c>
      <c r="P75" s="301">
        <f t="shared" si="21"/>
        <v>0</v>
      </c>
      <c r="Q75" s="301">
        <f t="shared" si="21"/>
        <v>0</v>
      </c>
      <c r="R75" s="301">
        <f t="shared" si="21"/>
        <v>0</v>
      </c>
      <c r="S75" s="301">
        <f t="shared" si="21"/>
        <v>0</v>
      </c>
      <c r="T75" s="301">
        <f t="shared" si="21"/>
        <v>0</v>
      </c>
      <c r="U75" s="301">
        <f t="shared" si="21"/>
        <v>0</v>
      </c>
      <c r="V75" s="204"/>
      <c r="X75" s="187"/>
      <c r="Y75" s="187"/>
      <c r="Z75" s="187"/>
      <c r="AA75" s="187"/>
      <c r="AB75" s="187"/>
      <c r="AC75" s="187"/>
      <c r="AD75" s="187"/>
      <c r="AE75" s="187"/>
      <c r="AF75" s="187"/>
      <c r="AG75" s="187"/>
    </row>
    <row r="76" spans="2:33" ht="16" x14ac:dyDescent="0.2">
      <c r="B76" s="145" t="s">
        <v>719</v>
      </c>
      <c r="C76" s="272">
        <v>1</v>
      </c>
      <c r="D76" s="272">
        <v>1</v>
      </c>
      <c r="E76" s="272">
        <f>D76</f>
        <v>1</v>
      </c>
      <c r="F76" s="272">
        <f t="shared" ref="F76:K76" si="22">E76</f>
        <v>1</v>
      </c>
      <c r="G76" s="272">
        <f t="shared" si="22"/>
        <v>1</v>
      </c>
      <c r="H76" s="272">
        <f t="shared" si="22"/>
        <v>1</v>
      </c>
      <c r="I76" s="272">
        <f t="shared" si="22"/>
        <v>1</v>
      </c>
      <c r="J76" s="272">
        <f t="shared" si="22"/>
        <v>1</v>
      </c>
      <c r="K76" s="272">
        <f t="shared" si="22"/>
        <v>1</v>
      </c>
      <c r="M76" s="280" t="s">
        <v>640</v>
      </c>
      <c r="N76" s="302" t="e">
        <f>HLOOKUP(N$73,'Calcul MS Personnels'!$C$38:$K$60,2,FALSE)</f>
        <v>#N/A</v>
      </c>
      <c r="O76" s="302" t="e">
        <f>SUM('Calcul MS Personnels'!D42:D65)</f>
        <v>#N/A</v>
      </c>
      <c r="P76" s="302" t="e">
        <f>SUM('Calcul MS Personnels'!E42:E65)</f>
        <v>#N/A</v>
      </c>
      <c r="Q76" s="302" t="e">
        <f>SUM('Calcul MS Personnels'!F42:F65)</f>
        <v>#N/A</v>
      </c>
      <c r="R76" s="302" t="e">
        <f>SUM('Calcul MS Personnels'!G42:G65)</f>
        <v>#N/A</v>
      </c>
      <c r="S76" s="302" t="e">
        <f>SUM('Calcul MS Personnels'!H42:H65)</f>
        <v>#N/A</v>
      </c>
      <c r="T76" s="302" t="e">
        <f>SUM('Calcul MS Personnels'!I42:I65)</f>
        <v>#N/A</v>
      </c>
      <c r="U76" s="302" t="e">
        <f>SUM('Calcul MS Personnels'!J42:J65)</f>
        <v>#N/A</v>
      </c>
      <c r="X76" s="187"/>
      <c r="Y76" s="187"/>
      <c r="Z76" s="187"/>
      <c r="AA76" s="187"/>
      <c r="AB76" s="187"/>
      <c r="AC76" s="187"/>
      <c r="AD76" s="187"/>
      <c r="AE76" s="187"/>
      <c r="AF76" s="187"/>
      <c r="AG76" s="187"/>
    </row>
    <row r="77" spans="2:33" ht="16" x14ac:dyDescent="0.2">
      <c r="B77" s="145" t="s">
        <v>65</v>
      </c>
      <c r="C77" s="272">
        <v>1</v>
      </c>
      <c r="D77" s="272">
        <v>1</v>
      </c>
      <c r="E77" s="272">
        <f t="shared" ref="E77:K83" si="23">D77</f>
        <v>1</v>
      </c>
      <c r="F77" s="272">
        <f t="shared" si="23"/>
        <v>1</v>
      </c>
      <c r="G77" s="272">
        <f t="shared" si="23"/>
        <v>1</v>
      </c>
      <c r="H77" s="272">
        <f t="shared" si="23"/>
        <v>1</v>
      </c>
      <c r="I77" s="272">
        <f t="shared" si="23"/>
        <v>1</v>
      </c>
      <c r="J77" s="272">
        <f t="shared" si="23"/>
        <v>1</v>
      </c>
      <c r="K77" s="272">
        <f t="shared" si="23"/>
        <v>1</v>
      </c>
      <c r="M77" s="282" t="s">
        <v>638</v>
      </c>
      <c r="N77" s="303">
        <f>HLOOKUP(N$73,'Calcul MS Personnels'!$C$38:$K$60,23,FALSE)</f>
        <v>0</v>
      </c>
      <c r="O77" s="303">
        <f>SUM('Calcul MS Personnels'!D62:D64)</f>
        <v>1.95</v>
      </c>
      <c r="P77" s="303">
        <f>SUM('Calcul MS Personnels'!E62:E64)</f>
        <v>0</v>
      </c>
      <c r="Q77" s="303">
        <f>SUM('Calcul MS Personnels'!F62:F64)</f>
        <v>0</v>
      </c>
      <c r="R77" s="303">
        <f>SUM('Calcul MS Personnels'!G62:G64)</f>
        <v>0</v>
      </c>
      <c r="S77" s="303">
        <f>SUM('Calcul MS Personnels'!H62:H64)</f>
        <v>0</v>
      </c>
      <c r="T77" s="303">
        <f>SUM('Calcul MS Personnels'!I62:I64)</f>
        <v>0</v>
      </c>
      <c r="U77" s="303">
        <f>SUM('Calcul MS Personnels'!J62:J64)</f>
        <v>0</v>
      </c>
      <c r="X77" s="187"/>
      <c r="Y77" s="187"/>
      <c r="Z77" s="187"/>
      <c r="AA77" s="187"/>
      <c r="AB77" s="187"/>
      <c r="AC77" s="187"/>
      <c r="AD77" s="187"/>
      <c r="AE77" s="187"/>
      <c r="AF77" s="187"/>
      <c r="AG77" s="187"/>
    </row>
    <row r="78" spans="2:33" ht="16" x14ac:dyDescent="0.2">
      <c r="B78" s="145" t="s">
        <v>53</v>
      </c>
      <c r="C78" s="272">
        <v>11</v>
      </c>
      <c r="D78" s="272">
        <v>14</v>
      </c>
      <c r="E78" s="272">
        <f t="shared" si="23"/>
        <v>14</v>
      </c>
      <c r="F78" s="272">
        <f t="shared" si="23"/>
        <v>14</v>
      </c>
      <c r="G78" s="272">
        <f t="shared" si="23"/>
        <v>14</v>
      </c>
      <c r="H78" s="272">
        <f t="shared" si="23"/>
        <v>14</v>
      </c>
      <c r="I78" s="272">
        <f t="shared" si="23"/>
        <v>14</v>
      </c>
      <c r="J78" s="272">
        <f t="shared" si="23"/>
        <v>14</v>
      </c>
      <c r="K78" s="272">
        <f t="shared" si="23"/>
        <v>14</v>
      </c>
      <c r="M78" s="284" t="s">
        <v>634</v>
      </c>
      <c r="N78" s="304" t="e">
        <f>HLOOKUP(N$73,'Calcul MS Personnels'!$C$90:$K$112,2,FALSE)</f>
        <v>#N/A</v>
      </c>
      <c r="O78" s="304" t="e">
        <f>HLOOKUP(O$73,'Calcul MS Personnels'!$C$90:$K$112,2,FALSE)</f>
        <v>#N/A</v>
      </c>
      <c r="P78" s="304" t="e">
        <f>HLOOKUP(P$73,'Calcul MS Personnels'!$C$90:$K$112,2,FALSE)</f>
        <v>#N/A</v>
      </c>
      <c r="Q78" s="304" t="e">
        <f>HLOOKUP(Q$73,'Calcul MS Personnels'!$C$90:$K$112,2,FALSE)</f>
        <v>#N/A</v>
      </c>
      <c r="R78" s="304" t="e">
        <f>HLOOKUP(R$73,'Calcul MS Personnels'!$C$90:$K$112,2,FALSE)</f>
        <v>#N/A</v>
      </c>
      <c r="S78" s="304" t="e">
        <f>HLOOKUP(S$73,'Calcul MS Personnels'!$C$90:$K$112,2,FALSE)</f>
        <v>#N/A</v>
      </c>
      <c r="T78" s="304" t="e">
        <f>HLOOKUP(T$73,'Calcul MS Personnels'!$C$90:$K$112,2,FALSE)</f>
        <v>#N/A</v>
      </c>
      <c r="U78" s="304" t="e">
        <f>HLOOKUP(U$73,'Calcul MS Personnels'!$C$90:$K$112,2,FALSE)</f>
        <v>#N/A</v>
      </c>
      <c r="X78" s="187"/>
      <c r="Y78" s="187"/>
      <c r="Z78" s="187"/>
      <c r="AA78" s="187"/>
      <c r="AB78" s="187"/>
      <c r="AC78" s="187"/>
      <c r="AD78" s="187"/>
      <c r="AE78" s="187"/>
      <c r="AF78" s="187"/>
      <c r="AG78" s="187"/>
    </row>
    <row r="79" spans="2:33" ht="16" x14ac:dyDescent="0.2">
      <c r="B79" s="145" t="s">
        <v>46</v>
      </c>
      <c r="C79" s="272">
        <v>1</v>
      </c>
      <c r="D79" s="272">
        <v>2</v>
      </c>
      <c r="E79" s="272">
        <f t="shared" si="23"/>
        <v>2</v>
      </c>
      <c r="F79" s="272">
        <f t="shared" si="23"/>
        <v>2</v>
      </c>
      <c r="G79" s="272">
        <f t="shared" si="23"/>
        <v>2</v>
      </c>
      <c r="H79" s="272">
        <f t="shared" si="23"/>
        <v>2</v>
      </c>
      <c r="I79" s="272">
        <f t="shared" si="23"/>
        <v>2</v>
      </c>
      <c r="J79" s="272">
        <f t="shared" si="23"/>
        <v>2</v>
      </c>
      <c r="K79" s="272">
        <f t="shared" si="23"/>
        <v>2</v>
      </c>
      <c r="M79" s="286" t="s">
        <v>638</v>
      </c>
      <c r="N79" s="305">
        <f>HLOOKUP(N$73,'Calcul MS Personnels'!$C$90:$K$112,23,FALSE)</f>
        <v>0</v>
      </c>
      <c r="O79" s="305">
        <f>HLOOKUP(O$73,'Calcul MS Personnels'!$C$90:$K$112,23,FALSE)</f>
        <v>1.3</v>
      </c>
      <c r="P79" s="305">
        <f>HLOOKUP(P$73,'Calcul MS Personnels'!$C$90:$K$112,23,FALSE)</f>
        <v>0</v>
      </c>
      <c r="Q79" s="305">
        <f>HLOOKUP(Q$73,'Calcul MS Personnels'!$C$90:$K$112,23,FALSE)</f>
        <v>0</v>
      </c>
      <c r="R79" s="305">
        <f>HLOOKUP(R$73,'Calcul MS Personnels'!$C$90:$K$112,23,FALSE)</f>
        <v>0</v>
      </c>
      <c r="S79" s="305">
        <f>HLOOKUP(S$73,'Calcul MS Personnels'!$C$90:$K$112,23,FALSE)</f>
        <v>0</v>
      </c>
      <c r="T79" s="305">
        <f>HLOOKUP(T$73,'Calcul MS Personnels'!$C$90:$K$112,23,FALSE)</f>
        <v>0</v>
      </c>
      <c r="U79" s="305">
        <f>HLOOKUP(U$73,'Calcul MS Personnels'!$C$90:$K$112,23,FALSE)</f>
        <v>0</v>
      </c>
      <c r="X79" s="187"/>
      <c r="Y79" s="187"/>
      <c r="Z79" s="187"/>
      <c r="AA79" s="187"/>
      <c r="AB79" s="187"/>
      <c r="AC79" s="187"/>
      <c r="AD79" s="187"/>
      <c r="AE79" s="187"/>
      <c r="AF79" s="187"/>
      <c r="AG79" s="187"/>
    </row>
    <row r="80" spans="2:33" ht="16" x14ac:dyDescent="0.2">
      <c r="B80" s="145" t="s">
        <v>47</v>
      </c>
      <c r="C80" s="272">
        <v>1</v>
      </c>
      <c r="D80" s="272">
        <v>2</v>
      </c>
      <c r="E80" s="272">
        <f t="shared" si="23"/>
        <v>2</v>
      </c>
      <c r="F80" s="272">
        <f t="shared" si="23"/>
        <v>2</v>
      </c>
      <c r="G80" s="272">
        <f t="shared" si="23"/>
        <v>2</v>
      </c>
      <c r="H80" s="272">
        <f t="shared" si="23"/>
        <v>2</v>
      </c>
      <c r="I80" s="272">
        <f t="shared" si="23"/>
        <v>2</v>
      </c>
      <c r="J80" s="272">
        <f t="shared" si="23"/>
        <v>2</v>
      </c>
      <c r="K80" s="272">
        <f t="shared" si="23"/>
        <v>2</v>
      </c>
      <c r="M80" s="288" t="s">
        <v>639</v>
      </c>
      <c r="N80" s="306" t="e">
        <f>HLOOKUP(N$73,'Calcul MS Personnels'!$C$142:$K$165,2,FALSE)</f>
        <v>#N/A</v>
      </c>
      <c r="O80" s="306" t="e">
        <f>HLOOKUP(O$73,'Calcul MS Personnels'!$C$142:$K$165,2,FALSE)</f>
        <v>#N/A</v>
      </c>
      <c r="P80" s="306" t="e">
        <f>HLOOKUP(P$73,'Calcul MS Personnels'!$C$142:$K$165,2,FALSE)</f>
        <v>#N/A</v>
      </c>
      <c r="Q80" s="306" t="e">
        <f>HLOOKUP(Q$73,'Calcul MS Personnels'!$C$142:$K$165,2,FALSE)</f>
        <v>#N/A</v>
      </c>
      <c r="R80" s="306" t="e">
        <f>HLOOKUP(R$73,'Calcul MS Personnels'!$C$142:$K$165,2,FALSE)</f>
        <v>#N/A</v>
      </c>
      <c r="S80" s="306" t="e">
        <f>HLOOKUP(S$73,'Calcul MS Personnels'!$C$142:$K$165,2,FALSE)</f>
        <v>#N/A</v>
      </c>
      <c r="T80" s="306" t="e">
        <f>HLOOKUP(T$73,'Calcul MS Personnels'!$C$142:$K$165,2,FALSE)</f>
        <v>#N/A</v>
      </c>
      <c r="U80" s="306" t="e">
        <f>HLOOKUP(U$73,'Calcul MS Personnels'!$C$142:$K$165,2,FALSE)</f>
        <v>#N/A</v>
      </c>
      <c r="X80" s="187"/>
      <c r="Y80" s="187"/>
      <c r="Z80" s="187"/>
      <c r="AA80" s="187"/>
      <c r="AB80" s="187"/>
      <c r="AC80" s="187"/>
      <c r="AD80" s="187"/>
      <c r="AE80" s="187"/>
      <c r="AF80" s="187"/>
      <c r="AG80" s="187"/>
    </row>
    <row r="81" spans="2:33" ht="16" x14ac:dyDescent="0.2">
      <c r="B81" s="145" t="s">
        <v>55</v>
      </c>
      <c r="C81" s="272">
        <v>2</v>
      </c>
      <c r="D81" s="272">
        <v>1</v>
      </c>
      <c r="E81" s="272">
        <f t="shared" si="23"/>
        <v>1</v>
      </c>
      <c r="F81" s="272">
        <f t="shared" si="23"/>
        <v>1</v>
      </c>
      <c r="G81" s="272">
        <f t="shared" si="23"/>
        <v>1</v>
      </c>
      <c r="H81" s="272">
        <f t="shared" si="23"/>
        <v>1</v>
      </c>
      <c r="I81" s="272">
        <f t="shared" si="23"/>
        <v>1</v>
      </c>
      <c r="J81" s="272">
        <f t="shared" si="23"/>
        <v>1</v>
      </c>
      <c r="K81" s="272">
        <f t="shared" si="23"/>
        <v>1</v>
      </c>
      <c r="M81" s="290" t="s">
        <v>638</v>
      </c>
      <c r="N81" s="307">
        <f>HLOOKUP(N$73,'Calcul MS Personnels'!$C$142:$K$165,24,FALSE)</f>
        <v>0</v>
      </c>
      <c r="O81" s="307">
        <f>HLOOKUP(O$73,'Calcul MS Personnels'!$C$142:$K$165,24,FALSE)</f>
        <v>0</v>
      </c>
      <c r="P81" s="307">
        <f>HLOOKUP(P$73,'Calcul MS Personnels'!$C$142:$K$165,24,FALSE)</f>
        <v>0</v>
      </c>
      <c r="Q81" s="307">
        <f>HLOOKUP(Q$73,'Calcul MS Personnels'!$C$142:$K$165,24,FALSE)</f>
        <v>0</v>
      </c>
      <c r="R81" s="307">
        <f>HLOOKUP(R$73,'Calcul MS Personnels'!$C$142:$K$165,24,FALSE)</f>
        <v>0</v>
      </c>
      <c r="S81" s="307">
        <f>HLOOKUP(S$73,'Calcul MS Personnels'!$C$142:$K$165,24,FALSE)</f>
        <v>0</v>
      </c>
      <c r="T81" s="307">
        <f>HLOOKUP(T$73,'Calcul MS Personnels'!$C$142:$K$165,24,FALSE)</f>
        <v>0</v>
      </c>
      <c r="U81" s="307">
        <f>HLOOKUP(U$73,'Calcul MS Personnels'!$C$142:$K$165,24,FALSE)</f>
        <v>0</v>
      </c>
      <c r="X81" s="187"/>
      <c r="Y81" s="187"/>
      <c r="Z81" s="187"/>
      <c r="AA81" s="187"/>
      <c r="AB81" s="187"/>
      <c r="AC81" s="187"/>
      <c r="AD81" s="187"/>
      <c r="AE81" s="187"/>
      <c r="AF81" s="187"/>
      <c r="AG81" s="187"/>
    </row>
    <row r="82" spans="2:33" ht="16" x14ac:dyDescent="0.2">
      <c r="B82" s="145" t="s">
        <v>56</v>
      </c>
      <c r="C82" s="272">
        <v>1</v>
      </c>
      <c r="D82" s="272"/>
      <c r="E82" s="272">
        <f t="shared" si="23"/>
        <v>0</v>
      </c>
      <c r="F82" s="272">
        <f t="shared" si="23"/>
        <v>0</v>
      </c>
      <c r="G82" s="272">
        <f t="shared" si="23"/>
        <v>0</v>
      </c>
      <c r="H82" s="272">
        <f t="shared" si="23"/>
        <v>0</v>
      </c>
      <c r="I82" s="272">
        <f t="shared" si="23"/>
        <v>0</v>
      </c>
      <c r="J82" s="272">
        <f t="shared" si="23"/>
        <v>0</v>
      </c>
      <c r="K82" s="272">
        <f t="shared" si="23"/>
        <v>0</v>
      </c>
      <c r="M82" s="292" t="s">
        <v>635</v>
      </c>
      <c r="N82" s="308" t="e">
        <f>HLOOKUP(N$73,'Calcul MS Personnels'!$C$196:$K$219,2,FALSE)</f>
        <v>#N/A</v>
      </c>
      <c r="O82" s="308" t="e">
        <f>HLOOKUP(O$73,'Calcul MS Personnels'!$C$196:$K$219,2,FALSE)</f>
        <v>#N/A</v>
      </c>
      <c r="P82" s="308" t="e">
        <f>HLOOKUP(P$73,'Calcul MS Personnels'!$C$196:$K$219,2,FALSE)</f>
        <v>#N/A</v>
      </c>
      <c r="Q82" s="308" t="e">
        <f>HLOOKUP(Q$73,'Calcul MS Personnels'!$C$196:$K$219,2,FALSE)</f>
        <v>#N/A</v>
      </c>
      <c r="R82" s="308" t="e">
        <f>HLOOKUP(R$73,'Calcul MS Personnels'!$C$196:$K$219,2,FALSE)</f>
        <v>#N/A</v>
      </c>
      <c r="S82" s="308" t="e">
        <f>HLOOKUP(S$73,'Calcul MS Personnels'!$C$196:$K$219,2,FALSE)</f>
        <v>#N/A</v>
      </c>
      <c r="T82" s="308" t="e">
        <f>HLOOKUP(T$73,'Calcul MS Personnels'!$C$196:$K$219,2,FALSE)</f>
        <v>#N/A</v>
      </c>
      <c r="U82" s="308" t="e">
        <f>HLOOKUP(U$73,'Calcul MS Personnels'!$C$196:$K$219,2,FALSE)</f>
        <v>#N/A</v>
      </c>
      <c r="X82" s="187"/>
      <c r="Y82" s="187"/>
      <c r="Z82" s="187"/>
      <c r="AA82" s="187"/>
      <c r="AB82" s="187"/>
      <c r="AC82" s="187"/>
      <c r="AD82" s="187"/>
      <c r="AE82" s="187"/>
      <c r="AF82" s="187"/>
      <c r="AG82" s="187"/>
    </row>
    <row r="83" spans="2:33" ht="16" x14ac:dyDescent="0.2">
      <c r="B83" s="145" t="s">
        <v>86</v>
      </c>
      <c r="C83" s="272">
        <v>2</v>
      </c>
      <c r="D83" s="272"/>
      <c r="E83" s="272">
        <f t="shared" si="23"/>
        <v>0</v>
      </c>
      <c r="F83" s="272">
        <f t="shared" si="23"/>
        <v>0</v>
      </c>
      <c r="G83" s="272">
        <f t="shared" si="23"/>
        <v>0</v>
      </c>
      <c r="H83" s="272">
        <f t="shared" si="23"/>
        <v>0</v>
      </c>
      <c r="I83" s="272">
        <f t="shared" si="23"/>
        <v>0</v>
      </c>
      <c r="J83" s="272">
        <f t="shared" si="23"/>
        <v>0</v>
      </c>
      <c r="K83" s="272">
        <f t="shared" si="23"/>
        <v>0</v>
      </c>
      <c r="M83" s="294" t="s">
        <v>638</v>
      </c>
      <c r="N83" s="309">
        <f>HLOOKUP(N$73,'Calcul MS Personnels'!$C$196:$K$219,24,FALSE)</f>
        <v>0</v>
      </c>
      <c r="O83" s="309">
        <f>HLOOKUP(O$73,'Calcul MS Personnels'!$C$196:$K$219,24,FALSE)</f>
        <v>0</v>
      </c>
      <c r="P83" s="309">
        <f>HLOOKUP(P$73,'Calcul MS Personnels'!$C$196:$K$219,24,FALSE)</f>
        <v>0</v>
      </c>
      <c r="Q83" s="309">
        <f>HLOOKUP(Q$73,'Calcul MS Personnels'!$C$196:$K$219,24,FALSE)</f>
        <v>0</v>
      </c>
      <c r="R83" s="309">
        <f>HLOOKUP(R$73,'Calcul MS Personnels'!$C$196:$K$219,24,FALSE)</f>
        <v>0</v>
      </c>
      <c r="S83" s="309">
        <f>HLOOKUP(S$73,'Calcul MS Personnels'!$C$196:$K$219,24,FALSE)</f>
        <v>0</v>
      </c>
      <c r="T83" s="309">
        <f>HLOOKUP(T$73,'Calcul MS Personnels'!$C$196:$K$219,24,FALSE)</f>
        <v>0</v>
      </c>
      <c r="U83" s="309">
        <f>HLOOKUP(U$73,'Calcul MS Personnels'!$C$196:$K$219,24,FALSE)</f>
        <v>0</v>
      </c>
      <c r="X83" s="187"/>
      <c r="Y83" s="187"/>
      <c r="Z83" s="187"/>
      <c r="AA83" s="187"/>
      <c r="AB83" s="187"/>
      <c r="AC83" s="187"/>
      <c r="AD83" s="187"/>
      <c r="AE83" s="187"/>
      <c r="AF83" s="187"/>
      <c r="AG83" s="187"/>
    </row>
    <row r="84" spans="2:33" x14ac:dyDescent="0.2">
      <c r="X84" s="187"/>
      <c r="Y84" s="187"/>
      <c r="Z84" s="187"/>
      <c r="AA84" s="187"/>
      <c r="AB84" s="187"/>
      <c r="AC84" s="187"/>
      <c r="AD84" s="187"/>
      <c r="AE84" s="187"/>
      <c r="AF84" s="187"/>
      <c r="AG84" s="187"/>
    </row>
    <row r="85" spans="2:33" ht="16" hidden="1" x14ac:dyDescent="0.2">
      <c r="C85" s="200" t="str">
        <f>C57</f>
        <v>2023/2024</v>
      </c>
      <c r="D85" s="200" t="str">
        <f>D57</f>
        <v>2024/2025</v>
      </c>
    </row>
    <row r="86" spans="2:33" ht="16" hidden="1" x14ac:dyDescent="0.2">
      <c r="B86" s="142" t="s">
        <v>602</v>
      </c>
      <c r="C86" s="250">
        <v>0</v>
      </c>
      <c r="D86" s="250">
        <v>0</v>
      </c>
      <c r="E86" s="539" t="s">
        <v>668</v>
      </c>
      <c r="F86" s="539"/>
      <c r="G86" s="539"/>
      <c r="H86" s="539"/>
      <c r="I86" s="539"/>
      <c r="J86" s="539"/>
      <c r="K86" s="249"/>
      <c r="L86" s="213"/>
      <c r="M86" s="230"/>
      <c r="N86" s="230"/>
      <c r="O86" s="230"/>
      <c r="P86" s="230"/>
      <c r="Q86" s="230"/>
      <c r="R86" s="231"/>
      <c r="S86" s="231"/>
      <c r="T86" s="231"/>
      <c r="U86" s="231"/>
      <c r="V86" s="205"/>
      <c r="X86" s="190"/>
      <c r="Y86" s="187"/>
      <c r="Z86" s="187"/>
      <c r="AA86" s="187"/>
      <c r="AB86" s="187"/>
      <c r="AC86" s="187"/>
      <c r="AD86" s="187"/>
      <c r="AE86" s="187"/>
      <c r="AF86" s="187"/>
      <c r="AG86" s="187"/>
    </row>
    <row r="87" spans="2:33" ht="16" hidden="1" x14ac:dyDescent="0.2">
      <c r="B87" s="248" t="s">
        <v>600</v>
      </c>
      <c r="C87" s="250">
        <v>0</v>
      </c>
      <c r="D87" s="250">
        <v>0</v>
      </c>
      <c r="E87" s="539"/>
      <c r="F87" s="539"/>
      <c r="G87" s="539"/>
      <c r="H87" s="539"/>
      <c r="I87" s="539"/>
      <c r="J87" s="539"/>
      <c r="X87" s="187"/>
      <c r="Y87" s="187"/>
      <c r="Z87" s="187"/>
      <c r="AA87" s="187"/>
      <c r="AB87" s="187"/>
      <c r="AC87" s="187"/>
      <c r="AD87" s="187"/>
      <c r="AE87" s="187"/>
      <c r="AF87" s="187"/>
      <c r="AG87" s="187"/>
    </row>
    <row r="88" spans="2:33" ht="16" hidden="1" x14ac:dyDescent="0.2">
      <c r="B88" s="248" t="s">
        <v>601</v>
      </c>
      <c r="C88" s="250">
        <v>0</v>
      </c>
      <c r="D88" s="250">
        <v>0</v>
      </c>
      <c r="E88" s="539"/>
      <c r="F88" s="539"/>
      <c r="G88" s="539"/>
      <c r="H88" s="539"/>
      <c r="I88" s="539"/>
      <c r="J88" s="539"/>
      <c r="X88" s="187"/>
      <c r="Y88" s="187"/>
      <c r="Z88" s="187"/>
      <c r="AA88" s="187"/>
      <c r="AB88" s="187"/>
      <c r="AC88" s="187"/>
      <c r="AD88" s="187"/>
      <c r="AE88" s="187"/>
      <c r="AF88" s="187"/>
      <c r="AG88" s="187"/>
    </row>
    <row r="89" spans="2:33" ht="16" hidden="1" x14ac:dyDescent="0.2">
      <c r="B89" s="247"/>
      <c r="X89" s="187"/>
      <c r="Y89" s="187"/>
      <c r="Z89" s="187"/>
      <c r="AA89" s="187"/>
      <c r="AB89" s="187"/>
      <c r="AC89" s="187"/>
      <c r="AD89" s="187"/>
      <c r="AE89" s="187"/>
      <c r="AF89" s="187"/>
      <c r="AG89" s="187"/>
    </row>
    <row r="90" spans="2:33" ht="16" hidden="1" x14ac:dyDescent="0.2">
      <c r="C90" s="200" t="str">
        <f t="shared" ref="C90:K90" si="24">C48</f>
        <v>2023/2024</v>
      </c>
      <c r="D90" s="200" t="str">
        <f t="shared" si="24"/>
        <v>2024/2025</v>
      </c>
      <c r="E90" s="200" t="str">
        <f t="shared" si="24"/>
        <v>2025/2026</v>
      </c>
      <c r="F90" s="200" t="str">
        <f t="shared" si="24"/>
        <v>2026/2027</v>
      </c>
      <c r="G90" s="200" t="str">
        <f t="shared" si="24"/>
        <v>2027/2028</v>
      </c>
      <c r="H90" s="200" t="str">
        <f t="shared" si="24"/>
        <v>2028/2029</v>
      </c>
      <c r="I90" s="200" t="str">
        <f t="shared" si="24"/>
        <v>2029/2030</v>
      </c>
      <c r="J90" s="200" t="str">
        <f t="shared" si="24"/>
        <v>2030/2031</v>
      </c>
      <c r="K90" s="200" t="str">
        <f t="shared" si="24"/>
        <v>2031/2032</v>
      </c>
      <c r="L90" s="208"/>
      <c r="V90" s="202"/>
      <c r="X90" s="187"/>
      <c r="Y90" s="187"/>
      <c r="Z90" s="187"/>
      <c r="AA90" s="187"/>
      <c r="AB90" s="187"/>
      <c r="AC90" s="187"/>
      <c r="AD90" s="187"/>
      <c r="AE90" s="187"/>
      <c r="AF90" s="187"/>
      <c r="AG90" s="187"/>
    </row>
    <row r="91" spans="2:33" ht="16" hidden="1" x14ac:dyDescent="0.2">
      <c r="B91" s="61" t="s">
        <v>624</v>
      </c>
      <c r="C91" s="251"/>
      <c r="D91" s="251"/>
      <c r="E91" s="251"/>
      <c r="F91" s="251"/>
      <c r="G91" s="251"/>
      <c r="H91" s="251"/>
      <c r="I91" s="251"/>
      <c r="J91" s="251"/>
      <c r="K91" s="251"/>
      <c r="L91" s="214"/>
      <c r="V91" s="206"/>
      <c r="X91" s="187"/>
      <c r="Y91" s="187"/>
      <c r="Z91" s="187"/>
      <c r="AA91" s="187"/>
      <c r="AB91" s="187"/>
      <c r="AC91" s="187"/>
      <c r="AD91" s="187"/>
      <c r="AE91" s="187"/>
      <c r="AF91" s="187"/>
      <c r="AG91" s="187"/>
    </row>
    <row r="92" spans="2:33" ht="16" hidden="1" x14ac:dyDescent="0.2">
      <c r="B92" s="61" t="s">
        <v>625</v>
      </c>
      <c r="C92" s="251"/>
      <c r="D92" s="251"/>
      <c r="E92" s="251"/>
      <c r="F92" s="251"/>
      <c r="G92" s="251"/>
      <c r="H92" s="251"/>
      <c r="I92" s="251"/>
      <c r="J92" s="251"/>
      <c r="K92" s="251"/>
      <c r="L92" s="214"/>
      <c r="V92" s="206"/>
      <c r="X92" s="187"/>
      <c r="Y92" s="187"/>
      <c r="Z92" s="187"/>
      <c r="AA92" s="187"/>
      <c r="AB92" s="187"/>
      <c r="AC92" s="187"/>
      <c r="AD92" s="187"/>
      <c r="AE92" s="187"/>
      <c r="AF92" s="187"/>
      <c r="AG92" s="187"/>
    </row>
    <row r="93" spans="2:33" ht="16" hidden="1" x14ac:dyDescent="0.2">
      <c r="B93" s="61" t="s">
        <v>626</v>
      </c>
      <c r="C93" s="252"/>
      <c r="D93" s="252"/>
      <c r="E93" s="252"/>
      <c r="F93" s="252"/>
      <c r="G93" s="252"/>
      <c r="H93" s="252"/>
      <c r="I93" s="252"/>
      <c r="J93" s="252"/>
      <c r="K93" s="252"/>
      <c r="L93" s="215"/>
      <c r="V93" s="207"/>
      <c r="X93" s="187"/>
      <c r="Y93" s="187"/>
      <c r="Z93" s="187"/>
      <c r="AA93" s="187"/>
      <c r="AB93" s="187"/>
      <c r="AC93" s="187"/>
      <c r="AD93" s="187"/>
      <c r="AE93" s="187"/>
      <c r="AF93" s="187"/>
      <c r="AG93" s="187"/>
    </row>
    <row r="94" spans="2:33" ht="16" x14ac:dyDescent="0.2">
      <c r="B94" s="197" t="s">
        <v>560</v>
      </c>
      <c r="M94" s="230"/>
      <c r="N94" s="230"/>
      <c r="O94" s="230"/>
      <c r="P94" s="230"/>
      <c r="Q94" s="230"/>
      <c r="R94" s="231"/>
      <c r="S94" s="231"/>
      <c r="T94" s="231"/>
      <c r="U94" s="231"/>
      <c r="X94" s="187"/>
      <c r="Y94" s="187"/>
      <c r="Z94" s="187"/>
      <c r="AA94" s="187"/>
      <c r="AB94" s="187"/>
      <c r="AC94" s="187"/>
      <c r="AD94" s="187"/>
      <c r="AE94" s="187"/>
      <c r="AF94" s="187"/>
      <c r="AG94" s="187"/>
    </row>
    <row r="95" spans="2:33" ht="16" x14ac:dyDescent="0.2">
      <c r="B95" s="61" t="s">
        <v>672</v>
      </c>
      <c r="X95" s="187"/>
      <c r="Y95" s="187"/>
      <c r="Z95" s="187"/>
      <c r="AA95" s="187"/>
      <c r="AB95" s="187"/>
      <c r="AC95" s="187"/>
      <c r="AD95" s="187"/>
      <c r="AE95" s="187"/>
      <c r="AF95" s="187"/>
      <c r="AG95" s="187"/>
    </row>
    <row r="96" spans="2:33" ht="16" x14ac:dyDescent="0.2">
      <c r="B96" s="197" t="s">
        <v>673</v>
      </c>
      <c r="C96" s="195"/>
      <c r="D96" s="195"/>
      <c r="E96" s="195"/>
      <c r="F96" s="195"/>
      <c r="G96" s="195"/>
      <c r="H96" s="195"/>
      <c r="I96" s="195"/>
      <c r="J96" s="195"/>
      <c r="K96" s="195"/>
      <c r="L96" s="195"/>
      <c r="V96" s="195"/>
      <c r="X96" s="187"/>
      <c r="Y96" s="188"/>
      <c r="Z96" s="187"/>
      <c r="AA96" s="187"/>
      <c r="AB96" s="187"/>
      <c r="AC96" s="187"/>
      <c r="AD96" s="187"/>
      <c r="AE96" s="187"/>
      <c r="AF96" s="187"/>
      <c r="AG96" s="187"/>
    </row>
    <row r="97" spans="1:33" ht="16" x14ac:dyDescent="0.2">
      <c r="B97" s="197" t="s">
        <v>671</v>
      </c>
      <c r="C97" s="317" t="str">
        <f>C90</f>
        <v>2023/2024</v>
      </c>
      <c r="D97" s="317" t="str">
        <f>D12</f>
        <v>2024/2025</v>
      </c>
      <c r="E97" s="317" t="str">
        <f t="shared" ref="E97:K97" si="25">E12</f>
        <v>2025/2026</v>
      </c>
      <c r="F97" s="317" t="str">
        <f t="shared" si="25"/>
        <v>2026/2027</v>
      </c>
      <c r="G97" s="317" t="str">
        <f t="shared" si="25"/>
        <v>2027/2028</v>
      </c>
      <c r="H97" s="317" t="str">
        <f t="shared" si="25"/>
        <v>2028/2029</v>
      </c>
      <c r="I97" s="317" t="str">
        <f t="shared" si="25"/>
        <v>2029/2030</v>
      </c>
      <c r="J97" s="317" t="str">
        <f t="shared" si="25"/>
        <v>2030/2031</v>
      </c>
      <c r="K97" s="317" t="str">
        <f t="shared" si="25"/>
        <v>2031/2032</v>
      </c>
      <c r="L97" s="195"/>
      <c r="V97" s="195"/>
      <c r="X97" s="187"/>
      <c r="Y97" s="188"/>
      <c r="Z97" s="187"/>
      <c r="AA97" s="187"/>
      <c r="AB97" s="187"/>
      <c r="AC97" s="187"/>
      <c r="AD97" s="187"/>
      <c r="AE97" s="187"/>
      <c r="AF97" s="187"/>
      <c r="AG97" s="187"/>
    </row>
    <row r="98" spans="1:33" ht="16" x14ac:dyDescent="0.2">
      <c r="B98" s="92" t="s">
        <v>32</v>
      </c>
      <c r="C98" s="273">
        <v>1</v>
      </c>
      <c r="D98" s="273">
        <v>1</v>
      </c>
      <c r="E98" s="273">
        <f>D98</f>
        <v>1</v>
      </c>
      <c r="F98" s="273">
        <v>2</v>
      </c>
      <c r="G98" s="273">
        <f t="shared" ref="G98:K98" si="26">F98</f>
        <v>2</v>
      </c>
      <c r="H98" s="273">
        <f t="shared" si="26"/>
        <v>2</v>
      </c>
      <c r="I98" s="273">
        <f t="shared" si="26"/>
        <v>2</v>
      </c>
      <c r="J98" s="273">
        <f t="shared" si="26"/>
        <v>2</v>
      </c>
      <c r="K98" s="273">
        <f t="shared" si="26"/>
        <v>2</v>
      </c>
      <c r="L98" s="195"/>
      <c r="V98" s="195"/>
      <c r="X98" s="187"/>
      <c r="Y98" s="188"/>
      <c r="Z98" s="187"/>
      <c r="AA98" s="187"/>
      <c r="AB98" s="187"/>
      <c r="AC98" s="187"/>
      <c r="AD98" s="187"/>
      <c r="AE98" s="187"/>
      <c r="AF98" s="187"/>
      <c r="AG98" s="187"/>
    </row>
    <row r="99" spans="1:33" ht="16" x14ac:dyDescent="0.2">
      <c r="B99" s="92" t="s">
        <v>26</v>
      </c>
      <c r="C99" s="273">
        <v>1</v>
      </c>
      <c r="D99" s="273">
        <v>1</v>
      </c>
      <c r="E99" s="273">
        <f t="shared" ref="E99:K100" si="27">D99</f>
        <v>1</v>
      </c>
      <c r="F99" s="273">
        <f t="shared" si="27"/>
        <v>1</v>
      </c>
      <c r="G99" s="273">
        <f t="shared" si="27"/>
        <v>1</v>
      </c>
      <c r="H99" s="273">
        <f t="shared" si="27"/>
        <v>1</v>
      </c>
      <c r="I99" s="273">
        <f t="shared" si="27"/>
        <v>1</v>
      </c>
      <c r="J99" s="273">
        <f t="shared" si="27"/>
        <v>1</v>
      </c>
      <c r="K99" s="273">
        <f t="shared" si="27"/>
        <v>1</v>
      </c>
      <c r="L99" s="195"/>
      <c r="V99" s="195"/>
      <c r="X99" s="187"/>
      <c r="Y99" s="188"/>
      <c r="Z99" s="187"/>
      <c r="AA99" s="187"/>
      <c r="AB99" s="187"/>
      <c r="AC99" s="187"/>
      <c r="AD99" s="187"/>
      <c r="AE99" s="187"/>
      <c r="AF99" s="187"/>
      <c r="AG99" s="187"/>
    </row>
    <row r="100" spans="1:33" ht="16" x14ac:dyDescent="0.2">
      <c r="B100" s="92" t="s">
        <v>27</v>
      </c>
      <c r="C100" s="273">
        <v>1</v>
      </c>
      <c r="D100" s="273">
        <v>1</v>
      </c>
      <c r="E100" s="273">
        <f t="shared" si="27"/>
        <v>1</v>
      </c>
      <c r="F100" s="273">
        <f t="shared" si="27"/>
        <v>1</v>
      </c>
      <c r="G100" s="273">
        <f t="shared" si="27"/>
        <v>1</v>
      </c>
      <c r="H100" s="273">
        <f t="shared" si="27"/>
        <v>1</v>
      </c>
      <c r="I100" s="273">
        <f t="shared" si="27"/>
        <v>1</v>
      </c>
      <c r="J100" s="273">
        <f t="shared" si="27"/>
        <v>1</v>
      </c>
      <c r="K100" s="273">
        <f t="shared" si="27"/>
        <v>1</v>
      </c>
      <c r="L100" s="195"/>
      <c r="V100" s="195"/>
      <c r="X100" s="187"/>
      <c r="Y100" s="188"/>
      <c r="Z100" s="187"/>
      <c r="AA100" s="187"/>
      <c r="AB100" s="187"/>
      <c r="AC100" s="187"/>
      <c r="AD100" s="187"/>
      <c r="AE100" s="187"/>
      <c r="AF100" s="187"/>
      <c r="AG100" s="187"/>
    </row>
    <row r="101" spans="1:33" ht="16" x14ac:dyDescent="0.2">
      <c r="B101" s="61"/>
      <c r="C101" s="262"/>
      <c r="D101" s="262"/>
      <c r="E101" s="262"/>
      <c r="F101" s="262"/>
      <c r="G101" s="262"/>
      <c r="H101" s="262"/>
      <c r="I101" s="262"/>
      <c r="J101" s="262"/>
      <c r="K101" s="262"/>
      <c r="L101" s="209"/>
      <c r="V101" s="183"/>
      <c r="X101" s="187"/>
      <c r="Y101" s="187"/>
      <c r="Z101" s="187"/>
      <c r="AA101" s="187"/>
      <c r="AB101" s="187"/>
      <c r="AC101" s="187"/>
      <c r="AD101" s="187"/>
      <c r="AE101" s="187"/>
      <c r="AF101" s="187"/>
      <c r="AG101" s="187"/>
    </row>
    <row r="102" spans="1:33" ht="21" x14ac:dyDescent="0.25">
      <c r="A102" s="184" t="s">
        <v>559</v>
      </c>
      <c r="B102" s="184"/>
      <c r="C102" s="255"/>
      <c r="D102" s="255"/>
      <c r="E102" s="255"/>
      <c r="F102" s="255"/>
      <c r="G102" s="255"/>
      <c r="H102" s="255"/>
      <c r="I102" s="255"/>
      <c r="J102" s="255"/>
      <c r="K102" s="255"/>
      <c r="L102" s="196"/>
      <c r="V102" s="58"/>
      <c r="X102" s="187"/>
      <c r="Y102" s="187"/>
      <c r="Z102" s="187"/>
      <c r="AA102" s="187"/>
      <c r="AB102" s="187"/>
      <c r="AC102" s="187"/>
      <c r="AD102" s="187"/>
      <c r="AE102" s="187"/>
      <c r="AF102" s="187"/>
      <c r="AG102" s="187"/>
    </row>
    <row r="103" spans="1:33" s="84" customFormat="1" ht="21" x14ac:dyDescent="0.25">
      <c r="A103" s="58"/>
      <c r="B103" s="61" t="s">
        <v>627</v>
      </c>
      <c r="C103" s="254"/>
      <c r="D103" s="254"/>
      <c r="E103" s="254"/>
      <c r="F103" s="254"/>
      <c r="G103" s="254"/>
      <c r="H103" s="254"/>
      <c r="I103" s="254"/>
      <c r="J103" s="254"/>
      <c r="K103" s="254"/>
      <c r="L103" s="196"/>
      <c r="M103" s="224"/>
      <c r="N103" s="224"/>
      <c r="O103" s="224"/>
      <c r="P103" s="224"/>
      <c r="Q103" s="224"/>
      <c r="R103" s="225"/>
      <c r="S103" s="225"/>
      <c r="T103" s="225"/>
      <c r="U103" s="225"/>
      <c r="V103" s="58"/>
    </row>
    <row r="104" spans="1:33" ht="16" x14ac:dyDescent="0.2">
      <c r="B104" s="61" t="s">
        <v>628</v>
      </c>
      <c r="C104" s="46"/>
      <c r="X104" s="187"/>
      <c r="Y104" s="187"/>
      <c r="Z104" s="187"/>
      <c r="AA104" s="187"/>
      <c r="AB104" s="187"/>
      <c r="AC104" s="187"/>
      <c r="AD104" s="187"/>
      <c r="AE104" s="187"/>
      <c r="AF104" s="187"/>
      <c r="AG104" s="187"/>
    </row>
    <row r="105" spans="1:33" ht="18.75" customHeight="1" x14ac:dyDescent="0.25">
      <c r="D105" s="200">
        <f>D34</f>
        <v>2024</v>
      </c>
      <c r="E105" s="53"/>
      <c r="M105" s="232"/>
      <c r="N105" s="232"/>
      <c r="O105" s="232"/>
      <c r="P105" s="232"/>
      <c r="Q105" s="232"/>
      <c r="R105" s="233"/>
      <c r="S105" s="233"/>
      <c r="T105" s="233"/>
      <c r="U105" s="233"/>
      <c r="X105" s="187"/>
      <c r="Y105" s="187"/>
      <c r="Z105" s="187"/>
      <c r="AA105" s="187"/>
      <c r="AB105" s="187"/>
      <c r="AC105" s="187"/>
      <c r="AD105" s="187"/>
      <c r="AE105" s="187"/>
      <c r="AF105" s="187"/>
      <c r="AG105" s="187"/>
    </row>
    <row r="106" spans="1:33" ht="16" x14ac:dyDescent="0.2">
      <c r="B106" s="60" t="s">
        <v>720</v>
      </c>
      <c r="C106" s="263"/>
      <c r="D106" s="274"/>
      <c r="E106" s="264"/>
      <c r="F106" s="537"/>
      <c r="X106" s="187"/>
      <c r="Y106" s="187"/>
      <c r="Z106" s="187"/>
      <c r="AA106" s="187"/>
      <c r="AB106" s="187"/>
      <c r="AC106" s="187"/>
      <c r="AD106" s="187"/>
      <c r="AE106" s="187"/>
      <c r="AF106" s="187"/>
      <c r="AG106" s="187"/>
    </row>
    <row r="107" spans="1:33" ht="16" x14ac:dyDescent="0.2">
      <c r="B107" s="60" t="s">
        <v>719</v>
      </c>
      <c r="C107" s="263"/>
      <c r="D107" s="423"/>
      <c r="E107" s="264"/>
      <c r="F107" s="537"/>
      <c r="X107" s="187"/>
      <c r="Y107" s="187"/>
      <c r="Z107" s="187"/>
      <c r="AA107" s="187"/>
      <c r="AB107" s="187"/>
      <c r="AC107" s="187"/>
      <c r="AD107" s="187"/>
      <c r="AE107" s="187"/>
      <c r="AF107" s="187"/>
      <c r="AG107" s="187"/>
    </row>
    <row r="108" spans="1:33" ht="16" x14ac:dyDescent="0.2">
      <c r="B108" s="60" t="s">
        <v>63</v>
      </c>
      <c r="C108" s="263"/>
      <c r="D108" s="423"/>
      <c r="E108" s="264"/>
      <c r="F108" s="537"/>
      <c r="X108" s="187"/>
      <c r="Y108" s="187"/>
      <c r="Z108" s="187"/>
      <c r="AA108" s="187"/>
      <c r="AB108" s="187"/>
      <c r="AC108" s="187"/>
      <c r="AD108" s="187"/>
      <c r="AE108" s="187"/>
      <c r="AF108" s="187"/>
      <c r="AG108" s="187"/>
    </row>
    <row r="109" spans="1:33" ht="16" x14ac:dyDescent="0.2">
      <c r="B109" s="60" t="s">
        <v>59</v>
      </c>
      <c r="C109" s="263"/>
      <c r="D109" s="423"/>
      <c r="E109" s="264"/>
      <c r="F109" s="537"/>
      <c r="M109" s="220"/>
      <c r="N109" s="220"/>
      <c r="O109" s="220"/>
      <c r="P109" s="220"/>
      <c r="Q109" s="220"/>
      <c r="R109" s="221"/>
      <c r="S109" s="221"/>
      <c r="T109" s="221"/>
      <c r="U109" s="221"/>
      <c r="X109" s="187"/>
      <c r="Y109" s="187"/>
      <c r="Z109" s="187"/>
      <c r="AA109" s="187"/>
      <c r="AB109" s="187"/>
      <c r="AC109" s="187"/>
      <c r="AD109" s="187"/>
      <c r="AE109" s="187"/>
      <c r="AF109" s="187"/>
      <c r="AG109" s="187"/>
    </row>
    <row r="110" spans="1:33" ht="16" x14ac:dyDescent="0.2">
      <c r="B110" s="60" t="s">
        <v>62</v>
      </c>
      <c r="C110" s="263"/>
      <c r="D110" s="423"/>
      <c r="E110" s="264"/>
      <c r="F110" s="537"/>
      <c r="O110" s="234"/>
      <c r="P110" s="234"/>
      <c r="Q110" s="234"/>
      <c r="R110" s="235"/>
      <c r="S110" s="235"/>
      <c r="T110" s="235"/>
      <c r="U110" s="235"/>
      <c r="X110" s="187"/>
      <c r="Y110" s="187"/>
      <c r="Z110" s="187"/>
      <c r="AA110" s="187"/>
      <c r="AB110" s="187"/>
      <c r="AC110" s="187"/>
      <c r="AD110" s="187"/>
      <c r="AE110" s="187"/>
      <c r="AF110" s="187"/>
      <c r="AG110" s="187"/>
    </row>
    <row r="111" spans="1:33" ht="16" x14ac:dyDescent="0.2">
      <c r="B111" s="60" t="s">
        <v>57</v>
      </c>
      <c r="C111" s="263"/>
      <c r="D111" s="423"/>
      <c r="E111" s="264"/>
      <c r="F111" s="537"/>
      <c r="O111" s="234"/>
      <c r="P111" s="234"/>
      <c r="Q111" s="234"/>
      <c r="R111" s="235"/>
      <c r="S111" s="235"/>
      <c r="T111" s="235"/>
      <c r="U111" s="235"/>
      <c r="X111" s="187"/>
      <c r="Y111" s="187"/>
      <c r="Z111" s="187"/>
      <c r="AA111" s="187"/>
      <c r="AB111" s="187"/>
      <c r="AC111" s="187"/>
      <c r="AD111" s="187"/>
      <c r="AE111" s="187"/>
      <c r="AF111" s="187"/>
      <c r="AG111" s="187"/>
    </row>
    <row r="112" spans="1:33" ht="16" x14ac:dyDescent="0.2">
      <c r="B112" s="60" t="s">
        <v>65</v>
      </c>
      <c r="C112" s="263"/>
      <c r="D112" s="423"/>
      <c r="E112" s="264"/>
      <c r="F112" s="537"/>
      <c r="O112" s="236"/>
      <c r="P112" s="236"/>
      <c r="Q112" s="236"/>
      <c r="R112" s="237"/>
      <c r="S112" s="237"/>
      <c r="T112" s="237"/>
      <c r="U112" s="237"/>
      <c r="X112" s="187"/>
      <c r="Y112" s="187"/>
      <c r="Z112" s="187"/>
      <c r="AA112" s="187"/>
      <c r="AB112" s="187"/>
      <c r="AC112" s="187"/>
      <c r="AD112" s="187"/>
      <c r="AE112" s="187"/>
      <c r="AF112" s="187"/>
      <c r="AG112" s="187"/>
    </row>
    <row r="113" spans="2:34" ht="16" x14ac:dyDescent="0.2">
      <c r="B113" s="60" t="s">
        <v>52</v>
      </c>
      <c r="C113" s="263"/>
      <c r="D113" s="423"/>
      <c r="E113" s="264"/>
      <c r="F113" s="537"/>
      <c r="X113" s="187"/>
      <c r="Y113" s="187"/>
      <c r="Z113" s="187"/>
      <c r="AA113" s="187"/>
      <c r="AB113" s="187"/>
      <c r="AC113" s="187"/>
      <c r="AD113" s="187"/>
      <c r="AE113" s="187"/>
      <c r="AF113" s="187"/>
      <c r="AG113" s="187"/>
    </row>
    <row r="114" spans="2:34" ht="16" x14ac:dyDescent="0.2">
      <c r="B114" s="60" t="s">
        <v>53</v>
      </c>
      <c r="C114" s="263"/>
      <c r="D114" s="423"/>
      <c r="E114" s="264"/>
      <c r="F114" s="537"/>
      <c r="X114" s="187"/>
      <c r="Y114" s="187"/>
      <c r="Z114" s="187"/>
      <c r="AA114" s="187"/>
      <c r="AB114" s="187"/>
      <c r="AC114" s="187"/>
      <c r="AD114" s="187"/>
      <c r="AE114" s="187"/>
      <c r="AF114" s="187"/>
      <c r="AG114" s="187"/>
    </row>
    <row r="115" spans="2:34" ht="16" x14ac:dyDescent="0.2">
      <c r="B115" s="60" t="s">
        <v>46</v>
      </c>
      <c r="C115" s="263"/>
      <c r="D115" s="423"/>
      <c r="E115" s="264"/>
      <c r="F115" s="537"/>
      <c r="X115" s="187"/>
      <c r="Y115" s="187"/>
      <c r="Z115" s="187"/>
      <c r="AA115" s="187"/>
      <c r="AB115" s="187"/>
      <c r="AC115" s="187"/>
      <c r="AD115" s="187"/>
      <c r="AE115" s="187"/>
      <c r="AF115" s="187"/>
      <c r="AG115" s="187"/>
    </row>
    <row r="116" spans="2:34" ht="16" x14ac:dyDescent="0.2">
      <c r="B116" s="60" t="s">
        <v>47</v>
      </c>
      <c r="C116" s="263"/>
      <c r="D116" s="423"/>
      <c r="E116" s="264"/>
      <c r="F116" s="537"/>
      <c r="X116" s="187"/>
      <c r="Y116" s="187"/>
      <c r="Z116" s="187"/>
      <c r="AA116" s="187"/>
      <c r="AB116" s="187"/>
      <c r="AC116" s="187"/>
      <c r="AD116" s="187"/>
      <c r="AE116" s="187"/>
      <c r="AF116" s="187"/>
      <c r="AG116" s="187"/>
    </row>
    <row r="117" spans="2:34" ht="16" x14ac:dyDescent="0.2">
      <c r="B117" s="60" t="s">
        <v>55</v>
      </c>
      <c r="C117" s="263"/>
      <c r="D117" s="423"/>
      <c r="E117" s="264"/>
      <c r="F117" s="537"/>
      <c r="X117" s="187"/>
      <c r="Y117" s="187"/>
      <c r="Z117" s="187"/>
      <c r="AA117" s="187"/>
      <c r="AB117" s="187"/>
      <c r="AC117" s="187"/>
      <c r="AD117" s="187"/>
      <c r="AE117" s="187"/>
      <c r="AF117" s="187"/>
      <c r="AG117" s="187"/>
    </row>
    <row r="118" spans="2:34" ht="16" x14ac:dyDescent="0.2">
      <c r="B118" s="60" t="s">
        <v>56</v>
      </c>
      <c r="C118" s="263"/>
      <c r="D118" s="423"/>
      <c r="E118" s="264"/>
      <c r="F118" s="537"/>
      <c r="X118" s="187"/>
      <c r="Y118" s="187"/>
      <c r="Z118" s="187"/>
      <c r="AA118" s="187"/>
      <c r="AB118" s="187"/>
      <c r="AC118" s="187"/>
      <c r="AD118" s="187"/>
      <c r="AE118" s="187"/>
      <c r="AF118" s="187"/>
      <c r="AG118" s="187"/>
    </row>
    <row r="119" spans="2:34" ht="16" x14ac:dyDescent="0.2">
      <c r="B119" s="60" t="s">
        <v>58</v>
      </c>
      <c r="C119" s="263"/>
      <c r="D119" s="423"/>
      <c r="E119" s="264"/>
      <c r="F119" s="537"/>
      <c r="X119" s="187"/>
      <c r="Y119" s="187"/>
      <c r="Z119" s="187"/>
      <c r="AA119" s="187"/>
      <c r="AB119" s="187"/>
      <c r="AC119" s="187"/>
      <c r="AD119" s="187"/>
      <c r="AE119" s="187"/>
      <c r="AF119" s="187"/>
      <c r="AG119" s="187"/>
    </row>
    <row r="120" spans="2:34" ht="16" x14ac:dyDescent="0.2">
      <c r="B120" s="60" t="s">
        <v>49</v>
      </c>
      <c r="C120" s="263"/>
      <c r="D120" s="423"/>
      <c r="E120" s="264"/>
      <c r="F120" s="537"/>
      <c r="O120" s="228"/>
      <c r="P120" s="228"/>
      <c r="Q120" s="228"/>
      <c r="R120" s="229"/>
      <c r="S120" s="229"/>
      <c r="T120" s="229"/>
      <c r="U120" s="229"/>
      <c r="X120" s="187"/>
      <c r="Y120" s="187"/>
      <c r="Z120" s="187"/>
      <c r="AA120" s="187"/>
      <c r="AB120" s="187"/>
      <c r="AC120" s="187"/>
      <c r="AD120" s="187"/>
      <c r="AE120" s="187"/>
      <c r="AF120" s="187"/>
      <c r="AG120" s="187"/>
    </row>
    <row r="121" spans="2:34" ht="21" x14ac:dyDescent="0.25">
      <c r="B121" s="60" t="s">
        <v>50</v>
      </c>
      <c r="C121" s="263"/>
      <c r="D121" s="423"/>
      <c r="E121" s="264"/>
      <c r="F121" s="537"/>
      <c r="O121" s="216"/>
      <c r="P121" s="216"/>
      <c r="Q121" s="216"/>
      <c r="R121" s="217"/>
      <c r="S121" s="217"/>
      <c r="T121" s="217"/>
      <c r="U121" s="217"/>
      <c r="X121" s="187"/>
      <c r="Y121" s="187"/>
      <c r="Z121" s="187"/>
      <c r="AA121" s="187"/>
      <c r="AB121" s="187"/>
      <c r="AC121" s="187"/>
      <c r="AD121" s="187"/>
      <c r="AE121" s="187"/>
      <c r="AF121" s="187"/>
      <c r="AG121" s="187"/>
    </row>
    <row r="122" spans="2:34" ht="21" x14ac:dyDescent="0.25">
      <c r="B122" s="60" t="s">
        <v>84</v>
      </c>
      <c r="C122" s="263"/>
      <c r="D122" s="423"/>
      <c r="E122" s="264"/>
      <c r="F122" s="537"/>
      <c r="O122" s="216"/>
      <c r="P122" s="216"/>
      <c r="Q122" s="216"/>
      <c r="R122" s="217"/>
      <c r="S122" s="217"/>
      <c r="T122" s="217"/>
      <c r="U122" s="217"/>
      <c r="X122" s="187"/>
      <c r="Y122" s="187"/>
      <c r="Z122" s="187"/>
      <c r="AA122" s="187"/>
      <c r="AB122" s="187"/>
      <c r="AC122" s="187"/>
      <c r="AD122" s="187"/>
      <c r="AE122" s="187"/>
      <c r="AF122" s="187"/>
      <c r="AG122" s="187"/>
    </row>
    <row r="123" spans="2:34" ht="16" x14ac:dyDescent="0.2">
      <c r="B123" s="60" t="s">
        <v>85</v>
      </c>
      <c r="C123" s="263"/>
      <c r="D123" s="423"/>
      <c r="E123" s="264"/>
      <c r="F123" s="537"/>
      <c r="X123" s="187"/>
      <c r="Y123" s="187"/>
      <c r="Z123" s="187"/>
      <c r="AA123" s="187"/>
      <c r="AB123" s="187"/>
      <c r="AC123" s="187"/>
      <c r="AD123" s="187"/>
      <c r="AE123" s="187"/>
      <c r="AF123" s="187"/>
      <c r="AG123" s="187"/>
    </row>
    <row r="124" spans="2:34" x14ac:dyDescent="0.2">
      <c r="B124" t="s">
        <v>86</v>
      </c>
      <c r="D124" s="423"/>
      <c r="E124" s="264"/>
      <c r="F124" s="537"/>
      <c r="X124" s="187"/>
      <c r="Y124" s="187"/>
      <c r="Z124" s="187"/>
      <c r="AA124" s="187"/>
      <c r="AB124" s="187"/>
      <c r="AC124" s="187"/>
      <c r="AD124" s="187"/>
      <c r="AE124" s="187"/>
      <c r="AF124" s="187"/>
      <c r="AG124" s="187"/>
    </row>
    <row r="125" spans="2:34" x14ac:dyDescent="0.2">
      <c r="B125" t="s">
        <v>83</v>
      </c>
      <c r="D125" s="423"/>
      <c r="E125" s="264"/>
      <c r="F125" s="537"/>
      <c r="X125" s="187"/>
      <c r="Y125" s="187"/>
      <c r="Z125" s="187"/>
      <c r="AA125" s="187"/>
      <c r="AB125" s="187"/>
      <c r="AC125" s="187"/>
      <c r="AD125" s="187"/>
      <c r="AE125" s="187"/>
      <c r="AF125" s="187"/>
      <c r="AG125" s="187"/>
    </row>
    <row r="126" spans="2:34" x14ac:dyDescent="0.2">
      <c r="B126" t="s">
        <v>78</v>
      </c>
      <c r="D126" s="423"/>
      <c r="E126" s="264"/>
      <c r="F126" s="537"/>
      <c r="X126" s="187"/>
      <c r="Y126" s="187"/>
      <c r="Z126" s="187"/>
      <c r="AA126" s="187"/>
      <c r="AB126" s="187"/>
      <c r="AC126" s="187"/>
      <c r="AD126" s="187"/>
      <c r="AE126" s="187"/>
      <c r="AF126" s="187"/>
      <c r="AG126" s="187"/>
    </row>
    <row r="127" spans="2:34" x14ac:dyDescent="0.2">
      <c r="X127" s="187"/>
      <c r="Y127" s="187"/>
      <c r="Z127" s="187"/>
      <c r="AA127" s="187"/>
      <c r="AB127" s="187"/>
      <c r="AC127" s="187"/>
      <c r="AD127" s="187"/>
      <c r="AE127" s="187"/>
      <c r="AF127" s="187"/>
      <c r="AG127" s="187"/>
      <c r="AH127" s="187"/>
    </row>
    <row r="128" spans="2:34" x14ac:dyDescent="0.2">
      <c r="X128" s="187"/>
      <c r="Y128" s="187"/>
      <c r="Z128" s="187"/>
      <c r="AA128" s="187"/>
      <c r="AB128" s="187"/>
      <c r="AC128" s="187"/>
      <c r="AD128" s="187"/>
      <c r="AE128" s="187"/>
      <c r="AF128" s="187"/>
      <c r="AG128" s="187"/>
      <c r="AH128" s="187"/>
    </row>
    <row r="129" spans="1:34" ht="16" x14ac:dyDescent="0.2">
      <c r="B129" s="61" t="s">
        <v>525</v>
      </c>
      <c r="X129" s="187"/>
      <c r="Y129" s="187"/>
      <c r="Z129" s="187"/>
      <c r="AA129" s="187"/>
      <c r="AB129" s="187"/>
      <c r="AC129" s="187"/>
      <c r="AD129" s="187"/>
      <c r="AE129" s="187"/>
      <c r="AF129" s="187"/>
      <c r="AG129" s="187"/>
      <c r="AH129" s="187"/>
    </row>
    <row r="130" spans="1:34" ht="16" x14ac:dyDescent="0.2">
      <c r="B130" s="61" t="s">
        <v>649</v>
      </c>
      <c r="X130" s="187"/>
      <c r="Y130" s="187"/>
      <c r="Z130" s="187"/>
      <c r="AA130" s="187"/>
      <c r="AB130" s="187"/>
      <c r="AC130" s="187"/>
      <c r="AD130" s="187"/>
      <c r="AE130" s="187"/>
      <c r="AF130" s="187"/>
      <c r="AG130" s="187"/>
    </row>
    <row r="131" spans="1:34" ht="16" x14ac:dyDescent="0.2">
      <c r="B131" s="61"/>
      <c r="F131" s="527" t="s">
        <v>674</v>
      </c>
      <c r="G131" s="527"/>
      <c r="X131" s="187"/>
      <c r="Y131" s="187"/>
      <c r="Z131" s="187"/>
      <c r="AA131" s="187"/>
      <c r="AB131" s="187"/>
      <c r="AC131" s="187"/>
      <c r="AD131" s="187"/>
      <c r="AE131" s="187"/>
      <c r="AF131" s="187"/>
      <c r="AG131" s="187"/>
    </row>
    <row r="132" spans="1:34" ht="16" x14ac:dyDescent="0.2">
      <c r="B132" s="185" t="s">
        <v>513</v>
      </c>
      <c r="C132" s="54" t="s">
        <v>684</v>
      </c>
      <c r="D132" s="200">
        <f>D105</f>
        <v>2024</v>
      </c>
      <c r="F132" s="20" t="s">
        <v>675</v>
      </c>
      <c r="G132" s="20" t="s">
        <v>676</v>
      </c>
      <c r="X132" s="187"/>
      <c r="Y132" s="187"/>
      <c r="Z132" s="187"/>
      <c r="AA132" s="187"/>
      <c r="AB132" s="187"/>
      <c r="AC132" s="187"/>
      <c r="AD132" s="187"/>
      <c r="AE132" s="187"/>
      <c r="AF132" s="187"/>
      <c r="AG132" s="187"/>
    </row>
    <row r="133" spans="1:34" ht="16" x14ac:dyDescent="0.2">
      <c r="B133" s="48" t="s">
        <v>529</v>
      </c>
      <c r="C133" s="274"/>
      <c r="D133" s="423">
        <f>C133*HLOOKUP(VLOOKUP(D$132,'table années scolaires'!$C$17:$E$27,2,FALSE),'Projection Effectifs'!$C$31:$M$38,8,FALSE)</f>
        <v>0</v>
      </c>
      <c r="F133" s="396"/>
      <c r="G133" s="396"/>
      <c r="X133" s="187"/>
      <c r="Y133" s="187"/>
      <c r="Z133" s="187"/>
      <c r="AA133" s="187"/>
      <c r="AB133" s="187"/>
      <c r="AC133" s="187"/>
      <c r="AD133" s="187"/>
      <c r="AE133" s="187"/>
      <c r="AF133" s="187"/>
      <c r="AG133" s="187"/>
    </row>
    <row r="134" spans="1:34" ht="16" x14ac:dyDescent="0.2">
      <c r="A134" s="148"/>
      <c r="B134" s="48" t="s">
        <v>530</v>
      </c>
      <c r="C134" s="272"/>
      <c r="D134" s="423">
        <f>C134*HLOOKUP(VLOOKUP(D$132,'table années scolaires'!$C$17:$E$27,2,FALSE),'Projection Effectifs'!$C$31:$M$38,8,FALSE)</f>
        <v>0</v>
      </c>
      <c r="F134" s="396"/>
      <c r="G134" s="396"/>
      <c r="X134" s="187"/>
      <c r="Y134" s="187"/>
      <c r="Z134" s="187"/>
      <c r="AA134" s="187"/>
      <c r="AB134" s="187"/>
      <c r="AC134" s="187"/>
      <c r="AD134" s="187"/>
      <c r="AE134" s="187"/>
      <c r="AF134" s="187"/>
      <c r="AG134" s="187"/>
    </row>
    <row r="135" spans="1:34" ht="16" x14ac:dyDescent="0.2">
      <c r="A135" s="149"/>
      <c r="B135" s="48" t="s">
        <v>531</v>
      </c>
      <c r="C135" s="272"/>
      <c r="D135" s="423">
        <f>C135*HLOOKUP(VLOOKUP(D$132,'table années scolaires'!$C$17:$E$27,2,FALSE),'Projection Effectifs'!$C$31:$M$38,8,FALSE)</f>
        <v>0</v>
      </c>
      <c r="F135" s="395" t="s">
        <v>677</v>
      </c>
      <c r="X135" s="187"/>
      <c r="Y135" s="187"/>
      <c r="Z135" s="187"/>
      <c r="AA135" s="187"/>
      <c r="AB135" s="187"/>
      <c r="AC135" s="187"/>
      <c r="AD135" s="187"/>
      <c r="AE135" s="187"/>
      <c r="AF135" s="187"/>
      <c r="AG135" s="187"/>
    </row>
    <row r="136" spans="1:34" ht="16" x14ac:dyDescent="0.2">
      <c r="A136" s="149"/>
      <c r="B136" s="48" t="s">
        <v>532</v>
      </c>
      <c r="C136" s="272"/>
      <c r="D136" s="423">
        <f>C136*HLOOKUP(VLOOKUP(D$132,'table années scolaires'!$C$17:$E$27,2,FALSE),'Projection Effectifs'!$C$31:$M$38,8,FALSE)</f>
        <v>0</v>
      </c>
      <c r="F136" s="395" t="s">
        <v>678</v>
      </c>
      <c r="X136" s="187"/>
      <c r="Y136" s="187"/>
      <c r="Z136" s="187"/>
      <c r="AA136" s="187"/>
      <c r="AB136" s="187"/>
      <c r="AC136" s="187"/>
      <c r="AD136" s="187"/>
      <c r="AE136" s="187"/>
      <c r="AF136" s="187"/>
      <c r="AG136" s="187"/>
    </row>
    <row r="137" spans="1:34" ht="16" x14ac:dyDescent="0.2">
      <c r="A137" s="149"/>
      <c r="B137" s="185" t="s">
        <v>516</v>
      </c>
      <c r="C137" s="54"/>
      <c r="D137" s="424"/>
      <c r="X137" s="187"/>
      <c r="Y137" s="187"/>
      <c r="Z137" s="187"/>
      <c r="AA137" s="187"/>
      <c r="AB137" s="187"/>
      <c r="AC137" s="187"/>
      <c r="AD137" s="187"/>
      <c r="AE137" s="187"/>
      <c r="AF137" s="187"/>
      <c r="AG137" s="187"/>
    </row>
    <row r="138" spans="1:34" ht="16" x14ac:dyDescent="0.2">
      <c r="B138" s="48" t="s">
        <v>510</v>
      </c>
      <c r="D138" s="423"/>
      <c r="F138" s="395" t="s">
        <v>679</v>
      </c>
      <c r="X138" s="187"/>
      <c r="Y138" s="187"/>
      <c r="Z138" s="187"/>
      <c r="AA138" s="187"/>
      <c r="AB138" s="187"/>
      <c r="AC138" s="187"/>
      <c r="AD138" s="187"/>
      <c r="AE138" s="187"/>
      <c r="AF138" s="187"/>
      <c r="AG138" s="187"/>
    </row>
    <row r="139" spans="1:34" ht="16" x14ac:dyDescent="0.2">
      <c r="B139" s="48" t="s">
        <v>528</v>
      </c>
      <c r="D139" s="423"/>
      <c r="F139" s="395" t="s">
        <v>679</v>
      </c>
      <c r="X139" s="187"/>
      <c r="Y139" s="187"/>
      <c r="Z139" s="187"/>
      <c r="AA139" s="187"/>
      <c r="AB139" s="187"/>
      <c r="AC139" s="187"/>
      <c r="AD139" s="187"/>
      <c r="AE139" s="187"/>
      <c r="AF139" s="187"/>
      <c r="AG139" s="187"/>
    </row>
    <row r="140" spans="1:34" ht="16" x14ac:dyDescent="0.2">
      <c r="B140" s="48" t="s">
        <v>517</v>
      </c>
      <c r="D140" s="423"/>
      <c r="F140" s="395" t="s">
        <v>680</v>
      </c>
      <c r="X140" s="187"/>
      <c r="Y140" s="187"/>
      <c r="Z140" s="187"/>
      <c r="AA140" s="187"/>
      <c r="AB140" s="187"/>
      <c r="AC140" s="187"/>
      <c r="AD140" s="187"/>
      <c r="AE140" s="187"/>
      <c r="AF140" s="187"/>
      <c r="AG140" s="187"/>
    </row>
    <row r="141" spans="1:34" ht="16" x14ac:dyDescent="0.2">
      <c r="B141" s="48" t="s">
        <v>518</v>
      </c>
      <c r="D141" s="423"/>
      <c r="F141" s="395" t="s">
        <v>681</v>
      </c>
      <c r="X141" s="187"/>
      <c r="Y141" s="187"/>
      <c r="Z141" s="187"/>
      <c r="AA141" s="187"/>
      <c r="AB141" s="187"/>
      <c r="AC141" s="187"/>
      <c r="AD141" s="187"/>
      <c r="AE141" s="187"/>
      <c r="AF141" s="187"/>
      <c r="AG141" s="187"/>
    </row>
    <row r="142" spans="1:34" ht="16" x14ac:dyDescent="0.2">
      <c r="B142" s="48" t="s">
        <v>511</v>
      </c>
      <c r="D142" s="423"/>
      <c r="F142" s="395" t="s">
        <v>682</v>
      </c>
      <c r="X142" s="187"/>
      <c r="Y142" s="187"/>
      <c r="Z142" s="187"/>
      <c r="AA142" s="187"/>
      <c r="AB142" s="187"/>
      <c r="AC142" s="187"/>
      <c r="AD142" s="187"/>
      <c r="AE142" s="187"/>
      <c r="AF142" s="187"/>
      <c r="AG142" s="187"/>
    </row>
    <row r="143" spans="1:34" ht="16" x14ac:dyDescent="0.2">
      <c r="B143" s="48" t="s">
        <v>512</v>
      </c>
      <c r="D143" s="423"/>
      <c r="F143" t="s">
        <v>685</v>
      </c>
      <c r="X143" s="187"/>
      <c r="Y143" s="187"/>
      <c r="Z143" s="187"/>
      <c r="AA143" s="187"/>
      <c r="AB143" s="187"/>
      <c r="AC143" s="187"/>
      <c r="AD143" s="187"/>
      <c r="AE143" s="187"/>
      <c r="AF143" s="187"/>
      <c r="AG143" s="187"/>
    </row>
    <row r="144" spans="1:34" ht="16" x14ac:dyDescent="0.2">
      <c r="B144" s="48" t="s">
        <v>520</v>
      </c>
      <c r="D144" s="423"/>
      <c r="X144" s="187"/>
      <c r="Y144" s="187"/>
      <c r="Z144" s="187"/>
      <c r="AA144" s="187"/>
      <c r="AB144" s="187"/>
      <c r="AC144" s="187"/>
      <c r="AD144" s="187"/>
      <c r="AE144" s="187"/>
      <c r="AF144" s="187"/>
      <c r="AG144" s="187"/>
    </row>
    <row r="145" spans="2:33" ht="16" x14ac:dyDescent="0.2">
      <c r="B145" s="48" t="s">
        <v>526</v>
      </c>
      <c r="D145" s="423"/>
      <c r="F145" s="395" t="s">
        <v>683</v>
      </c>
      <c r="X145" s="187"/>
      <c r="Y145" s="187"/>
      <c r="Z145" s="187"/>
      <c r="AA145" s="187"/>
      <c r="AB145" s="187"/>
      <c r="AC145" s="187"/>
      <c r="AD145" s="187"/>
      <c r="AE145" s="187"/>
      <c r="AF145" s="187"/>
      <c r="AG145" s="187"/>
    </row>
    <row r="146" spans="2:33" x14ac:dyDescent="0.2">
      <c r="B146" t="s">
        <v>527</v>
      </c>
      <c r="D146" s="423"/>
      <c r="X146" s="187"/>
      <c r="Y146" s="187"/>
      <c r="Z146" s="187"/>
      <c r="AA146" s="187"/>
      <c r="AB146" s="187"/>
      <c r="AC146" s="187"/>
      <c r="AD146" s="187"/>
      <c r="AE146" s="187"/>
      <c r="AF146" s="187"/>
      <c r="AG146" s="187"/>
    </row>
    <row r="147" spans="2:33" x14ac:dyDescent="0.2">
      <c r="X147" s="187"/>
      <c r="Y147" s="187"/>
      <c r="Z147" s="187"/>
      <c r="AA147" s="187"/>
      <c r="AB147" s="187"/>
      <c r="AC147" s="187"/>
      <c r="AD147" s="187"/>
      <c r="AE147" s="187"/>
      <c r="AF147" s="187"/>
      <c r="AG147" s="187"/>
    </row>
    <row r="148" spans="2:33" ht="16" x14ac:dyDescent="0.2">
      <c r="D148" s="200">
        <f>D132</f>
        <v>2024</v>
      </c>
      <c r="E148" s="200">
        <f>D148+1</f>
        <v>2025</v>
      </c>
      <c r="F148" s="200">
        <f t="shared" ref="F148:K148" si="28">E148+1</f>
        <v>2026</v>
      </c>
      <c r="G148" s="200">
        <f t="shared" si="28"/>
        <v>2027</v>
      </c>
      <c r="H148" s="200">
        <f t="shared" si="28"/>
        <v>2028</v>
      </c>
      <c r="I148" s="200">
        <f t="shared" si="28"/>
        <v>2029</v>
      </c>
      <c r="J148" s="200">
        <f t="shared" si="28"/>
        <v>2030</v>
      </c>
      <c r="K148" s="200">
        <f t="shared" si="28"/>
        <v>2031</v>
      </c>
      <c r="X148" s="187"/>
      <c r="Y148" s="187"/>
      <c r="Z148" s="187"/>
      <c r="AA148" s="187"/>
      <c r="AB148" s="187"/>
      <c r="AC148" s="187"/>
      <c r="AD148" s="187"/>
      <c r="AE148" s="187"/>
      <c r="AF148" s="187"/>
      <c r="AG148" s="187"/>
    </row>
    <row r="149" spans="2:33" x14ac:dyDescent="0.2">
      <c r="B149" s="45" t="s">
        <v>613</v>
      </c>
      <c r="D149" s="274"/>
      <c r="E149" s="274"/>
      <c r="F149" s="274"/>
      <c r="G149" s="274"/>
      <c r="H149" s="274"/>
      <c r="I149" s="274"/>
      <c r="J149" s="274"/>
      <c r="K149" s="274"/>
    </row>
  </sheetData>
  <mergeCells count="7">
    <mergeCell ref="F131:G131"/>
    <mergeCell ref="A2:K2"/>
    <mergeCell ref="X2:AG2"/>
    <mergeCell ref="F106:F126"/>
    <mergeCell ref="B18:B19"/>
    <mergeCell ref="E86:J88"/>
    <mergeCell ref="B29:B30"/>
  </mergeCells>
  <phoneticPr fontId="29" type="noConversion"/>
  <conditionalFormatting sqref="N21:T33">
    <cfRule type="cellIs" dxfId="2" priority="5" operator="lessThan">
      <formula>0</formula>
    </cfRule>
  </conditionalFormatting>
  <conditionalFormatting sqref="N49:T57">
    <cfRule type="cellIs" dxfId="1" priority="4" operator="lessThan">
      <formula>0</formula>
    </cfRule>
  </conditionalFormatting>
  <conditionalFormatting sqref="N74:U83">
    <cfRule type="cellIs" dxfId="0" priority="8" operator="lessThan">
      <formula>0</formula>
    </cfRule>
  </conditionalFormatting>
  <dataValidations count="4">
    <dataValidation type="list" allowBlank="1" showInputMessage="1" showErrorMessage="1" sqref="C8" xr:uid="{A98D27E2-CC41-4C99-9238-5E7A9CB8BEB5}">
      <formula1>"choisir,2024,2025,2026,2027"</formula1>
    </dataValidation>
    <dataValidation type="list" allowBlank="1" showInputMessage="1" showErrorMessage="1" sqref="C7" xr:uid="{AA1FA281-0F71-4AD1-AF39-E7C631DAAA65}">
      <formula1>"conventionné,partenaire,non homologué"</formula1>
    </dataValidation>
    <dataValidation type="list" allowBlank="1" showInputMessage="1" showErrorMessage="1" sqref="C18:D18 C13:E16" xr:uid="{B831B429-5C8D-42DC-9CD7-31B39C9A56A1}">
      <formula1>"oui,non"</formula1>
    </dataValidation>
    <dataValidation type="list" allowBlank="1" showInputMessage="1" showErrorMessage="1" sqref="C98:D100" xr:uid="{2F214425-1AB8-47DC-87D7-E1D19F9BD61E}">
      <formula1>"1,2"</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9E984-6A9F-408A-BF69-19EC08C6582A}">
  <dimension ref="A3:R247"/>
  <sheetViews>
    <sheetView showGridLines="0" topLeftCell="A105" zoomScale="110" zoomScaleNormal="110" workbookViewId="0">
      <selection activeCell="B69" sqref="B69"/>
    </sheetView>
  </sheetViews>
  <sheetFormatPr baseColWidth="10" defaultRowHeight="15" x14ac:dyDescent="0.2"/>
  <cols>
    <col min="1" max="1" width="35.5" customWidth="1"/>
    <col min="2" max="2" width="40.1640625" customWidth="1"/>
    <col min="3" max="3" width="13.5" style="20" customWidth="1"/>
    <col min="4" max="4" width="14.6640625" style="20" customWidth="1"/>
    <col min="5" max="7" width="11.5" style="20"/>
    <col min="8" max="8" width="13.83203125" style="20" customWidth="1"/>
    <col min="9" max="9" width="13" style="20" customWidth="1"/>
    <col min="10" max="10" width="12.5" style="20" customWidth="1"/>
    <col min="11" max="11" width="17.1640625" style="20" customWidth="1"/>
    <col min="13" max="13" width="27.83203125" customWidth="1"/>
    <col min="15" max="15" width="13.33203125" customWidth="1"/>
  </cols>
  <sheetData>
    <row r="3" spans="1:18" x14ac:dyDescent="0.2">
      <c r="C3" s="20">
        <v>2</v>
      </c>
      <c r="D3" s="20">
        <v>3</v>
      </c>
      <c r="E3" s="20">
        <v>4</v>
      </c>
      <c r="F3" s="20">
        <v>5</v>
      </c>
      <c r="G3" s="20">
        <v>6</v>
      </c>
      <c r="H3" s="20">
        <v>7</v>
      </c>
      <c r="I3" s="20">
        <v>8</v>
      </c>
      <c r="J3" s="20">
        <v>9</v>
      </c>
      <c r="K3" s="20">
        <v>10</v>
      </c>
    </row>
    <row r="4" spans="1:18" ht="25.5" customHeight="1" x14ac:dyDescent="0.2">
      <c r="C4" s="46" t="str">
        <f>'Hypothèses '!C12</f>
        <v>2023/2024</v>
      </c>
      <c r="D4" s="46" t="str">
        <f>'Hypothèses '!D12</f>
        <v>2024/2025</v>
      </c>
      <c r="E4" s="46" t="str">
        <f>'Hypothèses '!E12</f>
        <v>2025/2026</v>
      </c>
      <c r="F4" s="46" t="str">
        <f>'Hypothèses '!F12</f>
        <v>2026/2027</v>
      </c>
      <c r="G4" s="46" t="str">
        <f>'Hypothèses '!G12</f>
        <v>2027/2028</v>
      </c>
      <c r="H4" s="46" t="str">
        <f>'Hypothèses '!H12</f>
        <v>2028/2029</v>
      </c>
      <c r="I4" s="46" t="str">
        <f>'Hypothèses '!I12</f>
        <v>2029/2030</v>
      </c>
      <c r="J4" s="46" t="str">
        <f>'Hypothèses '!J12</f>
        <v>2030/2031</v>
      </c>
      <c r="K4" s="46" t="str">
        <f>'Hypothèses '!K12</f>
        <v>2031/2032</v>
      </c>
      <c r="L4" s="46"/>
      <c r="M4" t="s">
        <v>60</v>
      </c>
      <c r="N4" s="45" t="s">
        <v>35</v>
      </c>
    </row>
    <row r="5" spans="1:18" ht="16" x14ac:dyDescent="0.2">
      <c r="A5" s="55" t="s">
        <v>66</v>
      </c>
      <c r="B5" s="142" t="s">
        <v>48</v>
      </c>
      <c r="C5" s="20" t="e">
        <f>SUM(C6:C13)</f>
        <v>#N/A</v>
      </c>
      <c r="D5" s="20" t="e">
        <f>SUM(D6:D13)</f>
        <v>#N/A</v>
      </c>
      <c r="E5" s="20" t="e">
        <f t="shared" ref="E5:K5" si="0">SUM(E6:E13)</f>
        <v>#N/A</v>
      </c>
      <c r="F5" s="20" t="e">
        <f t="shared" si="0"/>
        <v>#N/A</v>
      </c>
      <c r="G5" s="20" t="e">
        <f t="shared" si="0"/>
        <v>#N/A</v>
      </c>
      <c r="H5" s="20" t="e">
        <f t="shared" si="0"/>
        <v>#N/A</v>
      </c>
      <c r="I5" s="20" t="e">
        <f t="shared" si="0"/>
        <v>#N/A</v>
      </c>
      <c r="J5" s="20" t="e">
        <f t="shared" si="0"/>
        <v>#N/A</v>
      </c>
      <c r="K5" s="20" t="e">
        <f t="shared" si="0"/>
        <v>#N/A</v>
      </c>
      <c r="M5" s="45" t="s">
        <v>36</v>
      </c>
    </row>
    <row r="6" spans="1:18" ht="16" x14ac:dyDescent="0.2">
      <c r="A6" t="s">
        <v>503</v>
      </c>
      <c r="B6" s="143" t="s">
        <v>61</v>
      </c>
      <c r="C6" s="20" t="e">
        <f>VLOOKUP($B6,'Hypothèses '!$B$56:$K$66,'Hypothèses '!C$56,FALSE)</f>
        <v>#N/A</v>
      </c>
      <c r="D6" s="20" t="e">
        <f>VLOOKUP($B6,'Hypothèses '!$B$56:$K$66,'Hypothèses '!D$56,FALSE)</f>
        <v>#N/A</v>
      </c>
      <c r="E6" s="20" t="e">
        <f>VLOOKUP($B6,'Hypothèses '!$B$56:$K$66,'Hypothèses '!E$56,FALSE)</f>
        <v>#N/A</v>
      </c>
      <c r="F6" s="20" t="e">
        <f>VLOOKUP($B6,'Hypothèses '!$B$56:$K$66,'Hypothèses '!F$56,FALSE)</f>
        <v>#N/A</v>
      </c>
      <c r="G6" s="20" t="e">
        <f>VLOOKUP($B6,'Hypothèses '!$B$56:$K$66,'Hypothèses '!G$56,FALSE)</f>
        <v>#N/A</v>
      </c>
      <c r="H6" s="20" t="e">
        <f>VLOOKUP($B6,'Hypothèses '!$B$56:$K$66,'Hypothèses '!H$56,FALSE)</f>
        <v>#N/A</v>
      </c>
      <c r="I6" s="20" t="e">
        <f>VLOOKUP($B6,'Hypothèses '!$B$56:$K$66,'Hypothèses '!I$56,FALSE)</f>
        <v>#N/A</v>
      </c>
      <c r="J6" s="20" t="e">
        <f>VLOOKUP($B6,'Hypothèses '!$B$56:$K$66,'Hypothèses '!J$56,FALSE)</f>
        <v>#N/A</v>
      </c>
      <c r="K6" s="20" t="e">
        <f>VLOOKUP($B6,'Hypothèses '!$B$56:$K$66,'Hypothèses '!K$56,FALSE)</f>
        <v>#N/A</v>
      </c>
      <c r="M6" s="45" t="s">
        <v>37</v>
      </c>
      <c r="N6" s="54" t="s">
        <v>38</v>
      </c>
      <c r="O6" s="54" t="s">
        <v>39</v>
      </c>
      <c r="P6" s="54" t="s">
        <v>40</v>
      </c>
      <c r="Q6" s="54" t="s">
        <v>41</v>
      </c>
      <c r="R6" s="54" t="s">
        <v>42</v>
      </c>
    </row>
    <row r="7" spans="1:18" ht="16" x14ac:dyDescent="0.2">
      <c r="B7" s="143" t="s">
        <v>62</v>
      </c>
      <c r="C7" s="20" t="e">
        <f>VLOOKUP($B7,'Hypothèses '!$B$56:$K$66,'Hypothèses '!C$56,FALSE)</f>
        <v>#N/A</v>
      </c>
      <c r="D7" s="20" t="e">
        <f>VLOOKUP($B7,'Hypothèses '!$B$56:$K$66,'Hypothèses '!D$56,FALSE)</f>
        <v>#N/A</v>
      </c>
      <c r="E7" s="20" t="e">
        <f>VLOOKUP($B7,'Hypothèses '!$B$56:$K$66,'Hypothèses '!E$56,FALSE)</f>
        <v>#N/A</v>
      </c>
      <c r="F7" s="20" t="e">
        <f>VLOOKUP($B7,'Hypothèses '!$B$56:$K$66,'Hypothèses '!F$56,FALSE)</f>
        <v>#N/A</v>
      </c>
      <c r="G7" s="20" t="e">
        <f>VLOOKUP($B7,'Hypothèses '!$B$56:$K$66,'Hypothèses '!G$56,FALSE)</f>
        <v>#N/A</v>
      </c>
      <c r="H7" s="20" t="e">
        <f>VLOOKUP($B7,'Hypothèses '!$B$56:$K$66,'Hypothèses '!H$56,FALSE)</f>
        <v>#N/A</v>
      </c>
      <c r="I7" s="20" t="e">
        <f>VLOOKUP($B7,'Hypothèses '!$B$56:$K$66,'Hypothèses '!I$56,FALSE)</f>
        <v>#N/A</v>
      </c>
      <c r="J7" s="20" t="e">
        <f>VLOOKUP($B7,'Hypothèses '!$B$56:$K$66,'Hypothèses '!J$56,FALSE)</f>
        <v>#N/A</v>
      </c>
      <c r="K7" s="20" t="e">
        <f>VLOOKUP($B7,'Hypothèses '!$B$56:$K$66,'Hypothèses '!K$56,FALSE)</f>
        <v>#N/A</v>
      </c>
      <c r="M7" t="s">
        <v>43</v>
      </c>
      <c r="N7" s="47">
        <v>1</v>
      </c>
      <c r="O7" s="47">
        <v>1</v>
      </c>
      <c r="P7" s="47">
        <v>1</v>
      </c>
      <c r="Q7" s="47">
        <v>1</v>
      </c>
      <c r="R7" s="47">
        <v>1</v>
      </c>
    </row>
    <row r="8" spans="1:18" ht="16" x14ac:dyDescent="0.2">
      <c r="B8" s="143" t="s">
        <v>57</v>
      </c>
      <c r="C8" s="20">
        <f>VLOOKUP($B8,'Hypothèses '!$B$56:$K$66,'Hypothèses '!C$56,FALSE)</f>
        <v>0</v>
      </c>
      <c r="D8" s="20">
        <f>VLOOKUP($B8,'Hypothèses '!$B$56:$K$66,'Hypothèses '!D$56,FALSE)</f>
        <v>2</v>
      </c>
      <c r="E8" s="20">
        <f>VLOOKUP($B8,'Hypothèses '!$B$56:$K$66,'Hypothèses '!E$56,FALSE)</f>
        <v>0</v>
      </c>
      <c r="F8" s="20">
        <f>VLOOKUP($B8,'Hypothèses '!$B$56:$K$66,'Hypothèses '!F$56,FALSE)</f>
        <v>0</v>
      </c>
      <c r="G8" s="20">
        <f>VLOOKUP($B8,'Hypothèses '!$B$56:$K$66,'Hypothèses '!G$56,FALSE)</f>
        <v>0</v>
      </c>
      <c r="H8" s="20">
        <f>VLOOKUP($B8,'Hypothèses '!$B$56:$K$66,'Hypothèses '!H$56,FALSE)</f>
        <v>0</v>
      </c>
      <c r="I8" s="20">
        <f>VLOOKUP($B8,'Hypothèses '!$B$56:$K$66,'Hypothèses '!I$56,FALSE)</f>
        <v>0</v>
      </c>
      <c r="J8" s="20">
        <f>VLOOKUP($B8,'Hypothèses '!$B$56:$K$66,'Hypothèses '!J$56,FALSE)</f>
        <v>0</v>
      </c>
      <c r="K8" s="20">
        <f>VLOOKUP($B8,'Hypothèses '!$B$56:$K$66,'Hypothèses '!K$56,FALSE)</f>
        <v>0</v>
      </c>
      <c r="M8" t="s">
        <v>44</v>
      </c>
      <c r="N8" s="47">
        <v>0</v>
      </c>
      <c r="O8" s="47">
        <v>0</v>
      </c>
      <c r="P8" s="47">
        <v>0</v>
      </c>
      <c r="Q8" s="47">
        <v>1</v>
      </c>
      <c r="R8" s="47">
        <v>1</v>
      </c>
    </row>
    <row r="9" spans="1:18" ht="16" x14ac:dyDescent="0.2">
      <c r="B9" s="143" t="s">
        <v>58</v>
      </c>
      <c r="C9" s="20">
        <f>VLOOKUP($B9,'Hypothèses '!$B$56:$K$66,'Hypothèses '!C$56,FALSE)</f>
        <v>0</v>
      </c>
      <c r="D9" s="20">
        <f>VLOOKUP($B9,'Hypothèses '!$B$56:$K$66,'Hypothèses '!D$56,FALSE)</f>
        <v>0</v>
      </c>
      <c r="E9" s="20">
        <f>VLOOKUP($B9,'Hypothèses '!$B$56:$K$66,'Hypothèses '!E$56,FALSE)</f>
        <v>0</v>
      </c>
      <c r="F9" s="20">
        <f>VLOOKUP($B9,'Hypothèses '!$B$56:$K$66,'Hypothèses '!F$56,FALSE)</f>
        <v>0</v>
      </c>
      <c r="G9" s="20">
        <f>VLOOKUP($B9,'Hypothèses '!$B$56:$K$66,'Hypothèses '!G$56,FALSE)</f>
        <v>0</v>
      </c>
      <c r="H9" s="20">
        <f>VLOOKUP($B9,'Hypothèses '!$B$56:$K$66,'Hypothèses '!H$56,FALSE)</f>
        <v>0</v>
      </c>
      <c r="I9" s="20">
        <f>VLOOKUP($B9,'Hypothèses '!$B$56:$K$66,'Hypothèses '!I$56,FALSE)</f>
        <v>0</v>
      </c>
      <c r="J9" s="20">
        <f>VLOOKUP($B9,'Hypothèses '!$B$56:$K$66,'Hypothèses '!J$56,FALSE)</f>
        <v>0</v>
      </c>
      <c r="K9" s="20">
        <f>VLOOKUP($B9,'Hypothèses '!$B$56:$K$66,'Hypothèses '!K$56,FALSE)</f>
        <v>0</v>
      </c>
      <c r="M9" t="s">
        <v>45</v>
      </c>
      <c r="N9" s="47">
        <v>0</v>
      </c>
      <c r="O9" s="47">
        <v>0.5</v>
      </c>
      <c r="P9" s="47">
        <v>1</v>
      </c>
      <c r="Q9" s="47">
        <v>2</v>
      </c>
      <c r="R9" s="47">
        <v>3</v>
      </c>
    </row>
    <row r="10" spans="1:18" ht="16" x14ac:dyDescent="0.2">
      <c r="B10" s="143" t="s">
        <v>49</v>
      </c>
      <c r="C10" s="20" t="e">
        <f>VLOOKUP($B10,'Hypothèses '!$B$56:$K$66,'Hypothèses '!C$56,FALSE)</f>
        <v>#N/A</v>
      </c>
      <c r="D10" s="20" t="e">
        <f>VLOOKUP($B10,'Hypothèses '!$B$56:$K$66,'Hypothèses '!D$56,FALSE)</f>
        <v>#N/A</v>
      </c>
      <c r="E10" s="20" t="e">
        <f>VLOOKUP($B10,'Hypothèses '!$B$56:$K$66,'Hypothèses '!E$56,FALSE)</f>
        <v>#N/A</v>
      </c>
      <c r="F10" s="20" t="e">
        <f>VLOOKUP($B10,'Hypothèses '!$B$56:$K$66,'Hypothèses '!F$56,FALSE)</f>
        <v>#N/A</v>
      </c>
      <c r="G10" s="20" t="e">
        <f>VLOOKUP($B10,'Hypothèses '!$B$56:$K$66,'Hypothèses '!G$56,FALSE)</f>
        <v>#N/A</v>
      </c>
      <c r="H10" s="20" t="e">
        <f>VLOOKUP($B10,'Hypothèses '!$B$56:$K$66,'Hypothèses '!H$56,FALSE)</f>
        <v>#N/A</v>
      </c>
      <c r="I10" s="20" t="e">
        <f>VLOOKUP($B10,'Hypothèses '!$B$56:$K$66,'Hypothèses '!I$56,FALSE)</f>
        <v>#N/A</v>
      </c>
      <c r="J10" s="20" t="e">
        <f>VLOOKUP($B10,'Hypothèses '!$B$56:$K$66,'Hypothèses '!J$56,FALSE)</f>
        <v>#N/A</v>
      </c>
      <c r="K10" s="20" t="e">
        <f>VLOOKUP($B10,'Hypothèses '!$B$56:$K$66,'Hypothèses '!K$56,FALSE)</f>
        <v>#N/A</v>
      </c>
      <c r="M10" t="s">
        <v>46</v>
      </c>
      <c r="N10" s="47">
        <v>0</v>
      </c>
      <c r="O10" s="47">
        <v>0.5</v>
      </c>
      <c r="P10" s="47">
        <v>1</v>
      </c>
      <c r="Q10" s="47">
        <v>1.5</v>
      </c>
      <c r="R10" s="47">
        <v>2</v>
      </c>
    </row>
    <row r="11" spans="1:18" ht="16" x14ac:dyDescent="0.2">
      <c r="B11" s="143" t="s">
        <v>50</v>
      </c>
      <c r="C11" s="20">
        <f>VLOOKUP($B11,'Hypothèses '!$B$56:$K$66,'Hypothèses '!C$56,FALSE)</f>
        <v>0</v>
      </c>
      <c r="D11" s="20">
        <f>VLOOKUP($B11,'Hypothèses '!$B$56:$K$66,'Hypothèses '!D$56,FALSE)</f>
        <v>1</v>
      </c>
      <c r="E11" s="20">
        <f>VLOOKUP($B11,'Hypothèses '!$B$56:$K$66,'Hypothèses '!E$56,FALSE)</f>
        <v>0</v>
      </c>
      <c r="F11" s="20">
        <f>VLOOKUP($B11,'Hypothèses '!$B$56:$K$66,'Hypothèses '!F$56,FALSE)</f>
        <v>0</v>
      </c>
      <c r="G11" s="20">
        <f>VLOOKUP($B11,'Hypothèses '!$B$56:$K$66,'Hypothèses '!G$56,FALSE)</f>
        <v>0</v>
      </c>
      <c r="H11" s="20">
        <f>VLOOKUP($B11,'Hypothèses '!$B$56:$K$66,'Hypothèses '!H$56,FALSE)</f>
        <v>0</v>
      </c>
      <c r="I11" s="20">
        <f>VLOOKUP($B11,'Hypothèses '!$B$56:$K$66,'Hypothèses '!I$56,FALSE)</f>
        <v>0</v>
      </c>
      <c r="J11" s="20">
        <f>VLOOKUP($B11,'Hypothèses '!$B$56:$K$66,'Hypothèses '!J$56,FALSE)</f>
        <v>0</v>
      </c>
      <c r="K11" s="20">
        <f>VLOOKUP($B11,'Hypothèses '!$B$56:$K$66,'Hypothèses '!K$56,FALSE)</f>
        <v>0</v>
      </c>
      <c r="M11" t="s">
        <v>47</v>
      </c>
      <c r="N11" s="47">
        <v>0.5</v>
      </c>
      <c r="O11" s="47">
        <v>1</v>
      </c>
      <c r="P11" s="47">
        <v>1.5</v>
      </c>
      <c r="Q11" s="47">
        <v>2</v>
      </c>
      <c r="R11" s="47">
        <v>2.5</v>
      </c>
    </row>
    <row r="12" spans="1:18" ht="16" x14ac:dyDescent="0.2">
      <c r="B12" s="143" t="s">
        <v>46</v>
      </c>
      <c r="C12" s="20">
        <f>VLOOKUP($B12,'Hypothèses '!$B$56:$K$66,'Hypothèses '!C$56,FALSE)</f>
        <v>0</v>
      </c>
      <c r="D12" s="20">
        <f>VLOOKUP($B12,'Hypothèses '!$B$56:$K$66,'Hypothèses '!D$56,FALSE)</f>
        <v>2</v>
      </c>
      <c r="E12" s="20">
        <f>VLOOKUP($B12,'Hypothèses '!$B$56:$K$66,'Hypothèses '!E$56,FALSE)</f>
        <v>0</v>
      </c>
      <c r="F12" s="20">
        <f>VLOOKUP($B12,'Hypothèses '!$B$56:$K$66,'Hypothèses '!F$56,FALSE)</f>
        <v>0</v>
      </c>
      <c r="G12" s="20">
        <f>VLOOKUP($B12,'Hypothèses '!$B$56:$K$66,'Hypothèses '!G$56,FALSE)</f>
        <v>0</v>
      </c>
      <c r="H12" s="20">
        <f>VLOOKUP($B12,'Hypothèses '!$B$56:$K$66,'Hypothèses '!H$56,FALSE)</f>
        <v>0</v>
      </c>
      <c r="I12" s="20">
        <f>VLOOKUP($B12,'Hypothèses '!$B$56:$K$66,'Hypothèses '!I$56,FALSE)</f>
        <v>0</v>
      </c>
      <c r="J12" s="20">
        <f>VLOOKUP($B12,'Hypothèses '!$B$56:$K$66,'Hypothèses '!J$56,FALSE)</f>
        <v>0</v>
      </c>
      <c r="K12" s="20">
        <f>VLOOKUP($B12,'Hypothèses '!$B$56:$K$66,'Hypothèses '!K$56,FALSE)</f>
        <v>0</v>
      </c>
    </row>
    <row r="13" spans="1:18" ht="16" x14ac:dyDescent="0.2">
      <c r="B13" s="143" t="s">
        <v>84</v>
      </c>
      <c r="C13" s="20">
        <v>0</v>
      </c>
      <c r="D13" s="20">
        <f>VLOOKUP($B13,'Hypothèses '!$B$56:$K$66,'Hypothèses '!D$56,FALSE)</f>
        <v>0</v>
      </c>
      <c r="E13" s="20">
        <f>VLOOKUP($B13,'Hypothèses '!$B$56:$K$66,'Hypothèses '!E$56,FALSE)</f>
        <v>0</v>
      </c>
      <c r="F13" s="20">
        <f>VLOOKUP($B13,'Hypothèses '!$B$56:$K$66,'Hypothèses '!F$56,FALSE)</f>
        <v>0</v>
      </c>
      <c r="G13" s="20">
        <f>VLOOKUP($B13,'Hypothèses '!$B$56:$K$66,'Hypothèses '!G$56,FALSE)</f>
        <v>0</v>
      </c>
      <c r="H13" s="20">
        <f>VLOOKUP($B13,'Hypothèses '!$B$56:$K$66,'Hypothèses '!H$56,FALSE)</f>
        <v>0</v>
      </c>
      <c r="I13" s="20">
        <f>VLOOKUP($B13,'Hypothèses '!$B$56:$K$66,'Hypothèses '!I$56,FALSE)</f>
        <v>0</v>
      </c>
      <c r="J13" s="20">
        <f>VLOOKUP($B13,'Hypothèses '!$B$56:$K$66,'Hypothèses '!J$56,FALSE)</f>
        <v>0</v>
      </c>
      <c r="K13" s="20">
        <f>VLOOKUP($B13,'Hypothèses '!$B$56:$K$66,'Hypothèses '!K$56,FALSE)</f>
        <v>0</v>
      </c>
    </row>
    <row r="14" spans="1:18" ht="16" x14ac:dyDescent="0.2">
      <c r="A14" s="55" t="s">
        <v>66</v>
      </c>
      <c r="B14" s="48"/>
    </row>
    <row r="15" spans="1:18" ht="16" x14ac:dyDescent="0.2">
      <c r="A15" t="s">
        <v>503</v>
      </c>
      <c r="B15" s="49" t="s">
        <v>51</v>
      </c>
      <c r="C15" s="20" t="e">
        <f>SUM(C16:C22)</f>
        <v>#N/A</v>
      </c>
      <c r="D15" s="20" t="e">
        <f>SUM(D16:D22)</f>
        <v>#N/A</v>
      </c>
      <c r="E15" s="20" t="e">
        <f t="shared" ref="E15:K15" si="1">SUM(E16:E22)</f>
        <v>#N/A</v>
      </c>
      <c r="F15" s="20" t="e">
        <f t="shared" si="1"/>
        <v>#N/A</v>
      </c>
      <c r="G15" s="20" t="e">
        <f t="shared" si="1"/>
        <v>#N/A</v>
      </c>
      <c r="H15" s="20" t="e">
        <f t="shared" si="1"/>
        <v>#N/A</v>
      </c>
      <c r="I15" s="20" t="e">
        <f t="shared" si="1"/>
        <v>#N/A</v>
      </c>
      <c r="J15" s="20" t="e">
        <f t="shared" si="1"/>
        <v>#N/A</v>
      </c>
      <c r="K15" s="20" t="e">
        <f t="shared" si="1"/>
        <v>#N/A</v>
      </c>
    </row>
    <row r="16" spans="1:18" ht="16" x14ac:dyDescent="0.2">
      <c r="B16" s="50" t="s">
        <v>63</v>
      </c>
      <c r="C16" s="20" t="e">
        <f>VLOOKUP($B16,'Hypothèses '!$B$68:$K$74,'Hypothèses '!C$56,FALSE)</f>
        <v>#N/A</v>
      </c>
      <c r="D16" s="20" t="e">
        <f>VLOOKUP($B16,'Hypothèses '!$B$68:$K$74,'Hypothèses '!D$56,FALSE)</f>
        <v>#N/A</v>
      </c>
      <c r="E16" s="20" t="e">
        <f>VLOOKUP($B16,'Hypothèses '!$B$68:$K$74,'Hypothèses '!E$56,FALSE)</f>
        <v>#N/A</v>
      </c>
      <c r="F16" s="20" t="e">
        <f>VLOOKUP($B16,'Hypothèses '!$B$68:$K$74,'Hypothèses '!F$56,FALSE)</f>
        <v>#N/A</v>
      </c>
      <c r="G16" s="20" t="e">
        <f>VLOOKUP($B16,'Hypothèses '!$B$68:$K$74,'Hypothèses '!G$56,FALSE)</f>
        <v>#N/A</v>
      </c>
      <c r="H16" s="20" t="e">
        <f>VLOOKUP($B16,'Hypothèses '!$B$68:$K$74,'Hypothèses '!H$56,FALSE)</f>
        <v>#N/A</v>
      </c>
      <c r="I16" s="20" t="e">
        <f>VLOOKUP($B16,'Hypothèses '!$B$68:$K$74,'Hypothèses '!I$56,FALSE)</f>
        <v>#N/A</v>
      </c>
      <c r="J16" s="20" t="e">
        <f>VLOOKUP($B16,'Hypothèses '!$B$68:$K$74,'Hypothèses '!J$56,FALSE)</f>
        <v>#N/A</v>
      </c>
      <c r="K16" s="20" t="e">
        <f>VLOOKUP($B16,'Hypothèses '!$B$68:$K$74,'Hypothèses '!K$56,FALSE)</f>
        <v>#N/A</v>
      </c>
    </row>
    <row r="17" spans="1:11" ht="16" x14ac:dyDescent="0.2">
      <c r="B17" s="50" t="s">
        <v>59</v>
      </c>
      <c r="C17" s="20">
        <f>VLOOKUP($B17,'Hypothèses '!$B$68:$K$74,'Hypothèses '!C$56,FALSE)</f>
        <v>0</v>
      </c>
      <c r="D17" s="20">
        <f>VLOOKUP($B17,'Hypothèses '!$B$68:$K$74,'Hypothèses '!D$56,FALSE)</f>
        <v>0</v>
      </c>
      <c r="E17" s="20">
        <f>VLOOKUP($B17,'Hypothèses '!$B$68:$K$74,'Hypothèses '!E$56,FALSE)</f>
        <v>0</v>
      </c>
      <c r="F17" s="20">
        <f>VLOOKUP($B17,'Hypothèses '!$B$68:$K$74,'Hypothèses '!F$56,FALSE)</f>
        <v>0</v>
      </c>
      <c r="G17" s="20">
        <f>VLOOKUP($B17,'Hypothèses '!$B$68:$K$74,'Hypothèses '!G$56,FALSE)</f>
        <v>0</v>
      </c>
      <c r="H17" s="20">
        <f>VLOOKUP($B17,'Hypothèses '!$B$68:$K$74,'Hypothèses '!H$56,FALSE)</f>
        <v>0</v>
      </c>
      <c r="I17" s="20">
        <f>VLOOKUP($B17,'Hypothèses '!$B$68:$K$74,'Hypothèses '!I$56,FALSE)</f>
        <v>0</v>
      </c>
      <c r="J17" s="20">
        <f>VLOOKUP($B17,'Hypothèses '!$B$68:$K$74,'Hypothèses '!J$56,FALSE)</f>
        <v>0</v>
      </c>
      <c r="K17" s="20">
        <f>VLOOKUP($B17,'Hypothèses '!$B$68:$K$74,'Hypothèses '!K$56,FALSE)</f>
        <v>0</v>
      </c>
    </row>
    <row r="18" spans="1:11" ht="16" x14ac:dyDescent="0.2">
      <c r="B18" s="50" t="s">
        <v>52</v>
      </c>
      <c r="C18" s="20">
        <f>VLOOKUP($B18,'Hypothèses '!$B$68:$K$74,'Hypothèses '!C$56,FALSE)</f>
        <v>0</v>
      </c>
      <c r="D18" s="20">
        <f>VLOOKUP($B18,'Hypothèses '!$B$68:$K$74,'Hypothèses '!D$56,FALSE)</f>
        <v>0</v>
      </c>
      <c r="E18" s="20">
        <f>VLOOKUP($B18,'Hypothèses '!$B$68:$K$74,'Hypothèses '!E$56,FALSE)</f>
        <v>0</v>
      </c>
      <c r="F18" s="20">
        <f>VLOOKUP($B18,'Hypothèses '!$B$68:$K$74,'Hypothèses '!F$56,FALSE)</f>
        <v>0</v>
      </c>
      <c r="G18" s="20">
        <f>VLOOKUP($B18,'Hypothèses '!$B$68:$K$74,'Hypothèses '!G$56,FALSE)</f>
        <v>0</v>
      </c>
      <c r="H18" s="20">
        <f>VLOOKUP($B18,'Hypothèses '!$B$68:$K$74,'Hypothèses '!H$56,FALSE)</f>
        <v>0</v>
      </c>
      <c r="I18" s="20">
        <f>VLOOKUP($B18,'Hypothèses '!$B$68:$K$74,'Hypothèses '!I$56,FALSE)</f>
        <v>0</v>
      </c>
      <c r="J18" s="20">
        <f>VLOOKUP($B18,'Hypothèses '!$B$68:$K$74,'Hypothèses '!J$56,FALSE)</f>
        <v>0</v>
      </c>
      <c r="K18" s="20">
        <f>VLOOKUP($B18,'Hypothèses '!$B$68:$K$74,'Hypothèses '!K$56,FALSE)</f>
        <v>0</v>
      </c>
    </row>
    <row r="19" spans="1:11" ht="16" x14ac:dyDescent="0.2">
      <c r="B19" s="50" t="s">
        <v>53</v>
      </c>
      <c r="C19" s="20">
        <f>VLOOKUP($B19,'Hypothèses '!$B$68:$K$74,'Hypothèses '!C$56,FALSE)</f>
        <v>0</v>
      </c>
      <c r="D19" s="20">
        <f>VLOOKUP($B19,'Hypothèses '!$B$68:$K$74,'Hypothèses '!D$56,FALSE)</f>
        <v>1</v>
      </c>
      <c r="E19" s="20">
        <f>VLOOKUP($B19,'Hypothèses '!$B$68:$K$74,'Hypothèses '!E$56,FALSE)</f>
        <v>0</v>
      </c>
      <c r="F19" s="20">
        <f>VLOOKUP($B19,'Hypothèses '!$B$68:$K$74,'Hypothèses '!F$56,FALSE)</f>
        <v>0</v>
      </c>
      <c r="G19" s="20">
        <f>VLOOKUP($B19,'Hypothèses '!$B$68:$K$74,'Hypothèses '!G$56,FALSE)</f>
        <v>0</v>
      </c>
      <c r="H19" s="20">
        <f>VLOOKUP($B19,'Hypothèses '!$B$68:$K$74,'Hypothèses '!H$56,FALSE)</f>
        <v>0</v>
      </c>
      <c r="I19" s="20">
        <f>VLOOKUP($B19,'Hypothèses '!$B$68:$K$74,'Hypothèses '!I$56,FALSE)</f>
        <v>0</v>
      </c>
      <c r="J19" s="20">
        <f>VLOOKUP($B19,'Hypothèses '!$B$68:$K$74,'Hypothèses '!J$56,FALSE)</f>
        <v>0</v>
      </c>
      <c r="K19" s="20">
        <f>VLOOKUP($B19,'Hypothèses '!$B$68:$K$74,'Hypothèses '!K$56,FALSE)</f>
        <v>0</v>
      </c>
    </row>
    <row r="20" spans="1:11" ht="16" x14ac:dyDescent="0.2">
      <c r="B20" s="50" t="s">
        <v>46</v>
      </c>
      <c r="C20" s="20">
        <f>VLOOKUP($B20,'Hypothèses '!$B$68:$K$74,'Hypothèses '!C$56,FALSE)</f>
        <v>0</v>
      </c>
      <c r="D20" s="20">
        <f>VLOOKUP($B20,'Hypothèses '!$B$68:$K$74,'Hypothèses '!D$56,FALSE)</f>
        <v>1</v>
      </c>
      <c r="E20" s="20">
        <f>VLOOKUP($B20,'Hypothèses '!$B$68:$K$74,'Hypothèses '!E$56,FALSE)</f>
        <v>0</v>
      </c>
      <c r="F20" s="20">
        <f>VLOOKUP($B20,'Hypothèses '!$B$68:$K$74,'Hypothèses '!F$56,FALSE)</f>
        <v>0</v>
      </c>
      <c r="G20" s="20">
        <f>VLOOKUP($B20,'Hypothèses '!$B$68:$K$74,'Hypothèses '!G$56,FALSE)</f>
        <v>0</v>
      </c>
      <c r="H20" s="20">
        <f>VLOOKUP($B20,'Hypothèses '!$B$68:$K$74,'Hypothèses '!H$56,FALSE)</f>
        <v>0</v>
      </c>
      <c r="I20" s="20">
        <f>VLOOKUP($B20,'Hypothèses '!$B$68:$K$74,'Hypothèses '!I$56,FALSE)</f>
        <v>0</v>
      </c>
      <c r="J20" s="20">
        <f>VLOOKUP($B20,'Hypothèses '!$B$68:$K$74,'Hypothèses '!J$56,FALSE)</f>
        <v>0</v>
      </c>
      <c r="K20" s="20">
        <f>VLOOKUP($B20,'Hypothèses '!$B$68:$K$74,'Hypothèses '!K$56,FALSE)</f>
        <v>0</v>
      </c>
    </row>
    <row r="21" spans="1:11" ht="16" x14ac:dyDescent="0.2">
      <c r="B21" s="50" t="s">
        <v>47</v>
      </c>
      <c r="C21" s="20">
        <f>VLOOKUP($B21,'Hypothèses '!$B$68:$K$74,'Hypothèses '!C$56,FALSE)</f>
        <v>0</v>
      </c>
      <c r="D21" s="20">
        <f>VLOOKUP($B21,'Hypothèses '!$B$68:$K$74,'Hypothèses '!D$56,FALSE)</f>
        <v>0</v>
      </c>
      <c r="E21" s="20">
        <f>VLOOKUP($B21,'Hypothèses '!$B$68:$K$74,'Hypothèses '!E$56,FALSE)</f>
        <v>0</v>
      </c>
      <c r="F21" s="20">
        <f>VLOOKUP($B21,'Hypothèses '!$B$68:$K$74,'Hypothèses '!F$56,FALSE)</f>
        <v>0</v>
      </c>
      <c r="G21" s="20">
        <f>VLOOKUP($B21,'Hypothèses '!$B$68:$K$74,'Hypothèses '!G$56,FALSE)</f>
        <v>0</v>
      </c>
      <c r="H21" s="20">
        <f>VLOOKUP($B21,'Hypothèses '!$B$68:$K$74,'Hypothèses '!H$56,FALSE)</f>
        <v>0</v>
      </c>
      <c r="I21" s="20">
        <f>VLOOKUP($B21,'Hypothèses '!$B$68:$K$74,'Hypothèses '!I$56,FALSE)</f>
        <v>0</v>
      </c>
      <c r="J21" s="20">
        <f>VLOOKUP($B21,'Hypothèses '!$B$68:$K$74,'Hypothèses '!J$56,FALSE)</f>
        <v>0</v>
      </c>
      <c r="K21" s="20">
        <f>VLOOKUP($B21,'Hypothèses '!$B$68:$K$74,'Hypothèses '!K$56,FALSE)</f>
        <v>0</v>
      </c>
    </row>
    <row r="22" spans="1:11" ht="16" x14ac:dyDescent="0.2">
      <c r="A22" s="55" t="s">
        <v>66</v>
      </c>
      <c r="B22" s="50" t="s">
        <v>85</v>
      </c>
      <c r="C22" s="20">
        <f>VLOOKUP($B22,'Hypothèses '!$B$68:$K$74,'Hypothèses '!C$56,FALSE)</f>
        <v>0</v>
      </c>
      <c r="D22" s="20">
        <f>VLOOKUP($B22,'Hypothèses '!$B$68:$K$74,'Hypothèses '!D$56,FALSE)</f>
        <v>2</v>
      </c>
      <c r="E22" s="20">
        <f>VLOOKUP($B22,'Hypothèses '!$B$68:$K$74,'Hypothèses '!E$56,FALSE)</f>
        <v>0</v>
      </c>
      <c r="F22" s="20">
        <f>VLOOKUP($B22,'Hypothèses '!$B$68:$K$74,'Hypothèses '!F$56,FALSE)</f>
        <v>0</v>
      </c>
      <c r="G22" s="20">
        <f>VLOOKUP($B22,'Hypothèses '!$B$68:$K$74,'Hypothèses '!G$56,FALSE)</f>
        <v>0</v>
      </c>
      <c r="H22" s="20">
        <f>VLOOKUP($B22,'Hypothèses '!$B$68:$K$74,'Hypothèses '!H$56,FALSE)</f>
        <v>0</v>
      </c>
      <c r="I22" s="20">
        <f>VLOOKUP($B22,'Hypothèses '!$B$68:$K$74,'Hypothèses '!I$56,FALSE)</f>
        <v>0</v>
      </c>
      <c r="J22" s="20">
        <f>VLOOKUP($B22,'Hypothèses '!$B$68:$K$74,'Hypothèses '!J$56,FALSE)</f>
        <v>0</v>
      </c>
      <c r="K22" s="20">
        <f>VLOOKUP($B22,'Hypothèses '!$B$68:$K$74,'Hypothèses '!K$56,FALSE)</f>
        <v>0</v>
      </c>
    </row>
    <row r="23" spans="1:11" ht="16" x14ac:dyDescent="0.2">
      <c r="A23" t="s">
        <v>503</v>
      </c>
      <c r="B23" s="48"/>
    </row>
    <row r="24" spans="1:11" ht="16" x14ac:dyDescent="0.2">
      <c r="B24" s="144" t="s">
        <v>54</v>
      </c>
      <c r="C24" s="20" t="e">
        <f>SUM(C25:C32)</f>
        <v>#N/A</v>
      </c>
      <c r="D24" s="20" t="e">
        <f>SUM(D25:D32)</f>
        <v>#N/A</v>
      </c>
      <c r="E24" s="20" t="e">
        <f t="shared" ref="E24:K24" si="2">SUM(E25:E32)</f>
        <v>#N/A</v>
      </c>
      <c r="F24" s="20" t="e">
        <f t="shared" si="2"/>
        <v>#N/A</v>
      </c>
      <c r="G24" s="20" t="e">
        <f t="shared" si="2"/>
        <v>#N/A</v>
      </c>
      <c r="H24" s="20" t="e">
        <f t="shared" si="2"/>
        <v>#N/A</v>
      </c>
      <c r="I24" s="20" t="e">
        <f t="shared" si="2"/>
        <v>#N/A</v>
      </c>
      <c r="J24" s="20" t="e">
        <f t="shared" si="2"/>
        <v>#N/A</v>
      </c>
      <c r="K24" s="20" t="e">
        <f t="shared" si="2"/>
        <v>#N/A</v>
      </c>
    </row>
    <row r="25" spans="1:11" ht="16" x14ac:dyDescent="0.2">
      <c r="B25" s="145" t="s">
        <v>64</v>
      </c>
      <c r="C25" s="20" t="e">
        <f>VLOOKUP($B25,'Hypothèses '!$B$76:$K$83,'Hypothèses '!C$56,FALSE)</f>
        <v>#N/A</v>
      </c>
      <c r="D25" s="20" t="e">
        <f>VLOOKUP($B25,'Hypothèses '!$B$76:$K$83,'Hypothèses '!D$56,FALSE)</f>
        <v>#N/A</v>
      </c>
      <c r="E25" s="20" t="e">
        <f>VLOOKUP($B25,'Hypothèses '!$B$76:$K$83,'Hypothèses '!E$56,FALSE)</f>
        <v>#N/A</v>
      </c>
      <c r="F25" s="20" t="e">
        <f>VLOOKUP($B25,'Hypothèses '!$B$76:$K$83,'Hypothèses '!F$56,FALSE)</f>
        <v>#N/A</v>
      </c>
      <c r="G25" s="20" t="e">
        <f>VLOOKUP($B25,'Hypothèses '!$B$76:$K$83,'Hypothèses '!G$56,FALSE)</f>
        <v>#N/A</v>
      </c>
      <c r="H25" s="20" t="e">
        <f>VLOOKUP($B25,'Hypothèses '!$B$76:$K$83,'Hypothèses '!H$56,FALSE)</f>
        <v>#N/A</v>
      </c>
      <c r="I25" s="20" t="e">
        <f>VLOOKUP($B25,'Hypothèses '!$B$76:$K$83,'Hypothèses '!I$56,FALSE)</f>
        <v>#N/A</v>
      </c>
      <c r="J25" s="20" t="e">
        <f>VLOOKUP($B25,'Hypothèses '!$B$76:$K$83,'Hypothèses '!J$56,FALSE)</f>
        <v>#N/A</v>
      </c>
      <c r="K25" s="20" t="e">
        <f>VLOOKUP($B25,'Hypothèses '!$B$76:$K$83,'Hypothèses '!K$56,FALSE)</f>
        <v>#N/A</v>
      </c>
    </row>
    <row r="26" spans="1:11" ht="16" x14ac:dyDescent="0.2">
      <c r="B26" s="145" t="s">
        <v>65</v>
      </c>
      <c r="C26" s="20">
        <f>VLOOKUP($B26,'Hypothèses '!$B$76:$K$83,'Hypothèses '!C$56,FALSE)</f>
        <v>1</v>
      </c>
      <c r="D26" s="20">
        <f>VLOOKUP($B26,'Hypothèses '!$B$76:$K$83,'Hypothèses '!D$56,FALSE)</f>
        <v>1</v>
      </c>
      <c r="E26" s="20">
        <f>VLOOKUP($B26,'Hypothèses '!$B$76:$K$83,'Hypothèses '!E$56,FALSE)</f>
        <v>1</v>
      </c>
      <c r="F26" s="20">
        <f>VLOOKUP($B26,'Hypothèses '!$B$76:$K$83,'Hypothèses '!F$56,FALSE)</f>
        <v>1</v>
      </c>
      <c r="G26" s="20">
        <f>VLOOKUP($B26,'Hypothèses '!$B$76:$K$83,'Hypothèses '!G$56,FALSE)</f>
        <v>1</v>
      </c>
      <c r="H26" s="20">
        <f>VLOOKUP($B26,'Hypothèses '!$B$76:$K$83,'Hypothèses '!H$56,FALSE)</f>
        <v>1</v>
      </c>
      <c r="I26" s="20">
        <f>VLOOKUP($B26,'Hypothèses '!$B$76:$K$83,'Hypothèses '!I$56,FALSE)</f>
        <v>1</v>
      </c>
      <c r="J26" s="20">
        <f>VLOOKUP($B26,'Hypothèses '!$B$76:$K$83,'Hypothèses '!J$56,FALSE)</f>
        <v>1</v>
      </c>
      <c r="K26" s="20">
        <f>VLOOKUP($B26,'Hypothèses '!$B$76:$K$83,'Hypothèses '!K$56,FALSE)</f>
        <v>1</v>
      </c>
    </row>
    <row r="27" spans="1:11" ht="16" x14ac:dyDescent="0.2">
      <c r="B27" s="145" t="s">
        <v>53</v>
      </c>
      <c r="C27" s="20">
        <f>VLOOKUP($B27,'Hypothèses '!$B$76:$K$83,'Hypothèses '!C$56,FALSE)</f>
        <v>11</v>
      </c>
      <c r="D27" s="20">
        <f>VLOOKUP($B27,'Hypothèses '!$B$76:$K$83,'Hypothèses '!D$56,FALSE)</f>
        <v>14</v>
      </c>
      <c r="E27" s="20">
        <f>VLOOKUP($B27,'Hypothèses '!$B$76:$K$83,'Hypothèses '!E$56,FALSE)</f>
        <v>14</v>
      </c>
      <c r="F27" s="20">
        <f>VLOOKUP($B27,'Hypothèses '!$B$76:$K$83,'Hypothèses '!F$56,FALSE)</f>
        <v>14</v>
      </c>
      <c r="G27" s="20">
        <f>VLOOKUP($B27,'Hypothèses '!$B$76:$K$83,'Hypothèses '!G$56,FALSE)</f>
        <v>14</v>
      </c>
      <c r="H27" s="20">
        <f>VLOOKUP($B27,'Hypothèses '!$B$76:$K$83,'Hypothèses '!H$56,FALSE)</f>
        <v>14</v>
      </c>
      <c r="I27" s="20">
        <f>VLOOKUP($B27,'Hypothèses '!$B$76:$K$83,'Hypothèses '!I$56,FALSE)</f>
        <v>14</v>
      </c>
      <c r="J27" s="20">
        <f>VLOOKUP($B27,'Hypothèses '!$B$76:$K$83,'Hypothèses '!J$56,FALSE)</f>
        <v>14</v>
      </c>
      <c r="K27" s="20">
        <f>VLOOKUP($B27,'Hypothèses '!$B$76:$K$83,'Hypothèses '!K$56,FALSE)</f>
        <v>14</v>
      </c>
    </row>
    <row r="28" spans="1:11" ht="16" x14ac:dyDescent="0.2">
      <c r="B28" s="145" t="s">
        <v>46</v>
      </c>
      <c r="C28" s="20">
        <f>VLOOKUP($B28,'Hypothèses '!$B$76:$K$83,'Hypothèses '!C$56,FALSE)</f>
        <v>1</v>
      </c>
      <c r="D28" s="20">
        <f>VLOOKUP($B28,'Hypothèses '!$B$76:$K$83,'Hypothèses '!D$56,FALSE)</f>
        <v>2</v>
      </c>
      <c r="E28" s="20">
        <f>VLOOKUP($B28,'Hypothèses '!$B$76:$K$83,'Hypothèses '!E$56,FALSE)</f>
        <v>2</v>
      </c>
      <c r="F28" s="20">
        <f>VLOOKUP($B28,'Hypothèses '!$B$76:$K$83,'Hypothèses '!F$56,FALSE)</f>
        <v>2</v>
      </c>
      <c r="G28" s="20">
        <f>VLOOKUP($B28,'Hypothèses '!$B$76:$K$83,'Hypothèses '!G$56,FALSE)</f>
        <v>2</v>
      </c>
      <c r="H28" s="20">
        <f>VLOOKUP($B28,'Hypothèses '!$B$76:$K$83,'Hypothèses '!H$56,FALSE)</f>
        <v>2</v>
      </c>
      <c r="I28" s="20">
        <f>VLOOKUP($B28,'Hypothèses '!$B$76:$K$83,'Hypothèses '!I$56,FALSE)</f>
        <v>2</v>
      </c>
      <c r="J28" s="20">
        <f>VLOOKUP($B28,'Hypothèses '!$B$76:$K$83,'Hypothèses '!J$56,FALSE)</f>
        <v>2</v>
      </c>
      <c r="K28" s="20">
        <f>VLOOKUP($B28,'Hypothèses '!$B$76:$K$83,'Hypothèses '!K$56,FALSE)</f>
        <v>2</v>
      </c>
    </row>
    <row r="29" spans="1:11" ht="16" x14ac:dyDescent="0.2">
      <c r="B29" s="145" t="s">
        <v>47</v>
      </c>
      <c r="C29" s="20">
        <f>VLOOKUP($B29,'Hypothèses '!$B$76:$K$83,'Hypothèses '!C$56,FALSE)</f>
        <v>1</v>
      </c>
      <c r="D29" s="20">
        <f>VLOOKUP($B29,'Hypothèses '!$B$76:$K$83,'Hypothèses '!D$56,FALSE)</f>
        <v>2</v>
      </c>
      <c r="E29" s="20">
        <f>VLOOKUP($B29,'Hypothèses '!$B$76:$K$83,'Hypothèses '!E$56,FALSE)</f>
        <v>2</v>
      </c>
      <c r="F29" s="20">
        <f>VLOOKUP($B29,'Hypothèses '!$B$76:$K$83,'Hypothèses '!F$56,FALSE)</f>
        <v>2</v>
      </c>
      <c r="G29" s="20">
        <f>VLOOKUP($B29,'Hypothèses '!$B$76:$K$83,'Hypothèses '!G$56,FALSE)</f>
        <v>2</v>
      </c>
      <c r="H29" s="20">
        <f>VLOOKUP($B29,'Hypothèses '!$B$76:$K$83,'Hypothèses '!H$56,FALSE)</f>
        <v>2</v>
      </c>
      <c r="I29" s="20">
        <f>VLOOKUP($B29,'Hypothèses '!$B$76:$K$83,'Hypothèses '!I$56,FALSE)</f>
        <v>2</v>
      </c>
      <c r="J29" s="20">
        <f>VLOOKUP($B29,'Hypothèses '!$B$76:$K$83,'Hypothèses '!J$56,FALSE)</f>
        <v>2</v>
      </c>
      <c r="K29" s="20">
        <f>VLOOKUP($B29,'Hypothèses '!$B$76:$K$83,'Hypothèses '!K$56,FALSE)</f>
        <v>2</v>
      </c>
    </row>
    <row r="30" spans="1:11" ht="16" x14ac:dyDescent="0.2">
      <c r="B30" s="145" t="s">
        <v>55</v>
      </c>
      <c r="C30" s="20">
        <f>VLOOKUP($B30,'Hypothèses '!$B$76:$K$83,'Hypothèses '!C$56,FALSE)</f>
        <v>2</v>
      </c>
      <c r="D30" s="20">
        <f>VLOOKUP($B30,'Hypothèses '!$B$76:$K$83,'Hypothèses '!D$56,FALSE)</f>
        <v>1</v>
      </c>
      <c r="E30" s="20">
        <f>VLOOKUP($B30,'Hypothèses '!$B$76:$K$83,'Hypothèses '!E$56,FALSE)</f>
        <v>1</v>
      </c>
      <c r="F30" s="20">
        <f>VLOOKUP($B30,'Hypothèses '!$B$76:$K$83,'Hypothèses '!F$56,FALSE)</f>
        <v>1</v>
      </c>
      <c r="G30" s="20">
        <f>VLOOKUP($B30,'Hypothèses '!$B$76:$K$83,'Hypothèses '!G$56,FALSE)</f>
        <v>1</v>
      </c>
      <c r="H30" s="20">
        <f>VLOOKUP($B30,'Hypothèses '!$B$76:$K$83,'Hypothèses '!H$56,FALSE)</f>
        <v>1</v>
      </c>
      <c r="I30" s="20">
        <f>VLOOKUP($B30,'Hypothèses '!$B$76:$K$83,'Hypothèses '!I$56,FALSE)</f>
        <v>1</v>
      </c>
      <c r="J30" s="20">
        <f>VLOOKUP($B30,'Hypothèses '!$B$76:$K$83,'Hypothèses '!J$56,FALSE)</f>
        <v>1</v>
      </c>
      <c r="K30" s="20">
        <f>VLOOKUP($B30,'Hypothèses '!$B$76:$K$83,'Hypothèses '!K$56,FALSE)</f>
        <v>1</v>
      </c>
    </row>
    <row r="31" spans="1:11" ht="16" x14ac:dyDescent="0.2">
      <c r="B31" s="145" t="s">
        <v>56</v>
      </c>
      <c r="C31" s="20">
        <f>VLOOKUP($B31,'Hypothèses '!$B$76:$K$83,'Hypothèses '!C$56,FALSE)</f>
        <v>1</v>
      </c>
      <c r="D31" s="20">
        <f>VLOOKUP($B31,'Hypothèses '!$B$76:$K$83,'Hypothèses '!D$56,FALSE)</f>
        <v>0</v>
      </c>
      <c r="E31" s="20">
        <f>VLOOKUP($B31,'Hypothèses '!$B$76:$K$83,'Hypothèses '!E$56,FALSE)</f>
        <v>0</v>
      </c>
      <c r="F31" s="20">
        <f>VLOOKUP($B31,'Hypothèses '!$B$76:$K$83,'Hypothèses '!F$56,FALSE)</f>
        <v>0</v>
      </c>
      <c r="G31" s="20">
        <f>VLOOKUP($B31,'Hypothèses '!$B$76:$K$83,'Hypothèses '!G$56,FALSE)</f>
        <v>0</v>
      </c>
      <c r="H31" s="20">
        <f>VLOOKUP($B31,'Hypothèses '!$B$76:$K$83,'Hypothèses '!H$56,FALSE)</f>
        <v>0</v>
      </c>
      <c r="I31" s="20">
        <f>VLOOKUP($B31,'Hypothèses '!$B$76:$K$83,'Hypothèses '!I$56,FALSE)</f>
        <v>0</v>
      </c>
      <c r="J31" s="20">
        <f>VLOOKUP($B31,'Hypothèses '!$B$76:$K$83,'Hypothèses '!J$56,FALSE)</f>
        <v>0</v>
      </c>
      <c r="K31" s="20">
        <f>VLOOKUP($B31,'Hypothèses '!$B$76:$K$83,'Hypothèses '!K$56,FALSE)</f>
        <v>0</v>
      </c>
    </row>
    <row r="32" spans="1:11" ht="16" x14ac:dyDescent="0.2">
      <c r="B32" s="145" t="s">
        <v>86</v>
      </c>
      <c r="C32" s="20">
        <f>VLOOKUP($B32,'Hypothèses '!$B$76:$K$83,'Hypothèses '!C$56,FALSE)</f>
        <v>2</v>
      </c>
      <c r="D32" s="20">
        <f>VLOOKUP($B32,'Hypothèses '!$B$76:$K$83,'Hypothèses '!D$56,FALSE)</f>
        <v>0</v>
      </c>
      <c r="E32" s="20">
        <f>VLOOKUP($B32,'Hypothèses '!$B$76:$K$83,'Hypothèses '!E$56,FALSE)</f>
        <v>0</v>
      </c>
      <c r="F32" s="20">
        <f>VLOOKUP($B32,'Hypothèses '!$B$76:$K$83,'Hypothèses '!F$56,FALSE)</f>
        <v>0</v>
      </c>
      <c r="G32" s="20">
        <f>VLOOKUP($B32,'Hypothèses '!$B$76:$K$83,'Hypothèses '!G$56,FALSE)</f>
        <v>0</v>
      </c>
      <c r="H32" s="20">
        <f>VLOOKUP($B32,'Hypothèses '!$B$76:$K$83,'Hypothèses '!H$56,FALSE)</f>
        <v>0</v>
      </c>
      <c r="I32" s="20">
        <f>VLOOKUP($B32,'Hypothèses '!$B$76:$K$83,'Hypothèses '!I$56,FALSE)</f>
        <v>0</v>
      </c>
      <c r="J32" s="20">
        <f>VLOOKUP($B32,'Hypothèses '!$B$76:$K$83,'Hypothèses '!J$56,FALSE)</f>
        <v>0</v>
      </c>
      <c r="K32" s="20">
        <f>VLOOKUP($B32,'Hypothèses '!$B$76:$K$83,'Hypothèses '!K$56,FALSE)</f>
        <v>0</v>
      </c>
    </row>
    <row r="33" spans="1:11" ht="16" x14ac:dyDescent="0.2">
      <c r="B33" s="145"/>
    </row>
    <row r="34" spans="1:11" ht="19" x14ac:dyDescent="0.25">
      <c r="A34" s="324" t="s">
        <v>68</v>
      </c>
      <c r="B34" s="84"/>
      <c r="C34" s="264"/>
      <c r="D34" s="322">
        <f>'Hypothèses '!C9</f>
        <v>2024</v>
      </c>
      <c r="E34" s="322">
        <f>D34+1</f>
        <v>2025</v>
      </c>
      <c r="F34" s="322">
        <f t="shared" ref="F34" si="3">E34+1</f>
        <v>2026</v>
      </c>
      <c r="G34" s="322">
        <f t="shared" ref="G34" si="4">F34+1</f>
        <v>2027</v>
      </c>
      <c r="H34" s="322">
        <f t="shared" ref="H34" si="5">G34+1</f>
        <v>2028</v>
      </c>
      <c r="I34" s="322">
        <f t="shared" ref="I34" si="6">H34+1</f>
        <v>2029</v>
      </c>
      <c r="J34" s="322">
        <f t="shared" ref="J34" si="7">I34+1</f>
        <v>2030</v>
      </c>
      <c r="K34" s="322">
        <f t="shared" ref="K34" si="8">J34+1</f>
        <v>2031</v>
      </c>
    </row>
    <row r="35" spans="1:11" x14ac:dyDescent="0.2">
      <c r="A35" s="325"/>
      <c r="B35" s="323" t="s">
        <v>655</v>
      </c>
      <c r="C35" s="264"/>
      <c r="D35" s="326">
        <f>HLOOKUP(D$34,'Hypothèses '!$C$34:$K$35,2,FALSE)</f>
        <v>0</v>
      </c>
      <c r="E35" s="326">
        <f>HLOOKUP(E$34,'Hypothèses '!$C$34:$K$35,2,FALSE)</f>
        <v>0</v>
      </c>
      <c r="F35" s="326">
        <f>HLOOKUP(F$34,'Hypothèses '!$C$34:$K$35,2,FALSE)</f>
        <v>0</v>
      </c>
      <c r="G35" s="326">
        <f>HLOOKUP(G$34,'Hypothèses '!$C$34:$K$35,2,FALSE)</f>
        <v>0</v>
      </c>
      <c r="H35" s="326">
        <f>HLOOKUP(H$34,'Hypothèses '!$C$34:$K$35,2,FALSE)</f>
        <v>0</v>
      </c>
      <c r="I35" s="326">
        <f>HLOOKUP(I$34,'Hypothèses '!$C$34:$K$35,2,FALSE)</f>
        <v>0</v>
      </c>
      <c r="J35" s="326">
        <f>HLOOKUP(J$34,'Hypothèses '!$C$34:$K$35,2,FALSE)</f>
        <v>0</v>
      </c>
      <c r="K35" s="326">
        <f>HLOOKUP(K$34,'Hypothèses '!$C$34:$K$35,2,FALSE)</f>
        <v>0</v>
      </c>
    </row>
    <row r="36" spans="1:11" x14ac:dyDescent="0.2">
      <c r="A36" s="325"/>
      <c r="B36" s="323" t="s">
        <v>656</v>
      </c>
      <c r="C36" s="264"/>
      <c r="D36" s="326">
        <f>HLOOKUP(D$34,'Hypothèses '!$C$34:$K$40,7,FALSE)</f>
        <v>0</v>
      </c>
      <c r="E36" s="326">
        <f>HLOOKUP(E$34,'Hypothèses '!$C$34:$K$40,7,FALSE)</f>
        <v>0</v>
      </c>
      <c r="F36" s="326">
        <f>HLOOKUP(F$34,'Hypothèses '!$C$34:$K$40,7,FALSE)</f>
        <v>0</v>
      </c>
      <c r="G36" s="326">
        <f>HLOOKUP(G$34,'Hypothèses '!$C$34:$K$40,7,FALSE)</f>
        <v>0</v>
      </c>
      <c r="H36" s="326">
        <f>HLOOKUP(H$34,'Hypothèses '!$C$34:$K$40,7,FALSE)</f>
        <v>0</v>
      </c>
      <c r="I36" s="326">
        <f>HLOOKUP(I$34,'Hypothèses '!$C$34:$K$40,7,FALSE)</f>
        <v>0</v>
      </c>
      <c r="J36" s="326">
        <f>HLOOKUP(J$34,'Hypothèses '!$C$34:$K$40,7,FALSE)</f>
        <v>0</v>
      </c>
      <c r="K36" s="326">
        <f>HLOOKUP(K$34,'Hypothèses '!$C$34:$K$40,7,FALSE)</f>
        <v>0</v>
      </c>
    </row>
    <row r="37" spans="1:11" x14ac:dyDescent="0.2">
      <c r="A37" s="325"/>
      <c r="B37" s="323" t="s">
        <v>657</v>
      </c>
      <c r="C37" s="264"/>
      <c r="D37" s="327">
        <f>HLOOKUP(D$34,'Hypothèses '!$C$34:$K$40,5,FALSE)</f>
        <v>0.25</v>
      </c>
      <c r="E37" s="327">
        <f>HLOOKUP(E$34,'Hypothèses '!$C$34:$K$40,5,FALSE)</f>
        <v>0.25</v>
      </c>
      <c r="F37" s="327">
        <f>HLOOKUP(F$34,'Hypothèses '!$C$34:$K$40,5,FALSE)</f>
        <v>0.25</v>
      </c>
      <c r="G37" s="327">
        <f>HLOOKUP(G$34,'Hypothèses '!$C$34:$K$40,5,FALSE)</f>
        <v>0.25</v>
      </c>
      <c r="H37" s="327">
        <f>HLOOKUP(H$34,'Hypothèses '!$C$34:$K$40,5,FALSE)</f>
        <v>0.25</v>
      </c>
      <c r="I37" s="327">
        <f>HLOOKUP(I$34,'Hypothèses '!$C$34:$K$40,5,FALSE)</f>
        <v>0.25</v>
      </c>
      <c r="J37" s="327">
        <f>HLOOKUP(J$34,'Hypothèses '!$C$34:$K$40,5,FALSE)</f>
        <v>0.25</v>
      </c>
      <c r="K37" s="327">
        <f>HLOOKUP(K$34,'Hypothèses '!$C$34:$K$40,5,FALSE)</f>
        <v>0.25</v>
      </c>
    </row>
    <row r="38" spans="1:11" ht="16" x14ac:dyDescent="0.2">
      <c r="A38" s="64" t="s">
        <v>69</v>
      </c>
      <c r="B38" s="65"/>
      <c r="C38" s="88" t="str">
        <f>C$4</f>
        <v>2023/2024</v>
      </c>
      <c r="D38" s="88" t="str">
        <f t="shared" ref="D38:K38" si="9">D$4</f>
        <v>2024/2025</v>
      </c>
      <c r="E38" s="88" t="str">
        <f t="shared" si="9"/>
        <v>2025/2026</v>
      </c>
      <c r="F38" s="88" t="str">
        <f t="shared" si="9"/>
        <v>2026/2027</v>
      </c>
      <c r="G38" s="88" t="str">
        <f t="shared" si="9"/>
        <v>2027/2028</v>
      </c>
      <c r="H38" s="88" t="str">
        <f t="shared" si="9"/>
        <v>2028/2029</v>
      </c>
      <c r="I38" s="88" t="str">
        <f t="shared" si="9"/>
        <v>2029/2030</v>
      </c>
      <c r="J38" s="88" t="str">
        <f t="shared" si="9"/>
        <v>2030/2031</v>
      </c>
      <c r="K38" s="88" t="str">
        <f t="shared" si="9"/>
        <v>2031/2032</v>
      </c>
    </row>
    <row r="39" spans="1:11" ht="16" x14ac:dyDescent="0.2">
      <c r="A39" s="64" t="s">
        <v>667</v>
      </c>
      <c r="B39" s="65"/>
      <c r="C39" s="374" t="e">
        <f>C40+C60</f>
        <v>#N/A</v>
      </c>
      <c r="D39" s="374" t="e">
        <f t="shared" ref="D39:K39" si="10">D40+D60</f>
        <v>#N/A</v>
      </c>
      <c r="E39" s="374" t="e">
        <f t="shared" si="10"/>
        <v>#N/A</v>
      </c>
      <c r="F39" s="374" t="e">
        <f t="shared" si="10"/>
        <v>#N/A</v>
      </c>
      <c r="G39" s="374" t="e">
        <f t="shared" si="10"/>
        <v>#N/A</v>
      </c>
      <c r="H39" s="374" t="e">
        <f t="shared" si="10"/>
        <v>#N/A</v>
      </c>
      <c r="I39" s="374" t="e">
        <f t="shared" si="10"/>
        <v>#N/A</v>
      </c>
      <c r="J39" s="374" t="e">
        <f t="shared" si="10"/>
        <v>#N/A</v>
      </c>
      <c r="K39" s="374" t="e">
        <f t="shared" si="10"/>
        <v>#N/A</v>
      </c>
    </row>
    <row r="40" spans="1:11" x14ac:dyDescent="0.2">
      <c r="A40" s="66" t="s">
        <v>70</v>
      </c>
      <c r="B40" s="65"/>
      <c r="C40" s="373" t="e">
        <f t="shared" ref="C40:K40" si="11">SUM(C42:C49)+SUM(C52:C58)+C65</f>
        <v>#N/A</v>
      </c>
      <c r="D40" s="373" t="e">
        <f t="shared" si="11"/>
        <v>#N/A</v>
      </c>
      <c r="E40" s="373" t="e">
        <f t="shared" si="11"/>
        <v>#N/A</v>
      </c>
      <c r="F40" s="373" t="e">
        <f t="shared" si="11"/>
        <v>#N/A</v>
      </c>
      <c r="G40" s="373" t="e">
        <f t="shared" si="11"/>
        <v>#N/A</v>
      </c>
      <c r="H40" s="373" t="e">
        <f t="shared" si="11"/>
        <v>#N/A</v>
      </c>
      <c r="I40" s="373" t="e">
        <f t="shared" si="11"/>
        <v>#N/A</v>
      </c>
      <c r="J40" s="373" t="e">
        <f t="shared" si="11"/>
        <v>#N/A</v>
      </c>
      <c r="K40" s="373" t="e">
        <f t="shared" si="11"/>
        <v>#N/A</v>
      </c>
    </row>
    <row r="41" spans="1:11" x14ac:dyDescent="0.2">
      <c r="A41" s="65" t="s">
        <v>67</v>
      </c>
      <c r="B41" s="168" t="s">
        <v>652</v>
      </c>
      <c r="C41" s="319">
        <f>HLOOKUP(C38,'Projection Effectifs'!$S$31:$AC$35,2,FALSE)</f>
        <v>0</v>
      </c>
      <c r="D41" s="319">
        <f>HLOOKUP(D38,'Projection Effectifs'!$S$31:$AC$35,2,FALSE)</f>
        <v>0.1631403118040089</v>
      </c>
      <c r="E41" s="319">
        <f>HLOOKUP(E38,'Projection Effectifs'!$S$31:$AC$35,2,FALSE)</f>
        <v>0.14904109589041095</v>
      </c>
      <c r="F41" s="319">
        <f>HLOOKUP(F38,'Projection Effectifs'!$S$31:$AC$35,2,FALSE)</f>
        <v>0.11380281690140845</v>
      </c>
      <c r="G41" s="319">
        <f>HLOOKUP(G38,'Projection Effectifs'!$S$31:$AC$35,2,FALSE)</f>
        <v>0.11117612638970158</v>
      </c>
      <c r="H41" s="319">
        <f>HLOOKUP(H38,'Projection Effectifs'!$S$31:$AC$35,2,FALSE)</f>
        <v>0.14125956444967627</v>
      </c>
      <c r="I41" s="319">
        <f>HLOOKUP(I38,'Projection Effectifs'!$S$31:$AC$35,2,FALSE)</f>
        <v>0.17584994138335286</v>
      </c>
      <c r="J41" s="319">
        <f>HLOOKUP(J38,'Projection Effectifs'!$S$31:$AC$35,2,FALSE)</f>
        <v>0.21176470588235294</v>
      </c>
      <c r="K41" s="319">
        <f>HLOOKUP(K38,'Projection Effectifs'!$S$31:$AC$35,2,FALSE)</f>
        <v>0.21466905187835419</v>
      </c>
    </row>
    <row r="42" spans="1:11" x14ac:dyDescent="0.2">
      <c r="A42" s="65"/>
      <c r="B42" s="65" t="str">
        <f>$B$6</f>
        <v>Chef d'Etablissement PDL</v>
      </c>
      <c r="C42" s="245" t="e">
        <f t="shared" ref="C42:K49" si="12">VLOOKUP($B42,$B$6:$K$13,C$3,FALSE)*C$41</f>
        <v>#N/A</v>
      </c>
      <c r="D42" s="245" t="e">
        <f t="shared" si="12"/>
        <v>#N/A</v>
      </c>
      <c r="E42" s="245" t="e">
        <f t="shared" si="12"/>
        <v>#N/A</v>
      </c>
      <c r="F42" s="245" t="e">
        <f t="shared" si="12"/>
        <v>#N/A</v>
      </c>
      <c r="G42" s="245" t="e">
        <f t="shared" si="12"/>
        <v>#N/A</v>
      </c>
      <c r="H42" s="245" t="e">
        <f t="shared" si="12"/>
        <v>#N/A</v>
      </c>
      <c r="I42" s="245" t="e">
        <f t="shared" si="12"/>
        <v>#N/A</v>
      </c>
      <c r="J42" s="245" t="e">
        <f t="shared" si="12"/>
        <v>#N/A</v>
      </c>
      <c r="K42" s="245" t="e">
        <f t="shared" si="12"/>
        <v>#N/A</v>
      </c>
    </row>
    <row r="43" spans="1:11" x14ac:dyDescent="0.2">
      <c r="A43" s="65"/>
      <c r="B43" s="65" t="str">
        <f>$B$7</f>
        <v>DAF PDL</v>
      </c>
      <c r="C43" s="245" t="e">
        <f t="shared" si="12"/>
        <v>#N/A</v>
      </c>
      <c r="D43" s="245" t="e">
        <f t="shared" si="12"/>
        <v>#N/A</v>
      </c>
      <c r="E43" s="245" t="e">
        <f t="shared" si="12"/>
        <v>#N/A</v>
      </c>
      <c r="F43" s="245" t="e">
        <f t="shared" si="12"/>
        <v>#N/A</v>
      </c>
      <c r="G43" s="245" t="e">
        <f t="shared" si="12"/>
        <v>#N/A</v>
      </c>
      <c r="H43" s="245" t="e">
        <f t="shared" si="12"/>
        <v>#N/A</v>
      </c>
      <c r="I43" s="245" t="e">
        <f t="shared" si="12"/>
        <v>#N/A</v>
      </c>
      <c r="J43" s="245" t="e">
        <f t="shared" si="12"/>
        <v>#N/A</v>
      </c>
      <c r="K43" s="245" t="e">
        <f t="shared" si="12"/>
        <v>#N/A</v>
      </c>
    </row>
    <row r="44" spans="1:11" x14ac:dyDescent="0.2">
      <c r="A44" s="65"/>
      <c r="B44" s="65" t="str">
        <f>$B$8</f>
        <v>DRH</v>
      </c>
      <c r="C44" s="245">
        <f t="shared" si="12"/>
        <v>0</v>
      </c>
      <c r="D44" s="245">
        <f t="shared" si="12"/>
        <v>0.32628062360801779</v>
      </c>
      <c r="E44" s="245">
        <f t="shared" si="12"/>
        <v>0</v>
      </c>
      <c r="F44" s="245">
        <f t="shared" si="12"/>
        <v>0</v>
      </c>
      <c r="G44" s="245">
        <f t="shared" si="12"/>
        <v>0</v>
      </c>
      <c r="H44" s="245">
        <f t="shared" si="12"/>
        <v>0</v>
      </c>
      <c r="I44" s="245">
        <f t="shared" si="12"/>
        <v>0</v>
      </c>
      <c r="J44" s="245">
        <f t="shared" si="12"/>
        <v>0</v>
      </c>
      <c r="K44" s="245">
        <f t="shared" si="12"/>
        <v>0</v>
      </c>
    </row>
    <row r="45" spans="1:11" x14ac:dyDescent="0.2">
      <c r="A45" s="65"/>
      <c r="B45" s="65" t="str">
        <f>$B$9</f>
        <v>Autre Administratif</v>
      </c>
      <c r="C45" s="245">
        <f t="shared" si="12"/>
        <v>0</v>
      </c>
      <c r="D45" s="245">
        <f t="shared" si="12"/>
        <v>0</v>
      </c>
      <c r="E45" s="245">
        <f t="shared" si="12"/>
        <v>0</v>
      </c>
      <c r="F45" s="245">
        <f t="shared" si="12"/>
        <v>0</v>
      </c>
      <c r="G45" s="245">
        <f t="shared" si="12"/>
        <v>0</v>
      </c>
      <c r="H45" s="245">
        <f t="shared" si="12"/>
        <v>0</v>
      </c>
      <c r="I45" s="245">
        <f t="shared" si="12"/>
        <v>0</v>
      </c>
      <c r="J45" s="245">
        <f t="shared" si="12"/>
        <v>0</v>
      </c>
      <c r="K45" s="245">
        <f t="shared" si="12"/>
        <v>0</v>
      </c>
    </row>
    <row r="46" spans="1:11" x14ac:dyDescent="0.2">
      <c r="A46" s="65"/>
      <c r="B46" s="65" t="str">
        <f>$B$10</f>
        <v>Technique - Informatique - Maintenance</v>
      </c>
      <c r="C46" s="245" t="e">
        <f t="shared" si="12"/>
        <v>#N/A</v>
      </c>
      <c r="D46" s="245" t="e">
        <f t="shared" si="12"/>
        <v>#N/A</v>
      </c>
      <c r="E46" s="245" t="e">
        <f t="shared" si="12"/>
        <v>#N/A</v>
      </c>
      <c r="F46" s="245" t="e">
        <f t="shared" si="12"/>
        <v>#N/A</v>
      </c>
      <c r="G46" s="245" t="e">
        <f t="shared" si="12"/>
        <v>#N/A</v>
      </c>
      <c r="H46" s="245" t="e">
        <f t="shared" si="12"/>
        <v>#N/A</v>
      </c>
      <c r="I46" s="245" t="e">
        <f t="shared" si="12"/>
        <v>#N/A</v>
      </c>
      <c r="J46" s="245" t="e">
        <f t="shared" si="12"/>
        <v>#N/A</v>
      </c>
      <c r="K46" s="245" t="e">
        <f t="shared" si="12"/>
        <v>#N/A</v>
      </c>
    </row>
    <row r="47" spans="1:11" x14ac:dyDescent="0.2">
      <c r="A47" s="65"/>
      <c r="B47" s="65" t="str">
        <f>$B$11</f>
        <v>Entretien / Sécurité</v>
      </c>
      <c r="C47" s="245">
        <f t="shared" si="12"/>
        <v>0</v>
      </c>
      <c r="D47" s="245">
        <f t="shared" si="12"/>
        <v>0.1631403118040089</v>
      </c>
      <c r="E47" s="245">
        <f t="shared" si="12"/>
        <v>0</v>
      </c>
      <c r="F47" s="245">
        <f t="shared" si="12"/>
        <v>0</v>
      </c>
      <c r="G47" s="245">
        <f t="shared" si="12"/>
        <v>0</v>
      </c>
      <c r="H47" s="245">
        <f t="shared" si="12"/>
        <v>0</v>
      </c>
      <c r="I47" s="245">
        <f t="shared" si="12"/>
        <v>0</v>
      </c>
      <c r="J47" s="245">
        <f t="shared" si="12"/>
        <v>0</v>
      </c>
      <c r="K47" s="245">
        <f t="shared" si="12"/>
        <v>0</v>
      </c>
    </row>
    <row r="48" spans="1:11" x14ac:dyDescent="0.2">
      <c r="A48" s="65"/>
      <c r="B48" s="65" t="str">
        <f>$B$12</f>
        <v>Documentation</v>
      </c>
      <c r="C48" s="245">
        <f t="shared" si="12"/>
        <v>0</v>
      </c>
      <c r="D48" s="245">
        <f t="shared" si="12"/>
        <v>0.32628062360801779</v>
      </c>
      <c r="E48" s="245">
        <f t="shared" si="12"/>
        <v>0</v>
      </c>
      <c r="F48" s="245">
        <f t="shared" si="12"/>
        <v>0</v>
      </c>
      <c r="G48" s="245">
        <f t="shared" si="12"/>
        <v>0</v>
      </c>
      <c r="H48" s="245">
        <f t="shared" si="12"/>
        <v>0</v>
      </c>
      <c r="I48" s="245">
        <f t="shared" si="12"/>
        <v>0</v>
      </c>
      <c r="J48" s="245">
        <f t="shared" si="12"/>
        <v>0</v>
      </c>
      <c r="K48" s="245">
        <f t="shared" si="12"/>
        <v>0</v>
      </c>
    </row>
    <row r="49" spans="1:13" x14ac:dyDescent="0.2">
      <c r="A49" s="65"/>
      <c r="B49" s="65" t="str">
        <f>$B$13</f>
        <v>Autre commun</v>
      </c>
      <c r="C49" s="245">
        <f t="shared" si="12"/>
        <v>0</v>
      </c>
      <c r="D49" s="245">
        <f t="shared" si="12"/>
        <v>0</v>
      </c>
      <c r="E49" s="245">
        <f t="shared" si="12"/>
        <v>0</v>
      </c>
      <c r="F49" s="245">
        <f t="shared" si="12"/>
        <v>0</v>
      </c>
      <c r="G49" s="245">
        <f t="shared" si="12"/>
        <v>0</v>
      </c>
      <c r="H49" s="245">
        <f t="shared" si="12"/>
        <v>0</v>
      </c>
      <c r="I49" s="245">
        <f t="shared" si="12"/>
        <v>0</v>
      </c>
      <c r="J49" s="245">
        <f t="shared" si="12"/>
        <v>0</v>
      </c>
      <c r="K49" s="245">
        <f t="shared" si="12"/>
        <v>0</v>
      </c>
    </row>
    <row r="50" spans="1:13" x14ac:dyDescent="0.2">
      <c r="A50" s="65"/>
      <c r="B50" s="65"/>
      <c r="C50" s="245"/>
      <c r="D50" s="245"/>
      <c r="E50" s="245"/>
      <c r="F50" s="245"/>
      <c r="G50" s="245"/>
      <c r="H50" s="245"/>
      <c r="I50" s="245"/>
      <c r="J50" s="245"/>
      <c r="K50" s="245"/>
    </row>
    <row r="51" spans="1:13" x14ac:dyDescent="0.2">
      <c r="A51" s="65" t="s">
        <v>74</v>
      </c>
      <c r="B51" s="168" t="s">
        <v>652</v>
      </c>
      <c r="C51" s="319">
        <f>HLOOKUP(C$38,'Projection Effectifs'!$S$37:$AC$43,2,FALSE)</f>
        <v>0</v>
      </c>
      <c r="D51" s="319">
        <f>HLOOKUP(D$38,'Projection Effectifs'!$S$37:$AC$43,2,FALSE)</f>
        <v>0.3103813559322034</v>
      </c>
      <c r="E51" s="319">
        <f>HLOOKUP(E$38,'Projection Effectifs'!$S$37:$AC$43,2,FALSE)</f>
        <v>0.2943722943722944</v>
      </c>
      <c r="F51" s="319">
        <f>HLOOKUP(F$38,'Projection Effectifs'!$S$37:$AC$43,2,FALSE)</f>
        <v>0.23625730994152047</v>
      </c>
      <c r="G51" s="319">
        <f>HLOOKUP(G$38,'Projection Effectifs'!$S$37:$AC$43,2,FALSE)</f>
        <v>0.24142312579415501</v>
      </c>
      <c r="H51" s="319">
        <f>HLOOKUP(H$38,'Projection Effectifs'!$S$37:$AC$43,2,FALSE)</f>
        <v>0.31168831168831168</v>
      </c>
      <c r="I51" s="319">
        <f>HLOOKUP(I$38,'Projection Effectifs'!$S$37:$AC$43,2,FALSE)</f>
        <v>0.391644908616188</v>
      </c>
      <c r="J51" s="319">
        <f>HLOOKUP(J$38,'Projection Effectifs'!$S$37:$AC$43,2,FALSE)</f>
        <v>0.47872340425531917</v>
      </c>
      <c r="K51" s="319">
        <f>HLOOKUP(K$38,'Projection Effectifs'!$S$37:$AC$43,2,FALSE)</f>
        <v>0.48517520215633425</v>
      </c>
    </row>
    <row r="52" spans="1:13" x14ac:dyDescent="0.2">
      <c r="A52" s="65"/>
      <c r="B52" s="65" t="str">
        <f>$B$16</f>
        <v>Direction PDL</v>
      </c>
      <c r="C52" s="245" t="e">
        <f t="shared" ref="C52:K58" si="13">VLOOKUP($B52,$B$16:$K$22,C$3,FALSE)*C$51</f>
        <v>#N/A</v>
      </c>
      <c r="D52" s="245" t="e">
        <f t="shared" si="13"/>
        <v>#N/A</v>
      </c>
      <c r="E52" s="245" t="e">
        <f t="shared" si="13"/>
        <v>#N/A</v>
      </c>
      <c r="F52" s="245" t="e">
        <f t="shared" si="13"/>
        <v>#N/A</v>
      </c>
      <c r="G52" s="245" t="e">
        <f t="shared" si="13"/>
        <v>#N/A</v>
      </c>
      <c r="H52" s="245" t="e">
        <f t="shared" si="13"/>
        <v>#N/A</v>
      </c>
      <c r="I52" s="245" t="e">
        <f t="shared" si="13"/>
        <v>#N/A</v>
      </c>
      <c r="J52" s="245" t="e">
        <f t="shared" si="13"/>
        <v>#N/A</v>
      </c>
      <c r="K52" s="245" t="e">
        <f t="shared" si="13"/>
        <v>#N/A</v>
      </c>
    </row>
    <row r="53" spans="1:13" x14ac:dyDescent="0.2">
      <c r="A53" s="65"/>
      <c r="B53" s="65" t="str">
        <f>$B$17</f>
        <v xml:space="preserve">Direction adjointe </v>
      </c>
      <c r="C53" s="245">
        <f t="shared" si="13"/>
        <v>0</v>
      </c>
      <c r="D53" s="245">
        <f t="shared" si="13"/>
        <v>0</v>
      </c>
      <c r="E53" s="245">
        <f t="shared" si="13"/>
        <v>0</v>
      </c>
      <c r="F53" s="245">
        <f t="shared" si="13"/>
        <v>0</v>
      </c>
      <c r="G53" s="245">
        <f t="shared" si="13"/>
        <v>0</v>
      </c>
      <c r="H53" s="245">
        <f t="shared" si="13"/>
        <v>0</v>
      </c>
      <c r="I53" s="245">
        <f t="shared" si="13"/>
        <v>0</v>
      </c>
      <c r="J53" s="245">
        <f t="shared" si="13"/>
        <v>0</v>
      </c>
      <c r="K53" s="245">
        <f t="shared" si="13"/>
        <v>0</v>
      </c>
    </row>
    <row r="54" spans="1:13" x14ac:dyDescent="0.2">
      <c r="A54" s="65"/>
      <c r="B54" s="65" t="str">
        <f>$B$18</f>
        <v>Conseiller pédagogique</v>
      </c>
      <c r="C54" s="245">
        <f t="shared" si="13"/>
        <v>0</v>
      </c>
      <c r="D54" s="245">
        <f t="shared" si="13"/>
        <v>0</v>
      </c>
      <c r="E54" s="245">
        <f t="shared" si="13"/>
        <v>0</v>
      </c>
      <c r="F54" s="245">
        <f t="shared" si="13"/>
        <v>0</v>
      </c>
      <c r="G54" s="245">
        <f t="shared" si="13"/>
        <v>0</v>
      </c>
      <c r="H54" s="245">
        <f t="shared" si="13"/>
        <v>0</v>
      </c>
      <c r="I54" s="245">
        <f t="shared" si="13"/>
        <v>0</v>
      </c>
      <c r="J54" s="245">
        <f t="shared" si="13"/>
        <v>0</v>
      </c>
      <c r="K54" s="245">
        <f t="shared" si="13"/>
        <v>0</v>
      </c>
    </row>
    <row r="55" spans="1:13" x14ac:dyDescent="0.2">
      <c r="A55" s="65"/>
      <c r="B55" s="65" t="str">
        <f>$B$19</f>
        <v>Vie scolaire  - Educateurs</v>
      </c>
      <c r="C55" s="245">
        <f t="shared" si="13"/>
        <v>0</v>
      </c>
      <c r="D55" s="245">
        <f t="shared" si="13"/>
        <v>0.3103813559322034</v>
      </c>
      <c r="E55" s="245">
        <f t="shared" si="13"/>
        <v>0</v>
      </c>
      <c r="F55" s="245">
        <f t="shared" si="13"/>
        <v>0</v>
      </c>
      <c r="G55" s="245">
        <f t="shared" si="13"/>
        <v>0</v>
      </c>
      <c r="H55" s="245">
        <f t="shared" si="13"/>
        <v>0</v>
      </c>
      <c r="I55" s="245">
        <f t="shared" si="13"/>
        <v>0</v>
      </c>
      <c r="J55" s="245">
        <f t="shared" si="13"/>
        <v>0</v>
      </c>
      <c r="K55" s="245">
        <f t="shared" si="13"/>
        <v>0</v>
      </c>
    </row>
    <row r="56" spans="1:13" x14ac:dyDescent="0.2">
      <c r="A56" s="65"/>
      <c r="B56" s="65" t="str">
        <f>$B$20</f>
        <v>Documentation</v>
      </c>
      <c r="C56" s="245">
        <f t="shared" si="13"/>
        <v>0</v>
      </c>
      <c r="D56" s="245">
        <f t="shared" si="13"/>
        <v>0.3103813559322034</v>
      </c>
      <c r="E56" s="245">
        <f t="shared" si="13"/>
        <v>0</v>
      </c>
      <c r="F56" s="245">
        <f t="shared" si="13"/>
        <v>0</v>
      </c>
      <c r="G56" s="245">
        <f t="shared" si="13"/>
        <v>0</v>
      </c>
      <c r="H56" s="245">
        <f t="shared" si="13"/>
        <v>0</v>
      </c>
      <c r="I56" s="245">
        <f t="shared" si="13"/>
        <v>0</v>
      </c>
      <c r="J56" s="245">
        <f t="shared" si="13"/>
        <v>0</v>
      </c>
      <c r="K56" s="245">
        <f t="shared" si="13"/>
        <v>0</v>
      </c>
      <c r="M56">
        <f>(8/12+4/12)</f>
        <v>1</v>
      </c>
    </row>
    <row r="57" spans="1:13" x14ac:dyDescent="0.2">
      <c r="A57" s="65"/>
      <c r="B57" s="65" t="str">
        <f>$B$21</f>
        <v>Infirmière</v>
      </c>
      <c r="C57" s="245">
        <f t="shared" si="13"/>
        <v>0</v>
      </c>
      <c r="D57" s="245">
        <f t="shared" si="13"/>
        <v>0</v>
      </c>
      <c r="E57" s="245">
        <f t="shared" si="13"/>
        <v>0</v>
      </c>
      <c r="F57" s="245">
        <f t="shared" si="13"/>
        <v>0</v>
      </c>
      <c r="G57" s="245">
        <f t="shared" si="13"/>
        <v>0</v>
      </c>
      <c r="H57" s="245">
        <f t="shared" si="13"/>
        <v>0</v>
      </c>
      <c r="I57" s="245">
        <f t="shared" si="13"/>
        <v>0</v>
      </c>
      <c r="J57" s="245">
        <f t="shared" si="13"/>
        <v>0</v>
      </c>
      <c r="K57" s="245">
        <f t="shared" si="13"/>
        <v>0</v>
      </c>
    </row>
    <row r="58" spans="1:13" x14ac:dyDescent="0.2">
      <c r="A58" s="65"/>
      <c r="B58" s="65" t="str">
        <f>$B$22</f>
        <v>Autre primaire commun</v>
      </c>
      <c r="C58" s="245">
        <f t="shared" si="13"/>
        <v>0</v>
      </c>
      <c r="D58" s="245">
        <f t="shared" si="13"/>
        <v>0.62076271186440679</v>
      </c>
      <c r="E58" s="245">
        <f t="shared" si="13"/>
        <v>0</v>
      </c>
      <c r="F58" s="245">
        <f t="shared" si="13"/>
        <v>0</v>
      </c>
      <c r="G58" s="245">
        <f t="shared" si="13"/>
        <v>0</v>
      </c>
      <c r="H58" s="245">
        <f t="shared" si="13"/>
        <v>0</v>
      </c>
      <c r="I58" s="245">
        <f t="shared" si="13"/>
        <v>0</v>
      </c>
      <c r="J58" s="245">
        <f t="shared" si="13"/>
        <v>0</v>
      </c>
      <c r="K58" s="245">
        <f t="shared" si="13"/>
        <v>0</v>
      </c>
    </row>
    <row r="59" spans="1:13" x14ac:dyDescent="0.2">
      <c r="A59" s="65"/>
      <c r="B59" s="65"/>
      <c r="C59" s="245"/>
      <c r="D59" s="245"/>
      <c r="E59" s="245"/>
      <c r="F59" s="245"/>
      <c r="G59" s="245"/>
      <c r="H59" s="245"/>
      <c r="I59" s="245"/>
      <c r="J59" s="245"/>
      <c r="K59" s="245"/>
    </row>
    <row r="60" spans="1:13" x14ac:dyDescent="0.2">
      <c r="A60" s="66" t="s">
        <v>73</v>
      </c>
      <c r="B60" s="65"/>
      <c r="C60" s="373">
        <f>SUM(C62:C64)</f>
        <v>0</v>
      </c>
      <c r="D60" s="373">
        <f t="shared" ref="D60:K60" si="14">SUM(D62:D64)</f>
        <v>1.95</v>
      </c>
      <c r="E60" s="373">
        <f t="shared" si="14"/>
        <v>0</v>
      </c>
      <c r="F60" s="373">
        <f t="shared" si="14"/>
        <v>0</v>
      </c>
      <c r="G60" s="373">
        <f t="shared" si="14"/>
        <v>0</v>
      </c>
      <c r="H60" s="373">
        <f t="shared" si="14"/>
        <v>0</v>
      </c>
      <c r="I60" s="373">
        <f t="shared" si="14"/>
        <v>0</v>
      </c>
      <c r="J60" s="373">
        <f t="shared" si="14"/>
        <v>0</v>
      </c>
      <c r="K60" s="373">
        <f t="shared" si="14"/>
        <v>0</v>
      </c>
    </row>
    <row r="61" spans="1:13" x14ac:dyDescent="0.2">
      <c r="A61" s="65"/>
      <c r="B61" s="168" t="s">
        <v>653</v>
      </c>
      <c r="C61" s="320">
        <f>HLOOKUP(C$38,'Hypothèses '!$C$42:$K$46,2,FALSE)</f>
        <v>0</v>
      </c>
      <c r="D61" s="320">
        <f>HLOOKUP(D$38,'Hypothèses '!$C$42:$K$46,2,FALSE)</f>
        <v>1.5</v>
      </c>
      <c r="E61" s="320">
        <f>HLOOKUP(E$38,'Hypothèses '!$C$42:$K$46,2,FALSE)</f>
        <v>0</v>
      </c>
      <c r="F61" s="320">
        <f>HLOOKUP(F$38,'Hypothèses '!$C$42:$K$46,2,FALSE)</f>
        <v>0</v>
      </c>
      <c r="G61" s="320">
        <f>HLOOKUP(G$38,'Hypothèses '!$C$42:$K$46,2,FALSE)</f>
        <v>0</v>
      </c>
      <c r="H61" s="320">
        <f>HLOOKUP(H$38,'Hypothèses '!$C$42:$K$46,2,FALSE)</f>
        <v>0</v>
      </c>
      <c r="I61" s="320">
        <f>HLOOKUP(I$38,'Hypothèses '!$C$42:$K$46,2,FALSE)</f>
        <v>0</v>
      </c>
      <c r="J61" s="320">
        <f>HLOOKUP(J$38,'Hypothèses '!$C$42:$K$46,2,FALSE)</f>
        <v>0</v>
      </c>
      <c r="K61" s="320">
        <f>HLOOKUP(K$38,'Hypothèses '!$C$42:$K$46,2,FALSE)</f>
        <v>0</v>
      </c>
    </row>
    <row r="62" spans="1:13" x14ac:dyDescent="0.2">
      <c r="A62" s="65"/>
      <c r="B62" s="65" t="s">
        <v>77</v>
      </c>
      <c r="C62" s="245">
        <f>IFERROR(HLOOKUP(C$38,'Hypothèses '!$C$90:$K$93,2,FALSE),0)</f>
        <v>0</v>
      </c>
      <c r="D62" s="245">
        <f>IFERROR(HLOOKUP(D$38,'Hypothèses '!$C$90:$K$93,2,FALSE),0)</f>
        <v>0</v>
      </c>
      <c r="E62" s="245">
        <f>IFERROR(HLOOKUP(E$38,'Hypothèses '!$C$90:$K$93,2,FALSE),0)</f>
        <v>0</v>
      </c>
      <c r="F62" s="245">
        <f>IFERROR(HLOOKUP(F$38,'Hypothèses '!$C$90:$K$93,2,FALSE),0)</f>
        <v>0</v>
      </c>
      <c r="G62" s="245">
        <f>IFERROR(HLOOKUP(G$38,'Hypothèses '!$C$90:$K$93,2,FALSE),0)</f>
        <v>0</v>
      </c>
      <c r="H62" s="245">
        <f>IFERROR(HLOOKUP(H$38,'Hypothèses '!$C$90:$K$93,2,FALSE),0)</f>
        <v>0</v>
      </c>
      <c r="I62" s="245">
        <f>IFERROR(HLOOKUP(I$38,'Hypothèses '!$C$90:$K$93,2,FALSE),0)</f>
        <v>0</v>
      </c>
      <c r="J62" s="245">
        <f>IFERROR(HLOOKUP(J$38,'Hypothèses '!$C$90:$K$93,2,FALSE),0)</f>
        <v>0</v>
      </c>
      <c r="K62" s="245">
        <f>IFERROR(HLOOKUP(K$38,'Hypothèses '!$C$90:$K$93,2,FALSE),0)</f>
        <v>0</v>
      </c>
    </row>
    <row r="63" spans="1:13" x14ac:dyDescent="0.2">
      <c r="A63" s="65"/>
      <c r="B63" s="65" t="s">
        <v>80</v>
      </c>
      <c r="C63" s="245">
        <f>C61-C$62</f>
        <v>0</v>
      </c>
      <c r="D63" s="245">
        <f t="shared" ref="D63:K63" si="15">D61-D$62</f>
        <v>1.5</v>
      </c>
      <c r="E63" s="245">
        <f>E61-E$62</f>
        <v>0</v>
      </c>
      <c r="F63" s="245">
        <f t="shared" si="15"/>
        <v>0</v>
      </c>
      <c r="G63" s="245">
        <f t="shared" si="15"/>
        <v>0</v>
      </c>
      <c r="H63" s="245">
        <f t="shared" si="15"/>
        <v>0</v>
      </c>
      <c r="I63" s="245">
        <f t="shared" si="15"/>
        <v>0</v>
      </c>
      <c r="J63" s="245">
        <f t="shared" si="15"/>
        <v>0</v>
      </c>
      <c r="K63" s="245">
        <f t="shared" si="15"/>
        <v>0</v>
      </c>
    </row>
    <row r="64" spans="1:13" x14ac:dyDescent="0.2">
      <c r="A64" s="65"/>
      <c r="B64" s="65" t="s">
        <v>81</v>
      </c>
      <c r="C64" s="245">
        <f>IF(HLOOKUP(C$38,'Hypothèses '!$C$97:$K$100,2,FALSE)=1,'Tables  Enseignants'!$C$7*C61,'Tables  Enseignants'!$C$8*C61)</f>
        <v>0</v>
      </c>
      <c r="D64" s="245">
        <f>IF(HLOOKUP(D$38,'Hypothèses '!$C$97:$K$100,2,FALSE)=1,'Tables  Enseignants'!$C$7*D61,'Tables  Enseignants'!$C$8*D61)</f>
        <v>0.44999999999999996</v>
      </c>
      <c r="E64" s="245">
        <f>IF(HLOOKUP(E$38,'Hypothèses '!$C$97:$K$100,2,FALSE)=1,'Tables  Enseignants'!$C$7*E61,'Tables  Enseignants'!$C$8*E61)</f>
        <v>0</v>
      </c>
      <c r="F64" s="245">
        <f>IF(HLOOKUP(F$38,'Hypothèses '!$C$97:$K$100,2,FALSE)=1,'Tables  Enseignants'!$C$7*F61,'Tables  Enseignants'!$C$8*F61)</f>
        <v>0</v>
      </c>
      <c r="G64" s="245">
        <f>IF(HLOOKUP(G$38,'Hypothèses '!$C$97:$K$100,2,FALSE)=1,'Tables  Enseignants'!$C$7*G61,'Tables  Enseignants'!$C$8*G61)</f>
        <v>0</v>
      </c>
      <c r="H64" s="245">
        <f>IF(HLOOKUP(H$38,'Hypothèses '!$C$97:$K$100,2,FALSE)=1,'Tables  Enseignants'!$C$7*H61,'Tables  Enseignants'!$C$8*H61)</f>
        <v>0</v>
      </c>
      <c r="I64" s="245">
        <f>IF(HLOOKUP(I$38,'Hypothèses '!$C$97:$K$100,2,FALSE)=1,'Tables  Enseignants'!$C$7*I61,'Tables  Enseignants'!$C$8*I61)</f>
        <v>0</v>
      </c>
      <c r="J64" s="245">
        <f>IF(HLOOKUP(J$38,'Hypothèses '!$C$97:$K$100,2,FALSE)=1,'Tables  Enseignants'!$C$7*J61,'Tables  Enseignants'!$C$8*J61)</f>
        <v>0</v>
      </c>
      <c r="K64" s="245">
        <f>IF(HLOOKUP(K$38,'Hypothèses '!$C$97:$K$100,2,FALSE)=1,'Tables  Enseignants'!$C$7*K61,'Tables  Enseignants'!$C$8*K61)</f>
        <v>0</v>
      </c>
    </row>
    <row r="65" spans="1:11" x14ac:dyDescent="0.2">
      <c r="A65" s="65"/>
      <c r="B65" s="65" t="s">
        <v>78</v>
      </c>
      <c r="C65" s="245">
        <f>C61</f>
        <v>0</v>
      </c>
      <c r="D65" s="245">
        <f>HLOOKUP(D$38,'Hypothèses '!$C$42:$K$46,2,FALSE)</f>
        <v>1.5</v>
      </c>
      <c r="E65" s="245">
        <f>HLOOKUP(E$38,'Hypothèses '!$C$42:$K$46,2,FALSE)</f>
        <v>0</v>
      </c>
      <c r="F65" s="245">
        <f>HLOOKUP(F$38,'Hypothèses '!$C$42:$K$46,2,FALSE)</f>
        <v>0</v>
      </c>
      <c r="G65" s="245">
        <f>HLOOKUP(G$38,'Hypothèses '!$C$42:$K$46,2,FALSE)</f>
        <v>0</v>
      </c>
      <c r="H65" s="245">
        <f>HLOOKUP(H$38,'Hypothèses '!$C$42:$K$46,2,FALSE)</f>
        <v>0</v>
      </c>
      <c r="I65" s="245">
        <f>HLOOKUP(I$38,'Hypothèses '!$C$42:$K$46,2,FALSE)</f>
        <v>0</v>
      </c>
      <c r="J65" s="245">
        <f>HLOOKUP(J$38,'Hypothèses '!$C$42:$K$46,2,FALSE)</f>
        <v>0</v>
      </c>
      <c r="K65" s="245">
        <f>HLOOKUP(K$38,'Hypothèses '!$C$42:$K$46,2,FALSE)</f>
        <v>0</v>
      </c>
    </row>
    <row r="66" spans="1:11" x14ac:dyDescent="0.2">
      <c r="A66" s="65"/>
      <c r="B66" s="65"/>
      <c r="C66" s="244"/>
      <c r="D66" s="244"/>
      <c r="E66" s="244"/>
      <c r="F66" s="244"/>
      <c r="G66" s="244"/>
      <c r="H66" s="244"/>
      <c r="I66" s="244"/>
      <c r="J66" s="244"/>
      <c r="K66" s="244"/>
    </row>
    <row r="67" spans="1:11" x14ac:dyDescent="0.2">
      <c r="A67" s="66" t="s">
        <v>87</v>
      </c>
      <c r="B67" s="168" t="s">
        <v>654</v>
      </c>
      <c r="C67" s="321">
        <v>0</v>
      </c>
      <c r="D67" s="321">
        <v>0</v>
      </c>
      <c r="E67" s="321">
        <v>1</v>
      </c>
      <c r="F67" s="321">
        <v>2</v>
      </c>
      <c r="G67" s="321">
        <v>3</v>
      </c>
      <c r="H67" s="321">
        <v>4</v>
      </c>
      <c r="I67" s="321">
        <v>5</v>
      </c>
      <c r="J67" s="321">
        <v>6</v>
      </c>
      <c r="K67" s="321">
        <v>7</v>
      </c>
    </row>
    <row r="68" spans="1:11" ht="16" x14ac:dyDescent="0.2">
      <c r="A68" s="65" t="s">
        <v>113</v>
      </c>
      <c r="B68" s="65"/>
      <c r="C68" s="244"/>
      <c r="D68" s="91">
        <f>'Hypothèses '!C9</f>
        <v>2024</v>
      </c>
      <c r="E68" s="91">
        <f>D68+1</f>
        <v>2025</v>
      </c>
      <c r="F68" s="91">
        <f t="shared" ref="F68:K68" si="16">E68+1</f>
        <v>2026</v>
      </c>
      <c r="G68" s="91">
        <f t="shared" si="16"/>
        <v>2027</v>
      </c>
      <c r="H68" s="91">
        <f t="shared" si="16"/>
        <v>2028</v>
      </c>
      <c r="I68" s="91">
        <f t="shared" si="16"/>
        <v>2029</v>
      </c>
      <c r="J68" s="91">
        <f t="shared" si="16"/>
        <v>2030</v>
      </c>
      <c r="K68" s="91">
        <f t="shared" si="16"/>
        <v>2031</v>
      </c>
    </row>
    <row r="69" spans="1:11" x14ac:dyDescent="0.2">
      <c r="A69" s="65" t="s">
        <v>67</v>
      </c>
      <c r="B69" s="65" t="str">
        <f t="shared" ref="B69:B76" si="17">B42</f>
        <v>Chef d'Etablissement PDL</v>
      </c>
      <c r="C69" s="245"/>
      <c r="D69" s="90" t="e">
        <f>(C42*8/12+D42*4/12)*VLOOKUP($B69,'Hypothèses '!$B$106:$E$126,3,FALSE)</f>
        <v>#N/A</v>
      </c>
      <c r="E69" s="90" t="e">
        <f>(D42*8/12+E42*4/12)*VLOOKUP($B69,'Hypothèses '!$B$106:$E$126,3,FALSE)*(1+$E$35)</f>
        <v>#N/A</v>
      </c>
      <c r="F69" s="90" t="e">
        <f>(E42*8/12+F42*4/12)*VLOOKUP($B69,'Hypothèses '!$B$106:$E$126,3,FALSE)*(1+$E$35)*(1+$F$35)</f>
        <v>#N/A</v>
      </c>
      <c r="G69" s="90" t="e">
        <f>(F42*8/12+G42*4/12)*VLOOKUP($B69,'Hypothèses '!$B$106:$E$126,3,FALSE)*(1+$E$35)*(1+$F$35)*(1+$G$35)</f>
        <v>#N/A</v>
      </c>
      <c r="H69" s="90" t="e">
        <f>(G42*8/12+H42*4/12)*VLOOKUP($B69,'Hypothèses '!$B$106:$E$126,3,FALSE)*(1+$E$35)*(1+$F$35)*(1+$G$35)*(1+$H$35)</f>
        <v>#N/A</v>
      </c>
      <c r="I69" s="90" t="e">
        <f>(H42*8/12+I42*4/12)*VLOOKUP($B69,'Hypothèses '!$B$106:$E$126,3,FALSE)*(1+$E$35)*(1+$F$35)*(1+$G$35)*(1+$H$35)*(1+$I$35)</f>
        <v>#N/A</v>
      </c>
      <c r="J69" s="90" t="e">
        <f>(I42*8/12+J42*4/12)*VLOOKUP($B69,'Hypothèses '!$B$106:$E$126,3,FALSE)*(1+$E$35)*(1+$F$35)*(1+$G$35)*(1+$H$35)*(1+$I$35)*(1+$J$35)</f>
        <v>#N/A</v>
      </c>
      <c r="K69" s="90" t="e">
        <f>(J42*8/12+K42*4/12)*VLOOKUP($B69,'Hypothèses '!$B$106:$E$126,3,FALSE)*(1+$E$35)*(1+$F$35)*(1+$G$35)*(1+$H$35)*(1+$I$35)*(1+$J$35)*(1+$K$35)</f>
        <v>#N/A</v>
      </c>
    </row>
    <row r="70" spans="1:11" x14ac:dyDescent="0.2">
      <c r="A70" s="65"/>
      <c r="B70" s="65" t="str">
        <f t="shared" si="17"/>
        <v>DAF PDL</v>
      </c>
      <c r="C70" s="245"/>
      <c r="D70" s="90" t="e">
        <f>(C43*8/12+D43*4/12)*VLOOKUP($B70,'Hypothèses '!$B$106:$E$126,3,FALSE)</f>
        <v>#N/A</v>
      </c>
      <c r="E70" s="90" t="e">
        <f>(D43*8/12+E43*4/12)*VLOOKUP($B70,'Hypothèses '!$B$106:$E$126,3,FALSE)*(1+$E$35)</f>
        <v>#N/A</v>
      </c>
      <c r="F70" s="90" t="e">
        <f>(E43*8/12+F43*4/12)*VLOOKUP($B70,'Hypothèses '!$B$106:$E$126,3,FALSE)*(1+$E$35)*(1+$F$35)</f>
        <v>#N/A</v>
      </c>
      <c r="G70" s="90" t="e">
        <f>(F43*8/12+G43*4/12)*VLOOKUP($B70,'Hypothèses '!$B$106:$E$126,3,FALSE)*(1+$E$35)*(1+$F$35)*(1+$G$35)</f>
        <v>#N/A</v>
      </c>
      <c r="H70" s="90" t="e">
        <f>(G43*8/12+H43*4/12)*VLOOKUP($B70,'Hypothèses '!$B$106:$E$126,3,FALSE)*(1+$E$35)*(1+$F$35)*(1+$G$35)*(1+$H$35)</f>
        <v>#N/A</v>
      </c>
      <c r="I70" s="90" t="e">
        <f>(H43*8/12+I43*4/12)*VLOOKUP($B70,'Hypothèses '!$B$106:$E$126,3,FALSE)*(1+$E$35)*(1+$F$35)*(1+$G$35)*(1+$H$35)*(1+$I$35)</f>
        <v>#N/A</v>
      </c>
      <c r="J70" s="90" t="e">
        <f>(I43*8/12+J43*4/12)*VLOOKUP($B70,'Hypothèses '!$B$106:$E$126,3,FALSE)*(1+$E$35)*(1+$F$35)*(1+$G$35)*(1+$H$35)*(1+$I$35)*(1+$J$35)</f>
        <v>#N/A</v>
      </c>
      <c r="K70" s="90" t="e">
        <f>(J43*8/12+K43*4/12)*VLOOKUP($B70,'Hypothèses '!$B$106:$E$126,3,FALSE)*(1+$E$35)*(1+$F$35)*(1+$G$35)*(1+$H$35)*(1+$I$35)*(1+$J$35)*(1+$K$35)</f>
        <v>#N/A</v>
      </c>
    </row>
    <row r="71" spans="1:11" x14ac:dyDescent="0.2">
      <c r="A71" s="65"/>
      <c r="B71" s="65" t="str">
        <f t="shared" si="17"/>
        <v>DRH</v>
      </c>
      <c r="C71" s="245"/>
      <c r="D71" s="90">
        <f>(C44*8/12+D44*4/12)*VLOOKUP($B71,'Hypothèses '!$B$106:$E$126,3,FALSE)</f>
        <v>0</v>
      </c>
      <c r="E71" s="90">
        <f>(D44*8/12+E44*4/12)*VLOOKUP($B71,'Hypothèses '!$B$106:$E$126,3,FALSE)*(1+$E$35)</f>
        <v>0</v>
      </c>
      <c r="F71" s="90">
        <f>(E44*8/12+F44*4/12)*VLOOKUP($B71,'Hypothèses '!$B$106:$E$126,3,FALSE)*(1+$E$35)*(1+$F$35)</f>
        <v>0</v>
      </c>
      <c r="G71" s="90">
        <f>(F44*8/12+G44*4/12)*VLOOKUP($B71,'Hypothèses '!$B$106:$E$126,3,FALSE)*(1+$E$35)*(1+$F$35)*(1+$G$35)</f>
        <v>0</v>
      </c>
      <c r="H71" s="90">
        <f>(G44*8/12+H44*4/12)*VLOOKUP($B71,'Hypothèses '!$B$106:$E$126,3,FALSE)*(1+$E$35)*(1+$F$35)*(1+$G$35)*(1+$H$35)</f>
        <v>0</v>
      </c>
      <c r="I71" s="90">
        <f>(H44*8/12+I44*4/12)*VLOOKUP($B71,'Hypothèses '!$B$106:$E$126,3,FALSE)*(1+$E$35)*(1+$F$35)*(1+$G$35)*(1+$H$35)*(1+$I$35)</f>
        <v>0</v>
      </c>
      <c r="J71" s="90">
        <f>(I44*8/12+J44*4/12)*VLOOKUP($B71,'Hypothèses '!$B$106:$E$126,3,FALSE)*(1+$E$35)*(1+$F$35)*(1+$G$35)*(1+$H$35)*(1+$I$35)*(1+$J$35)</f>
        <v>0</v>
      </c>
      <c r="K71" s="90">
        <f>(J44*8/12+K44*4/12)*VLOOKUP($B71,'Hypothèses '!$B$106:$E$126,3,FALSE)*(1+$E$35)*(1+$F$35)*(1+$G$35)*(1+$H$35)*(1+$I$35)*(1+$J$35)*(1+$K$35)</f>
        <v>0</v>
      </c>
    </row>
    <row r="72" spans="1:11" x14ac:dyDescent="0.2">
      <c r="A72" s="65"/>
      <c r="B72" s="65" t="str">
        <f t="shared" si="17"/>
        <v>Autre Administratif</v>
      </c>
      <c r="C72" s="245"/>
      <c r="D72" s="90">
        <f>(C45*8/12+D45*4/12)*VLOOKUP($B72,'Hypothèses '!$B$106:$E$126,3,FALSE)</f>
        <v>0</v>
      </c>
      <c r="E72" s="90">
        <f>(D45*8/12+E45*4/12)*VLOOKUP($B72,'Hypothèses '!$B$106:$E$126,3,FALSE)*(1+$E$35)</f>
        <v>0</v>
      </c>
      <c r="F72" s="90">
        <f>(E45*8/12+F45*4/12)*VLOOKUP($B72,'Hypothèses '!$B$106:$E$126,3,FALSE)*(1+$E$35)*(1+$F$35)</f>
        <v>0</v>
      </c>
      <c r="G72" s="90">
        <f>(F45*8/12+G45*4/12)*VLOOKUP($B72,'Hypothèses '!$B$106:$E$126,3,FALSE)*(1+$E$35)*(1+$F$35)*(1+$G$35)</f>
        <v>0</v>
      </c>
      <c r="H72" s="90">
        <f>(G45*8/12+H45*4/12)*VLOOKUP($B72,'Hypothèses '!$B$106:$E$126,3,FALSE)*(1+$E$35)*(1+$F$35)*(1+$G$35)*(1+$H$35)</f>
        <v>0</v>
      </c>
      <c r="I72" s="90">
        <f>(H45*8/12+I45*4/12)*VLOOKUP($B72,'Hypothèses '!$B$106:$E$126,3,FALSE)*(1+$E$35)*(1+$F$35)*(1+$G$35)*(1+$H$35)*(1+$I$35)</f>
        <v>0</v>
      </c>
      <c r="J72" s="90">
        <f>(I45*8/12+J45*4/12)*VLOOKUP($B72,'Hypothèses '!$B$106:$E$126,3,FALSE)*(1+$E$35)*(1+$F$35)*(1+$G$35)*(1+$H$35)*(1+$I$35)*(1+$J$35)</f>
        <v>0</v>
      </c>
      <c r="K72" s="90">
        <f>(J45*8/12+K45*4/12)*VLOOKUP($B72,'Hypothèses '!$B$106:$E$126,3,FALSE)*(1+$E$35)*(1+$F$35)*(1+$G$35)*(1+$H$35)*(1+$I$35)*(1+$J$35)*(1+$K$35)</f>
        <v>0</v>
      </c>
    </row>
    <row r="73" spans="1:11" x14ac:dyDescent="0.2">
      <c r="A73" s="65"/>
      <c r="B73" s="65" t="str">
        <f t="shared" si="17"/>
        <v>Technique - Informatique - Maintenance</v>
      </c>
      <c r="C73" s="245"/>
      <c r="D73" s="90" t="e">
        <f>(C46*8/12+D46*4/12)*VLOOKUP($B73,'Hypothèses '!$B$106:$E$126,3,FALSE)</f>
        <v>#N/A</v>
      </c>
      <c r="E73" s="90" t="e">
        <f>(D46*8/12+E46*4/12)*VLOOKUP($B73,'Hypothèses '!$B$106:$E$126,3,FALSE)*(1+$E$35)</f>
        <v>#N/A</v>
      </c>
      <c r="F73" s="90" t="e">
        <f>(E46*8/12+F46*4/12)*VLOOKUP($B73,'Hypothèses '!$B$106:$E$126,3,FALSE)*(1+$E$35)*(1+$F$35)</f>
        <v>#N/A</v>
      </c>
      <c r="G73" s="90" t="e">
        <f>(F46*8/12+G46*4/12)*VLOOKUP($B73,'Hypothèses '!$B$106:$E$126,3,FALSE)*(1+$E$35)*(1+$F$35)*(1+$G$35)</f>
        <v>#N/A</v>
      </c>
      <c r="H73" s="90" t="e">
        <f>(G46*8/12+H46*4/12)*VLOOKUP($B73,'Hypothèses '!$B$106:$E$126,3,FALSE)*(1+$E$35)*(1+$F$35)*(1+$G$35)*(1+$H$35)</f>
        <v>#N/A</v>
      </c>
      <c r="I73" s="90" t="e">
        <f>(H46*8/12+I46*4/12)*VLOOKUP($B73,'Hypothèses '!$B$106:$E$126,3,FALSE)*(1+$E$35)*(1+$F$35)*(1+$G$35)*(1+$H$35)*(1+$I$35)</f>
        <v>#N/A</v>
      </c>
      <c r="J73" s="90" t="e">
        <f>(I46*8/12+J46*4/12)*VLOOKUP($B73,'Hypothèses '!$B$106:$E$126,3,FALSE)*(1+$E$35)*(1+$F$35)*(1+$G$35)*(1+$H$35)*(1+$I$35)*(1+$J$35)</f>
        <v>#N/A</v>
      </c>
      <c r="K73" s="90" t="e">
        <f>(J46*8/12+K46*4/12)*VLOOKUP($B73,'Hypothèses '!$B$106:$E$126,3,FALSE)*(1+$E$35)*(1+$F$35)*(1+$G$35)*(1+$H$35)*(1+$I$35)*(1+$J$35)*(1+$K$35)</f>
        <v>#N/A</v>
      </c>
    </row>
    <row r="74" spans="1:11" x14ac:dyDescent="0.2">
      <c r="A74" s="65"/>
      <c r="B74" s="65" t="str">
        <f t="shared" si="17"/>
        <v>Entretien / Sécurité</v>
      </c>
      <c r="C74" s="245"/>
      <c r="D74" s="90">
        <f>(C47*8/12+D47*4/12)*VLOOKUP($B74,'Hypothèses '!$B$106:$E$126,3,FALSE)</f>
        <v>0</v>
      </c>
      <c r="E74" s="90">
        <f>(D47*8/12+E47*4/12)*VLOOKUP($B74,'Hypothèses '!$B$106:$E$126,3,FALSE)*(1+$E$35)</f>
        <v>0</v>
      </c>
      <c r="F74" s="90">
        <f>(E47*8/12+F47*4/12)*VLOOKUP($B74,'Hypothèses '!$B$106:$E$126,3,FALSE)*(1+$E$35)*(1+$F$35)</f>
        <v>0</v>
      </c>
      <c r="G74" s="90">
        <f>(F47*8/12+G47*4/12)*VLOOKUP($B74,'Hypothèses '!$B$106:$E$126,3,FALSE)*(1+$E$35)*(1+$F$35)*(1+$G$35)</f>
        <v>0</v>
      </c>
      <c r="H74" s="90">
        <f>(G47*8/12+H47*4/12)*VLOOKUP($B74,'Hypothèses '!$B$106:$E$126,3,FALSE)*(1+$E$35)*(1+$F$35)*(1+$G$35)*(1+$H$35)</f>
        <v>0</v>
      </c>
      <c r="I74" s="90">
        <f>(H47*8/12+I47*4/12)*VLOOKUP($B74,'Hypothèses '!$B$106:$E$126,3,FALSE)*(1+$E$35)*(1+$F$35)*(1+$G$35)*(1+$H$35)*(1+$I$35)</f>
        <v>0</v>
      </c>
      <c r="J74" s="90">
        <f>(I47*8/12+J47*4/12)*VLOOKUP($B74,'Hypothèses '!$B$106:$E$126,3,FALSE)*(1+$E$35)*(1+$F$35)*(1+$G$35)*(1+$H$35)*(1+$I$35)*(1+$J$35)</f>
        <v>0</v>
      </c>
      <c r="K74" s="90">
        <f>(J47*8/12+K47*4/12)*VLOOKUP($B74,'Hypothèses '!$B$106:$E$126,3,FALSE)*(1+$E$35)*(1+$F$35)*(1+$G$35)*(1+$H$35)*(1+$I$35)*(1+$J$35)*(1+$K$35)</f>
        <v>0</v>
      </c>
    </row>
    <row r="75" spans="1:11" x14ac:dyDescent="0.2">
      <c r="A75" s="65"/>
      <c r="B75" s="65" t="str">
        <f t="shared" si="17"/>
        <v>Documentation</v>
      </c>
      <c r="C75" s="245"/>
      <c r="D75" s="90">
        <f>(C48*8/12+D48*4/12)*VLOOKUP($B75,'Hypothèses '!$B$106:$E$126,3,FALSE)</f>
        <v>0</v>
      </c>
      <c r="E75" s="90">
        <f>(D48*8/12+E48*4/12)*VLOOKUP($B75,'Hypothèses '!$B$106:$E$126,3,FALSE)*(1+$E$35)</f>
        <v>0</v>
      </c>
      <c r="F75" s="90">
        <f>(E48*8/12+F48*4/12)*VLOOKUP($B75,'Hypothèses '!$B$106:$E$126,3,FALSE)*(1+$E$35)*(1+$F$35)</f>
        <v>0</v>
      </c>
      <c r="G75" s="90">
        <f>(F48*8/12+G48*4/12)*VLOOKUP($B75,'Hypothèses '!$B$106:$E$126,3,FALSE)*(1+$E$35)*(1+$F$35)*(1+$G$35)</f>
        <v>0</v>
      </c>
      <c r="H75" s="90">
        <f>(G48*8/12+H48*4/12)*VLOOKUP($B75,'Hypothèses '!$B$106:$E$126,3,FALSE)*(1+$E$35)*(1+$F$35)*(1+$G$35)*(1+$H$35)</f>
        <v>0</v>
      </c>
      <c r="I75" s="90">
        <f>(H48*8/12+I48*4/12)*VLOOKUP($B75,'Hypothèses '!$B$106:$E$126,3,FALSE)*(1+$E$35)*(1+$F$35)*(1+$G$35)*(1+$H$35)*(1+$I$35)</f>
        <v>0</v>
      </c>
      <c r="J75" s="90">
        <f>(I48*8/12+J48*4/12)*VLOOKUP($B75,'Hypothèses '!$B$106:$E$126,3,FALSE)*(1+$E$35)*(1+$F$35)*(1+$G$35)*(1+$H$35)*(1+$I$35)*(1+$J$35)</f>
        <v>0</v>
      </c>
      <c r="K75" s="90">
        <f>(J48*8/12+K48*4/12)*VLOOKUP($B75,'Hypothèses '!$B$106:$E$126,3,FALSE)*(1+$E$35)*(1+$F$35)*(1+$G$35)*(1+$H$35)*(1+$I$35)*(1+$J$35)*(1+$K$35)</f>
        <v>0</v>
      </c>
    </row>
    <row r="76" spans="1:11" x14ac:dyDescent="0.2">
      <c r="A76" s="65"/>
      <c r="B76" s="65" t="str">
        <f t="shared" si="17"/>
        <v>Autre commun</v>
      </c>
      <c r="C76" s="245"/>
      <c r="D76" s="90">
        <f>(C49*8/12+D49*4/12)*VLOOKUP($B76,'Hypothèses '!$B$106:$E$126,3,FALSE)</f>
        <v>0</v>
      </c>
      <c r="E76" s="90">
        <f>(D49*8/12+E49*4/12)*VLOOKUP($B76,'Hypothèses '!$B$106:$E$126,3,FALSE)*(1+$E$35)</f>
        <v>0</v>
      </c>
      <c r="F76" s="90">
        <f>(E49*8/12+F49*4/12)*VLOOKUP($B76,'Hypothèses '!$B$106:$E$126,3,FALSE)*(1+$E$35)*(1+$F$35)</f>
        <v>0</v>
      </c>
      <c r="G76" s="90">
        <f>(F49*8/12+G49*4/12)*VLOOKUP($B76,'Hypothèses '!$B$106:$E$126,3,FALSE)*(1+$E$35)*(1+$F$35)*(1+$G$35)</f>
        <v>0</v>
      </c>
      <c r="H76" s="90">
        <f>(G49*8/12+H49*4/12)*VLOOKUP($B76,'Hypothèses '!$B$106:$E$126,3,FALSE)*(1+$E$35)*(1+$F$35)*(1+$G$35)*(1+$H$35)</f>
        <v>0</v>
      </c>
      <c r="I76" s="90">
        <f>(H49*8/12+I49*4/12)*VLOOKUP($B76,'Hypothèses '!$B$106:$E$126,3,FALSE)*(1+$E$35)*(1+$F$35)*(1+$G$35)*(1+$H$35)*(1+$I$35)</f>
        <v>0</v>
      </c>
      <c r="J76" s="90">
        <f>(I49*8/12+J49*4/12)*VLOOKUP($B76,'Hypothèses '!$B$106:$E$126,3,FALSE)*(1+$E$35)*(1+$F$35)*(1+$G$35)*(1+$H$35)*(1+$I$35)*(1+$J$35)</f>
        <v>0</v>
      </c>
      <c r="K76" s="90">
        <f>(J49*8/12+K49*4/12)*VLOOKUP($B76,'Hypothèses '!$B$106:$E$126,3,FALSE)*(1+$E$35)*(1+$F$35)*(1+$G$35)*(1+$H$35)*(1+$I$35)*(1+$J$35)*(1+$K$35)</f>
        <v>0</v>
      </c>
    </row>
    <row r="77" spans="1:11" x14ac:dyDescent="0.2">
      <c r="A77" s="65"/>
      <c r="B77" s="65"/>
      <c r="C77" s="245"/>
      <c r="D77" s="90"/>
      <c r="E77" s="90"/>
      <c r="F77" s="90"/>
      <c r="G77" s="90"/>
      <c r="H77" s="90"/>
      <c r="I77" s="90"/>
      <c r="J77" s="90"/>
      <c r="K77" s="90"/>
    </row>
    <row r="78" spans="1:11" x14ac:dyDescent="0.2">
      <c r="A78" s="65" t="s">
        <v>74</v>
      </c>
      <c r="B78" s="65" t="str">
        <f t="shared" ref="B78:B84" si="18">B52</f>
        <v>Direction PDL</v>
      </c>
      <c r="C78" s="245"/>
      <c r="D78" s="90" t="e">
        <f>(C52*8/12+D52*4/12)*VLOOKUP($B78,'Hypothèses '!$B$106:$E$126,3,FALSE)</f>
        <v>#N/A</v>
      </c>
      <c r="E78" s="90" t="e">
        <f>(D52*8/12+E52*4/12)*VLOOKUP($B78,'Hypothèses '!$B$106:$E$126,3,FALSE)*(1+$E$35)</f>
        <v>#N/A</v>
      </c>
      <c r="F78" s="90" t="e">
        <f>(E52*8/12+F52*4/12)*VLOOKUP($B78,'Hypothèses '!$B$106:$E$126,3,FALSE)*(1+$E$35)*(1+$F$35)</f>
        <v>#N/A</v>
      </c>
      <c r="G78" s="90" t="e">
        <f>(F52*8/12+G52*4/12)*VLOOKUP($B78,'Hypothèses '!$B$106:$E$126,3,FALSE)*(1+$E$35)*(1+$F$35)*(1+$G$35)</f>
        <v>#N/A</v>
      </c>
      <c r="H78" s="90" t="e">
        <f>(G52*8/12+H52*4/12)*VLOOKUP($B78,'Hypothèses '!$B$106:$E$126,3,FALSE)*(1+$E$35)*(1+$F$35)*(1+$G$35)*(1+$H$35)</f>
        <v>#N/A</v>
      </c>
      <c r="I78" s="90" t="e">
        <f>(H52*8/12+I52*4/12)*VLOOKUP($B78,'Hypothèses '!$B$106:$E$126,3,FALSE)*(1+$E$35)*(1+$F$35)*(1+$G$35)*(1+$H$35)*(1+$I$35)</f>
        <v>#N/A</v>
      </c>
      <c r="J78" s="90" t="e">
        <f>(I52*8/12+J52*4/12)*VLOOKUP($B78,'Hypothèses '!$B$106:$E$126,3,FALSE)*(1+$E$35)*(1+$F$35)*(1+$G$35)*(1+$H$35)*(1+$I$35)*(1+$J$35)</f>
        <v>#N/A</v>
      </c>
      <c r="K78" s="90" t="e">
        <f>(J52*8/12+K52*4/12)*VLOOKUP($B78,'Hypothèses '!$B$106:$E$126,3,FALSE)*(1+$E$35)*(1+$F$35)*(1+$G$35)*(1+$H$35)*(1+$I$35)*(1+$J$35)*(1+$K$35)</f>
        <v>#N/A</v>
      </c>
    </row>
    <row r="79" spans="1:11" x14ac:dyDescent="0.2">
      <c r="A79" s="65"/>
      <c r="B79" s="65" t="str">
        <f t="shared" si="18"/>
        <v xml:space="preserve">Direction adjointe </v>
      </c>
      <c r="C79" s="245"/>
      <c r="D79" s="90">
        <f>(C53*8/12+D53*4/12)*VLOOKUP($B79,'Hypothèses '!$B$106:$E$126,3,FALSE)</f>
        <v>0</v>
      </c>
      <c r="E79" s="90">
        <f>(D53*8/12+E53*4/12)*VLOOKUP($B79,'Hypothèses '!$B$106:$E$126,3,FALSE)*(1+$E$35)</f>
        <v>0</v>
      </c>
      <c r="F79" s="90">
        <f>(E53*8/12+F53*4/12)*VLOOKUP($B79,'Hypothèses '!$B$106:$E$126,3,FALSE)*(1+$E$35)*(1+$F$35)</f>
        <v>0</v>
      </c>
      <c r="G79" s="90">
        <f>(F53*8/12+G53*4/12)*VLOOKUP($B79,'Hypothèses '!$B$106:$E$126,3,FALSE)*(1+$E$35)*(1+$F$35)*(1+$G$35)</f>
        <v>0</v>
      </c>
      <c r="H79" s="90">
        <f>(G53*8/12+H53*4/12)*VLOOKUP($B79,'Hypothèses '!$B$106:$E$126,3,FALSE)*(1+$E$35)*(1+$F$35)*(1+$G$35)*(1+$H$35)</f>
        <v>0</v>
      </c>
      <c r="I79" s="90">
        <f>(H53*8/12+I53*4/12)*VLOOKUP($B79,'Hypothèses '!$B$106:$E$126,3,FALSE)*(1+$E$35)*(1+$F$35)*(1+$G$35)*(1+$H$35)*(1+$I$35)</f>
        <v>0</v>
      </c>
      <c r="J79" s="90">
        <f>(I53*8/12+J53*4/12)*VLOOKUP($B79,'Hypothèses '!$B$106:$E$126,3,FALSE)*(1+$E$35)*(1+$F$35)*(1+$G$35)*(1+$H$35)*(1+$I$35)*(1+$J$35)</f>
        <v>0</v>
      </c>
      <c r="K79" s="90">
        <f>(J53*8/12+K53*4/12)*VLOOKUP($B79,'Hypothèses '!$B$106:$E$126,3,FALSE)*(1+$E$35)*(1+$F$35)*(1+$G$35)*(1+$H$35)*(1+$I$35)*(1+$J$35)*(1+$K$35)</f>
        <v>0</v>
      </c>
    </row>
    <row r="80" spans="1:11" x14ac:dyDescent="0.2">
      <c r="A80" s="65"/>
      <c r="B80" s="65" t="str">
        <f t="shared" si="18"/>
        <v>Conseiller pédagogique</v>
      </c>
      <c r="C80" s="245"/>
      <c r="D80" s="90">
        <f>(C54*8/12+D54*4/12)*VLOOKUP($B80,'Hypothèses '!$B$106:$E$126,3,FALSE)</f>
        <v>0</v>
      </c>
      <c r="E80" s="90">
        <f>(D54*8/12+E54*4/12)*VLOOKUP($B80,'Hypothèses '!$B$106:$E$126,3,FALSE)*(1+$E$35)</f>
        <v>0</v>
      </c>
      <c r="F80" s="90">
        <f>(E54*8/12+F54*4/12)*VLOOKUP($B80,'Hypothèses '!$B$106:$E$126,3,FALSE)*(1+$E$35)*(1+$F$35)</f>
        <v>0</v>
      </c>
      <c r="G80" s="90">
        <f>(F54*8/12+G54*4/12)*VLOOKUP($B80,'Hypothèses '!$B$106:$E$126,3,FALSE)*(1+$E$35)*(1+$F$35)*(1+$G$35)</f>
        <v>0</v>
      </c>
      <c r="H80" s="90">
        <f>(G54*8/12+H54*4/12)*VLOOKUP($B80,'Hypothèses '!$B$106:$E$126,3,FALSE)*(1+$E$35)*(1+$F$35)*(1+$G$35)*(1+$H$35)</f>
        <v>0</v>
      </c>
      <c r="I80" s="90">
        <f>(H54*8/12+I54*4/12)*VLOOKUP($B80,'Hypothèses '!$B$106:$E$126,3,FALSE)*(1+$E$35)*(1+$F$35)*(1+$G$35)*(1+$H$35)*(1+$I$35)</f>
        <v>0</v>
      </c>
      <c r="J80" s="90">
        <f>(I54*8/12+J54*4/12)*VLOOKUP($B80,'Hypothèses '!$B$106:$E$126,3,FALSE)*(1+$E$35)*(1+$F$35)*(1+$G$35)*(1+$H$35)*(1+$I$35)*(1+$J$35)</f>
        <v>0</v>
      </c>
      <c r="K80" s="90">
        <f>(J54*8/12+K54*4/12)*VLOOKUP($B80,'Hypothèses '!$B$106:$E$126,3,FALSE)*(1+$E$35)*(1+$F$35)*(1+$G$35)*(1+$H$35)*(1+$I$35)*(1+$J$35)*(1+$K$35)</f>
        <v>0</v>
      </c>
    </row>
    <row r="81" spans="1:11" x14ac:dyDescent="0.2">
      <c r="A81" s="65"/>
      <c r="B81" s="65" t="str">
        <f t="shared" si="18"/>
        <v>Vie scolaire  - Educateurs</v>
      </c>
      <c r="C81" s="245"/>
      <c r="D81" s="90">
        <f>(C55*8/12+D55*4/12)*VLOOKUP($B81,'Hypothèses '!$B$106:$E$126,3,FALSE)</f>
        <v>0</v>
      </c>
      <c r="E81" s="90">
        <f>(D55*8/12+E55*4/12)*VLOOKUP($B81,'Hypothèses '!$B$106:$E$126,3,FALSE)*(1+$E$35)</f>
        <v>0</v>
      </c>
      <c r="F81" s="90">
        <f>(E55*8/12+F55*4/12)*VLOOKUP($B81,'Hypothèses '!$B$106:$E$126,3,FALSE)*(1+$E$35)*(1+$F$35)</f>
        <v>0</v>
      </c>
      <c r="G81" s="90">
        <f>(F55*8/12+G55*4/12)*VLOOKUP($B81,'Hypothèses '!$B$106:$E$126,3,FALSE)*(1+$E$35)*(1+$F$35)*(1+$G$35)</f>
        <v>0</v>
      </c>
      <c r="H81" s="90">
        <f>(G55*8/12+H55*4/12)*VLOOKUP($B81,'Hypothèses '!$B$106:$E$126,3,FALSE)*(1+$E$35)*(1+$F$35)*(1+$G$35)*(1+$H$35)</f>
        <v>0</v>
      </c>
      <c r="I81" s="90">
        <f>(H55*8/12+I55*4/12)*VLOOKUP($B81,'Hypothèses '!$B$106:$E$126,3,FALSE)*(1+$E$35)*(1+$F$35)*(1+$G$35)*(1+$H$35)*(1+$I$35)</f>
        <v>0</v>
      </c>
      <c r="J81" s="90">
        <f>(I55*8/12+J55*4/12)*VLOOKUP($B81,'Hypothèses '!$B$106:$E$126,3,FALSE)*(1+$E$35)*(1+$F$35)*(1+$G$35)*(1+$H$35)*(1+$I$35)*(1+$J$35)</f>
        <v>0</v>
      </c>
      <c r="K81" s="90">
        <f>(J55*8/12+K55*4/12)*VLOOKUP($B81,'Hypothèses '!$B$106:$E$126,3,FALSE)*(1+$E$35)*(1+$F$35)*(1+$G$35)*(1+$H$35)*(1+$I$35)*(1+$J$35)*(1+$K$35)</f>
        <v>0</v>
      </c>
    </row>
    <row r="82" spans="1:11" x14ac:dyDescent="0.2">
      <c r="A82" s="65"/>
      <c r="B82" s="65" t="str">
        <f t="shared" si="18"/>
        <v>Documentation</v>
      </c>
      <c r="C82" s="245"/>
      <c r="D82" s="90">
        <f>(C56*8/12+D56*4/12)*VLOOKUP($B82,'Hypothèses '!$B$106:$E$126,3,FALSE)</f>
        <v>0</v>
      </c>
      <c r="E82" s="90">
        <f>(D56*8/12+E56*4/12)*VLOOKUP($B82,'Hypothèses '!$B$106:$E$126,3,FALSE)*(1+$E$35)</f>
        <v>0</v>
      </c>
      <c r="F82" s="90">
        <f>(E56*8/12+F56*4/12)*VLOOKUP($B82,'Hypothèses '!$B$106:$E$126,3,FALSE)*(1+$E$35)*(1+$F$35)</f>
        <v>0</v>
      </c>
      <c r="G82" s="90">
        <f>(F56*8/12+G56*4/12)*VLOOKUP($B82,'Hypothèses '!$B$106:$E$126,3,FALSE)*(1+$E$35)*(1+$F$35)*(1+$G$35)</f>
        <v>0</v>
      </c>
      <c r="H82" s="90">
        <f>(G56*8/12+H56*4/12)*VLOOKUP($B82,'Hypothèses '!$B$106:$E$126,3,FALSE)*(1+$E$35)*(1+$F$35)*(1+$G$35)*(1+$H$35)</f>
        <v>0</v>
      </c>
      <c r="I82" s="90">
        <f>(H56*8/12+I56*4/12)*VLOOKUP($B82,'Hypothèses '!$B$106:$E$126,3,FALSE)*(1+$E$35)*(1+$F$35)*(1+$G$35)*(1+$H$35)*(1+$I$35)</f>
        <v>0</v>
      </c>
      <c r="J82" s="90">
        <f>(I56*8/12+J56*4/12)*VLOOKUP($B82,'Hypothèses '!$B$106:$E$126,3,FALSE)*(1+$E$35)*(1+$F$35)*(1+$G$35)*(1+$H$35)*(1+$I$35)*(1+$J$35)</f>
        <v>0</v>
      </c>
      <c r="K82" s="90">
        <f>(J56*8/12+K56*4/12)*VLOOKUP($B82,'Hypothèses '!$B$106:$E$126,3,FALSE)*(1+$E$35)*(1+$F$35)*(1+$G$35)*(1+$H$35)*(1+$I$35)*(1+$J$35)*(1+$K$35)</f>
        <v>0</v>
      </c>
    </row>
    <row r="83" spans="1:11" x14ac:dyDescent="0.2">
      <c r="A83" s="65"/>
      <c r="B83" s="65" t="str">
        <f t="shared" si="18"/>
        <v>Infirmière</v>
      </c>
      <c r="C83" s="245"/>
      <c r="D83" s="90">
        <f>(C57*8/12+D57*4/12)*VLOOKUP($B83,'Hypothèses '!$B$106:$E$126,3,FALSE)</f>
        <v>0</v>
      </c>
      <c r="E83" s="90">
        <f>(D57*8/12+E57*4/12)*VLOOKUP($B83,'Hypothèses '!$B$106:$E$126,3,FALSE)*(1+$E$35)</f>
        <v>0</v>
      </c>
      <c r="F83" s="90">
        <f>(E57*8/12+F57*4/12)*VLOOKUP($B83,'Hypothèses '!$B$106:$E$126,3,FALSE)*(1+$E$35)*(1+$F$35)</f>
        <v>0</v>
      </c>
      <c r="G83" s="90">
        <f>(F57*8/12+G57*4/12)*VLOOKUP($B83,'Hypothèses '!$B$106:$E$126,3,FALSE)*(1+$E$35)*(1+$F$35)*(1+$G$35)</f>
        <v>0</v>
      </c>
      <c r="H83" s="90">
        <f>(G57*8/12+H57*4/12)*VLOOKUP($B83,'Hypothèses '!$B$106:$E$126,3,FALSE)*(1+$E$35)*(1+$F$35)*(1+$G$35)*(1+$H$35)</f>
        <v>0</v>
      </c>
      <c r="I83" s="90">
        <f>(H57*8/12+I57*4/12)*VLOOKUP($B83,'Hypothèses '!$B$106:$E$126,3,FALSE)*(1+$E$35)*(1+$F$35)*(1+$G$35)*(1+$H$35)*(1+$I$35)</f>
        <v>0</v>
      </c>
      <c r="J83" s="90">
        <f>(I57*8/12+J57*4/12)*VLOOKUP($B83,'Hypothèses '!$B$106:$E$126,3,FALSE)*(1+$E$35)*(1+$F$35)*(1+$G$35)*(1+$H$35)*(1+$I$35)*(1+$J$35)</f>
        <v>0</v>
      </c>
      <c r="K83" s="90">
        <f>(J57*8/12+K57*4/12)*VLOOKUP($B83,'Hypothèses '!$B$106:$E$126,3,FALSE)*(1+$E$35)*(1+$F$35)*(1+$G$35)*(1+$H$35)*(1+$I$35)*(1+$J$35)*(1+$K$35)</f>
        <v>0</v>
      </c>
    </row>
    <row r="84" spans="1:11" x14ac:dyDescent="0.2">
      <c r="A84" s="65"/>
      <c r="B84" s="65" t="str">
        <f t="shared" si="18"/>
        <v>Autre primaire commun</v>
      </c>
      <c r="C84" s="245"/>
      <c r="D84" s="90">
        <f>(C58*8/12+D58*4/12)*VLOOKUP($B84,'Hypothèses '!$B$106:$E$126,3,FALSE)</f>
        <v>0</v>
      </c>
      <c r="E84" s="90">
        <f>(D58*8/12+E58*4/12)*VLOOKUP($B84,'Hypothèses '!$B$106:$E$126,3,FALSE)*(1+$E$35)</f>
        <v>0</v>
      </c>
      <c r="F84" s="90">
        <f>(E58*8/12+F58*4/12)*VLOOKUP($B84,'Hypothèses '!$B$106:$E$126,3,FALSE)*(1+$E$35)*(1+$F$35)</f>
        <v>0</v>
      </c>
      <c r="G84" s="90">
        <f>(F58*8/12+G58*4/12)*VLOOKUP($B84,'Hypothèses '!$B$106:$E$126,3,FALSE)*(1+$E$35)*(1+$F$35)*(1+$G$35)</f>
        <v>0</v>
      </c>
      <c r="H84" s="90">
        <f>(G58*8/12+H58*4/12)*VLOOKUP($B84,'Hypothèses '!$B$106:$E$126,3,FALSE)*(1+$E$35)*(1+$F$35)*(1+$G$35)*(1+$H$35)</f>
        <v>0</v>
      </c>
      <c r="I84" s="90">
        <f>(H58*8/12+I58*4/12)*VLOOKUP($B84,'Hypothèses '!$B$106:$E$126,3,FALSE)*(1+$E$35)*(1+$F$35)*(1+$G$35)*(1+$H$35)*(1+$I$35)</f>
        <v>0</v>
      </c>
      <c r="J84" s="90">
        <f>(I58*8/12+J58*4/12)*VLOOKUP($B84,'Hypothèses '!$B$106:$E$126,3,FALSE)*(1+$E$35)*(1+$F$35)*(1+$G$35)*(1+$H$35)*(1+$I$35)*(1+$J$35)</f>
        <v>0</v>
      </c>
      <c r="K84" s="90">
        <f>(J58*8/12+K58*4/12)*VLOOKUP($B84,'Hypothèses '!$B$106:$E$126,3,FALSE)*(1+$E$35)*(1+$F$35)*(1+$G$35)*(1+$H$35)*(1+$I$35)*(1+$J$35)*(1+$K$35)</f>
        <v>0</v>
      </c>
    </row>
    <row r="85" spans="1:11" x14ac:dyDescent="0.2">
      <c r="A85" s="65"/>
      <c r="B85" s="65"/>
      <c r="C85" s="244"/>
      <c r="D85" s="244"/>
      <c r="E85" s="244"/>
      <c r="F85" s="244"/>
      <c r="G85" s="244"/>
      <c r="H85" s="244"/>
      <c r="I85" s="244"/>
      <c r="J85" s="244"/>
      <c r="K85" s="244"/>
    </row>
    <row r="86" spans="1:11" x14ac:dyDescent="0.2">
      <c r="A86" s="66" t="s">
        <v>73</v>
      </c>
      <c r="B86" s="65" t="str">
        <f>B62</f>
        <v>Enseignants Détachés</v>
      </c>
      <c r="C86" s="90"/>
      <c r="D86" s="90">
        <f>((C62*8/12+D62*4/12)*((('Calcul Cout Détaché'!$B$12*D$36+'Calcul Cout Détaché'!$G$11)*1)+'Calcul Cout Détaché'!$H$12))/D$37</f>
        <v>0</v>
      </c>
      <c r="E86" s="90">
        <f>((D62*8/12+E62*4/12)*((('Calcul Cout Détaché'!$B$12*E$36+'Calcul Cout Détaché'!$G$11)*1)+'Calcul Cout Détaché'!$H$12))/E$37</f>
        <v>0</v>
      </c>
      <c r="F86" s="90">
        <f>((E62*8/12+F62*4/12)*((('Calcul Cout Détaché'!$B$12*F$36+'Calcul Cout Détaché'!$G$11)*1)+'Calcul Cout Détaché'!$H$12))/F$37</f>
        <v>0</v>
      </c>
      <c r="G86" s="90">
        <f>((F62*8/12+G62*4/12)*((('Calcul Cout Détaché'!$B$12*G$36+'Calcul Cout Détaché'!$G$11)*1)+'Calcul Cout Détaché'!$H$12))/G$37</f>
        <v>0</v>
      </c>
      <c r="H86" s="90">
        <f>((G62*8/12+H62*4/12)*((('Calcul Cout Détaché'!$B$12*H$36+'Calcul Cout Détaché'!$G$11)*1)+'Calcul Cout Détaché'!$H$12))/H$37</f>
        <v>0</v>
      </c>
      <c r="I86" s="90">
        <f>((H62*8/12+I62*4/12)*((('Calcul Cout Détaché'!$B$12*I$36+'Calcul Cout Détaché'!$G$11)*1)+'Calcul Cout Détaché'!$H$12))/I$37</f>
        <v>0</v>
      </c>
      <c r="J86" s="90">
        <f>((I62*8/12+J62*4/12)*((('Calcul Cout Détaché'!$B$12*J$36+'Calcul Cout Détaché'!$G$11)*1)+'Calcul Cout Détaché'!$H$12))/J$37</f>
        <v>0</v>
      </c>
      <c r="K86" s="90">
        <f>((J62*8/12+K62*4/12)*((('Calcul Cout Détaché'!$B$12*K$36+'Calcul Cout Détaché'!$G$11)*1)+'Calcul Cout Détaché'!$H$12))/K$37</f>
        <v>0</v>
      </c>
    </row>
    <row r="87" spans="1:11" x14ac:dyDescent="0.2">
      <c r="A87" s="65"/>
      <c r="B87" s="65" t="s">
        <v>83</v>
      </c>
      <c r="C87" s="245"/>
      <c r="D87" s="90">
        <f>((C63+C64)*8/12+(D64+D63)*4/12)*VLOOKUP($B87,'Hypothèses '!$B$106:$E$126,3,FALSE)</f>
        <v>0</v>
      </c>
      <c r="E87" s="90">
        <f>((D63+D64)*8/12+(E64+E63)*4/12)*VLOOKUP($B87,'Hypothèses '!$B$106:$E$126,3,FALSE)*(1+$E$35)</f>
        <v>0</v>
      </c>
      <c r="F87" s="90">
        <f>((E63+E64)*8/12+(F64+F63)*4/12)*VLOOKUP($B87,'Hypothèses '!$B$106:$E$126,3,FALSE)*(1+$E$35)*(1+$F$35)</f>
        <v>0</v>
      </c>
      <c r="G87" s="90">
        <f>((F63+F64)*8/12+(G64+G63)*4/12)*VLOOKUP($B87,'Hypothèses '!$B$106:$E$126,3,FALSE)*(1+$E$35)*(1+$F$35)*(1+$G$35)</f>
        <v>0</v>
      </c>
      <c r="H87" s="90">
        <f>((G63+G64)*8/12+(H64+H63)*4/12)*VLOOKUP($B87,'Hypothèses '!$B$106:$E$126,3,FALSE)*(1+$E$35)*(1+$F$35)*(1+$G$35)*(1+$H$35)</f>
        <v>0</v>
      </c>
      <c r="I87" s="90">
        <f>((H63+H64)*8/12+(I64+I63)*4/12)*VLOOKUP($B87,'Hypothèses '!$B$106:$E$126,3,FALSE)*(1+$E$35)*(1+$F$35)*(1+$G$35)*(1+$H$35)*(1+$I$35)</f>
        <v>0</v>
      </c>
      <c r="J87" s="90">
        <f>((I63+I64)*8/12+(J64+J63)*4/12)*VLOOKUP($B87,'Hypothèses '!$B$106:$E$126,3,FALSE)*(1+$E$35)*(1+$F$35)*(1+$G$35)*(1+$H$35)*(1+$I$35)*(1+$J$35)</f>
        <v>0</v>
      </c>
      <c r="K87" s="90">
        <f>((J63+J64)*8/12+(K64+K63)*4/12)*VLOOKUP($B87,'Hypothèses '!$B$106:$E$126,3,FALSE)*(1+$E$35)*(1+$F$35)*(1+$G$35)*(1+$H$35)*(1+$I$35)*(1+$J$35)*(1+$K$35)</f>
        <v>0</v>
      </c>
    </row>
    <row r="88" spans="1:11" x14ac:dyDescent="0.2">
      <c r="A88" s="65"/>
      <c r="B88" s="65" t="str">
        <f>B65</f>
        <v>ASEM</v>
      </c>
      <c r="C88" s="245"/>
      <c r="D88" s="90">
        <f>(C65*8/12+D65*4/12)*VLOOKUP($B88,'Hypothèses '!$B$106:$E$126,3,FALSE)</f>
        <v>0</v>
      </c>
      <c r="E88" s="90">
        <f>(D65*8/12+E65*4/12)*VLOOKUP($B88,'Hypothèses '!$B$106:$E$126,3,FALSE)*(1+$E$35)</f>
        <v>0</v>
      </c>
      <c r="F88" s="90">
        <f>(E65*8/12+F65*4/12)*VLOOKUP($B88,'Hypothèses '!$B$106:$E$126,3,FALSE)*(1+$E$35)*(1+$F$35)</f>
        <v>0</v>
      </c>
      <c r="G88" s="90">
        <f>(F65*8/12+G65*4/12)*VLOOKUP($B88,'Hypothèses '!$B$106:$E$126,3,FALSE)*(1+$E$35)*(1+$F$35)*(1+$G$35)</f>
        <v>0</v>
      </c>
      <c r="H88" s="90">
        <f>(G65*8/12+H65*4/12)*VLOOKUP($B88,'Hypothèses '!$B$106:$E$126,3,FALSE)*(1+$E$35)*(1+$F$35)*(1+$G$35)*(1+$H$35)</f>
        <v>0</v>
      </c>
      <c r="I88" s="90">
        <f>(H65*8/12+I65*4/12)*VLOOKUP($B88,'Hypothèses '!$B$106:$E$126,3,FALSE)*(1+$E$35)*(1+$F$35)*(1+$G$35)*(1+$H$35)*(1+$I$35)</f>
        <v>0</v>
      </c>
      <c r="J88" s="90">
        <f>(I65*8/12+J65*4/12)*VLOOKUP($B88,'Hypothèses '!$B$106:$E$126,3,FALSE)*(1+$E$35)*(1+$F$35)*(1+$G$35)*(1+$H$35)*(1+$I$35)*(1+$J$35)</f>
        <v>0</v>
      </c>
      <c r="K88" s="90">
        <f>(J65*8/12+K65*4/12)*VLOOKUP($B88,'Hypothèses '!$B$106:$E$126,3,FALSE)*(1+$E$35)*(1+$F$35)*(1+$G$35)*(1+$H$35)*(1+$I$35)*(1+$J$35)*(1+$K$35)</f>
        <v>0</v>
      </c>
    </row>
    <row r="89" spans="1:11" ht="15.75" customHeight="1" x14ac:dyDescent="0.2"/>
    <row r="90" spans="1:11" ht="15.75" customHeight="1" x14ac:dyDescent="0.2">
      <c r="A90" s="67" t="s">
        <v>88</v>
      </c>
      <c r="B90" s="68"/>
      <c r="C90" s="89" t="str">
        <f>C$4</f>
        <v>2023/2024</v>
      </c>
      <c r="D90" s="89" t="str">
        <f t="shared" ref="D90:K90" si="19">D$4</f>
        <v>2024/2025</v>
      </c>
      <c r="E90" s="89" t="str">
        <f t="shared" si="19"/>
        <v>2025/2026</v>
      </c>
      <c r="F90" s="89" t="str">
        <f t="shared" si="19"/>
        <v>2026/2027</v>
      </c>
      <c r="G90" s="89" t="str">
        <f t="shared" si="19"/>
        <v>2027/2028</v>
      </c>
      <c r="H90" s="89" t="str">
        <f t="shared" si="19"/>
        <v>2028/2029</v>
      </c>
      <c r="I90" s="89" t="str">
        <f t="shared" si="19"/>
        <v>2029/2030</v>
      </c>
      <c r="J90" s="89" t="str">
        <f t="shared" si="19"/>
        <v>2030/2031</v>
      </c>
      <c r="K90" s="89" t="str">
        <f t="shared" si="19"/>
        <v>2031/2032</v>
      </c>
    </row>
    <row r="91" spans="1:11" ht="15.75" customHeight="1" x14ac:dyDescent="0.2">
      <c r="A91" s="67" t="s">
        <v>667</v>
      </c>
      <c r="B91" s="68"/>
      <c r="C91" s="375" t="e">
        <f>C92+C112</f>
        <v>#N/A</v>
      </c>
      <c r="D91" s="375" t="e">
        <f t="shared" ref="D91:K91" si="20">D92+D112</f>
        <v>#N/A</v>
      </c>
      <c r="E91" s="375" t="e">
        <f t="shared" si="20"/>
        <v>#N/A</v>
      </c>
      <c r="F91" s="375" t="e">
        <f t="shared" si="20"/>
        <v>#N/A</v>
      </c>
      <c r="G91" s="375" t="e">
        <f t="shared" si="20"/>
        <v>#N/A</v>
      </c>
      <c r="H91" s="375" t="e">
        <f t="shared" si="20"/>
        <v>#N/A</v>
      </c>
      <c r="I91" s="375" t="e">
        <f t="shared" si="20"/>
        <v>#N/A</v>
      </c>
      <c r="J91" s="375" t="e">
        <f t="shared" si="20"/>
        <v>#N/A</v>
      </c>
      <c r="K91" s="375" t="e">
        <f t="shared" si="20"/>
        <v>#N/A</v>
      </c>
    </row>
    <row r="92" spans="1:11" ht="15.75" customHeight="1" x14ac:dyDescent="0.2">
      <c r="A92" s="69" t="s">
        <v>70</v>
      </c>
      <c r="B92" s="68"/>
      <c r="C92" s="372" t="e">
        <f>SUM(C94:C101)+SUM(C104:C110)</f>
        <v>#N/A</v>
      </c>
      <c r="D92" s="372" t="e">
        <f t="shared" ref="D92:K92" si="21">SUM(D94:D101)+SUM(D104:D110)</f>
        <v>#N/A</v>
      </c>
      <c r="E92" s="372" t="e">
        <f t="shared" si="21"/>
        <v>#N/A</v>
      </c>
      <c r="F92" s="372" t="e">
        <f t="shared" si="21"/>
        <v>#N/A</v>
      </c>
      <c r="G92" s="372" t="e">
        <f t="shared" si="21"/>
        <v>#N/A</v>
      </c>
      <c r="H92" s="372" t="e">
        <f t="shared" si="21"/>
        <v>#N/A</v>
      </c>
      <c r="I92" s="372" t="e">
        <f t="shared" si="21"/>
        <v>#N/A</v>
      </c>
      <c r="J92" s="372" t="e">
        <f t="shared" si="21"/>
        <v>#N/A</v>
      </c>
      <c r="K92" s="372" t="e">
        <f t="shared" si="21"/>
        <v>#N/A</v>
      </c>
    </row>
    <row r="93" spans="1:11" ht="15.75" customHeight="1" x14ac:dyDescent="0.2">
      <c r="A93" s="68" t="s">
        <v>67</v>
      </c>
      <c r="B93" s="172" t="s">
        <v>652</v>
      </c>
      <c r="C93" s="330">
        <f>HLOOKUP(C38,'Projection Effectifs'!$S$31:$AC$35,3,FALSE)</f>
        <v>0</v>
      </c>
      <c r="D93" s="330">
        <f>HLOOKUP(D38,'Projection Effectifs'!$S$31:$AC$35,3,FALSE)</f>
        <v>0.36247216035634744</v>
      </c>
      <c r="E93" s="330">
        <f>HLOOKUP(E38,'Projection Effectifs'!$S$31:$AC$35,3,FALSE)</f>
        <v>0.35726027397260274</v>
      </c>
      <c r="F93" s="330">
        <f>HLOOKUP(F38,'Projection Effectifs'!$S$31:$AC$35,3,FALSE)</f>
        <v>0.36788732394366197</v>
      </c>
      <c r="G93" s="330">
        <f>HLOOKUP(G38,'Projection Effectifs'!$S$31:$AC$35,3,FALSE)</f>
        <v>0.34932709186658867</v>
      </c>
      <c r="H93" s="330">
        <f>HLOOKUP(H38,'Projection Effectifs'!$S$31:$AC$35,3,FALSE)</f>
        <v>0.31194820482636842</v>
      </c>
      <c r="I93" s="330">
        <f>HLOOKUP(I38,'Projection Effectifs'!$S$31:$AC$35,3,FALSE)</f>
        <v>0.27315357561547482</v>
      </c>
      <c r="J93" s="330">
        <f>HLOOKUP(J38,'Projection Effectifs'!$S$31:$AC$35,3,FALSE)</f>
        <v>0.23058823529411765</v>
      </c>
      <c r="K93" s="330">
        <f>HLOOKUP(K38,'Projection Effectifs'!$S$31:$AC$35,3,FALSE)</f>
        <v>0.22778771615980919</v>
      </c>
    </row>
    <row r="94" spans="1:11" ht="15.75" customHeight="1" x14ac:dyDescent="0.2">
      <c r="A94" s="68"/>
      <c r="B94" s="68" t="str">
        <f>$B$6</f>
        <v>Chef d'Etablissement PDL</v>
      </c>
      <c r="C94" s="93" t="e">
        <f t="shared" ref="C94:K101" si="22">VLOOKUP($B94,$B$6:$K$13,C$3,FALSE)*C$93</f>
        <v>#N/A</v>
      </c>
      <c r="D94" s="93" t="e">
        <f t="shared" si="22"/>
        <v>#N/A</v>
      </c>
      <c r="E94" s="93" t="e">
        <f t="shared" si="22"/>
        <v>#N/A</v>
      </c>
      <c r="F94" s="93" t="e">
        <f t="shared" si="22"/>
        <v>#N/A</v>
      </c>
      <c r="G94" s="93" t="e">
        <f t="shared" si="22"/>
        <v>#N/A</v>
      </c>
      <c r="H94" s="93" t="e">
        <f t="shared" si="22"/>
        <v>#N/A</v>
      </c>
      <c r="I94" s="93" t="e">
        <f t="shared" si="22"/>
        <v>#N/A</v>
      </c>
      <c r="J94" s="93" t="e">
        <f t="shared" si="22"/>
        <v>#N/A</v>
      </c>
      <c r="K94" s="93" t="e">
        <f t="shared" si="22"/>
        <v>#N/A</v>
      </c>
    </row>
    <row r="95" spans="1:11" ht="15.75" customHeight="1" x14ac:dyDescent="0.2">
      <c r="A95" s="68"/>
      <c r="B95" s="68" t="str">
        <f>$B$7</f>
        <v>DAF PDL</v>
      </c>
      <c r="C95" s="93" t="e">
        <f t="shared" si="22"/>
        <v>#N/A</v>
      </c>
      <c r="D95" s="93" t="e">
        <f t="shared" si="22"/>
        <v>#N/A</v>
      </c>
      <c r="E95" s="93" t="e">
        <f t="shared" si="22"/>
        <v>#N/A</v>
      </c>
      <c r="F95" s="93" t="e">
        <f t="shared" si="22"/>
        <v>#N/A</v>
      </c>
      <c r="G95" s="93" t="e">
        <f t="shared" si="22"/>
        <v>#N/A</v>
      </c>
      <c r="H95" s="93" t="e">
        <f t="shared" si="22"/>
        <v>#N/A</v>
      </c>
      <c r="I95" s="93" t="e">
        <f t="shared" si="22"/>
        <v>#N/A</v>
      </c>
      <c r="J95" s="93" t="e">
        <f t="shared" si="22"/>
        <v>#N/A</v>
      </c>
      <c r="K95" s="93" t="e">
        <f t="shared" si="22"/>
        <v>#N/A</v>
      </c>
    </row>
    <row r="96" spans="1:11" ht="15.75" customHeight="1" x14ac:dyDescent="0.2">
      <c r="A96" s="68"/>
      <c r="B96" s="68" t="str">
        <f>$B$8</f>
        <v>DRH</v>
      </c>
      <c r="C96" s="93">
        <f t="shared" si="22"/>
        <v>0</v>
      </c>
      <c r="D96" s="93">
        <f t="shared" si="22"/>
        <v>0.72494432071269488</v>
      </c>
      <c r="E96" s="93">
        <f t="shared" si="22"/>
        <v>0</v>
      </c>
      <c r="F96" s="93">
        <f t="shared" si="22"/>
        <v>0</v>
      </c>
      <c r="G96" s="93">
        <f t="shared" si="22"/>
        <v>0</v>
      </c>
      <c r="H96" s="93">
        <f t="shared" si="22"/>
        <v>0</v>
      </c>
      <c r="I96" s="93">
        <f t="shared" si="22"/>
        <v>0</v>
      </c>
      <c r="J96" s="93">
        <f t="shared" si="22"/>
        <v>0</v>
      </c>
      <c r="K96" s="93">
        <f t="shared" si="22"/>
        <v>0</v>
      </c>
    </row>
    <row r="97" spans="1:11" ht="15.75" customHeight="1" x14ac:dyDescent="0.2">
      <c r="A97" s="68"/>
      <c r="B97" s="68" t="str">
        <f>$B$9</f>
        <v>Autre Administratif</v>
      </c>
      <c r="C97" s="93">
        <f t="shared" si="22"/>
        <v>0</v>
      </c>
      <c r="D97" s="93">
        <f t="shared" si="22"/>
        <v>0</v>
      </c>
      <c r="E97" s="93">
        <f t="shared" si="22"/>
        <v>0</v>
      </c>
      <c r="F97" s="93">
        <f t="shared" si="22"/>
        <v>0</v>
      </c>
      <c r="G97" s="93">
        <f t="shared" si="22"/>
        <v>0</v>
      </c>
      <c r="H97" s="93">
        <f t="shared" si="22"/>
        <v>0</v>
      </c>
      <c r="I97" s="93">
        <f t="shared" si="22"/>
        <v>0</v>
      </c>
      <c r="J97" s="93">
        <f t="shared" si="22"/>
        <v>0</v>
      </c>
      <c r="K97" s="93">
        <f t="shared" si="22"/>
        <v>0</v>
      </c>
    </row>
    <row r="98" spans="1:11" ht="15.75" customHeight="1" x14ac:dyDescent="0.2">
      <c r="A98" s="68"/>
      <c r="B98" s="68" t="str">
        <f>$B$10</f>
        <v>Technique - Informatique - Maintenance</v>
      </c>
      <c r="C98" s="93" t="e">
        <f t="shared" si="22"/>
        <v>#N/A</v>
      </c>
      <c r="D98" s="93" t="e">
        <f t="shared" si="22"/>
        <v>#N/A</v>
      </c>
      <c r="E98" s="93" t="e">
        <f t="shared" si="22"/>
        <v>#N/A</v>
      </c>
      <c r="F98" s="93" t="e">
        <f t="shared" si="22"/>
        <v>#N/A</v>
      </c>
      <c r="G98" s="93" t="e">
        <f t="shared" si="22"/>
        <v>#N/A</v>
      </c>
      <c r="H98" s="93" t="e">
        <f t="shared" si="22"/>
        <v>#N/A</v>
      </c>
      <c r="I98" s="93" t="e">
        <f t="shared" si="22"/>
        <v>#N/A</v>
      </c>
      <c r="J98" s="93" t="e">
        <f t="shared" si="22"/>
        <v>#N/A</v>
      </c>
      <c r="K98" s="93" t="e">
        <f t="shared" si="22"/>
        <v>#N/A</v>
      </c>
    </row>
    <row r="99" spans="1:11" ht="15.75" customHeight="1" x14ac:dyDescent="0.2">
      <c r="A99" s="68"/>
      <c r="B99" s="68" t="str">
        <f>$B$11</f>
        <v>Entretien / Sécurité</v>
      </c>
      <c r="C99" s="93">
        <f t="shared" si="22"/>
        <v>0</v>
      </c>
      <c r="D99" s="93">
        <f t="shared" si="22"/>
        <v>0.36247216035634744</v>
      </c>
      <c r="E99" s="93">
        <f t="shared" si="22"/>
        <v>0</v>
      </c>
      <c r="F99" s="93">
        <f t="shared" si="22"/>
        <v>0</v>
      </c>
      <c r="G99" s="93">
        <f t="shared" si="22"/>
        <v>0</v>
      </c>
      <c r="H99" s="93">
        <f t="shared" si="22"/>
        <v>0</v>
      </c>
      <c r="I99" s="93">
        <f t="shared" si="22"/>
        <v>0</v>
      </c>
      <c r="J99" s="93">
        <f t="shared" si="22"/>
        <v>0</v>
      </c>
      <c r="K99" s="93">
        <f t="shared" si="22"/>
        <v>0</v>
      </c>
    </row>
    <row r="100" spans="1:11" ht="15.75" customHeight="1" x14ac:dyDescent="0.2">
      <c r="A100" s="68"/>
      <c r="B100" s="68" t="str">
        <f>$B$12</f>
        <v>Documentation</v>
      </c>
      <c r="C100" s="93">
        <f t="shared" si="22"/>
        <v>0</v>
      </c>
      <c r="D100" s="93">
        <f t="shared" si="22"/>
        <v>0.72494432071269488</v>
      </c>
      <c r="E100" s="93">
        <f t="shared" si="22"/>
        <v>0</v>
      </c>
      <c r="F100" s="93">
        <f t="shared" si="22"/>
        <v>0</v>
      </c>
      <c r="G100" s="93">
        <f t="shared" si="22"/>
        <v>0</v>
      </c>
      <c r="H100" s="93">
        <f t="shared" si="22"/>
        <v>0</v>
      </c>
      <c r="I100" s="93">
        <f t="shared" si="22"/>
        <v>0</v>
      </c>
      <c r="J100" s="93">
        <f t="shared" si="22"/>
        <v>0</v>
      </c>
      <c r="K100" s="93">
        <f t="shared" si="22"/>
        <v>0</v>
      </c>
    </row>
    <row r="101" spans="1:11" ht="15.75" customHeight="1" x14ac:dyDescent="0.2">
      <c r="A101" s="68"/>
      <c r="B101" s="68" t="str">
        <f>$B$13</f>
        <v>Autre commun</v>
      </c>
      <c r="C101" s="93">
        <f t="shared" si="22"/>
        <v>0</v>
      </c>
      <c r="D101" s="93">
        <f t="shared" si="22"/>
        <v>0</v>
      </c>
      <c r="E101" s="93">
        <f t="shared" si="22"/>
        <v>0</v>
      </c>
      <c r="F101" s="93">
        <f t="shared" si="22"/>
        <v>0</v>
      </c>
      <c r="G101" s="93">
        <f t="shared" si="22"/>
        <v>0</v>
      </c>
      <c r="H101" s="93">
        <f t="shared" si="22"/>
        <v>0</v>
      </c>
      <c r="I101" s="93">
        <f t="shared" si="22"/>
        <v>0</v>
      </c>
      <c r="J101" s="93">
        <f t="shared" si="22"/>
        <v>0</v>
      </c>
      <c r="K101" s="93">
        <f t="shared" si="22"/>
        <v>0</v>
      </c>
    </row>
    <row r="102" spans="1:11" ht="15.75" customHeight="1" x14ac:dyDescent="0.2">
      <c r="A102" s="68"/>
      <c r="B102" s="68"/>
      <c r="C102" s="93"/>
      <c r="D102" s="93"/>
      <c r="E102" s="93"/>
      <c r="F102" s="93"/>
      <c r="G102" s="93"/>
      <c r="H102" s="93"/>
      <c r="I102" s="93"/>
      <c r="J102" s="93"/>
      <c r="K102" s="93"/>
    </row>
    <row r="103" spans="1:11" ht="15.75" customHeight="1" x14ac:dyDescent="0.2">
      <c r="A103" s="68" t="s">
        <v>74</v>
      </c>
      <c r="B103" s="172" t="s">
        <v>652</v>
      </c>
      <c r="C103" s="330">
        <f>HLOOKUP(C$38,'Projection Effectifs'!$S$37:$AC$43,3,FALSE)</f>
        <v>0</v>
      </c>
      <c r="D103" s="330">
        <f>HLOOKUP(D$38,'Projection Effectifs'!$S$37:$AC$43,3,FALSE)</f>
        <v>0.6896186440677966</v>
      </c>
      <c r="E103" s="330">
        <f>HLOOKUP(E$38,'Projection Effectifs'!$S$37:$AC$43,3,FALSE)</f>
        <v>0.7056277056277056</v>
      </c>
      <c r="F103" s="330">
        <f>HLOOKUP(F$38,'Projection Effectifs'!$S$37:$AC$43,3,FALSE)</f>
        <v>0.7637426900584795</v>
      </c>
      <c r="G103" s="330">
        <f>HLOOKUP(G$38,'Projection Effectifs'!$S$37:$AC$43,3,FALSE)</f>
        <v>0.75857687420584496</v>
      </c>
      <c r="H103" s="330">
        <f>HLOOKUP(H$38,'Projection Effectifs'!$S$37:$AC$43,3,FALSE)</f>
        <v>0.68831168831168832</v>
      </c>
      <c r="I103" s="330">
        <f>HLOOKUP(I$38,'Projection Effectifs'!$S$37:$AC$43,3,FALSE)</f>
        <v>0.60835509138381205</v>
      </c>
      <c r="J103" s="330">
        <f>HLOOKUP(J$38,'Projection Effectifs'!$S$37:$AC$43,3,FALSE)</f>
        <v>0.52127659574468088</v>
      </c>
      <c r="K103" s="330">
        <f>HLOOKUP(K$38,'Projection Effectifs'!$S$37:$AC$43,3,FALSE)</f>
        <v>0.51482479784366575</v>
      </c>
    </row>
    <row r="104" spans="1:11" ht="15.75" customHeight="1" x14ac:dyDescent="0.2">
      <c r="A104" s="68"/>
      <c r="B104" s="68" t="str">
        <f>$B$16</f>
        <v>Direction PDL</v>
      </c>
      <c r="C104" s="93" t="e">
        <f t="shared" ref="C104:K110" si="23">VLOOKUP($B104,$B$16:$K$22,C$3,FALSE)*C$103</f>
        <v>#N/A</v>
      </c>
      <c r="D104" s="93" t="e">
        <f t="shared" si="23"/>
        <v>#N/A</v>
      </c>
      <c r="E104" s="93" t="e">
        <f t="shared" si="23"/>
        <v>#N/A</v>
      </c>
      <c r="F104" s="93" t="e">
        <f t="shared" si="23"/>
        <v>#N/A</v>
      </c>
      <c r="G104" s="93" t="e">
        <f t="shared" si="23"/>
        <v>#N/A</v>
      </c>
      <c r="H104" s="93" t="e">
        <f t="shared" si="23"/>
        <v>#N/A</v>
      </c>
      <c r="I104" s="93" t="e">
        <f t="shared" si="23"/>
        <v>#N/A</v>
      </c>
      <c r="J104" s="93" t="e">
        <f t="shared" si="23"/>
        <v>#N/A</v>
      </c>
      <c r="K104" s="93" t="e">
        <f t="shared" si="23"/>
        <v>#N/A</v>
      </c>
    </row>
    <row r="105" spans="1:11" ht="15.75" customHeight="1" x14ac:dyDescent="0.2">
      <c r="A105" s="68"/>
      <c r="B105" s="68" t="str">
        <f>$B$17</f>
        <v xml:space="preserve">Direction adjointe </v>
      </c>
      <c r="C105" s="93">
        <f t="shared" si="23"/>
        <v>0</v>
      </c>
      <c r="D105" s="93">
        <f t="shared" si="23"/>
        <v>0</v>
      </c>
      <c r="E105" s="93">
        <f t="shared" si="23"/>
        <v>0</v>
      </c>
      <c r="F105" s="93">
        <f t="shared" si="23"/>
        <v>0</v>
      </c>
      <c r="G105" s="93">
        <f t="shared" si="23"/>
        <v>0</v>
      </c>
      <c r="H105" s="93">
        <f t="shared" si="23"/>
        <v>0</v>
      </c>
      <c r="I105" s="93">
        <f t="shared" si="23"/>
        <v>0</v>
      </c>
      <c r="J105" s="93">
        <f t="shared" si="23"/>
        <v>0</v>
      </c>
      <c r="K105" s="93">
        <f t="shared" si="23"/>
        <v>0</v>
      </c>
    </row>
    <row r="106" spans="1:11" ht="15.75" customHeight="1" x14ac:dyDescent="0.2">
      <c r="A106" s="68"/>
      <c r="B106" s="68" t="str">
        <f>$B$18</f>
        <v>Conseiller pédagogique</v>
      </c>
      <c r="C106" s="93">
        <f t="shared" si="23"/>
        <v>0</v>
      </c>
      <c r="D106" s="93">
        <f t="shared" si="23"/>
        <v>0</v>
      </c>
      <c r="E106" s="93">
        <f t="shared" si="23"/>
        <v>0</v>
      </c>
      <c r="F106" s="93">
        <f t="shared" si="23"/>
        <v>0</v>
      </c>
      <c r="G106" s="93">
        <f t="shared" si="23"/>
        <v>0</v>
      </c>
      <c r="H106" s="93">
        <f t="shared" si="23"/>
        <v>0</v>
      </c>
      <c r="I106" s="93">
        <f t="shared" si="23"/>
        <v>0</v>
      </c>
      <c r="J106" s="93">
        <f t="shared" si="23"/>
        <v>0</v>
      </c>
      <c r="K106" s="93">
        <f t="shared" si="23"/>
        <v>0</v>
      </c>
    </row>
    <row r="107" spans="1:11" ht="15.75" customHeight="1" x14ac:dyDescent="0.2">
      <c r="A107" s="68"/>
      <c r="B107" s="68" t="str">
        <f>$B$19</f>
        <v>Vie scolaire  - Educateurs</v>
      </c>
      <c r="C107" s="93">
        <f t="shared" si="23"/>
        <v>0</v>
      </c>
      <c r="D107" s="93">
        <f t="shared" si="23"/>
        <v>0.6896186440677966</v>
      </c>
      <c r="E107" s="93">
        <f t="shared" si="23"/>
        <v>0</v>
      </c>
      <c r="F107" s="93">
        <f t="shared" si="23"/>
        <v>0</v>
      </c>
      <c r="G107" s="93">
        <f t="shared" si="23"/>
        <v>0</v>
      </c>
      <c r="H107" s="93">
        <f t="shared" si="23"/>
        <v>0</v>
      </c>
      <c r="I107" s="93">
        <f t="shared" si="23"/>
        <v>0</v>
      </c>
      <c r="J107" s="93">
        <f t="shared" si="23"/>
        <v>0</v>
      </c>
      <c r="K107" s="93">
        <f t="shared" si="23"/>
        <v>0</v>
      </c>
    </row>
    <row r="108" spans="1:11" ht="15.75" customHeight="1" x14ac:dyDescent="0.2">
      <c r="A108" s="68"/>
      <c r="B108" s="68" t="str">
        <f>$B$20</f>
        <v>Documentation</v>
      </c>
      <c r="C108" s="93">
        <f t="shared" si="23"/>
        <v>0</v>
      </c>
      <c r="D108" s="93">
        <f t="shared" si="23"/>
        <v>0.6896186440677966</v>
      </c>
      <c r="E108" s="93">
        <f t="shared" si="23"/>
        <v>0</v>
      </c>
      <c r="F108" s="93">
        <f t="shared" si="23"/>
        <v>0</v>
      </c>
      <c r="G108" s="93">
        <f t="shared" si="23"/>
        <v>0</v>
      </c>
      <c r="H108" s="93">
        <f t="shared" si="23"/>
        <v>0</v>
      </c>
      <c r="I108" s="93">
        <f t="shared" si="23"/>
        <v>0</v>
      </c>
      <c r="J108" s="93">
        <f t="shared" si="23"/>
        <v>0</v>
      </c>
      <c r="K108" s="93">
        <f t="shared" si="23"/>
        <v>0</v>
      </c>
    </row>
    <row r="109" spans="1:11" ht="15.75" customHeight="1" x14ac:dyDescent="0.2">
      <c r="A109" s="68"/>
      <c r="B109" s="68" t="str">
        <f>$B$21</f>
        <v>Infirmière</v>
      </c>
      <c r="C109" s="93">
        <f t="shared" si="23"/>
        <v>0</v>
      </c>
      <c r="D109" s="93">
        <f t="shared" si="23"/>
        <v>0</v>
      </c>
      <c r="E109" s="93">
        <f t="shared" si="23"/>
        <v>0</v>
      </c>
      <c r="F109" s="93">
        <f t="shared" si="23"/>
        <v>0</v>
      </c>
      <c r="G109" s="93">
        <f t="shared" si="23"/>
        <v>0</v>
      </c>
      <c r="H109" s="93">
        <f t="shared" si="23"/>
        <v>0</v>
      </c>
      <c r="I109" s="93">
        <f t="shared" si="23"/>
        <v>0</v>
      </c>
      <c r="J109" s="93">
        <f t="shared" si="23"/>
        <v>0</v>
      </c>
      <c r="K109" s="93">
        <f t="shared" si="23"/>
        <v>0</v>
      </c>
    </row>
    <row r="110" spans="1:11" ht="15.75" customHeight="1" x14ac:dyDescent="0.2">
      <c r="A110" s="68"/>
      <c r="B110" s="68" t="str">
        <f>$B$22</f>
        <v>Autre primaire commun</v>
      </c>
      <c r="C110" s="93">
        <f t="shared" si="23"/>
        <v>0</v>
      </c>
      <c r="D110" s="93">
        <f t="shared" si="23"/>
        <v>1.3792372881355932</v>
      </c>
      <c r="E110" s="93">
        <f t="shared" si="23"/>
        <v>0</v>
      </c>
      <c r="F110" s="93">
        <f t="shared" si="23"/>
        <v>0</v>
      </c>
      <c r="G110" s="93">
        <f t="shared" si="23"/>
        <v>0</v>
      </c>
      <c r="H110" s="93">
        <f t="shared" si="23"/>
        <v>0</v>
      </c>
      <c r="I110" s="93">
        <f t="shared" si="23"/>
        <v>0</v>
      </c>
      <c r="J110" s="93">
        <f t="shared" si="23"/>
        <v>0</v>
      </c>
      <c r="K110" s="93">
        <f t="shared" si="23"/>
        <v>0</v>
      </c>
    </row>
    <row r="111" spans="1:11" ht="15.75" customHeight="1" x14ac:dyDescent="0.2">
      <c r="A111" s="68"/>
      <c r="B111" s="68"/>
      <c r="C111" s="243"/>
      <c r="D111" s="243"/>
      <c r="E111" s="243"/>
      <c r="F111" s="243"/>
      <c r="G111" s="243"/>
      <c r="H111" s="243"/>
      <c r="I111" s="243"/>
      <c r="J111" s="243"/>
      <c r="K111" s="243"/>
    </row>
    <row r="112" spans="1:11" ht="15.75" customHeight="1" x14ac:dyDescent="0.2">
      <c r="A112" s="69" t="s">
        <v>89</v>
      </c>
      <c r="B112" s="68"/>
      <c r="C112" s="372">
        <f>SUM(C114:C116)</f>
        <v>0</v>
      </c>
      <c r="D112" s="372">
        <f t="shared" ref="D112:K112" si="24">SUM(D114:D116)</f>
        <v>1.3</v>
      </c>
      <c r="E112" s="372">
        <f t="shared" si="24"/>
        <v>0</v>
      </c>
      <c r="F112" s="372">
        <f t="shared" si="24"/>
        <v>0</v>
      </c>
      <c r="G112" s="372">
        <f t="shared" si="24"/>
        <v>0</v>
      </c>
      <c r="H112" s="372">
        <f t="shared" si="24"/>
        <v>0</v>
      </c>
      <c r="I112" s="372">
        <f t="shared" si="24"/>
        <v>0</v>
      </c>
      <c r="J112" s="372">
        <f t="shared" si="24"/>
        <v>0</v>
      </c>
      <c r="K112" s="372">
        <f t="shared" si="24"/>
        <v>0</v>
      </c>
    </row>
    <row r="113" spans="1:11" ht="15.75" customHeight="1" x14ac:dyDescent="0.2">
      <c r="A113" s="69"/>
      <c r="B113" s="172" t="s">
        <v>79</v>
      </c>
      <c r="C113" s="243">
        <f>HLOOKUP(C$38,'Hypothèses '!$C$42:$K$46,3,FALSE)</f>
        <v>0</v>
      </c>
      <c r="D113" s="243">
        <f>HLOOKUP(D$38,'Hypothèses '!$C$42:$K$46,3,FALSE)</f>
        <v>1</v>
      </c>
      <c r="E113" s="243">
        <f>HLOOKUP(E$38,'Hypothèses '!$C$42:$K$46,3,FALSE)</f>
        <v>0</v>
      </c>
      <c r="F113" s="243">
        <f>HLOOKUP(F$38,'Hypothèses '!$C$42:$K$46,3,FALSE)</f>
        <v>0</v>
      </c>
      <c r="G113" s="243">
        <f>HLOOKUP(G$38,'Hypothèses '!$C$42:$K$46,3,FALSE)</f>
        <v>0</v>
      </c>
      <c r="H113" s="243">
        <f>HLOOKUP(H$38,'Hypothèses '!$C$42:$K$46,3,FALSE)</f>
        <v>0</v>
      </c>
      <c r="I113" s="243">
        <f>HLOOKUP(I$38,'Hypothèses '!$C$42:$K$46,3,FALSE)</f>
        <v>0</v>
      </c>
      <c r="J113" s="243">
        <f>HLOOKUP(J$38,'Hypothèses '!$C$42:$K$46,3,FALSE)</f>
        <v>0</v>
      </c>
      <c r="K113" s="243">
        <f>HLOOKUP(K$38,'Hypothèses '!$C$42:$K$46,3,FALSE)</f>
        <v>0</v>
      </c>
    </row>
    <row r="114" spans="1:11" ht="15.75" customHeight="1" x14ac:dyDescent="0.2">
      <c r="A114" s="68"/>
      <c r="B114" s="68" t="s">
        <v>77</v>
      </c>
      <c r="C114" s="93">
        <f>IFERROR(HLOOKUP(C$38,'Hypothèses '!$C$90:$K$93,3,FALSE),0)</f>
        <v>0</v>
      </c>
      <c r="D114" s="93">
        <f>IFERROR(HLOOKUP(D$38,'Hypothèses '!$C$90:$K$93,3,FALSE),0)</f>
        <v>0</v>
      </c>
      <c r="E114" s="93">
        <f>IFERROR(HLOOKUP(E$38,'Hypothèses '!$C$90:$K$93,3,FALSE),0)</f>
        <v>0</v>
      </c>
      <c r="F114" s="93">
        <f>IFERROR(HLOOKUP(F$38,'Hypothèses '!$C$90:$K$93,3,FALSE),0)</f>
        <v>0</v>
      </c>
      <c r="G114" s="93">
        <f>IFERROR(HLOOKUP(G$38,'Hypothèses '!$C$90:$K$93,3,FALSE),0)</f>
        <v>0</v>
      </c>
      <c r="H114" s="93">
        <f>IFERROR(HLOOKUP(H$38,'Hypothèses '!$C$90:$K$93,3,FALSE),0)</f>
        <v>0</v>
      </c>
      <c r="I114" s="93">
        <f>IFERROR(HLOOKUP(I$38,'Hypothèses '!$C$90:$K$93,3,FALSE),0)</f>
        <v>0</v>
      </c>
      <c r="J114" s="93">
        <f>IFERROR(HLOOKUP(J$38,'Hypothèses '!$C$90:$K$93,3,FALSE),0)</f>
        <v>0</v>
      </c>
      <c r="K114" s="93">
        <f>IFERROR(HLOOKUP(K$38,'Hypothèses '!$C$90:$K$93,3,FALSE),0)</f>
        <v>0</v>
      </c>
    </row>
    <row r="115" spans="1:11" ht="15.75" customHeight="1" x14ac:dyDescent="0.2">
      <c r="A115" s="68"/>
      <c r="B115" s="68" t="s">
        <v>80</v>
      </c>
      <c r="C115" s="300">
        <f>C113-C$114</f>
        <v>0</v>
      </c>
      <c r="D115" s="300">
        <f t="shared" ref="D115:K115" si="25">D113-D$114</f>
        <v>1</v>
      </c>
      <c r="E115" s="300">
        <f t="shared" si="25"/>
        <v>0</v>
      </c>
      <c r="F115" s="300">
        <f t="shared" si="25"/>
        <v>0</v>
      </c>
      <c r="G115" s="300">
        <f t="shared" si="25"/>
        <v>0</v>
      </c>
      <c r="H115" s="300">
        <f t="shared" si="25"/>
        <v>0</v>
      </c>
      <c r="I115" s="300">
        <f t="shared" si="25"/>
        <v>0</v>
      </c>
      <c r="J115" s="300">
        <f t="shared" si="25"/>
        <v>0</v>
      </c>
      <c r="K115" s="300">
        <f t="shared" si="25"/>
        <v>0</v>
      </c>
    </row>
    <row r="116" spans="1:11" ht="15.75" customHeight="1" x14ac:dyDescent="0.2">
      <c r="A116" s="68"/>
      <c r="B116" s="68" t="s">
        <v>81</v>
      </c>
      <c r="C116" s="93">
        <f>IF(HLOOKUP(C$38,'Hypothèses '!$C$97:$K$100,2,FALSE)=1,'Tables  Enseignants'!$C$7*C113,'Tables  Enseignants'!$C$8*C113)</f>
        <v>0</v>
      </c>
      <c r="D116" s="93">
        <f>IF(HLOOKUP(D$38,'Hypothèses '!$C$97:$K$100,2,FALSE)=1,'Tables  Enseignants'!$C$7*D113,'Tables  Enseignants'!$C$8*D113)</f>
        <v>0.3</v>
      </c>
      <c r="E116" s="93">
        <f>IF(HLOOKUP(E$38,'Hypothèses '!$C$97:$K$100,2,FALSE)=1,'Tables  Enseignants'!$C$7*E113,'Tables  Enseignants'!$C$8*E113)</f>
        <v>0</v>
      </c>
      <c r="F116" s="93">
        <f>IF(HLOOKUP(F$38,'Hypothèses '!$C$97:$K$100,2,FALSE)=1,'Tables  Enseignants'!$C$7*F113,'Tables  Enseignants'!$C$8*F113)</f>
        <v>0</v>
      </c>
      <c r="G116" s="93">
        <f>IF(HLOOKUP(G$38,'Hypothèses '!$C$97:$K$100,2,FALSE)=1,'Tables  Enseignants'!$C$7*G113,'Tables  Enseignants'!$C$8*G113)</f>
        <v>0</v>
      </c>
      <c r="H116" s="93">
        <f>IF(HLOOKUP(H$38,'Hypothèses '!$C$97:$K$100,2,FALSE)=1,'Tables  Enseignants'!$C$7*H113,'Tables  Enseignants'!$C$8*H113)</f>
        <v>0</v>
      </c>
      <c r="I116" s="93">
        <f>IF(HLOOKUP(I$38,'Hypothèses '!$C$97:$K$100,2,FALSE)=1,'Tables  Enseignants'!$C$7*I113,'Tables  Enseignants'!$C$8*I113)</f>
        <v>0</v>
      </c>
      <c r="J116" s="93">
        <f>IF(HLOOKUP(J$38,'Hypothèses '!$C$97:$K$100,2,FALSE)=1,'Tables  Enseignants'!$C$7*J113,'Tables  Enseignants'!$C$8*J113)</f>
        <v>0</v>
      </c>
      <c r="K116" s="93">
        <f>IF(HLOOKUP(K$38,'Hypothèses '!$C$97:$K$100,2,FALSE)=1,'Tables  Enseignants'!$C$7*K113,'Tables  Enseignants'!$C$8*K113)</f>
        <v>0</v>
      </c>
    </row>
    <row r="117" spans="1:11" ht="15.75" customHeight="1" x14ac:dyDescent="0.2">
      <c r="A117" s="68"/>
      <c r="B117" s="68"/>
      <c r="C117" s="243"/>
      <c r="D117" s="243"/>
      <c r="E117" s="243"/>
      <c r="F117" s="243"/>
      <c r="G117" s="243"/>
      <c r="H117" s="243"/>
      <c r="I117" s="243"/>
      <c r="J117" s="243"/>
      <c r="K117" s="243"/>
    </row>
    <row r="118" spans="1:11" ht="15.75" customHeight="1" x14ac:dyDescent="0.2">
      <c r="A118" s="69" t="s">
        <v>87</v>
      </c>
      <c r="B118" s="68"/>
      <c r="C118" s="246">
        <v>0</v>
      </c>
      <c r="D118" s="246">
        <v>0</v>
      </c>
      <c r="E118" s="246">
        <v>1</v>
      </c>
      <c r="F118" s="246">
        <v>2</v>
      </c>
      <c r="G118" s="246">
        <v>3</v>
      </c>
      <c r="H118" s="246">
        <v>4</v>
      </c>
      <c r="I118" s="246">
        <v>5</v>
      </c>
      <c r="J118" s="246">
        <v>6</v>
      </c>
      <c r="K118" s="246">
        <v>7</v>
      </c>
    </row>
    <row r="119" spans="1:11" ht="15.75" customHeight="1" x14ac:dyDescent="0.2">
      <c r="A119" s="94" t="s">
        <v>113</v>
      </c>
      <c r="B119" s="68"/>
      <c r="C119" s="243"/>
      <c r="D119" s="95">
        <f>D68</f>
        <v>2024</v>
      </c>
      <c r="E119" s="95">
        <f>D119+1</f>
        <v>2025</v>
      </c>
      <c r="F119" s="95">
        <f t="shared" ref="F119:K119" si="26">E119+1</f>
        <v>2026</v>
      </c>
      <c r="G119" s="95">
        <f t="shared" si="26"/>
        <v>2027</v>
      </c>
      <c r="H119" s="95">
        <f t="shared" si="26"/>
        <v>2028</v>
      </c>
      <c r="I119" s="95">
        <f t="shared" si="26"/>
        <v>2029</v>
      </c>
      <c r="J119" s="95">
        <f t="shared" si="26"/>
        <v>2030</v>
      </c>
      <c r="K119" s="95">
        <f t="shared" si="26"/>
        <v>2031</v>
      </c>
    </row>
    <row r="120" spans="1:11" ht="15.75" customHeight="1" x14ac:dyDescent="0.2">
      <c r="A120" s="68" t="s">
        <v>67</v>
      </c>
      <c r="B120" s="68" t="str">
        <f t="shared" ref="B120:B127" si="27">B94</f>
        <v>Chef d'Etablissement PDL</v>
      </c>
      <c r="C120" s="93"/>
      <c r="D120" s="96" t="e">
        <f>(C94*8/12+D94*4/12)*VLOOKUP($B120,'Hypothèses '!$B$106:$E$126,3,FALSE)</f>
        <v>#N/A</v>
      </c>
      <c r="E120" s="96" t="e">
        <f>(D94*8/12+E94*4/12)*VLOOKUP($B120,'Hypothèses '!$B$106:$E$126,3,FALSE)*(1+$E$35)</f>
        <v>#N/A</v>
      </c>
      <c r="F120" s="96" t="e">
        <f>(E94*8/12+F94*4/12)*VLOOKUP($B120,'Hypothèses '!$B$106:$E$126,3,FALSE)*(1+$E$35)*(1+$F$35)</f>
        <v>#N/A</v>
      </c>
      <c r="G120" s="96" t="e">
        <f>(F94*8/12+G94*4/12)*VLOOKUP($B120,'Hypothèses '!$B$106:$E$126,3,FALSE)*(1+$E$35)*(1+$F$35)*(1+$G$35)</f>
        <v>#N/A</v>
      </c>
      <c r="H120" s="96" t="e">
        <f>(G94*8/12+H94*4/12)*VLOOKUP($B120,'Hypothèses '!$B$106:$E$126,3,FALSE)*(1+$E$35)*(1+$F$35)*(1+$G$35)*(1+$H$35)</f>
        <v>#N/A</v>
      </c>
      <c r="I120" s="96" t="e">
        <f>(H94*8/12+I94*4/12)*VLOOKUP($B120,'Hypothèses '!$B$106:$E$126,3,FALSE)*(1+$E$35)*(1+$F$35)*(1+$G$35)*(1+$H$35)*(1+$I$35)</f>
        <v>#N/A</v>
      </c>
      <c r="J120" s="96" t="e">
        <f>(I94*8/12+J94*4/12)*VLOOKUP($B120,'Hypothèses '!$B$106:$E$126,3,FALSE)*(1+$E$35)*(1+$F$35)*(1+$G$35)*(1+$H$35)*(1+$I$35)*(1+$J$35)</f>
        <v>#N/A</v>
      </c>
      <c r="K120" s="96" t="e">
        <f>(J94*8/12+K94*4/12)*VLOOKUP($B120,'Hypothèses '!$B$106:$E$126,3,FALSE)*(1+$E$35)*(1+$F$35)*(1+$G$35)*(1+$H$35)*(1+$I$35)*(1+$J$35)*(1+$K$35)</f>
        <v>#N/A</v>
      </c>
    </row>
    <row r="121" spans="1:11" ht="15.75" customHeight="1" x14ac:dyDescent="0.2">
      <c r="A121" s="68"/>
      <c r="B121" s="68" t="str">
        <f t="shared" si="27"/>
        <v>DAF PDL</v>
      </c>
      <c r="C121" s="93"/>
      <c r="D121" s="96" t="e">
        <f>(C95*8/12+D95*4/12)*VLOOKUP($B121,'Hypothèses '!$B$106:$E$126,3,FALSE)</f>
        <v>#N/A</v>
      </c>
      <c r="E121" s="96" t="e">
        <f>(D95*8/12+E95*4/12)*VLOOKUP($B121,'Hypothèses '!$B$106:$E$126,3,FALSE)*(1+$E$35)</f>
        <v>#N/A</v>
      </c>
      <c r="F121" s="96" t="e">
        <f>(E95*8/12+F95*4/12)*VLOOKUP($B121,'Hypothèses '!$B$106:$E$126,3,FALSE)*(1+$E$35)*(1+$F$35)</f>
        <v>#N/A</v>
      </c>
      <c r="G121" s="96" t="e">
        <f>(F95*8/12+G95*4/12)*VLOOKUP($B121,'Hypothèses '!$B$106:$E$126,3,FALSE)*(1+$E$35)*(1+$F$35)*(1+$G$35)</f>
        <v>#N/A</v>
      </c>
      <c r="H121" s="96" t="e">
        <f>(G95*8/12+H95*4/12)*VLOOKUP($B121,'Hypothèses '!$B$106:$E$126,3,FALSE)*(1+$E$35)*(1+$F$35)*(1+$G$35)*(1+$H$35)</f>
        <v>#N/A</v>
      </c>
      <c r="I121" s="96" t="e">
        <f>(H95*8/12+I95*4/12)*VLOOKUP($B121,'Hypothèses '!$B$106:$E$126,3,FALSE)*(1+$E$35)*(1+$F$35)*(1+$G$35)*(1+$H$35)*(1+$I$35)</f>
        <v>#N/A</v>
      </c>
      <c r="J121" s="96" t="e">
        <f>(I95*8/12+J95*4/12)*VLOOKUP($B121,'Hypothèses '!$B$106:$E$126,3,FALSE)*(1+$E$35)*(1+$F$35)*(1+$G$35)*(1+$H$35)*(1+$I$35)*(1+$J$35)</f>
        <v>#N/A</v>
      </c>
      <c r="K121" s="96" t="e">
        <f>(J95*8/12+K95*4/12)*VLOOKUP($B121,'Hypothèses '!$B$106:$E$126,3,FALSE)*(1+$E$35)*(1+$F$35)*(1+$G$35)*(1+$H$35)*(1+$I$35)*(1+$J$35)*(1+$K$35)</f>
        <v>#N/A</v>
      </c>
    </row>
    <row r="122" spans="1:11" ht="15.75" customHeight="1" x14ac:dyDescent="0.2">
      <c r="A122" s="68"/>
      <c r="B122" s="68" t="str">
        <f t="shared" si="27"/>
        <v>DRH</v>
      </c>
      <c r="C122" s="93"/>
      <c r="D122" s="96">
        <f>(C96*8/12+D96*4/12)*VLOOKUP($B122,'Hypothèses '!$B$106:$E$126,3,FALSE)</f>
        <v>0</v>
      </c>
      <c r="E122" s="96">
        <f>(D96*8/12+E96*4/12)*VLOOKUP($B122,'Hypothèses '!$B$106:$E$126,3,FALSE)*(1+$E$35)</f>
        <v>0</v>
      </c>
      <c r="F122" s="96">
        <f>(E96*8/12+F96*4/12)*VLOOKUP($B122,'Hypothèses '!$B$106:$E$126,3,FALSE)*(1+$E$35)*(1+$F$35)</f>
        <v>0</v>
      </c>
      <c r="G122" s="96">
        <f>(F96*8/12+G96*4/12)*VLOOKUP($B122,'Hypothèses '!$B$106:$E$126,3,FALSE)*(1+$E$35)*(1+$F$35)*(1+$G$35)</f>
        <v>0</v>
      </c>
      <c r="H122" s="96">
        <f>(G96*8/12+H96*4/12)*VLOOKUP($B122,'Hypothèses '!$B$106:$E$126,3,FALSE)*(1+$E$35)*(1+$F$35)*(1+$G$35)*(1+$H$35)</f>
        <v>0</v>
      </c>
      <c r="I122" s="96">
        <f>(H96*8/12+I96*4/12)*VLOOKUP($B122,'Hypothèses '!$B$106:$E$126,3,FALSE)*(1+$E$35)*(1+$F$35)*(1+$G$35)*(1+$H$35)*(1+$I$35)</f>
        <v>0</v>
      </c>
      <c r="J122" s="96">
        <f>(I96*8/12+J96*4/12)*VLOOKUP($B122,'Hypothèses '!$B$106:$E$126,3,FALSE)*(1+$E$35)*(1+$F$35)*(1+$G$35)*(1+$H$35)*(1+$I$35)*(1+$J$35)</f>
        <v>0</v>
      </c>
      <c r="K122" s="96">
        <f>(J96*8/12+K96*4/12)*VLOOKUP($B122,'Hypothèses '!$B$106:$E$126,3,FALSE)*(1+$E$35)*(1+$F$35)*(1+$G$35)*(1+$H$35)*(1+$I$35)*(1+$J$35)*(1+$K$35)</f>
        <v>0</v>
      </c>
    </row>
    <row r="123" spans="1:11" ht="15.75" customHeight="1" x14ac:dyDescent="0.2">
      <c r="A123" s="68"/>
      <c r="B123" s="68" t="str">
        <f t="shared" si="27"/>
        <v>Autre Administratif</v>
      </c>
      <c r="C123" s="93"/>
      <c r="D123" s="96">
        <f>(C97*8/12+D97*4/12)*VLOOKUP($B123,'Hypothèses '!$B$106:$E$126,3,FALSE)</f>
        <v>0</v>
      </c>
      <c r="E123" s="96">
        <f>(D97*8/12+E97*4/12)*VLOOKUP($B123,'Hypothèses '!$B$106:$E$126,3,FALSE)*(1+$E$35)</f>
        <v>0</v>
      </c>
      <c r="F123" s="96">
        <f>(E97*8/12+F97*4/12)*VLOOKUP($B123,'Hypothèses '!$B$106:$E$126,3,FALSE)*(1+$E$35)*(1+$F$35)</f>
        <v>0</v>
      </c>
      <c r="G123" s="96">
        <f>(F97*8/12+G97*4/12)*VLOOKUP($B123,'Hypothèses '!$B$106:$E$126,3,FALSE)*(1+$E$35)*(1+$F$35)*(1+$G$35)</f>
        <v>0</v>
      </c>
      <c r="H123" s="96">
        <f>(G97*8/12+H97*4/12)*VLOOKUP($B123,'Hypothèses '!$B$106:$E$126,3,FALSE)*(1+$E$35)*(1+$F$35)*(1+$G$35)*(1+$H$35)</f>
        <v>0</v>
      </c>
      <c r="I123" s="96">
        <f>(H97*8/12+I97*4/12)*VLOOKUP($B123,'Hypothèses '!$B$106:$E$126,3,FALSE)*(1+$E$35)*(1+$F$35)*(1+$G$35)*(1+$H$35)*(1+$I$35)</f>
        <v>0</v>
      </c>
      <c r="J123" s="96">
        <f>(I97*8/12+J97*4/12)*VLOOKUP($B123,'Hypothèses '!$B$106:$E$126,3,FALSE)*(1+$E$35)*(1+$F$35)*(1+$G$35)*(1+$H$35)*(1+$I$35)*(1+$J$35)</f>
        <v>0</v>
      </c>
      <c r="K123" s="96">
        <f>(J97*8/12+K97*4/12)*VLOOKUP($B123,'Hypothèses '!$B$106:$E$126,3,FALSE)*(1+$E$35)*(1+$F$35)*(1+$G$35)*(1+$H$35)*(1+$I$35)*(1+$J$35)*(1+$K$35)</f>
        <v>0</v>
      </c>
    </row>
    <row r="124" spans="1:11" ht="15.75" customHeight="1" x14ac:dyDescent="0.2">
      <c r="A124" s="68"/>
      <c r="B124" s="68" t="str">
        <f t="shared" si="27"/>
        <v>Technique - Informatique - Maintenance</v>
      </c>
      <c r="C124" s="93"/>
      <c r="D124" s="96" t="e">
        <f>(C98*8/12+D98*4/12)*VLOOKUP($B124,'Hypothèses '!$B$106:$E$126,3,FALSE)</f>
        <v>#N/A</v>
      </c>
      <c r="E124" s="96" t="e">
        <f>(D98*8/12+E98*4/12)*VLOOKUP($B124,'Hypothèses '!$B$106:$E$126,3,FALSE)*(1+$E$35)</f>
        <v>#N/A</v>
      </c>
      <c r="F124" s="96" t="e">
        <f>(E98*8/12+F98*4/12)*VLOOKUP($B124,'Hypothèses '!$B$106:$E$126,3,FALSE)*(1+$E$35)*(1+$F$35)</f>
        <v>#N/A</v>
      </c>
      <c r="G124" s="96" t="e">
        <f>(F98*8/12+G98*4/12)*VLOOKUP($B124,'Hypothèses '!$B$106:$E$126,3,FALSE)*(1+$E$35)*(1+$F$35)*(1+$G$35)</f>
        <v>#N/A</v>
      </c>
      <c r="H124" s="96" t="e">
        <f>(G98*8/12+H98*4/12)*VLOOKUP($B124,'Hypothèses '!$B$106:$E$126,3,FALSE)*(1+$E$35)*(1+$F$35)*(1+$G$35)*(1+$H$35)</f>
        <v>#N/A</v>
      </c>
      <c r="I124" s="96" t="e">
        <f>(H98*8/12+I98*4/12)*VLOOKUP($B124,'Hypothèses '!$B$106:$E$126,3,FALSE)*(1+$E$35)*(1+$F$35)*(1+$G$35)*(1+$H$35)*(1+$I$35)</f>
        <v>#N/A</v>
      </c>
      <c r="J124" s="96" t="e">
        <f>(I98*8/12+J98*4/12)*VLOOKUP($B124,'Hypothèses '!$B$106:$E$126,3,FALSE)*(1+$E$35)*(1+$F$35)*(1+$G$35)*(1+$H$35)*(1+$I$35)*(1+$J$35)</f>
        <v>#N/A</v>
      </c>
      <c r="K124" s="96" t="e">
        <f>(J98*8/12+K98*4/12)*VLOOKUP($B124,'Hypothèses '!$B$106:$E$126,3,FALSE)*(1+$E$35)*(1+$F$35)*(1+$G$35)*(1+$H$35)*(1+$I$35)*(1+$J$35)*(1+$K$35)</f>
        <v>#N/A</v>
      </c>
    </row>
    <row r="125" spans="1:11" ht="15.75" customHeight="1" x14ac:dyDescent="0.2">
      <c r="A125" s="68"/>
      <c r="B125" s="68" t="str">
        <f t="shared" si="27"/>
        <v>Entretien / Sécurité</v>
      </c>
      <c r="C125" s="93"/>
      <c r="D125" s="96">
        <f>(C99*8/12+D99*4/12)*VLOOKUP($B125,'Hypothèses '!$B$106:$E$126,3,FALSE)</f>
        <v>0</v>
      </c>
      <c r="E125" s="96">
        <f>(D99*8/12+E99*4/12)*VLOOKUP($B125,'Hypothèses '!$B$106:$E$126,3,FALSE)*(1+$E$35)</f>
        <v>0</v>
      </c>
      <c r="F125" s="96">
        <f>(E99*8/12+F99*4/12)*VLOOKUP($B125,'Hypothèses '!$B$106:$E$126,3,FALSE)*(1+$E$35)*(1+$F$35)</f>
        <v>0</v>
      </c>
      <c r="G125" s="96">
        <f>(F99*8/12+G99*4/12)*VLOOKUP($B125,'Hypothèses '!$B$106:$E$126,3,FALSE)*(1+$E$35)*(1+$F$35)*(1+$G$35)</f>
        <v>0</v>
      </c>
      <c r="H125" s="96">
        <f>(G99*8/12+H99*4/12)*VLOOKUP($B125,'Hypothèses '!$B$106:$E$126,3,FALSE)*(1+$E$35)*(1+$F$35)*(1+$G$35)*(1+$H$35)</f>
        <v>0</v>
      </c>
      <c r="I125" s="96">
        <f>(H99*8/12+I99*4/12)*VLOOKUP($B125,'Hypothèses '!$B$106:$E$126,3,FALSE)*(1+$E$35)*(1+$F$35)*(1+$G$35)*(1+$H$35)*(1+$I$35)</f>
        <v>0</v>
      </c>
      <c r="J125" s="96">
        <f>(I99*8/12+J99*4/12)*VLOOKUP($B125,'Hypothèses '!$B$106:$E$126,3,FALSE)*(1+$E$35)*(1+$F$35)*(1+$G$35)*(1+$H$35)*(1+$I$35)*(1+$J$35)</f>
        <v>0</v>
      </c>
      <c r="K125" s="96">
        <f>(J99*8/12+K99*4/12)*VLOOKUP($B125,'Hypothèses '!$B$106:$E$126,3,FALSE)*(1+$E$35)*(1+$F$35)*(1+$G$35)*(1+$H$35)*(1+$I$35)*(1+$J$35)*(1+$K$35)</f>
        <v>0</v>
      </c>
    </row>
    <row r="126" spans="1:11" ht="15.75" customHeight="1" x14ac:dyDescent="0.2">
      <c r="A126" s="68"/>
      <c r="B126" s="68" t="str">
        <f t="shared" si="27"/>
        <v>Documentation</v>
      </c>
      <c r="C126" s="93"/>
      <c r="D126" s="96">
        <f>(C100*8/12+D100*4/12)*VLOOKUP($B126,'Hypothèses '!$B$106:$E$126,3,FALSE)</f>
        <v>0</v>
      </c>
      <c r="E126" s="96">
        <f>(D100*8/12+E100*4/12)*VLOOKUP($B126,'Hypothèses '!$B$106:$E$126,3,FALSE)*(1+$E$35)</f>
        <v>0</v>
      </c>
      <c r="F126" s="96">
        <f>(E100*8/12+F100*4/12)*VLOOKUP($B126,'Hypothèses '!$B$106:$E$126,3,FALSE)*(1+$E$35)*(1+$F$35)</f>
        <v>0</v>
      </c>
      <c r="G126" s="96">
        <f>(F100*8/12+G100*4/12)*VLOOKUP($B126,'Hypothèses '!$B$106:$E$126,3,FALSE)*(1+$E$35)*(1+$F$35)*(1+$G$35)</f>
        <v>0</v>
      </c>
      <c r="H126" s="96">
        <f>(G100*8/12+H100*4/12)*VLOOKUP($B126,'Hypothèses '!$B$106:$E$126,3,FALSE)*(1+$E$35)*(1+$F$35)*(1+$G$35)*(1+$H$35)</f>
        <v>0</v>
      </c>
      <c r="I126" s="96">
        <f>(H100*8/12+I100*4/12)*VLOOKUP($B126,'Hypothèses '!$B$106:$E$126,3,FALSE)*(1+$E$35)*(1+$F$35)*(1+$G$35)*(1+$H$35)*(1+$I$35)</f>
        <v>0</v>
      </c>
      <c r="J126" s="96">
        <f>(I100*8/12+J100*4/12)*VLOOKUP($B126,'Hypothèses '!$B$106:$E$126,3,FALSE)*(1+$E$35)*(1+$F$35)*(1+$G$35)*(1+$H$35)*(1+$I$35)*(1+$J$35)</f>
        <v>0</v>
      </c>
      <c r="K126" s="96">
        <f>(J100*8/12+K100*4/12)*VLOOKUP($B126,'Hypothèses '!$B$106:$E$126,3,FALSE)*(1+$E$35)*(1+$F$35)*(1+$G$35)*(1+$H$35)*(1+$I$35)*(1+$J$35)*(1+$K$35)</f>
        <v>0</v>
      </c>
    </row>
    <row r="127" spans="1:11" ht="15.75" customHeight="1" x14ac:dyDescent="0.2">
      <c r="A127" s="68"/>
      <c r="B127" s="68" t="str">
        <f t="shared" si="27"/>
        <v>Autre commun</v>
      </c>
      <c r="C127" s="93"/>
      <c r="D127" s="96">
        <f>(C101*8/12+D101*4/12)*VLOOKUP($B127,'Hypothèses '!$B$106:$E$126,3,FALSE)</f>
        <v>0</v>
      </c>
      <c r="E127" s="96">
        <f>(D101*8/12+E101*4/12)*VLOOKUP($B127,'Hypothèses '!$B$106:$E$126,3,FALSE)*(1+$E$35)</f>
        <v>0</v>
      </c>
      <c r="F127" s="96">
        <f>(E101*8/12+F101*4/12)*VLOOKUP($B127,'Hypothèses '!$B$106:$E$126,3,FALSE)*(1+$E$35)*(1+$F$35)</f>
        <v>0</v>
      </c>
      <c r="G127" s="96">
        <f>(F101*8/12+G101*4/12)*VLOOKUP($B127,'Hypothèses '!$B$106:$E$126,3,FALSE)*(1+$E$35)*(1+$F$35)*(1+$G$35)</f>
        <v>0</v>
      </c>
      <c r="H127" s="96">
        <f>(G101*8/12+H101*4/12)*VLOOKUP($B127,'Hypothèses '!$B$106:$E$126,3,FALSE)*(1+$E$35)*(1+$F$35)*(1+$G$35)*(1+$H$35)</f>
        <v>0</v>
      </c>
      <c r="I127" s="96">
        <f>(H101*8/12+I101*4/12)*VLOOKUP($B127,'Hypothèses '!$B$106:$E$126,3,FALSE)*(1+$E$35)*(1+$F$35)*(1+$G$35)*(1+$H$35)*(1+$I$35)</f>
        <v>0</v>
      </c>
      <c r="J127" s="96">
        <f>(I101*8/12+J101*4/12)*VLOOKUP($B127,'Hypothèses '!$B$106:$E$126,3,FALSE)*(1+$E$35)*(1+$F$35)*(1+$G$35)*(1+$H$35)*(1+$I$35)*(1+$J$35)</f>
        <v>0</v>
      </c>
      <c r="K127" s="96">
        <f>(J101*8/12+K101*4/12)*VLOOKUP($B127,'Hypothèses '!$B$106:$E$126,3,FALSE)*(1+$E$35)*(1+$F$35)*(1+$G$35)*(1+$H$35)*(1+$I$35)*(1+$J$35)*(1+$K$35)</f>
        <v>0</v>
      </c>
    </row>
    <row r="128" spans="1:11" ht="15.75" customHeight="1" x14ac:dyDescent="0.2">
      <c r="A128" s="68"/>
      <c r="B128" s="68"/>
      <c r="C128" s="93"/>
      <c r="D128" s="96"/>
      <c r="E128" s="96"/>
      <c r="F128" s="96"/>
      <c r="G128" s="96"/>
      <c r="H128" s="96"/>
      <c r="I128" s="96"/>
      <c r="J128" s="96"/>
      <c r="K128" s="96"/>
    </row>
    <row r="129" spans="1:11" ht="15.75" customHeight="1" x14ac:dyDescent="0.2">
      <c r="A129" s="68" t="s">
        <v>74</v>
      </c>
      <c r="B129" s="68" t="str">
        <f t="shared" ref="B129:B135" si="28">B104</f>
        <v>Direction PDL</v>
      </c>
      <c r="C129" s="93"/>
      <c r="D129" s="96" t="e">
        <f>(C104*8/12+D104*4/12)*VLOOKUP($B129,'Hypothèses '!$B$106:$E$126,3,FALSE)</f>
        <v>#N/A</v>
      </c>
      <c r="E129" s="96" t="e">
        <f>(D104*8/12+E104*4/12)*VLOOKUP($B129,'Hypothèses '!$B$106:$E$126,3,FALSE)*(1+$E$35)</f>
        <v>#N/A</v>
      </c>
      <c r="F129" s="96" t="e">
        <f>(E104*8/12+F104*4/12)*VLOOKUP($B129,'Hypothèses '!$B$106:$E$126,3,FALSE)*(1+$E$35)*(1+$F$35)</f>
        <v>#N/A</v>
      </c>
      <c r="G129" s="96" t="e">
        <f>(F104*8/12+G104*4/12)*VLOOKUP($B129,'Hypothèses '!$B$106:$E$126,3,FALSE)*(1+$E$35)*(1+$F$35)*(1+$G$35)</f>
        <v>#N/A</v>
      </c>
      <c r="H129" s="96" t="e">
        <f>(G104*8/12+H104*4/12)*VLOOKUP($B129,'Hypothèses '!$B$106:$E$126,3,FALSE)*(1+$E$35)*(1+$F$35)*(1+$G$35)*(1+$H$35)</f>
        <v>#N/A</v>
      </c>
      <c r="I129" s="96" t="e">
        <f>(H104*8/12+I104*4/12)*VLOOKUP($B129,'Hypothèses '!$B$106:$E$126,3,FALSE)*(1+$E$35)*(1+$F$35)*(1+$G$35)*(1+$H$35)*(1+$I$35)</f>
        <v>#N/A</v>
      </c>
      <c r="J129" s="96" t="e">
        <f>(I104*8/12+J104*4/12)*VLOOKUP($B129,'Hypothèses '!$B$106:$E$126,3,FALSE)*(1+$E$35)*(1+$F$35)*(1+$G$35)*(1+$H$35)*(1+$I$35)*(1+$J$35)</f>
        <v>#N/A</v>
      </c>
      <c r="K129" s="96" t="e">
        <f>(J104*8/12+K104*4/12)*VLOOKUP($B129,'Hypothèses '!$B$106:$E$126,3,FALSE)*(1+$E$35)*(1+$F$35)*(1+$G$35)*(1+$H$35)*(1+$I$35)*(1+$J$35)*(1+$K$35)</f>
        <v>#N/A</v>
      </c>
    </row>
    <row r="130" spans="1:11" ht="15.75" customHeight="1" x14ac:dyDescent="0.2">
      <c r="A130" s="68"/>
      <c r="B130" s="68" t="str">
        <f t="shared" si="28"/>
        <v xml:space="preserve">Direction adjointe </v>
      </c>
      <c r="C130" s="93"/>
      <c r="D130" s="96">
        <f>(C105*8/12+D105*4/12)*VLOOKUP($B130,'Hypothèses '!$B$106:$E$126,3,FALSE)</f>
        <v>0</v>
      </c>
      <c r="E130" s="96">
        <f>(D105*8/12+E105*4/12)*VLOOKUP($B130,'Hypothèses '!$B$106:$E$126,3,FALSE)*(1+$E$35)</f>
        <v>0</v>
      </c>
      <c r="F130" s="96">
        <f>(E105*8/12+F105*4/12)*VLOOKUP($B130,'Hypothèses '!$B$106:$E$126,3,FALSE)*(1+$E$35)*(1+$F$35)</f>
        <v>0</v>
      </c>
      <c r="G130" s="96">
        <f>(F105*8/12+G105*4/12)*VLOOKUP($B130,'Hypothèses '!$B$106:$E$126,3,FALSE)*(1+$E$35)*(1+$F$35)*(1+$G$35)</f>
        <v>0</v>
      </c>
      <c r="H130" s="96">
        <f>(G105*8/12+H105*4/12)*VLOOKUP($B130,'Hypothèses '!$B$106:$E$126,3,FALSE)*(1+$E$35)*(1+$F$35)*(1+$G$35)*(1+$H$35)</f>
        <v>0</v>
      </c>
      <c r="I130" s="96">
        <f>(H105*8/12+I105*4/12)*VLOOKUP($B130,'Hypothèses '!$B$106:$E$126,3,FALSE)*(1+$E$35)*(1+$F$35)*(1+$G$35)*(1+$H$35)*(1+$I$35)</f>
        <v>0</v>
      </c>
      <c r="J130" s="96">
        <f>(I105*8/12+J105*4/12)*VLOOKUP($B130,'Hypothèses '!$B$106:$E$126,3,FALSE)*(1+$E$35)*(1+$F$35)*(1+$G$35)*(1+$H$35)*(1+$I$35)*(1+$J$35)</f>
        <v>0</v>
      </c>
      <c r="K130" s="96">
        <f>(J105*8/12+K105*4/12)*VLOOKUP($B130,'Hypothèses '!$B$106:$E$126,3,FALSE)*(1+$E$35)*(1+$F$35)*(1+$G$35)*(1+$H$35)*(1+$I$35)*(1+$J$35)*(1+$K$35)</f>
        <v>0</v>
      </c>
    </row>
    <row r="131" spans="1:11" ht="15.75" customHeight="1" x14ac:dyDescent="0.2">
      <c r="A131" s="68"/>
      <c r="B131" s="68" t="str">
        <f t="shared" si="28"/>
        <v>Conseiller pédagogique</v>
      </c>
      <c r="C131" s="93"/>
      <c r="D131" s="96">
        <f>(C106*8/12+D106*4/12)*VLOOKUP($B131,'Hypothèses '!$B$106:$E$126,3,FALSE)</f>
        <v>0</v>
      </c>
      <c r="E131" s="96">
        <f>(D106*8/12+E106*4/12)*VLOOKUP($B131,'Hypothèses '!$B$106:$E$126,3,FALSE)*(1+$E$35)</f>
        <v>0</v>
      </c>
      <c r="F131" s="96">
        <f>(E106*8/12+F106*4/12)*VLOOKUP($B131,'Hypothèses '!$B$106:$E$126,3,FALSE)*(1+$E$35)*(1+$F$35)</f>
        <v>0</v>
      </c>
      <c r="G131" s="96">
        <f>(F106*8/12+G106*4/12)*VLOOKUP($B131,'Hypothèses '!$B$106:$E$126,3,FALSE)*(1+$E$35)*(1+$F$35)*(1+$G$35)</f>
        <v>0</v>
      </c>
      <c r="H131" s="96">
        <f>(G106*8/12+H106*4/12)*VLOOKUP($B131,'Hypothèses '!$B$106:$E$126,3,FALSE)*(1+$E$35)*(1+$F$35)*(1+$G$35)*(1+$H$35)</f>
        <v>0</v>
      </c>
      <c r="I131" s="96">
        <f>(H106*8/12+I106*4/12)*VLOOKUP($B131,'Hypothèses '!$B$106:$E$126,3,FALSE)*(1+$E$35)*(1+$F$35)*(1+$G$35)*(1+$H$35)*(1+$I$35)</f>
        <v>0</v>
      </c>
      <c r="J131" s="96">
        <f>(I106*8/12+J106*4/12)*VLOOKUP($B131,'Hypothèses '!$B$106:$E$126,3,FALSE)*(1+$E$35)*(1+$F$35)*(1+$G$35)*(1+$H$35)*(1+$I$35)*(1+$J$35)</f>
        <v>0</v>
      </c>
      <c r="K131" s="96">
        <f>(J106*8/12+K106*4/12)*VLOOKUP($B131,'Hypothèses '!$B$106:$E$126,3,FALSE)*(1+$E$35)*(1+$F$35)*(1+$G$35)*(1+$H$35)*(1+$I$35)*(1+$J$35)*(1+$K$35)</f>
        <v>0</v>
      </c>
    </row>
    <row r="132" spans="1:11" ht="15.75" customHeight="1" x14ac:dyDescent="0.2">
      <c r="A132" s="68"/>
      <c r="B132" s="68" t="str">
        <f t="shared" si="28"/>
        <v>Vie scolaire  - Educateurs</v>
      </c>
      <c r="C132" s="93"/>
      <c r="D132" s="96">
        <f>(C107*8/12+D107*4/12)*VLOOKUP($B132,'Hypothèses '!$B$106:$E$126,3,FALSE)</f>
        <v>0</v>
      </c>
      <c r="E132" s="96">
        <f>(D107*8/12+E107*4/12)*VLOOKUP($B132,'Hypothèses '!$B$106:$E$126,3,FALSE)*(1+$E$35)</f>
        <v>0</v>
      </c>
      <c r="F132" s="96">
        <f>(E107*8/12+F107*4/12)*VLOOKUP($B132,'Hypothèses '!$B$106:$E$126,3,FALSE)*(1+$E$35)*(1+$F$35)</f>
        <v>0</v>
      </c>
      <c r="G132" s="96">
        <f>(F107*8/12+G107*4/12)*VLOOKUP($B132,'Hypothèses '!$B$106:$E$126,3,FALSE)*(1+$E$35)*(1+$F$35)*(1+$G$35)</f>
        <v>0</v>
      </c>
      <c r="H132" s="96">
        <f>(G107*8/12+H107*4/12)*VLOOKUP($B132,'Hypothèses '!$B$106:$E$126,3,FALSE)*(1+$E$35)*(1+$F$35)*(1+$G$35)*(1+$H$35)</f>
        <v>0</v>
      </c>
      <c r="I132" s="96">
        <f>(H107*8/12+I107*4/12)*VLOOKUP($B132,'Hypothèses '!$B$106:$E$126,3,FALSE)*(1+$E$35)*(1+$F$35)*(1+$G$35)*(1+$H$35)*(1+$I$35)</f>
        <v>0</v>
      </c>
      <c r="J132" s="96">
        <f>(I107*8/12+J107*4/12)*VLOOKUP($B132,'Hypothèses '!$B$106:$E$126,3,FALSE)*(1+$E$35)*(1+$F$35)*(1+$G$35)*(1+$H$35)*(1+$I$35)*(1+$J$35)</f>
        <v>0</v>
      </c>
      <c r="K132" s="96">
        <f>(J107*8/12+K107*4/12)*VLOOKUP($B132,'Hypothèses '!$B$106:$E$126,3,FALSE)*(1+$E$35)*(1+$F$35)*(1+$G$35)*(1+$H$35)*(1+$I$35)*(1+$J$35)*(1+$K$35)</f>
        <v>0</v>
      </c>
    </row>
    <row r="133" spans="1:11" ht="15.75" customHeight="1" x14ac:dyDescent="0.2">
      <c r="A133" s="68"/>
      <c r="B133" s="68" t="str">
        <f t="shared" si="28"/>
        <v>Documentation</v>
      </c>
      <c r="C133" s="93"/>
      <c r="D133" s="96">
        <f>(C108*8/12+D108*4/12)*VLOOKUP($B133,'Hypothèses '!$B$106:$E$126,3,FALSE)</f>
        <v>0</v>
      </c>
      <c r="E133" s="96">
        <f>(D108*8/12+E108*4/12)*VLOOKUP($B133,'Hypothèses '!$B$106:$E$126,3,FALSE)*(1+$E$35)</f>
        <v>0</v>
      </c>
      <c r="F133" s="96">
        <f>(E108*8/12+F108*4/12)*VLOOKUP($B133,'Hypothèses '!$B$106:$E$126,3,FALSE)*(1+$E$35)*(1+$F$35)</f>
        <v>0</v>
      </c>
      <c r="G133" s="96">
        <f>(F108*8/12+G108*4/12)*VLOOKUP($B133,'Hypothèses '!$B$106:$E$126,3,FALSE)*(1+$E$35)*(1+$F$35)*(1+$G$35)</f>
        <v>0</v>
      </c>
      <c r="H133" s="96">
        <f>(G108*8/12+H108*4/12)*VLOOKUP($B133,'Hypothèses '!$B$106:$E$126,3,FALSE)*(1+$E$35)*(1+$F$35)*(1+$G$35)*(1+$H$35)</f>
        <v>0</v>
      </c>
      <c r="I133" s="96">
        <f>(H108*8/12+I108*4/12)*VLOOKUP($B133,'Hypothèses '!$B$106:$E$126,3,FALSE)*(1+$E$35)*(1+$F$35)*(1+$G$35)*(1+$H$35)*(1+$I$35)</f>
        <v>0</v>
      </c>
      <c r="J133" s="96">
        <f>(I108*8/12+J108*4/12)*VLOOKUP($B133,'Hypothèses '!$B$106:$E$126,3,FALSE)*(1+$E$35)*(1+$F$35)*(1+$G$35)*(1+$H$35)*(1+$I$35)*(1+$J$35)</f>
        <v>0</v>
      </c>
      <c r="K133" s="96">
        <f>(J108*8/12+K108*4/12)*VLOOKUP($B133,'Hypothèses '!$B$106:$E$126,3,FALSE)*(1+$E$35)*(1+$F$35)*(1+$G$35)*(1+$H$35)*(1+$I$35)*(1+$J$35)*(1+$K$35)</f>
        <v>0</v>
      </c>
    </row>
    <row r="134" spans="1:11" ht="15.75" customHeight="1" x14ac:dyDescent="0.2">
      <c r="A134" s="68"/>
      <c r="B134" s="68" t="str">
        <f t="shared" si="28"/>
        <v>Infirmière</v>
      </c>
      <c r="C134" s="93"/>
      <c r="D134" s="96">
        <f>(C109*8/12+D109*4/12)*VLOOKUP($B134,'Hypothèses '!$B$106:$E$126,3,FALSE)</f>
        <v>0</v>
      </c>
      <c r="E134" s="96">
        <f>(D109*8/12+E109*4/12)*VLOOKUP($B134,'Hypothèses '!$B$106:$E$126,3,FALSE)*(1+$E$35)</f>
        <v>0</v>
      </c>
      <c r="F134" s="96">
        <f>(E109*8/12+F109*4/12)*VLOOKUP($B134,'Hypothèses '!$B$106:$E$126,3,FALSE)*(1+$E$35)*(1+$F$35)</f>
        <v>0</v>
      </c>
      <c r="G134" s="96">
        <f>(F109*8/12+G109*4/12)*VLOOKUP($B134,'Hypothèses '!$B$106:$E$126,3,FALSE)*(1+$E$35)*(1+$F$35)*(1+$G$35)</f>
        <v>0</v>
      </c>
      <c r="H134" s="96">
        <f>(G109*8/12+H109*4/12)*VLOOKUP($B134,'Hypothèses '!$B$106:$E$126,3,FALSE)*(1+$E$35)*(1+$F$35)*(1+$G$35)*(1+$H$35)</f>
        <v>0</v>
      </c>
      <c r="I134" s="96">
        <f>(H109*8/12+I109*4/12)*VLOOKUP($B134,'Hypothèses '!$B$106:$E$126,3,FALSE)*(1+$E$35)*(1+$F$35)*(1+$G$35)*(1+$H$35)*(1+$I$35)</f>
        <v>0</v>
      </c>
      <c r="J134" s="96">
        <f>(I109*8/12+J109*4/12)*VLOOKUP($B134,'Hypothèses '!$B$106:$E$126,3,FALSE)*(1+$E$35)*(1+$F$35)*(1+$G$35)*(1+$H$35)*(1+$I$35)*(1+$J$35)</f>
        <v>0</v>
      </c>
      <c r="K134" s="96">
        <f>(J109*8/12+K109*4/12)*VLOOKUP($B134,'Hypothèses '!$B$106:$E$126,3,FALSE)*(1+$E$35)*(1+$F$35)*(1+$G$35)*(1+$H$35)*(1+$I$35)*(1+$J$35)*(1+$K$35)</f>
        <v>0</v>
      </c>
    </row>
    <row r="135" spans="1:11" ht="15.75" customHeight="1" x14ac:dyDescent="0.2">
      <c r="A135" s="68"/>
      <c r="B135" s="68" t="str">
        <f t="shared" si="28"/>
        <v>Autre primaire commun</v>
      </c>
      <c r="C135" s="93"/>
      <c r="D135" s="96">
        <f>(C110*8/12+D110*4/12)*VLOOKUP($B135,'Hypothèses '!$B$106:$E$126,3,FALSE)</f>
        <v>0</v>
      </c>
      <c r="E135" s="96">
        <f>(D110*8/12+E110*4/12)*VLOOKUP($B135,'Hypothèses '!$B$106:$E$126,3,FALSE)*(1+$E$35)</f>
        <v>0</v>
      </c>
      <c r="F135" s="96">
        <f>(E110*8/12+F110*4/12)*VLOOKUP($B135,'Hypothèses '!$B$106:$E$126,3,FALSE)*(1+$E$35)*(1+$F$35)</f>
        <v>0</v>
      </c>
      <c r="G135" s="96">
        <f>(F110*8/12+G110*4/12)*VLOOKUP($B135,'Hypothèses '!$B$106:$E$126,3,FALSE)*(1+$E$35)*(1+$F$35)*(1+$G$35)</f>
        <v>0</v>
      </c>
      <c r="H135" s="96">
        <f>(G110*8/12+H110*4/12)*VLOOKUP($B135,'Hypothèses '!$B$106:$E$126,3,FALSE)*(1+$E$35)*(1+$F$35)*(1+$G$35)*(1+$H$35)</f>
        <v>0</v>
      </c>
      <c r="I135" s="96">
        <f>(H110*8/12+I110*4/12)*VLOOKUP($B135,'Hypothèses '!$B$106:$E$126,3,FALSE)*(1+$E$35)*(1+$F$35)*(1+$G$35)*(1+$H$35)*(1+$I$35)</f>
        <v>0</v>
      </c>
      <c r="J135" s="96">
        <f>(I110*8/12+J110*4/12)*VLOOKUP($B135,'Hypothèses '!$B$106:$E$126,3,FALSE)*(1+$E$35)*(1+$F$35)*(1+$G$35)*(1+$H$35)*(1+$I$35)*(1+$J$35)</f>
        <v>0</v>
      </c>
      <c r="K135" s="96">
        <f>(J110*8/12+K110*4/12)*VLOOKUP($B135,'Hypothèses '!$B$106:$E$126,3,FALSE)*(1+$E$35)*(1+$F$35)*(1+$G$35)*(1+$H$35)*(1+$I$35)*(1+$J$35)*(1+$K$35)</f>
        <v>0</v>
      </c>
    </row>
    <row r="136" spans="1:11" ht="15.75" customHeight="1" x14ac:dyDescent="0.2">
      <c r="A136" s="68"/>
      <c r="B136" s="68"/>
      <c r="C136" s="243"/>
      <c r="D136" s="243"/>
      <c r="E136" s="243"/>
      <c r="F136" s="243"/>
      <c r="G136" s="243"/>
      <c r="H136" s="243"/>
      <c r="I136" s="243"/>
      <c r="J136" s="243"/>
      <c r="K136" s="243"/>
    </row>
    <row r="137" spans="1:11" ht="15.75" customHeight="1" x14ac:dyDescent="0.2">
      <c r="A137" s="69" t="s">
        <v>89</v>
      </c>
      <c r="B137" s="68" t="str">
        <f>B114</f>
        <v>Enseignants Détachés</v>
      </c>
      <c r="C137" s="96"/>
      <c r="D137" s="96">
        <f>((C114*8/12+D114*4/12)*((('Calcul Cout Détaché'!$B$12*D$36+'Calcul Cout Détaché'!$G$11)*1)+'Calcul Cout Détaché'!$H$12))/D$37</f>
        <v>0</v>
      </c>
      <c r="E137" s="96">
        <f>((D114*8/12+E114*4/12)*((('Calcul Cout Détaché'!$B$12*E$36+'Calcul Cout Détaché'!$G$11)*1)+'Calcul Cout Détaché'!$H$12))/E$37</f>
        <v>0</v>
      </c>
      <c r="F137" s="96">
        <f>((E114*8/12+F114*4/12)*((('Calcul Cout Détaché'!$B$12*F$36+'Calcul Cout Détaché'!$G$11)*1)+'Calcul Cout Détaché'!$H$12))/F$37</f>
        <v>0</v>
      </c>
      <c r="G137" s="96">
        <f>((F114*8/12+G114*4/12)*((('Calcul Cout Détaché'!$B$12*G$36+'Calcul Cout Détaché'!$G$11)*1)+'Calcul Cout Détaché'!$H$12))/G$37</f>
        <v>0</v>
      </c>
      <c r="H137" s="96">
        <f>((G114*8/12+H114*4/12)*((('Calcul Cout Détaché'!$B$12*H$36+'Calcul Cout Détaché'!$G$11)*1)+'Calcul Cout Détaché'!$H$12))/H$37</f>
        <v>0</v>
      </c>
      <c r="I137" s="96">
        <f>((H114*8/12+I114*4/12)*((('Calcul Cout Détaché'!$B$12*I$36+'Calcul Cout Détaché'!$G$11)*1)+'Calcul Cout Détaché'!$H$12))/I$37</f>
        <v>0</v>
      </c>
      <c r="J137" s="96">
        <f>((I114*8/12+J114*4/12)*((('Calcul Cout Détaché'!$B$12*J$36+'Calcul Cout Détaché'!$G$11)*1)+'Calcul Cout Détaché'!$H$12))/J$37</f>
        <v>0</v>
      </c>
      <c r="K137" s="96">
        <f>((J114*8/12+K114*4/12)*((('Calcul Cout Détaché'!$B$12*K$36+'Calcul Cout Détaché'!$G$11)*1)+'Calcul Cout Détaché'!$H$12))/K$37</f>
        <v>0</v>
      </c>
    </row>
    <row r="138" spans="1:11" ht="15.75" customHeight="1" x14ac:dyDescent="0.2">
      <c r="A138" s="68"/>
      <c r="B138" s="68" t="s">
        <v>83</v>
      </c>
      <c r="C138" s="93"/>
      <c r="D138" s="96">
        <f>((C115+C116)*8/12+(D116+D115)*4/12)*VLOOKUP($B138,'Hypothèses '!$B$106:$E$126,3,FALSE)</f>
        <v>0</v>
      </c>
      <c r="E138" s="96">
        <f>((D115+D116)*8/12+(E116+E115)*4/12)*VLOOKUP($B138,'Hypothèses '!$B$106:$E$126,3,FALSE)*(1+$E$35)</f>
        <v>0</v>
      </c>
      <c r="F138" s="96">
        <f>((E115+E116)*8/12+(F116+F115)*4/12)*VLOOKUP($B138,'Hypothèses '!$B$106:$E$126,3,FALSE)*(1+$E$35)*(1+$F$35)</f>
        <v>0</v>
      </c>
      <c r="G138" s="96">
        <f>((F115+F116)*8/12+(G116+G115)*4/12)*VLOOKUP($B138,'Hypothèses '!$B$106:$E$126,3,FALSE)*(1+$E$35)*(1+$F$35)*(1+$G$35)</f>
        <v>0</v>
      </c>
      <c r="H138" s="96">
        <f>((G115+G116)*8/12+(H116+H115)*4/12)*VLOOKUP($B138,'Hypothèses '!$B$106:$E$126,3,FALSE)*(1+$E$35)*(1+$F$35)*(1+$G$35)*(1+$H$35)</f>
        <v>0</v>
      </c>
      <c r="I138" s="96">
        <f>((H115+H116)*8/12+(I116+I115)*4/12)*VLOOKUP($B138,'Hypothèses '!$B$106:$E$126,3,FALSE)*(1+$E$35)*(1+$F$35)*(1+$G$35)*(1+$H$35)*(1+$I$35)</f>
        <v>0</v>
      </c>
      <c r="J138" s="96">
        <f>((I115+I116)*8/12+(J116+J115)*4/12)*VLOOKUP($B138,'Hypothèses '!$B$106:$E$126,3,FALSE)*(1+$E$35)*(1+$F$35)*(1+$G$35)*(1+$H$35)*(1+$I$35)*(1+$J$35)</f>
        <v>0</v>
      </c>
      <c r="K138" s="96">
        <f>((J115+J116)*8/12+(K116+K115)*4/12)*VLOOKUP($B138,'Hypothèses '!$B$106:$E$126,3,FALSE)*(1+$E$35)*(1+$F$35)*(1+$G$35)*(1+$H$35)*(1+$I$35)*(1+$J$35)*(1+$K$35)</f>
        <v>0</v>
      </c>
    </row>
    <row r="139" spans="1:11" ht="15.75" customHeight="1" x14ac:dyDescent="0.2">
      <c r="A139" s="68"/>
      <c r="B139" s="68"/>
      <c r="C139" s="93"/>
      <c r="D139" s="96"/>
      <c r="E139" s="96"/>
      <c r="F139" s="96"/>
      <c r="G139" s="96"/>
      <c r="H139" s="96"/>
      <c r="I139" s="96"/>
      <c r="J139" s="96"/>
      <c r="K139" s="96"/>
    </row>
    <row r="140" spans="1:11" ht="15.75" customHeight="1" x14ac:dyDescent="0.2"/>
    <row r="141" spans="1:11" ht="15.75" customHeight="1" x14ac:dyDescent="0.2">
      <c r="E141" s="316"/>
      <c r="F141" s="316"/>
      <c r="G141" s="316"/>
      <c r="H141" s="316"/>
      <c r="I141" s="316"/>
      <c r="J141" s="316"/>
      <c r="K141" s="316"/>
    </row>
    <row r="142" spans="1:11" ht="15.75" customHeight="1" x14ac:dyDescent="0.2">
      <c r="A142" s="98" t="s">
        <v>126</v>
      </c>
      <c r="B142" s="99"/>
      <c r="C142" s="101" t="str">
        <f>C$4</f>
        <v>2023/2024</v>
      </c>
      <c r="D142" s="101" t="str">
        <f t="shared" ref="D142:K142" si="29">D$4</f>
        <v>2024/2025</v>
      </c>
      <c r="E142" s="101" t="str">
        <f t="shared" si="29"/>
        <v>2025/2026</v>
      </c>
      <c r="F142" s="101" t="str">
        <f t="shared" si="29"/>
        <v>2026/2027</v>
      </c>
      <c r="G142" s="101" t="str">
        <f t="shared" si="29"/>
        <v>2027/2028</v>
      </c>
      <c r="H142" s="101" t="str">
        <f t="shared" si="29"/>
        <v>2028/2029</v>
      </c>
      <c r="I142" s="101" t="str">
        <f t="shared" si="29"/>
        <v>2029/2030</v>
      </c>
      <c r="J142" s="101" t="str">
        <f t="shared" si="29"/>
        <v>2030/2031</v>
      </c>
      <c r="K142" s="101" t="str">
        <f t="shared" si="29"/>
        <v>2031/2032</v>
      </c>
    </row>
    <row r="143" spans="1:11" ht="15.75" customHeight="1" x14ac:dyDescent="0.2">
      <c r="A143" s="98" t="s">
        <v>667</v>
      </c>
      <c r="B143" s="99"/>
      <c r="C143" s="376" t="e">
        <f>C144+C165</f>
        <v>#N/A</v>
      </c>
      <c r="D143" s="376" t="e">
        <f t="shared" ref="D143:K143" si="30">D144+D165</f>
        <v>#N/A</v>
      </c>
      <c r="E143" s="376" t="e">
        <f t="shared" si="30"/>
        <v>#N/A</v>
      </c>
      <c r="F143" s="376" t="e">
        <f t="shared" si="30"/>
        <v>#N/A</v>
      </c>
      <c r="G143" s="376" t="e">
        <f t="shared" si="30"/>
        <v>#N/A</v>
      </c>
      <c r="H143" s="376" t="e">
        <f t="shared" si="30"/>
        <v>#N/A</v>
      </c>
      <c r="I143" s="376" t="e">
        <f t="shared" si="30"/>
        <v>#N/A</v>
      </c>
      <c r="J143" s="376" t="e">
        <f t="shared" si="30"/>
        <v>#N/A</v>
      </c>
      <c r="K143" s="376" t="e">
        <f t="shared" si="30"/>
        <v>#N/A</v>
      </c>
    </row>
    <row r="144" spans="1:11" ht="15.75" customHeight="1" x14ac:dyDescent="0.2">
      <c r="A144" s="100" t="s">
        <v>70</v>
      </c>
      <c r="B144" s="99"/>
      <c r="C144" s="371" t="e">
        <f>SUM(C146:C153)+SUM(C156:C163)</f>
        <v>#N/A</v>
      </c>
      <c r="D144" s="371" t="e">
        <f t="shared" ref="D144:K144" si="31">SUM(D146:D153)+SUM(D156:D163)</f>
        <v>#N/A</v>
      </c>
      <c r="E144" s="371" t="e">
        <f t="shared" si="31"/>
        <v>#N/A</v>
      </c>
      <c r="F144" s="371" t="e">
        <f t="shared" si="31"/>
        <v>#N/A</v>
      </c>
      <c r="G144" s="371" t="e">
        <f t="shared" si="31"/>
        <v>#N/A</v>
      </c>
      <c r="H144" s="371" t="e">
        <f t="shared" si="31"/>
        <v>#N/A</v>
      </c>
      <c r="I144" s="371" t="e">
        <f t="shared" si="31"/>
        <v>#N/A</v>
      </c>
      <c r="J144" s="371" t="e">
        <f t="shared" si="31"/>
        <v>#N/A</v>
      </c>
      <c r="K144" s="371" t="e">
        <f t="shared" si="31"/>
        <v>#N/A</v>
      </c>
    </row>
    <row r="145" spans="1:11" ht="15.75" customHeight="1" x14ac:dyDescent="0.2">
      <c r="A145" s="99" t="s">
        <v>67</v>
      </c>
      <c r="B145" s="119" t="s">
        <v>652</v>
      </c>
      <c r="C145" s="331">
        <f>HLOOKUP(C38,'Projection Effectifs'!$S$31:$AC$35,4,FALSE)</f>
        <v>0</v>
      </c>
      <c r="D145" s="331">
        <f>HLOOKUP(D38,'Projection Effectifs'!$S$31:$AC$35,4,FALSE)</f>
        <v>0.27783964365256125</v>
      </c>
      <c r="E145" s="331">
        <f>HLOOKUP(E38,'Projection Effectifs'!$S$31:$AC$35,4,FALSE)</f>
        <v>0.29315068493150687</v>
      </c>
      <c r="F145" s="331">
        <f>HLOOKUP(F38,'Projection Effectifs'!$S$31:$AC$35,4,FALSE)</f>
        <v>0.31042253521126761</v>
      </c>
      <c r="G145" s="331">
        <f>HLOOKUP(G38,'Projection Effectifs'!$S$31:$AC$35,4,FALSE)</f>
        <v>0.32358104154476303</v>
      </c>
      <c r="H145" s="331">
        <f>HLOOKUP(H38,'Projection Effectifs'!$S$31:$AC$35,4,FALSE)</f>
        <v>0.32195409064155384</v>
      </c>
      <c r="I145" s="331">
        <f>HLOOKUP(I38,'Projection Effectifs'!$S$31:$AC$35,4,FALSE)</f>
        <v>0.30363423212192264</v>
      </c>
      <c r="J145" s="331">
        <f>HLOOKUP(J38,'Projection Effectifs'!$S$31:$AC$35,4,FALSE)</f>
        <v>0.30764705882352938</v>
      </c>
      <c r="K145" s="331">
        <f>HLOOKUP(K38,'Projection Effectifs'!$S$31:$AC$35,4,FALSE)</f>
        <v>0.31305903398926654</v>
      </c>
    </row>
    <row r="146" spans="1:11" ht="15.75" customHeight="1" x14ac:dyDescent="0.2">
      <c r="A146" s="99"/>
      <c r="B146" s="99" t="str">
        <f>$B$6</f>
        <v>Chef d'Etablissement PDL</v>
      </c>
      <c r="C146" s="102" t="e">
        <f t="shared" ref="C146:K153" si="32">VLOOKUP($B146,$B$6:$K$13,C$3,FALSE)*C$145</f>
        <v>#N/A</v>
      </c>
      <c r="D146" s="102" t="e">
        <f t="shared" si="32"/>
        <v>#N/A</v>
      </c>
      <c r="E146" s="102" t="e">
        <f t="shared" si="32"/>
        <v>#N/A</v>
      </c>
      <c r="F146" s="102" t="e">
        <f t="shared" si="32"/>
        <v>#N/A</v>
      </c>
      <c r="G146" s="102" t="e">
        <f t="shared" si="32"/>
        <v>#N/A</v>
      </c>
      <c r="H146" s="102" t="e">
        <f t="shared" si="32"/>
        <v>#N/A</v>
      </c>
      <c r="I146" s="102" t="e">
        <f t="shared" si="32"/>
        <v>#N/A</v>
      </c>
      <c r="J146" s="102" t="e">
        <f t="shared" si="32"/>
        <v>#N/A</v>
      </c>
      <c r="K146" s="102" t="e">
        <f t="shared" si="32"/>
        <v>#N/A</v>
      </c>
    </row>
    <row r="147" spans="1:11" ht="15.75" customHeight="1" x14ac:dyDescent="0.2">
      <c r="A147" s="99"/>
      <c r="B147" s="99" t="str">
        <f>$B$7</f>
        <v>DAF PDL</v>
      </c>
      <c r="C147" s="102" t="e">
        <f t="shared" si="32"/>
        <v>#N/A</v>
      </c>
      <c r="D147" s="102" t="e">
        <f t="shared" si="32"/>
        <v>#N/A</v>
      </c>
      <c r="E147" s="102" t="e">
        <f t="shared" si="32"/>
        <v>#N/A</v>
      </c>
      <c r="F147" s="102" t="e">
        <f t="shared" si="32"/>
        <v>#N/A</v>
      </c>
      <c r="G147" s="102" t="e">
        <f t="shared" si="32"/>
        <v>#N/A</v>
      </c>
      <c r="H147" s="102" t="e">
        <f t="shared" si="32"/>
        <v>#N/A</v>
      </c>
      <c r="I147" s="102" t="e">
        <f t="shared" si="32"/>
        <v>#N/A</v>
      </c>
      <c r="J147" s="102" t="e">
        <f t="shared" si="32"/>
        <v>#N/A</v>
      </c>
      <c r="K147" s="102" t="e">
        <f t="shared" si="32"/>
        <v>#N/A</v>
      </c>
    </row>
    <row r="148" spans="1:11" ht="15.75" customHeight="1" x14ac:dyDescent="0.2">
      <c r="A148" s="99"/>
      <c r="B148" s="99" t="str">
        <f>$B$8</f>
        <v>DRH</v>
      </c>
      <c r="C148" s="102">
        <f t="shared" si="32"/>
        <v>0</v>
      </c>
      <c r="D148" s="102">
        <f t="shared" si="32"/>
        <v>0.5556792873051225</v>
      </c>
      <c r="E148" s="102">
        <f t="shared" si="32"/>
        <v>0</v>
      </c>
      <c r="F148" s="102">
        <f t="shared" si="32"/>
        <v>0</v>
      </c>
      <c r="G148" s="102">
        <f t="shared" si="32"/>
        <v>0</v>
      </c>
      <c r="H148" s="102">
        <f t="shared" si="32"/>
        <v>0</v>
      </c>
      <c r="I148" s="102">
        <f t="shared" si="32"/>
        <v>0</v>
      </c>
      <c r="J148" s="102">
        <f t="shared" si="32"/>
        <v>0</v>
      </c>
      <c r="K148" s="102">
        <f t="shared" si="32"/>
        <v>0</v>
      </c>
    </row>
    <row r="149" spans="1:11" ht="15.75" customHeight="1" x14ac:dyDescent="0.2">
      <c r="A149" s="99"/>
      <c r="B149" s="99" t="str">
        <f>$B$9</f>
        <v>Autre Administratif</v>
      </c>
      <c r="C149" s="102">
        <f t="shared" si="32"/>
        <v>0</v>
      </c>
      <c r="D149" s="102">
        <f t="shared" si="32"/>
        <v>0</v>
      </c>
      <c r="E149" s="102">
        <f t="shared" si="32"/>
        <v>0</v>
      </c>
      <c r="F149" s="102">
        <f t="shared" si="32"/>
        <v>0</v>
      </c>
      <c r="G149" s="102">
        <f t="shared" si="32"/>
        <v>0</v>
      </c>
      <c r="H149" s="102">
        <f t="shared" si="32"/>
        <v>0</v>
      </c>
      <c r="I149" s="102">
        <f t="shared" si="32"/>
        <v>0</v>
      </c>
      <c r="J149" s="102">
        <f t="shared" si="32"/>
        <v>0</v>
      </c>
      <c r="K149" s="102">
        <f t="shared" si="32"/>
        <v>0</v>
      </c>
    </row>
    <row r="150" spans="1:11" ht="15.75" customHeight="1" x14ac:dyDescent="0.2">
      <c r="A150" s="99"/>
      <c r="B150" s="99" t="str">
        <f>$B$10</f>
        <v>Technique - Informatique - Maintenance</v>
      </c>
      <c r="C150" s="102" t="e">
        <f t="shared" si="32"/>
        <v>#N/A</v>
      </c>
      <c r="D150" s="102" t="e">
        <f t="shared" si="32"/>
        <v>#N/A</v>
      </c>
      <c r="E150" s="102" t="e">
        <f t="shared" si="32"/>
        <v>#N/A</v>
      </c>
      <c r="F150" s="102" t="e">
        <f t="shared" si="32"/>
        <v>#N/A</v>
      </c>
      <c r="G150" s="102" t="e">
        <f t="shared" si="32"/>
        <v>#N/A</v>
      </c>
      <c r="H150" s="102" t="e">
        <f t="shared" si="32"/>
        <v>#N/A</v>
      </c>
      <c r="I150" s="102" t="e">
        <f t="shared" si="32"/>
        <v>#N/A</v>
      </c>
      <c r="J150" s="102" t="e">
        <f t="shared" si="32"/>
        <v>#N/A</v>
      </c>
      <c r="K150" s="102" t="e">
        <f t="shared" si="32"/>
        <v>#N/A</v>
      </c>
    </row>
    <row r="151" spans="1:11" ht="15.75" customHeight="1" x14ac:dyDescent="0.2">
      <c r="A151" s="99"/>
      <c r="B151" s="99" t="str">
        <f>$B$11</f>
        <v>Entretien / Sécurité</v>
      </c>
      <c r="C151" s="102">
        <f t="shared" si="32"/>
        <v>0</v>
      </c>
      <c r="D151" s="102">
        <f t="shared" si="32"/>
        <v>0.27783964365256125</v>
      </c>
      <c r="E151" s="102">
        <f t="shared" si="32"/>
        <v>0</v>
      </c>
      <c r="F151" s="102">
        <f t="shared" si="32"/>
        <v>0</v>
      </c>
      <c r="G151" s="102">
        <f t="shared" si="32"/>
        <v>0</v>
      </c>
      <c r="H151" s="102">
        <f t="shared" si="32"/>
        <v>0</v>
      </c>
      <c r="I151" s="102">
        <f t="shared" si="32"/>
        <v>0</v>
      </c>
      <c r="J151" s="102">
        <f t="shared" si="32"/>
        <v>0</v>
      </c>
      <c r="K151" s="102">
        <f t="shared" si="32"/>
        <v>0</v>
      </c>
    </row>
    <row r="152" spans="1:11" ht="15.75" customHeight="1" x14ac:dyDescent="0.2">
      <c r="A152" s="99"/>
      <c r="B152" s="99" t="str">
        <f>$B$12</f>
        <v>Documentation</v>
      </c>
      <c r="C152" s="102">
        <f t="shared" si="32"/>
        <v>0</v>
      </c>
      <c r="D152" s="102">
        <f t="shared" si="32"/>
        <v>0.5556792873051225</v>
      </c>
      <c r="E152" s="102">
        <f t="shared" si="32"/>
        <v>0</v>
      </c>
      <c r="F152" s="102">
        <f t="shared" si="32"/>
        <v>0</v>
      </c>
      <c r="G152" s="102">
        <f t="shared" si="32"/>
        <v>0</v>
      </c>
      <c r="H152" s="102">
        <f t="shared" si="32"/>
        <v>0</v>
      </c>
      <c r="I152" s="102">
        <f t="shared" si="32"/>
        <v>0</v>
      </c>
      <c r="J152" s="102">
        <f t="shared" si="32"/>
        <v>0</v>
      </c>
      <c r="K152" s="102">
        <f t="shared" si="32"/>
        <v>0</v>
      </c>
    </row>
    <row r="153" spans="1:11" ht="15.75" customHeight="1" x14ac:dyDescent="0.2">
      <c r="A153" s="99"/>
      <c r="B153" s="99" t="str">
        <f>$B$13</f>
        <v>Autre commun</v>
      </c>
      <c r="C153" s="102">
        <f t="shared" si="32"/>
        <v>0</v>
      </c>
      <c r="D153" s="102">
        <f t="shared" si="32"/>
        <v>0</v>
      </c>
      <c r="E153" s="102">
        <f t="shared" si="32"/>
        <v>0</v>
      </c>
      <c r="F153" s="102">
        <f t="shared" si="32"/>
        <v>0</v>
      </c>
      <c r="G153" s="102">
        <f t="shared" si="32"/>
        <v>0</v>
      </c>
      <c r="H153" s="102">
        <f t="shared" si="32"/>
        <v>0</v>
      </c>
      <c r="I153" s="102">
        <f t="shared" si="32"/>
        <v>0</v>
      </c>
      <c r="J153" s="102">
        <f t="shared" si="32"/>
        <v>0</v>
      </c>
      <c r="K153" s="102">
        <f t="shared" si="32"/>
        <v>0</v>
      </c>
    </row>
    <row r="154" spans="1:11" ht="15.75" customHeight="1" x14ac:dyDescent="0.2">
      <c r="A154" s="99"/>
      <c r="B154" s="99"/>
      <c r="C154" s="126"/>
      <c r="D154" s="126"/>
      <c r="E154" s="126"/>
      <c r="F154" s="126"/>
      <c r="G154" s="126"/>
      <c r="H154" s="126"/>
      <c r="I154" s="126"/>
      <c r="J154" s="126"/>
      <c r="K154" s="126"/>
    </row>
    <row r="155" spans="1:11" ht="15.75" customHeight="1" x14ac:dyDescent="0.2">
      <c r="A155" s="99" t="s">
        <v>127</v>
      </c>
      <c r="B155" s="119" t="s">
        <v>652</v>
      </c>
      <c r="C155" s="331">
        <f>HLOOKUP(C$38,'Projection Effectifs'!$S$37:$AC$43,5,FALSE)</f>
        <v>0</v>
      </c>
      <c r="D155" s="331">
        <f>HLOOKUP(D$38,'Projection Effectifs'!$S$37:$AC$43,5,FALSE)</f>
        <v>0.58568075117370888</v>
      </c>
      <c r="E155" s="331">
        <f>HLOOKUP(E$38,'Projection Effectifs'!$S$37:$AC$43,5,FALSE)</f>
        <v>0.59378468368479465</v>
      </c>
      <c r="F155" s="331">
        <f>HLOOKUP(F$38,'Projection Effectifs'!$S$37:$AC$43,5,FALSE)</f>
        <v>0.59891304347826091</v>
      </c>
      <c r="G155" s="331">
        <f>HLOOKUP(G$38,'Projection Effectifs'!$S$37:$AC$43,5,FALSE)</f>
        <v>0.59978308026030369</v>
      </c>
      <c r="H155" s="331">
        <f>HLOOKUP(H$38,'Projection Effectifs'!$S$37:$AC$43,5,FALSE)</f>
        <v>0.58880516684607109</v>
      </c>
      <c r="I155" s="331">
        <f>HLOOKUP(I$38,'Projection Effectifs'!$S$37:$AC$43,5,FALSE)</f>
        <v>0.55106382978723401</v>
      </c>
      <c r="J155" s="331">
        <f>HLOOKUP(J$38,'Projection Effectifs'!$S$37:$AC$43,5,FALSE)</f>
        <v>0.55168776371308015</v>
      </c>
      <c r="K155" s="331">
        <f>HLOOKUP(K$38,'Projection Effectifs'!$S$37:$AC$43,5,FALSE)</f>
        <v>0.56149732620320858</v>
      </c>
    </row>
    <row r="156" spans="1:11" ht="15.75" customHeight="1" x14ac:dyDescent="0.2">
      <c r="A156" s="99"/>
      <c r="B156" s="99" t="str">
        <f>$B$25</f>
        <v>Proviseur adjoint PDL</v>
      </c>
      <c r="C156" s="102" t="e">
        <f t="shared" ref="C156:K163" si="33">VLOOKUP($B156,$B$25:$K$32,C$3,FALSE)*C$155</f>
        <v>#N/A</v>
      </c>
      <c r="D156" s="102" t="e">
        <f t="shared" si="33"/>
        <v>#N/A</v>
      </c>
      <c r="E156" s="102" t="e">
        <f t="shared" si="33"/>
        <v>#N/A</v>
      </c>
      <c r="F156" s="102" t="e">
        <f t="shared" si="33"/>
        <v>#N/A</v>
      </c>
      <c r="G156" s="102" t="e">
        <f t="shared" si="33"/>
        <v>#N/A</v>
      </c>
      <c r="H156" s="102" t="e">
        <f t="shared" si="33"/>
        <v>#N/A</v>
      </c>
      <c r="I156" s="102" t="e">
        <f t="shared" si="33"/>
        <v>#N/A</v>
      </c>
      <c r="J156" s="102" t="e">
        <f t="shared" si="33"/>
        <v>#N/A</v>
      </c>
      <c r="K156" s="102" t="e">
        <f t="shared" si="33"/>
        <v>#N/A</v>
      </c>
    </row>
    <row r="157" spans="1:11" ht="15.75" customHeight="1" x14ac:dyDescent="0.2">
      <c r="A157" s="99"/>
      <c r="B157" s="99" t="str">
        <f>$B$26</f>
        <v>CPE (Conseiller Principal d'Education) PDL</v>
      </c>
      <c r="C157" s="102">
        <f t="shared" si="33"/>
        <v>0</v>
      </c>
      <c r="D157" s="102">
        <f t="shared" si="33"/>
        <v>0.58568075117370888</v>
      </c>
      <c r="E157" s="102">
        <f t="shared" si="33"/>
        <v>0.59378468368479465</v>
      </c>
      <c r="F157" s="102">
        <f t="shared" si="33"/>
        <v>0.59891304347826091</v>
      </c>
      <c r="G157" s="102">
        <f t="shared" si="33"/>
        <v>0.59978308026030369</v>
      </c>
      <c r="H157" s="102">
        <f t="shared" si="33"/>
        <v>0.58880516684607109</v>
      </c>
      <c r="I157" s="102">
        <f t="shared" si="33"/>
        <v>0.55106382978723401</v>
      </c>
      <c r="J157" s="102">
        <f t="shared" si="33"/>
        <v>0.55168776371308015</v>
      </c>
      <c r="K157" s="102">
        <f t="shared" si="33"/>
        <v>0.56149732620320858</v>
      </c>
    </row>
    <row r="158" spans="1:11" ht="15.75" customHeight="1" x14ac:dyDescent="0.2">
      <c r="A158" s="99"/>
      <c r="B158" s="99" t="str">
        <f>$B$27</f>
        <v>Vie scolaire  - Educateurs</v>
      </c>
      <c r="C158" s="102">
        <f t="shared" si="33"/>
        <v>0</v>
      </c>
      <c r="D158" s="102">
        <f t="shared" si="33"/>
        <v>8.1995305164319241</v>
      </c>
      <c r="E158" s="102">
        <f t="shared" si="33"/>
        <v>8.3129855715871255</v>
      </c>
      <c r="F158" s="102">
        <f t="shared" si="33"/>
        <v>8.3847826086956534</v>
      </c>
      <c r="G158" s="102">
        <f t="shared" si="33"/>
        <v>8.3969631236442517</v>
      </c>
      <c r="H158" s="102">
        <f t="shared" si="33"/>
        <v>8.2432723358449955</v>
      </c>
      <c r="I158" s="102">
        <f t="shared" si="33"/>
        <v>7.7148936170212759</v>
      </c>
      <c r="J158" s="102">
        <f t="shared" si="33"/>
        <v>7.7236286919831221</v>
      </c>
      <c r="K158" s="102">
        <f t="shared" si="33"/>
        <v>7.8609625668449201</v>
      </c>
    </row>
    <row r="159" spans="1:11" ht="15.75" customHeight="1" x14ac:dyDescent="0.2">
      <c r="A159" s="99"/>
      <c r="B159" s="99" t="str">
        <f>$B$28</f>
        <v>Documentation</v>
      </c>
      <c r="C159" s="102">
        <f t="shared" si="33"/>
        <v>0</v>
      </c>
      <c r="D159" s="102">
        <f t="shared" si="33"/>
        <v>1.1713615023474178</v>
      </c>
      <c r="E159" s="102">
        <f t="shared" si="33"/>
        <v>1.1875693673695893</v>
      </c>
      <c r="F159" s="102">
        <f t="shared" si="33"/>
        <v>1.1978260869565218</v>
      </c>
      <c r="G159" s="102">
        <f t="shared" si="33"/>
        <v>1.1995661605206074</v>
      </c>
      <c r="H159" s="102">
        <f t="shared" si="33"/>
        <v>1.1776103336921422</v>
      </c>
      <c r="I159" s="102">
        <f t="shared" si="33"/>
        <v>1.102127659574468</v>
      </c>
      <c r="J159" s="102">
        <f t="shared" si="33"/>
        <v>1.1033755274261603</v>
      </c>
      <c r="K159" s="102">
        <f t="shared" si="33"/>
        <v>1.1229946524064172</v>
      </c>
    </row>
    <row r="160" spans="1:11" ht="15.75" customHeight="1" x14ac:dyDescent="0.2">
      <c r="A160" s="99"/>
      <c r="B160" s="99" t="str">
        <f>$B$29</f>
        <v>Infirmière</v>
      </c>
      <c r="C160" s="102">
        <f t="shared" si="33"/>
        <v>0</v>
      </c>
      <c r="D160" s="102">
        <f t="shared" si="33"/>
        <v>1.1713615023474178</v>
      </c>
      <c r="E160" s="102">
        <f t="shared" si="33"/>
        <v>1.1875693673695893</v>
      </c>
      <c r="F160" s="102">
        <f t="shared" si="33"/>
        <v>1.1978260869565218</v>
      </c>
      <c r="G160" s="102">
        <f t="shared" si="33"/>
        <v>1.1995661605206074</v>
      </c>
      <c r="H160" s="102">
        <f t="shared" si="33"/>
        <v>1.1776103336921422</v>
      </c>
      <c r="I160" s="102">
        <f t="shared" si="33"/>
        <v>1.102127659574468</v>
      </c>
      <c r="J160" s="102">
        <f t="shared" si="33"/>
        <v>1.1033755274261603</v>
      </c>
      <c r="K160" s="102">
        <f t="shared" si="33"/>
        <v>1.1229946524064172</v>
      </c>
    </row>
    <row r="161" spans="1:11" ht="15.75" customHeight="1" x14ac:dyDescent="0.2">
      <c r="A161" s="99"/>
      <c r="B161" s="99" t="str">
        <f>$B$30</f>
        <v>Laboratoire</v>
      </c>
      <c r="C161" s="102">
        <f t="shared" si="33"/>
        <v>0</v>
      </c>
      <c r="D161" s="102">
        <f t="shared" si="33"/>
        <v>0.58568075117370888</v>
      </c>
      <c r="E161" s="102">
        <f t="shared" si="33"/>
        <v>0.59378468368479465</v>
      </c>
      <c r="F161" s="102">
        <f t="shared" si="33"/>
        <v>0.59891304347826091</v>
      </c>
      <c r="G161" s="102">
        <f t="shared" si="33"/>
        <v>0.59978308026030369</v>
      </c>
      <c r="H161" s="102">
        <f t="shared" si="33"/>
        <v>0.58880516684607109</v>
      </c>
      <c r="I161" s="102">
        <f t="shared" si="33"/>
        <v>0.55106382978723401</v>
      </c>
      <c r="J161" s="102">
        <f t="shared" si="33"/>
        <v>0.55168776371308015</v>
      </c>
      <c r="K161" s="102">
        <f t="shared" si="33"/>
        <v>0.56149732620320858</v>
      </c>
    </row>
    <row r="162" spans="1:11" ht="15.75" customHeight="1" x14ac:dyDescent="0.2">
      <c r="A162" s="99"/>
      <c r="B162" s="99" t="str">
        <f>$B$31</f>
        <v>Orientation</v>
      </c>
      <c r="C162" s="102">
        <f t="shared" si="33"/>
        <v>0</v>
      </c>
      <c r="D162" s="102">
        <f t="shared" si="33"/>
        <v>0</v>
      </c>
      <c r="E162" s="102">
        <f t="shared" si="33"/>
        <v>0</v>
      </c>
      <c r="F162" s="102">
        <f t="shared" si="33"/>
        <v>0</v>
      </c>
      <c r="G162" s="102">
        <f t="shared" si="33"/>
        <v>0</v>
      </c>
      <c r="H162" s="102">
        <f t="shared" si="33"/>
        <v>0</v>
      </c>
      <c r="I162" s="102">
        <f t="shared" si="33"/>
        <v>0</v>
      </c>
      <c r="J162" s="102">
        <f t="shared" si="33"/>
        <v>0</v>
      </c>
      <c r="K162" s="102">
        <f t="shared" si="33"/>
        <v>0</v>
      </c>
    </row>
    <row r="163" spans="1:11" ht="15.75" customHeight="1" x14ac:dyDescent="0.2">
      <c r="A163" s="99"/>
      <c r="B163" s="99" t="str">
        <f>$B$32</f>
        <v>Autre secondaire commun</v>
      </c>
      <c r="C163" s="102">
        <f t="shared" si="33"/>
        <v>0</v>
      </c>
      <c r="D163" s="102">
        <f t="shared" si="33"/>
        <v>0</v>
      </c>
      <c r="E163" s="102">
        <f t="shared" si="33"/>
        <v>0</v>
      </c>
      <c r="F163" s="102">
        <f t="shared" si="33"/>
        <v>0</v>
      </c>
      <c r="G163" s="102">
        <f t="shared" si="33"/>
        <v>0</v>
      </c>
      <c r="H163" s="102">
        <f t="shared" si="33"/>
        <v>0</v>
      </c>
      <c r="I163" s="102">
        <f t="shared" si="33"/>
        <v>0</v>
      </c>
      <c r="J163" s="102">
        <f t="shared" si="33"/>
        <v>0</v>
      </c>
      <c r="K163" s="102">
        <f t="shared" si="33"/>
        <v>0</v>
      </c>
    </row>
    <row r="164" spans="1:11" ht="15.75" customHeight="1" x14ac:dyDescent="0.2">
      <c r="A164" s="99"/>
      <c r="B164" s="99"/>
      <c r="C164" s="126"/>
      <c r="D164" s="126"/>
      <c r="E164" s="126"/>
      <c r="F164" s="126"/>
      <c r="G164" s="126"/>
      <c r="H164" s="126"/>
      <c r="I164" s="126"/>
      <c r="J164" s="126"/>
      <c r="K164" s="126"/>
    </row>
    <row r="165" spans="1:11" ht="15.75" customHeight="1" x14ac:dyDescent="0.2">
      <c r="A165" s="100" t="s">
        <v>89</v>
      </c>
      <c r="B165" s="99"/>
      <c r="C165" s="370">
        <f>SUM(C166:C167)</f>
        <v>0</v>
      </c>
      <c r="D165" s="370">
        <f t="shared" ref="D165:K165" si="34">SUM(D166:D167)</f>
        <v>0</v>
      </c>
      <c r="E165" s="370">
        <f t="shared" si="34"/>
        <v>0</v>
      </c>
      <c r="F165" s="370">
        <f t="shared" si="34"/>
        <v>0</v>
      </c>
      <c r="G165" s="370">
        <f t="shared" si="34"/>
        <v>0</v>
      </c>
      <c r="H165" s="370">
        <f t="shared" si="34"/>
        <v>0</v>
      </c>
      <c r="I165" s="370">
        <f t="shared" si="34"/>
        <v>0</v>
      </c>
      <c r="J165" s="370">
        <f t="shared" si="34"/>
        <v>0</v>
      </c>
      <c r="K165" s="370">
        <f t="shared" si="34"/>
        <v>0</v>
      </c>
    </row>
    <row r="166" spans="1:11" ht="15.75" customHeight="1" x14ac:dyDescent="0.2">
      <c r="A166" s="99"/>
      <c r="B166" s="99" t="s">
        <v>77</v>
      </c>
      <c r="C166" s="140">
        <f>IFERROR('Hypothèses '!C$93*HLOOKUP(C$38,'Projection Effectifs'!$S$37:$AC$43,5,FALSE),0)</f>
        <v>0</v>
      </c>
      <c r="D166" s="140">
        <f>IFERROR('Hypothèses '!D$93*HLOOKUP(D$38,'Projection Effectifs'!$S$37:$AC$43,5,FALSE),0)</f>
        <v>0</v>
      </c>
      <c r="E166" s="140">
        <f>IFERROR('Hypothèses '!E$93*HLOOKUP(E$38,'Projection Effectifs'!$S$37:$AC$43,5,FALSE),0)</f>
        <v>0</v>
      </c>
      <c r="F166" s="140">
        <f>IFERROR('Hypothèses '!F$93*HLOOKUP(F$38,'Projection Effectifs'!$S$37:$AC$43,5,FALSE),0)</f>
        <v>0</v>
      </c>
      <c r="G166" s="140">
        <f>IFERROR('Hypothèses '!G$93*HLOOKUP(G$38,'Projection Effectifs'!$S$37:$AC$43,5,FALSE),0)</f>
        <v>0</v>
      </c>
      <c r="H166" s="140">
        <f>IFERROR('Hypothèses '!H$93*HLOOKUP(H$38,'Projection Effectifs'!$S$37:$AC$43,5,FALSE),0)</f>
        <v>0</v>
      </c>
      <c r="I166" s="140">
        <f>IFERROR('Hypothèses '!I$93*HLOOKUP(I$38,'Projection Effectifs'!$S$37:$AC$43,5,FALSE),0)</f>
        <v>0</v>
      </c>
      <c r="J166" s="140">
        <f>IFERROR('Hypothèses '!J$93*HLOOKUP(J$38,'Projection Effectifs'!$S$37:$AC$43,5,FALSE),0)</f>
        <v>0</v>
      </c>
      <c r="K166" s="140">
        <f>IFERROR('Hypothèses '!K$93*HLOOKUP(K$38,'Projection Effectifs'!$S$37:$AC$43,5,FALSE),0)</f>
        <v>0</v>
      </c>
    </row>
    <row r="167" spans="1:11" ht="15.75" customHeight="1" x14ac:dyDescent="0.2">
      <c r="A167" s="99"/>
      <c r="B167" s="99" t="s">
        <v>80</v>
      </c>
      <c r="C167" s="123">
        <f>IFERROR(C169*HLOOKUP(C142,'Projection Effectifs'!$C$31:$M$36,5,FALSE)/18-C166,0)</f>
        <v>0</v>
      </c>
      <c r="D167" s="123">
        <f>IFERROR(D169*HLOOKUP(D142,'Projection Effectifs'!$C$31:$M$36,5,FALSE)/18-D166,0)</f>
        <v>0</v>
      </c>
      <c r="E167" s="123">
        <f>IFERROR(E169*HLOOKUP(E142,'Projection Effectifs'!$C$31:$M$36,5,FALSE)/18-E166,0)</f>
        <v>0</v>
      </c>
      <c r="F167" s="123">
        <f>IFERROR(F169*HLOOKUP(F142,'Projection Effectifs'!$C$31:$M$36,5,FALSE)/18-F166,0)</f>
        <v>0</v>
      </c>
      <c r="G167" s="123">
        <f>IFERROR(G169*HLOOKUP(G142,'Projection Effectifs'!$C$31:$M$36,5,FALSE)/18-G166,0)</f>
        <v>0</v>
      </c>
      <c r="H167" s="123">
        <f>IFERROR(H169*HLOOKUP(H142,'Projection Effectifs'!$C$31:$M$36,5,FALSE)/18-H166,0)</f>
        <v>0</v>
      </c>
      <c r="I167" s="123">
        <f>IFERROR(I169*HLOOKUP(I142,'Projection Effectifs'!$C$31:$M$36,5,FALSE)/18-I166,0)</f>
        <v>0</v>
      </c>
      <c r="J167" s="123">
        <f>IFERROR(J169*HLOOKUP(J142,'Projection Effectifs'!$C$31:$M$36,5,FALSE)/18-J166,0)</f>
        <v>0</v>
      </c>
      <c r="K167" s="123">
        <f>IFERROR(K169*HLOOKUP(K142,'Projection Effectifs'!$C$31:$M$36,5,FALSE)/18-K166,0)</f>
        <v>0</v>
      </c>
    </row>
    <row r="168" spans="1:11" ht="15.75" customHeight="1" x14ac:dyDescent="0.2">
      <c r="A168" s="99"/>
      <c r="B168" s="119" t="s">
        <v>500</v>
      </c>
      <c r="C168" s="124">
        <f>(2.798-0.0536*'Hypothèses '!C$51)*'Projection Effectifs'!D$35/18-C166</f>
        <v>0</v>
      </c>
      <c r="D168" s="124">
        <f>(2.798-0.0536*'Hypothèses '!D$51)*'Projection Effectifs'!E$35/18-D166</f>
        <v>0</v>
      </c>
      <c r="E168" s="124">
        <f>(2.798-0.0536*'Hypothèses '!E$51)*'Projection Effectifs'!F$35/18-E166</f>
        <v>77.566777777777773</v>
      </c>
      <c r="F168" s="124">
        <f>(2.798-0.0536*'Hypothèses '!F$51)*'Projection Effectifs'!G$35/18-F166</f>
        <v>83.162777777777777</v>
      </c>
      <c r="G168" s="124">
        <f>(2.798-0.0536*'Hypothèses '!G$51)*'Projection Effectifs'!H$35/18-G166</f>
        <v>85.649888888888896</v>
      </c>
      <c r="H168" s="124">
        <f>(2.798-0.0536*'Hypothèses '!H$51)*'Projection Effectifs'!I$35/18-H166</f>
        <v>85.960777777777778</v>
      </c>
      <c r="I168" s="124">
        <f>(2.798-0.0536*'Hypothèses '!I$51)*'Projection Effectifs'!J$35/18-I166</f>
        <v>85.028111111111116</v>
      </c>
      <c r="J168" s="124">
        <f>(2.798-0.0536*'Hypothèses '!J$51)*'Projection Effectifs'!K$35/18-J166</f>
        <v>80.52022222222223</v>
      </c>
      <c r="K168" s="124">
        <f>(2.798-0.0536*'Hypothèses '!K$51)*'Projection Effectifs'!L$35/18-K166</f>
        <v>81.297444444444452</v>
      </c>
    </row>
    <row r="169" spans="1:11" ht="15.75" customHeight="1" x14ac:dyDescent="0.2">
      <c r="A169" s="99"/>
      <c r="B169" s="119" t="s">
        <v>492</v>
      </c>
      <c r="C169" s="314" t="e">
        <f>(IF(HLOOKUP(C$38,'Hypothèses '!$C$97:$K$100,3,FALSE)=1,VLOOKUP(C170,'Tables  Enseignants'!$B$18:$F$36,4,FALSE),VLOOKUP(C170,'Tables  Enseignants'!$B$18:$F$36,5,FALSE)))</f>
        <v>#N/A</v>
      </c>
      <c r="D169" s="314" t="e">
        <f>(IF(HLOOKUP(D$38,'Hypothèses '!$C$97:$K$100,3,FALSE)=1,VLOOKUP(D170,'Tables  Enseignants'!$B$18:$F$36,4,FALSE),VLOOKUP(D170,'Tables  Enseignants'!$B$18:$F$36,5,FALSE)))</f>
        <v>#N/A</v>
      </c>
      <c r="E169" s="314" t="e">
        <f>(IF(HLOOKUP(E$38,'Hypothèses '!$C$97:$K$100,3,FALSE)=1,VLOOKUP(E170,'Tables  Enseignants'!$B$18:$F$36,4,FALSE),VLOOKUP(E170,'Tables  Enseignants'!$B$18:$F$36,5,FALSE)))</f>
        <v>#N/A</v>
      </c>
      <c r="F169" s="314" t="e">
        <f>(IF(HLOOKUP(F$38,'Hypothèses '!$C$97:$K$100,3,FALSE)=1,VLOOKUP(F170,'Tables  Enseignants'!$B$18:$F$36,4,FALSE),VLOOKUP(F170,'Tables  Enseignants'!$B$18:$F$36,5,FALSE)))</f>
        <v>#N/A</v>
      </c>
      <c r="G169" s="314" t="e">
        <f>(IF(HLOOKUP(G$38,'Hypothèses '!$C$97:$K$100,3,FALSE)=1,VLOOKUP(G170,'Tables  Enseignants'!$B$18:$F$36,4,FALSE),VLOOKUP(G170,'Tables  Enseignants'!$B$18:$F$36,5,FALSE)))</f>
        <v>#N/A</v>
      </c>
      <c r="H169" s="314" t="e">
        <f>(IF(HLOOKUP(H$38,'Hypothèses '!$C$97:$K$100,3,FALSE)=1,VLOOKUP(H170,'Tables  Enseignants'!$B$18:$F$36,4,FALSE),VLOOKUP(H170,'Tables  Enseignants'!$B$18:$F$36,5,FALSE)))</f>
        <v>#N/A</v>
      </c>
      <c r="I169" s="314" t="e">
        <f>(IF(HLOOKUP(I$38,'Hypothèses '!$C$97:$K$100,3,FALSE)=1,VLOOKUP(I170,'Tables  Enseignants'!$B$18:$F$36,4,FALSE),VLOOKUP(I170,'Tables  Enseignants'!$B$18:$F$36,5,FALSE)))</f>
        <v>#N/A</v>
      </c>
      <c r="J169" s="314" t="e">
        <f>(IF(HLOOKUP(J$38,'Hypothèses '!$C$97:$K$100,3,FALSE)=1,VLOOKUP(J170,'Tables  Enseignants'!$B$18:$F$36,4,FALSE),VLOOKUP(J170,'Tables  Enseignants'!$B$18:$F$36,5,FALSE)))</f>
        <v>#N/A</v>
      </c>
      <c r="K169" s="314" t="e">
        <f>(IF(HLOOKUP(K$38,'Hypothèses '!$C$97:$K$100,3,FALSE)=1,VLOOKUP(K170,'Tables  Enseignants'!$B$18:$F$36,4,FALSE),VLOOKUP(K170,'Tables  Enseignants'!$B$18:$F$36,5,FALSE)))</f>
        <v>#N/A</v>
      </c>
    </row>
    <row r="170" spans="1:11" ht="15.75" customHeight="1" x14ac:dyDescent="0.2">
      <c r="A170" s="99"/>
      <c r="B170" s="119" t="s">
        <v>651</v>
      </c>
      <c r="C170" s="318">
        <f>HLOOKUP(C$38,'Hypothèses '!$C$48:$K$52,4,FALSE)</f>
        <v>0</v>
      </c>
      <c r="D170" s="318">
        <f>HLOOKUP(D$38,'Hypothèses '!$C$48:$K$52,4,FALSE)</f>
        <v>535</v>
      </c>
      <c r="E170" s="318">
        <f>HLOOKUP(E$38,'Hypothèses '!$C$48:$K$52,4,FALSE)</f>
        <v>0</v>
      </c>
      <c r="F170" s="318">
        <f>HLOOKUP(F$38,'Hypothèses '!$C$48:$K$52,4,FALSE)</f>
        <v>0</v>
      </c>
      <c r="G170" s="318">
        <f>HLOOKUP(G$38,'Hypothèses '!$C$48:$K$52,4,FALSE)</f>
        <v>0</v>
      </c>
      <c r="H170" s="318">
        <f>HLOOKUP(H$38,'Hypothèses '!$C$48:$K$52,4,FALSE)</f>
        <v>0</v>
      </c>
      <c r="I170" s="318">
        <f>HLOOKUP(I$38,'Hypothèses '!$C$48:$K$52,4,FALSE)</f>
        <v>0</v>
      </c>
      <c r="J170" s="318">
        <f>HLOOKUP(J$38,'Hypothèses '!$C$48:$K$52,4,FALSE)</f>
        <v>0</v>
      </c>
      <c r="K170" s="318">
        <f>HLOOKUP(K$38,'Hypothèses '!$C$48:$K$52,4,FALSE)</f>
        <v>0</v>
      </c>
    </row>
    <row r="171" spans="1:11" ht="15.75" customHeight="1" x14ac:dyDescent="0.2">
      <c r="A171" s="99"/>
      <c r="B171" s="99"/>
      <c r="C171" s="126"/>
      <c r="D171" s="126"/>
      <c r="E171" s="126"/>
      <c r="F171" s="126"/>
      <c r="G171" s="126"/>
      <c r="H171" s="126"/>
      <c r="I171" s="126"/>
      <c r="J171" s="126"/>
      <c r="K171" s="126"/>
    </row>
    <row r="172" spans="1:11" ht="15.75" customHeight="1" x14ac:dyDescent="0.2">
      <c r="A172" s="100" t="s">
        <v>87</v>
      </c>
      <c r="B172" s="99"/>
      <c r="C172" s="125">
        <v>0</v>
      </c>
      <c r="D172" s="125">
        <v>0</v>
      </c>
      <c r="E172" s="125">
        <v>1</v>
      </c>
      <c r="F172" s="125">
        <v>2</v>
      </c>
      <c r="G172" s="125">
        <v>3</v>
      </c>
      <c r="H172" s="125">
        <v>4</v>
      </c>
      <c r="I172" s="125">
        <v>5</v>
      </c>
      <c r="J172" s="125">
        <v>6</v>
      </c>
      <c r="K172" s="125">
        <v>7</v>
      </c>
    </row>
    <row r="173" spans="1:11" ht="15.75" customHeight="1" x14ac:dyDescent="0.2">
      <c r="A173" s="120" t="s">
        <v>113</v>
      </c>
      <c r="B173" s="99"/>
      <c r="C173" s="126"/>
      <c r="D173" s="121">
        <f>D119</f>
        <v>2024</v>
      </c>
      <c r="E173" s="121">
        <f>D173+1</f>
        <v>2025</v>
      </c>
      <c r="F173" s="121">
        <f t="shared" ref="F173:K173" si="35">E173+1</f>
        <v>2026</v>
      </c>
      <c r="G173" s="121">
        <f t="shared" si="35"/>
        <v>2027</v>
      </c>
      <c r="H173" s="121">
        <f t="shared" si="35"/>
        <v>2028</v>
      </c>
      <c r="I173" s="121">
        <f t="shared" si="35"/>
        <v>2029</v>
      </c>
      <c r="J173" s="121">
        <f t="shared" si="35"/>
        <v>2030</v>
      </c>
      <c r="K173" s="121">
        <f t="shared" si="35"/>
        <v>2031</v>
      </c>
    </row>
    <row r="174" spans="1:11" x14ac:dyDescent="0.2">
      <c r="A174" s="99" t="s">
        <v>67</v>
      </c>
      <c r="B174" s="99" t="str">
        <f>$B$6</f>
        <v>Chef d'Etablissement PDL</v>
      </c>
      <c r="C174" s="102"/>
      <c r="D174" s="122" t="e">
        <f>(C146*8/12+D146*4/12)*VLOOKUP($B174,'Hypothèses '!$B$106:$E$126,3,FALSE)</f>
        <v>#N/A</v>
      </c>
      <c r="E174" s="122" t="e">
        <f>(D146*8/12+E146*4/12)*VLOOKUP($B174,'Hypothèses '!$B$106:$E$126,3,FALSE)*(1+E$35)</f>
        <v>#N/A</v>
      </c>
      <c r="F174" s="122" t="e">
        <f>(E146*8/12+F146*4/12)*VLOOKUP($B174,'Hypothèses '!$B$106:$E$126,3,FALSE)*(1+E$35)*(1+F$35)</f>
        <v>#N/A</v>
      </c>
      <c r="G174" s="122" t="e">
        <f>(F146*8/12+G146*4/12)*VLOOKUP($B174,'Hypothèses '!$B$106:$E$126,3,FALSE)*(1+E$35)*(1+F$35)*(1+G$35)</f>
        <v>#N/A</v>
      </c>
      <c r="H174" s="122" t="e">
        <f>(G146*8/12+H146*4/12)*VLOOKUP($B174,'Hypothèses '!$B$106:$E$126,3,FALSE)*(1+E$35)*(1+F$35)*(1+G$35)*(1+H$35)</f>
        <v>#N/A</v>
      </c>
      <c r="I174" s="122" t="e">
        <f>(H146*8/12+I146*4/12)*VLOOKUP($B174,'Hypothèses '!$B$106:$E$126,3,FALSE)*(1+E$35)*(1+F$35)*(1+G$35)*(1+H$35)*(1+I$35)</f>
        <v>#N/A</v>
      </c>
      <c r="J174" s="122" t="e">
        <f>(I146*8/12+J146*4/12)*VLOOKUP($B174,'Hypothèses '!$B$106:$E$126,3,FALSE)*(1+E$35)*(1+F$35)*(1+G$35)*(1+H$35)*(1+I$35)*(1+J$35)</f>
        <v>#N/A</v>
      </c>
      <c r="K174" s="122" t="e">
        <f>(J146*8/12+K146*4/12)*VLOOKUP($B174,'Hypothèses '!$B$106:$E$126,3,FALSE)*(1+E$35)*(1+F$35)*(1+G$35)*(1+H$35)*(1+I$356)*(1+J$35)*(1+K$35)</f>
        <v>#N/A</v>
      </c>
    </row>
    <row r="175" spans="1:11" x14ac:dyDescent="0.2">
      <c r="A175" s="99"/>
      <c r="B175" s="99" t="str">
        <f>$B$7</f>
        <v>DAF PDL</v>
      </c>
      <c r="C175" s="102"/>
      <c r="D175" s="122" t="e">
        <f>(C147*8/12+D147*4/12)*VLOOKUP($B175,'Hypothèses '!$B$106:$E$126,3,FALSE)</f>
        <v>#N/A</v>
      </c>
      <c r="E175" s="122" t="e">
        <f>(D147*8/12+E147*4/12)*VLOOKUP($B175,'Hypothèses '!$B$106:$E$126,3,FALSE)*(1+E$35)</f>
        <v>#N/A</v>
      </c>
      <c r="F175" s="122" t="e">
        <f>(E147*8/12+F147*4/12)*VLOOKUP($B175,'Hypothèses '!$B$106:$E$126,3,FALSE)*(1+E$35)*(1+F$35)</f>
        <v>#N/A</v>
      </c>
      <c r="G175" s="122" t="e">
        <f>(F147*8/12+G147*4/12)*VLOOKUP($B175,'Hypothèses '!$B$106:$E$126,3,FALSE)*(1+E$35)*(1+F$35)*(1+G$35)</f>
        <v>#N/A</v>
      </c>
      <c r="H175" s="122" t="e">
        <f>(G147*8/12+H147*4/12)*VLOOKUP($B175,'Hypothèses '!$B$106:$E$126,3,FALSE)*(1+E$35)*(1+F$35)*(1+G$35)*(1+H$35)</f>
        <v>#N/A</v>
      </c>
      <c r="I175" s="122" t="e">
        <f>(H147*8/12+I147*4/12)*VLOOKUP($B175,'Hypothèses '!$B$106:$E$126,3,FALSE)*(1+E$35)*(1+F$35)*(1+G$35)*(1+H$35)*(1+I$35)</f>
        <v>#N/A</v>
      </c>
      <c r="J175" s="122" t="e">
        <f>(I147*8/12+J147*4/12)*VLOOKUP($B175,'Hypothèses '!$B$106:$E$126,3,FALSE)*(1+E$35)*(1+F$35)*(1+G$35)*(1+H$35)*(1+I$35)*(1+J$35)</f>
        <v>#N/A</v>
      </c>
      <c r="K175" s="122" t="e">
        <f>(J147*8/12+K147*4/12)*VLOOKUP($B175,'Hypothèses '!$B$106:$E$126,3,FALSE)*(1+E$35)*(1+F$35)*(1+G$35)*(1+H$35)*(1+I$356)*(1+J$35)*(1+K$35)</f>
        <v>#N/A</v>
      </c>
    </row>
    <row r="176" spans="1:11" x14ac:dyDescent="0.2">
      <c r="A176" s="99"/>
      <c r="B176" s="99" t="str">
        <f>$B$8</f>
        <v>DRH</v>
      </c>
      <c r="C176" s="102"/>
      <c r="D176" s="122">
        <f>(C148*8/12+D148*4/12)*VLOOKUP($B176,'Hypothèses '!$B$106:$E$126,3,FALSE)</f>
        <v>0</v>
      </c>
      <c r="E176" s="122">
        <f>(D148*8/12+E148*4/12)*VLOOKUP($B176,'Hypothèses '!$B$106:$E$126,3,FALSE)*(1+E$35)</f>
        <v>0</v>
      </c>
      <c r="F176" s="122">
        <f>(E148*8/12+F148*4/12)*VLOOKUP($B176,'Hypothèses '!$B$106:$E$126,3,FALSE)*(1+E$35)*(1+F$35)</f>
        <v>0</v>
      </c>
      <c r="G176" s="122">
        <f>(F148*8/12+G148*4/12)*VLOOKUP($B176,'Hypothèses '!$B$106:$E$126,3,FALSE)*(1+E$35)*(1+F$35)*(1+G$35)</f>
        <v>0</v>
      </c>
      <c r="H176" s="122">
        <f>(G148*8/12+H148*4/12)*VLOOKUP($B176,'Hypothèses '!$B$106:$E$126,3,FALSE)*(1+E$35)*(1+F$35)*(1+G$35)*(1+H$35)</f>
        <v>0</v>
      </c>
      <c r="I176" s="122">
        <f>(H148*8/12+I148*4/12)*VLOOKUP($B176,'Hypothèses '!$B$106:$E$126,3,FALSE)*(1+E$35)*(1+F$35)*(1+G$35)*(1+H$35)*(1+I$35)</f>
        <v>0</v>
      </c>
      <c r="J176" s="122">
        <f>(I148*8/12+J148*4/12)*VLOOKUP($B176,'Hypothèses '!$B$106:$E$126,3,FALSE)*(1+E$35)*(1+F$35)*(1+G$35)*(1+H$35)*(1+I$35)*(1+J$35)</f>
        <v>0</v>
      </c>
      <c r="K176" s="122">
        <f>(J148*8/12+K148*4/12)*VLOOKUP($B176,'Hypothèses '!$B$106:$E$126,3,FALSE)*(1+E$35)*(1+F$35)*(1+G$35)*(1+H$35)*(1+I$356)*(1+J$35)*(1+K$35)</f>
        <v>0</v>
      </c>
    </row>
    <row r="177" spans="1:11" x14ac:dyDescent="0.2">
      <c r="A177" s="99"/>
      <c r="B177" s="99" t="str">
        <f>$B$9</f>
        <v>Autre Administratif</v>
      </c>
      <c r="C177" s="102"/>
      <c r="D177" s="122">
        <f>(C149*8/12+D149*4/12)*VLOOKUP($B177,'Hypothèses '!$B$106:$E$126,3,FALSE)</f>
        <v>0</v>
      </c>
      <c r="E177" s="122">
        <f>(D149*8/12+E149*4/12)*VLOOKUP($B177,'Hypothèses '!$B$106:$E$126,3,FALSE)*(1+E$35)</f>
        <v>0</v>
      </c>
      <c r="F177" s="122">
        <f>(E149*8/12+F149*4/12)*VLOOKUP($B177,'Hypothèses '!$B$106:$E$126,3,FALSE)*(1+E$35)*(1+F$35)</f>
        <v>0</v>
      </c>
      <c r="G177" s="122">
        <f>(F149*8/12+G149*4/12)*VLOOKUP($B177,'Hypothèses '!$B$106:$E$126,3,FALSE)*(1+E$35)*(1+F$35)*(1+G$35)</f>
        <v>0</v>
      </c>
      <c r="H177" s="122">
        <f>(G149*8/12+H149*4/12)*VLOOKUP($B177,'Hypothèses '!$B$106:$E$126,3,FALSE)*(1+E$35)*(1+F$35)*(1+G$35)*(1+H$35)</f>
        <v>0</v>
      </c>
      <c r="I177" s="122">
        <f>(H149*8/12+I149*4/12)*VLOOKUP($B177,'Hypothèses '!$B$106:$E$126,3,FALSE)*(1+E$35)*(1+F$35)*(1+G$35)*(1+H$35)*(1+I$35)</f>
        <v>0</v>
      </c>
      <c r="J177" s="122">
        <f>(I149*8/12+J149*4/12)*VLOOKUP($B177,'Hypothèses '!$B$106:$E$126,3,FALSE)*(1+E$35)*(1+F$35)*(1+G$35)*(1+H$35)*(1+I$35)*(1+J$35)</f>
        <v>0</v>
      </c>
      <c r="K177" s="122">
        <f>(J149*8/12+K149*4/12)*VLOOKUP($B177,'Hypothèses '!$B$106:$E$126,3,FALSE)*(1+E$35)*(1+F$35)*(1+G$35)*(1+H$35)*(1+I$356)*(1+J$35)*(1+K$35)</f>
        <v>0</v>
      </c>
    </row>
    <row r="178" spans="1:11" x14ac:dyDescent="0.2">
      <c r="A178" s="99"/>
      <c r="B178" s="99" t="str">
        <f>$B$10</f>
        <v>Technique - Informatique - Maintenance</v>
      </c>
      <c r="C178" s="102"/>
      <c r="D178" s="122" t="e">
        <f>(C150*8/12+D150*4/12)*VLOOKUP($B178,'Hypothèses '!$B$106:$E$126,3,FALSE)</f>
        <v>#N/A</v>
      </c>
      <c r="E178" s="122" t="e">
        <f>(D150*8/12+E150*4/12)*VLOOKUP($B178,'Hypothèses '!$B$106:$E$126,3,FALSE)*(1+E$35)</f>
        <v>#N/A</v>
      </c>
      <c r="F178" s="122" t="e">
        <f>(E150*8/12+F150*4/12)*VLOOKUP($B178,'Hypothèses '!$B$106:$E$126,3,FALSE)*(1+E$35)*(1+F$35)</f>
        <v>#N/A</v>
      </c>
      <c r="G178" s="122" t="e">
        <f>(F150*8/12+G150*4/12)*VLOOKUP($B178,'Hypothèses '!$B$106:$E$126,3,FALSE)*(1+E$35)*(1+F$35)*(1+G$35)</f>
        <v>#N/A</v>
      </c>
      <c r="H178" s="122" t="e">
        <f>(G150*8/12+H150*4/12)*VLOOKUP($B178,'Hypothèses '!$B$106:$E$126,3,FALSE)*(1+E$35)*(1+F$35)*(1+G$35)*(1+H$35)</f>
        <v>#N/A</v>
      </c>
      <c r="I178" s="122" t="e">
        <f>(H150*8/12+I150*4/12)*VLOOKUP($B178,'Hypothèses '!$B$106:$E$126,3,FALSE)*(1+E$35)*(1+F$35)*(1+G$35)*(1+H$35)*(1+I$35)</f>
        <v>#N/A</v>
      </c>
      <c r="J178" s="122" t="e">
        <f>(I150*8/12+J150*4/12)*VLOOKUP($B178,'Hypothèses '!$B$106:$E$126,3,FALSE)*(1+E$35)*(1+F$35)*(1+G$35)*(1+H$35)*(1+I$35)*(1+J$35)</f>
        <v>#N/A</v>
      </c>
      <c r="K178" s="122" t="e">
        <f>(J150*8/12+K150*4/12)*VLOOKUP($B178,'Hypothèses '!$B$106:$E$126,3,FALSE)*(1+E$35)*(1+F$35)*(1+G$35)*(1+H$35)*(1+I$356)*(1+J$35)*(1+K$35)</f>
        <v>#N/A</v>
      </c>
    </row>
    <row r="179" spans="1:11" x14ac:dyDescent="0.2">
      <c r="A179" s="99"/>
      <c r="B179" s="99" t="str">
        <f>$B$11</f>
        <v>Entretien / Sécurité</v>
      </c>
      <c r="C179" s="102"/>
      <c r="D179" s="122">
        <f>(C151*8/12+D151*4/12)*VLOOKUP($B179,'Hypothèses '!$B$106:$E$126,3,FALSE)</f>
        <v>0</v>
      </c>
      <c r="E179" s="122">
        <f>(D151*8/12+E151*4/12)*VLOOKUP($B179,'Hypothèses '!$B$106:$E$126,3,FALSE)*(1+E$35)</f>
        <v>0</v>
      </c>
      <c r="F179" s="122">
        <f>(E151*8/12+F151*4/12)*VLOOKUP($B179,'Hypothèses '!$B$106:$E$126,3,FALSE)*(1+E$35)*(1+F$35)</f>
        <v>0</v>
      </c>
      <c r="G179" s="122">
        <f>(F151*8/12+G151*4/12)*VLOOKUP($B179,'Hypothèses '!$B$106:$E$126,3,FALSE)*(1+E$35)*(1+F$35)*(1+G$35)</f>
        <v>0</v>
      </c>
      <c r="H179" s="122">
        <f>(G151*8/12+H151*4/12)*VLOOKUP($B179,'Hypothèses '!$B$106:$E$126,3,FALSE)*(1+E$35)*(1+F$35)*(1+G$35)*(1+H$35)</f>
        <v>0</v>
      </c>
      <c r="I179" s="122">
        <f>(H151*8/12+I151*4/12)*VLOOKUP($B179,'Hypothèses '!$B$106:$E$126,3,FALSE)*(1+E$35)*(1+F$35)*(1+G$35)*(1+H$35)*(1+I$35)</f>
        <v>0</v>
      </c>
      <c r="J179" s="122">
        <f>(I151*8/12+J151*4/12)*VLOOKUP($B179,'Hypothèses '!$B$106:$E$126,3,FALSE)*(1+E$35)*(1+F$35)*(1+G$35)*(1+H$35)*(1+I$35)*(1+J$35)</f>
        <v>0</v>
      </c>
      <c r="K179" s="122">
        <f>(J151*8/12+K151*4/12)*VLOOKUP($B179,'Hypothèses '!$B$106:$E$126,3,FALSE)*(1+E$35)*(1+F$35)*(1+G$35)*(1+H$35)*(1+I$356)*(1+J$35)*(1+K$35)</f>
        <v>0</v>
      </c>
    </row>
    <row r="180" spans="1:11" x14ac:dyDescent="0.2">
      <c r="A180" s="99"/>
      <c r="B180" s="99" t="str">
        <f>$B$12</f>
        <v>Documentation</v>
      </c>
      <c r="C180" s="102"/>
      <c r="D180" s="122">
        <f>(C152*8/12+D152*4/12)*VLOOKUP($B180,'Hypothèses '!$B$106:$E$126,3,FALSE)</f>
        <v>0</v>
      </c>
      <c r="E180" s="122">
        <f>(D152*8/12+E152*4/12)*VLOOKUP($B180,'Hypothèses '!$B$106:$E$126,3,FALSE)*(1+E$35)</f>
        <v>0</v>
      </c>
      <c r="F180" s="122">
        <f>(E152*8/12+F152*4/12)*VLOOKUP($B180,'Hypothèses '!$B$106:$E$126,3,FALSE)*(1+E$35)*(1+F$35)</f>
        <v>0</v>
      </c>
      <c r="G180" s="122">
        <f>(F152*8/12+G152*4/12)*VLOOKUP($B180,'Hypothèses '!$B$106:$E$126,3,FALSE)*(1+E$35)*(1+F$35)*(1+G$35)</f>
        <v>0</v>
      </c>
      <c r="H180" s="122">
        <f>(G152*8/12+H152*4/12)*VLOOKUP($B180,'Hypothèses '!$B$106:$E$126,3,FALSE)*(1+E$35)*(1+F$35)*(1+G$35)*(1+H$35)</f>
        <v>0</v>
      </c>
      <c r="I180" s="122">
        <f>(H152*8/12+I152*4/12)*VLOOKUP($B180,'Hypothèses '!$B$106:$E$126,3,FALSE)*(1+E$35)*(1+F$35)*(1+G$35)*(1+H$35)*(1+I$35)</f>
        <v>0</v>
      </c>
      <c r="J180" s="122">
        <f>(I152*8/12+J152*4/12)*VLOOKUP($B180,'Hypothèses '!$B$106:$E$126,3,FALSE)*(1+E$35)*(1+F$35)*(1+G$35)*(1+H$35)*(1+I$35)*(1+J$35)</f>
        <v>0</v>
      </c>
      <c r="K180" s="122">
        <f>(J152*8/12+K152*4/12)*VLOOKUP($B180,'Hypothèses '!$B$106:$E$126,3,FALSE)*(1+E$35)*(1+F$35)*(1+G$35)*(1+H$35)*(1+I$356)*(1+J$35)*(1+K$35)</f>
        <v>0</v>
      </c>
    </row>
    <row r="181" spans="1:11" x14ac:dyDescent="0.2">
      <c r="A181" s="99"/>
      <c r="B181" s="99" t="str">
        <f>$B$13</f>
        <v>Autre commun</v>
      </c>
      <c r="C181" s="102"/>
      <c r="D181" s="122">
        <f>(C153*8/12+D153*4/12)*VLOOKUP($B181,'Hypothèses '!$B$106:$E$126,3,FALSE)</f>
        <v>0</v>
      </c>
      <c r="E181" s="122">
        <f>(D153*8/12+E153*4/12)*VLOOKUP($B181,'Hypothèses '!$B$106:$E$126,3,FALSE)*(1+E$35)</f>
        <v>0</v>
      </c>
      <c r="F181" s="122">
        <f>(E153*8/12+F153*4/12)*VLOOKUP($B181,'Hypothèses '!$B$106:$E$126,3,FALSE)*(1+E$35)*(1+F$35)</f>
        <v>0</v>
      </c>
      <c r="G181" s="122">
        <f>(F153*8/12+G153*4/12)*VLOOKUP($B181,'Hypothèses '!$B$106:$E$126,3,FALSE)*(1+E$35)*(1+F$35)*(1+G$35)</f>
        <v>0</v>
      </c>
      <c r="H181" s="122">
        <f>(G153*8/12+H153*4/12)*VLOOKUP($B181,'Hypothèses '!$B$106:$E$126,3,FALSE)*(1+E$35)*(1+F$35)*(1+G$35)*(1+H$35)</f>
        <v>0</v>
      </c>
      <c r="I181" s="122">
        <f>(H153*8/12+I153*4/12)*VLOOKUP($B181,'Hypothèses '!$B$106:$E$126,3,FALSE)*(1+E$35)*(1+F$35)*(1+G$35)*(1+H$35)*(1+I$35)</f>
        <v>0</v>
      </c>
      <c r="J181" s="122">
        <f>(I153*8/12+J153*4/12)*VLOOKUP($B181,'Hypothèses '!$B$106:$E$126,3,FALSE)*(1+E$35)*(1+F$35)*(1+G$35)*(1+H$35)*(1+I$35)*(1+J$35)</f>
        <v>0</v>
      </c>
      <c r="K181" s="122">
        <f>(J153*8/12+K153*4/12)*VLOOKUP($B181,'Hypothèses '!$B$106:$E$126,3,FALSE)*(1+E$35)*(1+F$35)*(1+G$35)*(1+H$35)*(1+I$356)*(1+J$35)*(1+K$35)</f>
        <v>0</v>
      </c>
    </row>
    <row r="182" spans="1:11" x14ac:dyDescent="0.2">
      <c r="A182" s="99"/>
      <c r="B182" s="99"/>
      <c r="C182" s="102"/>
      <c r="D182" s="122"/>
      <c r="E182" s="122"/>
      <c r="F182" s="122"/>
      <c r="G182" s="122"/>
      <c r="H182" s="122"/>
      <c r="I182" s="122"/>
      <c r="J182" s="122"/>
      <c r="K182" s="122"/>
    </row>
    <row r="183" spans="1:11" x14ac:dyDescent="0.2">
      <c r="A183" s="99" t="s">
        <v>127</v>
      </c>
      <c r="B183" s="99" t="str">
        <f>$B$25</f>
        <v>Proviseur adjoint PDL</v>
      </c>
      <c r="C183" s="102"/>
      <c r="D183" s="122" t="e">
        <f>(C156*8/12+D156*4/12)*VLOOKUP($B183,'Hypothèses '!$B$106:$E$126,3,FALSE)</f>
        <v>#N/A</v>
      </c>
      <c r="E183" s="122" t="e">
        <f>(D156*8/12+E156*4/12)*VLOOKUP($B183,'Hypothèses '!$B$106:$E$126,3,FALSE)*(1+E$35)</f>
        <v>#N/A</v>
      </c>
      <c r="F183" s="122" t="e">
        <f>(E156*8/12+F156*4/12)*VLOOKUP($B183,'Hypothèses '!$B$106:$E$126,3,FALSE)*(1+E$35)*(1+F$35)</f>
        <v>#N/A</v>
      </c>
      <c r="G183" s="122" t="e">
        <f>(F156*8/12+G156*4/12)*VLOOKUP($B183,'Hypothèses '!$B$106:$E$126,3,FALSE)*(1+E$35)*(1+F$35)*(1+G$35)</f>
        <v>#N/A</v>
      </c>
      <c r="H183" s="122" t="e">
        <f>(G156*8/12+H156*4/12)*VLOOKUP($B183,'Hypothèses '!$B$106:$E$126,3,FALSE)*(1+E$35)*(1+F$35)*(1+G$35)*(1+H$35)</f>
        <v>#N/A</v>
      </c>
      <c r="I183" s="122" t="e">
        <f>(H156*8/12+I156*4/12)*VLOOKUP($B183,'Hypothèses '!$B$106:$E$126,3,FALSE)*(1+E$35)*(1+F$35)*(1+G$35)*(1+H$35)*(1+I$35)</f>
        <v>#N/A</v>
      </c>
      <c r="J183" s="122" t="e">
        <f>(I156*8/12+J156*4/12)*VLOOKUP($B183,'Hypothèses '!$B$106:$E$126,3,FALSE)*(1+E$35)*(1+F$35)*(1+G$35)*(1+H$35)*(1+I$35)*(1+J$35)</f>
        <v>#N/A</v>
      </c>
      <c r="K183" s="122" t="e">
        <f>(J156*8/12+K156*4/12)*VLOOKUP($B183,'Hypothèses '!$B$106:$E$126,3,FALSE)*(1+E$35)*(1+F$35)*(1+G$35)*(1+H$35)*(1+I$356)*(1+J$35)*(1+K$35)</f>
        <v>#N/A</v>
      </c>
    </row>
    <row r="184" spans="1:11" x14ac:dyDescent="0.2">
      <c r="A184" s="99"/>
      <c r="B184" s="99" t="str">
        <f>$B$26</f>
        <v>CPE (Conseiller Principal d'Education) PDL</v>
      </c>
      <c r="C184" s="102"/>
      <c r="D184" s="122">
        <f>(C157*8/12+D157*4/12)*VLOOKUP($B184,'Hypothèses '!$B$106:$E$126,3,FALSE)</f>
        <v>0</v>
      </c>
      <c r="E184" s="122">
        <f>(D157*8/12+E157*4/12)*VLOOKUP($B184,'Hypothèses '!$B$106:$E$126,3,FALSE)*(1+E$35)</f>
        <v>0</v>
      </c>
      <c r="F184" s="122">
        <f>(E157*8/12+F157*4/12)*VLOOKUP($B184,'Hypothèses '!$B$106:$E$126,3,FALSE)*(1+E$35)*(1+F$35)</f>
        <v>0</v>
      </c>
      <c r="G184" s="122">
        <f>(F157*8/12+G157*4/12)*VLOOKUP($B184,'Hypothèses '!$B$106:$E$126,3,FALSE)*(1+E$35)*(1+F$35)*(1+G$35)</f>
        <v>0</v>
      </c>
      <c r="H184" s="122">
        <f>(G157*8/12+H157*4/12)*VLOOKUP($B184,'Hypothèses '!$B$106:$E$126,3,FALSE)*(1+E$35)*(1+F$35)*(1+G$35)*(1+H$35)</f>
        <v>0</v>
      </c>
      <c r="I184" s="122">
        <f>(H157*8/12+I157*4/12)*VLOOKUP($B184,'Hypothèses '!$B$106:$E$126,3,FALSE)*(1+E$35)*(1+F$35)*(1+G$35)*(1+H$35)*(1+I$35)</f>
        <v>0</v>
      </c>
      <c r="J184" s="122">
        <f>(I157*8/12+J157*4/12)*VLOOKUP($B184,'Hypothèses '!$B$106:$E$126,3,FALSE)*(1+E$35)*(1+F$35)*(1+G$35)*(1+H$35)*(1+I$35)*(1+J$35)</f>
        <v>0</v>
      </c>
      <c r="K184" s="122">
        <f>(J157*8/12+K157*4/12)*VLOOKUP($B184,'Hypothèses '!$B$106:$E$126,3,FALSE)*(1+E$35)*(1+F$35)*(1+G$35)*(1+H$35)*(1+I$356)*(1+J$35)*(1+K$35)</f>
        <v>0</v>
      </c>
    </row>
    <row r="185" spans="1:11" x14ac:dyDescent="0.2">
      <c r="A185" s="99"/>
      <c r="B185" s="99" t="str">
        <f>$B$27</f>
        <v>Vie scolaire  - Educateurs</v>
      </c>
      <c r="C185" s="102"/>
      <c r="D185" s="122">
        <f>(C158*8/12+D158*4/12)*VLOOKUP($B185,'Hypothèses '!$B$106:$E$126,3,FALSE)</f>
        <v>0</v>
      </c>
      <c r="E185" s="122">
        <f>(D158*8/12+E158*4/12)*VLOOKUP($B185,'Hypothèses '!$B$106:$E$126,3,FALSE)*(1+E$35)</f>
        <v>0</v>
      </c>
      <c r="F185" s="122">
        <f>(E158*8/12+F158*4/12)*VLOOKUP($B185,'Hypothèses '!$B$106:$E$126,3,FALSE)*(1+E$35)*(1+F$35)</f>
        <v>0</v>
      </c>
      <c r="G185" s="122">
        <f>(F158*8/12+G158*4/12)*VLOOKUP($B185,'Hypothèses '!$B$106:$E$126,3,FALSE)*(1+E$35)*(1+F$35)*(1+G$35)</f>
        <v>0</v>
      </c>
      <c r="H185" s="122">
        <f>(G158*8/12+H158*4/12)*VLOOKUP($B185,'Hypothèses '!$B$106:$E$126,3,FALSE)*(1+E$35)*(1+F$35)*(1+G$35)*(1+H$35)</f>
        <v>0</v>
      </c>
      <c r="I185" s="122">
        <f>(H158*8/12+I158*4/12)*VLOOKUP($B185,'Hypothèses '!$B$106:$E$126,3,FALSE)*(1+E$35)*(1+F$35)*(1+G$35)*(1+H$35)*(1+I$35)</f>
        <v>0</v>
      </c>
      <c r="J185" s="122">
        <f>(I158*8/12+J158*4/12)*VLOOKUP($B185,'Hypothèses '!$B$106:$E$126,3,FALSE)*(1+E$35)*(1+F$35)*(1+G$35)*(1+H$35)*(1+I$35)*(1+J$35)</f>
        <v>0</v>
      </c>
      <c r="K185" s="122">
        <f>(J158*8/12+K158*4/12)*VLOOKUP($B185,'Hypothèses '!$B$106:$E$126,3,FALSE)*(1+E$35)*(1+F$35)*(1+G$35)*(1+H$35)*(1+I$356)*(1+J$35)*(1+K$35)</f>
        <v>0</v>
      </c>
    </row>
    <row r="186" spans="1:11" x14ac:dyDescent="0.2">
      <c r="A186" s="99"/>
      <c r="B186" s="99" t="str">
        <f>$B$28</f>
        <v>Documentation</v>
      </c>
      <c r="C186" s="102"/>
      <c r="D186" s="122">
        <f>(C159*8/12+D159*4/12)*VLOOKUP($B186,'Hypothèses '!$B$106:$E$126,3,FALSE)</f>
        <v>0</v>
      </c>
      <c r="E186" s="122">
        <f>(D159*8/12+E159*4/12)*VLOOKUP($B186,'Hypothèses '!$B$106:$E$126,3,FALSE)*(1+E$35)</f>
        <v>0</v>
      </c>
      <c r="F186" s="122">
        <f>(E159*8/12+F159*4/12)*VLOOKUP($B186,'Hypothèses '!$B$106:$E$126,3,FALSE)*(1+E$35)*(1+F$35)</f>
        <v>0</v>
      </c>
      <c r="G186" s="122">
        <f>(F159*8/12+G159*4/12)*VLOOKUP($B186,'Hypothèses '!$B$106:$E$126,3,FALSE)*(1+E$35)*(1+F$35)*(1+G$35)</f>
        <v>0</v>
      </c>
      <c r="H186" s="122">
        <f>(G159*8/12+H159*4/12)*VLOOKUP($B186,'Hypothèses '!$B$106:$E$126,3,FALSE)*(1+E$35)*(1+F$35)*(1+G$35)*(1+H$35)</f>
        <v>0</v>
      </c>
      <c r="I186" s="122">
        <f>(H159*8/12+I159*4/12)*VLOOKUP($B186,'Hypothèses '!$B$106:$E$126,3,FALSE)*(1+E$35)*(1+F$35)*(1+G$35)*(1+H$35)*(1+I$35)</f>
        <v>0</v>
      </c>
      <c r="J186" s="122">
        <f>(I159*8/12+J159*4/12)*VLOOKUP($B186,'Hypothèses '!$B$106:$E$126,3,FALSE)*(1+E$35)*(1+F$35)*(1+G$35)*(1+H$35)*(1+I$35)*(1+J$35)</f>
        <v>0</v>
      </c>
      <c r="K186" s="122">
        <f>(J159*8/12+K159*4/12)*VLOOKUP($B186,'Hypothèses '!$B$106:$E$126,3,FALSE)*(1+E$35)*(1+F$35)*(1+G$35)*(1+H$35)*(1+I$356)*(1+J$35)*(1+K$35)</f>
        <v>0</v>
      </c>
    </row>
    <row r="187" spans="1:11" x14ac:dyDescent="0.2">
      <c r="A187" s="99"/>
      <c r="B187" s="99" t="str">
        <f>$B$29</f>
        <v>Infirmière</v>
      </c>
      <c r="C187" s="102"/>
      <c r="D187" s="122">
        <f>(C160*8/12+D160*4/12)*VLOOKUP($B187,'Hypothèses '!$B$106:$E$126,3,FALSE)</f>
        <v>0</v>
      </c>
      <c r="E187" s="122">
        <f>(D160*8/12+E160*4/12)*VLOOKUP($B187,'Hypothèses '!$B$106:$E$126,3,FALSE)*(1+E$35)</f>
        <v>0</v>
      </c>
      <c r="F187" s="122">
        <f>(E160*8/12+F160*4/12)*VLOOKUP($B187,'Hypothèses '!$B$106:$E$126,3,FALSE)*(1+E$35)*(1+F$35)</f>
        <v>0</v>
      </c>
      <c r="G187" s="122">
        <f>(F160*8/12+G160*4/12)*VLOOKUP($B187,'Hypothèses '!$B$106:$E$126,3,FALSE)*(1+E$35)*(1+F$35)*(1+G$35)</f>
        <v>0</v>
      </c>
      <c r="H187" s="122">
        <f>(G160*8/12+H160*4/12)*VLOOKUP($B187,'Hypothèses '!$B$106:$E$126,3,FALSE)*(1+E$35)*(1+F$35)*(1+G$35)*(1+H$35)</f>
        <v>0</v>
      </c>
      <c r="I187" s="122">
        <f>(H160*8/12+I160*4/12)*VLOOKUP($B187,'Hypothèses '!$B$106:$E$126,3,FALSE)*(1+E$35)*(1+F$35)*(1+G$35)*(1+H$35)*(1+I$35)</f>
        <v>0</v>
      </c>
      <c r="J187" s="122">
        <f>(I160*8/12+J160*4/12)*VLOOKUP($B187,'Hypothèses '!$B$106:$E$126,3,FALSE)*(1+E$35)*(1+F$35)*(1+G$35)*(1+H$35)*(1+I$35)*(1+J$35)</f>
        <v>0</v>
      </c>
      <c r="K187" s="122">
        <f>(J160*8/12+K160*4/12)*VLOOKUP($B187,'Hypothèses '!$B$106:$E$126,3,FALSE)*(1+E$35)*(1+F$35)*(1+G$35)*(1+H$35)*(1+I$356)*(1+J$35)*(1+K$35)</f>
        <v>0</v>
      </c>
    </row>
    <row r="188" spans="1:11" x14ac:dyDescent="0.2">
      <c r="A188" s="99"/>
      <c r="B188" s="99" t="str">
        <f>$B$30</f>
        <v>Laboratoire</v>
      </c>
      <c r="C188" s="102"/>
      <c r="D188" s="122">
        <f>(C161*8/12+D161*4/12)*VLOOKUP($B188,'Hypothèses '!$B$106:$E$126,3,FALSE)</f>
        <v>0</v>
      </c>
      <c r="E188" s="122">
        <f>(D161*8/12+E161*4/12)*VLOOKUP($B188,'Hypothèses '!$B$106:$E$126,3,FALSE)*(1+E$35)</f>
        <v>0</v>
      </c>
      <c r="F188" s="122">
        <f>(E161*8/12+F161*4/12)*VLOOKUP($B188,'Hypothèses '!$B$106:$E$126,3,FALSE)*(1+E$35)*(1+F$35)</f>
        <v>0</v>
      </c>
      <c r="G188" s="122">
        <f>(F161*8/12+G161*4/12)*VLOOKUP($B188,'Hypothèses '!$B$106:$E$126,3,FALSE)*(1+E$35)*(1+F$35)*(1+G$35)</f>
        <v>0</v>
      </c>
      <c r="H188" s="122">
        <f>(G161*8/12+H161*4/12)*VLOOKUP($B188,'Hypothèses '!$B$106:$E$126,3,FALSE)*(1+E$35)*(1+F$35)*(1+G$35)*(1+H$35)</f>
        <v>0</v>
      </c>
      <c r="I188" s="122">
        <f>(H161*8/12+I161*4/12)*VLOOKUP($B188,'Hypothèses '!$B$106:$E$126,3,FALSE)*(1+E$35)*(1+F$35)*(1+G$35)*(1+H$35)*(1+I$35)</f>
        <v>0</v>
      </c>
      <c r="J188" s="122">
        <f>(I161*8/12+J161*4/12)*VLOOKUP($B188,'Hypothèses '!$B$106:$E$126,3,FALSE)*(1+E$35)*(1+F$35)*(1+G$35)*(1+H$35)*(1+I$35)*(1+J$35)</f>
        <v>0</v>
      </c>
      <c r="K188" s="122">
        <f>(J161*8/12+K161*4/12)*VLOOKUP($B188,'Hypothèses '!$B$106:$E$126,3,FALSE)*(1+E$35)*(1+F$35)*(1+G$35)*(1+H$35)*(1+I$356)*(1+J$35)*(1+K$35)</f>
        <v>0</v>
      </c>
    </row>
    <row r="189" spans="1:11" x14ac:dyDescent="0.2">
      <c r="A189" s="99"/>
      <c r="B189" s="99" t="str">
        <f>$B$31</f>
        <v>Orientation</v>
      </c>
      <c r="C189" s="102"/>
      <c r="D189" s="122">
        <f>(C162*8/12+D162*4/12)*VLOOKUP($B189,'Hypothèses '!$B$106:$E$126,3,FALSE)</f>
        <v>0</v>
      </c>
      <c r="E189" s="122">
        <f>(D162*8/12+E162*4/12)*VLOOKUP($B189,'Hypothèses '!$B$106:$E$126,3,FALSE)*(1+E$35)</f>
        <v>0</v>
      </c>
      <c r="F189" s="122">
        <f>(E162*8/12+F162*4/12)*VLOOKUP($B189,'Hypothèses '!$B$106:$E$126,3,FALSE)*(1+E$35)*(1+F$35)</f>
        <v>0</v>
      </c>
      <c r="G189" s="122">
        <f>(F162*8/12+G162*4/12)*VLOOKUP($B189,'Hypothèses '!$B$106:$E$126,3,FALSE)*(1+E$35)*(1+F$35)*(1+G$35)</f>
        <v>0</v>
      </c>
      <c r="H189" s="122">
        <f>(G162*8/12+H162*4/12)*VLOOKUP($B189,'Hypothèses '!$B$106:$E$126,3,FALSE)*(1+E$35)*(1+F$35)*(1+G$35)*(1+H$35)</f>
        <v>0</v>
      </c>
      <c r="I189" s="122">
        <f>(H162*8/12+I162*4/12)*VLOOKUP($B189,'Hypothèses '!$B$106:$E$126,3,FALSE)*(1+E$35)*(1+F$35)*(1+G$35)*(1+H$35)*(1+I$35)</f>
        <v>0</v>
      </c>
      <c r="J189" s="122">
        <f>(I162*8/12+J162*4/12)*VLOOKUP($B189,'Hypothèses '!$B$106:$E$126,3,FALSE)*(1+E$35)*(1+F$35)*(1+G$35)*(1+H$35)*(1+I$35)*(1+J$35)</f>
        <v>0</v>
      </c>
      <c r="K189" s="122">
        <f>(J162*8/12+K162*4/12)*VLOOKUP($B189,'Hypothèses '!$B$106:$E$126,3,FALSE)*(1+E$35)*(1+F$35)*(1+G$35)*(1+H$35)*(1+I$356)*(1+J$35)*(1+K$35)</f>
        <v>0</v>
      </c>
    </row>
    <row r="190" spans="1:11" x14ac:dyDescent="0.2">
      <c r="A190" s="99"/>
      <c r="B190" s="99" t="str">
        <f>$B$32</f>
        <v>Autre secondaire commun</v>
      </c>
      <c r="C190" s="126"/>
      <c r="D190" s="122">
        <f>(C163*8/12+D163*4/12)*VLOOKUP($B190,'Hypothèses '!$B$106:$E$126,3,FALSE)</f>
        <v>0</v>
      </c>
      <c r="E190" s="122">
        <f>(D163*8/12+E163*4/12)*VLOOKUP($B190,'Hypothèses '!$B$106:$E$126,3,FALSE)*(1+E$35)</f>
        <v>0</v>
      </c>
      <c r="F190" s="122">
        <f>(E163*8/12+F163*4/12)*VLOOKUP($B190,'Hypothèses '!$B$106:$E$126,3,FALSE)*(1+E$35)*(1+F$35)</f>
        <v>0</v>
      </c>
      <c r="G190" s="122">
        <f>(F163*8/12+G163*4/12)*VLOOKUP($B190,'Hypothèses '!$B$106:$E$126,3,FALSE)*(1+E$35)*(1+F$35)*(1+G$35)</f>
        <v>0</v>
      </c>
      <c r="H190" s="122">
        <f>(G163*8/12+H163*4/12)*VLOOKUP($B190,'Hypothèses '!$B$106:$E$126,3,FALSE)*(1+E$35)*(1+F$35)*(1+G$35)*(1+H$35)</f>
        <v>0</v>
      </c>
      <c r="I190" s="122">
        <f>(H163*8/12+I163*4/12)*VLOOKUP($B190,'Hypothèses '!$B$106:$E$126,3,FALSE)*(1+E$35)*(1+F$35)*(1+G$35)*(1+H$35)*(1+I$35)</f>
        <v>0</v>
      </c>
      <c r="J190" s="122">
        <f>(I163*8/12+J163*4/12)*VLOOKUP($B190,'Hypothèses '!$B$106:$E$126,3,FALSE)*(1+E$35)*(1+F$35)*(1+G$35)*(1+H$35)*(1+I$35)*(1+J$35)</f>
        <v>0</v>
      </c>
      <c r="K190" s="122">
        <f>(J163*8/12+K163*4/12)*VLOOKUP($B190,'Hypothèses '!$B$106:$E$126,3,FALSE)*(1+E$35)*(1+F$35)*(1+G$35)*(1+H$35)*(1+I$356)*(1+J$35)*(1+K$35)</f>
        <v>0</v>
      </c>
    </row>
    <row r="191" spans="1:11" x14ac:dyDescent="0.2">
      <c r="A191" s="99"/>
      <c r="B191" s="99"/>
      <c r="C191" s="126"/>
      <c r="D191" s="126"/>
      <c r="E191" s="126"/>
      <c r="F191" s="126"/>
      <c r="G191" s="126"/>
      <c r="H191" s="126"/>
      <c r="I191" s="126"/>
      <c r="J191" s="126"/>
      <c r="K191" s="126"/>
    </row>
    <row r="192" spans="1:11" x14ac:dyDescent="0.2">
      <c r="A192" s="100" t="s">
        <v>89</v>
      </c>
      <c r="B192" s="99" t="str">
        <f>B166</f>
        <v>Enseignants Détachés</v>
      </c>
      <c r="C192" s="122"/>
      <c r="D192" s="122">
        <f>(D166*(('Calcul Cout Détaché'!$B$12*(D$36+'Calcul Cout Détaché'!$G$11)*1)+'Calcul Cout Détaché'!$H$12))/D$37</f>
        <v>0</v>
      </c>
      <c r="E192" s="122">
        <f>(E166*(('Calcul Cout Détaché'!$B$12*(E$36+'Calcul Cout Détaché'!$G$11)*(1.03^E$67))+'Calcul Cout Détaché'!$H$12))/E$37</f>
        <v>0</v>
      </c>
      <c r="F192" s="122">
        <f>(F166*(('Calcul Cout Détaché'!$B$12*(F$36+'Calcul Cout Détaché'!$G$11)*(1.03^F$67))+'Calcul Cout Détaché'!$H$12))/F$37</f>
        <v>0</v>
      </c>
      <c r="G192" s="122">
        <f>(G166*(('Calcul Cout Détaché'!$B$12*(G$36+'Calcul Cout Détaché'!$G$11)*(1.03^G$67))+'Calcul Cout Détaché'!$H$12))/G$37</f>
        <v>0</v>
      </c>
      <c r="H192" s="122">
        <f>(H166*(('Calcul Cout Détaché'!$B$12*(H$36+'Calcul Cout Détaché'!$G$11)*(1.03^H$67))+'Calcul Cout Détaché'!$H$12))/H$37</f>
        <v>0</v>
      </c>
      <c r="I192" s="122">
        <f>(I166*(('Calcul Cout Détaché'!$B$12*(I$36+'Calcul Cout Détaché'!$G$11)*(1.03^I$67))+'Calcul Cout Détaché'!$H$12))/I$37</f>
        <v>0</v>
      </c>
      <c r="J192" s="122">
        <f>(J166*(('Calcul Cout Détaché'!$B$12*(J$36+'Calcul Cout Détaché'!$G$11)*(1.03^J$67))+'Calcul Cout Détaché'!$H$12))/J$37</f>
        <v>0</v>
      </c>
      <c r="K192" s="122">
        <f>(K166*(('Calcul Cout Détaché'!$B$12*(K$36+'Calcul Cout Détaché'!$G$11)*(1.03^K$67))+'Calcul Cout Détaché'!$H$12))/K$37</f>
        <v>0</v>
      </c>
    </row>
    <row r="193" spans="1:11" x14ac:dyDescent="0.2">
      <c r="A193" s="99"/>
      <c r="B193" s="99" t="s">
        <v>83</v>
      </c>
      <c r="C193" s="102"/>
      <c r="D193" s="122">
        <f>(C167*8/12+D167*4/12)*VLOOKUP($B193,'Hypothèses '!$B$106:$E$126,3,FALSE)</f>
        <v>0</v>
      </c>
      <c r="E193" s="122">
        <f>(D167*8/12+E167*4/12)*VLOOKUP($B193,'Hypothèses '!$B$106:$E$126,3,FALSE)*(1+E$35)</f>
        <v>0</v>
      </c>
      <c r="F193" s="122">
        <f>(E167*8/12+F167*4/12)*VLOOKUP($B193,'Hypothèses '!$B$106:$E$126,3,FALSE)*(1+E$35)*(1+F$35)</f>
        <v>0</v>
      </c>
      <c r="G193" s="122">
        <f>(F167*8/12+G167*4/12)*VLOOKUP($B193,'Hypothèses '!$B$106:$E$126,3,FALSE)*(1+E$35)*(1+F$35)*(1+G$35)</f>
        <v>0</v>
      </c>
      <c r="H193" s="122">
        <f>(G167*8/12+H167*4/12)*VLOOKUP($B193,'Hypothèses '!$B$106:$E$126,3,FALSE)*(1+E$35)*(1+F$35)*(1+G$35)*(1+H$35)</f>
        <v>0</v>
      </c>
      <c r="I193" s="122">
        <f>(H167*8/12+I167*4/12)*VLOOKUP($B193,'Hypothèses '!$B$106:$E$126,3,FALSE)*(1+E$35)*(1+F$35)*(1+G$35)*(1+H$35)*(1+I$35)</f>
        <v>0</v>
      </c>
      <c r="J193" s="122">
        <f>(I167*8/12+J167*4/12)*VLOOKUP($B193,'Hypothèses '!$B$106:$E$126,3,FALSE)*(1+E$35)*(1+F$35)*(1+G$35)*(1+H$35)*(1+I$35)*(1+J$35)</f>
        <v>0</v>
      </c>
      <c r="K193" s="122">
        <f>(J167*8/12+K167*4/12)*VLOOKUP($B193,'Hypothèses '!$B$106:$E$126,3,FALSE)*(1+E$35)*(1+F$35)*(1+G$35)*(1+H$35)*(1+I$356)*(1+J$35)*(1+K$35)</f>
        <v>0</v>
      </c>
    </row>
    <row r="196" spans="1:11" ht="16" x14ac:dyDescent="0.2">
      <c r="A196" s="127" t="s">
        <v>498</v>
      </c>
      <c r="B196" s="128"/>
      <c r="C196" s="130" t="str">
        <f>C$4</f>
        <v>2023/2024</v>
      </c>
      <c r="D196" s="130" t="str">
        <f t="shared" ref="D196:K196" si="36">D$4</f>
        <v>2024/2025</v>
      </c>
      <c r="E196" s="130" t="str">
        <f t="shared" si="36"/>
        <v>2025/2026</v>
      </c>
      <c r="F196" s="130" t="str">
        <f t="shared" si="36"/>
        <v>2026/2027</v>
      </c>
      <c r="G196" s="130" t="str">
        <f t="shared" si="36"/>
        <v>2027/2028</v>
      </c>
      <c r="H196" s="139" t="str">
        <f t="shared" si="36"/>
        <v>2028/2029</v>
      </c>
      <c r="I196" s="139" t="str">
        <f t="shared" si="36"/>
        <v>2029/2030</v>
      </c>
      <c r="J196" s="130" t="str">
        <f t="shared" si="36"/>
        <v>2030/2031</v>
      </c>
      <c r="K196" s="130" t="str">
        <f t="shared" si="36"/>
        <v>2031/2032</v>
      </c>
    </row>
    <row r="197" spans="1:11" ht="16" x14ac:dyDescent="0.2">
      <c r="A197" s="127" t="s">
        <v>667</v>
      </c>
      <c r="B197" s="128"/>
      <c r="C197" s="377" t="e">
        <f t="shared" ref="C197:K197" si="37">C198+C219</f>
        <v>#N/A</v>
      </c>
      <c r="D197" s="377" t="e">
        <f t="shared" si="37"/>
        <v>#N/A</v>
      </c>
      <c r="E197" s="377" t="e">
        <f t="shared" si="37"/>
        <v>#N/A</v>
      </c>
      <c r="F197" s="377" t="e">
        <f t="shared" si="37"/>
        <v>#N/A</v>
      </c>
      <c r="G197" s="377" t="e">
        <f t="shared" si="37"/>
        <v>#N/A</v>
      </c>
      <c r="H197" s="377" t="e">
        <f t="shared" si="37"/>
        <v>#N/A</v>
      </c>
      <c r="I197" s="377" t="e">
        <f t="shared" si="37"/>
        <v>#N/A</v>
      </c>
      <c r="J197" s="377" t="e">
        <f t="shared" si="37"/>
        <v>#N/A</v>
      </c>
      <c r="K197" s="377" t="e">
        <f t="shared" si="37"/>
        <v>#N/A</v>
      </c>
    </row>
    <row r="198" spans="1:11" x14ac:dyDescent="0.2">
      <c r="A198" s="129" t="s">
        <v>70</v>
      </c>
      <c r="B198" s="128"/>
      <c r="C198" s="368" t="e">
        <f>SUM(C200:C207)+SUM(C210:C217)</f>
        <v>#N/A</v>
      </c>
      <c r="D198" s="368" t="e">
        <f t="shared" ref="D198:K198" si="38">SUM(D200:D207)+SUM(D210:D217)</f>
        <v>#N/A</v>
      </c>
      <c r="E198" s="368" t="e">
        <f t="shared" si="38"/>
        <v>#N/A</v>
      </c>
      <c r="F198" s="368" t="e">
        <f t="shared" si="38"/>
        <v>#N/A</v>
      </c>
      <c r="G198" s="368" t="e">
        <f t="shared" si="38"/>
        <v>#N/A</v>
      </c>
      <c r="H198" s="368" t="e">
        <f t="shared" si="38"/>
        <v>#N/A</v>
      </c>
      <c r="I198" s="368" t="e">
        <f t="shared" si="38"/>
        <v>#N/A</v>
      </c>
      <c r="J198" s="368" t="e">
        <f t="shared" si="38"/>
        <v>#N/A</v>
      </c>
      <c r="K198" s="368" t="e">
        <f t="shared" si="38"/>
        <v>#N/A</v>
      </c>
    </row>
    <row r="199" spans="1:11" x14ac:dyDescent="0.2">
      <c r="A199" s="128" t="s">
        <v>67</v>
      </c>
      <c r="B199" s="134" t="s">
        <v>652</v>
      </c>
      <c r="C199" s="332">
        <f>HLOOKUP(C38,'Projection Effectifs'!$S$31:$AC$35,5,FALSE)</f>
        <v>0</v>
      </c>
      <c r="D199" s="332">
        <f>HLOOKUP(D38,'Projection Effectifs'!$S$31:$AC$35,5,FALSE)</f>
        <v>0.19654788418708241</v>
      </c>
      <c r="E199" s="332">
        <f>HLOOKUP(E38,'Projection Effectifs'!$S$31:$AC$35,5,FALSE)</f>
        <v>0.20054794520547944</v>
      </c>
      <c r="F199" s="332">
        <f>HLOOKUP(F38,'Projection Effectifs'!$S$31:$AC$35,5,FALSE)</f>
        <v>0.20788732394366197</v>
      </c>
      <c r="G199" s="332">
        <f>HLOOKUP(G38,'Projection Effectifs'!$S$31:$AC$35,5,FALSE)</f>
        <v>0.21591574019894674</v>
      </c>
      <c r="H199" s="332">
        <f>HLOOKUP(H38,'Projection Effectifs'!$S$31:$AC$35,5,FALSE)</f>
        <v>0.22483814008240141</v>
      </c>
      <c r="I199" s="332">
        <f>HLOOKUP(I38,'Projection Effectifs'!$S$31:$AC$35,5,FALSE)</f>
        <v>0.24736225087924971</v>
      </c>
      <c r="J199" s="332">
        <f>HLOOKUP(J38,'Projection Effectifs'!$S$31:$AC$35,5,FALSE)</f>
        <v>0.25</v>
      </c>
      <c r="K199" s="332">
        <f>HLOOKUP(K38,'Projection Effectifs'!$S$31:$AC$35,5,FALSE)</f>
        <v>0.24448419797257007</v>
      </c>
    </row>
    <row r="200" spans="1:11" x14ac:dyDescent="0.2">
      <c r="A200" s="128"/>
      <c r="B200" s="128" t="str">
        <f>$B$6</f>
        <v>Chef d'Etablissement PDL</v>
      </c>
      <c r="C200" s="131" t="e">
        <f t="shared" ref="C200:K207" si="39">VLOOKUP($B200,$B$6:$K$13,C$3,FALSE)*C$199</f>
        <v>#N/A</v>
      </c>
      <c r="D200" s="131" t="e">
        <f t="shared" si="39"/>
        <v>#N/A</v>
      </c>
      <c r="E200" s="131" t="e">
        <f t="shared" si="39"/>
        <v>#N/A</v>
      </c>
      <c r="F200" s="131" t="e">
        <f t="shared" si="39"/>
        <v>#N/A</v>
      </c>
      <c r="G200" s="131" t="e">
        <f t="shared" si="39"/>
        <v>#N/A</v>
      </c>
      <c r="H200" s="131" t="e">
        <f t="shared" si="39"/>
        <v>#N/A</v>
      </c>
      <c r="I200" s="131" t="e">
        <f t="shared" si="39"/>
        <v>#N/A</v>
      </c>
      <c r="J200" s="131" t="e">
        <f t="shared" si="39"/>
        <v>#N/A</v>
      </c>
      <c r="K200" s="131" t="e">
        <f t="shared" si="39"/>
        <v>#N/A</v>
      </c>
    </row>
    <row r="201" spans="1:11" x14ac:dyDescent="0.2">
      <c r="A201" s="128"/>
      <c r="B201" s="128" t="str">
        <f>$B$7</f>
        <v>DAF PDL</v>
      </c>
      <c r="C201" s="131" t="e">
        <f t="shared" si="39"/>
        <v>#N/A</v>
      </c>
      <c r="D201" s="131" t="e">
        <f t="shared" si="39"/>
        <v>#N/A</v>
      </c>
      <c r="E201" s="131" t="e">
        <f t="shared" si="39"/>
        <v>#N/A</v>
      </c>
      <c r="F201" s="131" t="e">
        <f t="shared" si="39"/>
        <v>#N/A</v>
      </c>
      <c r="G201" s="131" t="e">
        <f t="shared" si="39"/>
        <v>#N/A</v>
      </c>
      <c r="H201" s="131" t="e">
        <f t="shared" si="39"/>
        <v>#N/A</v>
      </c>
      <c r="I201" s="131" t="e">
        <f t="shared" si="39"/>
        <v>#N/A</v>
      </c>
      <c r="J201" s="131" t="e">
        <f t="shared" si="39"/>
        <v>#N/A</v>
      </c>
      <c r="K201" s="131" t="e">
        <f t="shared" si="39"/>
        <v>#N/A</v>
      </c>
    </row>
    <row r="202" spans="1:11" x14ac:dyDescent="0.2">
      <c r="A202" s="128"/>
      <c r="B202" s="128" t="str">
        <f>$B$8</f>
        <v>DRH</v>
      </c>
      <c r="C202" s="131">
        <f t="shared" si="39"/>
        <v>0</v>
      </c>
      <c r="D202" s="131">
        <f t="shared" si="39"/>
        <v>0.39309576837416482</v>
      </c>
      <c r="E202" s="131">
        <f t="shared" si="39"/>
        <v>0</v>
      </c>
      <c r="F202" s="131">
        <f t="shared" si="39"/>
        <v>0</v>
      </c>
      <c r="G202" s="131">
        <f t="shared" si="39"/>
        <v>0</v>
      </c>
      <c r="H202" s="131">
        <f t="shared" si="39"/>
        <v>0</v>
      </c>
      <c r="I202" s="131">
        <f t="shared" si="39"/>
        <v>0</v>
      </c>
      <c r="J202" s="131">
        <f t="shared" si="39"/>
        <v>0</v>
      </c>
      <c r="K202" s="131">
        <f t="shared" si="39"/>
        <v>0</v>
      </c>
    </row>
    <row r="203" spans="1:11" x14ac:dyDescent="0.2">
      <c r="A203" s="128"/>
      <c r="B203" s="128" t="str">
        <f>$B$9</f>
        <v>Autre Administratif</v>
      </c>
      <c r="C203" s="131">
        <f t="shared" si="39"/>
        <v>0</v>
      </c>
      <c r="D203" s="131">
        <f t="shared" si="39"/>
        <v>0</v>
      </c>
      <c r="E203" s="131">
        <f t="shared" si="39"/>
        <v>0</v>
      </c>
      <c r="F203" s="131">
        <f t="shared" si="39"/>
        <v>0</v>
      </c>
      <c r="G203" s="131">
        <f t="shared" si="39"/>
        <v>0</v>
      </c>
      <c r="H203" s="131">
        <f t="shared" si="39"/>
        <v>0</v>
      </c>
      <c r="I203" s="131">
        <f t="shared" si="39"/>
        <v>0</v>
      </c>
      <c r="J203" s="131">
        <f t="shared" si="39"/>
        <v>0</v>
      </c>
      <c r="K203" s="131">
        <f t="shared" si="39"/>
        <v>0</v>
      </c>
    </row>
    <row r="204" spans="1:11" x14ac:dyDescent="0.2">
      <c r="A204" s="128"/>
      <c r="B204" s="128" t="str">
        <f>$B$10</f>
        <v>Technique - Informatique - Maintenance</v>
      </c>
      <c r="C204" s="131" t="e">
        <f t="shared" si="39"/>
        <v>#N/A</v>
      </c>
      <c r="D204" s="131" t="e">
        <f t="shared" si="39"/>
        <v>#N/A</v>
      </c>
      <c r="E204" s="131" t="e">
        <f t="shared" si="39"/>
        <v>#N/A</v>
      </c>
      <c r="F204" s="131" t="e">
        <f t="shared" si="39"/>
        <v>#N/A</v>
      </c>
      <c r="G204" s="131" t="e">
        <f t="shared" si="39"/>
        <v>#N/A</v>
      </c>
      <c r="H204" s="131" t="e">
        <f t="shared" si="39"/>
        <v>#N/A</v>
      </c>
      <c r="I204" s="131" t="e">
        <f t="shared" si="39"/>
        <v>#N/A</v>
      </c>
      <c r="J204" s="131" t="e">
        <f t="shared" si="39"/>
        <v>#N/A</v>
      </c>
      <c r="K204" s="131" t="e">
        <f t="shared" si="39"/>
        <v>#N/A</v>
      </c>
    </row>
    <row r="205" spans="1:11" x14ac:dyDescent="0.2">
      <c r="A205" s="128"/>
      <c r="B205" s="128" t="str">
        <f>$B$11</f>
        <v>Entretien / Sécurité</v>
      </c>
      <c r="C205" s="131">
        <f t="shared" si="39"/>
        <v>0</v>
      </c>
      <c r="D205" s="131">
        <f t="shared" si="39"/>
        <v>0.19654788418708241</v>
      </c>
      <c r="E205" s="131">
        <f t="shared" si="39"/>
        <v>0</v>
      </c>
      <c r="F205" s="131">
        <f t="shared" si="39"/>
        <v>0</v>
      </c>
      <c r="G205" s="131">
        <f t="shared" si="39"/>
        <v>0</v>
      </c>
      <c r="H205" s="131">
        <f t="shared" si="39"/>
        <v>0</v>
      </c>
      <c r="I205" s="131">
        <f t="shared" si="39"/>
        <v>0</v>
      </c>
      <c r="J205" s="131">
        <f t="shared" si="39"/>
        <v>0</v>
      </c>
      <c r="K205" s="131">
        <f t="shared" si="39"/>
        <v>0</v>
      </c>
    </row>
    <row r="206" spans="1:11" x14ac:dyDescent="0.2">
      <c r="A206" s="128"/>
      <c r="B206" s="128" t="str">
        <f>$B$12</f>
        <v>Documentation</v>
      </c>
      <c r="C206" s="131">
        <f t="shared" si="39"/>
        <v>0</v>
      </c>
      <c r="D206" s="131">
        <f t="shared" si="39"/>
        <v>0.39309576837416482</v>
      </c>
      <c r="E206" s="131">
        <f t="shared" si="39"/>
        <v>0</v>
      </c>
      <c r="F206" s="131">
        <f t="shared" si="39"/>
        <v>0</v>
      </c>
      <c r="G206" s="131">
        <f t="shared" si="39"/>
        <v>0</v>
      </c>
      <c r="H206" s="131">
        <f t="shared" si="39"/>
        <v>0</v>
      </c>
      <c r="I206" s="131">
        <f t="shared" si="39"/>
        <v>0</v>
      </c>
      <c r="J206" s="131">
        <f t="shared" si="39"/>
        <v>0</v>
      </c>
      <c r="K206" s="131">
        <f t="shared" si="39"/>
        <v>0</v>
      </c>
    </row>
    <row r="207" spans="1:11" x14ac:dyDescent="0.2">
      <c r="A207" s="128"/>
      <c r="B207" s="128" t="str">
        <f>$B$13</f>
        <v>Autre commun</v>
      </c>
      <c r="C207" s="131">
        <f t="shared" si="39"/>
        <v>0</v>
      </c>
      <c r="D207" s="131">
        <f t="shared" si="39"/>
        <v>0</v>
      </c>
      <c r="E207" s="131">
        <f t="shared" si="39"/>
        <v>0</v>
      </c>
      <c r="F207" s="131">
        <f t="shared" si="39"/>
        <v>0</v>
      </c>
      <c r="G207" s="131">
        <f t="shared" si="39"/>
        <v>0</v>
      </c>
      <c r="H207" s="131">
        <f t="shared" si="39"/>
        <v>0</v>
      </c>
      <c r="I207" s="131">
        <f t="shared" si="39"/>
        <v>0</v>
      </c>
      <c r="J207" s="131">
        <f t="shared" si="39"/>
        <v>0</v>
      </c>
      <c r="K207" s="131">
        <f t="shared" si="39"/>
        <v>0</v>
      </c>
    </row>
    <row r="208" spans="1:11" x14ac:dyDescent="0.2">
      <c r="A208" s="128"/>
      <c r="B208" s="128"/>
      <c r="C208" s="138"/>
      <c r="D208" s="138"/>
      <c r="E208" s="138"/>
      <c r="F208" s="138"/>
      <c r="G208" s="138"/>
      <c r="H208" s="138"/>
      <c r="I208" s="138"/>
      <c r="J208" s="138"/>
      <c r="K208" s="138"/>
    </row>
    <row r="209" spans="1:11" x14ac:dyDescent="0.2">
      <c r="A209" s="128" t="s">
        <v>127</v>
      </c>
      <c r="B209" s="134" t="s">
        <v>652</v>
      </c>
      <c r="C209" s="333">
        <f>HLOOKUP(C$38,'Projection Effectifs'!$S$37:$AC$43,6,FALSE)</f>
        <v>0</v>
      </c>
      <c r="D209" s="333">
        <f>HLOOKUP(D$38,'Projection Effectifs'!$S$37:$AC$43,6,FALSE)</f>
        <v>0.41431924882629106</v>
      </c>
      <c r="E209" s="333">
        <f>HLOOKUP(E$38,'Projection Effectifs'!$S$37:$AC$43,6,FALSE)</f>
        <v>0.40621531631520535</v>
      </c>
      <c r="F209" s="333">
        <f>HLOOKUP(F$38,'Projection Effectifs'!$S$37:$AC$43,6,FALSE)</f>
        <v>0.40108695652173915</v>
      </c>
      <c r="G209" s="333">
        <f>HLOOKUP(G$38,'Projection Effectifs'!$S$37:$AC$43,6,FALSE)</f>
        <v>0.40021691973969631</v>
      </c>
      <c r="H209" s="333">
        <f>HLOOKUP(H$38,'Projection Effectifs'!$S$37:$AC$43,6,FALSE)</f>
        <v>0.41119483315392896</v>
      </c>
      <c r="I209" s="333">
        <f>HLOOKUP(I$38,'Projection Effectifs'!$S$37:$AC$43,6,FALSE)</f>
        <v>0.44893617021276594</v>
      </c>
      <c r="J209" s="333">
        <f>HLOOKUP(J$38,'Projection Effectifs'!$S$37:$AC$43,6,FALSE)</f>
        <v>0.44831223628691985</v>
      </c>
      <c r="K209" s="333">
        <f>HLOOKUP(K$38,'Projection Effectifs'!$S$37:$AC$43,6,FALSE)</f>
        <v>0.43850267379679142</v>
      </c>
    </row>
    <row r="210" spans="1:11" x14ac:dyDescent="0.2">
      <c r="A210" s="128"/>
      <c r="B210" s="128" t="str">
        <f>$B$25</f>
        <v>Proviseur adjoint PDL</v>
      </c>
      <c r="C210" s="131" t="e">
        <f t="shared" ref="C210:K217" si="40">VLOOKUP($B210,$B$25:$K$32,C$3,FALSE)*C$209</f>
        <v>#N/A</v>
      </c>
      <c r="D210" s="131" t="e">
        <f t="shared" si="40"/>
        <v>#N/A</v>
      </c>
      <c r="E210" s="131" t="e">
        <f t="shared" si="40"/>
        <v>#N/A</v>
      </c>
      <c r="F210" s="131" t="e">
        <f t="shared" si="40"/>
        <v>#N/A</v>
      </c>
      <c r="G210" s="131" t="e">
        <f t="shared" si="40"/>
        <v>#N/A</v>
      </c>
      <c r="H210" s="131" t="e">
        <f t="shared" si="40"/>
        <v>#N/A</v>
      </c>
      <c r="I210" s="131" t="e">
        <f t="shared" si="40"/>
        <v>#N/A</v>
      </c>
      <c r="J210" s="131" t="e">
        <f t="shared" si="40"/>
        <v>#N/A</v>
      </c>
      <c r="K210" s="131" t="e">
        <f t="shared" si="40"/>
        <v>#N/A</v>
      </c>
    </row>
    <row r="211" spans="1:11" x14ac:dyDescent="0.2">
      <c r="A211" s="128"/>
      <c r="B211" s="128" t="str">
        <f>$B$26</f>
        <v>CPE (Conseiller Principal d'Education) PDL</v>
      </c>
      <c r="C211" s="131">
        <f t="shared" si="40"/>
        <v>0</v>
      </c>
      <c r="D211" s="131">
        <f t="shared" si="40"/>
        <v>0.41431924882629106</v>
      </c>
      <c r="E211" s="131">
        <f t="shared" si="40"/>
        <v>0.40621531631520535</v>
      </c>
      <c r="F211" s="131">
        <f t="shared" si="40"/>
        <v>0.40108695652173915</v>
      </c>
      <c r="G211" s="131">
        <f t="shared" si="40"/>
        <v>0.40021691973969631</v>
      </c>
      <c r="H211" s="131">
        <f t="shared" si="40"/>
        <v>0.41119483315392896</v>
      </c>
      <c r="I211" s="131">
        <f t="shared" si="40"/>
        <v>0.44893617021276594</v>
      </c>
      <c r="J211" s="131">
        <f t="shared" si="40"/>
        <v>0.44831223628691985</v>
      </c>
      <c r="K211" s="131">
        <f t="shared" si="40"/>
        <v>0.43850267379679142</v>
      </c>
    </row>
    <row r="212" spans="1:11" x14ac:dyDescent="0.2">
      <c r="A212" s="128"/>
      <c r="B212" s="128" t="str">
        <f>$B$27</f>
        <v>Vie scolaire  - Educateurs</v>
      </c>
      <c r="C212" s="131">
        <f t="shared" si="40"/>
        <v>0</v>
      </c>
      <c r="D212" s="131">
        <f t="shared" si="40"/>
        <v>5.800469483568075</v>
      </c>
      <c r="E212" s="131">
        <f t="shared" si="40"/>
        <v>5.6870144284128745</v>
      </c>
      <c r="F212" s="131">
        <f t="shared" si="40"/>
        <v>5.6152173913043484</v>
      </c>
      <c r="G212" s="131">
        <f t="shared" si="40"/>
        <v>5.6030368763557483</v>
      </c>
      <c r="H212" s="131">
        <f t="shared" si="40"/>
        <v>5.7567276641550054</v>
      </c>
      <c r="I212" s="131">
        <f t="shared" si="40"/>
        <v>6.2851063829787233</v>
      </c>
      <c r="J212" s="131">
        <f t="shared" si="40"/>
        <v>6.2763713080168779</v>
      </c>
      <c r="K212" s="131">
        <f t="shared" si="40"/>
        <v>6.1390374331550799</v>
      </c>
    </row>
    <row r="213" spans="1:11" x14ac:dyDescent="0.2">
      <c r="A213" s="128"/>
      <c r="B213" s="128" t="str">
        <f>$B$28</f>
        <v>Documentation</v>
      </c>
      <c r="C213" s="131">
        <f t="shared" si="40"/>
        <v>0</v>
      </c>
      <c r="D213" s="131">
        <f t="shared" si="40"/>
        <v>0.82863849765258213</v>
      </c>
      <c r="E213" s="131">
        <f t="shared" si="40"/>
        <v>0.81243063263041071</v>
      </c>
      <c r="F213" s="131">
        <f t="shared" si="40"/>
        <v>0.80217391304347829</v>
      </c>
      <c r="G213" s="131">
        <f t="shared" si="40"/>
        <v>0.80043383947939262</v>
      </c>
      <c r="H213" s="131">
        <f t="shared" si="40"/>
        <v>0.82238966630785792</v>
      </c>
      <c r="I213" s="131">
        <f t="shared" si="40"/>
        <v>0.89787234042553188</v>
      </c>
      <c r="J213" s="131">
        <f t="shared" si="40"/>
        <v>0.8966244725738397</v>
      </c>
      <c r="K213" s="131">
        <f t="shared" si="40"/>
        <v>0.87700534759358284</v>
      </c>
    </row>
    <row r="214" spans="1:11" x14ac:dyDescent="0.2">
      <c r="A214" s="128"/>
      <c r="B214" s="128" t="str">
        <f>$B$29</f>
        <v>Infirmière</v>
      </c>
      <c r="C214" s="131">
        <f t="shared" si="40"/>
        <v>0</v>
      </c>
      <c r="D214" s="131">
        <f t="shared" si="40"/>
        <v>0.82863849765258213</v>
      </c>
      <c r="E214" s="131">
        <f t="shared" si="40"/>
        <v>0.81243063263041071</v>
      </c>
      <c r="F214" s="131">
        <f t="shared" si="40"/>
        <v>0.80217391304347829</v>
      </c>
      <c r="G214" s="131">
        <f t="shared" si="40"/>
        <v>0.80043383947939262</v>
      </c>
      <c r="H214" s="131">
        <f t="shared" si="40"/>
        <v>0.82238966630785792</v>
      </c>
      <c r="I214" s="131">
        <f t="shared" si="40"/>
        <v>0.89787234042553188</v>
      </c>
      <c r="J214" s="131">
        <f t="shared" si="40"/>
        <v>0.8966244725738397</v>
      </c>
      <c r="K214" s="131">
        <f t="shared" si="40"/>
        <v>0.87700534759358284</v>
      </c>
    </row>
    <row r="215" spans="1:11" x14ac:dyDescent="0.2">
      <c r="A215" s="128"/>
      <c r="B215" s="128" t="str">
        <f>$B$30</f>
        <v>Laboratoire</v>
      </c>
      <c r="C215" s="131">
        <f t="shared" si="40"/>
        <v>0</v>
      </c>
      <c r="D215" s="131">
        <f t="shared" si="40"/>
        <v>0.41431924882629106</v>
      </c>
      <c r="E215" s="131">
        <f t="shared" si="40"/>
        <v>0.40621531631520535</v>
      </c>
      <c r="F215" s="131">
        <f t="shared" si="40"/>
        <v>0.40108695652173915</v>
      </c>
      <c r="G215" s="131">
        <f t="shared" si="40"/>
        <v>0.40021691973969631</v>
      </c>
      <c r="H215" s="131">
        <f t="shared" si="40"/>
        <v>0.41119483315392896</v>
      </c>
      <c r="I215" s="131">
        <f t="shared" si="40"/>
        <v>0.44893617021276594</v>
      </c>
      <c r="J215" s="131">
        <f t="shared" si="40"/>
        <v>0.44831223628691985</v>
      </c>
      <c r="K215" s="131">
        <f t="shared" si="40"/>
        <v>0.43850267379679142</v>
      </c>
    </row>
    <row r="216" spans="1:11" x14ac:dyDescent="0.2">
      <c r="A216" s="128"/>
      <c r="B216" s="128" t="str">
        <f>$B$31</f>
        <v>Orientation</v>
      </c>
      <c r="C216" s="131">
        <f t="shared" si="40"/>
        <v>0</v>
      </c>
      <c r="D216" s="131">
        <f t="shared" si="40"/>
        <v>0</v>
      </c>
      <c r="E216" s="131">
        <f t="shared" si="40"/>
        <v>0</v>
      </c>
      <c r="F216" s="131">
        <f t="shared" si="40"/>
        <v>0</v>
      </c>
      <c r="G216" s="131">
        <f t="shared" si="40"/>
        <v>0</v>
      </c>
      <c r="H216" s="131">
        <f t="shared" si="40"/>
        <v>0</v>
      </c>
      <c r="I216" s="131">
        <f t="shared" si="40"/>
        <v>0</v>
      </c>
      <c r="J216" s="131">
        <f t="shared" si="40"/>
        <v>0</v>
      </c>
      <c r="K216" s="131">
        <f t="shared" si="40"/>
        <v>0</v>
      </c>
    </row>
    <row r="217" spans="1:11" x14ac:dyDescent="0.2">
      <c r="A217" s="128"/>
      <c r="B217" s="128" t="str">
        <f>$B$32</f>
        <v>Autre secondaire commun</v>
      </c>
      <c r="C217" s="131">
        <f t="shared" si="40"/>
        <v>0</v>
      </c>
      <c r="D217" s="131">
        <f t="shared" si="40"/>
        <v>0</v>
      </c>
      <c r="E217" s="131">
        <f t="shared" si="40"/>
        <v>0</v>
      </c>
      <c r="F217" s="131">
        <f t="shared" si="40"/>
        <v>0</v>
      </c>
      <c r="G217" s="131">
        <f t="shared" si="40"/>
        <v>0</v>
      </c>
      <c r="H217" s="131">
        <f t="shared" si="40"/>
        <v>0</v>
      </c>
      <c r="I217" s="131">
        <f t="shared" si="40"/>
        <v>0</v>
      </c>
      <c r="J217" s="131">
        <f t="shared" si="40"/>
        <v>0</v>
      </c>
      <c r="K217" s="131">
        <f t="shared" si="40"/>
        <v>0</v>
      </c>
    </row>
    <row r="218" spans="1:11" x14ac:dyDescent="0.2">
      <c r="A218" s="128"/>
      <c r="B218" s="128"/>
      <c r="C218" s="138"/>
      <c r="D218" s="138"/>
      <c r="E218" s="138"/>
      <c r="F218" s="138"/>
      <c r="G218" s="138"/>
      <c r="H218" s="138"/>
      <c r="I218" s="138"/>
      <c r="J218" s="138"/>
      <c r="K218" s="138"/>
    </row>
    <row r="219" spans="1:11" x14ac:dyDescent="0.2">
      <c r="A219" s="129" t="s">
        <v>89</v>
      </c>
      <c r="B219" s="128"/>
      <c r="C219" s="369">
        <f>SUM(C220:C221)</f>
        <v>0</v>
      </c>
      <c r="D219" s="369">
        <f t="shared" ref="D219:K219" si="41">SUM(D220:D221)</f>
        <v>0</v>
      </c>
      <c r="E219" s="369">
        <f t="shared" si="41"/>
        <v>0</v>
      </c>
      <c r="F219" s="369">
        <f t="shared" si="41"/>
        <v>0</v>
      </c>
      <c r="G219" s="369">
        <f t="shared" si="41"/>
        <v>0</v>
      </c>
      <c r="H219" s="369">
        <f t="shared" si="41"/>
        <v>0</v>
      </c>
      <c r="I219" s="369">
        <f t="shared" si="41"/>
        <v>0</v>
      </c>
      <c r="J219" s="369">
        <f t="shared" si="41"/>
        <v>0</v>
      </c>
      <c r="K219" s="369">
        <f t="shared" si="41"/>
        <v>0</v>
      </c>
    </row>
    <row r="220" spans="1:11" x14ac:dyDescent="0.2">
      <c r="A220" s="128"/>
      <c r="B220" s="128" t="s">
        <v>77</v>
      </c>
      <c r="C220" s="141">
        <f>IFERROR('Hypothèses '!C$93*HLOOKUP(C$38,'Projection Effectifs'!$S$37:$AC$43,6,FALSE),0)</f>
        <v>0</v>
      </c>
      <c r="D220" s="141">
        <f>IFERROR('Hypothèses '!D$93*HLOOKUP(D$38,'Projection Effectifs'!$S$37:$AC$43,6,FALSE),0)</f>
        <v>0</v>
      </c>
      <c r="E220" s="141">
        <f>IFERROR('Hypothèses '!E$93*HLOOKUP(E$38,'Projection Effectifs'!$S$37:$AC$43,6,FALSE),0)</f>
        <v>0</v>
      </c>
      <c r="F220" s="141">
        <f>IFERROR('Hypothèses '!F$93*HLOOKUP(F$38,'Projection Effectifs'!$S$37:$AC$43,6,FALSE),0)</f>
        <v>0</v>
      </c>
      <c r="G220" s="141">
        <f>IFERROR('Hypothèses '!G$93*HLOOKUP(G$38,'Projection Effectifs'!$S$37:$AC$43,6,FALSE),0)</f>
        <v>0</v>
      </c>
      <c r="H220" s="141">
        <f>IFERROR('Hypothèses '!H$93*HLOOKUP(H$38,'Projection Effectifs'!$S$37:$AC$43,6,FALSE),0)</f>
        <v>0</v>
      </c>
      <c r="I220" s="141">
        <f>IFERROR('Hypothèses '!I$93*HLOOKUP(I$38,'Projection Effectifs'!$S$37:$AC$43,6,FALSE),0)</f>
        <v>0</v>
      </c>
      <c r="J220" s="141">
        <f>IFERROR('Hypothèses '!J$93*HLOOKUP(J$38,'Projection Effectifs'!$S$37:$AC$43,6,FALSE),0)</f>
        <v>0</v>
      </c>
      <c r="K220" s="141">
        <f>IFERROR('Hypothèses '!K$93*HLOOKUP(K$38,'Projection Effectifs'!$S$37:$AC$43,6,FALSE),0)</f>
        <v>0</v>
      </c>
    </row>
    <row r="221" spans="1:11" x14ac:dyDescent="0.2">
      <c r="A221" s="128"/>
      <c r="B221" s="128" t="s">
        <v>80</v>
      </c>
      <c r="C221" s="133">
        <f>IFERROR(C223*HLOOKUP(C142,'Projection Effectifs'!$C$31:$M$36,6,FALSE)/18-C220,0)</f>
        <v>0</v>
      </c>
      <c r="D221" s="133">
        <f>IFERROR(D223*HLOOKUP(D142,'Projection Effectifs'!$C$31:$M$36,6,FALSE)/18-D220,0)</f>
        <v>0</v>
      </c>
      <c r="E221" s="133">
        <f>IFERROR(E223*HLOOKUP(E142,'Projection Effectifs'!$C$31:$M$36,6,FALSE)/18-E220,0)</f>
        <v>0</v>
      </c>
      <c r="F221" s="133">
        <f>IFERROR(F223*HLOOKUP(F142,'Projection Effectifs'!$C$31:$M$36,6,FALSE)/18-F220,0)</f>
        <v>0</v>
      </c>
      <c r="G221" s="133">
        <f>IFERROR(G223*HLOOKUP(G142,'Projection Effectifs'!$C$31:$M$36,6,FALSE)/18-G220,0)</f>
        <v>0</v>
      </c>
      <c r="H221" s="133">
        <f>IFERROR(H223*HLOOKUP(H142,'Projection Effectifs'!$C$31:$M$36,6,FALSE)/18-H220,0)</f>
        <v>0</v>
      </c>
      <c r="I221" s="133">
        <f>IFERROR(I223*HLOOKUP(I142,'Projection Effectifs'!$C$31:$M$36,6,FALSE)/18-I220,0)</f>
        <v>0</v>
      </c>
      <c r="J221" s="133">
        <f>IFERROR(J223*HLOOKUP(J142,'Projection Effectifs'!$C$31:$M$36,6,FALSE)/18-J220,0)</f>
        <v>0</v>
      </c>
      <c r="K221" s="133">
        <f>IFERROR(K223*HLOOKUP(K142,'Projection Effectifs'!$C$31:$M$36,6,FALSE)/18-K220,0)</f>
        <v>0</v>
      </c>
    </row>
    <row r="222" spans="1:11" x14ac:dyDescent="0.2">
      <c r="A222" s="128"/>
      <c r="B222" s="134" t="s">
        <v>500</v>
      </c>
      <c r="C222" s="135">
        <f>(3.805-0.0809*'Hypothèses '!C$52)*'Projection Effectifs'!D$35/18-C220</f>
        <v>0</v>
      </c>
      <c r="D222" s="135">
        <f>(3.805-0.0809*'Hypothèses '!D$52)*'Projection Effectifs'!E$35/18-D220</f>
        <v>0</v>
      </c>
      <c r="E222" s="135">
        <f>(3.805-0.0809*'Hypothèses '!E$52)*'Projection Effectifs'!F$35/18-E220</f>
        <v>105.48305555555557</v>
      </c>
      <c r="F222" s="135">
        <f>(3.805-0.0809*'Hypothèses '!F$52)*'Projection Effectifs'!G$35/18-F220</f>
        <v>113.09305555555557</v>
      </c>
      <c r="G222" s="135">
        <f>(3.805-0.0809*'Hypothèses '!G$52)*'Projection Effectifs'!H$35/18-G220</f>
        <v>116.47527777777779</v>
      </c>
      <c r="H222" s="135">
        <f>(3.805-0.0809*'Hypothèses '!H$52)*'Projection Effectifs'!I$35/18-H220</f>
        <v>116.89805555555556</v>
      </c>
      <c r="I222" s="135">
        <f>(3.805-0.0809*'Hypothèses '!I$52)*'Projection Effectifs'!J$35/18-I220</f>
        <v>115.62972222222223</v>
      </c>
      <c r="J222" s="135">
        <f>(3.805-0.0809*'Hypothèses '!J$52)*'Projection Effectifs'!K$35/18-J220</f>
        <v>109.49944444444445</v>
      </c>
      <c r="K222" s="135">
        <f>(3.805-0.0809*'Hypothèses '!K$52)*'Projection Effectifs'!L$35/18-K220</f>
        <v>110.55638888888889</v>
      </c>
    </row>
    <row r="223" spans="1:11" x14ac:dyDescent="0.2">
      <c r="A223" s="128"/>
      <c r="B223" s="134" t="s">
        <v>492</v>
      </c>
      <c r="C223" s="315">
        <f>IFERROR((IF(HLOOKUP(C$38,'Hypothèses '!$C$97:$K$100,4,FALSE)=1,VLOOKUP(C224,'Tables  Enseignants'!$B$43:$F$62,4,FALSE),VLOOKUP(C224,'Tables  Enseignants'!$B$43:$F$62,5,FALSE))),0)</f>
        <v>0</v>
      </c>
      <c r="D223" s="315">
        <f>IFERROR((IF('Hypothèses '!D$100=1,VLOOKUP('Hypothèses '!D$52,'Tables  Enseignants'!$B$43:$F$62,4,FALSE),VLOOKUP('Hypothèses '!D$52,'Tables  Enseignants'!$B$43:$F$62,5,FALSE))),0)</f>
        <v>0</v>
      </c>
      <c r="E223" s="315">
        <f>IFERROR((IF('Hypothèses '!E$100=1,VLOOKUP('Hypothèses '!E$52,'Tables  Enseignants'!$B$43:$F$62,4,FALSE),VLOOKUP('Hypothèses '!E$52,'Tables  Enseignants'!$B$43:$F$62,5,FALSE))),0)</f>
        <v>0</v>
      </c>
      <c r="F223" s="315">
        <f>IFERROR((IF('Hypothèses '!F$100=1,VLOOKUP('Hypothèses '!F$52,'Tables  Enseignants'!$B$43:$F$62,4,FALSE),VLOOKUP('Hypothèses '!F$52,'Tables  Enseignants'!$B$43:$F$62,5,FALSE))),0)</f>
        <v>0</v>
      </c>
      <c r="G223" s="315">
        <f>IFERROR((IF('Hypothèses '!G$100=1,VLOOKUP('Hypothèses '!G$52,'Tables  Enseignants'!$B$43:$F$62,4,FALSE),VLOOKUP('Hypothèses '!G$52,'Tables  Enseignants'!$B$43:$F$62,5,FALSE))),0)</f>
        <v>0</v>
      </c>
      <c r="H223" s="315">
        <f>IFERROR((IF('Hypothèses '!H$100=1,VLOOKUP('Hypothèses '!H$52,'Tables  Enseignants'!$B$43:$F$62,4,FALSE),VLOOKUP('Hypothèses '!H$52,'Tables  Enseignants'!$B$43:$F$62,5,FALSE))),0)</f>
        <v>0</v>
      </c>
      <c r="I223" s="315">
        <f>IFERROR((IF('Hypothèses '!I$100=1,VLOOKUP('Hypothèses '!I$52,'Tables  Enseignants'!$B$43:$F$62,4,FALSE),VLOOKUP('Hypothèses '!I$52,'Tables  Enseignants'!$B$43:$F$62,5,FALSE))),0)</f>
        <v>0</v>
      </c>
      <c r="J223" s="315">
        <f>IFERROR((IF('Hypothèses '!J$100=1,VLOOKUP('Hypothèses '!J$52,'Tables  Enseignants'!$B$43:$F$62,4,FALSE),VLOOKUP('Hypothèses '!J$52,'Tables  Enseignants'!$B$43:$F$62,5,FALSE))),0)</f>
        <v>0</v>
      </c>
      <c r="K223" s="315">
        <f>IFERROR((IF('Hypothèses '!K$100=1,VLOOKUP('Hypothèses '!K$52,'Tables  Enseignants'!$B$43:$F$62,4,FALSE),VLOOKUP('Hypothèses '!K$52,'Tables  Enseignants'!$B$43:$F$62,5,FALSE))),0)</f>
        <v>0</v>
      </c>
    </row>
    <row r="224" spans="1:11" x14ac:dyDescent="0.2">
      <c r="A224" s="128"/>
      <c r="B224" s="134" t="s">
        <v>651</v>
      </c>
      <c r="C224" s="378">
        <f>HLOOKUP(C$38,'Hypothèses '!$C$48:$K$52,5,FALSE)</f>
        <v>0</v>
      </c>
      <c r="D224" s="378">
        <f>HLOOKUP(D$38,'Hypothèses '!$C$48:$K$52,5,FALSE)</f>
        <v>366</v>
      </c>
      <c r="E224" s="378">
        <f>HLOOKUP(E$38,'Hypothèses '!$C$48:$K$52,5,FALSE)</f>
        <v>0</v>
      </c>
      <c r="F224" s="378">
        <f>HLOOKUP(F$38,'Hypothèses '!$C$48:$K$52,5,FALSE)</f>
        <v>0</v>
      </c>
      <c r="G224" s="378">
        <f>HLOOKUP(G$38,'Hypothèses '!$C$48:$K$52,5,FALSE)</f>
        <v>0</v>
      </c>
      <c r="H224" s="378">
        <f>HLOOKUP(H$38,'Hypothèses '!$C$48:$K$52,5,FALSE)</f>
        <v>0</v>
      </c>
      <c r="I224" s="378">
        <f>HLOOKUP(I$38,'Hypothèses '!$C$48:$K$52,5,FALSE)</f>
        <v>0</v>
      </c>
      <c r="J224" s="378">
        <f>HLOOKUP(J$38,'Hypothèses '!$C$48:$K$52,5,FALSE)</f>
        <v>0</v>
      </c>
      <c r="K224" s="378">
        <f>HLOOKUP(K$38,'Hypothèses '!$C$48:$K$52,5,FALSE)</f>
        <v>0</v>
      </c>
    </row>
    <row r="225" spans="1:11" x14ac:dyDescent="0.2">
      <c r="A225" s="128"/>
      <c r="B225" s="128"/>
      <c r="C225" s="138"/>
      <c r="D225" s="138"/>
      <c r="E225" s="138"/>
      <c r="F225" s="138"/>
      <c r="G225" s="138"/>
      <c r="H225" s="138"/>
      <c r="I225" s="138"/>
      <c r="J225" s="138"/>
      <c r="K225" s="138"/>
    </row>
    <row r="226" spans="1:11" x14ac:dyDescent="0.2">
      <c r="A226" s="129" t="s">
        <v>87</v>
      </c>
      <c r="B226" s="128"/>
      <c r="C226" s="136">
        <v>0</v>
      </c>
      <c r="D226" s="136">
        <v>0</v>
      </c>
      <c r="E226" s="136">
        <v>1</v>
      </c>
      <c r="F226" s="136">
        <v>2</v>
      </c>
      <c r="G226" s="136">
        <v>3</v>
      </c>
      <c r="H226" s="136">
        <v>4</v>
      </c>
      <c r="I226" s="136">
        <v>5</v>
      </c>
      <c r="J226" s="136">
        <v>6</v>
      </c>
      <c r="K226" s="136">
        <v>7</v>
      </c>
    </row>
    <row r="227" spans="1:11" ht="16" x14ac:dyDescent="0.2">
      <c r="A227" s="137" t="s">
        <v>113</v>
      </c>
      <c r="B227" s="128"/>
      <c r="C227" s="138"/>
      <c r="D227" s="139">
        <f>D173</f>
        <v>2024</v>
      </c>
      <c r="E227" s="139">
        <f>D227+1</f>
        <v>2025</v>
      </c>
      <c r="F227" s="139">
        <f t="shared" ref="F227:K227" si="42">E227+1</f>
        <v>2026</v>
      </c>
      <c r="G227" s="139">
        <f t="shared" si="42"/>
        <v>2027</v>
      </c>
      <c r="H227" s="139">
        <f t="shared" si="42"/>
        <v>2028</v>
      </c>
      <c r="I227" s="139">
        <f t="shared" si="42"/>
        <v>2029</v>
      </c>
      <c r="J227" s="139">
        <f t="shared" si="42"/>
        <v>2030</v>
      </c>
      <c r="K227" s="139">
        <f t="shared" si="42"/>
        <v>2031</v>
      </c>
    </row>
    <row r="228" spans="1:11" x14ac:dyDescent="0.2">
      <c r="A228" s="128" t="s">
        <v>67</v>
      </c>
      <c r="B228" s="128" t="str">
        <f>$B$6</f>
        <v>Chef d'Etablissement PDL</v>
      </c>
      <c r="C228" s="131"/>
      <c r="D228" s="132" t="e">
        <f>(C200*8/12+D200*4/12)*VLOOKUP($B228,'Hypothèses '!$B$106:$E$126,3,FALSE)</f>
        <v>#N/A</v>
      </c>
      <c r="E228" s="132" t="e">
        <f>(D200*8/12+E200*4/12)*VLOOKUP($B228,'Hypothèses '!$B$106:$E$126,3,FALSE)*(1+G$35)</f>
        <v>#N/A</v>
      </c>
      <c r="F228" s="132" t="e">
        <f>(E200*8/12+F200*4/12)*VLOOKUP($B228,'Hypothèses '!$B$106:$E$126,3,FALSE)*(1+F$35)*(1+G$35)</f>
        <v>#N/A</v>
      </c>
      <c r="G228" s="132" t="e">
        <f>(F200*8/12+G200*4/12)*VLOOKUP($B228,'Hypothèses '!$B$106:$E$126,3,FALSE)*(1+E$35)*(1+F$35)*(1+G$35)</f>
        <v>#N/A</v>
      </c>
      <c r="H228" s="132" t="e">
        <f>(G200*8/12+H200*4/12)*VLOOKUP($B228,'Hypothèses '!$B$106:$E$126,3,FALSE)*(1+E$35)*(1+F$35)*(1+G$35)*(1+H$35)</f>
        <v>#N/A</v>
      </c>
      <c r="I228" s="132" t="e">
        <f>(H200*8/12+I200*4/12)*VLOOKUP($B228,'Hypothèses '!$B$106:$E$126,3,FALSE)*(1+E$35)*(1+F$35)*(1+G$35)*(1+H$35)*(1+I$35)</f>
        <v>#N/A</v>
      </c>
      <c r="J228" s="132" t="e">
        <f>(I200*8/12+J200*4/12)*VLOOKUP($B228,'Hypothèses '!$B$106:$E$126,3,FALSE)*(1+E$35)*(1+F$35)*(1+G$35)*(1+H$35)*(1+I$35)*(1+J$35)</f>
        <v>#N/A</v>
      </c>
      <c r="K228" s="132" t="e">
        <f>(J200*8/12+K200*4/12)*VLOOKUP($B228,'Hypothèses '!$B$106:$E$126,3,FALSE)*(1+E$35)*(1+F$35)*(1+G$35)*(1+H$35)*(1+I$356)*(1+J$35)*(1+K$35)</f>
        <v>#N/A</v>
      </c>
    </row>
    <row r="229" spans="1:11" x14ac:dyDescent="0.2">
      <c r="A229" s="128"/>
      <c r="B229" s="128" t="str">
        <f>$B$7</f>
        <v>DAF PDL</v>
      </c>
      <c r="C229" s="131"/>
      <c r="D229" s="132" t="e">
        <f>(C201*8/12+D201*4/12)*VLOOKUP($B229,'Hypothèses '!$B$106:$E$126,3,FALSE)</f>
        <v>#N/A</v>
      </c>
      <c r="E229" s="132" t="e">
        <f>(D201*8/12+E201*4/12)*VLOOKUP($B229,'Hypothèses '!$B$106:$E$126,3,FALSE)*(1+G$35)</f>
        <v>#N/A</v>
      </c>
      <c r="F229" s="132" t="e">
        <f>(E201*8/12+F201*4/12)*VLOOKUP($B229,'Hypothèses '!$B$106:$E$126,3,FALSE)*(1+F$35)*(1+G$35)</f>
        <v>#N/A</v>
      </c>
      <c r="G229" s="132" t="e">
        <f>(F201*8/12+G201*4/12)*VLOOKUP($B229,'Hypothèses '!$B$106:$E$126,3,FALSE)*(1+E$35)*(1+F$35)*(1+G$35)</f>
        <v>#N/A</v>
      </c>
      <c r="H229" s="132" t="e">
        <f>(G201*8/12+H201*4/12)*VLOOKUP($B229,'Hypothèses '!$B$106:$E$126,3,FALSE)*(1+E$35)*(1+F$35)*(1+G$35)*(1+H$35)</f>
        <v>#N/A</v>
      </c>
      <c r="I229" s="132" t="e">
        <f>(H201*8/12+I201*4/12)*VLOOKUP($B229,'Hypothèses '!$B$106:$E$126,3,FALSE)*(1+E$35)*(1+F$35)*(1+G$35)*(1+H$35)*(1+I$35)</f>
        <v>#N/A</v>
      </c>
      <c r="J229" s="132" t="e">
        <f>(I201*8/12+J201*4/12)*VLOOKUP($B229,'Hypothèses '!$B$106:$E$126,3,FALSE)*(1+E$35)*(1+F$35)*(1+G$35)*(1+H$35)*(1+I$35)*(1+J$35)</f>
        <v>#N/A</v>
      </c>
      <c r="K229" s="132" t="e">
        <f>(J201*8/12+K201*4/12)*VLOOKUP($B229,'Hypothèses '!$B$106:$E$126,3,FALSE)*(1+E$35)*(1+F$35)*(1+G$35)*(1+H$35)*(1+I$356)*(1+J$35)*(1+K$35)</f>
        <v>#N/A</v>
      </c>
    </row>
    <row r="230" spans="1:11" x14ac:dyDescent="0.2">
      <c r="A230" s="128"/>
      <c r="B230" s="128" t="str">
        <f>$B$8</f>
        <v>DRH</v>
      </c>
      <c r="C230" s="131"/>
      <c r="D230" s="132">
        <f>(C202*8/12+D202*4/12)*VLOOKUP($B230,'Hypothèses '!$B$106:$E$126,3,FALSE)</f>
        <v>0</v>
      </c>
      <c r="E230" s="132">
        <f>(D202*8/12+E202*4/12)*VLOOKUP($B230,'Hypothèses '!$B$106:$E$126,3,FALSE)*(1+G$35)</f>
        <v>0</v>
      </c>
      <c r="F230" s="132">
        <f>(E202*8/12+F202*4/12)*VLOOKUP($B230,'Hypothèses '!$B$106:$E$126,3,FALSE)*(1+F$35)*(1+G$35)</f>
        <v>0</v>
      </c>
      <c r="G230" s="132">
        <f>(F202*8/12+G202*4/12)*VLOOKUP($B230,'Hypothèses '!$B$106:$E$126,3,FALSE)*(1+E$35)*(1+F$35)*(1+G$35)</f>
        <v>0</v>
      </c>
      <c r="H230" s="132">
        <f>(G202*8/12+H202*4/12)*VLOOKUP($B230,'Hypothèses '!$B$106:$E$126,3,FALSE)*(1+E$35)*(1+F$35)*(1+G$35)*(1+H$35)</f>
        <v>0</v>
      </c>
      <c r="I230" s="132">
        <f>(H202*8/12+I202*4/12)*VLOOKUP($B230,'Hypothèses '!$B$106:$E$126,3,FALSE)*(1+E$35)*(1+F$35)*(1+G$35)*(1+H$35)*(1+I$35)</f>
        <v>0</v>
      </c>
      <c r="J230" s="132">
        <f>(I202*8/12+J202*4/12)*VLOOKUP($B230,'Hypothèses '!$B$106:$E$126,3,FALSE)*(1+E$35)*(1+F$35)*(1+G$35)*(1+H$35)*(1+I$35)*(1+J$35)</f>
        <v>0</v>
      </c>
      <c r="K230" s="132">
        <f>(J202*8/12+K202*4/12)*VLOOKUP($B230,'Hypothèses '!$B$106:$E$126,3,FALSE)*(1+E$35)*(1+F$35)*(1+G$35)*(1+H$35)*(1+I$356)*(1+J$35)*(1+K$35)</f>
        <v>0</v>
      </c>
    </row>
    <row r="231" spans="1:11" x14ac:dyDescent="0.2">
      <c r="A231" s="128"/>
      <c r="B231" s="128" t="str">
        <f>$B$9</f>
        <v>Autre Administratif</v>
      </c>
      <c r="C231" s="131"/>
      <c r="D231" s="132">
        <f>(C203*8/12+D203*4/12)*VLOOKUP($B231,'Hypothèses '!$B$106:$E$126,3,FALSE)</f>
        <v>0</v>
      </c>
      <c r="E231" s="132">
        <f>(D203*8/12+E203*4/12)*VLOOKUP($B231,'Hypothèses '!$B$106:$E$126,3,FALSE)*(1+G$35)</f>
        <v>0</v>
      </c>
      <c r="F231" s="132">
        <f>(E203*8/12+F203*4/12)*VLOOKUP($B231,'Hypothèses '!$B$106:$E$126,3,FALSE)*(1+F$35)*(1+G$35)</f>
        <v>0</v>
      </c>
      <c r="G231" s="132">
        <f>(F203*8/12+G203*4/12)*VLOOKUP($B231,'Hypothèses '!$B$106:$E$126,3,FALSE)*(1+E$35)*(1+F$35)*(1+G$35)</f>
        <v>0</v>
      </c>
      <c r="H231" s="132">
        <f>(G203*8/12+H203*4/12)*VLOOKUP($B231,'Hypothèses '!$B$106:$E$126,3,FALSE)*(1+E$35)*(1+F$35)*(1+G$35)*(1+H$35)</f>
        <v>0</v>
      </c>
      <c r="I231" s="132">
        <f>(H203*8/12+I203*4/12)*VLOOKUP($B231,'Hypothèses '!$B$106:$E$126,3,FALSE)*(1+E$35)*(1+F$35)*(1+G$35)*(1+H$35)*(1+I$35)</f>
        <v>0</v>
      </c>
      <c r="J231" s="132">
        <f>(I203*8/12+J203*4/12)*VLOOKUP($B231,'Hypothèses '!$B$106:$E$126,3,FALSE)*(1+E$35)*(1+F$35)*(1+G$35)*(1+H$35)*(1+I$35)*(1+J$35)</f>
        <v>0</v>
      </c>
      <c r="K231" s="132">
        <f>(J203*8/12+K203*4/12)*VLOOKUP($B231,'Hypothèses '!$B$106:$E$126,3,FALSE)*(1+E$35)*(1+F$35)*(1+G$35)*(1+H$35)*(1+I$356)*(1+J$35)*(1+K$35)</f>
        <v>0</v>
      </c>
    </row>
    <row r="232" spans="1:11" x14ac:dyDescent="0.2">
      <c r="A232" s="128"/>
      <c r="B232" s="128" t="str">
        <f>$B$10</f>
        <v>Technique - Informatique - Maintenance</v>
      </c>
      <c r="C232" s="131"/>
      <c r="D232" s="132" t="e">
        <f>(C204*8/12+D204*4/12)*VLOOKUP($B232,'Hypothèses '!$B$106:$E$126,3,FALSE)</f>
        <v>#N/A</v>
      </c>
      <c r="E232" s="132" t="e">
        <f>(D204*8/12+E204*4/12)*VLOOKUP($B232,'Hypothèses '!$B$106:$E$126,3,FALSE)*(1+G$35)</f>
        <v>#N/A</v>
      </c>
      <c r="F232" s="132" t="e">
        <f>(E204*8/12+F204*4/12)*VLOOKUP($B232,'Hypothèses '!$B$106:$E$126,3,FALSE)*(1+F$35)*(1+G$35)</f>
        <v>#N/A</v>
      </c>
      <c r="G232" s="132" t="e">
        <f>(F204*8/12+G204*4/12)*VLOOKUP($B232,'Hypothèses '!$B$106:$E$126,3,FALSE)*(1+E$35)*(1+F$35)*(1+G$35)</f>
        <v>#N/A</v>
      </c>
      <c r="H232" s="132" t="e">
        <f>(G204*8/12+H204*4/12)*VLOOKUP($B232,'Hypothèses '!$B$106:$E$126,3,FALSE)*(1+E$35)*(1+F$35)*(1+G$35)*(1+H$35)</f>
        <v>#N/A</v>
      </c>
      <c r="I232" s="132" t="e">
        <f>(H204*8/12+I204*4/12)*VLOOKUP($B232,'Hypothèses '!$B$106:$E$126,3,FALSE)*(1+E$35)*(1+F$35)*(1+G$35)*(1+H$35)*(1+I$35)</f>
        <v>#N/A</v>
      </c>
      <c r="J232" s="132" t="e">
        <f>(I204*8/12+J204*4/12)*VLOOKUP($B232,'Hypothèses '!$B$106:$E$126,3,FALSE)*(1+E$35)*(1+F$35)*(1+G$35)*(1+H$35)*(1+I$35)*(1+J$35)</f>
        <v>#N/A</v>
      </c>
      <c r="K232" s="132" t="e">
        <f>(J204*8/12+K204*4/12)*VLOOKUP($B232,'Hypothèses '!$B$106:$E$126,3,FALSE)*(1+E$35)*(1+F$35)*(1+G$35)*(1+H$35)*(1+I$356)*(1+J$35)*(1+K$35)</f>
        <v>#N/A</v>
      </c>
    </row>
    <row r="233" spans="1:11" x14ac:dyDescent="0.2">
      <c r="A233" s="128"/>
      <c r="B233" s="128" t="str">
        <f>$B$11</f>
        <v>Entretien / Sécurité</v>
      </c>
      <c r="C233" s="131"/>
      <c r="D233" s="132">
        <f>(C205*8/12+D205*4/12)*VLOOKUP($B233,'Hypothèses '!$B$106:$E$126,3,FALSE)</f>
        <v>0</v>
      </c>
      <c r="E233" s="132">
        <f>(D205*8/12+E205*4/12)*VLOOKUP($B233,'Hypothèses '!$B$106:$E$126,3,FALSE)*(1+G$35)</f>
        <v>0</v>
      </c>
      <c r="F233" s="132">
        <f>(E205*8/12+F205*4/12)*VLOOKUP($B233,'Hypothèses '!$B$106:$E$126,3,FALSE)*(1+F$35)*(1+G$35)</f>
        <v>0</v>
      </c>
      <c r="G233" s="132">
        <f>(F205*8/12+G205*4/12)*VLOOKUP($B233,'Hypothèses '!$B$106:$E$126,3,FALSE)*(1+E$35)*(1+F$35)*(1+G$35)</f>
        <v>0</v>
      </c>
      <c r="H233" s="132">
        <f>(G205*8/12+H205*4/12)*VLOOKUP($B233,'Hypothèses '!$B$106:$E$126,3,FALSE)*(1+E$35)*(1+F$35)*(1+G$35)*(1+H$35)</f>
        <v>0</v>
      </c>
      <c r="I233" s="132">
        <f>(H205*8/12+I205*4/12)*VLOOKUP($B233,'Hypothèses '!$B$106:$E$126,3,FALSE)*(1+E$35)*(1+F$35)*(1+G$35)*(1+H$35)*(1+I$35)</f>
        <v>0</v>
      </c>
      <c r="J233" s="132">
        <f>(I205*8/12+J205*4/12)*VLOOKUP($B233,'Hypothèses '!$B$106:$E$126,3,FALSE)*(1+E$35)*(1+F$35)*(1+G$35)*(1+H$35)*(1+I$35)*(1+J$35)</f>
        <v>0</v>
      </c>
      <c r="K233" s="132">
        <f>(J205*8/12+K205*4/12)*VLOOKUP($B233,'Hypothèses '!$B$106:$E$126,3,FALSE)*(1+E$35)*(1+F$35)*(1+G$35)*(1+H$35)*(1+I$356)*(1+J$35)*(1+K$35)</f>
        <v>0</v>
      </c>
    </row>
    <row r="234" spans="1:11" x14ac:dyDescent="0.2">
      <c r="A234" s="128"/>
      <c r="B234" s="128" t="str">
        <f>$B$12</f>
        <v>Documentation</v>
      </c>
      <c r="C234" s="131"/>
      <c r="D234" s="132">
        <f>(C206*8/12+D206*4/12)*VLOOKUP($B234,'Hypothèses '!$B$106:$E$126,3,FALSE)</f>
        <v>0</v>
      </c>
      <c r="E234" s="132">
        <f>(D206*8/12+E206*4/12)*VLOOKUP($B234,'Hypothèses '!$B$106:$E$126,3,FALSE)*(1+G$35)</f>
        <v>0</v>
      </c>
      <c r="F234" s="132">
        <f>(E206*8/12+F206*4/12)*VLOOKUP($B234,'Hypothèses '!$B$106:$E$126,3,FALSE)*(1+F$35)*(1+G$35)</f>
        <v>0</v>
      </c>
      <c r="G234" s="132">
        <f>(F206*8/12+G206*4/12)*VLOOKUP($B234,'Hypothèses '!$B$106:$E$126,3,FALSE)*(1+E$35)*(1+F$35)*(1+G$35)</f>
        <v>0</v>
      </c>
      <c r="H234" s="132">
        <f>(G206*8/12+H206*4/12)*VLOOKUP($B234,'Hypothèses '!$B$106:$E$126,3,FALSE)*(1+E$35)*(1+F$35)*(1+G$35)*(1+H$35)</f>
        <v>0</v>
      </c>
      <c r="I234" s="132">
        <f>(H206*8/12+I206*4/12)*VLOOKUP($B234,'Hypothèses '!$B$106:$E$126,3,FALSE)*(1+E$35)*(1+F$35)*(1+G$35)*(1+H$35)*(1+I$35)</f>
        <v>0</v>
      </c>
      <c r="J234" s="132">
        <f>(I206*8/12+J206*4/12)*VLOOKUP($B234,'Hypothèses '!$B$106:$E$126,3,FALSE)*(1+E$35)*(1+F$35)*(1+G$35)*(1+H$35)*(1+I$35)*(1+J$35)</f>
        <v>0</v>
      </c>
      <c r="K234" s="132">
        <f>(J206*8/12+K206*4/12)*VLOOKUP($B234,'Hypothèses '!$B$106:$E$126,3,FALSE)*(1+E$35)*(1+F$35)*(1+G$35)*(1+H$35)*(1+I$356)*(1+J$35)*(1+K$35)</f>
        <v>0</v>
      </c>
    </row>
    <row r="235" spans="1:11" x14ac:dyDescent="0.2">
      <c r="A235" s="128"/>
      <c r="B235" s="128" t="str">
        <f>$B$13</f>
        <v>Autre commun</v>
      </c>
      <c r="C235" s="131"/>
      <c r="D235" s="132">
        <f>(C207*8/12+D207*4/12)*VLOOKUP($B235,'Hypothèses '!$B$106:$E$126,3,FALSE)</f>
        <v>0</v>
      </c>
      <c r="E235" s="132">
        <f>(D207*8/12+E207*4/12)*VLOOKUP($B235,'Hypothèses '!$B$106:$E$126,3,FALSE)*(1+G$35)</f>
        <v>0</v>
      </c>
      <c r="F235" s="132">
        <f>(E207*8/12+F207*4/12)*VLOOKUP($B235,'Hypothèses '!$B$106:$E$126,3,FALSE)*(1+F$35)*(1+G$35)</f>
        <v>0</v>
      </c>
      <c r="G235" s="132">
        <f>(F207*8/12+G207*4/12)*VLOOKUP($B235,'Hypothèses '!$B$106:$E$126,3,FALSE)*(1+E$35)*(1+F$35)*(1+G$35)</f>
        <v>0</v>
      </c>
      <c r="H235" s="132">
        <f>(G207*8/12+H207*4/12)*VLOOKUP($B235,'Hypothèses '!$B$106:$E$126,3,FALSE)*(1+E$35)*(1+F$35)*(1+G$35)*(1+H$35)</f>
        <v>0</v>
      </c>
      <c r="I235" s="132">
        <f>(H207*8/12+I207*4/12)*VLOOKUP($B235,'Hypothèses '!$B$106:$E$126,3,FALSE)*(1+E$35)*(1+F$35)*(1+G$35)*(1+H$35)*(1+I$35)</f>
        <v>0</v>
      </c>
      <c r="J235" s="132">
        <f>(I207*8/12+J207*4/12)*VLOOKUP($B235,'Hypothèses '!$B$106:$E$126,3,FALSE)*(1+E$35)*(1+F$35)*(1+G$35)*(1+H$35)*(1+I$35)*(1+J$35)</f>
        <v>0</v>
      </c>
      <c r="K235" s="132">
        <f>(J207*8/12+K207*4/12)*VLOOKUP($B235,'Hypothèses '!$B$106:$E$126,3,FALSE)*(1+E$35)*(1+F$35)*(1+G$35)*(1+H$35)*(1+I$356)*(1+J$35)*(1+K$35)</f>
        <v>0</v>
      </c>
    </row>
    <row r="236" spans="1:11" x14ac:dyDescent="0.2">
      <c r="A236" s="128"/>
      <c r="B236" s="128"/>
      <c r="C236" s="131"/>
      <c r="D236" s="132"/>
      <c r="E236" s="132"/>
      <c r="F236" s="132"/>
      <c r="G236" s="132"/>
      <c r="H236" s="132"/>
      <c r="I236" s="132"/>
      <c r="J236" s="132"/>
      <c r="K236" s="132"/>
    </row>
    <row r="237" spans="1:11" x14ac:dyDescent="0.2">
      <c r="A237" s="128" t="s">
        <v>127</v>
      </c>
      <c r="B237" s="128" t="str">
        <f>$B$25</f>
        <v>Proviseur adjoint PDL</v>
      </c>
      <c r="C237" s="131"/>
      <c r="D237" s="132" t="e">
        <f>(C210*8/12+D210*4/12)*VLOOKUP($B237,'Hypothèses '!$B$106:$E$126,3,FALSE)</f>
        <v>#N/A</v>
      </c>
      <c r="E237" s="132" t="e">
        <f>(D210*8/12+E210*4/12)*VLOOKUP($B237,'Hypothèses '!$B$106:$E$126,3,FALSE)*(1+G$35)</f>
        <v>#N/A</v>
      </c>
      <c r="F237" s="132" t="e">
        <f>(E210*8/12+F210*4/12)*VLOOKUP($B237,'Hypothèses '!$B$106:$E$126,3,FALSE)*(1+F$35)*(1+G$35)</f>
        <v>#N/A</v>
      </c>
      <c r="G237" s="132" t="e">
        <f>(F210*8/12+G210*4/12)*VLOOKUP($B237,'Hypothèses '!$B$106:$E$126,3,FALSE)*(1+E$35)*(1+F$35)*(1+G$35)</f>
        <v>#N/A</v>
      </c>
      <c r="H237" s="132" t="e">
        <f>(G210*8/12+H210*4/12)*VLOOKUP($B237,'Hypothèses '!$B$106:$E$126,3,FALSE)*(1+E$35)*(1+F$35)*(1+G$35)*(1+H$35)</f>
        <v>#N/A</v>
      </c>
      <c r="I237" s="132" t="e">
        <f>(H210*8/12+I210*4/12)*VLOOKUP($B237,'Hypothèses '!$B$106:$E$126,3,FALSE)*(1+E$35)*(1+F$35)*(1+G$35)*(1+H$35)*(1+I$35)</f>
        <v>#N/A</v>
      </c>
      <c r="J237" s="132" t="e">
        <f>(I210*8/12+J210*4/12)*VLOOKUP($B237,'Hypothèses '!$B$106:$E$126,3,FALSE)*(1+E$35)*(1+F$35)*(1+G$35)*(1+H$35)*(1+I$35)*(1+J$35)</f>
        <v>#N/A</v>
      </c>
      <c r="K237" s="132" t="e">
        <f>(J210*8/12+K210*4/12)*VLOOKUP($B237,'Hypothèses '!$B$106:$E$126,3,FALSE)*(1+E$35)*(1+F$35)*(1+G$35)*(1+H$35)*(1+I$356)*(1+J$35)*(1+K$35)</f>
        <v>#N/A</v>
      </c>
    </row>
    <row r="238" spans="1:11" x14ac:dyDescent="0.2">
      <c r="A238" s="128"/>
      <c r="B238" s="128" t="str">
        <f>$B$26</f>
        <v>CPE (Conseiller Principal d'Education) PDL</v>
      </c>
      <c r="C238" s="131"/>
      <c r="D238" s="132">
        <f>(C211*8/12+D211*4/12)*VLOOKUP($B238,'Hypothèses '!$B$106:$E$126,3,FALSE)</f>
        <v>0</v>
      </c>
      <c r="E238" s="132">
        <f>(D211*8/12+E211*4/12)*VLOOKUP($B238,'Hypothèses '!$B$106:$E$126,3,FALSE)*(1+G$35)</f>
        <v>0</v>
      </c>
      <c r="F238" s="132">
        <f>(E211*8/12+F211*4/12)*VLOOKUP($B238,'Hypothèses '!$B$106:$E$126,3,FALSE)*(1+F$35)*(1+G$35)</f>
        <v>0</v>
      </c>
      <c r="G238" s="132">
        <f>(F211*8/12+G211*4/12)*VLOOKUP($B238,'Hypothèses '!$B$106:$E$126,3,FALSE)*(1+E$35)*(1+F$35)*(1+G$35)</f>
        <v>0</v>
      </c>
      <c r="H238" s="132">
        <f>(G211*8/12+H211*4/12)*VLOOKUP($B238,'Hypothèses '!$B$106:$E$126,3,FALSE)*(1+E$35)*(1+F$35)*(1+G$35)*(1+H$35)</f>
        <v>0</v>
      </c>
      <c r="I238" s="132">
        <f>(H211*8/12+I211*4/12)*VLOOKUP($B238,'Hypothèses '!$B$106:$E$126,3,FALSE)*(1+E$35)*(1+F$35)*(1+G$35)*(1+H$35)*(1+I$35)</f>
        <v>0</v>
      </c>
      <c r="J238" s="132">
        <f>(I211*8/12+J211*4/12)*VLOOKUP($B238,'Hypothèses '!$B$106:$E$126,3,FALSE)*(1+E$35)*(1+F$35)*(1+G$35)*(1+H$35)*(1+I$35)*(1+J$35)</f>
        <v>0</v>
      </c>
      <c r="K238" s="132">
        <f>(J211*8/12+K211*4/12)*VLOOKUP($B238,'Hypothèses '!$B$106:$E$126,3,FALSE)*(1+E$35)*(1+F$35)*(1+G$35)*(1+H$35)*(1+I$356)*(1+J$35)*(1+K$35)</f>
        <v>0</v>
      </c>
    </row>
    <row r="239" spans="1:11" x14ac:dyDescent="0.2">
      <c r="A239" s="128"/>
      <c r="B239" s="128" t="str">
        <f>$B$27</f>
        <v>Vie scolaire  - Educateurs</v>
      </c>
      <c r="C239" s="131"/>
      <c r="D239" s="132">
        <f>(C212*8/12+D212*4/12)*VLOOKUP($B239,'Hypothèses '!$B$106:$E$126,3,FALSE)</f>
        <v>0</v>
      </c>
      <c r="E239" s="132">
        <f>(D212*8/12+E212*4/12)*VLOOKUP($B239,'Hypothèses '!$B$106:$E$126,3,FALSE)*(1+G$35)</f>
        <v>0</v>
      </c>
      <c r="F239" s="132">
        <f>(E212*8/12+F212*4/12)*VLOOKUP($B239,'Hypothèses '!$B$106:$E$126,3,FALSE)*(1+F$35)*(1+G$35)</f>
        <v>0</v>
      </c>
      <c r="G239" s="132">
        <f>(F212*8/12+G212*4/12)*VLOOKUP($B239,'Hypothèses '!$B$106:$E$126,3,FALSE)*(1+E$35)*(1+F$35)*(1+G$35)</f>
        <v>0</v>
      </c>
      <c r="H239" s="132">
        <f>(G212*8/12+H212*4/12)*VLOOKUP($B239,'Hypothèses '!$B$106:$E$126,3,FALSE)*(1+E$35)*(1+F$35)*(1+G$35)*(1+H$35)</f>
        <v>0</v>
      </c>
      <c r="I239" s="132">
        <f>(H212*8/12+I212*4/12)*VLOOKUP($B239,'Hypothèses '!$B$106:$E$126,3,FALSE)*(1+E$35)*(1+F$35)*(1+G$35)*(1+H$35)*(1+I$35)</f>
        <v>0</v>
      </c>
      <c r="J239" s="132">
        <f>(I212*8/12+J212*4/12)*VLOOKUP($B239,'Hypothèses '!$B$106:$E$126,3,FALSE)*(1+E$35)*(1+F$35)*(1+G$35)*(1+H$35)*(1+I$35)*(1+J$35)</f>
        <v>0</v>
      </c>
      <c r="K239" s="132">
        <f>(J212*8/12+K212*4/12)*VLOOKUP($B239,'Hypothèses '!$B$106:$E$126,3,FALSE)*(1+E$35)*(1+F$35)*(1+G$35)*(1+H$35)*(1+I$356)*(1+J$35)*(1+K$35)</f>
        <v>0</v>
      </c>
    </row>
    <row r="240" spans="1:11" x14ac:dyDescent="0.2">
      <c r="A240" s="128"/>
      <c r="B240" s="128" t="str">
        <f>$B$28</f>
        <v>Documentation</v>
      </c>
      <c r="C240" s="131"/>
      <c r="D240" s="132">
        <f>(C213*8/12+D213*4/12)*VLOOKUP($B240,'Hypothèses '!$B$106:$E$126,3,FALSE)</f>
        <v>0</v>
      </c>
      <c r="E240" s="132">
        <f>(D213*8/12+E213*4/12)*VLOOKUP($B240,'Hypothèses '!$B$106:$E$126,3,FALSE)*(1+G$35)</f>
        <v>0</v>
      </c>
      <c r="F240" s="132">
        <f>(E213*8/12+F213*4/12)*VLOOKUP($B240,'Hypothèses '!$B$106:$E$126,3,FALSE)*(1+F$35)*(1+G$35)</f>
        <v>0</v>
      </c>
      <c r="G240" s="132">
        <f>(F213*8/12+G213*4/12)*VLOOKUP($B240,'Hypothèses '!$B$106:$E$126,3,FALSE)*(1+E$35)*(1+F$35)*(1+G$35)</f>
        <v>0</v>
      </c>
      <c r="H240" s="132">
        <f>(G213*8/12+H213*4/12)*VLOOKUP($B240,'Hypothèses '!$B$106:$E$126,3,FALSE)*(1+E$35)*(1+F$35)*(1+G$35)*(1+H$35)</f>
        <v>0</v>
      </c>
      <c r="I240" s="132">
        <f>(H213*8/12+I213*4/12)*VLOOKUP($B240,'Hypothèses '!$B$106:$E$126,3,FALSE)*(1+E$35)*(1+F$35)*(1+G$35)*(1+H$35)*(1+I$35)</f>
        <v>0</v>
      </c>
      <c r="J240" s="132">
        <f>(I213*8/12+J213*4/12)*VLOOKUP($B240,'Hypothèses '!$B$106:$E$126,3,FALSE)*(1+E$35)*(1+F$35)*(1+G$35)*(1+H$35)*(1+I$35)*(1+J$35)</f>
        <v>0</v>
      </c>
      <c r="K240" s="132">
        <f>(J213*8/12+K213*4/12)*VLOOKUP($B240,'Hypothèses '!$B$106:$E$126,3,FALSE)*(1+E$35)*(1+F$35)*(1+G$35)*(1+H$35)*(1+I$356)*(1+J$35)*(1+K$35)</f>
        <v>0</v>
      </c>
    </row>
    <row r="241" spans="1:11" x14ac:dyDescent="0.2">
      <c r="A241" s="128"/>
      <c r="B241" s="128" t="str">
        <f>$B$29</f>
        <v>Infirmière</v>
      </c>
      <c r="C241" s="131"/>
      <c r="D241" s="132">
        <f>(C214*8/12+D214*4/12)*VLOOKUP($B241,'Hypothèses '!$B$106:$E$126,3,FALSE)</f>
        <v>0</v>
      </c>
      <c r="E241" s="132">
        <f>(D214*8/12+E214*4/12)*VLOOKUP($B241,'Hypothèses '!$B$106:$E$126,3,FALSE)*(1+G$35)</f>
        <v>0</v>
      </c>
      <c r="F241" s="132">
        <f>(E214*8/12+F214*4/12)*VLOOKUP($B241,'Hypothèses '!$B$106:$E$126,3,FALSE)*(1+F$35)*(1+G$35)</f>
        <v>0</v>
      </c>
      <c r="G241" s="132">
        <f>(F214*8/12+G214*4/12)*VLOOKUP($B241,'Hypothèses '!$B$106:$E$126,3,FALSE)*(1+E$35)*(1+F$35)*(1+G$35)</f>
        <v>0</v>
      </c>
      <c r="H241" s="132">
        <f>(G214*8/12+H214*4/12)*VLOOKUP($B241,'Hypothèses '!$B$106:$E$126,3,FALSE)*(1+E$35)*(1+F$35)*(1+G$35)*(1+H$35)</f>
        <v>0</v>
      </c>
      <c r="I241" s="132">
        <f>(H214*8/12+I214*4/12)*VLOOKUP($B241,'Hypothèses '!$B$106:$E$126,3,FALSE)*(1+E$35)*(1+F$35)*(1+G$35)*(1+H$35)*(1+I$35)</f>
        <v>0</v>
      </c>
      <c r="J241" s="132">
        <f>(I214*8/12+J214*4/12)*VLOOKUP($B241,'Hypothèses '!$B$106:$E$126,3,FALSE)*(1+E$35)*(1+F$35)*(1+G$35)*(1+H$35)*(1+I$35)*(1+J$35)</f>
        <v>0</v>
      </c>
      <c r="K241" s="132">
        <f>(J214*8/12+K214*4/12)*VLOOKUP($B241,'Hypothèses '!$B$106:$E$126,3,FALSE)*(1+E$35)*(1+F$35)*(1+G$35)*(1+H$35)*(1+I$356)*(1+J$35)*(1+K$35)</f>
        <v>0</v>
      </c>
    </row>
    <row r="242" spans="1:11" x14ac:dyDescent="0.2">
      <c r="A242" s="128"/>
      <c r="B242" s="128" t="str">
        <f>$B$30</f>
        <v>Laboratoire</v>
      </c>
      <c r="C242" s="131"/>
      <c r="D242" s="132">
        <f>(C215*8/12+D215*4/12)*VLOOKUP($B242,'Hypothèses '!$B$106:$E$126,3,FALSE)</f>
        <v>0</v>
      </c>
      <c r="E242" s="132">
        <f>(D215*8/12+E215*4/12)*VLOOKUP($B242,'Hypothèses '!$B$106:$E$126,3,FALSE)*(1+G$35)</f>
        <v>0</v>
      </c>
      <c r="F242" s="132">
        <f>(E215*8/12+F215*4/12)*VLOOKUP($B242,'Hypothèses '!$B$106:$E$126,3,FALSE)*(1+F$35)*(1+G$35)</f>
        <v>0</v>
      </c>
      <c r="G242" s="132">
        <f>(F215*8/12+G215*4/12)*VLOOKUP($B242,'Hypothèses '!$B$106:$E$126,3,FALSE)*(1+E$35)*(1+F$35)*(1+G$35)</f>
        <v>0</v>
      </c>
      <c r="H242" s="132">
        <f>(G215*8/12+H215*4/12)*VLOOKUP($B242,'Hypothèses '!$B$106:$E$126,3,FALSE)*(1+E$35)*(1+F$35)*(1+G$35)*(1+H$35)</f>
        <v>0</v>
      </c>
      <c r="I242" s="132">
        <f>(H215*8/12+I215*4/12)*VLOOKUP($B242,'Hypothèses '!$B$106:$E$126,3,FALSE)*(1+E$35)*(1+F$35)*(1+G$35)*(1+H$35)*(1+I$35)</f>
        <v>0</v>
      </c>
      <c r="J242" s="132">
        <f>(I215*8/12+J215*4/12)*VLOOKUP($B242,'Hypothèses '!$B$106:$E$126,3,FALSE)*(1+E$35)*(1+F$35)*(1+G$35)*(1+H$35)*(1+I$35)*(1+J$35)</f>
        <v>0</v>
      </c>
      <c r="K242" s="132">
        <f>(J215*8/12+K215*4/12)*VLOOKUP($B242,'Hypothèses '!$B$106:$E$126,3,FALSE)*(1+E$35)*(1+F$35)*(1+G$35)*(1+H$35)*(1+I$356)*(1+J$35)*(1+K$35)</f>
        <v>0</v>
      </c>
    </row>
    <row r="243" spans="1:11" x14ac:dyDescent="0.2">
      <c r="A243" s="128"/>
      <c r="B243" s="128" t="str">
        <f>$B$31</f>
        <v>Orientation</v>
      </c>
      <c r="C243" s="131"/>
      <c r="D243" s="132">
        <f>(C216*8/12+D216*4/12)*VLOOKUP($B243,'Hypothèses '!$B$106:$E$126,3,FALSE)</f>
        <v>0</v>
      </c>
      <c r="E243" s="132">
        <f>(D216*8/12+E216*4/12)*VLOOKUP($B243,'Hypothèses '!$B$106:$E$126,3,FALSE)*(1+G$35)</f>
        <v>0</v>
      </c>
      <c r="F243" s="132">
        <f>(E216*8/12+F216*4/12)*VLOOKUP($B243,'Hypothèses '!$B$106:$E$126,3,FALSE)*(1+F$35)*(1+G$35)</f>
        <v>0</v>
      </c>
      <c r="G243" s="132">
        <f>(F216*8/12+G216*4/12)*VLOOKUP($B243,'Hypothèses '!$B$106:$E$126,3,FALSE)*(1+E$35)*(1+F$35)*(1+G$35)</f>
        <v>0</v>
      </c>
      <c r="H243" s="132">
        <f>(G216*8/12+H216*4/12)*VLOOKUP($B243,'Hypothèses '!$B$106:$E$126,3,FALSE)*(1+E$35)*(1+F$35)*(1+G$35)*(1+H$35)</f>
        <v>0</v>
      </c>
      <c r="I243" s="132">
        <f>(H216*8/12+I216*4/12)*VLOOKUP($B243,'Hypothèses '!$B$106:$E$126,3,FALSE)*(1+E$35)*(1+F$35)*(1+G$35)*(1+H$35)*(1+I$35)</f>
        <v>0</v>
      </c>
      <c r="J243" s="132">
        <f>(I216*8/12+J216*4/12)*VLOOKUP($B243,'Hypothèses '!$B$106:$E$126,3,FALSE)*(1+E$35)*(1+F$35)*(1+G$35)*(1+H$35)*(1+I$35)*(1+J$35)</f>
        <v>0</v>
      </c>
      <c r="K243" s="132">
        <f>(J216*8/12+K216*4/12)*VLOOKUP($B243,'Hypothèses '!$B$106:$E$126,3,FALSE)*(1+E$35)*(1+F$35)*(1+G$35)*(1+H$35)*(1+I$356)*(1+J$35)*(1+K$35)</f>
        <v>0</v>
      </c>
    </row>
    <row r="244" spans="1:11" x14ac:dyDescent="0.2">
      <c r="A244" s="128"/>
      <c r="B244" s="128" t="str">
        <f>$B$32</f>
        <v>Autre secondaire commun</v>
      </c>
      <c r="C244" s="138"/>
      <c r="D244" s="132">
        <f>(C217*8/12+D217*4/12)*VLOOKUP($B244,'Hypothèses '!$B$106:$E$126,3,FALSE)</f>
        <v>0</v>
      </c>
      <c r="E244" s="132">
        <f>(D217*8/12+E217*4/12)*VLOOKUP($B244,'Hypothèses '!$B$106:$E$126,3,FALSE)*(1+G$35)</f>
        <v>0</v>
      </c>
      <c r="F244" s="132">
        <f>(E217*8/12+F217*4/12)*VLOOKUP($B244,'Hypothèses '!$B$106:$E$126,3,FALSE)*(1+F$35)*(1+G$35)</f>
        <v>0</v>
      </c>
      <c r="G244" s="132">
        <f>(F217*8/12+G217*4/12)*VLOOKUP($B244,'Hypothèses '!$B$106:$E$126,3,FALSE)*(1+E$35)*(1+F$35)*(1+G$35)</f>
        <v>0</v>
      </c>
      <c r="H244" s="132">
        <f>(G217*8/12+H217*4/12)*VLOOKUP($B244,'Hypothèses '!$B$106:$E$126,3,FALSE)*(1+E$35)*(1+F$35)*(1+G$35)*(1+H$35)</f>
        <v>0</v>
      </c>
      <c r="I244" s="132">
        <f>(H217*8/12+I217*4/12)*VLOOKUP($B244,'Hypothèses '!$B$106:$E$126,3,FALSE)*(1+E$35)*(1+F$35)*(1+G$35)*(1+H$35)*(1+I$35)</f>
        <v>0</v>
      </c>
      <c r="J244" s="132">
        <f>(I217*8/12+J217*4/12)*VLOOKUP($B244,'Hypothèses '!$B$106:$E$126,3,FALSE)*(1+E$35)*(1+F$35)*(1+G$35)*(1+H$35)*(1+I$35)*(1+J$35)</f>
        <v>0</v>
      </c>
      <c r="K244" s="132">
        <f>(J217*8/12+K217*4/12)*VLOOKUP($B244,'Hypothèses '!$B$106:$E$126,3,FALSE)*(1+E$35)*(1+F$35)*(1+G$35)*(1+H$35)*(1+I$356)*(1+J$35)*(1+K$35)</f>
        <v>0</v>
      </c>
    </row>
    <row r="245" spans="1:11" x14ac:dyDescent="0.2">
      <c r="A245" s="128"/>
      <c r="B245" s="128"/>
      <c r="C245" s="138"/>
      <c r="D245" s="138"/>
      <c r="E245" s="138"/>
      <c r="F245" s="138"/>
      <c r="G245" s="138"/>
      <c r="H245" s="138"/>
      <c r="I245" s="138"/>
      <c r="J245" s="138"/>
      <c r="K245" s="138"/>
    </row>
    <row r="246" spans="1:11" x14ac:dyDescent="0.2">
      <c r="A246" s="129" t="s">
        <v>89</v>
      </c>
      <c r="B246" s="128" t="str">
        <f>B220</f>
        <v>Enseignants Détachés</v>
      </c>
      <c r="C246" s="132"/>
      <c r="D246" s="132">
        <f>(D220*(('Calcul Cout Détaché'!$B$12*(D$36+'Calcul Cout Détaché'!$G$11)*1)+'Calcul Cout Détaché'!$H$12))/D$37</f>
        <v>0</v>
      </c>
      <c r="E246" s="132">
        <f>(E220*(('Calcul Cout Détaché'!$B$12*(E$36+'Calcul Cout Détaché'!$G$11)*(1.03^E$67))+'Calcul Cout Détaché'!$H$12))/E$37</f>
        <v>0</v>
      </c>
      <c r="F246" s="132">
        <f>(F220*(('Calcul Cout Détaché'!$B$12*('Hypothèses '!F$40+'Calcul Cout Détaché'!$G$11)*(1.03^F$67))+'Calcul Cout Détaché'!$H$12))/'Hypothèses '!F$38</f>
        <v>0</v>
      </c>
      <c r="G246" s="132">
        <f>(G220*(('Calcul Cout Détaché'!$B$12*('Hypothèses '!G$40+'Calcul Cout Détaché'!$G$11)*(1.03^G$67))+'Calcul Cout Détaché'!$H$12))/'Hypothèses '!G$38</f>
        <v>0</v>
      </c>
      <c r="H246" s="132">
        <f>(H220*(('Calcul Cout Détaché'!$B$12*('Hypothèses '!H$40+'Calcul Cout Détaché'!$G$11)*(1.03^H$67))+'Calcul Cout Détaché'!$H$12))/'Hypothèses '!H$38</f>
        <v>0</v>
      </c>
      <c r="I246" s="132">
        <f>(I220*(('Calcul Cout Détaché'!$B$12*('Hypothèses '!I$40+'Calcul Cout Détaché'!$G$11)*(1.03^I$67))+'Calcul Cout Détaché'!$H$12))/'Hypothèses '!I$38</f>
        <v>0</v>
      </c>
      <c r="J246" s="132">
        <f>(J220*(('Calcul Cout Détaché'!$B$12*('Hypothèses '!J$40+'Calcul Cout Détaché'!$G$11)*(1.03^J$67))+'Calcul Cout Détaché'!$H$12))/'Hypothèses '!J$38</f>
        <v>0</v>
      </c>
      <c r="K246" s="132">
        <f>(K220*(('Calcul Cout Détaché'!$B$12*('Hypothèses '!K$40+'Calcul Cout Détaché'!$G$11)*(1.03^K$67))+'Calcul Cout Détaché'!$H$12))/'Hypothèses '!K$38</f>
        <v>0</v>
      </c>
    </row>
    <row r="247" spans="1:11" x14ac:dyDescent="0.2">
      <c r="A247" s="128"/>
      <c r="B247" s="128" t="s">
        <v>83</v>
      </c>
      <c r="C247" s="131"/>
      <c r="D247" s="132">
        <f>(C221*8/12+D221*4/12)*VLOOKUP($B247,'Hypothèses '!$B$106:$E$126,3,FALSE)</f>
        <v>0</v>
      </c>
      <c r="E247" s="132">
        <f>(D221*8/12+E221*4/12)*VLOOKUP($B247,'Hypothèses '!$B$106:$E$126,3,FALSE)*(1+G$35)</f>
        <v>0</v>
      </c>
      <c r="F247" s="132">
        <f>(E221*8/12+F221*4/12)*VLOOKUP($B247,'Hypothèses '!$B$106:$E$126,3,FALSE)*(1+F$35)*(1+G$35)</f>
        <v>0</v>
      </c>
      <c r="G247" s="132">
        <f>(F221*8/12+G221*4/12)*VLOOKUP($B247,'Hypothèses '!$B$106:$E$126,3,FALSE)*(1+E$35)*(1+F$35)*(1+G$35)</f>
        <v>0</v>
      </c>
      <c r="H247" s="132">
        <f>(G221*8/12+H221*4/12)*VLOOKUP($B247,'Hypothèses '!$B$106:$E$126,3,FALSE)*(1+E$35)*(1+F$35)*(1+G$35)*(1+H$35)</f>
        <v>0</v>
      </c>
      <c r="I247" s="132">
        <f>(H221*8/12+I221*4/12)*VLOOKUP($B247,'Hypothèses '!$B$106:$E$126,3,FALSE)*(1+E$35)*(1+F$35)*(1+G$35)*(1+H$35)*(1+I$35)</f>
        <v>0</v>
      </c>
      <c r="J247" s="132">
        <f>(I221*8/12+J221*4/12)*VLOOKUP($B247,'Hypothèses '!$B$106:$E$126,3,FALSE)*(1+E$35)*(1+F$35)*(1+G$35)*(1+H$35)*(1+I$35)*(1+J$35)</f>
        <v>0</v>
      </c>
      <c r="K247" s="132">
        <f>(J221*8/12+K221*4/12)*VLOOKUP($B247,'Hypothèses '!$B$106:$E$126,3,FALSE)*(1+E$35)*(1+F$35)*(1+G$35)*(1+H$35)*(1+I$356)*(1+J$35)*(1+K$35)</f>
        <v>0</v>
      </c>
    </row>
  </sheetData>
  <phoneticPr fontId="29"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049D0-5FBF-48B7-997A-555D85A5C2D9}">
  <dimension ref="A2:M187"/>
  <sheetViews>
    <sheetView showGridLines="0" topLeftCell="A10" workbookViewId="0">
      <selection activeCell="E16" sqref="E16"/>
    </sheetView>
  </sheetViews>
  <sheetFormatPr baseColWidth="10" defaultRowHeight="15" x14ac:dyDescent="0.2"/>
  <cols>
    <col min="1" max="1" width="15.1640625" customWidth="1"/>
    <col min="2" max="2" width="36" customWidth="1"/>
    <col min="3" max="3" width="19.33203125" bestFit="1" customWidth="1"/>
    <col min="4" max="10" width="14.5" customWidth="1"/>
    <col min="11" max="11" width="12.33203125" bestFit="1" customWidth="1"/>
  </cols>
  <sheetData>
    <row r="2" spans="1:11" ht="21" x14ac:dyDescent="0.25">
      <c r="A2" s="180" t="s">
        <v>506</v>
      </c>
    </row>
    <row r="3" spans="1:11" ht="21" x14ac:dyDescent="0.25">
      <c r="A3" s="180" t="s">
        <v>603</v>
      </c>
    </row>
    <row r="4" spans="1:11" ht="21" x14ac:dyDescent="0.25">
      <c r="A4" s="147"/>
      <c r="C4" s="175">
        <f>'Hypothèses '!$C$9</f>
        <v>2024</v>
      </c>
      <c r="D4" s="175">
        <f>C4+1</f>
        <v>2025</v>
      </c>
      <c r="E4" s="175">
        <f t="shared" ref="E4:J4" si="0">D4+1</f>
        <v>2026</v>
      </c>
      <c r="F4" s="175">
        <f t="shared" si="0"/>
        <v>2027</v>
      </c>
      <c r="G4" s="175">
        <f t="shared" si="0"/>
        <v>2028</v>
      </c>
      <c r="H4" s="175">
        <f t="shared" si="0"/>
        <v>2029</v>
      </c>
      <c r="I4" s="175">
        <f t="shared" si="0"/>
        <v>2030</v>
      </c>
      <c r="J4" s="175">
        <f t="shared" si="0"/>
        <v>2031</v>
      </c>
    </row>
    <row r="5" spans="1:11" ht="19" x14ac:dyDescent="0.25">
      <c r="A5" s="159" t="s">
        <v>548</v>
      </c>
    </row>
    <row r="6" spans="1:11" ht="16" x14ac:dyDescent="0.2">
      <c r="A6" s="156" t="s">
        <v>536</v>
      </c>
      <c r="B6" s="47"/>
      <c r="C6" s="157" t="e">
        <f>C15-C60</f>
        <v>#N/A</v>
      </c>
      <c r="D6" s="157" t="e">
        <f t="shared" ref="D6:J6" si="1">D15-D60</f>
        <v>#N/A</v>
      </c>
      <c r="E6" s="157" t="e">
        <f t="shared" si="1"/>
        <v>#N/A</v>
      </c>
      <c r="F6" s="157" t="e">
        <f t="shared" si="1"/>
        <v>#N/A</v>
      </c>
      <c r="G6" s="157" t="e">
        <f t="shared" si="1"/>
        <v>#N/A</v>
      </c>
      <c r="H6" s="157" t="e">
        <f t="shared" si="1"/>
        <v>#N/A</v>
      </c>
      <c r="I6" s="157" t="e">
        <f t="shared" si="1"/>
        <v>#N/A</v>
      </c>
      <c r="J6" s="157" t="e">
        <f t="shared" si="1"/>
        <v>#N/A</v>
      </c>
    </row>
    <row r="7" spans="1:11" ht="16" x14ac:dyDescent="0.2">
      <c r="A7" s="177" t="s">
        <v>533</v>
      </c>
      <c r="B7" s="178"/>
      <c r="C7" s="179" t="e">
        <f>C24-C84</f>
        <v>#N/A</v>
      </c>
      <c r="D7" s="179" t="e">
        <f t="shared" ref="D7:J7" si="2">D24-D84</f>
        <v>#N/A</v>
      </c>
      <c r="E7" s="179" t="e">
        <f t="shared" si="2"/>
        <v>#N/A</v>
      </c>
      <c r="F7" s="179" t="e">
        <f t="shared" si="2"/>
        <v>#N/A</v>
      </c>
      <c r="G7" s="179" t="e">
        <f t="shared" si="2"/>
        <v>#N/A</v>
      </c>
      <c r="H7" s="179" t="e">
        <f t="shared" si="2"/>
        <v>#N/A</v>
      </c>
      <c r="I7" s="179" t="e">
        <f t="shared" si="2"/>
        <v>#N/A</v>
      </c>
      <c r="J7" s="179" t="e">
        <f t="shared" si="2"/>
        <v>#N/A</v>
      </c>
    </row>
    <row r="8" spans="1:11" ht="16" x14ac:dyDescent="0.2">
      <c r="A8" s="94" t="s">
        <v>88</v>
      </c>
      <c r="B8" s="68"/>
      <c r="C8" s="151" t="e">
        <f>C32-C110</f>
        <v>#N/A</v>
      </c>
      <c r="D8" s="151" t="e">
        <f t="shared" ref="D8:J8" si="3">D32-D110</f>
        <v>#N/A</v>
      </c>
      <c r="E8" s="151" t="e">
        <f t="shared" si="3"/>
        <v>#N/A</v>
      </c>
      <c r="F8" s="151" t="e">
        <f t="shared" si="3"/>
        <v>#N/A</v>
      </c>
      <c r="G8" s="151" t="e">
        <f t="shared" si="3"/>
        <v>#N/A</v>
      </c>
      <c r="H8" s="151" t="e">
        <f t="shared" si="3"/>
        <v>#N/A</v>
      </c>
      <c r="I8" s="151" t="e">
        <f t="shared" si="3"/>
        <v>#N/A</v>
      </c>
      <c r="J8" s="151" t="e">
        <f t="shared" si="3"/>
        <v>#N/A</v>
      </c>
    </row>
    <row r="9" spans="1:11" ht="16" x14ac:dyDescent="0.2">
      <c r="A9" s="120" t="s">
        <v>126</v>
      </c>
      <c r="B9" s="99"/>
      <c r="C9" s="152" t="e">
        <f>C40-C136</f>
        <v>#N/A</v>
      </c>
      <c r="D9" s="152" t="e">
        <f t="shared" ref="D9:J9" si="4">D40-D136</f>
        <v>#N/A</v>
      </c>
      <c r="E9" s="152" t="e">
        <f t="shared" si="4"/>
        <v>#N/A</v>
      </c>
      <c r="F9" s="152" t="e">
        <f t="shared" si="4"/>
        <v>#N/A</v>
      </c>
      <c r="G9" s="152" t="e">
        <f t="shared" si="4"/>
        <v>#N/A</v>
      </c>
      <c r="H9" s="152" t="e">
        <f t="shared" si="4"/>
        <v>#N/A</v>
      </c>
      <c r="I9" s="152" t="e">
        <f t="shared" si="4"/>
        <v>#N/A</v>
      </c>
      <c r="J9" s="152" t="e">
        <f t="shared" si="4"/>
        <v>#N/A</v>
      </c>
    </row>
    <row r="10" spans="1:11" ht="16" x14ac:dyDescent="0.2">
      <c r="A10" s="137" t="s">
        <v>498</v>
      </c>
      <c r="B10" s="128"/>
      <c r="C10" s="153" t="e">
        <f>C48-C162</f>
        <v>#N/A</v>
      </c>
      <c r="D10" s="153" t="e">
        <f t="shared" ref="D10:J10" si="5">D48-D162</f>
        <v>#N/A</v>
      </c>
      <c r="E10" s="153" t="e">
        <f t="shared" si="5"/>
        <v>#N/A</v>
      </c>
      <c r="F10" s="153" t="e">
        <f t="shared" si="5"/>
        <v>#N/A</v>
      </c>
      <c r="G10" s="153" t="e">
        <f t="shared" si="5"/>
        <v>#N/A</v>
      </c>
      <c r="H10" s="153" t="e">
        <f t="shared" si="5"/>
        <v>#N/A</v>
      </c>
      <c r="I10" s="153" t="e">
        <f t="shared" si="5"/>
        <v>#N/A</v>
      </c>
      <c r="J10" s="153" t="e">
        <f t="shared" si="5"/>
        <v>#N/A</v>
      </c>
    </row>
    <row r="11" spans="1:11" x14ac:dyDescent="0.2">
      <c r="A11" s="147"/>
    </row>
    <row r="12" spans="1:11" x14ac:dyDescent="0.2">
      <c r="D12" s="27"/>
      <c r="E12" s="27"/>
      <c r="F12" s="27"/>
      <c r="G12" s="27"/>
      <c r="H12" s="27"/>
      <c r="I12" s="27"/>
      <c r="J12" s="27"/>
    </row>
    <row r="13" spans="1:11" ht="21" x14ac:dyDescent="0.25">
      <c r="A13" s="159" t="s">
        <v>514</v>
      </c>
      <c r="C13" s="175">
        <f>'Hypothèses '!$C$9</f>
        <v>2024</v>
      </c>
      <c r="D13" s="175">
        <f>C13+1</f>
        <v>2025</v>
      </c>
      <c r="E13" s="175">
        <f t="shared" ref="E13:J13" si="6">D13+1</f>
        <v>2026</v>
      </c>
      <c r="F13" s="175">
        <f t="shared" si="6"/>
        <v>2027</v>
      </c>
      <c r="G13" s="175">
        <f t="shared" si="6"/>
        <v>2028</v>
      </c>
      <c r="H13" s="175">
        <f t="shared" si="6"/>
        <v>2029</v>
      </c>
      <c r="I13" s="175">
        <f t="shared" si="6"/>
        <v>2030</v>
      </c>
      <c r="J13" s="175">
        <f t="shared" si="6"/>
        <v>2031</v>
      </c>
    </row>
    <row r="14" spans="1:11" ht="16" x14ac:dyDescent="0.2">
      <c r="A14" t="s">
        <v>519</v>
      </c>
      <c r="C14" s="61"/>
      <c r="D14" s="61"/>
      <c r="E14" s="61"/>
      <c r="F14" s="61"/>
      <c r="G14" s="61"/>
      <c r="H14" s="61"/>
      <c r="I14" s="61"/>
      <c r="J14" s="61"/>
    </row>
    <row r="15" spans="1:11" ht="16" x14ac:dyDescent="0.2">
      <c r="A15" s="156" t="s">
        <v>536</v>
      </c>
      <c r="B15" s="47"/>
      <c r="C15" s="157">
        <f>SUM(C20:C23)</f>
        <v>0</v>
      </c>
      <c r="D15" s="157">
        <f t="shared" ref="D15:J15" si="7">SUM(D20:D23)</f>
        <v>0</v>
      </c>
      <c r="E15" s="157">
        <f>SUM(E20:E23)</f>
        <v>205625000</v>
      </c>
      <c r="F15" s="157">
        <f t="shared" si="7"/>
        <v>198515000</v>
      </c>
      <c r="G15" s="157">
        <f t="shared" si="7"/>
        <v>195685000</v>
      </c>
      <c r="H15" s="157">
        <f t="shared" si="7"/>
        <v>195980000</v>
      </c>
      <c r="I15" s="157">
        <f t="shared" si="7"/>
        <v>195680000</v>
      </c>
      <c r="J15" s="157">
        <f t="shared" si="7"/>
        <v>193545000</v>
      </c>
      <c r="K15" s="275"/>
    </row>
    <row r="16" spans="1:11" x14ac:dyDescent="0.2">
      <c r="A16" s="156"/>
      <c r="B16" s="344" t="s">
        <v>664</v>
      </c>
      <c r="C16" s="345">
        <f>HLOOKUP(VLOOKUP(C$13,'table années scolaires'!$C$17:$E$27,2,FALSE),'Hypothèses '!$C$19:$K$29,10,FALSE)</f>
        <v>0</v>
      </c>
      <c r="D16" s="345">
        <f>HLOOKUP(VLOOKUP(D$13,'table années scolaires'!$C$17:$E$27,2,FALSE),'Hypothèses '!$C$19:$K$29,10,FALSE)</f>
        <v>0.1</v>
      </c>
      <c r="E16" s="345">
        <f>HLOOKUP(VLOOKUP(E$13,'table années scolaires'!$C$17:$E$27,2,FALSE),'Hypothèses '!$C$19:$K$29,10,FALSE)</f>
        <v>0.1</v>
      </c>
      <c r="F16" s="345">
        <f>HLOOKUP(VLOOKUP(F$13,'table années scolaires'!$C$17:$E$27,2,FALSE),'Hypothèses '!$C$19:$K$29,10,FALSE)</f>
        <v>0.1</v>
      </c>
      <c r="G16" s="345">
        <f>HLOOKUP(VLOOKUP(G$13,'table années scolaires'!$C$17:$E$27,2,FALSE),'Hypothèses '!$C$19:$K$29,10,FALSE)</f>
        <v>0.1</v>
      </c>
      <c r="H16" s="345">
        <f>HLOOKUP(VLOOKUP(H$13,'table années scolaires'!$C$17:$E$27,2,FALSE),'Hypothèses '!$C$19:$K$29,10,FALSE)</f>
        <v>0.1</v>
      </c>
      <c r="I16" s="345">
        <f>HLOOKUP(VLOOKUP(I$13,'table années scolaires'!$C$17:$E$27,2,FALSE),'Hypothèses '!$C$19:$K$29,10,FALSE)</f>
        <v>0.1</v>
      </c>
      <c r="J16" s="345">
        <f>HLOOKUP(VLOOKUP(J$13,'table années scolaires'!$C$17:$E$27,2,FALSE),'Hypothèses '!$C$19:$K$29,10,FALSE)</f>
        <v>0.1</v>
      </c>
      <c r="K16" s="275"/>
    </row>
    <row r="17" spans="1:11" x14ac:dyDescent="0.2">
      <c r="A17" s="156"/>
      <c r="B17" s="346" t="s">
        <v>665</v>
      </c>
      <c r="C17" s="345">
        <f>HLOOKUP(VLOOKUP(C$13,'table années scolaires'!$C$17:$E$27,2,FALSE),'Hypothèses '!$C$19:$K$29,11,FALSE)</f>
        <v>0</v>
      </c>
      <c r="D17" s="345">
        <f>HLOOKUP(VLOOKUP(D$13,'table années scolaires'!$C$17:$E$27,2,FALSE),'Hypothèses '!$C$19:$K$29,11,FALSE)</f>
        <v>0.06</v>
      </c>
      <c r="E17" s="345">
        <f>HLOOKUP(VLOOKUP(E$13,'table années scolaires'!$C$17:$E$27,2,FALSE),'Hypothèses '!$C$19:$K$29,11,FALSE)</f>
        <v>0.06</v>
      </c>
      <c r="F17" s="345">
        <f>HLOOKUP(VLOOKUP(F$13,'table années scolaires'!$C$17:$E$27,2,FALSE),'Hypothèses '!$C$19:$K$29,11,FALSE)</f>
        <v>0.06</v>
      </c>
      <c r="G17" s="345">
        <f>HLOOKUP(VLOOKUP(G$13,'table années scolaires'!$C$17:$E$27,2,FALSE),'Hypothèses '!$C$19:$K$29,11,FALSE)</f>
        <v>0.06</v>
      </c>
      <c r="H17" s="345">
        <f>HLOOKUP(VLOOKUP(H$13,'table années scolaires'!$C$17:$E$27,2,FALSE),'Hypothèses '!$C$19:$K$29,11,FALSE)</f>
        <v>0.06</v>
      </c>
      <c r="I17" s="345">
        <f>HLOOKUP(VLOOKUP(I$13,'table années scolaires'!$C$17:$E$27,2,FALSE),'Hypothèses '!$C$19:$K$29,11,FALSE)</f>
        <v>0.06</v>
      </c>
      <c r="J17" s="345">
        <f>HLOOKUP(VLOOKUP(J$13,'table années scolaires'!$C$17:$E$27,2,FALSE),'Hypothèses '!$C$19:$K$29,11,FALSE)</f>
        <v>0.06</v>
      </c>
      <c r="K17" s="275"/>
    </row>
    <row r="18" spans="1:11" x14ac:dyDescent="0.2">
      <c r="A18" s="156"/>
      <c r="B18" s="344" t="s">
        <v>508</v>
      </c>
      <c r="C18" s="347">
        <f>HLOOKUP(VLOOKUP(C$13,'table années scolaires'!$C$17:$E$27,2,FALSE),'Hypothèses '!$C$19:$K$26,3,FALSE)</f>
        <v>0</v>
      </c>
      <c r="D18" s="347">
        <f>HLOOKUP(VLOOKUP(D$13,'table années scolaires'!$C$17:$E$27,2,FALSE),'Hypothèses '!$C$19:$K$26,3,FALSE)</f>
        <v>0</v>
      </c>
      <c r="E18" s="347">
        <f>HLOOKUP(VLOOKUP(E$13,'table années scolaires'!$C$17:$E$27,2,FALSE),'Hypothèses '!$C$19:$K$26,3,FALSE)</f>
        <v>500000</v>
      </c>
      <c r="F18" s="347">
        <f>HLOOKUP(VLOOKUP(F$13,'table années scolaires'!$C$17:$E$27,2,FALSE),'Hypothèses '!$C$19:$K$26,3,FALSE)</f>
        <v>500000</v>
      </c>
      <c r="G18" s="347">
        <f>HLOOKUP(VLOOKUP(G$13,'table années scolaires'!$C$17:$E$27,2,FALSE),'Hypothèses '!$C$19:$K$26,3,FALSE)</f>
        <v>500000</v>
      </c>
      <c r="H18" s="347">
        <f>HLOOKUP(VLOOKUP(H$13,'table années scolaires'!$C$17:$E$27,2,FALSE),'Hypothèses '!$C$19:$K$26,3,FALSE)</f>
        <v>500000</v>
      </c>
      <c r="I18" s="347">
        <f>HLOOKUP(VLOOKUP(I$13,'table années scolaires'!$C$17:$E$27,2,FALSE),'Hypothèses '!$C$19:$K$26,3,FALSE)</f>
        <v>500000</v>
      </c>
      <c r="J18" s="347">
        <f>HLOOKUP(VLOOKUP(J$13,'table années scolaires'!$C$17:$E$27,2,FALSE),'Hypothèses '!$C$19:$K$26,3,FALSE)</f>
        <v>500000</v>
      </c>
      <c r="K18" s="275"/>
    </row>
    <row r="19" spans="1:11" x14ac:dyDescent="0.2">
      <c r="A19" s="156"/>
      <c r="B19" s="344" t="s">
        <v>663</v>
      </c>
      <c r="C19" s="347">
        <f>HLOOKUP(VLOOKUP(C$13,'table années scolaires'!$C$17:$E$27,2,FALSE),'Hypothèses '!$C$19:$K$26,2,FALSE)</f>
        <v>0</v>
      </c>
      <c r="D19" s="347">
        <f>HLOOKUP(VLOOKUP(D$13,'table années scolaires'!$C$17:$E$27,2,FALSE),'Hypothèses '!$C$19:$K$26,2,FALSE)</f>
        <v>0</v>
      </c>
      <c r="E19" s="347">
        <f>HLOOKUP(VLOOKUP(E$13,'table années scolaires'!$C$17:$E$27,2,FALSE),'Hypothèses '!$C$19:$K$26,2,FALSE)</f>
        <v>65000</v>
      </c>
      <c r="F19" s="347">
        <f>HLOOKUP(VLOOKUP(F$13,'table années scolaires'!$C$17:$E$27,2,FALSE),'Hypothèses '!$C$19:$K$26,2,FALSE)</f>
        <v>65000</v>
      </c>
      <c r="G19" s="347">
        <f>HLOOKUP(VLOOKUP(G$13,'table années scolaires'!$C$17:$E$27,2,FALSE),'Hypothèses '!$C$19:$K$26,2,FALSE)</f>
        <v>65000</v>
      </c>
      <c r="H19" s="347">
        <f>HLOOKUP(VLOOKUP(H$13,'table années scolaires'!$C$17:$E$27,2,FALSE),'Hypothèses '!$C$19:$K$26,2,FALSE)</f>
        <v>65000</v>
      </c>
      <c r="I19" s="347">
        <f>HLOOKUP(VLOOKUP(I$13,'table années scolaires'!$C$17:$E$27,2,FALSE),'Hypothèses '!$C$19:$K$26,2,FALSE)</f>
        <v>65000</v>
      </c>
      <c r="J19" s="347">
        <f>HLOOKUP(VLOOKUP(J$13,'table années scolaires'!$C$17:$E$27,2,FALSE),'Hypothèses '!$C$19:$K$26,2,FALSE)</f>
        <v>65000</v>
      </c>
      <c r="K19" s="275"/>
    </row>
    <row r="20" spans="1:11" x14ac:dyDescent="0.2">
      <c r="A20" s="156"/>
      <c r="B20" s="47" t="s">
        <v>507</v>
      </c>
      <c r="C20" s="158">
        <f t="shared" ref="C20:J22" si="8">C29+C37+C45+C53</f>
        <v>0</v>
      </c>
      <c r="D20" s="158">
        <f t="shared" si="8"/>
        <v>0</v>
      </c>
      <c r="E20" s="158">
        <f t="shared" si="8"/>
        <v>0</v>
      </c>
      <c r="F20" s="158">
        <f t="shared" si="8"/>
        <v>0</v>
      </c>
      <c r="G20" s="158">
        <f t="shared" si="8"/>
        <v>0</v>
      </c>
      <c r="H20" s="158">
        <f t="shared" si="8"/>
        <v>0</v>
      </c>
      <c r="I20" s="158">
        <f t="shared" si="8"/>
        <v>0</v>
      </c>
      <c r="J20" s="158">
        <f t="shared" si="8"/>
        <v>0</v>
      </c>
    </row>
    <row r="21" spans="1:11" x14ac:dyDescent="0.2">
      <c r="A21" s="156"/>
      <c r="B21" s="47" t="s">
        <v>508</v>
      </c>
      <c r="C21" s="158">
        <f t="shared" si="8"/>
        <v>0</v>
      </c>
      <c r="D21" s="158">
        <f t="shared" si="8"/>
        <v>0</v>
      </c>
      <c r="E21" s="158">
        <f t="shared" si="8"/>
        <v>90250000</v>
      </c>
      <c r="F21" s="158">
        <f t="shared" si="8"/>
        <v>87430000</v>
      </c>
      <c r="G21" s="158">
        <f t="shared" si="8"/>
        <v>85250000</v>
      </c>
      <c r="H21" s="158">
        <f t="shared" si="8"/>
        <v>85090000</v>
      </c>
      <c r="I21" s="158">
        <f t="shared" si="8"/>
        <v>85180000</v>
      </c>
      <c r="J21" s="158">
        <f t="shared" si="8"/>
        <v>84540000</v>
      </c>
    </row>
    <row r="22" spans="1:11" x14ac:dyDescent="0.2">
      <c r="A22" s="156"/>
      <c r="B22" s="47" t="s">
        <v>509</v>
      </c>
      <c r="C22" s="158">
        <f t="shared" si="8"/>
        <v>0</v>
      </c>
      <c r="D22" s="158">
        <f t="shared" si="8"/>
        <v>0</v>
      </c>
      <c r="E22" s="158">
        <f t="shared" si="8"/>
        <v>115375000</v>
      </c>
      <c r="F22" s="158">
        <f t="shared" si="8"/>
        <v>111085000</v>
      </c>
      <c r="G22" s="158">
        <f t="shared" si="8"/>
        <v>110435000</v>
      </c>
      <c r="H22" s="158">
        <f t="shared" si="8"/>
        <v>110890000</v>
      </c>
      <c r="I22" s="158">
        <f t="shared" si="8"/>
        <v>110500000</v>
      </c>
      <c r="J22" s="158">
        <f t="shared" si="8"/>
        <v>109005000</v>
      </c>
    </row>
    <row r="23" spans="1:11" x14ac:dyDescent="0.2">
      <c r="A23" s="156"/>
      <c r="B23" s="47" t="s">
        <v>614</v>
      </c>
      <c r="C23" s="158">
        <f>HLOOKUP(C13,'Hypothèses '!$D$148:$K$149,2,FALSE)</f>
        <v>0</v>
      </c>
      <c r="D23" s="158">
        <f>HLOOKUP(D13,'Hypothèses '!$D$148:$K$149,2,FALSE)</f>
        <v>0</v>
      </c>
      <c r="E23" s="158">
        <f>HLOOKUP(E13,'Hypothèses '!$D$148:$K$149,2,FALSE)</f>
        <v>0</v>
      </c>
      <c r="F23" s="158">
        <f>HLOOKUP(F13,'Hypothèses '!$D$148:$K$149,2,FALSE)</f>
        <v>0</v>
      </c>
      <c r="G23" s="158">
        <f>HLOOKUP(G13,'Hypothèses '!$D$148:$K$149,2,FALSE)</f>
        <v>0</v>
      </c>
      <c r="H23" s="158">
        <f>HLOOKUP(H13,'Hypothèses '!$D$148:$K$149,2,FALSE)</f>
        <v>0</v>
      </c>
      <c r="I23" s="158">
        <f>HLOOKUP(I13,'Hypothèses '!$D$148:$K$149,2,FALSE)</f>
        <v>0</v>
      </c>
      <c r="J23" s="158">
        <f>HLOOKUP(J13,'Hypothèses '!$D$148:$K$149,2,FALSE)</f>
        <v>0</v>
      </c>
    </row>
    <row r="24" spans="1:11" ht="16" x14ac:dyDescent="0.2">
      <c r="A24" s="86" t="s">
        <v>533</v>
      </c>
      <c r="B24" s="65"/>
      <c r="C24" s="150">
        <f>SUM(C29:C31)</f>
        <v>0</v>
      </c>
      <c r="D24" s="150">
        <f t="shared" ref="D24:J24" si="9">SUM(D29:D31)</f>
        <v>0</v>
      </c>
      <c r="E24" s="150">
        <f t="shared" si="9"/>
        <v>25330000</v>
      </c>
      <c r="F24" s="150">
        <f t="shared" si="9"/>
        <v>22210000</v>
      </c>
      <c r="G24" s="150">
        <f t="shared" si="9"/>
        <v>26100000</v>
      </c>
      <c r="H24" s="150">
        <f t="shared" si="9"/>
        <v>32700000</v>
      </c>
      <c r="I24" s="150">
        <f t="shared" si="9"/>
        <v>39600000</v>
      </c>
      <c r="J24" s="150">
        <f t="shared" si="9"/>
        <v>41400000</v>
      </c>
    </row>
    <row r="25" spans="1:11" x14ac:dyDescent="0.2">
      <c r="A25" s="86"/>
      <c r="B25" s="336" t="s">
        <v>659</v>
      </c>
      <c r="C25" s="337">
        <f>HLOOKUP(VLOOKUP(C$13,'table années scolaires'!$C$17:$E$27,2,FALSE),'Projection Effectifs'!$C$31:$M$36,2,FALSE)</f>
        <v>0</v>
      </c>
      <c r="D25" s="337">
        <f>HLOOKUP(VLOOKUP(D$13,'table années scolaires'!$C$17:$E$27,2,FALSE),'Projection Effectifs'!$C$31:$M$36,2,FALSE)</f>
        <v>293</v>
      </c>
      <c r="E25" s="337">
        <f>HLOOKUP(VLOOKUP(E$13,'table années scolaires'!$C$17:$E$27,2,FALSE),'Projection Effectifs'!$C$31:$M$36,2,FALSE)</f>
        <v>272</v>
      </c>
      <c r="F25" s="337">
        <f>HLOOKUP(VLOOKUP(F$13,'table années scolaires'!$C$17:$E$27,2,FALSE),'Projection Effectifs'!$C$31:$M$36,2,FALSE)</f>
        <v>202</v>
      </c>
      <c r="G25" s="337">
        <f>HLOOKUP(VLOOKUP(G$13,'table années scolaires'!$C$17:$E$27,2,FALSE),'Projection Effectifs'!$C$31:$M$36,2,FALSE)</f>
        <v>190</v>
      </c>
      <c r="H25" s="337">
        <f>HLOOKUP(VLOOKUP(H$13,'table années scolaires'!$C$17:$E$27,2,FALSE),'Projection Effectifs'!$C$31:$M$36,2,FALSE)</f>
        <v>240</v>
      </c>
      <c r="I25" s="337">
        <f>HLOOKUP(VLOOKUP(I$13,'table années scolaires'!$C$17:$E$27,2,FALSE),'Projection Effectifs'!$C$31:$M$36,2,FALSE)</f>
        <v>300</v>
      </c>
      <c r="J25" s="337">
        <f>HLOOKUP(VLOOKUP(J$13,'table années scolaires'!$C$17:$E$27,2,FALSE),'Projection Effectifs'!$C$31:$M$36,2,FALSE)</f>
        <v>360</v>
      </c>
    </row>
    <row r="26" spans="1:11" x14ac:dyDescent="0.2">
      <c r="A26" s="86"/>
      <c r="B26" s="336" t="s">
        <v>660</v>
      </c>
      <c r="C26" s="337">
        <f>HLOOKUP(VLOOKUP(C$13,'table années scolaires'!$C$17:$E$27,3,FALSE),'Projection Effectifs'!$C$31:$M$36,2,FALSE)</f>
        <v>293</v>
      </c>
      <c r="D26" s="337">
        <f>HLOOKUP(VLOOKUP(D$13,'table années scolaires'!$C$17:$E$27,3,FALSE),'Projection Effectifs'!$C$31:$M$36,2,FALSE)</f>
        <v>272</v>
      </c>
      <c r="E26" s="337">
        <f>HLOOKUP(VLOOKUP(E$13,'table années scolaires'!$C$17:$E$27,3,FALSE),'Projection Effectifs'!$C$31:$M$36,2,FALSE)</f>
        <v>202</v>
      </c>
      <c r="F26" s="337">
        <f>HLOOKUP(VLOOKUP(F$13,'table années scolaires'!$C$17:$E$27,3,FALSE),'Projection Effectifs'!$C$31:$M$36,2,FALSE)</f>
        <v>190</v>
      </c>
      <c r="G26" s="337">
        <f>HLOOKUP(VLOOKUP(G$13,'table années scolaires'!$C$17:$E$27,3,FALSE),'Projection Effectifs'!$C$31:$M$36,2,FALSE)</f>
        <v>240</v>
      </c>
      <c r="H26" s="337">
        <f>HLOOKUP(VLOOKUP(H$13,'table années scolaires'!$C$17:$E$27,3,FALSE),'Projection Effectifs'!$C$31:$M$36,2,FALSE)</f>
        <v>300</v>
      </c>
      <c r="I26" s="337">
        <f>HLOOKUP(VLOOKUP(I$13,'table années scolaires'!$C$17:$E$27,3,FALSE),'Projection Effectifs'!$C$31:$M$36,2,FALSE)</f>
        <v>360</v>
      </c>
      <c r="J26" s="337">
        <f>HLOOKUP(VLOOKUP(J$13,'table années scolaires'!$C$17:$E$27,3,FALSE),'Projection Effectifs'!$C$31:$M$36,2,FALSE)</f>
        <v>360</v>
      </c>
    </row>
    <row r="27" spans="1:11" x14ac:dyDescent="0.2">
      <c r="A27" s="86"/>
      <c r="B27" s="336" t="s">
        <v>661</v>
      </c>
      <c r="C27" s="337">
        <f>HLOOKUP(VLOOKUP(C$13,'table années scolaires'!$C$17:$E$27,2,FALSE),'Hypothèses '!$C$19:$K$26,5,FALSE)</f>
        <v>0</v>
      </c>
      <c r="D27" s="337">
        <f>HLOOKUP(VLOOKUP(D$13,'table années scolaires'!$C$17:$E$27,2,FALSE),'Hypothèses '!$C$19:$K$26,5,FALSE)</f>
        <v>0</v>
      </c>
      <c r="E27" s="337">
        <f>HLOOKUP(VLOOKUP(E$13,'table années scolaires'!$C$17:$E$27,2,FALSE),'Hypothèses '!$C$19:$K$26,5,FALSE)</f>
        <v>0</v>
      </c>
      <c r="F27" s="337">
        <f>HLOOKUP(VLOOKUP(F$13,'table années scolaires'!$C$17:$E$27,2,FALSE),'Hypothèses '!$C$19:$K$26,5,FALSE)</f>
        <v>0</v>
      </c>
      <c r="G27" s="337">
        <f>HLOOKUP(VLOOKUP(G$13,'table années scolaires'!$C$17:$E$27,2,FALSE),'Hypothèses '!$C$19:$K$26,5,FALSE)</f>
        <v>0</v>
      </c>
      <c r="H27" s="337">
        <f>HLOOKUP(VLOOKUP(H$13,'table années scolaires'!$C$17:$E$27,2,FALSE),'Hypothèses '!$C$19:$K$26,5,FALSE)</f>
        <v>0</v>
      </c>
      <c r="I27" s="337">
        <f>HLOOKUP(VLOOKUP(I$13,'table années scolaires'!$C$17:$E$27,2,FALSE),'Hypothèses '!$C$19:$K$26,5,FALSE)</f>
        <v>0</v>
      </c>
      <c r="J27" s="337">
        <f>HLOOKUP(VLOOKUP(J$13,'table années scolaires'!$C$17:$E$27,2,FALSE),'Hypothèses '!$C$19:$K$26,5,FALSE)</f>
        <v>0</v>
      </c>
    </row>
    <row r="28" spans="1:11" x14ac:dyDescent="0.2">
      <c r="A28" s="86"/>
      <c r="B28" s="336" t="s">
        <v>662</v>
      </c>
      <c r="C28" s="337">
        <f>HLOOKUP(VLOOKUP(C$13,'table années scolaires'!$C$17:$E$27,3,FALSE),'Hypothèses '!$C$19:$K$26,5,FALSE)</f>
        <v>0</v>
      </c>
      <c r="D28" s="337">
        <f>HLOOKUP(VLOOKUP(D$13,'table années scolaires'!$C$17:$E$27,3,FALSE),'Hypothèses '!$C$19:$K$26,5,FALSE)</f>
        <v>0</v>
      </c>
      <c r="E28" s="337">
        <f>HLOOKUP(VLOOKUP(E$13,'table années scolaires'!$C$17:$E$27,3,FALSE),'Hypothèses '!$C$19:$K$26,5,FALSE)</f>
        <v>0</v>
      </c>
      <c r="F28" s="337">
        <f>HLOOKUP(VLOOKUP(F$13,'table années scolaires'!$C$17:$E$27,3,FALSE),'Hypothèses '!$C$19:$K$26,5,FALSE)</f>
        <v>0</v>
      </c>
      <c r="G28" s="337">
        <f>HLOOKUP(VLOOKUP(G$13,'table années scolaires'!$C$17:$E$27,3,FALSE),'Hypothèses '!$C$19:$K$26,5,FALSE)</f>
        <v>0</v>
      </c>
      <c r="H28" s="337">
        <f>HLOOKUP(VLOOKUP(H$13,'table années scolaires'!$C$17:$E$27,3,FALSE),'Hypothèses '!$C$19:$K$26,5,FALSE)</f>
        <v>0</v>
      </c>
      <c r="I28" s="337">
        <f>HLOOKUP(VLOOKUP(I$13,'table années scolaires'!$C$17:$E$27,3,FALSE),'Hypothèses '!$C$19:$K$26,5,FALSE)</f>
        <v>0</v>
      </c>
      <c r="J28" s="337">
        <f>HLOOKUP(VLOOKUP(J$13,'table années scolaires'!$C$17:$E$27,3,FALSE),'Hypothèses '!$C$19:$K$26,5,FALSE)</f>
        <v>0</v>
      </c>
    </row>
    <row r="29" spans="1:11" x14ac:dyDescent="0.2">
      <c r="A29" s="86"/>
      <c r="B29" s="65" t="s">
        <v>507</v>
      </c>
      <c r="C29" s="83">
        <f>IFERROR(((C25*C27/10*6)+(C26*C28/10*4))*(1-C$17),0)</f>
        <v>0</v>
      </c>
      <c r="D29" s="83">
        <f t="shared" ref="D29:J29" si="10">IFERROR(((D25*D27/10*6)+(D26*D28/10*4))*(1-D$17),0)</f>
        <v>0</v>
      </c>
      <c r="E29" s="83">
        <f t="shared" si="10"/>
        <v>0</v>
      </c>
      <c r="F29" s="83">
        <f t="shared" si="10"/>
        <v>0</v>
      </c>
      <c r="G29" s="83">
        <f t="shared" si="10"/>
        <v>0</v>
      </c>
      <c r="H29" s="83">
        <f t="shared" si="10"/>
        <v>0</v>
      </c>
      <c r="I29" s="83">
        <f t="shared" si="10"/>
        <v>0</v>
      </c>
      <c r="J29" s="83">
        <f t="shared" si="10"/>
        <v>0</v>
      </c>
    </row>
    <row r="30" spans="1:11" x14ac:dyDescent="0.2">
      <c r="A30" s="86"/>
      <c r="B30" s="65" t="s">
        <v>508</v>
      </c>
      <c r="C30" s="83">
        <f>IFERROR((C25/10*6+C26/10*4)*C$18*C$16,0)</f>
        <v>0</v>
      </c>
      <c r="D30" s="83">
        <f t="shared" ref="D30:J30" si="11">IFERROR((D25/10*6+D26/10*4)*D$18*D$16,0)</f>
        <v>0</v>
      </c>
      <c r="E30" s="83">
        <f t="shared" si="11"/>
        <v>12200000</v>
      </c>
      <c r="F30" s="83">
        <f t="shared" si="11"/>
        <v>9860000</v>
      </c>
      <c r="G30" s="83">
        <f t="shared" si="11"/>
        <v>10500000</v>
      </c>
      <c r="H30" s="83">
        <f t="shared" si="11"/>
        <v>13200000</v>
      </c>
      <c r="I30" s="83">
        <f t="shared" si="11"/>
        <v>16200000</v>
      </c>
      <c r="J30" s="83">
        <f t="shared" si="11"/>
        <v>18000000</v>
      </c>
    </row>
    <row r="31" spans="1:11" x14ac:dyDescent="0.2">
      <c r="A31" s="86"/>
      <c r="B31" s="65" t="s">
        <v>509</v>
      </c>
      <c r="C31" s="83">
        <f>C26*C$19</f>
        <v>0</v>
      </c>
      <c r="D31" s="83">
        <f t="shared" ref="D31:J31" si="12">D26*D$19</f>
        <v>0</v>
      </c>
      <c r="E31" s="83">
        <f t="shared" si="12"/>
        <v>13130000</v>
      </c>
      <c r="F31" s="83">
        <f t="shared" si="12"/>
        <v>12350000</v>
      </c>
      <c r="G31" s="83">
        <f t="shared" si="12"/>
        <v>15600000</v>
      </c>
      <c r="H31" s="83">
        <f t="shared" si="12"/>
        <v>19500000</v>
      </c>
      <c r="I31" s="83">
        <f t="shared" si="12"/>
        <v>23400000</v>
      </c>
      <c r="J31" s="83">
        <f t="shared" si="12"/>
        <v>23400000</v>
      </c>
    </row>
    <row r="32" spans="1:11" ht="16" x14ac:dyDescent="0.2">
      <c r="A32" s="94" t="s">
        <v>88</v>
      </c>
      <c r="B32" s="68"/>
      <c r="C32" s="151">
        <f>SUM(C37:C39)</f>
        <v>0</v>
      </c>
      <c r="D32" s="151">
        <f t="shared" ref="D32:J32" si="13">SUM(D37:D39)</f>
        <v>0</v>
      </c>
      <c r="E32" s="151">
        <f t="shared" si="13"/>
        <v>75065000</v>
      </c>
      <c r="F32" s="151">
        <f t="shared" si="13"/>
        <v>70335000</v>
      </c>
      <c r="G32" s="151">
        <f t="shared" si="13"/>
        <v>62960000</v>
      </c>
      <c r="H32" s="151">
        <f t="shared" si="13"/>
        <v>55510000</v>
      </c>
      <c r="I32" s="151">
        <f t="shared" si="13"/>
        <v>47300000</v>
      </c>
      <c r="J32" s="151">
        <f t="shared" si="13"/>
        <v>44230000</v>
      </c>
    </row>
    <row r="33" spans="1:10" x14ac:dyDescent="0.2">
      <c r="A33" s="94"/>
      <c r="B33" s="338" t="s">
        <v>659</v>
      </c>
      <c r="C33" s="339">
        <f>HLOOKUP(VLOOKUP(C$13,'table années scolaires'!$C$17:$E$27,2,FALSE),'Projection Effectifs'!$C$31:$M$36,3,FALSE)</f>
        <v>0</v>
      </c>
      <c r="D33" s="339">
        <f>HLOOKUP(VLOOKUP(D$13,'table années scolaires'!$C$17:$E$27,2,FALSE),'Projection Effectifs'!$C$31:$M$36,3,FALSE)</f>
        <v>651</v>
      </c>
      <c r="E33" s="339">
        <f>HLOOKUP(VLOOKUP(E$13,'table années scolaires'!$C$17:$E$27,2,FALSE),'Projection Effectifs'!$C$31:$M$36,3,FALSE)</f>
        <v>652</v>
      </c>
      <c r="F33" s="339">
        <f>HLOOKUP(VLOOKUP(F$13,'table années scolaires'!$C$17:$E$27,2,FALSE),'Projection Effectifs'!$C$31:$M$36,3,FALSE)</f>
        <v>653</v>
      </c>
      <c r="G33" s="339">
        <f>HLOOKUP(VLOOKUP(G$13,'table années scolaires'!$C$17:$E$27,2,FALSE),'Projection Effectifs'!$C$31:$M$36,3,FALSE)</f>
        <v>597</v>
      </c>
      <c r="H33" s="339">
        <f>HLOOKUP(VLOOKUP(H$13,'table années scolaires'!$C$17:$E$27,2,FALSE),'Projection Effectifs'!$C$31:$M$36,3,FALSE)</f>
        <v>530</v>
      </c>
      <c r="I33" s="339">
        <f>HLOOKUP(VLOOKUP(I$13,'table années scolaires'!$C$17:$E$27,2,FALSE),'Projection Effectifs'!$C$31:$M$36,3,FALSE)</f>
        <v>466</v>
      </c>
      <c r="J33" s="339">
        <f>HLOOKUP(VLOOKUP(J$13,'table années scolaires'!$C$17:$E$27,2,FALSE),'Projection Effectifs'!$C$31:$M$36,3,FALSE)</f>
        <v>392</v>
      </c>
    </row>
    <row r="34" spans="1:10" x14ac:dyDescent="0.2">
      <c r="A34" s="94"/>
      <c r="B34" s="338" t="s">
        <v>660</v>
      </c>
      <c r="C34" s="339">
        <f>HLOOKUP(VLOOKUP(C$13,'table années scolaires'!$C$17:$E$27,3,FALSE),'Projection Effectifs'!$C$31:$M$36,3,FALSE)</f>
        <v>651</v>
      </c>
      <c r="D34" s="339">
        <f>HLOOKUP(VLOOKUP(D$13,'table années scolaires'!$C$17:$E$27,3,FALSE),'Projection Effectifs'!$C$31:$M$36,3,FALSE)</f>
        <v>652</v>
      </c>
      <c r="E34" s="339">
        <f>HLOOKUP(VLOOKUP(E$13,'table années scolaires'!$C$17:$E$27,3,FALSE),'Projection Effectifs'!$C$31:$M$36,3,FALSE)</f>
        <v>653</v>
      </c>
      <c r="F34" s="339">
        <f>HLOOKUP(VLOOKUP(F$13,'table années scolaires'!$C$17:$E$27,3,FALSE),'Projection Effectifs'!$C$31:$M$36,3,FALSE)</f>
        <v>597</v>
      </c>
      <c r="G34" s="339">
        <f>HLOOKUP(VLOOKUP(G$13,'table années scolaires'!$C$17:$E$27,3,FALSE),'Projection Effectifs'!$C$31:$M$36,3,FALSE)</f>
        <v>530</v>
      </c>
      <c r="H34" s="339">
        <f>HLOOKUP(VLOOKUP(H$13,'table années scolaires'!$C$17:$E$27,3,FALSE),'Projection Effectifs'!$C$31:$M$36,3,FALSE)</f>
        <v>466</v>
      </c>
      <c r="I34" s="339">
        <f>HLOOKUP(VLOOKUP(I$13,'table années scolaires'!$C$17:$E$27,3,FALSE),'Projection Effectifs'!$C$31:$M$36,3,FALSE)</f>
        <v>392</v>
      </c>
      <c r="J34" s="339">
        <f>HLOOKUP(VLOOKUP(J$13,'table années scolaires'!$C$17:$E$27,3,FALSE),'Projection Effectifs'!$C$31:$M$36,3,FALSE)</f>
        <v>382</v>
      </c>
    </row>
    <row r="35" spans="1:10" x14ac:dyDescent="0.2">
      <c r="A35" s="94"/>
      <c r="B35" s="338" t="s">
        <v>661</v>
      </c>
      <c r="C35" s="339">
        <f>HLOOKUP(VLOOKUP(C$13,'table années scolaires'!$C$17:$E$27,2,FALSE),'Hypothèses '!$C$19:$K$26,6,FALSE)</f>
        <v>0</v>
      </c>
      <c r="D35" s="339">
        <f>HLOOKUP(VLOOKUP(D$13,'table années scolaires'!$C$17:$E$27,2,FALSE),'Hypothèses '!$C$19:$K$26,6,FALSE)</f>
        <v>0</v>
      </c>
      <c r="E35" s="339">
        <f>HLOOKUP(VLOOKUP(E$13,'table années scolaires'!$C$17:$E$27,2,FALSE),'Hypothèses '!$C$19:$K$26,6,FALSE)</f>
        <v>0</v>
      </c>
      <c r="F35" s="339">
        <f>HLOOKUP(VLOOKUP(F$13,'table années scolaires'!$C$17:$E$27,2,FALSE),'Hypothèses '!$C$19:$K$26,6,FALSE)</f>
        <v>0</v>
      </c>
      <c r="G35" s="339">
        <f>HLOOKUP(VLOOKUP(G$13,'table années scolaires'!$C$17:$E$27,2,FALSE),'Hypothèses '!$C$19:$K$26,6,FALSE)</f>
        <v>0</v>
      </c>
      <c r="H35" s="339">
        <f>HLOOKUP(VLOOKUP(H$13,'table années scolaires'!$C$17:$E$27,2,FALSE),'Hypothèses '!$C$19:$K$26,6,FALSE)</f>
        <v>0</v>
      </c>
      <c r="I35" s="339">
        <f>HLOOKUP(VLOOKUP(I$13,'table années scolaires'!$C$17:$E$27,2,FALSE),'Hypothèses '!$C$19:$K$26,6,FALSE)</f>
        <v>0</v>
      </c>
      <c r="J35" s="339">
        <f>HLOOKUP(VLOOKUP(J$13,'table années scolaires'!$C$17:$E$27,2,FALSE),'Hypothèses '!$C$19:$K$26,6,FALSE)</f>
        <v>0</v>
      </c>
    </row>
    <row r="36" spans="1:10" x14ac:dyDescent="0.2">
      <c r="A36" s="94"/>
      <c r="B36" s="338" t="s">
        <v>662</v>
      </c>
      <c r="C36" s="339">
        <f>HLOOKUP(VLOOKUP(C$13,'table années scolaires'!$C$17:$E$27,3,FALSE),'Hypothèses '!$C$19:$K$26,6,FALSE)</f>
        <v>0</v>
      </c>
      <c r="D36" s="339">
        <f>HLOOKUP(VLOOKUP(D$13,'table années scolaires'!$C$17:$E$27,3,FALSE),'Hypothèses '!$C$19:$K$26,6,FALSE)</f>
        <v>0</v>
      </c>
      <c r="E36" s="339">
        <f>HLOOKUP(VLOOKUP(E$13,'table années scolaires'!$C$17:$E$27,3,FALSE),'Hypothèses '!$C$19:$K$26,6,FALSE)</f>
        <v>0</v>
      </c>
      <c r="F36" s="339">
        <f>HLOOKUP(VLOOKUP(F$13,'table années scolaires'!$C$17:$E$27,3,FALSE),'Hypothèses '!$C$19:$K$26,6,FALSE)</f>
        <v>0</v>
      </c>
      <c r="G36" s="339">
        <f>HLOOKUP(VLOOKUP(G$13,'table années scolaires'!$C$17:$E$27,3,FALSE),'Hypothèses '!$C$19:$K$26,6,FALSE)</f>
        <v>0</v>
      </c>
      <c r="H36" s="339">
        <f>HLOOKUP(VLOOKUP(H$13,'table années scolaires'!$C$17:$E$27,3,FALSE),'Hypothèses '!$C$19:$K$26,6,FALSE)</f>
        <v>0</v>
      </c>
      <c r="I36" s="339">
        <f>HLOOKUP(VLOOKUP(I$13,'table années scolaires'!$C$17:$E$27,3,FALSE),'Hypothèses '!$C$19:$K$26,6,FALSE)</f>
        <v>0</v>
      </c>
      <c r="J36" s="339">
        <f>HLOOKUP(VLOOKUP(J$13,'table années scolaires'!$C$17:$E$27,3,FALSE),'Hypothèses '!$C$19:$K$26,6,FALSE)</f>
        <v>0</v>
      </c>
    </row>
    <row r="37" spans="1:10" x14ac:dyDescent="0.2">
      <c r="A37" s="94"/>
      <c r="B37" s="68" t="s">
        <v>507</v>
      </c>
      <c r="C37" s="97">
        <f>IFERROR(((C33*C35/10*6)+(C34*C36/10*4))*(1-C$17),0)</f>
        <v>0</v>
      </c>
      <c r="D37" s="97">
        <f t="shared" ref="D37" si="14">IFERROR(((D33*D35/10*6)+(D34*D36/10*4))*(1-D$17),0)</f>
        <v>0</v>
      </c>
      <c r="E37" s="97">
        <f t="shared" ref="E37" si="15">IFERROR(((E33*E35/10*6)+(E34*E36/10*4))*(1-E$17),0)</f>
        <v>0</v>
      </c>
      <c r="F37" s="97">
        <f t="shared" ref="F37" si="16">IFERROR(((F33*F35/10*6)+(F34*F36/10*4))*(1-F$17),0)</f>
        <v>0</v>
      </c>
      <c r="G37" s="97">
        <f t="shared" ref="G37" si="17">IFERROR(((G33*G35/10*6)+(G34*G36/10*4))*(1-G$17),0)</f>
        <v>0</v>
      </c>
      <c r="H37" s="97">
        <f t="shared" ref="H37" si="18">IFERROR(((H33*H35/10*6)+(H34*H36/10*4))*(1-H$17),0)</f>
        <v>0</v>
      </c>
      <c r="I37" s="97">
        <f t="shared" ref="I37" si="19">IFERROR(((I33*I35/10*6)+(I34*I36/10*4))*(1-I$17),0)</f>
        <v>0</v>
      </c>
      <c r="J37" s="97">
        <f t="shared" ref="J37" si="20">IFERROR(((J33*J35/10*6)+(J34*J36/10*4))*(1-J$17),0)</f>
        <v>0</v>
      </c>
    </row>
    <row r="38" spans="1:10" x14ac:dyDescent="0.2">
      <c r="A38" s="94"/>
      <c r="B38" s="68" t="s">
        <v>508</v>
      </c>
      <c r="C38" s="97">
        <f>IFERROR((C33/10*6+C34/10*4)*C$18*C$16,0)</f>
        <v>0</v>
      </c>
      <c r="D38" s="97">
        <f t="shared" ref="D38:J38" si="21">IFERROR((D33/10*6+D34/10*4)*D$18*D$16,0)</f>
        <v>0</v>
      </c>
      <c r="E38" s="97">
        <f t="shared" si="21"/>
        <v>32620000.000000007</v>
      </c>
      <c r="F38" s="97">
        <f t="shared" si="21"/>
        <v>31529999.999999996</v>
      </c>
      <c r="G38" s="97">
        <f t="shared" si="21"/>
        <v>28510000</v>
      </c>
      <c r="H38" s="97">
        <f t="shared" si="21"/>
        <v>25220000</v>
      </c>
      <c r="I38" s="97">
        <f t="shared" si="21"/>
        <v>21820000.000000004</v>
      </c>
      <c r="J38" s="97">
        <f t="shared" si="21"/>
        <v>19400000</v>
      </c>
    </row>
    <row r="39" spans="1:10" x14ac:dyDescent="0.2">
      <c r="A39" s="94"/>
      <c r="B39" s="68" t="s">
        <v>509</v>
      </c>
      <c r="C39" s="97">
        <f>C34*C$19</f>
        <v>0</v>
      </c>
      <c r="D39" s="97">
        <f t="shared" ref="D39:J39" si="22">D34*D$19</f>
        <v>0</v>
      </c>
      <c r="E39" s="97">
        <f t="shared" si="22"/>
        <v>42445000</v>
      </c>
      <c r="F39" s="97">
        <f t="shared" si="22"/>
        <v>38805000</v>
      </c>
      <c r="G39" s="97">
        <f t="shared" si="22"/>
        <v>34450000</v>
      </c>
      <c r="H39" s="97">
        <f t="shared" si="22"/>
        <v>30290000</v>
      </c>
      <c r="I39" s="97">
        <f t="shared" si="22"/>
        <v>25480000</v>
      </c>
      <c r="J39" s="97">
        <f t="shared" si="22"/>
        <v>24830000</v>
      </c>
    </row>
    <row r="40" spans="1:10" ht="16" x14ac:dyDescent="0.2">
      <c r="A40" s="120" t="s">
        <v>126</v>
      </c>
      <c r="B40" s="99"/>
      <c r="C40" s="152">
        <f>SUM(C45:C47)</f>
        <v>0</v>
      </c>
      <c r="D40" s="152">
        <f t="shared" ref="D40:J40" si="23">SUM(D45:D47)</f>
        <v>0</v>
      </c>
      <c r="E40" s="152">
        <f t="shared" si="23"/>
        <v>62885000</v>
      </c>
      <c r="F40" s="152">
        <f t="shared" si="23"/>
        <v>63535000</v>
      </c>
      <c r="G40" s="152">
        <f t="shared" si="23"/>
        <v>63085000</v>
      </c>
      <c r="H40" s="152">
        <f t="shared" si="23"/>
        <v>60440000.000000007</v>
      </c>
      <c r="I40" s="152">
        <f t="shared" si="23"/>
        <v>59995000</v>
      </c>
      <c r="J40" s="152">
        <f t="shared" si="23"/>
        <v>60315000</v>
      </c>
    </row>
    <row r="41" spans="1:10" x14ac:dyDescent="0.2">
      <c r="A41" s="120"/>
      <c r="B41" s="340" t="s">
        <v>659</v>
      </c>
      <c r="C41" s="341">
        <f>HLOOKUP(VLOOKUP(C$13,'table années scolaires'!$C$17:$E$27,2,FALSE),'Projection Effectifs'!$C$31:$M$36,5,FALSE)</f>
        <v>0</v>
      </c>
      <c r="D41" s="341">
        <f>HLOOKUP(VLOOKUP(D$13,'table années scolaires'!$C$17:$E$27,2,FALSE),'Projection Effectifs'!$C$31:$M$36,5,FALSE)</f>
        <v>499</v>
      </c>
      <c r="E41" s="341">
        <f>HLOOKUP(VLOOKUP(E$13,'table années scolaires'!$C$17:$E$27,2,FALSE),'Projection Effectifs'!$C$31:$M$36,5,FALSE)</f>
        <v>535</v>
      </c>
      <c r="F41" s="341">
        <f>HLOOKUP(VLOOKUP(F$13,'table années scolaires'!$C$17:$E$27,2,FALSE),'Projection Effectifs'!$C$31:$M$36,5,FALSE)</f>
        <v>551</v>
      </c>
      <c r="G41" s="341">
        <f>HLOOKUP(VLOOKUP(G$13,'table années scolaires'!$C$17:$E$27,2,FALSE),'Projection Effectifs'!$C$31:$M$36,5,FALSE)</f>
        <v>553</v>
      </c>
      <c r="H41" s="341">
        <f>HLOOKUP(VLOOKUP(H$13,'table années scolaires'!$C$17:$E$27,2,FALSE),'Projection Effectifs'!$C$31:$M$36,5,FALSE)</f>
        <v>547</v>
      </c>
      <c r="I41" s="341">
        <f>HLOOKUP(VLOOKUP(I$13,'table années scolaires'!$C$17:$E$27,2,FALSE),'Projection Effectifs'!$C$31:$M$36,5,FALSE)</f>
        <v>518</v>
      </c>
      <c r="J41" s="341">
        <f>HLOOKUP(VLOOKUP(J$13,'table années scolaires'!$C$17:$E$27,2,FALSE),'Projection Effectifs'!$C$31:$M$36,5,FALSE)</f>
        <v>523</v>
      </c>
    </row>
    <row r="42" spans="1:10" x14ac:dyDescent="0.2">
      <c r="A42" s="120"/>
      <c r="B42" s="340" t="s">
        <v>660</v>
      </c>
      <c r="C42" s="341">
        <f>HLOOKUP(VLOOKUP(C$13,'table années scolaires'!$C$17:$E$27,3,FALSE),'Projection Effectifs'!$C$31:$M$36,5,FALSE)</f>
        <v>499</v>
      </c>
      <c r="D42" s="341">
        <f>HLOOKUP(VLOOKUP(D$13,'table années scolaires'!$C$17:$E$27,3,FALSE),'Projection Effectifs'!$C$31:$M$36,5,FALSE)</f>
        <v>535</v>
      </c>
      <c r="E42" s="341">
        <f>HLOOKUP(VLOOKUP(E$13,'table années scolaires'!$C$17:$E$27,3,FALSE),'Projection Effectifs'!$C$31:$M$36,5,FALSE)</f>
        <v>551</v>
      </c>
      <c r="F42" s="341">
        <f>HLOOKUP(VLOOKUP(F$13,'table années scolaires'!$C$17:$E$27,3,FALSE),'Projection Effectifs'!$C$31:$M$36,5,FALSE)</f>
        <v>553</v>
      </c>
      <c r="G42" s="341">
        <f>HLOOKUP(VLOOKUP(G$13,'table années scolaires'!$C$17:$E$27,3,FALSE),'Projection Effectifs'!$C$31:$M$36,5,FALSE)</f>
        <v>547</v>
      </c>
      <c r="H42" s="341">
        <f>HLOOKUP(VLOOKUP(H$13,'table années scolaires'!$C$17:$E$27,3,FALSE),'Projection Effectifs'!$C$31:$M$36,5,FALSE)</f>
        <v>518</v>
      </c>
      <c r="I42" s="341">
        <f>HLOOKUP(VLOOKUP(I$13,'table années scolaires'!$C$17:$E$27,3,FALSE),'Projection Effectifs'!$C$31:$M$36,5,FALSE)</f>
        <v>523</v>
      </c>
      <c r="J42" s="341">
        <f>HLOOKUP(VLOOKUP(J$13,'table années scolaires'!$C$17:$E$27,3,FALSE),'Projection Effectifs'!$C$31:$M$36,5,FALSE)</f>
        <v>525</v>
      </c>
    </row>
    <row r="43" spans="1:10" x14ac:dyDescent="0.2">
      <c r="A43" s="120"/>
      <c r="B43" s="340" t="s">
        <v>661</v>
      </c>
      <c r="C43" s="341">
        <f>HLOOKUP(VLOOKUP(C$13,'table années scolaires'!$C$17:$E$27,2,FALSE),'Hypothèses '!$C$19:$K$26,7,FALSE)</f>
        <v>0</v>
      </c>
      <c r="D43" s="341">
        <f>HLOOKUP(VLOOKUP(D$13,'table années scolaires'!$C$17:$E$27,2,FALSE),'Hypothèses '!$C$19:$K$26,7,FALSE)</f>
        <v>0</v>
      </c>
      <c r="E43" s="341">
        <f>HLOOKUP(VLOOKUP(E$13,'table années scolaires'!$C$17:$E$27,2,FALSE),'Hypothèses '!$C$19:$K$26,7,FALSE)</f>
        <v>0</v>
      </c>
      <c r="F43" s="341">
        <f>HLOOKUP(VLOOKUP(F$13,'table années scolaires'!$C$17:$E$27,2,FALSE),'Hypothèses '!$C$19:$K$26,7,FALSE)</f>
        <v>0</v>
      </c>
      <c r="G43" s="341">
        <f>HLOOKUP(VLOOKUP(G$13,'table années scolaires'!$C$17:$E$27,2,FALSE),'Hypothèses '!$C$19:$K$26,7,FALSE)</f>
        <v>0</v>
      </c>
      <c r="H43" s="341">
        <f>HLOOKUP(VLOOKUP(H$13,'table années scolaires'!$C$17:$E$27,2,FALSE),'Hypothèses '!$C$19:$K$26,7,FALSE)</f>
        <v>0</v>
      </c>
      <c r="I43" s="341">
        <f>HLOOKUP(VLOOKUP(I$13,'table années scolaires'!$C$17:$E$27,2,FALSE),'Hypothèses '!$C$19:$K$26,7,FALSE)</f>
        <v>0</v>
      </c>
      <c r="J43" s="341">
        <f>HLOOKUP(VLOOKUP(J$13,'table années scolaires'!$C$17:$E$27,2,FALSE),'Hypothèses '!$C$19:$K$26,7,FALSE)</f>
        <v>0</v>
      </c>
    </row>
    <row r="44" spans="1:10" x14ac:dyDescent="0.2">
      <c r="A44" s="120"/>
      <c r="B44" s="340" t="s">
        <v>662</v>
      </c>
      <c r="C44" s="341">
        <f>HLOOKUP(VLOOKUP(C$13,'table années scolaires'!$C$17:$E$27,3,FALSE),'Hypothèses '!$C$19:$K$26,7,FALSE)</f>
        <v>0</v>
      </c>
      <c r="D44" s="341">
        <f>HLOOKUP(VLOOKUP(D$13,'table années scolaires'!$C$17:$E$27,3,FALSE),'Hypothèses '!$C$19:$K$26,7,FALSE)</f>
        <v>0</v>
      </c>
      <c r="E44" s="341">
        <f>HLOOKUP(VLOOKUP(E$13,'table années scolaires'!$C$17:$E$27,3,FALSE),'Hypothèses '!$C$19:$K$26,7,FALSE)</f>
        <v>0</v>
      </c>
      <c r="F44" s="341">
        <f>HLOOKUP(VLOOKUP(F$13,'table années scolaires'!$C$17:$E$27,3,FALSE),'Hypothèses '!$C$19:$K$26,7,FALSE)</f>
        <v>0</v>
      </c>
      <c r="G44" s="341">
        <f>HLOOKUP(VLOOKUP(G$13,'table années scolaires'!$C$17:$E$27,3,FALSE),'Hypothèses '!$C$19:$K$26,7,FALSE)</f>
        <v>0</v>
      </c>
      <c r="H44" s="341">
        <f>HLOOKUP(VLOOKUP(H$13,'table années scolaires'!$C$17:$E$27,3,FALSE),'Hypothèses '!$C$19:$K$26,7,FALSE)</f>
        <v>0</v>
      </c>
      <c r="I44" s="341">
        <f>HLOOKUP(VLOOKUP(I$13,'table années scolaires'!$C$17:$E$27,3,FALSE),'Hypothèses '!$C$19:$K$26,7,FALSE)</f>
        <v>0</v>
      </c>
      <c r="J44" s="341">
        <f>HLOOKUP(VLOOKUP(J$13,'table années scolaires'!$C$17:$E$27,3,FALSE),'Hypothèses '!$C$19:$K$26,7,FALSE)</f>
        <v>0</v>
      </c>
    </row>
    <row r="45" spans="1:10" x14ac:dyDescent="0.2">
      <c r="A45" s="120"/>
      <c r="B45" s="99" t="s">
        <v>507</v>
      </c>
      <c r="C45" s="103">
        <f>IFERROR(((C41*C43/10*6)+(C42*C44/10*4))*(1-C$17),0)</f>
        <v>0</v>
      </c>
      <c r="D45" s="103">
        <f t="shared" ref="D45:J45" si="24">IFERROR(((D41*D43/10*6)+(D42*D44/10*4))*(1-D$17),0)</f>
        <v>0</v>
      </c>
      <c r="E45" s="103">
        <f t="shared" si="24"/>
        <v>0</v>
      </c>
      <c r="F45" s="103">
        <f t="shared" si="24"/>
        <v>0</v>
      </c>
      <c r="G45" s="103">
        <f t="shared" si="24"/>
        <v>0</v>
      </c>
      <c r="H45" s="103">
        <f t="shared" si="24"/>
        <v>0</v>
      </c>
      <c r="I45" s="103">
        <f t="shared" si="24"/>
        <v>0</v>
      </c>
      <c r="J45" s="103">
        <f t="shared" si="24"/>
        <v>0</v>
      </c>
    </row>
    <row r="46" spans="1:10" x14ac:dyDescent="0.2">
      <c r="A46" s="120"/>
      <c r="B46" s="99" t="s">
        <v>508</v>
      </c>
      <c r="C46" s="103">
        <f>IFERROR((C41/10*6+C42/10*4)*C$18*C$16,0)</f>
        <v>0</v>
      </c>
      <c r="D46" s="103">
        <f t="shared" ref="D46:J46" si="25">IFERROR((D41/10*6+D42/10*4)*D$18*D$16,0)</f>
        <v>0</v>
      </c>
      <c r="E46" s="103">
        <f t="shared" si="25"/>
        <v>27070000</v>
      </c>
      <c r="F46" s="103">
        <f t="shared" si="25"/>
        <v>27590000</v>
      </c>
      <c r="G46" s="103">
        <f t="shared" si="25"/>
        <v>27529999.999999996</v>
      </c>
      <c r="H46" s="103">
        <f t="shared" si="25"/>
        <v>26770000.000000007</v>
      </c>
      <c r="I46" s="103">
        <f t="shared" si="25"/>
        <v>26000000</v>
      </c>
      <c r="J46" s="103">
        <f t="shared" si="25"/>
        <v>26190000</v>
      </c>
    </row>
    <row r="47" spans="1:10" x14ac:dyDescent="0.2">
      <c r="A47" s="120"/>
      <c r="B47" s="99" t="s">
        <v>509</v>
      </c>
      <c r="C47" s="103">
        <f>C42*C$19</f>
        <v>0</v>
      </c>
      <c r="D47" s="103">
        <f t="shared" ref="D47:J47" si="26">D42*D$19</f>
        <v>0</v>
      </c>
      <c r="E47" s="103">
        <f t="shared" si="26"/>
        <v>35815000</v>
      </c>
      <c r="F47" s="103">
        <f t="shared" si="26"/>
        <v>35945000</v>
      </c>
      <c r="G47" s="103">
        <f t="shared" si="26"/>
        <v>35555000</v>
      </c>
      <c r="H47" s="103">
        <f t="shared" si="26"/>
        <v>33670000</v>
      </c>
      <c r="I47" s="103">
        <f t="shared" si="26"/>
        <v>33995000</v>
      </c>
      <c r="J47" s="103">
        <f t="shared" si="26"/>
        <v>34125000</v>
      </c>
    </row>
    <row r="48" spans="1:10" ht="16" x14ac:dyDescent="0.2">
      <c r="A48" s="137" t="s">
        <v>498</v>
      </c>
      <c r="B48" s="128"/>
      <c r="C48" s="153">
        <f>SUM(C53:C55)</f>
        <v>0</v>
      </c>
      <c r="D48" s="153">
        <f t="shared" ref="D48:J48" si="27">SUM(D53:D55)</f>
        <v>0</v>
      </c>
      <c r="E48" s="153">
        <f t="shared" si="27"/>
        <v>42345000</v>
      </c>
      <c r="F48" s="153">
        <f t="shared" si="27"/>
        <v>42435000</v>
      </c>
      <c r="G48" s="153">
        <f t="shared" si="27"/>
        <v>43540000</v>
      </c>
      <c r="H48" s="153">
        <f t="shared" si="27"/>
        <v>47330000</v>
      </c>
      <c r="I48" s="153">
        <f t="shared" si="27"/>
        <v>48785000</v>
      </c>
      <c r="J48" s="153">
        <f t="shared" si="27"/>
        <v>47600000</v>
      </c>
    </row>
    <row r="49" spans="1:10" x14ac:dyDescent="0.2">
      <c r="A49" s="137"/>
      <c r="B49" s="342" t="s">
        <v>659</v>
      </c>
      <c r="C49" s="343">
        <f>HLOOKUP(VLOOKUP(C$13,'table années scolaires'!$C$17:$E$27,2,FALSE),'Projection Effectifs'!$C$31:$M$36,6,FALSE)</f>
        <v>0</v>
      </c>
      <c r="D49" s="343">
        <f>HLOOKUP(VLOOKUP(D$13,'table années scolaires'!$C$17:$E$27,2,FALSE),'Projection Effectifs'!$C$31:$M$36,6,FALSE)</f>
        <v>353</v>
      </c>
      <c r="E49" s="343">
        <f>HLOOKUP(VLOOKUP(E$13,'table années scolaires'!$C$17:$E$27,2,FALSE),'Projection Effectifs'!$C$31:$M$36,6,FALSE)</f>
        <v>366</v>
      </c>
      <c r="F49" s="343">
        <f>HLOOKUP(VLOOKUP(F$13,'table années scolaires'!$C$17:$E$27,2,FALSE),'Projection Effectifs'!$C$31:$M$36,6,FALSE)</f>
        <v>369</v>
      </c>
      <c r="G49" s="343">
        <f>HLOOKUP(VLOOKUP(G$13,'table années scolaires'!$C$17:$E$27,2,FALSE),'Projection Effectifs'!$C$31:$M$36,6,FALSE)</f>
        <v>369</v>
      </c>
      <c r="H49" s="343">
        <f>HLOOKUP(VLOOKUP(H$13,'table années scolaires'!$C$17:$E$27,2,FALSE),'Projection Effectifs'!$C$31:$M$36,6,FALSE)</f>
        <v>382</v>
      </c>
      <c r="I49" s="343">
        <f>HLOOKUP(VLOOKUP(I$13,'table années scolaires'!$C$17:$E$27,2,FALSE),'Projection Effectifs'!$C$31:$M$36,6,FALSE)</f>
        <v>422</v>
      </c>
      <c r="J49" s="343">
        <f>HLOOKUP(VLOOKUP(J$13,'table années scolaires'!$C$17:$E$27,2,FALSE),'Projection Effectifs'!$C$31:$M$36,6,FALSE)</f>
        <v>425</v>
      </c>
    </row>
    <row r="50" spans="1:10" x14ac:dyDescent="0.2">
      <c r="A50" s="137"/>
      <c r="B50" s="342" t="s">
        <v>660</v>
      </c>
      <c r="C50" s="343">
        <f>HLOOKUP(VLOOKUP(C$13,'table années scolaires'!$C$17:$E$27,3,FALSE),'Projection Effectifs'!$C$31:$M$36,6,FALSE)</f>
        <v>353</v>
      </c>
      <c r="D50" s="343">
        <f>HLOOKUP(VLOOKUP(D$13,'table années scolaires'!$C$17:$E$27,3,FALSE),'Projection Effectifs'!$C$31:$M$36,6,FALSE)</f>
        <v>366</v>
      </c>
      <c r="E50" s="343">
        <f>HLOOKUP(VLOOKUP(E$13,'table années scolaires'!$C$17:$E$27,3,FALSE),'Projection Effectifs'!$C$31:$M$36,6,FALSE)</f>
        <v>369</v>
      </c>
      <c r="F50" s="343">
        <f>HLOOKUP(VLOOKUP(F$13,'table années scolaires'!$C$17:$E$27,3,FALSE),'Projection Effectifs'!$C$31:$M$36,6,FALSE)</f>
        <v>369</v>
      </c>
      <c r="G50" s="343">
        <f>HLOOKUP(VLOOKUP(G$13,'table années scolaires'!$C$17:$E$27,3,FALSE),'Projection Effectifs'!$C$31:$M$36,6,FALSE)</f>
        <v>382</v>
      </c>
      <c r="H50" s="343">
        <f>HLOOKUP(VLOOKUP(H$13,'table années scolaires'!$C$17:$E$27,3,FALSE),'Projection Effectifs'!$C$31:$M$36,6,FALSE)</f>
        <v>422</v>
      </c>
      <c r="I50" s="343">
        <f>HLOOKUP(VLOOKUP(I$13,'table années scolaires'!$C$17:$E$27,3,FALSE),'Projection Effectifs'!$C$31:$M$36,6,FALSE)</f>
        <v>425</v>
      </c>
      <c r="J50" s="343">
        <f>HLOOKUP(VLOOKUP(J$13,'table années scolaires'!$C$17:$E$27,3,FALSE),'Projection Effectifs'!$C$31:$M$36,6,FALSE)</f>
        <v>410</v>
      </c>
    </row>
    <row r="51" spans="1:10" x14ac:dyDescent="0.2">
      <c r="A51" s="137"/>
      <c r="B51" s="342" t="s">
        <v>661</v>
      </c>
      <c r="C51" s="343">
        <f>HLOOKUP(VLOOKUP(C$13,'table années scolaires'!$C$17:$E$27,2,FALSE),'Hypothèses '!$C$19:$K$26,8,FALSE)</f>
        <v>0</v>
      </c>
      <c r="D51" s="343">
        <f>HLOOKUP(VLOOKUP(D$13,'table années scolaires'!$C$17:$E$27,2,FALSE),'Hypothèses '!$C$19:$K$26,8,FALSE)</f>
        <v>0</v>
      </c>
      <c r="E51" s="343">
        <f>HLOOKUP(VLOOKUP(E$13,'table années scolaires'!$C$17:$E$27,2,FALSE),'Hypothèses '!$C$19:$K$26,8,FALSE)</f>
        <v>0</v>
      </c>
      <c r="F51" s="343">
        <f>HLOOKUP(VLOOKUP(F$13,'table années scolaires'!$C$17:$E$27,2,FALSE),'Hypothèses '!$C$19:$K$26,8,FALSE)</f>
        <v>0</v>
      </c>
      <c r="G51" s="343">
        <f>HLOOKUP(VLOOKUP(G$13,'table années scolaires'!$C$17:$E$27,2,FALSE),'Hypothèses '!$C$19:$K$26,8,FALSE)</f>
        <v>0</v>
      </c>
      <c r="H51" s="343">
        <f>HLOOKUP(VLOOKUP(H$13,'table années scolaires'!$C$17:$E$27,2,FALSE),'Hypothèses '!$C$19:$K$26,8,FALSE)</f>
        <v>0</v>
      </c>
      <c r="I51" s="343">
        <f>HLOOKUP(VLOOKUP(I$13,'table années scolaires'!$C$17:$E$27,2,FALSE),'Hypothèses '!$C$19:$K$26,8,FALSE)</f>
        <v>0</v>
      </c>
      <c r="J51" s="343">
        <f>HLOOKUP(VLOOKUP(J$13,'table années scolaires'!$C$17:$E$27,2,FALSE),'Hypothèses '!$C$19:$K$26,8,FALSE)</f>
        <v>0</v>
      </c>
    </row>
    <row r="52" spans="1:10" x14ac:dyDescent="0.2">
      <c r="A52" s="137"/>
      <c r="B52" s="342" t="s">
        <v>662</v>
      </c>
      <c r="C52" s="343">
        <f>HLOOKUP(VLOOKUP(C$13,'table années scolaires'!$C$17:$E$27,3,FALSE),'Hypothèses '!$C$19:$K$26,8,FALSE)</f>
        <v>0</v>
      </c>
      <c r="D52" s="343">
        <f>HLOOKUP(VLOOKUP(D$13,'table années scolaires'!$C$17:$E$27,3,FALSE),'Hypothèses '!$C$19:$K$26,8,FALSE)</f>
        <v>0</v>
      </c>
      <c r="E52" s="343">
        <f>HLOOKUP(VLOOKUP(E$13,'table années scolaires'!$C$17:$E$27,3,FALSE),'Hypothèses '!$C$19:$K$26,8,FALSE)</f>
        <v>0</v>
      </c>
      <c r="F52" s="343">
        <f>HLOOKUP(VLOOKUP(F$13,'table années scolaires'!$C$17:$E$27,3,FALSE),'Hypothèses '!$C$19:$K$26,8,FALSE)</f>
        <v>0</v>
      </c>
      <c r="G52" s="343">
        <f>HLOOKUP(VLOOKUP(G$13,'table années scolaires'!$C$17:$E$27,3,FALSE),'Hypothèses '!$C$19:$K$26,8,FALSE)</f>
        <v>0</v>
      </c>
      <c r="H52" s="343">
        <f>HLOOKUP(VLOOKUP(H$13,'table années scolaires'!$C$17:$E$27,3,FALSE),'Hypothèses '!$C$19:$K$26,8,FALSE)</f>
        <v>0</v>
      </c>
      <c r="I52" s="343">
        <f>HLOOKUP(VLOOKUP(I$13,'table années scolaires'!$C$17:$E$27,3,FALSE),'Hypothèses '!$C$19:$K$26,8,FALSE)</f>
        <v>0</v>
      </c>
      <c r="J52" s="343">
        <f>HLOOKUP(VLOOKUP(J$13,'table années scolaires'!$C$17:$E$27,3,FALSE),'Hypothèses '!$C$19:$K$26,8,FALSE)</f>
        <v>0</v>
      </c>
    </row>
    <row r="53" spans="1:10" x14ac:dyDescent="0.2">
      <c r="A53" s="137"/>
      <c r="B53" s="128" t="s">
        <v>507</v>
      </c>
      <c r="C53" s="154">
        <f>IFERROR(((C49*C51/10*6)+(C50*C52/10*4))*(1-C$17),0)</f>
        <v>0</v>
      </c>
      <c r="D53" s="154">
        <f t="shared" ref="D53:J53" si="28">IFERROR(((D49*D51/10*6)+(D50*D52/10*4))*(1-D$17),0)</f>
        <v>0</v>
      </c>
      <c r="E53" s="154">
        <f t="shared" si="28"/>
        <v>0</v>
      </c>
      <c r="F53" s="154">
        <f t="shared" si="28"/>
        <v>0</v>
      </c>
      <c r="G53" s="154">
        <f t="shared" si="28"/>
        <v>0</v>
      </c>
      <c r="H53" s="154">
        <f t="shared" si="28"/>
        <v>0</v>
      </c>
      <c r="I53" s="154">
        <f t="shared" si="28"/>
        <v>0</v>
      </c>
      <c r="J53" s="154">
        <f t="shared" si="28"/>
        <v>0</v>
      </c>
    </row>
    <row r="54" spans="1:10" x14ac:dyDescent="0.2">
      <c r="A54" s="137"/>
      <c r="B54" s="128" t="s">
        <v>508</v>
      </c>
      <c r="C54" s="154">
        <f>IFERROR((C49/10*6+C50/10*4)*C$18*C$16,0)</f>
        <v>0</v>
      </c>
      <c r="D54" s="154">
        <f t="shared" ref="D54:J54" si="29">IFERROR((D49/10*6+D50/10*4)*D$18*D$16,0)</f>
        <v>0</v>
      </c>
      <c r="E54" s="154">
        <f t="shared" si="29"/>
        <v>18360000.000000004</v>
      </c>
      <c r="F54" s="154">
        <f t="shared" si="29"/>
        <v>18450000</v>
      </c>
      <c r="G54" s="154">
        <f t="shared" si="29"/>
        <v>18710000</v>
      </c>
      <c r="H54" s="154">
        <f t="shared" si="29"/>
        <v>19900000</v>
      </c>
      <c r="I54" s="154">
        <f t="shared" si="29"/>
        <v>21160000.000000004</v>
      </c>
      <c r="J54" s="154">
        <f t="shared" si="29"/>
        <v>20950000</v>
      </c>
    </row>
    <row r="55" spans="1:10" x14ac:dyDescent="0.2">
      <c r="A55" s="137"/>
      <c r="B55" s="128" t="s">
        <v>509</v>
      </c>
      <c r="C55" s="154">
        <f>C50*C$19</f>
        <v>0</v>
      </c>
      <c r="D55" s="154">
        <f t="shared" ref="D55:J55" si="30">D50*D$19</f>
        <v>0</v>
      </c>
      <c r="E55" s="154">
        <f t="shared" si="30"/>
        <v>23985000</v>
      </c>
      <c r="F55" s="154">
        <f t="shared" si="30"/>
        <v>23985000</v>
      </c>
      <c r="G55" s="154">
        <f t="shared" si="30"/>
        <v>24830000</v>
      </c>
      <c r="H55" s="154">
        <f t="shared" si="30"/>
        <v>27430000</v>
      </c>
      <c r="I55" s="154">
        <f t="shared" si="30"/>
        <v>27625000</v>
      </c>
      <c r="J55" s="154">
        <f t="shared" si="30"/>
        <v>26650000</v>
      </c>
    </row>
    <row r="56" spans="1:10" ht="16" x14ac:dyDescent="0.2">
      <c r="A56" s="45"/>
      <c r="C56" s="61"/>
      <c r="D56" s="61"/>
      <c r="E56" s="61"/>
      <c r="F56" s="61"/>
      <c r="G56" s="61"/>
      <c r="H56" s="61"/>
      <c r="I56" s="61"/>
      <c r="J56" s="61"/>
    </row>
    <row r="57" spans="1:10" x14ac:dyDescent="0.2">
      <c r="C57" s="316"/>
      <c r="D57" s="379"/>
      <c r="E57" s="379"/>
      <c r="F57" s="379"/>
      <c r="G57" s="379"/>
      <c r="H57" s="379"/>
      <c r="I57" s="379"/>
      <c r="J57" s="379"/>
    </row>
    <row r="58" spans="1:10" ht="21" x14ac:dyDescent="0.25">
      <c r="A58" s="159" t="s">
        <v>515</v>
      </c>
      <c r="C58" s="175">
        <f>C13</f>
        <v>2024</v>
      </c>
      <c r="D58" s="175">
        <f>C58+1</f>
        <v>2025</v>
      </c>
      <c r="E58" s="175">
        <f t="shared" ref="E58:J58" si="31">D58+1</f>
        <v>2026</v>
      </c>
      <c r="F58" s="175">
        <f t="shared" si="31"/>
        <v>2027</v>
      </c>
      <c r="G58" s="175">
        <f t="shared" si="31"/>
        <v>2028</v>
      </c>
      <c r="H58" s="175">
        <f t="shared" si="31"/>
        <v>2029</v>
      </c>
      <c r="I58" s="175">
        <f t="shared" si="31"/>
        <v>2030</v>
      </c>
      <c r="J58" s="175">
        <f t="shared" si="31"/>
        <v>2031</v>
      </c>
    </row>
    <row r="59" spans="1:10" ht="19" x14ac:dyDescent="0.25">
      <c r="A59" s="159"/>
      <c r="B59" t="s">
        <v>666</v>
      </c>
      <c r="C59" s="348">
        <f>HLOOKUP(C$58,'Hypothèses '!$C$34:$K$36,3,FALSE)</f>
        <v>0</v>
      </c>
      <c r="D59" s="348">
        <f>HLOOKUP(D$58,'Hypothèses '!$C$34:$K$36,3,FALSE)</f>
        <v>0</v>
      </c>
      <c r="E59" s="348">
        <f>HLOOKUP(E$58,'Hypothèses '!$C$34:$K$36,3,FALSE)</f>
        <v>0</v>
      </c>
      <c r="F59" s="348">
        <f>HLOOKUP(F$58,'Hypothèses '!$C$34:$K$36,3,FALSE)</f>
        <v>0</v>
      </c>
      <c r="G59" s="348">
        <f>HLOOKUP(G$58,'Hypothèses '!$C$34:$K$36,3,FALSE)</f>
        <v>0</v>
      </c>
      <c r="H59" s="348">
        <f>HLOOKUP(H$58,'Hypothèses '!$C$34:$K$36,3,FALSE)</f>
        <v>0</v>
      </c>
      <c r="I59" s="348">
        <f>HLOOKUP(I$58,'Hypothèses '!$C$34:$K$36,3,FALSE)</f>
        <v>0</v>
      </c>
      <c r="J59" s="348">
        <f>HLOOKUP(J$58,'Hypothèses '!$C$34:$K$36,3,FALSE)</f>
        <v>0</v>
      </c>
    </row>
    <row r="60" spans="1:10" ht="16" x14ac:dyDescent="0.2">
      <c r="A60" s="156" t="s">
        <v>536</v>
      </c>
      <c r="B60" s="51" t="s">
        <v>547</v>
      </c>
      <c r="C60" s="157" t="e">
        <f>C61+C65+C70+C80</f>
        <v>#N/A</v>
      </c>
      <c r="D60" s="157" t="e">
        <f t="shared" ref="D60:J60" si="32">D61+D65+D70+D80</f>
        <v>#N/A</v>
      </c>
      <c r="E60" s="157" t="e">
        <f t="shared" si="32"/>
        <v>#N/A</v>
      </c>
      <c r="F60" s="157" t="e">
        <f t="shared" si="32"/>
        <v>#N/A</v>
      </c>
      <c r="G60" s="157" t="e">
        <f t="shared" si="32"/>
        <v>#N/A</v>
      </c>
      <c r="H60" s="157" t="e">
        <f t="shared" si="32"/>
        <v>#N/A</v>
      </c>
      <c r="I60" s="157" t="e">
        <f t="shared" si="32"/>
        <v>#N/A</v>
      </c>
      <c r="J60" s="157" t="e">
        <f t="shared" si="32"/>
        <v>#N/A</v>
      </c>
    </row>
    <row r="61" spans="1:10" x14ac:dyDescent="0.2">
      <c r="A61" s="47"/>
      <c r="B61" s="156" t="s">
        <v>542</v>
      </c>
      <c r="C61" s="174" t="e">
        <f t="shared" ref="C61:C83" si="33">C85+C111+C137+C163</f>
        <v>#N/A</v>
      </c>
      <c r="D61" s="174" t="e">
        <f t="shared" ref="D61:J61" si="34">D85+D111+D137+D163</f>
        <v>#N/A</v>
      </c>
      <c r="E61" s="174" t="e">
        <f t="shared" si="34"/>
        <v>#N/A</v>
      </c>
      <c r="F61" s="174" t="e">
        <f t="shared" si="34"/>
        <v>#N/A</v>
      </c>
      <c r="G61" s="174" t="e">
        <f t="shared" si="34"/>
        <v>#N/A</v>
      </c>
      <c r="H61" s="174" t="e">
        <f t="shared" si="34"/>
        <v>#N/A</v>
      </c>
      <c r="I61" s="174" t="e">
        <f t="shared" si="34"/>
        <v>#N/A</v>
      </c>
      <c r="J61" s="174" t="e">
        <f t="shared" si="34"/>
        <v>#N/A</v>
      </c>
    </row>
    <row r="62" spans="1:10" ht="19" x14ac:dyDescent="0.25">
      <c r="A62" s="161"/>
      <c r="B62" s="47" t="s">
        <v>540</v>
      </c>
      <c r="C62" s="158">
        <f t="shared" si="33"/>
        <v>0</v>
      </c>
      <c r="D62" s="158">
        <f t="shared" ref="D62:J71" si="35">D86+D112+D138+D164</f>
        <v>0</v>
      </c>
      <c r="E62" s="158">
        <f t="shared" si="35"/>
        <v>0</v>
      </c>
      <c r="F62" s="158">
        <f t="shared" si="35"/>
        <v>0</v>
      </c>
      <c r="G62" s="158">
        <f t="shared" si="35"/>
        <v>0</v>
      </c>
      <c r="H62" s="158">
        <f t="shared" si="35"/>
        <v>0</v>
      </c>
      <c r="I62" s="158">
        <f t="shared" si="35"/>
        <v>0</v>
      </c>
      <c r="J62" s="158">
        <f t="shared" si="35"/>
        <v>0</v>
      </c>
    </row>
    <row r="63" spans="1:10" ht="19" x14ac:dyDescent="0.25">
      <c r="A63" s="161"/>
      <c r="B63" s="47" t="s">
        <v>541</v>
      </c>
      <c r="C63" s="158">
        <f t="shared" si="33"/>
        <v>0</v>
      </c>
      <c r="D63" s="158">
        <f t="shared" si="35"/>
        <v>0</v>
      </c>
      <c r="E63" s="158">
        <f t="shared" si="35"/>
        <v>0</v>
      </c>
      <c r="F63" s="158">
        <f t="shared" si="35"/>
        <v>0</v>
      </c>
      <c r="G63" s="158">
        <f t="shared" si="35"/>
        <v>0</v>
      </c>
      <c r="H63" s="158">
        <f t="shared" si="35"/>
        <v>0</v>
      </c>
      <c r="I63" s="158">
        <f t="shared" si="35"/>
        <v>0</v>
      </c>
      <c r="J63" s="158">
        <f t="shared" si="35"/>
        <v>0</v>
      </c>
    </row>
    <row r="64" spans="1:10" ht="19" x14ac:dyDescent="0.25">
      <c r="A64" s="161"/>
      <c r="B64" s="47" t="s">
        <v>539</v>
      </c>
      <c r="C64" s="158" t="e">
        <f t="shared" si="33"/>
        <v>#N/A</v>
      </c>
      <c r="D64" s="158" t="e">
        <f t="shared" si="35"/>
        <v>#N/A</v>
      </c>
      <c r="E64" s="158" t="e">
        <f t="shared" si="35"/>
        <v>#N/A</v>
      </c>
      <c r="F64" s="158" t="e">
        <f t="shared" si="35"/>
        <v>#N/A</v>
      </c>
      <c r="G64" s="158" t="e">
        <f t="shared" si="35"/>
        <v>#N/A</v>
      </c>
      <c r="H64" s="158" t="e">
        <f t="shared" si="35"/>
        <v>#N/A</v>
      </c>
      <c r="I64" s="158" t="e">
        <f t="shared" si="35"/>
        <v>#N/A</v>
      </c>
      <c r="J64" s="158" t="e">
        <f t="shared" si="35"/>
        <v>#N/A</v>
      </c>
    </row>
    <row r="65" spans="1:12" ht="19" x14ac:dyDescent="0.25">
      <c r="A65" s="161"/>
      <c r="B65" s="156" t="s">
        <v>513</v>
      </c>
      <c r="C65" s="174">
        <f t="shared" si="33"/>
        <v>0</v>
      </c>
      <c r="D65" s="174">
        <f t="shared" si="35"/>
        <v>0</v>
      </c>
      <c r="E65" s="174">
        <f t="shared" si="35"/>
        <v>0</v>
      </c>
      <c r="F65" s="174">
        <f t="shared" si="35"/>
        <v>0</v>
      </c>
      <c r="G65" s="174">
        <f t="shared" si="35"/>
        <v>0</v>
      </c>
      <c r="H65" s="174">
        <f t="shared" si="35"/>
        <v>0</v>
      </c>
      <c r="I65" s="174">
        <f t="shared" si="35"/>
        <v>0</v>
      </c>
      <c r="J65" s="174">
        <f t="shared" si="35"/>
        <v>0</v>
      </c>
      <c r="L65" s="311"/>
    </row>
    <row r="66" spans="1:12" ht="19" x14ac:dyDescent="0.25">
      <c r="A66" s="161"/>
      <c r="B66" s="47" t="s">
        <v>529</v>
      </c>
      <c r="C66" s="158">
        <f t="shared" si="33"/>
        <v>0</v>
      </c>
      <c r="D66" s="158">
        <f t="shared" si="35"/>
        <v>0</v>
      </c>
      <c r="E66" s="158">
        <f t="shared" si="35"/>
        <v>0</v>
      </c>
      <c r="F66" s="158">
        <f t="shared" si="35"/>
        <v>0</v>
      </c>
      <c r="G66" s="158">
        <f t="shared" si="35"/>
        <v>0</v>
      </c>
      <c r="H66" s="158">
        <f t="shared" si="35"/>
        <v>0</v>
      </c>
      <c r="I66" s="158">
        <f t="shared" si="35"/>
        <v>0</v>
      </c>
      <c r="J66" s="158">
        <f t="shared" si="35"/>
        <v>0</v>
      </c>
    </row>
    <row r="67" spans="1:12" ht="19" x14ac:dyDescent="0.25">
      <c r="A67" s="161"/>
      <c r="B67" s="47" t="s">
        <v>530</v>
      </c>
      <c r="C67" s="158">
        <f t="shared" si="33"/>
        <v>0</v>
      </c>
      <c r="D67" s="158">
        <f t="shared" si="35"/>
        <v>0</v>
      </c>
      <c r="E67" s="158">
        <f t="shared" si="35"/>
        <v>0</v>
      </c>
      <c r="F67" s="158">
        <f t="shared" si="35"/>
        <v>0</v>
      </c>
      <c r="G67" s="158">
        <f t="shared" si="35"/>
        <v>0</v>
      </c>
      <c r="H67" s="158">
        <f t="shared" si="35"/>
        <v>0</v>
      </c>
      <c r="I67" s="158">
        <f t="shared" si="35"/>
        <v>0</v>
      </c>
      <c r="J67" s="158">
        <f t="shared" si="35"/>
        <v>0</v>
      </c>
    </row>
    <row r="68" spans="1:12" ht="19" x14ac:dyDescent="0.25">
      <c r="A68" s="161"/>
      <c r="B68" s="47" t="s">
        <v>531</v>
      </c>
      <c r="C68" s="158">
        <f t="shared" si="33"/>
        <v>0</v>
      </c>
      <c r="D68" s="158">
        <f t="shared" si="35"/>
        <v>0</v>
      </c>
      <c r="E68" s="158">
        <f t="shared" si="35"/>
        <v>0</v>
      </c>
      <c r="F68" s="158">
        <f t="shared" si="35"/>
        <v>0</v>
      </c>
      <c r="G68" s="158">
        <f t="shared" si="35"/>
        <v>0</v>
      </c>
      <c r="H68" s="158">
        <f t="shared" si="35"/>
        <v>0</v>
      </c>
      <c r="I68" s="158">
        <f t="shared" si="35"/>
        <v>0</v>
      </c>
      <c r="J68" s="158">
        <f t="shared" si="35"/>
        <v>0</v>
      </c>
    </row>
    <row r="69" spans="1:12" ht="19" x14ac:dyDescent="0.25">
      <c r="A69" s="161"/>
      <c r="B69" s="47" t="s">
        <v>532</v>
      </c>
      <c r="C69" s="158">
        <f t="shared" si="33"/>
        <v>0</v>
      </c>
      <c r="D69" s="158">
        <f t="shared" si="35"/>
        <v>0</v>
      </c>
      <c r="E69" s="158">
        <f t="shared" si="35"/>
        <v>0</v>
      </c>
      <c r="F69" s="158">
        <f t="shared" si="35"/>
        <v>0</v>
      </c>
      <c r="G69" s="158">
        <f t="shared" si="35"/>
        <v>0</v>
      </c>
      <c r="H69" s="158">
        <f t="shared" si="35"/>
        <v>0</v>
      </c>
      <c r="I69" s="158">
        <f t="shared" si="35"/>
        <v>0</v>
      </c>
      <c r="J69" s="158">
        <f t="shared" si="35"/>
        <v>0</v>
      </c>
    </row>
    <row r="70" spans="1:12" ht="19" x14ac:dyDescent="0.25">
      <c r="A70" s="161"/>
      <c r="B70" s="156" t="s">
        <v>516</v>
      </c>
      <c r="C70" s="174">
        <f t="shared" si="33"/>
        <v>0</v>
      </c>
      <c r="D70" s="174">
        <f t="shared" si="35"/>
        <v>0</v>
      </c>
      <c r="E70" s="174">
        <f t="shared" si="35"/>
        <v>0</v>
      </c>
      <c r="F70" s="174">
        <f t="shared" si="35"/>
        <v>0</v>
      </c>
      <c r="G70" s="174">
        <f t="shared" si="35"/>
        <v>0</v>
      </c>
      <c r="H70" s="174">
        <f t="shared" si="35"/>
        <v>0</v>
      </c>
      <c r="I70" s="174">
        <f t="shared" si="35"/>
        <v>0</v>
      </c>
      <c r="J70" s="174">
        <f t="shared" si="35"/>
        <v>0</v>
      </c>
    </row>
    <row r="71" spans="1:12" ht="19" x14ac:dyDescent="0.25">
      <c r="A71" s="161"/>
      <c r="B71" s="47" t="s">
        <v>510</v>
      </c>
      <c r="C71" s="158">
        <f t="shared" si="33"/>
        <v>0</v>
      </c>
      <c r="D71" s="158">
        <f t="shared" si="35"/>
        <v>0</v>
      </c>
      <c r="E71" s="158">
        <f t="shared" si="35"/>
        <v>0</v>
      </c>
      <c r="F71" s="158">
        <f t="shared" si="35"/>
        <v>0</v>
      </c>
      <c r="G71" s="158">
        <f t="shared" si="35"/>
        <v>0</v>
      </c>
      <c r="H71" s="158">
        <f t="shared" si="35"/>
        <v>0</v>
      </c>
      <c r="I71" s="158">
        <f t="shared" si="35"/>
        <v>0</v>
      </c>
      <c r="J71" s="158">
        <f t="shared" si="35"/>
        <v>0</v>
      </c>
    </row>
    <row r="72" spans="1:12" ht="19" x14ac:dyDescent="0.25">
      <c r="A72" s="161"/>
      <c r="B72" s="47" t="s">
        <v>528</v>
      </c>
      <c r="C72" s="158">
        <f t="shared" si="33"/>
        <v>0</v>
      </c>
      <c r="D72" s="158">
        <f t="shared" ref="D72:J81" si="36">D96+D122+D148+D174</f>
        <v>0</v>
      </c>
      <c r="E72" s="158">
        <f t="shared" si="36"/>
        <v>0</v>
      </c>
      <c r="F72" s="158">
        <f t="shared" si="36"/>
        <v>0</v>
      </c>
      <c r="G72" s="158">
        <f t="shared" si="36"/>
        <v>0</v>
      </c>
      <c r="H72" s="158">
        <f t="shared" si="36"/>
        <v>0</v>
      </c>
      <c r="I72" s="158">
        <f t="shared" si="36"/>
        <v>0</v>
      </c>
      <c r="J72" s="158">
        <f t="shared" si="36"/>
        <v>0</v>
      </c>
    </row>
    <row r="73" spans="1:12" ht="19" x14ac:dyDescent="0.25">
      <c r="A73" s="161"/>
      <c r="B73" s="47" t="s">
        <v>517</v>
      </c>
      <c r="C73" s="158">
        <f t="shared" si="33"/>
        <v>0</v>
      </c>
      <c r="D73" s="158">
        <f t="shared" si="36"/>
        <v>0</v>
      </c>
      <c r="E73" s="158">
        <f t="shared" si="36"/>
        <v>0</v>
      </c>
      <c r="F73" s="158">
        <f t="shared" si="36"/>
        <v>0</v>
      </c>
      <c r="G73" s="158">
        <f t="shared" si="36"/>
        <v>0</v>
      </c>
      <c r="H73" s="158">
        <f t="shared" si="36"/>
        <v>0</v>
      </c>
      <c r="I73" s="158">
        <f t="shared" si="36"/>
        <v>0</v>
      </c>
      <c r="J73" s="158">
        <f t="shared" si="36"/>
        <v>0</v>
      </c>
    </row>
    <row r="74" spans="1:12" ht="19" x14ac:dyDescent="0.25">
      <c r="A74" s="161"/>
      <c r="B74" s="47" t="s">
        <v>518</v>
      </c>
      <c r="C74" s="158">
        <f t="shared" si="33"/>
        <v>0</v>
      </c>
      <c r="D74" s="158">
        <f t="shared" si="36"/>
        <v>0</v>
      </c>
      <c r="E74" s="158">
        <f t="shared" si="36"/>
        <v>0</v>
      </c>
      <c r="F74" s="158">
        <f t="shared" si="36"/>
        <v>0</v>
      </c>
      <c r="G74" s="158">
        <f t="shared" si="36"/>
        <v>0</v>
      </c>
      <c r="H74" s="158">
        <f t="shared" si="36"/>
        <v>0</v>
      </c>
      <c r="I74" s="158">
        <f t="shared" si="36"/>
        <v>0</v>
      </c>
      <c r="J74" s="158">
        <f t="shared" si="36"/>
        <v>0</v>
      </c>
    </row>
    <row r="75" spans="1:12" ht="19" x14ac:dyDescent="0.25">
      <c r="A75" s="161"/>
      <c r="B75" s="47" t="s">
        <v>511</v>
      </c>
      <c r="C75" s="158">
        <f t="shared" si="33"/>
        <v>0</v>
      </c>
      <c r="D75" s="158">
        <f t="shared" si="36"/>
        <v>0</v>
      </c>
      <c r="E75" s="158">
        <f t="shared" si="36"/>
        <v>0</v>
      </c>
      <c r="F75" s="158">
        <f t="shared" si="36"/>
        <v>0</v>
      </c>
      <c r="G75" s="158">
        <f t="shared" si="36"/>
        <v>0</v>
      </c>
      <c r="H75" s="158">
        <f t="shared" si="36"/>
        <v>0</v>
      </c>
      <c r="I75" s="158">
        <f t="shared" si="36"/>
        <v>0</v>
      </c>
      <c r="J75" s="158">
        <f t="shared" si="36"/>
        <v>0</v>
      </c>
    </row>
    <row r="76" spans="1:12" ht="19" x14ac:dyDescent="0.25">
      <c r="A76" s="161"/>
      <c r="B76" s="47" t="s">
        <v>512</v>
      </c>
      <c r="C76" s="158">
        <f t="shared" si="33"/>
        <v>0</v>
      </c>
      <c r="D76" s="158">
        <f t="shared" si="36"/>
        <v>0</v>
      </c>
      <c r="E76" s="158">
        <f t="shared" si="36"/>
        <v>0</v>
      </c>
      <c r="F76" s="158">
        <f t="shared" si="36"/>
        <v>0</v>
      </c>
      <c r="G76" s="158">
        <f t="shared" si="36"/>
        <v>0</v>
      </c>
      <c r="H76" s="158">
        <f t="shared" si="36"/>
        <v>0</v>
      </c>
      <c r="I76" s="158">
        <f t="shared" si="36"/>
        <v>0</v>
      </c>
      <c r="J76" s="158">
        <f t="shared" si="36"/>
        <v>0</v>
      </c>
    </row>
    <row r="77" spans="1:12" ht="19" x14ac:dyDescent="0.25">
      <c r="A77" s="161"/>
      <c r="B77" s="47" t="s">
        <v>520</v>
      </c>
      <c r="C77" s="158">
        <f t="shared" si="33"/>
        <v>0</v>
      </c>
      <c r="D77" s="158">
        <f t="shared" si="36"/>
        <v>0</v>
      </c>
      <c r="E77" s="158">
        <f t="shared" si="36"/>
        <v>0</v>
      </c>
      <c r="F77" s="158">
        <f t="shared" si="36"/>
        <v>0</v>
      </c>
      <c r="G77" s="158">
        <f t="shared" si="36"/>
        <v>0</v>
      </c>
      <c r="H77" s="158">
        <f t="shared" si="36"/>
        <v>0</v>
      </c>
      <c r="I77" s="158">
        <f t="shared" si="36"/>
        <v>0</v>
      </c>
      <c r="J77" s="158">
        <f t="shared" si="36"/>
        <v>0</v>
      </c>
    </row>
    <row r="78" spans="1:12" ht="19" x14ac:dyDescent="0.25">
      <c r="A78" s="161"/>
      <c r="B78" s="47" t="s">
        <v>526</v>
      </c>
      <c r="C78" s="158">
        <f t="shared" si="33"/>
        <v>0</v>
      </c>
      <c r="D78" s="158">
        <f t="shared" si="36"/>
        <v>0</v>
      </c>
      <c r="E78" s="158">
        <f t="shared" si="36"/>
        <v>0</v>
      </c>
      <c r="F78" s="158">
        <f t="shared" si="36"/>
        <v>0</v>
      </c>
      <c r="G78" s="158">
        <f t="shared" si="36"/>
        <v>0</v>
      </c>
      <c r="H78" s="158">
        <f t="shared" si="36"/>
        <v>0</v>
      </c>
      <c r="I78" s="158">
        <f t="shared" si="36"/>
        <v>0</v>
      </c>
      <c r="J78" s="158">
        <f t="shared" si="36"/>
        <v>0</v>
      </c>
    </row>
    <row r="79" spans="1:12" ht="19" x14ac:dyDescent="0.25">
      <c r="A79" s="161"/>
      <c r="B79" s="47" t="s">
        <v>527</v>
      </c>
      <c r="C79" s="158">
        <f t="shared" si="33"/>
        <v>0</v>
      </c>
      <c r="D79" s="158">
        <f t="shared" si="36"/>
        <v>0</v>
      </c>
      <c r="E79" s="158">
        <f t="shared" si="36"/>
        <v>0</v>
      </c>
      <c r="F79" s="158">
        <f t="shared" si="36"/>
        <v>0</v>
      </c>
      <c r="G79" s="158">
        <f t="shared" si="36"/>
        <v>0</v>
      </c>
      <c r="H79" s="158">
        <f t="shared" si="36"/>
        <v>0</v>
      </c>
      <c r="I79" s="158">
        <f t="shared" si="36"/>
        <v>0</v>
      </c>
      <c r="J79" s="158">
        <f t="shared" si="36"/>
        <v>0</v>
      </c>
    </row>
    <row r="80" spans="1:12" ht="19" x14ac:dyDescent="0.25">
      <c r="A80" s="161"/>
      <c r="B80" s="156" t="s">
        <v>524</v>
      </c>
      <c r="C80" s="174">
        <f t="shared" si="33"/>
        <v>0</v>
      </c>
      <c r="D80" s="174">
        <f t="shared" si="36"/>
        <v>0</v>
      </c>
      <c r="E80" s="174">
        <f t="shared" si="36"/>
        <v>0</v>
      </c>
      <c r="F80" s="174" t="e">
        <f t="shared" si="36"/>
        <v>#N/A</v>
      </c>
      <c r="G80" s="174" t="e">
        <f t="shared" si="36"/>
        <v>#N/A</v>
      </c>
      <c r="H80" s="174" t="e">
        <f t="shared" si="36"/>
        <v>#N/A</v>
      </c>
      <c r="I80" s="174" t="e">
        <f t="shared" si="36"/>
        <v>#N/A</v>
      </c>
      <c r="J80" s="174" t="e">
        <f t="shared" si="36"/>
        <v>#N/A</v>
      </c>
    </row>
    <row r="81" spans="1:13" ht="19" x14ac:dyDescent="0.25">
      <c r="A81" s="161"/>
      <c r="B81" s="47" t="s">
        <v>521</v>
      </c>
      <c r="C81" s="158">
        <f t="shared" si="33"/>
        <v>0</v>
      </c>
      <c r="D81" s="158">
        <f t="shared" si="36"/>
        <v>0</v>
      </c>
      <c r="E81" s="158">
        <f t="shared" si="36"/>
        <v>0</v>
      </c>
      <c r="F81" s="158">
        <f t="shared" si="36"/>
        <v>696540</v>
      </c>
      <c r="G81" s="158">
        <f t="shared" si="36"/>
        <v>2822820</v>
      </c>
      <c r="H81" s="158">
        <f t="shared" si="36"/>
        <v>2808156</v>
      </c>
      <c r="I81" s="158">
        <f t="shared" si="36"/>
        <v>4314882</v>
      </c>
      <c r="J81" s="158">
        <f t="shared" si="36"/>
        <v>4223232</v>
      </c>
    </row>
    <row r="82" spans="1:13" ht="19" x14ac:dyDescent="0.25">
      <c r="A82" s="161"/>
      <c r="B82" s="47" t="s">
        <v>522</v>
      </c>
      <c r="C82" s="158">
        <f t="shared" si="33"/>
        <v>0</v>
      </c>
      <c r="D82" s="158">
        <f t="shared" ref="D82:J83" si="37">D106+D132+D158+D184</f>
        <v>0</v>
      </c>
      <c r="E82" s="158">
        <f t="shared" si="37"/>
        <v>0</v>
      </c>
      <c r="F82" s="158">
        <f t="shared" si="37"/>
        <v>247000</v>
      </c>
      <c r="G82" s="158">
        <f t="shared" si="37"/>
        <v>1001000</v>
      </c>
      <c r="H82" s="158">
        <f t="shared" si="37"/>
        <v>995800</v>
      </c>
      <c r="I82" s="158">
        <f t="shared" si="37"/>
        <v>1530100</v>
      </c>
      <c r="J82" s="158">
        <f t="shared" si="37"/>
        <v>1497600</v>
      </c>
    </row>
    <row r="83" spans="1:13" ht="19" x14ac:dyDescent="0.25">
      <c r="A83" s="161"/>
      <c r="B83" s="47" t="s">
        <v>523</v>
      </c>
      <c r="C83" s="158">
        <f t="shared" si="33"/>
        <v>0</v>
      </c>
      <c r="D83" s="158">
        <f t="shared" si="37"/>
        <v>0</v>
      </c>
      <c r="E83" s="158">
        <f t="shared" si="37"/>
        <v>0</v>
      </c>
      <c r="F83" s="158" t="e">
        <f t="shared" si="37"/>
        <v>#N/A</v>
      </c>
      <c r="G83" s="158" t="e">
        <f t="shared" si="37"/>
        <v>#N/A</v>
      </c>
      <c r="H83" s="158" t="e">
        <f t="shared" si="37"/>
        <v>#N/A</v>
      </c>
      <c r="I83" s="158" t="e">
        <f t="shared" si="37"/>
        <v>#N/A</v>
      </c>
      <c r="J83" s="158" t="e">
        <f t="shared" si="37"/>
        <v>#N/A</v>
      </c>
    </row>
    <row r="84" spans="1:13" ht="16" x14ac:dyDescent="0.2">
      <c r="A84" s="142" t="s">
        <v>533</v>
      </c>
      <c r="B84" s="142" t="s">
        <v>543</v>
      </c>
      <c r="C84" s="150" t="e">
        <f>C85+C89+C94+C104</f>
        <v>#N/A</v>
      </c>
      <c r="D84" s="150" t="e">
        <f t="shared" ref="D84:J84" si="38">D85+D89+D94+D104</f>
        <v>#N/A</v>
      </c>
      <c r="E84" s="150" t="e">
        <f t="shared" si="38"/>
        <v>#N/A</v>
      </c>
      <c r="F84" s="150" t="e">
        <f t="shared" si="38"/>
        <v>#N/A</v>
      </c>
      <c r="G84" s="150" t="e">
        <f t="shared" si="38"/>
        <v>#N/A</v>
      </c>
      <c r="H84" s="150" t="e">
        <f t="shared" si="38"/>
        <v>#N/A</v>
      </c>
      <c r="I84" s="150" t="e">
        <f t="shared" si="38"/>
        <v>#N/A</v>
      </c>
      <c r="J84" s="150" t="e">
        <f t="shared" si="38"/>
        <v>#N/A</v>
      </c>
    </row>
    <row r="85" spans="1:13" x14ac:dyDescent="0.2">
      <c r="A85" s="65"/>
      <c r="B85" s="86" t="s">
        <v>542</v>
      </c>
      <c r="C85" s="166" t="e">
        <f>SUM(C86:C88)</f>
        <v>#N/A</v>
      </c>
      <c r="D85" s="166" t="e">
        <f t="shared" ref="D85:J85" si="39">SUM(D86:D88)</f>
        <v>#N/A</v>
      </c>
      <c r="E85" s="166" t="e">
        <f t="shared" si="39"/>
        <v>#N/A</v>
      </c>
      <c r="F85" s="166" t="e">
        <f t="shared" si="39"/>
        <v>#N/A</v>
      </c>
      <c r="G85" s="166" t="e">
        <f t="shared" si="39"/>
        <v>#N/A</v>
      </c>
      <c r="H85" s="166" t="e">
        <f t="shared" si="39"/>
        <v>#N/A</v>
      </c>
      <c r="I85" s="166" t="e">
        <f t="shared" si="39"/>
        <v>#N/A</v>
      </c>
      <c r="J85" s="166" t="e">
        <f t="shared" si="39"/>
        <v>#N/A</v>
      </c>
    </row>
    <row r="86" spans="1:13" ht="19" x14ac:dyDescent="0.25">
      <c r="A86" s="167"/>
      <c r="B86" s="65" t="s">
        <v>540</v>
      </c>
      <c r="C86" s="83">
        <f>'Calcul MS Personnels'!D87</f>
        <v>0</v>
      </c>
      <c r="D86" s="83">
        <f>'Calcul MS Personnels'!E87</f>
        <v>0</v>
      </c>
      <c r="E86" s="83">
        <f>'Calcul MS Personnels'!F87</f>
        <v>0</v>
      </c>
      <c r="F86" s="83">
        <f>'Calcul MS Personnels'!G87</f>
        <v>0</v>
      </c>
      <c r="G86" s="83">
        <f>'Calcul MS Personnels'!H87</f>
        <v>0</v>
      </c>
      <c r="H86" s="83">
        <f>'Calcul MS Personnels'!I87</f>
        <v>0</v>
      </c>
      <c r="I86" s="83">
        <f>'Calcul MS Personnels'!J87</f>
        <v>0</v>
      </c>
      <c r="J86" s="83">
        <f>'Calcul MS Personnels'!K87</f>
        <v>0</v>
      </c>
    </row>
    <row r="87" spans="1:13" ht="19" hidden="1" x14ac:dyDescent="0.25">
      <c r="A87" s="167"/>
      <c r="B87" s="65" t="s">
        <v>541</v>
      </c>
      <c r="C87" s="83">
        <f>'Calcul MS Personnels'!D86</f>
        <v>0</v>
      </c>
      <c r="D87" s="83">
        <f>'Calcul MS Personnels'!E86</f>
        <v>0</v>
      </c>
      <c r="E87" s="83">
        <f>'Calcul MS Personnels'!F86</f>
        <v>0</v>
      </c>
      <c r="F87" s="83">
        <f>'Calcul MS Personnels'!G86</f>
        <v>0</v>
      </c>
      <c r="G87" s="83">
        <f>'Calcul MS Personnels'!H86</f>
        <v>0</v>
      </c>
      <c r="H87" s="83">
        <f>'Calcul MS Personnels'!I86</f>
        <v>0</v>
      </c>
      <c r="I87" s="83">
        <f>'Calcul MS Personnels'!J86</f>
        <v>0</v>
      </c>
      <c r="J87" s="83">
        <f>'Calcul MS Personnels'!K86</f>
        <v>0</v>
      </c>
    </row>
    <row r="88" spans="1:13" ht="19" x14ac:dyDescent="0.25">
      <c r="A88" s="167"/>
      <c r="B88" s="65" t="s">
        <v>539</v>
      </c>
      <c r="C88" s="83" t="e">
        <f>SUM('Calcul MS Personnels'!D69:D76)+SUM('Calcul MS Personnels'!D78:D84)+'Calcul MS Personnels'!D88</f>
        <v>#N/A</v>
      </c>
      <c r="D88" s="83" t="e">
        <f>SUM('Calcul MS Personnels'!E69:E76)+SUM('Calcul MS Personnels'!E78:E84)+'Calcul MS Personnels'!E88</f>
        <v>#N/A</v>
      </c>
      <c r="E88" s="83" t="e">
        <f>SUM('Calcul MS Personnels'!F69:F76)+SUM('Calcul MS Personnels'!F78:F84)+'Calcul MS Personnels'!F88</f>
        <v>#N/A</v>
      </c>
      <c r="F88" s="83" t="e">
        <f>SUM('Calcul MS Personnels'!G69:G76)+SUM('Calcul MS Personnels'!G78:G84)+'Calcul MS Personnels'!G88</f>
        <v>#N/A</v>
      </c>
      <c r="G88" s="83" t="e">
        <f>SUM('Calcul MS Personnels'!H69:H76)+SUM('Calcul MS Personnels'!H78:H84)+'Calcul MS Personnels'!H88</f>
        <v>#N/A</v>
      </c>
      <c r="H88" s="83" t="e">
        <f>SUM('Calcul MS Personnels'!I69:I76)+SUM('Calcul MS Personnels'!I78:I84)+'Calcul MS Personnels'!I88</f>
        <v>#N/A</v>
      </c>
      <c r="I88" s="83" t="e">
        <f>SUM('Calcul MS Personnels'!J69:J76)+SUM('Calcul MS Personnels'!J78:J84)+'Calcul MS Personnels'!J88</f>
        <v>#N/A</v>
      </c>
      <c r="J88" s="83" t="e">
        <f>SUM('Calcul MS Personnels'!K69:K76)+SUM('Calcul MS Personnels'!K78:K84)+'Calcul MS Personnels'!K88</f>
        <v>#N/A</v>
      </c>
    </row>
    <row r="89" spans="1:13" x14ac:dyDescent="0.2">
      <c r="A89" s="65"/>
      <c r="B89" s="86" t="s">
        <v>513</v>
      </c>
      <c r="C89" s="166">
        <f>SUM(C90:C93)</f>
        <v>0</v>
      </c>
      <c r="D89" s="166">
        <f t="shared" ref="D89:J89" si="40">SUM(D90:D93)</f>
        <v>0</v>
      </c>
      <c r="E89" s="166">
        <f t="shared" si="40"/>
        <v>0</v>
      </c>
      <c r="F89" s="166">
        <f t="shared" si="40"/>
        <v>0</v>
      </c>
      <c r="G89" s="166">
        <f t="shared" si="40"/>
        <v>0</v>
      </c>
      <c r="H89" s="166">
        <f t="shared" si="40"/>
        <v>0</v>
      </c>
      <c r="I89" s="166">
        <f t="shared" si="40"/>
        <v>0</v>
      </c>
      <c r="J89" s="166">
        <f t="shared" si="40"/>
        <v>0</v>
      </c>
    </row>
    <row r="90" spans="1:13" x14ac:dyDescent="0.2">
      <c r="A90" s="65"/>
      <c r="B90" s="65" t="s">
        <v>529</v>
      </c>
      <c r="C90" s="83">
        <f>VLOOKUP($B90,'Hypothèses '!$B$133:$D$146,3,FALSE)*HLOOKUP(VLOOKUP(C$13,'table années scolaires'!$C$17:$E$27,2,FALSE),'Projection Effectifs'!$S$31:$AC$35,2,FALSE)</f>
        <v>0</v>
      </c>
      <c r="D90" s="83">
        <f>C90*(1+(HLOOKUP(VLOOKUP(C$13,'table années scolaires'!$C$17:$E$27,3,FALSE),'Projection Effectifs'!$S$44:$AC$48,2,FALSE)))*(1+$D$59)</f>
        <v>0</v>
      </c>
      <c r="E90" s="83">
        <f>D90*(1+(HLOOKUP(VLOOKUP(D$13,'table années scolaires'!$C$17:$E$27,3,FALSE),'Projection Effectifs'!$S$44:$AC$48,2,FALSE)))*(1+$D$59)*(1+$E$59)</f>
        <v>0</v>
      </c>
      <c r="F90" s="83">
        <f>E90*(1+(HLOOKUP(VLOOKUP(E$13,'table années scolaires'!$C$17:$E$27,3,FALSE),'Projection Effectifs'!$S$44:$AC$48,2,FALSE)))*(1+$D$59)*(1+$E$59)*(1+$F$59)</f>
        <v>0</v>
      </c>
      <c r="G90" s="83">
        <f>F90*(1+(HLOOKUP(VLOOKUP(F$13,'table années scolaires'!$C$17:$E$27,3,FALSE),'Projection Effectifs'!$S$44:$AC$48,2,FALSE)))*(1+$D$59)*(1+$E$59)*(1+$F$59)*(1+$G$59)</f>
        <v>0</v>
      </c>
      <c r="H90" s="83">
        <f>G90*(1+(HLOOKUP(VLOOKUP(G$13,'table années scolaires'!$C$17:$E$27,3,FALSE),'Projection Effectifs'!$S$44:$AC$48,2,FALSE)))*(1+$D$59)*(1+$E$59)*(1+$F$59)*(1+$G$59)*(1+$H$59)</f>
        <v>0</v>
      </c>
      <c r="I90" s="83">
        <f>H90*(1+(HLOOKUP(VLOOKUP(H$13,'table années scolaires'!$C$17:$E$27,3,FALSE),'Projection Effectifs'!$S$44:$AC$48,2,FALSE)))*(1+$D$59)*(1+$E$59)*(1+$F$59)*(1+$G$59)*(1+$H$59)*(1+$I$59)</f>
        <v>0</v>
      </c>
      <c r="J90" s="83">
        <f>I90*(1+(HLOOKUP(VLOOKUP(I$13,'table années scolaires'!$C$17:$E$27,3,FALSE),'Projection Effectifs'!$S$44:$AC$48,2,FALSE)))*(1+$D$59)*(1+$E$59)*(1+$F$59)*(1+$G$59)*(1+$H$59)*(1+$I$59)*(1+$J$59)</f>
        <v>0</v>
      </c>
      <c r="L90" s="350"/>
      <c r="M90" s="56"/>
    </row>
    <row r="91" spans="1:13" x14ac:dyDescent="0.2">
      <c r="A91" s="65"/>
      <c r="B91" s="65" t="s">
        <v>530</v>
      </c>
      <c r="C91" s="83">
        <f>VLOOKUP($B91,'Hypothèses '!$B$133:$D$146,3,FALSE)*HLOOKUP(VLOOKUP(C$13,'table années scolaires'!$C$17:$E$27,2,FALSE),'Projection Effectifs'!$S$31:$AC$35,2,FALSE)</f>
        <v>0</v>
      </c>
      <c r="D91" s="83">
        <f>C91*(1+(HLOOKUP(VLOOKUP(C$13,'table années scolaires'!$C$17:$E$27,3,FALSE),'Projection Effectifs'!$S$44:$AC$48,2,FALSE)))*(1+$D$59)</f>
        <v>0</v>
      </c>
      <c r="E91" s="83">
        <f>D91*(1+(HLOOKUP(VLOOKUP(D$13,'table années scolaires'!$C$17:$E$27,3,FALSE),'Projection Effectifs'!$S$44:$AC$48,2,FALSE)))*(1+$D$59)*(1+$E$59)</f>
        <v>0</v>
      </c>
      <c r="F91" s="83">
        <f>E91*(1+(HLOOKUP(VLOOKUP(E$13,'table années scolaires'!$C$17:$E$27,3,FALSE),'Projection Effectifs'!$S$44:$AC$48,2,FALSE)))*(1+$D$59)*(1+$E$59)*(1+$F$59)</f>
        <v>0</v>
      </c>
      <c r="G91" s="83">
        <f>F91*(1+(HLOOKUP(VLOOKUP(F$13,'table années scolaires'!$C$17:$E$27,3,FALSE),'Projection Effectifs'!$S$44:$AC$48,2,FALSE)))*(1+$D$59)*(1+$E$59)*(1+$F$59)*(1+$G$59)</f>
        <v>0</v>
      </c>
      <c r="H91" s="83">
        <f>G91*(1+(HLOOKUP(VLOOKUP(G$13,'table années scolaires'!$C$17:$E$27,3,FALSE),'Projection Effectifs'!$S$44:$AC$48,2,FALSE)))*(1+$D$59)*(1+$E$59)*(1+$F$59)*(1+$G$59)*(1+$H$59)</f>
        <v>0</v>
      </c>
      <c r="I91" s="83">
        <f>H91*(1+(HLOOKUP(VLOOKUP(H$13,'table années scolaires'!$C$17:$E$27,3,FALSE),'Projection Effectifs'!$S$44:$AC$48,2,FALSE)))*(1+$D$59)*(1+$E$59)*(1+$F$59)*(1+$G$59)*(1+$H$59)*(1+$I$59)</f>
        <v>0</v>
      </c>
      <c r="J91" s="83">
        <f>I91*(1+(HLOOKUP(VLOOKUP(I$13,'table années scolaires'!$C$17:$E$27,3,FALSE),'Projection Effectifs'!$S$44:$AC$48,2,FALSE)))*(1+$D$59)*(1+$E$59)*(1+$F$59)*(1+$G$59)*(1+$H$59)*(1+$I$59)*(1+$J$59)</f>
        <v>0</v>
      </c>
    </row>
    <row r="92" spans="1:13" x14ac:dyDescent="0.2">
      <c r="A92" s="65"/>
      <c r="B92" s="65" t="s">
        <v>531</v>
      </c>
      <c r="C92" s="83">
        <f>VLOOKUP($B92,'Hypothèses '!$B$133:$D$146,3,FALSE)*HLOOKUP(VLOOKUP(C$13,'table années scolaires'!$C$17:$E$27,2,FALSE),'Projection Effectifs'!$S$31:$AC$35,2,FALSE)</f>
        <v>0</v>
      </c>
      <c r="D92" s="83">
        <f>C92*(1+(HLOOKUP(VLOOKUP(C$13,'table années scolaires'!$C$17:$E$27,3,FALSE),'Projection Effectifs'!$S$44:$AC$48,2,FALSE)))*(1+$D$59)</f>
        <v>0</v>
      </c>
      <c r="E92" s="83">
        <f>D92*(1+(HLOOKUP(VLOOKUP(D$13,'table années scolaires'!$C$17:$E$27,3,FALSE),'Projection Effectifs'!$S$44:$AC$48,2,FALSE)))*(1+$D$59)*(1+$E$59)</f>
        <v>0</v>
      </c>
      <c r="F92" s="83">
        <f>E92*(1+(HLOOKUP(VLOOKUP(E$13,'table années scolaires'!$C$17:$E$27,3,FALSE),'Projection Effectifs'!$S$44:$AC$48,2,FALSE)))*(1+$D$59)*(1+$E$59)*(1+$F$59)</f>
        <v>0</v>
      </c>
      <c r="G92" s="83">
        <f>F92*(1+(HLOOKUP(VLOOKUP(F$13,'table années scolaires'!$C$17:$E$27,3,FALSE),'Projection Effectifs'!$S$44:$AC$48,2,FALSE)))*(1+$D$59)*(1+$E$59)*(1+$F$59)*(1+$G$59)</f>
        <v>0</v>
      </c>
      <c r="H92" s="83">
        <f>G92*(1+(HLOOKUP(VLOOKUP(G$13,'table années scolaires'!$C$17:$E$27,3,FALSE),'Projection Effectifs'!$S$44:$AC$48,2,FALSE)))*(1+$D$59)*(1+$E$59)*(1+$F$59)*(1+$G$59)*(1+$H$59)</f>
        <v>0</v>
      </c>
      <c r="I92" s="83">
        <f>H92*(1+(HLOOKUP(VLOOKUP(H$13,'table années scolaires'!$C$17:$E$27,3,FALSE),'Projection Effectifs'!$S$44:$AC$48,2,FALSE)))*(1+$D$59)*(1+$E$59)*(1+$F$59)*(1+$G$59)*(1+$H$59)*(1+$I$59)</f>
        <v>0</v>
      </c>
      <c r="J92" s="83">
        <f>I92*(1+(HLOOKUP(VLOOKUP(I$13,'table années scolaires'!$C$17:$E$27,3,FALSE),'Projection Effectifs'!$S$44:$AC$48,2,FALSE)))*(1+$D$59)*(1+$E$59)*(1+$F$59)*(1+$G$59)*(1+$H$59)*(1+$I$59)*(1+$J$59)</f>
        <v>0</v>
      </c>
    </row>
    <row r="93" spans="1:13" x14ac:dyDescent="0.2">
      <c r="A93" s="65"/>
      <c r="B93" s="65" t="s">
        <v>532</v>
      </c>
      <c r="C93" s="83">
        <f>VLOOKUP($B93,'Hypothèses '!$B$133:$D$146,3,FALSE)*HLOOKUP(VLOOKUP(C$13,'table années scolaires'!$C$17:$E$27,2,FALSE),'Projection Effectifs'!$S$31:$AC$35,2,FALSE)</f>
        <v>0</v>
      </c>
      <c r="D93" s="83">
        <f>C93*(1+(HLOOKUP(VLOOKUP(C$13,'table années scolaires'!$C$17:$E$27,3,FALSE),'Projection Effectifs'!$S$44:$AC$48,2,FALSE)))*(1+$D$59)</f>
        <v>0</v>
      </c>
      <c r="E93" s="83">
        <f>D93*(1+(HLOOKUP(VLOOKUP(D$13,'table années scolaires'!$C$17:$E$27,3,FALSE),'Projection Effectifs'!$S$44:$AC$48,2,FALSE)))*(1+$D$59)*(1+$E$59)</f>
        <v>0</v>
      </c>
      <c r="F93" s="83">
        <f>E93*(1+(HLOOKUP(VLOOKUP(E$13,'table années scolaires'!$C$17:$E$27,3,FALSE),'Projection Effectifs'!$S$44:$AC$48,2,FALSE)))*(1+$D$59)*(1+$E$59)*(1+$F$59)</f>
        <v>0</v>
      </c>
      <c r="G93" s="83">
        <f>F93*(1+(HLOOKUP(VLOOKUP(F$13,'table années scolaires'!$C$17:$E$27,3,FALSE),'Projection Effectifs'!$S$44:$AC$48,2,FALSE)))*(1+$D$59)*(1+$E$59)*(1+$F$59)*(1+$G$59)</f>
        <v>0</v>
      </c>
      <c r="H93" s="83">
        <f>G93*(1+(HLOOKUP(VLOOKUP(G$13,'table années scolaires'!$C$17:$E$27,3,FALSE),'Projection Effectifs'!$S$44:$AC$48,2,FALSE)))*(1+$D$59)*(1+$E$59)*(1+$F$59)*(1+$G$59)*(1+$H$59)</f>
        <v>0</v>
      </c>
      <c r="I93" s="83">
        <f>H93*(1+(HLOOKUP(VLOOKUP(H$13,'table années scolaires'!$C$17:$E$27,3,FALSE),'Projection Effectifs'!$S$44:$AC$48,2,FALSE)))*(1+$D$59)*(1+$E$59)*(1+$F$59)*(1+$G$59)*(1+$H$59)*(1+$I$59)</f>
        <v>0</v>
      </c>
      <c r="J93" s="83">
        <f>I93*(1+(HLOOKUP(VLOOKUP(I$13,'table années scolaires'!$C$17:$E$27,3,FALSE),'Projection Effectifs'!$S$44:$AC$48,2,FALSE)))*(1+$D$59)*(1+$E$59)*(1+$F$59)*(1+$G$59)*(1+$H$59)*(1+$I$59)*(1+$J$59)</f>
        <v>0</v>
      </c>
    </row>
    <row r="94" spans="1:13" x14ac:dyDescent="0.2">
      <c r="A94" s="65"/>
      <c r="B94" s="86" t="s">
        <v>516</v>
      </c>
      <c r="C94" s="166">
        <f>SUM(C95:C103)</f>
        <v>0</v>
      </c>
      <c r="D94" s="166">
        <f t="shared" ref="D94:J94" si="41">SUM(D95:D103)</f>
        <v>0</v>
      </c>
      <c r="E94" s="166">
        <f t="shared" si="41"/>
        <v>0</v>
      </c>
      <c r="F94" s="166">
        <f t="shared" si="41"/>
        <v>0</v>
      </c>
      <c r="G94" s="166">
        <f t="shared" si="41"/>
        <v>0</v>
      </c>
      <c r="H94" s="166">
        <f t="shared" si="41"/>
        <v>0</v>
      </c>
      <c r="I94" s="166">
        <f t="shared" si="41"/>
        <v>0</v>
      </c>
      <c r="J94" s="166">
        <f t="shared" si="41"/>
        <v>0</v>
      </c>
    </row>
    <row r="95" spans="1:13" x14ac:dyDescent="0.2">
      <c r="A95" s="65"/>
      <c r="B95" s="65" t="s">
        <v>510</v>
      </c>
      <c r="C95" s="83">
        <f>VLOOKUP($B95,'Hypothèses '!$B$133:$D$146,3,FALSE)*HLOOKUP(VLOOKUP(C$13,'table années scolaires'!$C$17:$E$27,2,FALSE),'Projection Effectifs'!$S$31:$AC$35,2,FALSE)</f>
        <v>0</v>
      </c>
      <c r="D95" s="83">
        <f>VLOOKUP($B95,'Hypothèses '!$B$133:$D$146,3,FALSE)*HLOOKUP(VLOOKUP(D$13,'table années scolaires'!$C$17:$E$27,2,FALSE),'Projection Effectifs'!$S$31:$AC$35,2,FALSE)*(1+$D$59)</f>
        <v>0</v>
      </c>
      <c r="E95" s="83">
        <f>VLOOKUP($B95,'Hypothèses '!$B$133:$D$146,3,FALSE)*HLOOKUP(VLOOKUP(E$13,'table années scolaires'!$C$17:$E$27,2,FALSE),'Projection Effectifs'!$S$31:$AC$35,2,FALSE)*(1+$E$59)*(1+$D$59)</f>
        <v>0</v>
      </c>
      <c r="F95" s="83">
        <f>VLOOKUP($B95,'Hypothèses '!$B$133:$D$146,3,FALSE)*HLOOKUP(VLOOKUP(F$13,'table années scolaires'!$C$17:$E$27,2,FALSE),'Projection Effectifs'!$S$31:$AC$35,2,FALSE)*(1+$E$59)*(1+$F$59)*(1+$D$59)</f>
        <v>0</v>
      </c>
      <c r="G95" s="83">
        <f>VLOOKUP($B95,'Hypothèses '!$B$133:$D$146,3,FALSE)*HLOOKUP(VLOOKUP(G$13,'table années scolaires'!$C$17:$E$27,2,FALSE),'Projection Effectifs'!$S$31:$AC$35,2,FALSE)*(1+$E$59)*(1+$F$59)*(1+$G$59)*(1+$D$59)</f>
        <v>0</v>
      </c>
      <c r="H95" s="83">
        <f>VLOOKUP($B95,'Hypothèses '!$B$133:$D$146,3,FALSE)*HLOOKUP(VLOOKUP(H$13,'table années scolaires'!$C$17:$E$27,2,FALSE),'Projection Effectifs'!$S$31:$AC$35,2,FALSE)*(1+$E$59)*(1+$F$59)*(1+$G$59)*(1+$H$59)*(1+$D$59)</f>
        <v>0</v>
      </c>
      <c r="I95" s="83">
        <f>VLOOKUP($B95,'Hypothèses '!$B$133:$D$146,3,FALSE)*HLOOKUP(VLOOKUP(I$13,'table années scolaires'!$C$17:$E$27,2,FALSE),'Projection Effectifs'!$S$31:$AC$35,2,FALSE)*(1+$E$59)*(1+$F$59)*(1+$G$59)*(1+$H$59)*(1+$I$59)*(1+$D$59)</f>
        <v>0</v>
      </c>
      <c r="J95" s="83">
        <f>VLOOKUP($B95,'Hypothèses '!$B$133:$D$146,3,FALSE)*HLOOKUP(VLOOKUP(J$13,'table années scolaires'!$C$17:$E$27,2,FALSE),'Projection Effectifs'!$S$31:$AC$35,2,FALSE)*(1+$E$59)*(1+$F$59)*(1+$G$59)*(1+$H$59)*(1+$I$59)*(1+$J$59)*(1+$D$59)</f>
        <v>0</v>
      </c>
    </row>
    <row r="96" spans="1:13" x14ac:dyDescent="0.2">
      <c r="A96" s="65"/>
      <c r="B96" s="65" t="s">
        <v>528</v>
      </c>
      <c r="C96" s="83">
        <f>VLOOKUP($B96,'Hypothèses '!$B$133:$D$146,3,FALSE)*HLOOKUP(VLOOKUP(C$13,'table années scolaires'!$C$17:$E$27,2,FALSE),'Projection Effectifs'!$S$31:$AC$35,2,FALSE)</f>
        <v>0</v>
      </c>
      <c r="D96" s="83">
        <f>VLOOKUP($B96,'Hypothèses '!$B$133:$D$146,3,FALSE)*HLOOKUP(VLOOKUP(D$13,'table années scolaires'!$C$17:$E$27,2,FALSE),'Projection Effectifs'!$S$31:$AC$35,2,FALSE)*(1+$D$59)</f>
        <v>0</v>
      </c>
      <c r="E96" s="83">
        <f>VLOOKUP($B96,'Hypothèses '!$B$133:$D$146,3,FALSE)*HLOOKUP(VLOOKUP(E$13,'table années scolaires'!$C$17:$E$27,2,FALSE),'Projection Effectifs'!$S$31:$AC$35,2,FALSE)*(1+$E$59)*(1+$D$59)</f>
        <v>0</v>
      </c>
      <c r="F96" s="83">
        <f>VLOOKUP($B96,'Hypothèses '!$B$133:$D$146,3,FALSE)*HLOOKUP(VLOOKUP(F$13,'table années scolaires'!$C$17:$E$27,2,FALSE),'Projection Effectifs'!$S$31:$AC$35,2,FALSE)*(1+$E$59)*(1+$F$59)*(1+$D$59)</f>
        <v>0</v>
      </c>
      <c r="G96" s="83">
        <f>VLOOKUP($B96,'Hypothèses '!$B$133:$D$146,3,FALSE)*HLOOKUP(VLOOKUP(G$13,'table années scolaires'!$C$17:$E$27,2,FALSE),'Projection Effectifs'!$S$31:$AC$35,2,FALSE)*(1+$E$59)*(1+$F$59)*(1+$G$59)*(1+$D$59)</f>
        <v>0</v>
      </c>
      <c r="H96" s="83">
        <f>VLOOKUP($B96,'Hypothèses '!$B$133:$D$146,3,FALSE)*HLOOKUP(VLOOKUP(H$13,'table années scolaires'!$C$17:$E$27,2,FALSE),'Projection Effectifs'!$S$31:$AC$35,2,FALSE)*(1+$E$59)*(1+$F$59)*(1+$G$59)*(1+$H$59)*(1+$D$59)</f>
        <v>0</v>
      </c>
      <c r="I96" s="83">
        <f>VLOOKUP($B96,'Hypothèses '!$B$133:$D$146,3,FALSE)*HLOOKUP(VLOOKUP(I$13,'table années scolaires'!$C$17:$E$27,2,FALSE),'Projection Effectifs'!$S$31:$AC$35,2,FALSE)*(1+$E$59)*(1+$F$59)*(1+$G$59)*(1+$H$59)*(1+$I$59)*(1+$D$59)</f>
        <v>0</v>
      </c>
      <c r="J96" s="83">
        <f>VLOOKUP($B96,'Hypothèses '!$B$133:$D$146,3,FALSE)*HLOOKUP(VLOOKUP(J$13,'table années scolaires'!$C$17:$E$27,2,FALSE),'Projection Effectifs'!$S$31:$AC$35,2,FALSE)*(1+$E$59)*(1+$F$59)*(1+$G$59)*(1+$H$59)*(1+$I$59)*(1+$J$59)*(1+$D$59)</f>
        <v>0</v>
      </c>
    </row>
    <row r="97" spans="1:10" x14ac:dyDescent="0.2">
      <c r="A97" s="65"/>
      <c r="B97" s="65" t="s">
        <v>517</v>
      </c>
      <c r="C97" s="83">
        <f>VLOOKUP($B97,'Hypothèses '!$B$133:$D$146,3,FALSE)*HLOOKUP(VLOOKUP(C$13,'table années scolaires'!$C$17:$E$27,2,FALSE),'Projection Effectifs'!$S$31:$AC$35,2,FALSE)</f>
        <v>0</v>
      </c>
      <c r="D97" s="83">
        <f>VLOOKUP($B97,'Hypothèses '!$B$133:$D$146,3,FALSE)*HLOOKUP(VLOOKUP(D$13,'table années scolaires'!$C$17:$E$27,2,FALSE),'Projection Effectifs'!$S$31:$AC$35,2,FALSE)*(1+$D$59)</f>
        <v>0</v>
      </c>
      <c r="E97" s="83">
        <f>VLOOKUP($B97,'Hypothèses '!$B$133:$D$146,3,FALSE)*HLOOKUP(VLOOKUP(E$13,'table années scolaires'!$C$17:$E$27,2,FALSE),'Projection Effectifs'!$S$31:$AC$35,2,FALSE)*(1+$E$59)*(1+$D$59)</f>
        <v>0</v>
      </c>
      <c r="F97" s="83">
        <f>VLOOKUP($B97,'Hypothèses '!$B$133:$D$146,3,FALSE)*HLOOKUP(VLOOKUP(F$13,'table années scolaires'!$C$17:$E$27,2,FALSE),'Projection Effectifs'!$S$31:$AC$35,2,FALSE)*(1+$E$59)*(1+$F$59)*(1+$D$59)</f>
        <v>0</v>
      </c>
      <c r="G97" s="83">
        <f>VLOOKUP($B97,'Hypothèses '!$B$133:$D$146,3,FALSE)*HLOOKUP(VLOOKUP(G$13,'table années scolaires'!$C$17:$E$27,2,FALSE),'Projection Effectifs'!$S$31:$AC$35,2,FALSE)*(1+$E$59)*(1+$F$59)*(1+$G$59)*(1+$D$59)</f>
        <v>0</v>
      </c>
      <c r="H97" s="83">
        <f>VLOOKUP($B97,'Hypothèses '!$B$133:$D$146,3,FALSE)*HLOOKUP(VLOOKUP(H$13,'table années scolaires'!$C$17:$E$27,2,FALSE),'Projection Effectifs'!$S$31:$AC$35,2,FALSE)*(1+$E$59)*(1+$F$59)*(1+$G$59)*(1+$H$59)*(1+$D$59)</f>
        <v>0</v>
      </c>
      <c r="I97" s="83">
        <f>VLOOKUP($B97,'Hypothèses '!$B$133:$D$146,3,FALSE)*HLOOKUP(VLOOKUP(I$13,'table années scolaires'!$C$17:$E$27,2,FALSE),'Projection Effectifs'!$S$31:$AC$35,2,FALSE)*(1+$E$59)*(1+$F$59)*(1+$G$59)*(1+$H$59)*(1+$I$59)*(1+$D$59)</f>
        <v>0</v>
      </c>
      <c r="J97" s="83">
        <f>VLOOKUP($B97,'Hypothèses '!$B$133:$D$146,3,FALSE)*HLOOKUP(VLOOKUP(J$13,'table années scolaires'!$C$17:$E$27,2,FALSE),'Projection Effectifs'!$S$31:$AC$35,2,FALSE)*(1+$E$59)*(1+$F$59)*(1+$G$59)*(1+$H$59)*(1+$I$59)*(1+$J$59)*(1+$D$59)</f>
        <v>0</v>
      </c>
    </row>
    <row r="98" spans="1:10" x14ac:dyDescent="0.2">
      <c r="A98" s="65"/>
      <c r="B98" s="65" t="s">
        <v>518</v>
      </c>
      <c r="C98" s="83">
        <f>VLOOKUP($B98,'Hypothèses '!$B$133:$D$146,3,FALSE)*HLOOKUP(VLOOKUP(C$13,'table années scolaires'!$C$17:$E$27,2,FALSE),'Projection Effectifs'!$S$31:$AC$35,2,FALSE)</f>
        <v>0</v>
      </c>
      <c r="D98" s="83">
        <f>VLOOKUP($B98,'Hypothèses '!$B$133:$D$146,3,FALSE)*HLOOKUP(VLOOKUP(D$13,'table années scolaires'!$C$17:$E$27,2,FALSE),'Projection Effectifs'!$S$31:$AC$35,2,FALSE)*(1+$D$59)</f>
        <v>0</v>
      </c>
      <c r="E98" s="83">
        <f>VLOOKUP($B98,'Hypothèses '!$B$133:$D$146,3,FALSE)*HLOOKUP(VLOOKUP(E$13,'table années scolaires'!$C$17:$E$27,2,FALSE),'Projection Effectifs'!$S$31:$AC$35,2,FALSE)*(1+$E$59)*(1+$D$59)</f>
        <v>0</v>
      </c>
      <c r="F98" s="83">
        <f>VLOOKUP($B98,'Hypothèses '!$B$133:$D$146,3,FALSE)*HLOOKUP(VLOOKUP(F$13,'table années scolaires'!$C$17:$E$27,2,FALSE),'Projection Effectifs'!$S$31:$AC$35,2,FALSE)*(1+$E$59)*(1+$F$59)*(1+$D$59)</f>
        <v>0</v>
      </c>
      <c r="G98" s="83">
        <f>VLOOKUP($B98,'Hypothèses '!$B$133:$D$146,3,FALSE)*HLOOKUP(VLOOKUP(G$13,'table années scolaires'!$C$17:$E$27,2,FALSE),'Projection Effectifs'!$S$31:$AC$35,2,FALSE)*(1+$E$59)*(1+$F$59)*(1+$G$59)*(1+$D$59)</f>
        <v>0</v>
      </c>
      <c r="H98" s="83">
        <f>VLOOKUP($B98,'Hypothèses '!$B$133:$D$146,3,FALSE)*HLOOKUP(VLOOKUP(H$13,'table années scolaires'!$C$17:$E$27,2,FALSE),'Projection Effectifs'!$S$31:$AC$35,2,FALSE)*(1+$E$59)*(1+$F$59)*(1+$G$59)*(1+$H$59)*(1+$D$59)</f>
        <v>0</v>
      </c>
      <c r="I98" s="83">
        <f>VLOOKUP($B98,'Hypothèses '!$B$133:$D$146,3,FALSE)*HLOOKUP(VLOOKUP(I$13,'table années scolaires'!$C$17:$E$27,2,FALSE),'Projection Effectifs'!$S$31:$AC$35,2,FALSE)*(1+$E$59)*(1+$F$59)*(1+$G$59)*(1+$H$59)*(1+$I$59)*(1+$D$59)</f>
        <v>0</v>
      </c>
      <c r="J98" s="83">
        <f>VLOOKUP($B98,'Hypothèses '!$B$133:$D$146,3,FALSE)*HLOOKUP(VLOOKUP(J$13,'table années scolaires'!$C$17:$E$27,2,FALSE),'Projection Effectifs'!$S$31:$AC$35,2,FALSE)*(1+$E$59)*(1+$F$59)*(1+$G$59)*(1+$H$59)*(1+$I$59)*(1+$J$59)*(1+$D$59)</f>
        <v>0</v>
      </c>
    </row>
    <row r="99" spans="1:10" x14ac:dyDescent="0.2">
      <c r="A99" s="65"/>
      <c r="B99" s="65" t="s">
        <v>511</v>
      </c>
      <c r="C99" s="83">
        <f>VLOOKUP($B99,'Hypothèses '!$B$133:$D$146,3,FALSE)*HLOOKUP(VLOOKUP(C$13,'table années scolaires'!$C$17:$E$27,2,FALSE),'Projection Effectifs'!$S$31:$AC$35,2,FALSE)</f>
        <v>0</v>
      </c>
      <c r="D99" s="83">
        <f>VLOOKUP($B99,'Hypothèses '!$B$133:$D$146,3,FALSE)*HLOOKUP(VLOOKUP(D$13,'table années scolaires'!$C$17:$E$27,2,FALSE),'Projection Effectifs'!$S$31:$AC$35,2,FALSE)*(1+$D$59)</f>
        <v>0</v>
      </c>
      <c r="E99" s="83">
        <f>VLOOKUP($B99,'Hypothèses '!$B$133:$D$146,3,FALSE)*HLOOKUP(VLOOKUP(E$13,'table années scolaires'!$C$17:$E$27,2,FALSE),'Projection Effectifs'!$S$31:$AC$35,2,FALSE)*(1+$E$59)*(1+$D$59)</f>
        <v>0</v>
      </c>
      <c r="F99" s="83">
        <f>VLOOKUP($B99,'Hypothèses '!$B$133:$D$146,3,FALSE)*HLOOKUP(VLOOKUP(F$13,'table années scolaires'!$C$17:$E$27,2,FALSE),'Projection Effectifs'!$S$31:$AC$35,2,FALSE)*(1+$E$59)*(1+$F$59)*(1+$D$59)</f>
        <v>0</v>
      </c>
      <c r="G99" s="83">
        <f>VLOOKUP($B99,'Hypothèses '!$B$133:$D$146,3,FALSE)*HLOOKUP(VLOOKUP(G$13,'table années scolaires'!$C$17:$E$27,2,FALSE),'Projection Effectifs'!$S$31:$AC$35,2,FALSE)*(1+$E$59)*(1+$F$59)*(1+$G$59)*(1+$D$59)</f>
        <v>0</v>
      </c>
      <c r="H99" s="83">
        <f>VLOOKUP($B99,'Hypothèses '!$B$133:$D$146,3,FALSE)*HLOOKUP(VLOOKUP(H$13,'table années scolaires'!$C$17:$E$27,2,FALSE),'Projection Effectifs'!$S$31:$AC$35,2,FALSE)*(1+$E$59)*(1+$F$59)*(1+$G$59)*(1+$H$59)*(1+$D$59)</f>
        <v>0</v>
      </c>
      <c r="I99" s="83">
        <f>VLOOKUP($B99,'Hypothèses '!$B$133:$D$146,3,FALSE)*HLOOKUP(VLOOKUP(I$13,'table années scolaires'!$C$17:$E$27,2,FALSE),'Projection Effectifs'!$S$31:$AC$35,2,FALSE)*(1+$E$59)*(1+$F$59)*(1+$G$59)*(1+$H$59)*(1+$I$59)*(1+$D$59)</f>
        <v>0</v>
      </c>
      <c r="J99" s="83">
        <f>VLOOKUP($B99,'Hypothèses '!$B$133:$D$146,3,FALSE)*HLOOKUP(VLOOKUP(J$13,'table années scolaires'!$C$17:$E$27,2,FALSE),'Projection Effectifs'!$S$31:$AC$35,2,FALSE)*(1+$E$59)*(1+$F$59)*(1+$G$59)*(1+$H$59)*(1+$I$59)*(1+$J$59)*(1+$D$59)</f>
        <v>0</v>
      </c>
    </row>
    <row r="100" spans="1:10" x14ac:dyDescent="0.2">
      <c r="A100" s="65"/>
      <c r="B100" s="65" t="s">
        <v>512</v>
      </c>
      <c r="C100" s="83">
        <f>VLOOKUP($B100,'Hypothèses '!$B$133:$D$146,3,FALSE)*HLOOKUP(VLOOKUP(C$13,'table années scolaires'!$C$17:$E$27,2,FALSE),'Projection Effectifs'!$S$31:$AC$35,2,FALSE)</f>
        <v>0</v>
      </c>
      <c r="D100" s="83">
        <f>VLOOKUP($B100,'Hypothèses '!$B$133:$D$146,3,FALSE)*HLOOKUP(VLOOKUP(D$13,'table années scolaires'!$C$17:$E$27,2,FALSE),'Projection Effectifs'!$S$31:$AC$35,2,FALSE)*(1+$D$59)</f>
        <v>0</v>
      </c>
      <c r="E100" s="83">
        <f>VLOOKUP($B100,'Hypothèses '!$B$133:$D$146,3,FALSE)*HLOOKUP(VLOOKUP(E$13,'table années scolaires'!$C$17:$E$27,2,FALSE),'Projection Effectifs'!$S$31:$AC$35,2,FALSE)*(1+$E$59)*(1+$D$59)</f>
        <v>0</v>
      </c>
      <c r="F100" s="83">
        <f>VLOOKUP($B100,'Hypothèses '!$B$133:$D$146,3,FALSE)*HLOOKUP(VLOOKUP(F$13,'table années scolaires'!$C$17:$E$27,2,FALSE),'Projection Effectifs'!$S$31:$AC$35,2,FALSE)*(1+$E$59)*(1+$F$59)*(1+$D$59)</f>
        <v>0</v>
      </c>
      <c r="G100" s="83">
        <f>VLOOKUP($B100,'Hypothèses '!$B$133:$D$146,3,FALSE)*HLOOKUP(VLOOKUP(G$13,'table années scolaires'!$C$17:$E$27,2,FALSE),'Projection Effectifs'!$S$31:$AC$35,2,FALSE)*(1+$E$59)*(1+$F$59)*(1+$G$59)*(1+$D$59)</f>
        <v>0</v>
      </c>
      <c r="H100" s="83">
        <f>VLOOKUP($B100,'Hypothèses '!$B$133:$D$146,3,FALSE)*HLOOKUP(VLOOKUP(H$13,'table années scolaires'!$C$17:$E$27,2,FALSE),'Projection Effectifs'!$S$31:$AC$35,2,FALSE)*(1+$E$59)*(1+$F$59)*(1+$G$59)*(1+$H$59)*(1+$D$59)</f>
        <v>0</v>
      </c>
      <c r="I100" s="83">
        <f>VLOOKUP($B100,'Hypothèses '!$B$133:$D$146,3,FALSE)*HLOOKUP(VLOOKUP(I$13,'table années scolaires'!$C$17:$E$27,2,FALSE),'Projection Effectifs'!$S$31:$AC$35,2,FALSE)*(1+$E$59)*(1+$F$59)*(1+$G$59)*(1+$H$59)*(1+$I$59)*(1+$D$59)</f>
        <v>0</v>
      </c>
      <c r="J100" s="83">
        <f>VLOOKUP($B100,'Hypothèses '!$B$133:$D$146,3,FALSE)*HLOOKUP(VLOOKUP(J$13,'table années scolaires'!$C$17:$E$27,2,FALSE),'Projection Effectifs'!$S$31:$AC$35,2,FALSE)*(1+$E$59)*(1+$F$59)*(1+$G$59)*(1+$H$59)*(1+$I$59)*(1+$J$59)*(1+$D$59)</f>
        <v>0</v>
      </c>
    </row>
    <row r="101" spans="1:10" x14ac:dyDescent="0.2">
      <c r="A101" s="65"/>
      <c r="B101" s="65" t="s">
        <v>520</v>
      </c>
      <c r="C101" s="83">
        <f>VLOOKUP($B101,'Hypothèses '!$B$133:$D$146,3,FALSE)*HLOOKUP(VLOOKUP(C$13,'table années scolaires'!$C$17:$E$27,2,FALSE),'Projection Effectifs'!$S$31:$AC$35,2,FALSE)</f>
        <v>0</v>
      </c>
      <c r="D101" s="83">
        <f>VLOOKUP($B101,'Hypothèses '!$B$133:$D$146,3,FALSE)*HLOOKUP(VLOOKUP(D$13,'table années scolaires'!$C$17:$E$27,2,FALSE),'Projection Effectifs'!$S$31:$AC$35,2,FALSE)*(1+$D$59)</f>
        <v>0</v>
      </c>
      <c r="E101" s="83">
        <f>VLOOKUP($B101,'Hypothèses '!$B$133:$D$146,3,FALSE)*HLOOKUP(VLOOKUP(E$13,'table années scolaires'!$C$17:$E$27,2,FALSE),'Projection Effectifs'!$S$31:$AC$35,2,FALSE)*(1+$E$59)*(1+$D$59)</f>
        <v>0</v>
      </c>
      <c r="F101" s="83">
        <f>VLOOKUP($B101,'Hypothèses '!$B$133:$D$146,3,FALSE)*HLOOKUP(VLOOKUP(F$13,'table années scolaires'!$C$17:$E$27,2,FALSE),'Projection Effectifs'!$S$31:$AC$35,2,FALSE)*(1+$E$59)*(1+$F$59)*(1+$D$59)</f>
        <v>0</v>
      </c>
      <c r="G101" s="83">
        <f>VLOOKUP($B101,'Hypothèses '!$B$133:$D$146,3,FALSE)*HLOOKUP(VLOOKUP(G$13,'table années scolaires'!$C$17:$E$27,2,FALSE),'Projection Effectifs'!$S$31:$AC$35,2,FALSE)*(1+$E$59)*(1+$F$59)*(1+$G$59)*(1+$D$59)</f>
        <v>0</v>
      </c>
      <c r="H101" s="83">
        <f>VLOOKUP($B101,'Hypothèses '!$B$133:$D$146,3,FALSE)*HLOOKUP(VLOOKUP(H$13,'table années scolaires'!$C$17:$E$27,2,FALSE),'Projection Effectifs'!$S$31:$AC$35,2,FALSE)*(1+$E$59)*(1+$F$59)*(1+$G$59)*(1+$H$59)*(1+$D$59)</f>
        <v>0</v>
      </c>
      <c r="I101" s="83">
        <f>VLOOKUP($B101,'Hypothèses '!$B$133:$D$146,3,FALSE)*HLOOKUP(VLOOKUP(I$13,'table années scolaires'!$C$17:$E$27,2,FALSE),'Projection Effectifs'!$S$31:$AC$35,2,FALSE)*(1+$E$59)*(1+$F$59)*(1+$G$59)*(1+$H$59)*(1+$I$59)*(1+$D$59)</f>
        <v>0</v>
      </c>
      <c r="J101" s="83">
        <f>VLOOKUP($B101,'Hypothèses '!$B$133:$D$146,3,FALSE)*HLOOKUP(VLOOKUP(J$13,'table années scolaires'!$C$17:$E$27,2,FALSE),'Projection Effectifs'!$S$31:$AC$35,2,FALSE)*(1+$E$59)*(1+$F$59)*(1+$G$59)*(1+$H$59)*(1+$I$59)*(1+$J$59)*(1+$D$59)</f>
        <v>0</v>
      </c>
    </row>
    <row r="102" spans="1:10" x14ac:dyDescent="0.2">
      <c r="A102" s="65"/>
      <c r="B102" s="65" t="s">
        <v>526</v>
      </c>
      <c r="C102" s="83">
        <f>VLOOKUP($B102,'Hypothèses '!$B$133:$D$146,3,FALSE)*HLOOKUP(VLOOKUP(C$13,'table années scolaires'!$C$17:$E$27,2,FALSE),'Projection Effectifs'!$S$31:$AC$35,2,FALSE)</f>
        <v>0</v>
      </c>
      <c r="D102" s="83">
        <f>VLOOKUP($B102,'Hypothèses '!$B$133:$D$146,3,FALSE)*HLOOKUP(VLOOKUP(D$13,'table années scolaires'!$C$17:$E$27,2,FALSE),'Projection Effectifs'!$S$31:$AC$35,2,FALSE)*(1+$D$59)</f>
        <v>0</v>
      </c>
      <c r="E102" s="83">
        <f>VLOOKUP($B102,'Hypothèses '!$B$133:$D$146,3,FALSE)*HLOOKUP(VLOOKUP(E$13,'table années scolaires'!$C$17:$E$27,2,FALSE),'Projection Effectifs'!$S$31:$AC$35,2,FALSE)*(1+$E$59)*(1+$D$59)</f>
        <v>0</v>
      </c>
      <c r="F102" s="83">
        <f>VLOOKUP($B102,'Hypothèses '!$B$133:$D$146,3,FALSE)*HLOOKUP(VLOOKUP(F$13,'table années scolaires'!$C$17:$E$27,2,FALSE),'Projection Effectifs'!$S$31:$AC$35,2,FALSE)*(1+$E$59)*(1+$F$59)*(1+$D$59)</f>
        <v>0</v>
      </c>
      <c r="G102" s="83">
        <f>VLOOKUP($B102,'Hypothèses '!$B$133:$D$146,3,FALSE)*HLOOKUP(VLOOKUP(G$13,'table années scolaires'!$C$17:$E$27,2,FALSE),'Projection Effectifs'!$S$31:$AC$35,2,FALSE)*(1+$E$59)*(1+$F$59)*(1+$G$59)*(1+$D$59)</f>
        <v>0</v>
      </c>
      <c r="H102" s="83">
        <f>VLOOKUP($B102,'Hypothèses '!$B$133:$D$146,3,FALSE)*HLOOKUP(VLOOKUP(H$13,'table années scolaires'!$C$17:$E$27,2,FALSE),'Projection Effectifs'!$S$31:$AC$35,2,FALSE)*(1+$E$59)*(1+$F$59)*(1+$G$59)*(1+$H$59)*(1+$D$59)</f>
        <v>0</v>
      </c>
      <c r="I102" s="83">
        <f>VLOOKUP($B102,'Hypothèses '!$B$133:$D$146,3,FALSE)*HLOOKUP(VLOOKUP(I$13,'table années scolaires'!$C$17:$E$27,2,FALSE),'Projection Effectifs'!$S$31:$AC$35,2,FALSE)*(1+$E$59)*(1+$F$59)*(1+$G$59)*(1+$H$59)*(1+$I$59)*(1+$D$59)</f>
        <v>0</v>
      </c>
      <c r="J102" s="83">
        <f>VLOOKUP($B102,'Hypothèses '!$B$133:$D$146,3,FALSE)*HLOOKUP(VLOOKUP(J$13,'table années scolaires'!$C$17:$E$27,2,FALSE),'Projection Effectifs'!$S$31:$AC$35,2,FALSE)*(1+$E$59)*(1+$F$59)*(1+$G$59)*(1+$H$59)*(1+$I$59)*(1+$J$59)*(1+$D$59)</f>
        <v>0</v>
      </c>
    </row>
    <row r="103" spans="1:10" x14ac:dyDescent="0.2">
      <c r="A103" s="65"/>
      <c r="B103" s="65" t="s">
        <v>527</v>
      </c>
      <c r="C103" s="83">
        <f>VLOOKUP($B103,'Hypothèses '!$B$133:$D$146,3,FALSE)*HLOOKUP(VLOOKUP(C$13,'table années scolaires'!$C$17:$E$27,2,FALSE),'Projection Effectifs'!$S$31:$AC$35,2,FALSE)</f>
        <v>0</v>
      </c>
      <c r="D103" s="83">
        <f>VLOOKUP($B103,'Hypothèses '!$B$133:$D$146,3,FALSE)*HLOOKUP(VLOOKUP(D$13,'table années scolaires'!$C$17:$E$27,2,FALSE),'Projection Effectifs'!$S$31:$AC$35,2,FALSE)*(1+$D$59)</f>
        <v>0</v>
      </c>
      <c r="E103" s="83">
        <f>VLOOKUP($B103,'Hypothèses '!$B$133:$D$146,3,FALSE)*HLOOKUP(VLOOKUP(E$13,'table années scolaires'!$C$17:$E$27,2,FALSE),'Projection Effectifs'!$S$31:$AC$35,2,FALSE)*(1+$E$59)*(1+$D$59)</f>
        <v>0</v>
      </c>
      <c r="F103" s="83">
        <f>VLOOKUP($B103,'Hypothèses '!$B$133:$D$146,3,FALSE)*HLOOKUP(VLOOKUP(F$13,'table années scolaires'!$C$17:$E$27,2,FALSE),'Projection Effectifs'!$S$31:$AC$35,2,FALSE)*(1+$E$59)*(1+$F$59)*(1+$D$59)</f>
        <v>0</v>
      </c>
      <c r="G103" s="83">
        <f>VLOOKUP($B103,'Hypothèses '!$B$133:$D$146,3,FALSE)*HLOOKUP(VLOOKUP(G$13,'table années scolaires'!$C$17:$E$27,2,FALSE),'Projection Effectifs'!$S$31:$AC$35,2,FALSE)*(1+$E$59)*(1+$F$59)*(1+$G$59)*(1+$D$59)</f>
        <v>0</v>
      </c>
      <c r="H103" s="83">
        <f>VLOOKUP($B103,'Hypothèses '!$B$133:$D$146,3,FALSE)*HLOOKUP(VLOOKUP(H$13,'table années scolaires'!$C$17:$E$27,2,FALSE),'Projection Effectifs'!$S$31:$AC$35,2,FALSE)*(1+$E$59)*(1+$F$59)*(1+$G$59)*(1+$H$59)*(1+$D$59)</f>
        <v>0</v>
      </c>
      <c r="I103" s="83">
        <f>VLOOKUP($B103,'Hypothèses '!$B$133:$D$146,3,FALSE)*HLOOKUP(VLOOKUP(I$13,'table années scolaires'!$C$17:$E$27,2,FALSE),'Projection Effectifs'!$S$31:$AC$35,2,FALSE)*(1+$E$59)*(1+$F$59)*(1+$G$59)*(1+$H$59)*(1+$I$59)*(1+$D$59)</f>
        <v>0</v>
      </c>
      <c r="J103" s="83">
        <f>VLOOKUP($B103,'Hypothèses '!$B$133:$D$146,3,FALSE)*HLOOKUP(VLOOKUP(J$13,'table années scolaires'!$C$17:$E$27,2,FALSE),'Projection Effectifs'!$S$31:$AC$35,2,FALSE)*(1+$E$59)*(1+$F$59)*(1+$G$59)*(1+$H$59)*(1+$I$59)*(1+$J$59)*(1+$D$59)</f>
        <v>0</v>
      </c>
    </row>
    <row r="104" spans="1:10" x14ac:dyDescent="0.2">
      <c r="A104" s="65"/>
      <c r="B104" s="86" t="s">
        <v>524</v>
      </c>
      <c r="C104" s="166">
        <f>SUM(C105:C107)</f>
        <v>0</v>
      </c>
      <c r="D104" s="166">
        <f>SUM(D105:D107)</f>
        <v>0</v>
      </c>
      <c r="E104" s="166">
        <f t="shared" ref="E104:I104" si="42">SUM(E105:E107)</f>
        <v>0</v>
      </c>
      <c r="F104" s="166" t="e">
        <f t="shared" si="42"/>
        <v>#N/A</v>
      </c>
      <c r="G104" s="166" t="e">
        <f t="shared" si="42"/>
        <v>#N/A</v>
      </c>
      <c r="H104" s="166" t="e">
        <f t="shared" si="42"/>
        <v>#N/A</v>
      </c>
      <c r="I104" s="166" t="e">
        <f t="shared" si="42"/>
        <v>#N/A</v>
      </c>
      <c r="J104" s="166" t="e">
        <f>SUM(J105:J107)</f>
        <v>#N/A</v>
      </c>
    </row>
    <row r="105" spans="1:10" hidden="1" x14ac:dyDescent="0.2">
      <c r="A105" s="65"/>
      <c r="B105" s="65" t="s">
        <v>521</v>
      </c>
      <c r="C105" s="83">
        <f>IF(HLOOKUP(VLOOKUP(C$13,'table années scolaires'!$C$17:$E$27,2,FALSE),'Hypothèses '!$C$12:$K$16,2,FALSE)="non",0,IF('Hypothèses '!$C$7="conventionné",(C$29+C$31)*0.06*0.94,0))</f>
        <v>0</v>
      </c>
      <c r="D105" s="83">
        <f>IF(HLOOKUP(VLOOKUP(D$13,'table années scolaires'!$C$17:$E$27,2,FALSE),'Hypothèses '!$C$12:$K$16,2,FALSE)="non",0,IF('Hypothèses '!$C$7="conventionné",(D$29+D$31)*0.06*0.94,0))</f>
        <v>0</v>
      </c>
      <c r="E105" s="83">
        <f>IF(HLOOKUP(VLOOKUP(E$13,'table années scolaires'!$C$17:$E$27,2,FALSE),'Hypothèses '!$C$12:$K$16,2,FALSE)="non",0,IF('Hypothèses '!$C$7="conventionné",(E$29+E$31)*0.06*0.94,0))</f>
        <v>0</v>
      </c>
      <c r="F105" s="83">
        <f>IF(HLOOKUP(VLOOKUP(F$13,'table années scolaires'!$C$17:$E$27,2,FALSE),'Hypothèses '!$C$12:$K$16,2,FALSE)="non",0,IF('Hypothèses '!$C$7="conventionné",(F$29+F$31)*0.06*0.94,0))</f>
        <v>696540</v>
      </c>
      <c r="G105" s="83">
        <f>IF(HLOOKUP(VLOOKUP(G$13,'table années scolaires'!$C$17:$E$27,2,FALSE),'Hypothèses '!$C$12:$K$16,2,FALSE)="non",0,IF('Hypothèses '!$C$7="conventionné",(G$29+G$31)*0.06*0.94,0))</f>
        <v>879840</v>
      </c>
      <c r="H105" s="83">
        <f>IF(HLOOKUP(VLOOKUP(H$13,'table années scolaires'!$C$17:$E$27,2,FALSE),'Hypothèses '!$C$12:$K$16,2,FALSE)="non",0,IF('Hypothèses '!$C$7="conventionné",(H$29+H$31)*0.06*0.94,0))</f>
        <v>1099800</v>
      </c>
      <c r="I105" s="83">
        <f>IF(HLOOKUP(VLOOKUP(I$13,'table années scolaires'!$C$17:$E$27,2,FALSE),'Hypothèses '!$C$12:$K$16,2,FALSE)="non",0,IF('Hypothèses '!$C$7="conventionné",(I$29+I$31)*0.06*0.94,0))</f>
        <v>1319760</v>
      </c>
      <c r="J105" s="83">
        <f>IF(HLOOKUP(VLOOKUP(J$13,'table années scolaires'!$C$17:$E$27,2,FALSE),'Hypothèses '!$C$12:$K$16,2,FALSE)="non",0,IF('Hypothèses '!$C$7="conventionné",(J$29+J$31)*0.06*0.94,0))</f>
        <v>1319760</v>
      </c>
    </row>
    <row r="106" spans="1:10" x14ac:dyDescent="0.2">
      <c r="A106" s="65"/>
      <c r="B106" s="65" t="s">
        <v>522</v>
      </c>
      <c r="C106" s="83">
        <f>IF(HLOOKUP(VLOOKUP(C$13,'table années scolaires'!$C$17:$E$27,2,FALSE),'Hypothèses '!$C$12:$K$16,2,FALSE)="non",0,(C$29+C$31)*C108)</f>
        <v>0</v>
      </c>
      <c r="D106" s="83">
        <f>IF(HLOOKUP(VLOOKUP(D$13,'table années scolaires'!$C$17:$E$27,2,FALSE),'Hypothèses '!$C$12:$K$16,2,FALSE)="non",0,(D$29+D$31)*D108)</f>
        <v>0</v>
      </c>
      <c r="E106" s="83">
        <f>IF(HLOOKUP(VLOOKUP(E$13,'table années scolaires'!$C$17:$E$27,2,FALSE),'Hypothèses '!$C$12:$K$16,2,FALSE)="non",0,(E$29+E$31)*E108)</f>
        <v>0</v>
      </c>
      <c r="F106" s="83">
        <f>IF(HLOOKUP(VLOOKUP(F$13,'table années scolaires'!$C$17:$E$27,2,FALSE),'Hypothèses '!$C$12:$K$16,2,FALSE)="non",0,(F$29+F$31)*F108)</f>
        <v>247000</v>
      </c>
      <c r="G106" s="83">
        <f>IF(HLOOKUP(VLOOKUP(G$13,'table années scolaires'!$C$17:$E$27,2,FALSE),'Hypothèses '!$C$12:$K$16,2,FALSE)="non",0,(G$29+G$31)*G108)</f>
        <v>312000</v>
      </c>
      <c r="H106" s="83">
        <f>IF(HLOOKUP(VLOOKUP(H$13,'table années scolaires'!$C$17:$E$27,2,FALSE),'Hypothèses '!$C$12:$K$16,2,FALSE)="non",0,(H$29+H$31)*H108)</f>
        <v>390000</v>
      </c>
      <c r="I106" s="83">
        <f>IF(HLOOKUP(VLOOKUP(I$13,'table années scolaires'!$C$17:$E$27,2,FALSE),'Hypothèses '!$C$12:$K$16,2,FALSE)="non",0,(I$29+I$31)*I108)</f>
        <v>468000</v>
      </c>
      <c r="J106" s="83">
        <f>IF(HLOOKUP(VLOOKUP(J$13,'table années scolaires'!$C$17:$E$27,2,FALSE),'Hypothèses '!$C$12:$K$16,2,FALSE)="non",0,(J$29+J$31)*J108)</f>
        <v>468000</v>
      </c>
    </row>
    <row r="107" spans="1:10" x14ac:dyDescent="0.2">
      <c r="A107" s="65"/>
      <c r="B107" s="65" t="s">
        <v>523</v>
      </c>
      <c r="C107" s="83">
        <f>IF(HLOOKUP(VLOOKUP(C$13,'table années scolaires'!$C$17:$E$27,2,FALSE),'Hypothèses '!$C$12:$K$16,2,FALSE)="non",0,C109*C85)</f>
        <v>0</v>
      </c>
      <c r="D107" s="83">
        <f>IF(HLOOKUP(VLOOKUP(D$13,'table années scolaires'!$C$17:$E$27,2,FALSE),'Hypothèses '!$C$12:$K$16,2,FALSE)="non",0,D109*C85)</f>
        <v>0</v>
      </c>
      <c r="E107" s="83">
        <f>IF(HLOOKUP(VLOOKUP(E$13,'table années scolaires'!$C$17:$E$27,2,FALSE),'Hypothèses '!$C$12:$K$16,2,FALSE)="non",0,E109*D85)</f>
        <v>0</v>
      </c>
      <c r="F107" s="83" t="e">
        <f>IF(HLOOKUP(VLOOKUP(F$13,'table années scolaires'!$C$17:$E$27,2,FALSE),'Hypothèses '!$C$12:$K$16,2,FALSE)="non",0,F109*E85)</f>
        <v>#N/A</v>
      </c>
      <c r="G107" s="83" t="e">
        <f>IF(HLOOKUP(VLOOKUP(G$13,'table années scolaires'!$C$17:$E$27,2,FALSE),'Hypothèses '!$C$12:$K$16,2,FALSE)="non",0,G109*F85)</f>
        <v>#N/A</v>
      </c>
      <c r="H107" s="83" t="e">
        <f>IF(HLOOKUP(VLOOKUP(H$13,'table années scolaires'!$C$17:$E$27,2,FALSE),'Hypothèses '!$C$12:$K$16,2,FALSE)="non",0,H109*G85)</f>
        <v>#N/A</v>
      </c>
      <c r="I107" s="83" t="e">
        <f>IF(HLOOKUP(VLOOKUP(I$13,'table années scolaires'!$C$17:$E$27,2,FALSE),'Hypothèses '!$C$12:$K$16,2,FALSE)="non",0,I109*H85)</f>
        <v>#N/A</v>
      </c>
      <c r="J107" s="83" t="e">
        <f>IF(HLOOKUP(VLOOKUP(J$13,'table années scolaires'!$C$17:$E$27,2,FALSE),'Hypothèses '!$C$12:$K$16,2,FALSE)="non",0,J109*I85)</f>
        <v>#N/A</v>
      </c>
    </row>
    <row r="108" spans="1:10" x14ac:dyDescent="0.2">
      <c r="A108" s="65"/>
      <c r="B108" s="168" t="s">
        <v>537</v>
      </c>
      <c r="C108" s="169">
        <f>IF(HLOOKUP(VLOOKUP(C$13,'table années scolaires'!$C$17:$E$27,2,FALSE),'Hypothèses '!$C$12:$K$16,2,FALSE)="non",0,2%)</f>
        <v>0</v>
      </c>
      <c r="D108" s="169">
        <f>IF(HLOOKUP(VLOOKUP(D$13,'table années scolaires'!$C$17:$E$27,2,FALSE),'Hypothèses '!$C$12:$K$16,2,FALSE)="non",0,2%)</f>
        <v>0</v>
      </c>
      <c r="E108" s="169">
        <f>IF(HLOOKUP(VLOOKUP(E$13,'table années scolaires'!$C$17:$E$27,2,FALSE),'Hypothèses '!$C$12:$K$16,2,FALSE)="non",0,2%)</f>
        <v>0</v>
      </c>
      <c r="F108" s="169">
        <f>IF(HLOOKUP(VLOOKUP(F$13,'table années scolaires'!$C$17:$E$27,2,FALSE),'Hypothèses '!$C$12:$K$16,2,FALSE)="non",0,2%)</f>
        <v>0.02</v>
      </c>
      <c r="G108" s="169">
        <f>IF(HLOOKUP(VLOOKUP(G$13,'table années scolaires'!$C$17:$E$27,2,FALSE),'Hypothèses '!$C$12:$K$16,2,FALSE)="non",0,2%)</f>
        <v>0.02</v>
      </c>
      <c r="H108" s="169">
        <f>IF(HLOOKUP(VLOOKUP(H$13,'table années scolaires'!$C$17:$E$27,2,FALSE),'Hypothèses '!$C$12:$K$16,2,FALSE)="non",0,2%)</f>
        <v>0.02</v>
      </c>
      <c r="I108" s="169">
        <f>IF(HLOOKUP(VLOOKUP(I$13,'table années scolaires'!$C$17:$E$27,2,FALSE),'Hypothèses '!$C$12:$K$16,2,FALSE)="non",0,2%)</f>
        <v>0.02</v>
      </c>
      <c r="J108" s="169">
        <f>IF(HLOOKUP(VLOOKUP(J$13,'table années scolaires'!$C$17:$E$27,2,FALSE),'Hypothèses '!$C$12:$K$16,2,FALSE)="non",0,2%)</f>
        <v>0.02</v>
      </c>
    </row>
    <row r="109" spans="1:10" x14ac:dyDescent="0.2">
      <c r="A109" s="65"/>
      <c r="B109" s="168" t="s">
        <v>538</v>
      </c>
      <c r="C109" s="169">
        <f>IF(HLOOKUP(VLOOKUP(C$13,'table années scolaires'!$C$17:$E$27,2,FALSE),'Hypothèses '!$C$12:$K$16,2,FALSE)="non",0,1%)</f>
        <v>0</v>
      </c>
      <c r="D109" s="169">
        <f>IF(HLOOKUP(VLOOKUP(D$13,'table années scolaires'!$C$17:$E$27,2,FALSE),'Hypothèses '!$C$12:$K$16,2,FALSE)="non",0,1%)</f>
        <v>0</v>
      </c>
      <c r="E109" s="169">
        <f>IF(HLOOKUP(VLOOKUP(E$13,'table années scolaires'!$C$17:$E$27,2,FALSE),'Hypothèses '!$C$12:$K$16,2,FALSE)="non",0,1%)</f>
        <v>0</v>
      </c>
      <c r="F109" s="169">
        <f>IF(HLOOKUP(VLOOKUP(F$13,'table années scolaires'!$C$17:$E$27,2,FALSE),'Hypothèses '!$C$12:$K$16,2,FALSE)="non",0,1%)</f>
        <v>0.01</v>
      </c>
      <c r="G109" s="169">
        <f>IF(HLOOKUP(VLOOKUP(G$13,'table années scolaires'!$C$17:$E$27,2,FALSE),'Hypothèses '!$C$12:$K$16,2,FALSE)="non",0,1%)</f>
        <v>0.01</v>
      </c>
      <c r="H109" s="169">
        <f>IF(HLOOKUP(VLOOKUP(H$13,'table années scolaires'!$C$17:$E$27,2,FALSE),'Hypothèses '!$C$12:$K$16,2,FALSE)="non",0,1%)</f>
        <v>0.01</v>
      </c>
      <c r="I109" s="169">
        <f>IF(HLOOKUP(VLOOKUP(I$13,'table années scolaires'!$C$17:$E$27,2,FALSE),'Hypothèses '!$C$12:$K$16,2,FALSE)="non",0,1%)</f>
        <v>0.01</v>
      </c>
      <c r="J109" s="169">
        <f>IF(HLOOKUP(VLOOKUP(J$13,'table années scolaires'!$C$17:$E$27,2,FALSE),'Hypothèses '!$C$12:$K$16,2,FALSE)="non",0,1%)</f>
        <v>0.01</v>
      </c>
    </row>
    <row r="110" spans="1:10" ht="16" x14ac:dyDescent="0.2">
      <c r="A110" s="94" t="s">
        <v>88</v>
      </c>
      <c r="B110" s="176" t="s">
        <v>544</v>
      </c>
      <c r="C110" s="151" t="e">
        <f>C111+C115+C120+C130</f>
        <v>#N/A</v>
      </c>
      <c r="D110" s="151" t="e">
        <f t="shared" ref="D110:J110" si="43">D111+D115+D120+D130</f>
        <v>#N/A</v>
      </c>
      <c r="E110" s="151" t="e">
        <f t="shared" si="43"/>
        <v>#N/A</v>
      </c>
      <c r="F110" s="151" t="e">
        <f t="shared" si="43"/>
        <v>#N/A</v>
      </c>
      <c r="G110" s="151" t="e">
        <f t="shared" si="43"/>
        <v>#N/A</v>
      </c>
      <c r="H110" s="151" t="e">
        <f t="shared" si="43"/>
        <v>#N/A</v>
      </c>
      <c r="I110" s="151" t="e">
        <f t="shared" si="43"/>
        <v>#N/A</v>
      </c>
      <c r="J110" s="151" t="e">
        <f t="shared" si="43"/>
        <v>#N/A</v>
      </c>
    </row>
    <row r="111" spans="1:10" x14ac:dyDescent="0.2">
      <c r="A111" s="68"/>
      <c r="B111" s="94" t="s">
        <v>542</v>
      </c>
      <c r="C111" s="170" t="e">
        <f>SUM(C112:C114)</f>
        <v>#N/A</v>
      </c>
      <c r="D111" s="170" t="e">
        <f t="shared" ref="D111" si="44">SUM(D112:D114)</f>
        <v>#N/A</v>
      </c>
      <c r="E111" s="170" t="e">
        <f t="shared" ref="E111" si="45">SUM(E112:E114)</f>
        <v>#N/A</v>
      </c>
      <c r="F111" s="170" t="e">
        <f t="shared" ref="F111" si="46">SUM(F112:F114)</f>
        <v>#N/A</v>
      </c>
      <c r="G111" s="170" t="e">
        <f t="shared" ref="G111" si="47">SUM(G112:G114)</f>
        <v>#N/A</v>
      </c>
      <c r="H111" s="170" t="e">
        <f t="shared" ref="H111" si="48">SUM(H112:H114)</f>
        <v>#N/A</v>
      </c>
      <c r="I111" s="170" t="e">
        <f t="shared" ref="I111" si="49">SUM(I112:I114)</f>
        <v>#N/A</v>
      </c>
      <c r="J111" s="170" t="e">
        <f t="shared" ref="J111" si="50">SUM(J112:J114)</f>
        <v>#N/A</v>
      </c>
    </row>
    <row r="112" spans="1:10" ht="19" x14ac:dyDescent="0.25">
      <c r="A112" s="171"/>
      <c r="B112" s="68" t="s">
        <v>540</v>
      </c>
      <c r="C112" s="97">
        <f>'Calcul MS Personnels'!D138</f>
        <v>0</v>
      </c>
      <c r="D112" s="97">
        <f>'Calcul MS Personnels'!E138</f>
        <v>0</v>
      </c>
      <c r="E112" s="97">
        <f>'Calcul MS Personnels'!F138</f>
        <v>0</v>
      </c>
      <c r="F112" s="97">
        <f>'Calcul MS Personnels'!G138</f>
        <v>0</v>
      </c>
      <c r="G112" s="97">
        <f>'Calcul MS Personnels'!H138</f>
        <v>0</v>
      </c>
      <c r="H112" s="97">
        <f>'Calcul MS Personnels'!I138</f>
        <v>0</v>
      </c>
      <c r="I112" s="97">
        <f>'Calcul MS Personnels'!J138</f>
        <v>0</v>
      </c>
      <c r="J112" s="97">
        <f>'Calcul MS Personnels'!K138</f>
        <v>0</v>
      </c>
    </row>
    <row r="113" spans="1:10" ht="19" hidden="1" x14ac:dyDescent="0.25">
      <c r="A113" s="171"/>
      <c r="B113" s="68" t="s">
        <v>541</v>
      </c>
      <c r="C113" s="97">
        <f>'Calcul MS Personnels'!D137</f>
        <v>0</v>
      </c>
      <c r="D113" s="97">
        <f>'Calcul MS Personnels'!E137</f>
        <v>0</v>
      </c>
      <c r="E113" s="97">
        <f>'Calcul MS Personnels'!F137</f>
        <v>0</v>
      </c>
      <c r="F113" s="97">
        <f>'Calcul MS Personnels'!G137</f>
        <v>0</v>
      </c>
      <c r="G113" s="97">
        <f>'Calcul MS Personnels'!H137</f>
        <v>0</v>
      </c>
      <c r="H113" s="97">
        <f>'Calcul MS Personnels'!I137</f>
        <v>0</v>
      </c>
      <c r="I113" s="97">
        <f>'Calcul MS Personnels'!J137</f>
        <v>0</v>
      </c>
      <c r="J113" s="97">
        <f>'Calcul MS Personnels'!K137</f>
        <v>0</v>
      </c>
    </row>
    <row r="114" spans="1:10" ht="19" x14ac:dyDescent="0.25">
      <c r="A114" s="171"/>
      <c r="B114" s="68" t="s">
        <v>539</v>
      </c>
      <c r="C114" s="97" t="e">
        <f>SUM('Calcul MS Personnels'!D120:D127)+SUM('Calcul MS Personnels'!D129:D135)</f>
        <v>#N/A</v>
      </c>
      <c r="D114" s="97" t="e">
        <f>SUM('Calcul MS Personnels'!E120:E127)+SUM('Calcul MS Personnels'!E129:E135)</f>
        <v>#N/A</v>
      </c>
      <c r="E114" s="97" t="e">
        <f>SUM('Calcul MS Personnels'!F120:F127)+SUM('Calcul MS Personnels'!F129:F135)</f>
        <v>#N/A</v>
      </c>
      <c r="F114" s="97" t="e">
        <f>SUM('Calcul MS Personnels'!G120:G127)+SUM('Calcul MS Personnels'!G129:G135)</f>
        <v>#N/A</v>
      </c>
      <c r="G114" s="97" t="e">
        <f>SUM('Calcul MS Personnels'!H120:H127)+SUM('Calcul MS Personnels'!H129:H135)</f>
        <v>#N/A</v>
      </c>
      <c r="H114" s="97" t="e">
        <f>SUM('Calcul MS Personnels'!I120:I127)+SUM('Calcul MS Personnels'!I129:I135)</f>
        <v>#N/A</v>
      </c>
      <c r="I114" s="97" t="e">
        <f>SUM('Calcul MS Personnels'!J120:J127)+SUM('Calcul MS Personnels'!J129:J135)</f>
        <v>#N/A</v>
      </c>
      <c r="J114" s="97" t="e">
        <f>SUM('Calcul MS Personnels'!K120:K127)+SUM('Calcul MS Personnels'!K129:K135)</f>
        <v>#N/A</v>
      </c>
    </row>
    <row r="115" spans="1:10" x14ac:dyDescent="0.2">
      <c r="A115" s="68"/>
      <c r="B115" s="94" t="s">
        <v>513</v>
      </c>
      <c r="C115" s="170">
        <f>SUM(C116:C119)</f>
        <v>0</v>
      </c>
      <c r="D115" s="170">
        <f t="shared" ref="D115" si="51">SUM(D116:D119)</f>
        <v>0</v>
      </c>
      <c r="E115" s="170">
        <f t="shared" ref="E115" si="52">SUM(E116:E119)</f>
        <v>0</v>
      </c>
      <c r="F115" s="170">
        <f t="shared" ref="F115" si="53">SUM(F116:F119)</f>
        <v>0</v>
      </c>
      <c r="G115" s="170">
        <f t="shared" ref="G115" si="54">SUM(G116:G119)</f>
        <v>0</v>
      </c>
      <c r="H115" s="170">
        <f t="shared" ref="H115" si="55">SUM(H116:H119)</f>
        <v>0</v>
      </c>
      <c r="I115" s="170">
        <f t="shared" ref="I115" si="56">SUM(I116:I119)</f>
        <v>0</v>
      </c>
      <c r="J115" s="170">
        <f t="shared" ref="J115" si="57">SUM(J116:J119)</f>
        <v>0</v>
      </c>
    </row>
    <row r="116" spans="1:10" x14ac:dyDescent="0.2">
      <c r="A116" s="68"/>
      <c r="B116" s="68" t="s">
        <v>529</v>
      </c>
      <c r="C116" s="97">
        <f>VLOOKUP($B116,'Hypothèses '!$B$133:$D$146,3,FALSE)*HLOOKUP(VLOOKUP(C$13,'table années scolaires'!$C$17:$E$27,2,FALSE),'Projection Effectifs'!$S$31:$AC$35,3,FALSE)</f>
        <v>0</v>
      </c>
      <c r="D116" s="97">
        <f>C116*(1+(HLOOKUP(VLOOKUP(C$13,'table années scolaires'!$C$17:$E$27,3,FALSE),'Projection Effectifs'!$S$44:$AC$48,3,FALSE)))*(1+$D$59)</f>
        <v>0</v>
      </c>
      <c r="E116" s="97">
        <f>D116*(1+(HLOOKUP(VLOOKUP(D$13,'table années scolaires'!$C$17:$E$27,3,FALSE),'Projection Effectifs'!$S$44:$AC$48,3,FALSE)))*(1+$D$59)*(1+$E$59)</f>
        <v>0</v>
      </c>
      <c r="F116" s="97">
        <f>E116*(1+(HLOOKUP(VLOOKUP(E$13,'table années scolaires'!$C$17:$E$27,3,FALSE),'Projection Effectifs'!$S$44:$AC$48,3,FALSE)))*(1+$D$59)*(1+$E$59)*(1+$F$59)</f>
        <v>0</v>
      </c>
      <c r="G116" s="97">
        <f>F116*(1+(HLOOKUP(VLOOKUP(F$13,'table années scolaires'!$C$17:$E$27,3,FALSE),'Projection Effectifs'!$S$44:$AC$48,3,FALSE)))*(1+$D$59)*(1+$E$59)*(1+$F$59)*(1+$G$59)</f>
        <v>0</v>
      </c>
      <c r="H116" s="97">
        <f>G116*(1+(HLOOKUP(VLOOKUP(G$13,'table années scolaires'!$C$17:$E$27,3,FALSE),'Projection Effectifs'!$S$44:$AC$48,3,FALSE)))*(1+$D$59)*(1+$E$59)*(1+$F$59)*(1+$G$59)*(1+$H$59)</f>
        <v>0</v>
      </c>
      <c r="I116" s="97">
        <f>H116*(1+(HLOOKUP(VLOOKUP(H$13,'table années scolaires'!$C$17:$E$27,3,FALSE),'Projection Effectifs'!$S$44:$AC$48,3,FALSE)))*(1+$D$59)*(1+$E$59)*(1+$F$59)*(1+$G$59)*(1+$H$59)*(1+$I$59)</f>
        <v>0</v>
      </c>
      <c r="J116" s="97">
        <f>I116*(1+(HLOOKUP(VLOOKUP(I$13,'table années scolaires'!$C$17:$E$27,3,FALSE),'Projection Effectifs'!$S$44:$AC$48,3,FALSE)))*(1+$D$59)*(1+$E$59)*(1+$F$59)*(1+$G$59)*(1+$H$59)*(1+$I$59)*(1+$J$59)</f>
        <v>0</v>
      </c>
    </row>
    <row r="117" spans="1:10" x14ac:dyDescent="0.2">
      <c r="A117" s="68"/>
      <c r="B117" s="68" t="s">
        <v>530</v>
      </c>
      <c r="C117" s="97">
        <f>VLOOKUP($B117,'Hypothèses '!$B$133:$D$146,3,FALSE)*HLOOKUP(VLOOKUP(C$13,'table années scolaires'!$C$17:$E$27,2,FALSE),'Projection Effectifs'!$S$31:$AC$35,3,FALSE)</f>
        <v>0</v>
      </c>
      <c r="D117" s="97">
        <f>C117*(1+(HLOOKUP(VLOOKUP(C$13,'table années scolaires'!$C$17:$E$27,3,FALSE),'Projection Effectifs'!$S$44:$AC$48,3,FALSE)))*(1+$D$59)</f>
        <v>0</v>
      </c>
      <c r="E117" s="97">
        <f>D117*(1+(HLOOKUP(VLOOKUP(D$13,'table années scolaires'!$C$17:$E$27,3,FALSE),'Projection Effectifs'!$S$44:$AC$48,3,FALSE)))*(1+$D$59)*(1+$E$59)</f>
        <v>0</v>
      </c>
      <c r="F117" s="97">
        <f>E117*(1+(HLOOKUP(VLOOKUP(E$13,'table années scolaires'!$C$17:$E$27,3,FALSE),'Projection Effectifs'!$S$44:$AC$48,3,FALSE)))*(1+$D$59)*(1+$E$59)*(1+$F$59)</f>
        <v>0</v>
      </c>
      <c r="G117" s="97">
        <f>F117*(1+(HLOOKUP(VLOOKUP(F$13,'table années scolaires'!$C$17:$E$27,3,FALSE),'Projection Effectifs'!$S$44:$AC$48,3,FALSE)))*(1+$D$59)*(1+$E$59)*(1+$F$59)*(1+$G$59)</f>
        <v>0</v>
      </c>
      <c r="H117" s="97">
        <f>G117*(1+(HLOOKUP(VLOOKUP(G$13,'table années scolaires'!$C$17:$E$27,3,FALSE),'Projection Effectifs'!$S$44:$AC$48,3,FALSE)))*(1+$D$59)*(1+$E$59)*(1+$F$59)*(1+$G$59)*(1+$H$59)</f>
        <v>0</v>
      </c>
      <c r="I117" s="97">
        <f>H117*(1+(HLOOKUP(VLOOKUP(H$13,'table années scolaires'!$C$17:$E$27,3,FALSE),'Projection Effectifs'!$S$44:$AC$48,3,FALSE)))*(1+$D$59)*(1+$E$59)*(1+$F$59)*(1+$G$59)*(1+$H$59)*(1+$I$59)</f>
        <v>0</v>
      </c>
      <c r="J117" s="97">
        <f>I117*(1+(HLOOKUP(VLOOKUP(I$13,'table années scolaires'!$C$17:$E$27,3,FALSE),'Projection Effectifs'!$S$44:$AC$48,3,FALSE)))*(1+$D$59)*(1+$E$59)*(1+$F$59)*(1+$G$59)*(1+$H$59)*(1+$I$59)*(1+$J$59)</f>
        <v>0</v>
      </c>
    </row>
    <row r="118" spans="1:10" x14ac:dyDescent="0.2">
      <c r="A118" s="68"/>
      <c r="B118" s="68" t="s">
        <v>531</v>
      </c>
      <c r="C118" s="97">
        <f>VLOOKUP($B118,'Hypothèses '!$B$133:$D$146,3,FALSE)*HLOOKUP(VLOOKUP(C$13,'table années scolaires'!$C$17:$E$27,2,FALSE),'Projection Effectifs'!$S$31:$AC$35,3,FALSE)</f>
        <v>0</v>
      </c>
      <c r="D118" s="97">
        <f>C118*(1+(HLOOKUP(VLOOKUP(C$13,'table années scolaires'!$C$17:$E$27,3,FALSE),'Projection Effectifs'!$S$44:$AC$48,3,FALSE)))*(1+$D$59)</f>
        <v>0</v>
      </c>
      <c r="E118" s="97">
        <f>D118*(1+(HLOOKUP(VLOOKUP(D$13,'table années scolaires'!$C$17:$E$27,3,FALSE),'Projection Effectifs'!$S$44:$AC$48,3,FALSE)))*(1+$D$59)*(1+$E$59)</f>
        <v>0</v>
      </c>
      <c r="F118" s="97">
        <f>E118*(1+(HLOOKUP(VLOOKUP(E$13,'table années scolaires'!$C$17:$E$27,3,FALSE),'Projection Effectifs'!$S$44:$AC$48,3,FALSE)))*(1+$D$59)*(1+$E$59)*(1+$F$59)</f>
        <v>0</v>
      </c>
      <c r="G118" s="97">
        <f>F118*(1+(HLOOKUP(VLOOKUP(F$13,'table années scolaires'!$C$17:$E$27,3,FALSE),'Projection Effectifs'!$S$44:$AC$48,3,FALSE)))*(1+$D$59)*(1+$E$59)*(1+$F$59)*(1+$G$59)</f>
        <v>0</v>
      </c>
      <c r="H118" s="97">
        <f>G118*(1+(HLOOKUP(VLOOKUP(G$13,'table années scolaires'!$C$17:$E$27,3,FALSE),'Projection Effectifs'!$S$44:$AC$48,3,FALSE)))*(1+$D$59)*(1+$E$59)*(1+$F$59)*(1+$G$59)*(1+$H$59)</f>
        <v>0</v>
      </c>
      <c r="I118" s="97">
        <f>H118*(1+(HLOOKUP(VLOOKUP(H$13,'table années scolaires'!$C$17:$E$27,3,FALSE),'Projection Effectifs'!$S$44:$AC$48,3,FALSE)))*(1+$D$59)*(1+$E$59)*(1+$F$59)*(1+$G$59)*(1+$H$59)*(1+$I$59)</f>
        <v>0</v>
      </c>
      <c r="J118" s="97">
        <f>I118*(1+(HLOOKUP(VLOOKUP(I$13,'table années scolaires'!$C$17:$E$27,3,FALSE),'Projection Effectifs'!$S$44:$AC$48,3,FALSE)))*(1+$D$59)*(1+$E$59)*(1+$F$59)*(1+$G$59)*(1+$H$59)*(1+$I$59)*(1+$J$59)</f>
        <v>0</v>
      </c>
    </row>
    <row r="119" spans="1:10" x14ac:dyDescent="0.2">
      <c r="A119" s="68"/>
      <c r="B119" s="68" t="s">
        <v>532</v>
      </c>
      <c r="C119" s="97">
        <f>VLOOKUP($B119,'Hypothèses '!$B$133:$D$146,3,FALSE)*HLOOKUP(VLOOKUP(C$13,'table années scolaires'!$C$17:$E$27,2,FALSE),'Projection Effectifs'!$S$31:$AC$35,3,FALSE)</f>
        <v>0</v>
      </c>
      <c r="D119" s="97">
        <f>C119*(1+(HLOOKUP(VLOOKUP(C$13,'table années scolaires'!$C$17:$E$27,3,FALSE),'Projection Effectifs'!$S$44:$AC$48,3,FALSE)))*(1+$D$59)</f>
        <v>0</v>
      </c>
      <c r="E119" s="97">
        <f>D119*(1+(HLOOKUP(VLOOKUP(D$13,'table années scolaires'!$C$17:$E$27,3,FALSE),'Projection Effectifs'!$S$44:$AC$48,3,FALSE)))*(1+$D$59)*(1+$E$59)</f>
        <v>0</v>
      </c>
      <c r="F119" s="97">
        <f>E119*(1+(HLOOKUP(VLOOKUP(E$13,'table années scolaires'!$C$17:$E$27,3,FALSE),'Projection Effectifs'!$S$44:$AC$48,3,FALSE)))*(1+$D$59)*(1+$E$59)*(1+$F$59)</f>
        <v>0</v>
      </c>
      <c r="G119" s="97">
        <f>F119*(1+(HLOOKUP(VLOOKUP(F$13,'table années scolaires'!$C$17:$E$27,3,FALSE),'Projection Effectifs'!$S$44:$AC$48,3,FALSE)))*(1+$D$59)*(1+$E$59)*(1+$F$59)*(1+$G$59)</f>
        <v>0</v>
      </c>
      <c r="H119" s="97">
        <f>G119*(1+(HLOOKUP(VLOOKUP(G$13,'table années scolaires'!$C$17:$E$27,3,FALSE),'Projection Effectifs'!$S$44:$AC$48,3,FALSE)))*(1+$D$59)*(1+$E$59)*(1+$F$59)*(1+$G$59)*(1+$H$59)</f>
        <v>0</v>
      </c>
      <c r="I119" s="97">
        <f>H119*(1+(HLOOKUP(VLOOKUP(H$13,'table années scolaires'!$C$17:$E$27,3,FALSE),'Projection Effectifs'!$S$44:$AC$48,3,FALSE)))*(1+$D$59)*(1+$E$59)*(1+$F$59)*(1+$G$59)*(1+$H$59)*(1+$I$59)</f>
        <v>0</v>
      </c>
      <c r="J119" s="97">
        <f>I119*(1+(HLOOKUP(VLOOKUP(I$13,'table années scolaires'!$C$17:$E$27,3,FALSE),'Projection Effectifs'!$S$44:$AC$48,3,FALSE)))*(1+$D$59)*(1+$E$59)*(1+$F$59)*(1+$G$59)*(1+$H$59)*(1+$I$59)*(1+$J$59)</f>
        <v>0</v>
      </c>
    </row>
    <row r="120" spans="1:10" x14ac:dyDescent="0.2">
      <c r="A120" s="68"/>
      <c r="B120" s="94" t="s">
        <v>516</v>
      </c>
      <c r="C120" s="170">
        <f>SUM(C121:C129)</f>
        <v>0</v>
      </c>
      <c r="D120" s="170">
        <f t="shared" ref="D120" si="58">SUM(D121:D129)</f>
        <v>0</v>
      </c>
      <c r="E120" s="170">
        <f t="shared" ref="E120" si="59">SUM(E121:E129)</f>
        <v>0</v>
      </c>
      <c r="F120" s="170">
        <f t="shared" ref="F120" si="60">SUM(F121:F129)</f>
        <v>0</v>
      </c>
      <c r="G120" s="170">
        <f t="shared" ref="G120" si="61">SUM(G121:G129)</f>
        <v>0</v>
      </c>
      <c r="H120" s="170">
        <f t="shared" ref="H120" si="62">SUM(H121:H129)</f>
        <v>0</v>
      </c>
      <c r="I120" s="170">
        <f t="shared" ref="I120" si="63">SUM(I121:I129)</f>
        <v>0</v>
      </c>
      <c r="J120" s="170">
        <f t="shared" ref="J120" si="64">SUM(J121:J129)</f>
        <v>0</v>
      </c>
    </row>
    <row r="121" spans="1:10" x14ac:dyDescent="0.2">
      <c r="A121" s="68"/>
      <c r="B121" s="68" t="s">
        <v>510</v>
      </c>
      <c r="C121" s="97">
        <f>VLOOKUP($B121,'Hypothèses '!$B$133:$D$146,3,FALSE)*HLOOKUP(VLOOKUP(C$13,'table années scolaires'!$C$17:$E$27,2,FALSE),'Projection Effectifs'!$S$31:$AC$35,3,FALSE)</f>
        <v>0</v>
      </c>
      <c r="D121" s="97">
        <f>VLOOKUP($B121,'Hypothèses '!$B$133:$D$146,3,FALSE)*HLOOKUP(VLOOKUP(D$13,'table années scolaires'!$C$17:$E$27,2,FALSE),'Projection Effectifs'!$S$31:$AC$35,3,FALSE)*(1+$E$59)</f>
        <v>0</v>
      </c>
      <c r="E121" s="97">
        <f>VLOOKUP($B121,'Hypothèses '!$B$133:$D$146,3,FALSE)*HLOOKUP(VLOOKUP(E$13,'table années scolaires'!$C$17:$E$27,2,FALSE),'Projection Effectifs'!$S$31:$AC$35,3,FALSE)*(1+$E$59)*(1+$D$59)</f>
        <v>0</v>
      </c>
      <c r="F121" s="97">
        <f>VLOOKUP($B121,'Hypothèses '!$B$133:$D$146,3,FALSE)*HLOOKUP(VLOOKUP(F$13,'table années scolaires'!$C$17:$E$27,2,FALSE),'Projection Effectifs'!$S$31:$AC$35,3,FALSE)*(1+$E$59)*(1+$F$59)*(1+$D$59)</f>
        <v>0</v>
      </c>
      <c r="G121" s="97">
        <f>VLOOKUP($B121,'Hypothèses '!$B$133:$D$146,3,FALSE)*HLOOKUP(VLOOKUP(G$13,'table années scolaires'!$C$17:$E$27,2,FALSE),'Projection Effectifs'!$S$31:$AC$35,3,FALSE)*(1+$E$59)*(1+$F$59)*(1+$G$59)*(1+$D$59)</f>
        <v>0</v>
      </c>
      <c r="H121" s="97">
        <f>VLOOKUP($B121,'Hypothèses '!$B$133:$D$146,3,FALSE)*HLOOKUP(VLOOKUP(H$13,'table années scolaires'!$C$17:$E$27,2,FALSE),'Projection Effectifs'!$S$31:$AC$35,3,FALSE)*(1+$E$59)*(1+$F$59)*(1+$G$59)*(1+$H$59)*(1+$D$59)</f>
        <v>0</v>
      </c>
      <c r="I121" s="97">
        <f>VLOOKUP($B121,'Hypothèses '!$B$133:$D$146,3,FALSE)*HLOOKUP(VLOOKUP(I$13,'table années scolaires'!$C$17:$E$27,2,FALSE),'Projection Effectifs'!$S$31:$AC$35,3,FALSE)*(1+$E$59)*(1+$F$59)*(1+$G$59)*(1+$H$59)*(1+$I$59)*(1+$D$59)</f>
        <v>0</v>
      </c>
      <c r="J121" s="97">
        <f>VLOOKUP($B121,'Hypothèses '!$B$133:$D$146,3,FALSE)*HLOOKUP(VLOOKUP(J$13,'table années scolaires'!$C$17:$E$27,2,FALSE),'Projection Effectifs'!$S$31:$AC$35,3,FALSE)*(1+$E$59)*(1+$F$59)*(1+$G$59)*(1+$H$59)*(1+$I$59)*(1+$J$59)*(1+$D$59)</f>
        <v>0</v>
      </c>
    </row>
    <row r="122" spans="1:10" x14ac:dyDescent="0.2">
      <c r="A122" s="68"/>
      <c r="B122" s="68" t="s">
        <v>528</v>
      </c>
      <c r="C122" s="97">
        <f>VLOOKUP($B122,'Hypothèses '!$B$133:$D$146,3,FALSE)*HLOOKUP(VLOOKUP(C$13,'table années scolaires'!$C$17:$E$27,2,FALSE),'Projection Effectifs'!$S$31:$AC$35,3,FALSE)</f>
        <v>0</v>
      </c>
      <c r="D122" s="97">
        <f>VLOOKUP($B122,'Hypothèses '!$B$133:$D$146,3,FALSE)*HLOOKUP(VLOOKUP(D$13,'table années scolaires'!$C$17:$E$27,2,FALSE),'Projection Effectifs'!$S$31:$AC$35,3,FALSE)*(1+$E$59)</f>
        <v>0</v>
      </c>
      <c r="E122" s="97">
        <f>VLOOKUP($B122,'Hypothèses '!$B$133:$D$146,3,FALSE)*HLOOKUP(VLOOKUP(E$13,'table années scolaires'!$C$17:$E$27,2,FALSE),'Projection Effectifs'!$S$31:$AC$35,3,FALSE)*(1+$E$59)*(1+$D$59)</f>
        <v>0</v>
      </c>
      <c r="F122" s="97">
        <f>VLOOKUP($B122,'Hypothèses '!$B$133:$D$146,3,FALSE)*HLOOKUP(VLOOKUP(F$13,'table années scolaires'!$C$17:$E$27,2,FALSE),'Projection Effectifs'!$S$31:$AC$35,3,FALSE)*(1+$E$59)*(1+$F$59)*(1+$D$59)</f>
        <v>0</v>
      </c>
      <c r="G122" s="97">
        <f>VLOOKUP($B122,'Hypothèses '!$B$133:$D$146,3,FALSE)*HLOOKUP(VLOOKUP(G$13,'table années scolaires'!$C$17:$E$27,2,FALSE),'Projection Effectifs'!$S$31:$AC$35,3,FALSE)*(1+$E$59)*(1+$F$59)*(1+$G$59)*(1+$D$59)</f>
        <v>0</v>
      </c>
      <c r="H122" s="97">
        <f>VLOOKUP($B122,'Hypothèses '!$B$133:$D$146,3,FALSE)*HLOOKUP(VLOOKUP(H$13,'table années scolaires'!$C$17:$E$27,2,FALSE),'Projection Effectifs'!$S$31:$AC$35,3,FALSE)*(1+$E$59)*(1+$F$59)*(1+$G$59)*(1+$H$59)*(1+$D$59)</f>
        <v>0</v>
      </c>
      <c r="I122" s="97">
        <f>VLOOKUP($B122,'Hypothèses '!$B$133:$D$146,3,FALSE)*HLOOKUP(VLOOKUP(I$13,'table années scolaires'!$C$17:$E$27,2,FALSE),'Projection Effectifs'!$S$31:$AC$35,3,FALSE)*(1+$E$59)*(1+$F$59)*(1+$G$59)*(1+$H$59)*(1+$I$59)*(1+$D$59)</f>
        <v>0</v>
      </c>
      <c r="J122" s="97">
        <f>VLOOKUP($B122,'Hypothèses '!$B$133:$D$146,3,FALSE)*HLOOKUP(VLOOKUP(J$13,'table années scolaires'!$C$17:$E$27,2,FALSE),'Projection Effectifs'!$S$31:$AC$35,3,FALSE)*(1+$E$59)*(1+$F$59)*(1+$G$59)*(1+$H$59)*(1+$I$59)*(1+$J$59)*(1+$D$59)</f>
        <v>0</v>
      </c>
    </row>
    <row r="123" spans="1:10" x14ac:dyDescent="0.2">
      <c r="A123" s="68"/>
      <c r="B123" s="68" t="s">
        <v>517</v>
      </c>
      <c r="C123" s="97">
        <f>VLOOKUP($B123,'Hypothèses '!$B$133:$D$146,3,FALSE)*HLOOKUP(VLOOKUP(C$13,'table années scolaires'!$C$17:$E$27,2,FALSE),'Projection Effectifs'!$S$31:$AC$35,3,FALSE)</f>
        <v>0</v>
      </c>
      <c r="D123" s="97">
        <f>VLOOKUP($B123,'Hypothèses '!$B$133:$D$146,3,FALSE)*HLOOKUP(VLOOKUP(D$13,'table années scolaires'!$C$17:$E$27,2,FALSE),'Projection Effectifs'!$S$31:$AC$35,3,FALSE)*(1+$E$59)</f>
        <v>0</v>
      </c>
      <c r="E123" s="97">
        <f>VLOOKUP($B123,'Hypothèses '!$B$133:$D$146,3,FALSE)*HLOOKUP(VLOOKUP(E$13,'table années scolaires'!$C$17:$E$27,2,FALSE),'Projection Effectifs'!$S$31:$AC$35,3,FALSE)*(1+$E$59)*(1+$D$59)</f>
        <v>0</v>
      </c>
      <c r="F123" s="97">
        <f>VLOOKUP($B123,'Hypothèses '!$B$133:$D$146,3,FALSE)*HLOOKUP(VLOOKUP(F$13,'table années scolaires'!$C$17:$E$27,2,FALSE),'Projection Effectifs'!$S$31:$AC$35,3,FALSE)*(1+$E$59)*(1+$F$59)*(1+$D$59)</f>
        <v>0</v>
      </c>
      <c r="G123" s="97">
        <f>VLOOKUP($B123,'Hypothèses '!$B$133:$D$146,3,FALSE)*HLOOKUP(VLOOKUP(G$13,'table années scolaires'!$C$17:$E$27,2,FALSE),'Projection Effectifs'!$S$31:$AC$35,3,FALSE)*(1+$E$59)*(1+$F$59)*(1+$G$59)*(1+$D$59)</f>
        <v>0</v>
      </c>
      <c r="H123" s="97">
        <f>VLOOKUP($B123,'Hypothèses '!$B$133:$D$146,3,FALSE)*HLOOKUP(VLOOKUP(H$13,'table années scolaires'!$C$17:$E$27,2,FALSE),'Projection Effectifs'!$S$31:$AC$35,3,FALSE)*(1+$E$59)*(1+$F$59)*(1+$G$59)*(1+$H$59)*(1+$D$59)</f>
        <v>0</v>
      </c>
      <c r="I123" s="97">
        <f>VLOOKUP($B123,'Hypothèses '!$B$133:$D$146,3,FALSE)*HLOOKUP(VLOOKUP(I$13,'table années scolaires'!$C$17:$E$27,2,FALSE),'Projection Effectifs'!$S$31:$AC$35,3,FALSE)*(1+$E$59)*(1+$F$59)*(1+$G$59)*(1+$H$59)*(1+$I$59)*(1+$D$59)</f>
        <v>0</v>
      </c>
      <c r="J123" s="97">
        <f>VLOOKUP($B123,'Hypothèses '!$B$133:$D$146,3,FALSE)*HLOOKUP(VLOOKUP(J$13,'table années scolaires'!$C$17:$E$27,2,FALSE),'Projection Effectifs'!$S$31:$AC$35,3,FALSE)*(1+$E$59)*(1+$F$59)*(1+$G$59)*(1+$H$59)*(1+$I$59)*(1+$J$59)*(1+$D$59)</f>
        <v>0</v>
      </c>
    </row>
    <row r="124" spans="1:10" x14ac:dyDescent="0.2">
      <c r="A124" s="68"/>
      <c r="B124" s="68" t="s">
        <v>518</v>
      </c>
      <c r="C124" s="97">
        <f>VLOOKUP($B124,'Hypothèses '!$B$133:$D$146,3,FALSE)*HLOOKUP(VLOOKUP(C$13,'table années scolaires'!$C$17:$E$27,2,FALSE),'Projection Effectifs'!$S$31:$AC$35,3,FALSE)</f>
        <v>0</v>
      </c>
      <c r="D124" s="97">
        <f>VLOOKUP($B124,'Hypothèses '!$B$133:$D$146,3,FALSE)*HLOOKUP(VLOOKUP(D$13,'table années scolaires'!$C$17:$E$27,2,FALSE),'Projection Effectifs'!$S$31:$AC$35,3,FALSE)*(1+$E$59)</f>
        <v>0</v>
      </c>
      <c r="E124" s="97">
        <f>VLOOKUP($B124,'Hypothèses '!$B$133:$D$146,3,FALSE)*HLOOKUP(VLOOKUP(E$13,'table années scolaires'!$C$17:$E$27,2,FALSE),'Projection Effectifs'!$S$31:$AC$35,3,FALSE)*(1+$E$59)*(1+$D$59)</f>
        <v>0</v>
      </c>
      <c r="F124" s="97">
        <f>VLOOKUP($B124,'Hypothèses '!$B$133:$D$146,3,FALSE)*HLOOKUP(VLOOKUP(F$13,'table années scolaires'!$C$17:$E$27,2,FALSE),'Projection Effectifs'!$S$31:$AC$35,3,FALSE)*(1+$E$59)*(1+$F$59)*(1+$D$59)</f>
        <v>0</v>
      </c>
      <c r="G124" s="97">
        <f>VLOOKUP($B124,'Hypothèses '!$B$133:$D$146,3,FALSE)*HLOOKUP(VLOOKUP(G$13,'table années scolaires'!$C$17:$E$27,2,FALSE),'Projection Effectifs'!$S$31:$AC$35,3,FALSE)*(1+$E$59)*(1+$F$59)*(1+$G$59)*(1+$D$59)</f>
        <v>0</v>
      </c>
      <c r="H124" s="97">
        <f>VLOOKUP($B124,'Hypothèses '!$B$133:$D$146,3,FALSE)*HLOOKUP(VLOOKUP(H$13,'table années scolaires'!$C$17:$E$27,2,FALSE),'Projection Effectifs'!$S$31:$AC$35,3,FALSE)*(1+$E$59)*(1+$F$59)*(1+$G$59)*(1+$H$59)*(1+$D$59)</f>
        <v>0</v>
      </c>
      <c r="I124" s="97">
        <f>VLOOKUP($B124,'Hypothèses '!$B$133:$D$146,3,FALSE)*HLOOKUP(VLOOKUP(I$13,'table années scolaires'!$C$17:$E$27,2,FALSE),'Projection Effectifs'!$S$31:$AC$35,3,FALSE)*(1+$E$59)*(1+$F$59)*(1+$G$59)*(1+$H$59)*(1+$I$59)*(1+$D$59)</f>
        <v>0</v>
      </c>
      <c r="J124" s="97">
        <f>VLOOKUP($B124,'Hypothèses '!$B$133:$D$146,3,FALSE)*HLOOKUP(VLOOKUP(J$13,'table années scolaires'!$C$17:$E$27,2,FALSE),'Projection Effectifs'!$S$31:$AC$35,3,FALSE)*(1+$E$59)*(1+$F$59)*(1+$G$59)*(1+$H$59)*(1+$I$59)*(1+$J$59)*(1+$D$59)</f>
        <v>0</v>
      </c>
    </row>
    <row r="125" spans="1:10" x14ac:dyDescent="0.2">
      <c r="A125" s="68"/>
      <c r="B125" s="68" t="s">
        <v>511</v>
      </c>
      <c r="C125" s="97">
        <f>VLOOKUP($B125,'Hypothèses '!$B$133:$D$146,3,FALSE)*HLOOKUP(VLOOKUP(C$13,'table années scolaires'!$C$17:$E$27,2,FALSE),'Projection Effectifs'!$S$31:$AC$35,3,FALSE)</f>
        <v>0</v>
      </c>
      <c r="D125" s="97">
        <f>VLOOKUP($B125,'Hypothèses '!$B$133:$D$146,3,FALSE)*HLOOKUP(VLOOKUP(D$13,'table années scolaires'!$C$17:$E$27,2,FALSE),'Projection Effectifs'!$S$31:$AC$35,3,FALSE)*(1+$E$59)</f>
        <v>0</v>
      </c>
      <c r="E125" s="97">
        <f>VLOOKUP($B125,'Hypothèses '!$B$133:$D$146,3,FALSE)*HLOOKUP(VLOOKUP(E$13,'table années scolaires'!$C$17:$E$27,2,FALSE),'Projection Effectifs'!$S$31:$AC$35,3,FALSE)*(1+$E$59)*(1+$D$59)</f>
        <v>0</v>
      </c>
      <c r="F125" s="97">
        <f>VLOOKUP($B125,'Hypothèses '!$B$133:$D$146,3,FALSE)*HLOOKUP(VLOOKUP(F$13,'table années scolaires'!$C$17:$E$27,2,FALSE),'Projection Effectifs'!$S$31:$AC$35,3,FALSE)*(1+$E$59)*(1+$F$59)*(1+$D$59)</f>
        <v>0</v>
      </c>
      <c r="G125" s="97">
        <f>VLOOKUP($B125,'Hypothèses '!$B$133:$D$146,3,FALSE)*HLOOKUP(VLOOKUP(G$13,'table années scolaires'!$C$17:$E$27,2,FALSE),'Projection Effectifs'!$S$31:$AC$35,3,FALSE)*(1+$E$59)*(1+$F$59)*(1+$G$59)*(1+$D$59)</f>
        <v>0</v>
      </c>
      <c r="H125" s="97">
        <f>VLOOKUP($B125,'Hypothèses '!$B$133:$D$146,3,FALSE)*HLOOKUP(VLOOKUP(H$13,'table années scolaires'!$C$17:$E$27,2,FALSE),'Projection Effectifs'!$S$31:$AC$35,3,FALSE)*(1+$E$59)*(1+$F$59)*(1+$G$59)*(1+$H$59)*(1+$D$59)</f>
        <v>0</v>
      </c>
      <c r="I125" s="97">
        <f>VLOOKUP($B125,'Hypothèses '!$B$133:$D$146,3,FALSE)*HLOOKUP(VLOOKUP(I$13,'table années scolaires'!$C$17:$E$27,2,FALSE),'Projection Effectifs'!$S$31:$AC$35,3,FALSE)*(1+$E$59)*(1+$F$59)*(1+$G$59)*(1+$H$59)*(1+$I$59)*(1+$D$59)</f>
        <v>0</v>
      </c>
      <c r="J125" s="97">
        <f>VLOOKUP($B125,'Hypothèses '!$B$133:$D$146,3,FALSE)*HLOOKUP(VLOOKUP(J$13,'table années scolaires'!$C$17:$E$27,2,FALSE),'Projection Effectifs'!$S$31:$AC$35,3,FALSE)*(1+$E$59)*(1+$F$59)*(1+$G$59)*(1+$H$59)*(1+$I$59)*(1+$J$59)*(1+$D$59)</f>
        <v>0</v>
      </c>
    </row>
    <row r="126" spans="1:10" x14ac:dyDescent="0.2">
      <c r="A126" s="68"/>
      <c r="B126" s="68" t="s">
        <v>512</v>
      </c>
      <c r="C126" s="97">
        <f>VLOOKUP($B126,'Hypothèses '!$B$133:$D$146,3,FALSE)*HLOOKUP(VLOOKUP(C$13,'table années scolaires'!$C$17:$E$27,2,FALSE),'Projection Effectifs'!$S$31:$AC$35,3,FALSE)</f>
        <v>0</v>
      </c>
      <c r="D126" s="97">
        <f>VLOOKUP($B126,'Hypothèses '!$B$133:$D$146,3,FALSE)*HLOOKUP(VLOOKUP(D$13,'table années scolaires'!$C$17:$E$27,2,FALSE),'Projection Effectifs'!$S$31:$AC$35,3,FALSE)*(1+$E$59)</f>
        <v>0</v>
      </c>
      <c r="E126" s="97">
        <f>VLOOKUP($B126,'Hypothèses '!$B$133:$D$146,3,FALSE)*HLOOKUP(VLOOKUP(E$13,'table années scolaires'!$C$17:$E$27,2,FALSE),'Projection Effectifs'!$S$31:$AC$35,3,FALSE)*(1+$E$59)*(1+$D$59)</f>
        <v>0</v>
      </c>
      <c r="F126" s="97">
        <f>VLOOKUP($B126,'Hypothèses '!$B$133:$D$146,3,FALSE)*HLOOKUP(VLOOKUP(F$13,'table années scolaires'!$C$17:$E$27,2,FALSE),'Projection Effectifs'!$S$31:$AC$35,3,FALSE)*(1+$E$59)*(1+$F$59)*(1+$D$59)</f>
        <v>0</v>
      </c>
      <c r="G126" s="97">
        <f>VLOOKUP($B126,'Hypothèses '!$B$133:$D$146,3,FALSE)*HLOOKUP(VLOOKUP(G$13,'table années scolaires'!$C$17:$E$27,2,FALSE),'Projection Effectifs'!$S$31:$AC$35,3,FALSE)*(1+$E$59)*(1+$F$59)*(1+$G$59)*(1+$D$59)</f>
        <v>0</v>
      </c>
      <c r="H126" s="97">
        <f>VLOOKUP($B126,'Hypothèses '!$B$133:$D$146,3,FALSE)*HLOOKUP(VLOOKUP(H$13,'table années scolaires'!$C$17:$E$27,2,FALSE),'Projection Effectifs'!$S$31:$AC$35,3,FALSE)*(1+$E$59)*(1+$F$59)*(1+$G$59)*(1+$H$59)*(1+$D$59)</f>
        <v>0</v>
      </c>
      <c r="I126" s="97">
        <f>VLOOKUP($B126,'Hypothèses '!$B$133:$D$146,3,FALSE)*HLOOKUP(VLOOKUP(I$13,'table années scolaires'!$C$17:$E$27,2,FALSE),'Projection Effectifs'!$S$31:$AC$35,3,FALSE)*(1+$E$59)*(1+$F$59)*(1+$G$59)*(1+$H$59)*(1+$I$59)*(1+$D$59)</f>
        <v>0</v>
      </c>
      <c r="J126" s="97">
        <f>VLOOKUP($B126,'Hypothèses '!$B$133:$D$146,3,FALSE)*HLOOKUP(VLOOKUP(J$13,'table années scolaires'!$C$17:$E$27,2,FALSE),'Projection Effectifs'!$S$31:$AC$35,3,FALSE)*(1+$E$59)*(1+$F$59)*(1+$G$59)*(1+$H$59)*(1+$I$59)*(1+$J$59)*(1+$D$59)</f>
        <v>0</v>
      </c>
    </row>
    <row r="127" spans="1:10" x14ac:dyDescent="0.2">
      <c r="A127" s="68"/>
      <c r="B127" s="68" t="s">
        <v>520</v>
      </c>
      <c r="C127" s="97">
        <f>VLOOKUP($B127,'Hypothèses '!$B$133:$D$146,3,FALSE)*HLOOKUP(VLOOKUP(C$13,'table années scolaires'!$C$17:$E$27,2,FALSE),'Projection Effectifs'!$S$31:$AC$35,3,FALSE)</f>
        <v>0</v>
      </c>
      <c r="D127" s="97">
        <f>VLOOKUP($B127,'Hypothèses '!$B$133:$D$146,3,FALSE)*HLOOKUP(VLOOKUP(D$13,'table années scolaires'!$C$17:$E$27,2,FALSE),'Projection Effectifs'!$S$31:$AC$35,3,FALSE)*(1+$E$59)</f>
        <v>0</v>
      </c>
      <c r="E127" s="97">
        <f>VLOOKUP($B127,'Hypothèses '!$B$133:$D$146,3,FALSE)*HLOOKUP(VLOOKUP(E$13,'table années scolaires'!$C$17:$E$27,2,FALSE),'Projection Effectifs'!$S$31:$AC$35,3,FALSE)*(1+$E$59)*(1+$D$59)</f>
        <v>0</v>
      </c>
      <c r="F127" s="97">
        <f>VLOOKUP($B127,'Hypothèses '!$B$133:$D$146,3,FALSE)*HLOOKUP(VLOOKUP(F$13,'table années scolaires'!$C$17:$E$27,2,FALSE),'Projection Effectifs'!$S$31:$AC$35,3,FALSE)*(1+$E$59)*(1+$F$59)*(1+$D$59)</f>
        <v>0</v>
      </c>
      <c r="G127" s="97">
        <f>VLOOKUP($B127,'Hypothèses '!$B$133:$D$146,3,FALSE)*HLOOKUP(VLOOKUP(G$13,'table années scolaires'!$C$17:$E$27,2,FALSE),'Projection Effectifs'!$S$31:$AC$35,3,FALSE)*(1+$E$59)*(1+$F$59)*(1+$G$59)*(1+$D$59)</f>
        <v>0</v>
      </c>
      <c r="H127" s="97">
        <f>VLOOKUP($B127,'Hypothèses '!$B$133:$D$146,3,FALSE)*HLOOKUP(VLOOKUP(H$13,'table années scolaires'!$C$17:$E$27,2,FALSE),'Projection Effectifs'!$S$31:$AC$35,3,FALSE)*(1+$E$59)*(1+$F$59)*(1+$G$59)*(1+$H$59)*(1+$D$59)</f>
        <v>0</v>
      </c>
      <c r="I127" s="97">
        <f>VLOOKUP($B127,'Hypothèses '!$B$133:$D$146,3,FALSE)*HLOOKUP(VLOOKUP(I$13,'table années scolaires'!$C$17:$E$27,2,FALSE),'Projection Effectifs'!$S$31:$AC$35,3,FALSE)*(1+$E$59)*(1+$F$59)*(1+$G$59)*(1+$H$59)*(1+$I$59)*(1+$D$59)</f>
        <v>0</v>
      </c>
      <c r="J127" s="97">
        <f>VLOOKUP($B127,'Hypothèses '!$B$133:$D$146,3,FALSE)*HLOOKUP(VLOOKUP(J$13,'table années scolaires'!$C$17:$E$27,2,FALSE),'Projection Effectifs'!$S$31:$AC$35,3,FALSE)*(1+$E$59)*(1+$F$59)*(1+$G$59)*(1+$H$59)*(1+$I$59)*(1+$J$59)*(1+$D$59)</f>
        <v>0</v>
      </c>
    </row>
    <row r="128" spans="1:10" x14ac:dyDescent="0.2">
      <c r="A128" s="68"/>
      <c r="B128" s="68" t="s">
        <v>526</v>
      </c>
      <c r="C128" s="97">
        <f>VLOOKUP($B128,'Hypothèses '!$B$133:$D$146,3,FALSE)*HLOOKUP(VLOOKUP(C$13,'table années scolaires'!$C$17:$E$27,2,FALSE),'Projection Effectifs'!$S$31:$AC$35,3,FALSE)</f>
        <v>0</v>
      </c>
      <c r="D128" s="97">
        <f>VLOOKUP($B128,'Hypothèses '!$B$133:$D$146,3,FALSE)*HLOOKUP(VLOOKUP(D$13,'table années scolaires'!$C$17:$E$27,2,FALSE),'Projection Effectifs'!$S$31:$AC$35,3,FALSE)*(1+$E$59)</f>
        <v>0</v>
      </c>
      <c r="E128" s="97">
        <f>VLOOKUP($B128,'Hypothèses '!$B$133:$D$146,3,FALSE)*HLOOKUP(VLOOKUP(E$13,'table années scolaires'!$C$17:$E$27,2,FALSE),'Projection Effectifs'!$S$31:$AC$35,3,FALSE)*(1+$E$59)*(1+$D$59)</f>
        <v>0</v>
      </c>
      <c r="F128" s="97">
        <f>VLOOKUP($B128,'Hypothèses '!$B$133:$D$146,3,FALSE)*HLOOKUP(VLOOKUP(F$13,'table années scolaires'!$C$17:$E$27,2,FALSE),'Projection Effectifs'!$S$31:$AC$35,3,FALSE)*(1+$E$59)*(1+$F$59)*(1+$D$59)</f>
        <v>0</v>
      </c>
      <c r="G128" s="97">
        <f>VLOOKUP($B128,'Hypothèses '!$B$133:$D$146,3,FALSE)*HLOOKUP(VLOOKUP(G$13,'table années scolaires'!$C$17:$E$27,2,FALSE),'Projection Effectifs'!$S$31:$AC$35,3,FALSE)*(1+$E$59)*(1+$F$59)*(1+$G$59)*(1+$D$59)</f>
        <v>0</v>
      </c>
      <c r="H128" s="97">
        <f>VLOOKUP($B128,'Hypothèses '!$B$133:$D$146,3,FALSE)*HLOOKUP(VLOOKUP(H$13,'table années scolaires'!$C$17:$E$27,2,FALSE),'Projection Effectifs'!$S$31:$AC$35,3,FALSE)*(1+$E$59)*(1+$F$59)*(1+$G$59)*(1+$H$59)*(1+$D$59)</f>
        <v>0</v>
      </c>
      <c r="I128" s="97">
        <f>VLOOKUP($B128,'Hypothèses '!$B$133:$D$146,3,FALSE)*HLOOKUP(VLOOKUP(I$13,'table années scolaires'!$C$17:$E$27,2,FALSE),'Projection Effectifs'!$S$31:$AC$35,3,FALSE)*(1+$E$59)*(1+$F$59)*(1+$G$59)*(1+$H$59)*(1+$I$59)*(1+$D$59)</f>
        <v>0</v>
      </c>
      <c r="J128" s="97">
        <f>VLOOKUP($B128,'Hypothèses '!$B$133:$D$146,3,FALSE)*HLOOKUP(VLOOKUP(J$13,'table années scolaires'!$C$17:$E$27,2,FALSE),'Projection Effectifs'!$S$31:$AC$35,3,FALSE)*(1+$E$59)*(1+$F$59)*(1+$G$59)*(1+$H$59)*(1+$I$59)*(1+$J$59)*(1+$D$59)</f>
        <v>0</v>
      </c>
    </row>
    <row r="129" spans="1:10" x14ac:dyDescent="0.2">
      <c r="A129" s="68"/>
      <c r="B129" s="68" t="s">
        <v>527</v>
      </c>
      <c r="C129" s="97">
        <f>VLOOKUP($B129,'Hypothèses '!$B$133:$D$146,3,FALSE)*HLOOKUP(VLOOKUP(C$13,'table années scolaires'!$C$17:$E$27,2,FALSE),'Projection Effectifs'!$S$31:$AC$35,3,FALSE)</f>
        <v>0</v>
      </c>
      <c r="D129" s="97">
        <f>VLOOKUP($B129,'Hypothèses '!$B$133:$D$146,3,FALSE)*HLOOKUP(VLOOKUP(D$13,'table années scolaires'!$C$17:$E$27,2,FALSE),'Projection Effectifs'!$S$31:$AC$35,3,FALSE)*(1+$E$59)</f>
        <v>0</v>
      </c>
      <c r="E129" s="97">
        <f>VLOOKUP($B129,'Hypothèses '!$B$133:$D$146,3,FALSE)*HLOOKUP(VLOOKUP(E$13,'table années scolaires'!$C$17:$E$27,2,FALSE),'Projection Effectifs'!$S$31:$AC$35,3,FALSE)*(1+$E$59)*(1+$D$59)</f>
        <v>0</v>
      </c>
      <c r="F129" s="97">
        <f>VLOOKUP($B129,'Hypothèses '!$B$133:$D$146,3,FALSE)*HLOOKUP(VLOOKUP(F$13,'table années scolaires'!$C$17:$E$27,2,FALSE),'Projection Effectifs'!$S$31:$AC$35,3,FALSE)*(1+$E$59)*(1+$F$59)*(1+$D$59)</f>
        <v>0</v>
      </c>
      <c r="G129" s="97">
        <f>VLOOKUP($B129,'Hypothèses '!$B$133:$D$146,3,FALSE)*HLOOKUP(VLOOKUP(G$13,'table années scolaires'!$C$17:$E$27,2,FALSE),'Projection Effectifs'!$S$31:$AC$35,3,FALSE)*(1+$E$59)*(1+$F$59)*(1+$G$59)*(1+$D$59)</f>
        <v>0</v>
      </c>
      <c r="H129" s="97">
        <f>VLOOKUP($B129,'Hypothèses '!$B$133:$D$146,3,FALSE)*HLOOKUP(VLOOKUP(H$13,'table années scolaires'!$C$17:$E$27,2,FALSE),'Projection Effectifs'!$S$31:$AC$35,3,FALSE)*(1+$E$59)*(1+$F$59)*(1+$G$59)*(1+$H$59)*(1+$D$59)</f>
        <v>0</v>
      </c>
      <c r="I129" s="97">
        <f>VLOOKUP($B129,'Hypothèses '!$B$133:$D$146,3,FALSE)*HLOOKUP(VLOOKUP(I$13,'table années scolaires'!$C$17:$E$27,2,FALSE),'Projection Effectifs'!$S$31:$AC$35,3,FALSE)*(1+$E$59)*(1+$F$59)*(1+$G$59)*(1+$H$59)*(1+$I$59)*(1+$D$59)</f>
        <v>0</v>
      </c>
      <c r="J129" s="97">
        <f>VLOOKUP($B129,'Hypothèses '!$B$133:$D$146,3,FALSE)*HLOOKUP(VLOOKUP(J$13,'table années scolaires'!$C$17:$E$27,2,FALSE),'Projection Effectifs'!$S$31:$AC$35,3,FALSE)*(1+$E$59)*(1+$F$59)*(1+$G$59)*(1+$H$59)*(1+$I$59)*(1+$J$59)*(1+$D$59)</f>
        <v>0</v>
      </c>
    </row>
    <row r="130" spans="1:10" x14ac:dyDescent="0.2">
      <c r="A130" s="68"/>
      <c r="B130" s="94" t="s">
        <v>524</v>
      </c>
      <c r="C130" s="170">
        <f>SUM(C131:C133)</f>
        <v>0</v>
      </c>
      <c r="D130" s="170">
        <f>SUM(D131:D133)</f>
        <v>0</v>
      </c>
      <c r="E130" s="170">
        <f t="shared" ref="E130:J130" si="65">SUM(E131:E133)</f>
        <v>0</v>
      </c>
      <c r="F130" s="170">
        <f t="shared" si="65"/>
        <v>0</v>
      </c>
      <c r="G130" s="170" t="e">
        <f t="shared" si="65"/>
        <v>#N/A</v>
      </c>
      <c r="H130" s="170" t="e">
        <f t="shared" si="65"/>
        <v>#N/A</v>
      </c>
      <c r="I130" s="170" t="e">
        <f t="shared" si="65"/>
        <v>#N/A</v>
      </c>
      <c r="J130" s="170" t="e">
        <f t="shared" si="65"/>
        <v>#N/A</v>
      </c>
    </row>
    <row r="131" spans="1:10" hidden="1" x14ac:dyDescent="0.2">
      <c r="A131" s="68"/>
      <c r="B131" s="68" t="s">
        <v>521</v>
      </c>
      <c r="C131" s="97">
        <f>IF('Hypothèses '!C$14="non",0,IF('Hypothèses '!$C$7="conventionné",(C$37+C$39)*0.06*0.94,0))</f>
        <v>0</v>
      </c>
      <c r="D131" s="97">
        <f>IF('Hypothèses '!D$14="non",0,IF('Hypothèses '!$C$7="conventionné",(D$37+D$39)*0.06*0.94,0))</f>
        <v>0</v>
      </c>
      <c r="E131" s="97">
        <f>IF('Hypothèses '!E$14="non",0,IF('Hypothèses '!$C$7="conventionné",(E$37+E$39)*0.06*0.94,0))</f>
        <v>0</v>
      </c>
      <c r="F131" s="97">
        <f>IF('Hypothèses '!F$14="non",0,IF('Hypothèses '!$C$7="conventionné",(F$37+F$39)*0.06*0.94,0))</f>
        <v>0</v>
      </c>
      <c r="G131" s="97">
        <f>IF('Hypothèses '!G$14="non",0,IF('Hypothèses '!$C$7="conventionné",(G$37+G$39)*0.06*0.94,0))</f>
        <v>1942980</v>
      </c>
      <c r="H131" s="97">
        <f>IF('Hypothèses '!H$14="non",0,IF('Hypothèses '!$C$7="conventionné",(H$37+H$39)*0.06*0.94,0))</f>
        <v>1708356</v>
      </c>
      <c r="I131" s="97">
        <f>IF('Hypothèses '!I$14="non",0,IF('Hypothèses '!$C$7="conventionné",(I$37+I$39)*0.06*0.94,0))</f>
        <v>1437072</v>
      </c>
      <c r="J131" s="97">
        <f>IF('Hypothèses '!J$14="non",0,IF('Hypothèses '!$C$7="conventionné",(J$37+J$39)*0.06*0.94,0))</f>
        <v>1400412</v>
      </c>
    </row>
    <row r="132" spans="1:10" x14ac:dyDescent="0.2">
      <c r="A132" s="68"/>
      <c r="B132" s="68" t="s">
        <v>522</v>
      </c>
      <c r="C132" s="97">
        <f>IF(HLOOKUP(VLOOKUP(C$13,'table années scolaires'!$C$17:$E$27,2,FALSE),'Hypothèses '!$C$12:$K$16,3,FALSE)="non",0,(C37+C39)*C134)</f>
        <v>0</v>
      </c>
      <c r="D132" s="97">
        <f>IF(HLOOKUP(VLOOKUP(D$13,'table années scolaires'!$C$17:$E$27,2,FALSE),'Hypothèses '!$C$12:$K$16,3,FALSE)="non",0,(D37+D39)*D134)</f>
        <v>0</v>
      </c>
      <c r="E132" s="97">
        <f>IF(HLOOKUP(VLOOKUP(E$13,'table années scolaires'!$C$17:$E$27,2,FALSE),'Hypothèses '!$C$12:$K$16,3,FALSE)="non",0,(E37+E39)*E134)</f>
        <v>0</v>
      </c>
      <c r="F132" s="97">
        <f>IF(HLOOKUP(VLOOKUP(F$13,'table années scolaires'!$C$17:$E$27,2,FALSE),'Hypothèses '!$C$12:$K$16,3,FALSE)="non",0,(F37+F39)*F134)</f>
        <v>0</v>
      </c>
      <c r="G132" s="97">
        <f>IF(HLOOKUP(VLOOKUP(G$13,'table années scolaires'!$C$17:$E$27,2,FALSE),'Hypothèses '!$C$12:$K$16,3,FALSE)="non",0,(G37+G39)*G134)</f>
        <v>689000</v>
      </c>
      <c r="H132" s="97">
        <f>IF(HLOOKUP(VLOOKUP(H$13,'table années scolaires'!$C$17:$E$27,2,FALSE),'Hypothèses '!$C$12:$K$16,3,FALSE)="non",0,(H37+H39)*H134)</f>
        <v>605800</v>
      </c>
      <c r="I132" s="97">
        <f>IF(HLOOKUP(VLOOKUP(I$13,'table années scolaires'!$C$17:$E$27,2,FALSE),'Hypothèses '!$C$12:$K$16,3,FALSE)="non",0,(I37+I39)*I134)</f>
        <v>509600</v>
      </c>
      <c r="J132" s="97">
        <f>IF(HLOOKUP(VLOOKUP(J$13,'table années scolaires'!$C$17:$E$27,2,FALSE),'Hypothèses '!$C$12:$K$16,3,FALSE)="non",0,(J37+J39)*J134)</f>
        <v>496600</v>
      </c>
    </row>
    <row r="133" spans="1:10" x14ac:dyDescent="0.2">
      <c r="A133" s="68"/>
      <c r="B133" s="68" t="s">
        <v>523</v>
      </c>
      <c r="C133" s="97">
        <f>IF(HLOOKUP(VLOOKUP(C$13,'table années scolaires'!$C$17:$E$27,2,FALSE),'Hypothèses '!$C$12:$K$16,3,FALSE)="non",0,C135*C111)</f>
        <v>0</v>
      </c>
      <c r="D133" s="97">
        <f>IF(HLOOKUP(VLOOKUP(D$13,'table années scolaires'!$C$17:$E$27,2,FALSE),'Hypothèses '!$C$12:$K$16,3,FALSE)="non",0,D135*C111)</f>
        <v>0</v>
      </c>
      <c r="E133" s="97">
        <f>IF(HLOOKUP(VLOOKUP(E$13,'table années scolaires'!$C$17:$E$27,2,FALSE),'Hypothèses '!$C$12:$K$16,3,FALSE)="non",0,E135*D111)</f>
        <v>0</v>
      </c>
      <c r="F133" s="97">
        <f>IF(HLOOKUP(VLOOKUP(F$13,'table années scolaires'!$C$17:$E$27,2,FALSE),'Hypothèses '!$C$12:$K$16,3,FALSE)="non",0,F135*E111)</f>
        <v>0</v>
      </c>
      <c r="G133" s="97" t="e">
        <f>IF(HLOOKUP(VLOOKUP(G$13,'table années scolaires'!$C$17:$E$27,2,FALSE),'Hypothèses '!$C$12:$K$16,3,FALSE)="non",0,G135*F111)</f>
        <v>#N/A</v>
      </c>
      <c r="H133" s="97" t="e">
        <f>IF(HLOOKUP(VLOOKUP(H$13,'table années scolaires'!$C$17:$E$27,2,FALSE),'Hypothèses '!$C$12:$K$16,3,FALSE)="non",0,H135*G111)</f>
        <v>#N/A</v>
      </c>
      <c r="I133" s="97" t="e">
        <f>IF(HLOOKUP(VLOOKUP(I$13,'table années scolaires'!$C$17:$E$27,2,FALSE),'Hypothèses '!$C$12:$K$16,3,FALSE)="non",0,I135*H111)</f>
        <v>#N/A</v>
      </c>
      <c r="J133" s="97" t="e">
        <f>IF(HLOOKUP(VLOOKUP(J$13,'table années scolaires'!$C$17:$E$27,2,FALSE),'Hypothèses '!$C$12:$K$16,3,FALSE)="non",0,J135*I111)</f>
        <v>#N/A</v>
      </c>
    </row>
    <row r="134" spans="1:10" x14ac:dyDescent="0.2">
      <c r="A134" s="68"/>
      <c r="B134" s="172" t="s">
        <v>537</v>
      </c>
      <c r="C134" s="173">
        <f>IF(HLOOKUP(VLOOKUP(C$13,'table années scolaires'!$C$17:$E$27,2,FALSE),'Hypothèses '!$C$12:$K$16,3,FALSE)="non",0,2%)</f>
        <v>0</v>
      </c>
      <c r="D134" s="173">
        <f>IF(HLOOKUP(VLOOKUP(D$13,'table années scolaires'!$C$17:$E$27,2,FALSE),'Hypothèses '!$C$12:$K$16,3,FALSE)="non",0,2%)</f>
        <v>0</v>
      </c>
      <c r="E134" s="173">
        <f>IF(HLOOKUP(VLOOKUP(E$13,'table années scolaires'!$C$17:$E$27,2,FALSE),'Hypothèses '!$C$12:$K$16,3,FALSE)="non",0,2%)</f>
        <v>0</v>
      </c>
      <c r="F134" s="173">
        <f>IF(HLOOKUP(VLOOKUP(F$13,'table années scolaires'!$C$17:$E$27,2,FALSE),'Hypothèses '!$C$12:$K$16,3,FALSE)="non",0,2%)</f>
        <v>0</v>
      </c>
      <c r="G134" s="173">
        <f>IF(HLOOKUP(VLOOKUP(G$13,'table années scolaires'!$C$17:$E$27,2,FALSE),'Hypothèses '!$C$12:$K$16,3,FALSE)="non",0,2%)</f>
        <v>0.02</v>
      </c>
      <c r="H134" s="173">
        <f>IF(HLOOKUP(VLOOKUP(H$13,'table années scolaires'!$C$17:$E$27,2,FALSE),'Hypothèses '!$C$12:$K$16,3,FALSE)="non",0,2%)</f>
        <v>0.02</v>
      </c>
      <c r="I134" s="173">
        <f>IF(HLOOKUP(VLOOKUP(I$13,'table années scolaires'!$C$17:$E$27,2,FALSE),'Hypothèses '!$C$12:$K$16,3,FALSE)="non",0,2%)</f>
        <v>0.02</v>
      </c>
      <c r="J134" s="173">
        <f>IF(HLOOKUP(VLOOKUP(J$13,'table années scolaires'!$C$17:$E$27,2,FALSE),'Hypothèses '!$C$12:$K$16,3,FALSE)="non",0,2%)</f>
        <v>0.02</v>
      </c>
    </row>
    <row r="135" spans="1:10" x14ac:dyDescent="0.2">
      <c r="A135" s="68"/>
      <c r="B135" s="172" t="s">
        <v>538</v>
      </c>
      <c r="C135" s="173">
        <f>IF(HLOOKUP(VLOOKUP(C$13,'table années scolaires'!$C$17:$E$27,2,FALSE),'Hypothèses '!$C$12:$K$16,3,FALSE)="non",0,1%)</f>
        <v>0</v>
      </c>
      <c r="D135" s="173">
        <f>IF(HLOOKUP(VLOOKUP(D$13,'table années scolaires'!$C$17:$E$27,2,FALSE),'Hypothèses '!$C$12:$K$16,3,FALSE)="non",0,1%)</f>
        <v>0</v>
      </c>
      <c r="E135" s="173">
        <f>IF(HLOOKUP(VLOOKUP(E$13,'table années scolaires'!$C$17:$E$27,2,FALSE),'Hypothèses '!$C$12:$K$16,3,FALSE)="non",0,1%)</f>
        <v>0</v>
      </c>
      <c r="F135" s="173">
        <f>IF(HLOOKUP(VLOOKUP(F$13,'table années scolaires'!$C$17:$E$27,2,FALSE),'Hypothèses '!$C$12:$K$16,3,FALSE)="non",0,1%)</f>
        <v>0</v>
      </c>
      <c r="G135" s="173">
        <f>IF(HLOOKUP(VLOOKUP(G$13,'table années scolaires'!$C$17:$E$27,2,FALSE),'Hypothèses '!$C$12:$K$16,3,FALSE)="non",0,1%)</f>
        <v>0.01</v>
      </c>
      <c r="H135" s="173">
        <f>IF(HLOOKUP(VLOOKUP(H$13,'table années scolaires'!$C$17:$E$27,2,FALSE),'Hypothèses '!$C$12:$K$16,3,FALSE)="non",0,1%)</f>
        <v>0.01</v>
      </c>
      <c r="I135" s="173">
        <f>IF(HLOOKUP(VLOOKUP(I$13,'table années scolaires'!$C$17:$E$27,2,FALSE),'Hypothèses '!$C$12:$K$16,3,FALSE)="non",0,1%)</f>
        <v>0.01</v>
      </c>
      <c r="J135" s="173">
        <f>IF(HLOOKUP(VLOOKUP(J$13,'table années scolaires'!$C$17:$E$27,2,FALSE),'Hypothèses '!$C$12:$K$16,3,FALSE)="non",0,1%)</f>
        <v>0.01</v>
      </c>
    </row>
    <row r="136" spans="1:10" ht="16" x14ac:dyDescent="0.2">
      <c r="A136" s="120" t="s">
        <v>126</v>
      </c>
      <c r="B136" s="152" t="s">
        <v>545</v>
      </c>
      <c r="C136" s="152" t="e">
        <f>C137+C141+C146+C156</f>
        <v>#N/A</v>
      </c>
      <c r="D136" s="152" t="e">
        <f t="shared" ref="D136:J136" si="66">D137+D141+D146+D156</f>
        <v>#N/A</v>
      </c>
      <c r="E136" s="152" t="e">
        <f t="shared" si="66"/>
        <v>#N/A</v>
      </c>
      <c r="F136" s="152" t="e">
        <f t="shared" si="66"/>
        <v>#N/A</v>
      </c>
      <c r="G136" s="152" t="e">
        <f t="shared" si="66"/>
        <v>#N/A</v>
      </c>
      <c r="H136" s="152" t="e">
        <f t="shared" si="66"/>
        <v>#N/A</v>
      </c>
      <c r="I136" s="152" t="e">
        <f t="shared" si="66"/>
        <v>#N/A</v>
      </c>
      <c r="J136" s="152" t="e">
        <f t="shared" si="66"/>
        <v>#N/A</v>
      </c>
    </row>
    <row r="137" spans="1:10" x14ac:dyDescent="0.2">
      <c r="A137" s="99"/>
      <c r="B137" s="120" t="s">
        <v>542</v>
      </c>
      <c r="C137" s="155" t="e">
        <f>SUM(C138:C140)</f>
        <v>#N/A</v>
      </c>
      <c r="D137" s="155" t="e">
        <f t="shared" ref="D137" si="67">SUM(D138:D140)</f>
        <v>#N/A</v>
      </c>
      <c r="E137" s="155" t="e">
        <f t="shared" ref="E137" si="68">SUM(E138:E140)</f>
        <v>#N/A</v>
      </c>
      <c r="F137" s="155" t="e">
        <f t="shared" ref="F137" si="69">SUM(F138:F140)</f>
        <v>#N/A</v>
      </c>
      <c r="G137" s="155" t="e">
        <f t="shared" ref="G137" si="70">SUM(G138:G140)</f>
        <v>#N/A</v>
      </c>
      <c r="H137" s="155" t="e">
        <f t="shared" ref="H137" si="71">SUM(H138:H140)</f>
        <v>#N/A</v>
      </c>
      <c r="I137" s="155" t="e">
        <f t="shared" ref="I137" si="72">SUM(I138:I140)</f>
        <v>#N/A</v>
      </c>
      <c r="J137" s="155" t="e">
        <f t="shared" ref="J137" si="73">SUM(J138:J140)</f>
        <v>#N/A</v>
      </c>
    </row>
    <row r="138" spans="1:10" ht="19" x14ac:dyDescent="0.25">
      <c r="A138" s="160"/>
      <c r="B138" s="99" t="s">
        <v>540</v>
      </c>
      <c r="C138" s="103">
        <f>'Calcul MS Personnels'!D193</f>
        <v>0</v>
      </c>
      <c r="D138" s="103">
        <f>'Calcul MS Personnels'!E193</f>
        <v>0</v>
      </c>
      <c r="E138" s="103">
        <f>'Calcul MS Personnels'!F193</f>
        <v>0</v>
      </c>
      <c r="F138" s="103">
        <f>'Calcul MS Personnels'!G193</f>
        <v>0</v>
      </c>
      <c r="G138" s="103">
        <f>'Calcul MS Personnels'!H193</f>
        <v>0</v>
      </c>
      <c r="H138" s="103">
        <f>'Calcul MS Personnels'!I193</f>
        <v>0</v>
      </c>
      <c r="I138" s="103">
        <f>'Calcul MS Personnels'!J193</f>
        <v>0</v>
      </c>
      <c r="J138" s="103">
        <f>'Calcul MS Personnels'!K193</f>
        <v>0</v>
      </c>
    </row>
    <row r="139" spans="1:10" ht="19" hidden="1" x14ac:dyDescent="0.25">
      <c r="A139" s="160"/>
      <c r="B139" s="99" t="s">
        <v>541</v>
      </c>
      <c r="C139" s="103">
        <f>'Calcul MS Personnels'!D192</f>
        <v>0</v>
      </c>
      <c r="D139" s="103">
        <f>'Calcul MS Personnels'!E192</f>
        <v>0</v>
      </c>
      <c r="E139" s="103">
        <f>'Calcul MS Personnels'!F192</f>
        <v>0</v>
      </c>
      <c r="F139" s="103">
        <f>'Calcul MS Personnels'!G192</f>
        <v>0</v>
      </c>
      <c r="G139" s="103">
        <f>'Calcul MS Personnels'!H192</f>
        <v>0</v>
      </c>
      <c r="H139" s="103">
        <f>'Calcul MS Personnels'!I192</f>
        <v>0</v>
      </c>
      <c r="I139" s="103">
        <f>'Calcul MS Personnels'!J192</f>
        <v>0</v>
      </c>
      <c r="J139" s="103">
        <f>'Calcul MS Personnels'!K192</f>
        <v>0</v>
      </c>
    </row>
    <row r="140" spans="1:10" ht="19" x14ac:dyDescent="0.25">
      <c r="A140" s="160"/>
      <c r="B140" s="99" t="s">
        <v>539</v>
      </c>
      <c r="C140" s="103" t="e">
        <f>SUM('Calcul MS Personnels'!D174:D181)+SUM('Calcul MS Personnels'!D183:D190)</f>
        <v>#N/A</v>
      </c>
      <c r="D140" s="103" t="e">
        <f>SUM('Calcul MS Personnels'!E174:E181)+SUM('Calcul MS Personnels'!E183:E190)</f>
        <v>#N/A</v>
      </c>
      <c r="E140" s="103" t="e">
        <f>SUM('Calcul MS Personnels'!F174:F181)+SUM('Calcul MS Personnels'!F183:F190)</f>
        <v>#N/A</v>
      </c>
      <c r="F140" s="103" t="e">
        <f>SUM('Calcul MS Personnels'!G174:G181)+SUM('Calcul MS Personnels'!G183:G190)</f>
        <v>#N/A</v>
      </c>
      <c r="G140" s="103" t="e">
        <f>SUM('Calcul MS Personnels'!H174:H181)+SUM('Calcul MS Personnels'!H183:H190)</f>
        <v>#N/A</v>
      </c>
      <c r="H140" s="103" t="e">
        <f>SUM('Calcul MS Personnels'!I174:I181)+SUM('Calcul MS Personnels'!I183:I190)</f>
        <v>#N/A</v>
      </c>
      <c r="I140" s="103" t="e">
        <f>SUM('Calcul MS Personnels'!J174:J181)+SUM('Calcul MS Personnels'!J183:J190)</f>
        <v>#N/A</v>
      </c>
      <c r="J140" s="103" t="e">
        <f>SUM('Calcul MS Personnels'!K174:K181)+SUM('Calcul MS Personnels'!K183:K190)</f>
        <v>#N/A</v>
      </c>
    </row>
    <row r="141" spans="1:10" x14ac:dyDescent="0.2">
      <c r="A141" s="99"/>
      <c r="B141" s="120" t="s">
        <v>513</v>
      </c>
      <c r="C141" s="155">
        <f>SUM(C142:C145)</f>
        <v>0</v>
      </c>
      <c r="D141" s="155">
        <f t="shared" ref="D141" si="74">SUM(D142:D145)</f>
        <v>0</v>
      </c>
      <c r="E141" s="155">
        <f t="shared" ref="E141" si="75">SUM(E142:E145)</f>
        <v>0</v>
      </c>
      <c r="F141" s="155">
        <f t="shared" ref="F141" si="76">SUM(F142:F145)</f>
        <v>0</v>
      </c>
      <c r="G141" s="155">
        <f t="shared" ref="G141" si="77">SUM(G142:G145)</f>
        <v>0</v>
      </c>
      <c r="H141" s="155">
        <f t="shared" ref="H141" si="78">SUM(H142:H145)</f>
        <v>0</v>
      </c>
      <c r="I141" s="155">
        <f t="shared" ref="I141" si="79">SUM(I142:I145)</f>
        <v>0</v>
      </c>
      <c r="J141" s="155">
        <f t="shared" ref="J141" si="80">SUM(J142:J145)</f>
        <v>0</v>
      </c>
    </row>
    <row r="142" spans="1:10" x14ac:dyDescent="0.2">
      <c r="A142" s="99"/>
      <c r="B142" s="99" t="s">
        <v>529</v>
      </c>
      <c r="C142" s="103">
        <f>VLOOKUP($B142,'Hypothèses '!$B$133:$D$146,3,FALSE)*HLOOKUP(VLOOKUP(C$13,'table années scolaires'!$C$17:$E$27,2,FALSE),'Projection Effectifs'!$S$31:$AC$35,4,FALSE)</f>
        <v>0</v>
      </c>
      <c r="D142" s="103">
        <f>C142*(1+(HLOOKUP(VLOOKUP(C$13,'table années scolaires'!$C$17:$E$27,3,FALSE),'Projection Effectifs'!$S$44:$AC$48,4,FALSE)))*(1+$D$59)</f>
        <v>0</v>
      </c>
      <c r="E142" s="103">
        <f>D142*(1+(HLOOKUP(VLOOKUP(D$13,'table années scolaires'!$C$17:$E$27,3,FALSE),'Projection Effectifs'!$S$44:$AC$48,4,FALSE)))*(1+$D$59)*(1+$E$59)</f>
        <v>0</v>
      </c>
      <c r="F142" s="103">
        <f>E142*(1+(HLOOKUP(VLOOKUP(E$13,'table années scolaires'!$C$17:$E$27,3,FALSE),'Projection Effectifs'!$S$44:$AC$48,4,FALSE)))*(1+$D$59)*(1+$E$59)*(1+$F$59)</f>
        <v>0</v>
      </c>
      <c r="G142" s="103">
        <f>F142*(1+(HLOOKUP(VLOOKUP(F$13,'table années scolaires'!$C$17:$E$27,3,FALSE),'Projection Effectifs'!$S$44:$AC$48,4,FALSE)))*(1+$D$59)*(1+$E$59)*(1+$F$59)*(1+$G$59)</f>
        <v>0</v>
      </c>
      <c r="H142" s="103">
        <f>G142*(1+(HLOOKUP(VLOOKUP(G$13,'table années scolaires'!$C$17:$E$27,3,FALSE),'Projection Effectifs'!$S$44:$AC$48,4,FALSE)))*(1+$D$59)*(1+$E$59)*(1+$F$59)*(1+$G$59)*(1+$H$59)</f>
        <v>0</v>
      </c>
      <c r="I142" s="103">
        <f>H142*(1+(HLOOKUP(VLOOKUP(H$13,'table années scolaires'!$C$17:$E$27,3,FALSE),'Projection Effectifs'!$S$44:$AC$48,4,FALSE)))*(1+$D$59)*(1+$E$59)*(1+$F$59)*(1+$G$59)*(1+$H$59)*(1+$I$59)</f>
        <v>0</v>
      </c>
      <c r="J142" s="103">
        <f>I142*(1+(HLOOKUP(VLOOKUP(I$13,'table années scolaires'!$C$17:$E$27,3,FALSE),'Projection Effectifs'!$S$44:$AC$48,4,FALSE)))*(1+$D$59)*(1+$E$59)*(1+$F$59)*(1+$G$59)*(1+$H$59)*(1+$I$59)*(1+$J$59)</f>
        <v>0</v>
      </c>
    </row>
    <row r="143" spans="1:10" x14ac:dyDescent="0.2">
      <c r="A143" s="99"/>
      <c r="B143" s="99" t="s">
        <v>530</v>
      </c>
      <c r="C143" s="103">
        <f>VLOOKUP($B143,'Hypothèses '!$B$133:$D$146,3,FALSE)*HLOOKUP(VLOOKUP(C$13,'table années scolaires'!$C$17:$E$27,2,FALSE),'Projection Effectifs'!$S$31:$AC$35,4,FALSE)</f>
        <v>0</v>
      </c>
      <c r="D143" s="103">
        <f>C143*(1+(HLOOKUP(VLOOKUP(C$13,'table années scolaires'!$C$17:$E$27,3,FALSE),'Projection Effectifs'!$S$44:$AC$48,4,FALSE)))*(1+$D$59)</f>
        <v>0</v>
      </c>
      <c r="E143" s="103">
        <f>D143*(1+(HLOOKUP(VLOOKUP(D$13,'table années scolaires'!$C$17:$E$27,3,FALSE),'Projection Effectifs'!$S$44:$AC$48,4,FALSE)))*(1+$D$59)*(1+$E$59)</f>
        <v>0</v>
      </c>
      <c r="F143" s="103">
        <f>E143*(1+(HLOOKUP(VLOOKUP(E$13,'table années scolaires'!$C$17:$E$27,3,FALSE),'Projection Effectifs'!$S$44:$AC$48,4,FALSE)))*(1+$D$59)*(1+$E$59)*(1+$F$59)</f>
        <v>0</v>
      </c>
      <c r="G143" s="103">
        <f>F143*(1+(HLOOKUP(VLOOKUP(F$13,'table années scolaires'!$C$17:$E$27,3,FALSE),'Projection Effectifs'!$S$44:$AC$48,4,FALSE)))*(1+$D$59)*(1+$E$59)*(1+$F$59)*(1+$G$59)</f>
        <v>0</v>
      </c>
      <c r="H143" s="103">
        <f>G143*(1+(HLOOKUP(VLOOKUP(G$13,'table années scolaires'!$C$17:$E$27,3,FALSE),'Projection Effectifs'!$S$44:$AC$48,4,FALSE)))*(1+$D$59)*(1+$E$59)*(1+$F$59)*(1+$G$59)*(1+$H$59)</f>
        <v>0</v>
      </c>
      <c r="I143" s="103">
        <f>H143*(1+(HLOOKUP(VLOOKUP(H$13,'table années scolaires'!$C$17:$E$27,3,FALSE),'Projection Effectifs'!$S$44:$AC$48,4,FALSE)))*(1+$D$59)*(1+$E$59)*(1+$F$59)*(1+$G$59)*(1+$H$59)*(1+$I$59)</f>
        <v>0</v>
      </c>
      <c r="J143" s="103">
        <f>I143*(1+(HLOOKUP(VLOOKUP(I$13,'table années scolaires'!$C$17:$E$27,3,FALSE),'Projection Effectifs'!$S$44:$AC$48,4,FALSE)))*(1+$D$59)*(1+$E$59)*(1+$F$59)*(1+$G$59)*(1+$H$59)*(1+$I$59)*(1+$J$59)</f>
        <v>0</v>
      </c>
    </row>
    <row r="144" spans="1:10" x14ac:dyDescent="0.2">
      <c r="A144" s="99"/>
      <c r="B144" s="99" t="s">
        <v>531</v>
      </c>
      <c r="C144" s="103">
        <f>VLOOKUP($B144,'Hypothèses '!$B$133:$D$146,3,FALSE)*HLOOKUP(VLOOKUP(C$13,'table années scolaires'!$C$17:$E$27,2,FALSE),'Projection Effectifs'!$S$31:$AC$35,4,FALSE)</f>
        <v>0</v>
      </c>
      <c r="D144" s="103">
        <f>C144*(1+(HLOOKUP(VLOOKUP(C$13,'table années scolaires'!$C$17:$E$27,3,FALSE),'Projection Effectifs'!$S$44:$AC$48,4,FALSE)))*(1+$D$59)</f>
        <v>0</v>
      </c>
      <c r="E144" s="103">
        <f>D144*(1+(HLOOKUP(VLOOKUP(D$13,'table années scolaires'!$C$17:$E$27,3,FALSE),'Projection Effectifs'!$S$44:$AC$48,4,FALSE)))*(1+$D$59)*(1+$E$59)</f>
        <v>0</v>
      </c>
      <c r="F144" s="103">
        <f>E144*(1+(HLOOKUP(VLOOKUP(E$13,'table années scolaires'!$C$17:$E$27,3,FALSE),'Projection Effectifs'!$S$44:$AC$48,4,FALSE)))*(1+$D$59)*(1+$E$59)*(1+$F$59)</f>
        <v>0</v>
      </c>
      <c r="G144" s="103">
        <f>F144*(1+(HLOOKUP(VLOOKUP(F$13,'table années scolaires'!$C$17:$E$27,3,FALSE),'Projection Effectifs'!$S$44:$AC$48,4,FALSE)))*(1+$D$59)*(1+$E$59)*(1+$F$59)*(1+$G$59)</f>
        <v>0</v>
      </c>
      <c r="H144" s="103">
        <f>G144*(1+(HLOOKUP(VLOOKUP(G$13,'table années scolaires'!$C$17:$E$27,3,FALSE),'Projection Effectifs'!$S$44:$AC$48,4,FALSE)))*(1+$D$59)*(1+$E$59)*(1+$F$59)*(1+$G$59)*(1+$H$59)</f>
        <v>0</v>
      </c>
      <c r="I144" s="103">
        <f>H144*(1+(HLOOKUP(VLOOKUP(H$13,'table années scolaires'!$C$17:$E$27,3,FALSE),'Projection Effectifs'!$S$44:$AC$48,4,FALSE)))*(1+$D$59)*(1+$E$59)*(1+$F$59)*(1+$G$59)*(1+$H$59)*(1+$I$59)</f>
        <v>0</v>
      </c>
      <c r="J144" s="103">
        <f>I144*(1+(HLOOKUP(VLOOKUP(I$13,'table années scolaires'!$C$17:$E$27,3,FALSE),'Projection Effectifs'!$S$44:$AC$48,4,FALSE)))*(1+$D$59)*(1+$E$59)*(1+$F$59)*(1+$G$59)*(1+$H$59)*(1+$I$59)*(1+$J$59)</f>
        <v>0</v>
      </c>
    </row>
    <row r="145" spans="1:10" x14ac:dyDescent="0.2">
      <c r="A145" s="99"/>
      <c r="B145" s="99" t="s">
        <v>532</v>
      </c>
      <c r="C145" s="103">
        <f>VLOOKUP($B145,'Hypothèses '!$B$133:$D$146,3,FALSE)*HLOOKUP(VLOOKUP(C$13,'table années scolaires'!$C$17:$E$27,2,FALSE),'Projection Effectifs'!$S$31:$AC$35,4,FALSE)</f>
        <v>0</v>
      </c>
      <c r="D145" s="103">
        <f>C145*(1+(HLOOKUP(VLOOKUP(C$13,'table années scolaires'!$C$17:$E$27,3,FALSE),'Projection Effectifs'!$S$44:$AC$48,4,FALSE)))*(1+$D$59)</f>
        <v>0</v>
      </c>
      <c r="E145" s="103">
        <f>D145*(1+(HLOOKUP(VLOOKUP(D$13,'table années scolaires'!$C$17:$E$27,3,FALSE),'Projection Effectifs'!$S$44:$AC$48,4,FALSE)))*(1+$D$59)*(1+$E$59)</f>
        <v>0</v>
      </c>
      <c r="F145" s="103">
        <f>E145*(1+(HLOOKUP(VLOOKUP(E$13,'table années scolaires'!$C$17:$E$27,3,FALSE),'Projection Effectifs'!$S$44:$AC$48,4,FALSE)))*(1+$D$59)*(1+$E$59)*(1+$F$59)</f>
        <v>0</v>
      </c>
      <c r="G145" s="103">
        <f>F145*(1+(HLOOKUP(VLOOKUP(F$13,'table années scolaires'!$C$17:$E$27,3,FALSE),'Projection Effectifs'!$S$44:$AC$48,4,FALSE)))*(1+$D$59)*(1+$E$59)*(1+$F$59)*(1+$G$59)</f>
        <v>0</v>
      </c>
      <c r="H145" s="103">
        <f>G145*(1+(HLOOKUP(VLOOKUP(G$13,'table années scolaires'!$C$17:$E$27,3,FALSE),'Projection Effectifs'!$S$44:$AC$48,4,FALSE)))*(1+$D$59)*(1+$E$59)*(1+$F$59)*(1+$G$59)*(1+$H$59)</f>
        <v>0</v>
      </c>
      <c r="I145" s="103">
        <f>H145*(1+(HLOOKUP(VLOOKUP(H$13,'table années scolaires'!$C$17:$E$27,3,FALSE),'Projection Effectifs'!$S$44:$AC$48,4,FALSE)))*(1+$D$59)*(1+$E$59)*(1+$F$59)*(1+$G$59)*(1+$H$59)*(1+$I$59)</f>
        <v>0</v>
      </c>
      <c r="J145" s="103">
        <f>I145*(1+(HLOOKUP(VLOOKUP(I$13,'table années scolaires'!$C$17:$E$27,3,FALSE),'Projection Effectifs'!$S$44:$AC$48,4,FALSE)))*(1+$D$59)*(1+$E$59)*(1+$F$59)*(1+$G$59)*(1+$H$59)*(1+$I$59)*(1+$J$59)</f>
        <v>0</v>
      </c>
    </row>
    <row r="146" spans="1:10" x14ac:dyDescent="0.2">
      <c r="A146" s="99"/>
      <c r="B146" s="120" t="s">
        <v>516</v>
      </c>
      <c r="C146" s="155">
        <f>SUM(C147:C155)</f>
        <v>0</v>
      </c>
      <c r="D146" s="155">
        <f t="shared" ref="D146" si="81">SUM(D147:D155)</f>
        <v>0</v>
      </c>
      <c r="E146" s="155">
        <f t="shared" ref="E146" si="82">SUM(E147:E155)</f>
        <v>0</v>
      </c>
      <c r="F146" s="155">
        <f t="shared" ref="F146" si="83">SUM(F147:F155)</f>
        <v>0</v>
      </c>
      <c r="G146" s="155">
        <f t="shared" ref="G146" si="84">SUM(G147:G155)</f>
        <v>0</v>
      </c>
      <c r="H146" s="155">
        <f t="shared" ref="H146" si="85">SUM(H147:H155)</f>
        <v>0</v>
      </c>
      <c r="I146" s="155">
        <f t="shared" ref="I146" si="86">SUM(I147:I155)</f>
        <v>0</v>
      </c>
      <c r="J146" s="155">
        <f t="shared" ref="J146" si="87">SUM(J147:J155)</f>
        <v>0</v>
      </c>
    </row>
    <row r="147" spans="1:10" x14ac:dyDescent="0.2">
      <c r="A147" s="99"/>
      <c r="B147" s="99" t="s">
        <v>510</v>
      </c>
      <c r="C147" s="103">
        <f>VLOOKUP($B147,'Hypothèses '!$B$133:$D$146,3,FALSE)*HLOOKUP(VLOOKUP(C$13,'table années scolaires'!$C$17:$E$27,2,FALSE),'Projection Effectifs'!$S$31:$AC$35,4,FALSE)</f>
        <v>0</v>
      </c>
      <c r="D147" s="103">
        <f>VLOOKUP($B147,'Hypothèses '!$B$133:$D$146,3,FALSE)*HLOOKUP(VLOOKUP(D$13,'table années scolaires'!$C$17:$E$27,2,FALSE),'Projection Effectifs'!$S$31:$AC$35,4,FALSE)*(1+$E$59)</f>
        <v>0</v>
      </c>
      <c r="E147" s="103">
        <f>VLOOKUP($B147,'Hypothèses '!$B$133:$D$146,3,FALSE)*HLOOKUP(VLOOKUP(E$13,'table années scolaires'!$C$17:$E$27,2,FALSE),'Projection Effectifs'!$S$31:$AC$35,4,FALSE)*(1+$E$59)*(1+$D$59)</f>
        <v>0</v>
      </c>
      <c r="F147" s="103">
        <f>VLOOKUP($B147,'Hypothèses '!$B$133:$D$146,3,FALSE)*HLOOKUP(VLOOKUP(F$13,'table années scolaires'!$C$17:$E$27,2,FALSE),'Projection Effectifs'!$S$31:$AC$35,4,FALSE)*(1+$E$59)*(1+$F$59)*(1+$D$59)</f>
        <v>0</v>
      </c>
      <c r="G147" s="103">
        <f>VLOOKUP($B147,'Hypothèses '!$B$133:$D$146,3,FALSE)*HLOOKUP(VLOOKUP(G$13,'table années scolaires'!$C$17:$E$27,2,FALSE),'Projection Effectifs'!$S$31:$AC$35,4,FALSE)*(1+$E$59)*(1+$F$59)*(1+$G$59)*(1+$D$59)</f>
        <v>0</v>
      </c>
      <c r="H147" s="103">
        <f>VLOOKUP($B147,'Hypothèses '!$B$133:$D$146,3,FALSE)*HLOOKUP(VLOOKUP(H$13,'table années scolaires'!$C$17:$E$27,2,FALSE),'Projection Effectifs'!$S$31:$AC$35,4,FALSE)*(1+$E$59)*(1+$F$59)*(1+$G$59)*(1+$H$59)*(1+$D$59)</f>
        <v>0</v>
      </c>
      <c r="I147" s="103">
        <f>VLOOKUP($B147,'Hypothèses '!$B$133:$D$146,3,FALSE)*HLOOKUP(VLOOKUP(I$13,'table années scolaires'!$C$17:$E$27,2,FALSE),'Projection Effectifs'!$S$31:$AC$35,4,FALSE)*(1+$E$59)*(1+$F$59)*(1+$G$59)*(1+$H$59)*(1+$I$59)*(1+$D$59)</f>
        <v>0</v>
      </c>
      <c r="J147" s="103">
        <f>VLOOKUP($B147,'Hypothèses '!$B$133:$D$146,3,FALSE)*HLOOKUP(VLOOKUP(J$13,'table années scolaires'!$C$17:$E$27,2,FALSE),'Projection Effectifs'!$S$31:$AC$35,4,FALSE)*(1+$E$59)*(1+$F$59)*(1+$G$59)*(1+$H$59)*(1+$I$59)*(1+$J$59)*(1+$D$59)</f>
        <v>0</v>
      </c>
    </row>
    <row r="148" spans="1:10" x14ac:dyDescent="0.2">
      <c r="A148" s="99"/>
      <c r="B148" s="99" t="s">
        <v>528</v>
      </c>
      <c r="C148" s="103">
        <f>VLOOKUP($B148,'Hypothèses '!$B$133:$D$146,3,FALSE)*HLOOKUP(VLOOKUP(C$13,'table années scolaires'!$C$17:$E$27,2,FALSE),'Projection Effectifs'!$S$31:$AC$35,4,FALSE)</f>
        <v>0</v>
      </c>
      <c r="D148" s="103">
        <f>VLOOKUP($B148,'Hypothèses '!$B$133:$D$146,3,FALSE)*HLOOKUP(VLOOKUP(D$13,'table années scolaires'!$C$17:$E$27,2,FALSE),'Projection Effectifs'!$S$31:$AC$35,4,FALSE)*(1+$E$59)</f>
        <v>0</v>
      </c>
      <c r="E148" s="103">
        <f>VLOOKUP($B148,'Hypothèses '!$B$133:$D$146,3,FALSE)*HLOOKUP(VLOOKUP(E$13,'table années scolaires'!$C$17:$E$27,2,FALSE),'Projection Effectifs'!$S$31:$AC$35,4,FALSE)*(1+$E$59)*(1+$D$59)</f>
        <v>0</v>
      </c>
      <c r="F148" s="103">
        <f>VLOOKUP($B148,'Hypothèses '!$B$133:$D$146,3,FALSE)*HLOOKUP(VLOOKUP(F$13,'table années scolaires'!$C$17:$E$27,2,FALSE),'Projection Effectifs'!$S$31:$AC$35,4,FALSE)*(1+$E$59)*(1+$F$59)*(1+$D$59)</f>
        <v>0</v>
      </c>
      <c r="G148" s="103">
        <f>VLOOKUP($B148,'Hypothèses '!$B$133:$D$146,3,FALSE)*HLOOKUP(VLOOKUP(G$13,'table années scolaires'!$C$17:$E$27,2,FALSE),'Projection Effectifs'!$S$31:$AC$35,4,FALSE)*(1+$E$59)*(1+$F$59)*(1+$G$59)*(1+$D$59)</f>
        <v>0</v>
      </c>
      <c r="H148" s="103">
        <f>VLOOKUP($B148,'Hypothèses '!$B$133:$D$146,3,FALSE)*HLOOKUP(VLOOKUP(H$13,'table années scolaires'!$C$17:$E$27,2,FALSE),'Projection Effectifs'!$S$31:$AC$35,4,FALSE)*(1+$E$59)*(1+$F$59)*(1+$G$59)*(1+$H$59)*(1+$D$59)</f>
        <v>0</v>
      </c>
      <c r="I148" s="103">
        <f>VLOOKUP($B148,'Hypothèses '!$B$133:$D$146,3,FALSE)*HLOOKUP(VLOOKUP(I$13,'table années scolaires'!$C$17:$E$27,2,FALSE),'Projection Effectifs'!$S$31:$AC$35,4,FALSE)*(1+$E$59)*(1+$F$59)*(1+$G$59)*(1+$H$59)*(1+$I$59)*(1+$D$59)</f>
        <v>0</v>
      </c>
      <c r="J148" s="103">
        <f>VLOOKUP($B148,'Hypothèses '!$B$133:$D$146,3,FALSE)*HLOOKUP(VLOOKUP(J$13,'table années scolaires'!$C$17:$E$27,2,FALSE),'Projection Effectifs'!$S$31:$AC$35,4,FALSE)*(1+$E$59)*(1+$F$59)*(1+$G$59)*(1+$H$59)*(1+$I$59)*(1+$J$59)*(1+$D$59)</f>
        <v>0</v>
      </c>
    </row>
    <row r="149" spans="1:10" x14ac:dyDescent="0.2">
      <c r="A149" s="99"/>
      <c r="B149" s="99" t="s">
        <v>517</v>
      </c>
      <c r="C149" s="103">
        <f>VLOOKUP($B149,'Hypothèses '!$B$133:$D$146,3,FALSE)*HLOOKUP(VLOOKUP(C$13,'table années scolaires'!$C$17:$E$27,2,FALSE),'Projection Effectifs'!$S$31:$AC$35,4,FALSE)</f>
        <v>0</v>
      </c>
      <c r="D149" s="103">
        <f>VLOOKUP($B149,'Hypothèses '!$B$133:$D$146,3,FALSE)*HLOOKUP(VLOOKUP(D$13,'table années scolaires'!$C$17:$E$27,2,FALSE),'Projection Effectifs'!$S$31:$AC$35,4,FALSE)*(1+$E$59)</f>
        <v>0</v>
      </c>
      <c r="E149" s="103">
        <f>VLOOKUP($B149,'Hypothèses '!$B$133:$D$146,3,FALSE)*HLOOKUP(VLOOKUP(E$13,'table années scolaires'!$C$17:$E$27,2,FALSE),'Projection Effectifs'!$S$31:$AC$35,4,FALSE)*(1+$E$59)*(1+$D$59)</f>
        <v>0</v>
      </c>
      <c r="F149" s="103">
        <f>VLOOKUP($B149,'Hypothèses '!$B$133:$D$146,3,FALSE)*HLOOKUP(VLOOKUP(F$13,'table années scolaires'!$C$17:$E$27,2,FALSE),'Projection Effectifs'!$S$31:$AC$35,4,FALSE)*(1+$E$59)*(1+$F$59)*(1+$D$59)</f>
        <v>0</v>
      </c>
      <c r="G149" s="103">
        <f>VLOOKUP($B149,'Hypothèses '!$B$133:$D$146,3,FALSE)*HLOOKUP(VLOOKUP(G$13,'table années scolaires'!$C$17:$E$27,2,FALSE),'Projection Effectifs'!$S$31:$AC$35,4,FALSE)*(1+$E$59)*(1+$F$59)*(1+$G$59)*(1+$D$59)</f>
        <v>0</v>
      </c>
      <c r="H149" s="103">
        <f>VLOOKUP($B149,'Hypothèses '!$B$133:$D$146,3,FALSE)*HLOOKUP(VLOOKUP(H$13,'table années scolaires'!$C$17:$E$27,2,FALSE),'Projection Effectifs'!$S$31:$AC$35,4,FALSE)*(1+$E$59)*(1+$F$59)*(1+$G$59)*(1+$H$59)*(1+$D$59)</f>
        <v>0</v>
      </c>
      <c r="I149" s="103">
        <f>VLOOKUP($B149,'Hypothèses '!$B$133:$D$146,3,FALSE)*HLOOKUP(VLOOKUP(I$13,'table années scolaires'!$C$17:$E$27,2,FALSE),'Projection Effectifs'!$S$31:$AC$35,4,FALSE)*(1+$E$59)*(1+$F$59)*(1+$G$59)*(1+$H$59)*(1+$I$59)*(1+$D$59)</f>
        <v>0</v>
      </c>
      <c r="J149" s="103">
        <f>VLOOKUP($B149,'Hypothèses '!$B$133:$D$146,3,FALSE)*HLOOKUP(VLOOKUP(J$13,'table années scolaires'!$C$17:$E$27,2,FALSE),'Projection Effectifs'!$S$31:$AC$35,4,FALSE)*(1+$E$59)*(1+$F$59)*(1+$G$59)*(1+$H$59)*(1+$I$59)*(1+$J$59)*(1+$D$59)</f>
        <v>0</v>
      </c>
    </row>
    <row r="150" spans="1:10" x14ac:dyDescent="0.2">
      <c r="A150" s="99"/>
      <c r="B150" s="99" t="s">
        <v>518</v>
      </c>
      <c r="C150" s="103">
        <f>VLOOKUP($B150,'Hypothèses '!$B$133:$D$146,3,FALSE)*HLOOKUP(VLOOKUP(C$13,'table années scolaires'!$C$17:$E$27,2,FALSE),'Projection Effectifs'!$S$31:$AC$35,4,FALSE)</f>
        <v>0</v>
      </c>
      <c r="D150" s="103">
        <f>VLOOKUP($B150,'Hypothèses '!$B$133:$D$146,3,FALSE)*HLOOKUP(VLOOKUP(D$13,'table années scolaires'!$C$17:$E$27,2,FALSE),'Projection Effectifs'!$S$31:$AC$35,4,FALSE)*(1+$E$59)</f>
        <v>0</v>
      </c>
      <c r="E150" s="103">
        <f>VLOOKUP($B150,'Hypothèses '!$B$133:$D$146,3,FALSE)*HLOOKUP(VLOOKUP(E$13,'table années scolaires'!$C$17:$E$27,2,FALSE),'Projection Effectifs'!$S$31:$AC$35,4,FALSE)*(1+$E$59)*(1+$D$59)</f>
        <v>0</v>
      </c>
      <c r="F150" s="103">
        <f>VLOOKUP($B150,'Hypothèses '!$B$133:$D$146,3,FALSE)*HLOOKUP(VLOOKUP(F$13,'table années scolaires'!$C$17:$E$27,2,FALSE),'Projection Effectifs'!$S$31:$AC$35,4,FALSE)*(1+$E$59)*(1+$F$59)*(1+$D$59)</f>
        <v>0</v>
      </c>
      <c r="G150" s="103">
        <f>VLOOKUP($B150,'Hypothèses '!$B$133:$D$146,3,FALSE)*HLOOKUP(VLOOKUP(G$13,'table années scolaires'!$C$17:$E$27,2,FALSE),'Projection Effectifs'!$S$31:$AC$35,4,FALSE)*(1+$E$59)*(1+$F$59)*(1+$G$59)*(1+$D$59)</f>
        <v>0</v>
      </c>
      <c r="H150" s="103">
        <f>VLOOKUP($B150,'Hypothèses '!$B$133:$D$146,3,FALSE)*HLOOKUP(VLOOKUP(H$13,'table années scolaires'!$C$17:$E$27,2,FALSE),'Projection Effectifs'!$S$31:$AC$35,4,FALSE)*(1+$E$59)*(1+$F$59)*(1+$G$59)*(1+$H$59)*(1+$D$59)</f>
        <v>0</v>
      </c>
      <c r="I150" s="103">
        <f>VLOOKUP($B150,'Hypothèses '!$B$133:$D$146,3,FALSE)*HLOOKUP(VLOOKUP(I$13,'table années scolaires'!$C$17:$E$27,2,FALSE),'Projection Effectifs'!$S$31:$AC$35,4,FALSE)*(1+$E$59)*(1+$F$59)*(1+$G$59)*(1+$H$59)*(1+$I$59)*(1+$D$59)</f>
        <v>0</v>
      </c>
      <c r="J150" s="103">
        <f>VLOOKUP($B150,'Hypothèses '!$B$133:$D$146,3,FALSE)*HLOOKUP(VLOOKUP(J$13,'table années scolaires'!$C$17:$E$27,2,FALSE),'Projection Effectifs'!$S$31:$AC$35,4,FALSE)*(1+$E$59)*(1+$F$59)*(1+$G$59)*(1+$H$59)*(1+$I$59)*(1+$J$59)*(1+$D$59)</f>
        <v>0</v>
      </c>
    </row>
    <row r="151" spans="1:10" x14ac:dyDescent="0.2">
      <c r="A151" s="99"/>
      <c r="B151" s="99" t="s">
        <v>511</v>
      </c>
      <c r="C151" s="103">
        <f>VLOOKUP($B151,'Hypothèses '!$B$133:$D$146,3,FALSE)*HLOOKUP(VLOOKUP(C$13,'table années scolaires'!$C$17:$E$27,2,FALSE),'Projection Effectifs'!$S$31:$AC$35,4,FALSE)</f>
        <v>0</v>
      </c>
      <c r="D151" s="103">
        <f>VLOOKUP($B151,'Hypothèses '!$B$133:$D$146,3,FALSE)*HLOOKUP(VLOOKUP(D$13,'table années scolaires'!$C$17:$E$27,2,FALSE),'Projection Effectifs'!$S$31:$AC$35,4,FALSE)*(1+$E$59)</f>
        <v>0</v>
      </c>
      <c r="E151" s="103">
        <f>VLOOKUP($B151,'Hypothèses '!$B$133:$D$146,3,FALSE)*HLOOKUP(VLOOKUP(E$13,'table années scolaires'!$C$17:$E$27,2,FALSE),'Projection Effectifs'!$S$31:$AC$35,4,FALSE)*(1+$E$59)*(1+$D$59)</f>
        <v>0</v>
      </c>
      <c r="F151" s="103">
        <f>VLOOKUP($B151,'Hypothèses '!$B$133:$D$146,3,FALSE)*HLOOKUP(VLOOKUP(F$13,'table années scolaires'!$C$17:$E$27,2,FALSE),'Projection Effectifs'!$S$31:$AC$35,4,FALSE)*(1+$E$59)*(1+$F$59)*(1+$D$59)</f>
        <v>0</v>
      </c>
      <c r="G151" s="103">
        <f>VLOOKUP($B151,'Hypothèses '!$B$133:$D$146,3,FALSE)*HLOOKUP(VLOOKUP(G$13,'table années scolaires'!$C$17:$E$27,2,FALSE),'Projection Effectifs'!$S$31:$AC$35,4,FALSE)*(1+$E$59)*(1+$F$59)*(1+$G$59)*(1+$D$59)</f>
        <v>0</v>
      </c>
      <c r="H151" s="103">
        <f>VLOOKUP($B151,'Hypothèses '!$B$133:$D$146,3,FALSE)*HLOOKUP(VLOOKUP(H$13,'table années scolaires'!$C$17:$E$27,2,FALSE),'Projection Effectifs'!$S$31:$AC$35,4,FALSE)*(1+$E$59)*(1+$F$59)*(1+$G$59)*(1+$H$59)*(1+$D$59)</f>
        <v>0</v>
      </c>
      <c r="I151" s="103">
        <f>VLOOKUP($B151,'Hypothèses '!$B$133:$D$146,3,FALSE)*HLOOKUP(VLOOKUP(I$13,'table années scolaires'!$C$17:$E$27,2,FALSE),'Projection Effectifs'!$S$31:$AC$35,4,FALSE)*(1+$E$59)*(1+$F$59)*(1+$G$59)*(1+$H$59)*(1+$I$59)*(1+$D$59)</f>
        <v>0</v>
      </c>
      <c r="J151" s="103">
        <f>VLOOKUP($B151,'Hypothèses '!$B$133:$D$146,3,FALSE)*HLOOKUP(VLOOKUP(J$13,'table années scolaires'!$C$17:$E$27,2,FALSE),'Projection Effectifs'!$S$31:$AC$35,4,FALSE)*(1+$E$59)*(1+$F$59)*(1+$G$59)*(1+$H$59)*(1+$I$59)*(1+$J$59)*(1+$D$59)</f>
        <v>0</v>
      </c>
    </row>
    <row r="152" spans="1:10" x14ac:dyDescent="0.2">
      <c r="A152" s="99"/>
      <c r="B152" s="99" t="s">
        <v>512</v>
      </c>
      <c r="C152" s="103">
        <f>VLOOKUP($B152,'Hypothèses '!$B$133:$D$146,3,FALSE)*HLOOKUP(VLOOKUP(C$13,'table années scolaires'!$C$17:$E$27,2,FALSE),'Projection Effectifs'!$S$31:$AC$35,4,FALSE)</f>
        <v>0</v>
      </c>
      <c r="D152" s="103">
        <f>VLOOKUP($B152,'Hypothèses '!$B$133:$D$146,3,FALSE)*HLOOKUP(VLOOKUP(D$13,'table années scolaires'!$C$17:$E$27,2,FALSE),'Projection Effectifs'!$S$31:$AC$35,4,FALSE)*(1+$E$59)</f>
        <v>0</v>
      </c>
      <c r="E152" s="103">
        <f>VLOOKUP($B152,'Hypothèses '!$B$133:$D$146,3,FALSE)*HLOOKUP(VLOOKUP(E$13,'table années scolaires'!$C$17:$E$27,2,FALSE),'Projection Effectifs'!$S$31:$AC$35,4,FALSE)*(1+$E$59)*(1+$D$59)</f>
        <v>0</v>
      </c>
      <c r="F152" s="103">
        <f>VLOOKUP($B152,'Hypothèses '!$B$133:$D$146,3,FALSE)*HLOOKUP(VLOOKUP(F$13,'table années scolaires'!$C$17:$E$27,2,FALSE),'Projection Effectifs'!$S$31:$AC$35,4,FALSE)*(1+$E$59)*(1+$F$59)*(1+$D$59)</f>
        <v>0</v>
      </c>
      <c r="G152" s="103">
        <f>VLOOKUP($B152,'Hypothèses '!$B$133:$D$146,3,FALSE)*HLOOKUP(VLOOKUP(G$13,'table années scolaires'!$C$17:$E$27,2,FALSE),'Projection Effectifs'!$S$31:$AC$35,4,FALSE)*(1+$E$59)*(1+$F$59)*(1+$G$59)*(1+$D$59)</f>
        <v>0</v>
      </c>
      <c r="H152" s="103">
        <f>VLOOKUP($B152,'Hypothèses '!$B$133:$D$146,3,FALSE)*HLOOKUP(VLOOKUP(H$13,'table années scolaires'!$C$17:$E$27,2,FALSE),'Projection Effectifs'!$S$31:$AC$35,4,FALSE)*(1+$E$59)*(1+$F$59)*(1+$G$59)*(1+$H$59)*(1+$D$59)</f>
        <v>0</v>
      </c>
      <c r="I152" s="103">
        <f>VLOOKUP($B152,'Hypothèses '!$B$133:$D$146,3,FALSE)*HLOOKUP(VLOOKUP(I$13,'table années scolaires'!$C$17:$E$27,2,FALSE),'Projection Effectifs'!$S$31:$AC$35,4,FALSE)*(1+$E$59)*(1+$F$59)*(1+$G$59)*(1+$H$59)*(1+$I$59)*(1+$D$59)</f>
        <v>0</v>
      </c>
      <c r="J152" s="103">
        <f>VLOOKUP($B152,'Hypothèses '!$B$133:$D$146,3,FALSE)*HLOOKUP(VLOOKUP(J$13,'table années scolaires'!$C$17:$E$27,2,FALSE),'Projection Effectifs'!$S$31:$AC$35,4,FALSE)*(1+$E$59)*(1+$F$59)*(1+$G$59)*(1+$H$59)*(1+$I$59)*(1+$J$59)*(1+$D$59)</f>
        <v>0</v>
      </c>
    </row>
    <row r="153" spans="1:10" x14ac:dyDescent="0.2">
      <c r="A153" s="99"/>
      <c r="B153" s="99" t="s">
        <v>520</v>
      </c>
      <c r="C153" s="103">
        <f>VLOOKUP($B153,'Hypothèses '!$B$133:$D$146,3,FALSE)*HLOOKUP(VLOOKUP(C$13,'table années scolaires'!$C$17:$E$27,2,FALSE),'Projection Effectifs'!$S$31:$AC$35,4,FALSE)</f>
        <v>0</v>
      </c>
      <c r="D153" s="103">
        <f>VLOOKUP($B153,'Hypothèses '!$B$133:$D$146,3,FALSE)*HLOOKUP(VLOOKUP(D$13,'table années scolaires'!$C$17:$E$27,2,FALSE),'Projection Effectifs'!$S$31:$AC$35,4,FALSE)*(1+$E$59)</f>
        <v>0</v>
      </c>
      <c r="E153" s="103">
        <f>VLOOKUP($B153,'Hypothèses '!$B$133:$D$146,3,FALSE)*HLOOKUP(VLOOKUP(E$13,'table années scolaires'!$C$17:$E$27,2,FALSE),'Projection Effectifs'!$S$31:$AC$35,4,FALSE)*(1+$E$59)*(1+$D$59)</f>
        <v>0</v>
      </c>
      <c r="F153" s="103">
        <f>VLOOKUP($B153,'Hypothèses '!$B$133:$D$146,3,FALSE)*HLOOKUP(VLOOKUP(F$13,'table années scolaires'!$C$17:$E$27,2,FALSE),'Projection Effectifs'!$S$31:$AC$35,4,FALSE)*(1+$E$59)*(1+$F$59)*(1+$D$59)</f>
        <v>0</v>
      </c>
      <c r="G153" s="103">
        <f>VLOOKUP($B153,'Hypothèses '!$B$133:$D$146,3,FALSE)*HLOOKUP(VLOOKUP(G$13,'table années scolaires'!$C$17:$E$27,2,FALSE),'Projection Effectifs'!$S$31:$AC$35,4,FALSE)*(1+$E$59)*(1+$F$59)*(1+$G$59)*(1+$D$59)</f>
        <v>0</v>
      </c>
      <c r="H153" s="103">
        <f>VLOOKUP($B153,'Hypothèses '!$B$133:$D$146,3,FALSE)*HLOOKUP(VLOOKUP(H$13,'table années scolaires'!$C$17:$E$27,2,FALSE),'Projection Effectifs'!$S$31:$AC$35,4,FALSE)*(1+$E$59)*(1+$F$59)*(1+$G$59)*(1+$H$59)*(1+$D$59)</f>
        <v>0</v>
      </c>
      <c r="I153" s="103">
        <f>VLOOKUP($B153,'Hypothèses '!$B$133:$D$146,3,FALSE)*HLOOKUP(VLOOKUP(I$13,'table années scolaires'!$C$17:$E$27,2,FALSE),'Projection Effectifs'!$S$31:$AC$35,4,FALSE)*(1+$E$59)*(1+$F$59)*(1+$G$59)*(1+$H$59)*(1+$I$59)*(1+$D$59)</f>
        <v>0</v>
      </c>
      <c r="J153" s="103">
        <f>VLOOKUP($B153,'Hypothèses '!$B$133:$D$146,3,FALSE)*HLOOKUP(VLOOKUP(J$13,'table années scolaires'!$C$17:$E$27,2,FALSE),'Projection Effectifs'!$S$31:$AC$35,4,FALSE)*(1+$E$59)*(1+$F$59)*(1+$G$59)*(1+$H$59)*(1+$I$59)*(1+$J$59)*(1+$D$59)</f>
        <v>0</v>
      </c>
    </row>
    <row r="154" spans="1:10" x14ac:dyDescent="0.2">
      <c r="A154" s="99"/>
      <c r="B154" s="99" t="s">
        <v>526</v>
      </c>
      <c r="C154" s="103">
        <f>VLOOKUP($B154,'Hypothèses '!$B$133:$D$146,3,FALSE)*HLOOKUP(VLOOKUP(C$13,'table années scolaires'!$C$17:$E$27,2,FALSE),'Projection Effectifs'!$S$31:$AC$35,4,FALSE)</f>
        <v>0</v>
      </c>
      <c r="D154" s="103">
        <f>VLOOKUP($B154,'Hypothèses '!$B$133:$D$146,3,FALSE)*HLOOKUP(VLOOKUP(D$13,'table années scolaires'!$C$17:$E$27,2,FALSE),'Projection Effectifs'!$S$31:$AC$35,4,FALSE)*(1+$E$59)</f>
        <v>0</v>
      </c>
      <c r="E154" s="103">
        <f>VLOOKUP($B154,'Hypothèses '!$B$133:$D$146,3,FALSE)*HLOOKUP(VLOOKUP(E$13,'table années scolaires'!$C$17:$E$27,2,FALSE),'Projection Effectifs'!$S$31:$AC$35,4,FALSE)*(1+$E$59)*(1+$D$59)</f>
        <v>0</v>
      </c>
      <c r="F154" s="103">
        <f>VLOOKUP($B154,'Hypothèses '!$B$133:$D$146,3,FALSE)*HLOOKUP(VLOOKUP(F$13,'table années scolaires'!$C$17:$E$27,2,FALSE),'Projection Effectifs'!$S$31:$AC$35,4,FALSE)*(1+$E$59)*(1+$F$59)*(1+$D$59)</f>
        <v>0</v>
      </c>
      <c r="G154" s="103">
        <f>VLOOKUP($B154,'Hypothèses '!$B$133:$D$146,3,FALSE)*HLOOKUP(VLOOKUP(G$13,'table années scolaires'!$C$17:$E$27,2,FALSE),'Projection Effectifs'!$S$31:$AC$35,4,FALSE)*(1+$E$59)*(1+$F$59)*(1+$G$59)*(1+$D$59)</f>
        <v>0</v>
      </c>
      <c r="H154" s="103">
        <f>VLOOKUP($B154,'Hypothèses '!$B$133:$D$146,3,FALSE)*HLOOKUP(VLOOKUP(H$13,'table années scolaires'!$C$17:$E$27,2,FALSE),'Projection Effectifs'!$S$31:$AC$35,4,FALSE)*(1+$E$59)*(1+$F$59)*(1+$G$59)*(1+$H$59)*(1+$D$59)</f>
        <v>0</v>
      </c>
      <c r="I154" s="103">
        <f>VLOOKUP($B154,'Hypothèses '!$B$133:$D$146,3,FALSE)*HLOOKUP(VLOOKUP(I$13,'table années scolaires'!$C$17:$E$27,2,FALSE),'Projection Effectifs'!$S$31:$AC$35,4,FALSE)*(1+$E$59)*(1+$F$59)*(1+$G$59)*(1+$H$59)*(1+$I$59)*(1+$D$59)</f>
        <v>0</v>
      </c>
      <c r="J154" s="103">
        <f>VLOOKUP($B154,'Hypothèses '!$B$133:$D$146,3,FALSE)*HLOOKUP(VLOOKUP(J$13,'table années scolaires'!$C$17:$E$27,2,FALSE),'Projection Effectifs'!$S$31:$AC$35,4,FALSE)*(1+$E$59)*(1+$F$59)*(1+$G$59)*(1+$H$59)*(1+$I$59)*(1+$J$59)*(1+$D$59)</f>
        <v>0</v>
      </c>
    </row>
    <row r="155" spans="1:10" x14ac:dyDescent="0.2">
      <c r="A155" s="99"/>
      <c r="B155" s="99" t="s">
        <v>527</v>
      </c>
      <c r="C155" s="103">
        <f>VLOOKUP($B155,'Hypothèses '!$B$133:$D$146,3,FALSE)*HLOOKUP(VLOOKUP(C$13,'table années scolaires'!$C$17:$E$27,2,FALSE),'Projection Effectifs'!$S$31:$AC$35,4,FALSE)</f>
        <v>0</v>
      </c>
      <c r="D155" s="103">
        <f>VLOOKUP($B155,'Hypothèses '!$B$133:$D$146,3,FALSE)*HLOOKUP(VLOOKUP(D$13,'table années scolaires'!$C$17:$E$27,2,FALSE),'Projection Effectifs'!$S$31:$AC$35,4,FALSE)*(1+$E$59)</f>
        <v>0</v>
      </c>
      <c r="E155" s="103">
        <f>VLOOKUP($B155,'Hypothèses '!$B$133:$D$146,3,FALSE)*HLOOKUP(VLOOKUP(E$13,'table années scolaires'!$C$17:$E$27,2,FALSE),'Projection Effectifs'!$S$31:$AC$35,4,FALSE)*(1+$E$59)*(1+$D$59)</f>
        <v>0</v>
      </c>
      <c r="F155" s="103">
        <f>VLOOKUP($B155,'Hypothèses '!$B$133:$D$146,3,FALSE)*HLOOKUP(VLOOKUP(F$13,'table années scolaires'!$C$17:$E$27,2,FALSE),'Projection Effectifs'!$S$31:$AC$35,4,FALSE)*(1+$E$59)*(1+$F$59)*(1+$D$59)</f>
        <v>0</v>
      </c>
      <c r="G155" s="103">
        <f>VLOOKUP($B155,'Hypothèses '!$B$133:$D$146,3,FALSE)*HLOOKUP(VLOOKUP(G$13,'table années scolaires'!$C$17:$E$27,2,FALSE),'Projection Effectifs'!$S$31:$AC$35,4,FALSE)*(1+$E$59)*(1+$F$59)*(1+$G$59)*(1+$D$59)</f>
        <v>0</v>
      </c>
      <c r="H155" s="103">
        <f>VLOOKUP($B155,'Hypothèses '!$B$133:$D$146,3,FALSE)*HLOOKUP(VLOOKUP(H$13,'table années scolaires'!$C$17:$E$27,2,FALSE),'Projection Effectifs'!$S$31:$AC$35,4,FALSE)*(1+$E$59)*(1+$F$59)*(1+$G$59)*(1+$H$59)*(1+$D$59)</f>
        <v>0</v>
      </c>
      <c r="I155" s="103">
        <f>VLOOKUP($B155,'Hypothèses '!$B$133:$D$146,3,FALSE)*HLOOKUP(VLOOKUP(I$13,'table années scolaires'!$C$17:$E$27,2,FALSE),'Projection Effectifs'!$S$31:$AC$35,4,FALSE)*(1+$E$59)*(1+$F$59)*(1+$G$59)*(1+$H$59)*(1+$I$59)*(1+$D$59)</f>
        <v>0</v>
      </c>
      <c r="J155" s="103">
        <f>VLOOKUP($B155,'Hypothèses '!$B$133:$D$146,3,FALSE)*HLOOKUP(VLOOKUP(J$13,'table années scolaires'!$C$17:$E$27,2,FALSE),'Projection Effectifs'!$S$31:$AC$35,4,FALSE)*(1+$E$59)*(1+$F$59)*(1+$G$59)*(1+$H$59)*(1+$I$59)*(1+$J$59)*(1+$D$59)</f>
        <v>0</v>
      </c>
    </row>
    <row r="156" spans="1:10" x14ac:dyDescent="0.2">
      <c r="A156" s="99"/>
      <c r="B156" s="120" t="s">
        <v>524</v>
      </c>
      <c r="C156" s="155">
        <f>SUM(C157:C159)</f>
        <v>0</v>
      </c>
      <c r="D156" s="155">
        <f>SUM(D157:D159)</f>
        <v>0</v>
      </c>
      <c r="E156" s="155">
        <f t="shared" ref="E156:J156" si="88">SUM(E157:E159)</f>
        <v>0</v>
      </c>
      <c r="F156" s="155">
        <f t="shared" si="88"/>
        <v>0</v>
      </c>
      <c r="G156" s="155">
        <f t="shared" si="88"/>
        <v>0</v>
      </c>
      <c r="H156" s="155">
        <f t="shared" si="88"/>
        <v>0</v>
      </c>
      <c r="I156" s="155">
        <f t="shared" si="88"/>
        <v>0</v>
      </c>
      <c r="J156" s="155">
        <f t="shared" si="88"/>
        <v>0</v>
      </c>
    </row>
    <row r="157" spans="1:10" hidden="1" x14ac:dyDescent="0.2">
      <c r="A157" s="99"/>
      <c r="B157" s="99" t="s">
        <v>521</v>
      </c>
      <c r="C157" s="103">
        <f>IF('Hypothèses '!C$15="non",0,IF('Hypothèses '!$C$7="conventionné",(C$45+C$47)*0.06*0.94,0))</f>
        <v>0</v>
      </c>
      <c r="D157" s="103">
        <f>IF('Hypothèses '!D$15="non",0,IF('Hypothèses '!$C$7="conventionné",(D$45+D$47)*0.06*0.94,0))</f>
        <v>0</v>
      </c>
      <c r="E157" s="103">
        <f>IF('Hypothèses '!E$15="non",0,IF('Hypothèses '!$C$7="conventionné",(E$45+E$47)*0.06*0.94,0))</f>
        <v>0</v>
      </c>
      <c r="F157" s="103">
        <f>IF('Hypothèses '!F$15="non",0,IF('Hypothèses '!$C$7="conventionné",(F$45+F$47)*0.06*0.94,0))</f>
        <v>0</v>
      </c>
      <c r="G157" s="103">
        <f>IF('Hypothèses '!G$15="non",0,IF('Hypothèses '!$C$7="conventionné",(G$45+G$47)*0.06*0.94,0))</f>
        <v>0</v>
      </c>
      <c r="H157" s="103">
        <f>IF('Hypothèses '!H$15="non",0,IF('Hypothèses '!$C$7="conventionné",(H$45+H$47)*0.06*0.94,0))</f>
        <v>0</v>
      </c>
      <c r="I157" s="103">
        <f>IF('Hypothèses '!I$15="non",0,IF('Hypothèses '!$C$7="conventionné",(I$45+I$47)*0.06*0.94,0))</f>
        <v>0</v>
      </c>
      <c r="J157" s="103">
        <f>IF('Hypothèses '!J$15="non",0,IF('Hypothèses '!$C$7="conventionné",(J$45+J$47)*0.06*0.94,0))</f>
        <v>0</v>
      </c>
    </row>
    <row r="158" spans="1:10" x14ac:dyDescent="0.2">
      <c r="A158" s="99"/>
      <c r="B158" s="99" t="s">
        <v>522</v>
      </c>
      <c r="C158" s="103">
        <f>IF(HLOOKUP(VLOOKUP(C$13,'table années scolaires'!$C$17:$E$27,2,FALSE),'Hypothèses '!$C$12:$K$16,4,FALSE)="non",0,(C45+C47)*C160)</f>
        <v>0</v>
      </c>
      <c r="D158" s="103">
        <f>IF(HLOOKUP(VLOOKUP(D$13,'table années scolaires'!$C$17:$E$27,2,FALSE),'Hypothèses '!$C$12:$K$16,4,FALSE)="non",0,(D45+D47)*D160)</f>
        <v>0</v>
      </c>
      <c r="E158" s="103">
        <f>IF(HLOOKUP(VLOOKUP(E$13,'table années scolaires'!$C$17:$E$27,2,FALSE),'Hypothèses '!$C$12:$K$16,4,FALSE)="non",0,(E45+E47)*E160)</f>
        <v>0</v>
      </c>
      <c r="F158" s="103">
        <f>IF(HLOOKUP(VLOOKUP(F$13,'table années scolaires'!$C$17:$E$27,2,FALSE),'Hypothèses '!$C$12:$K$16,4,FALSE)="non",0,(F45+F47)*F160)</f>
        <v>0</v>
      </c>
      <c r="G158" s="103">
        <f>IF(HLOOKUP(VLOOKUP(G$13,'table années scolaires'!$C$17:$E$27,2,FALSE),'Hypothèses '!$C$12:$K$16,4,FALSE)="non",0,(G45+G47)*G160)</f>
        <v>0</v>
      </c>
      <c r="H158" s="103">
        <f>IF(HLOOKUP(VLOOKUP(H$13,'table années scolaires'!$C$17:$E$27,2,FALSE),'Hypothèses '!$C$12:$K$16,4,FALSE)="non",0,(H45+H47)*H160)</f>
        <v>0</v>
      </c>
      <c r="I158" s="103">
        <f>IF(HLOOKUP(VLOOKUP(I$13,'table années scolaires'!$C$17:$E$27,2,FALSE),'Hypothèses '!$C$12:$K$16,4,FALSE)="non",0,(I45+I47)*I160)</f>
        <v>0</v>
      </c>
      <c r="J158" s="103">
        <f>IF(HLOOKUP(VLOOKUP(J$13,'table années scolaires'!$C$17:$E$27,2,FALSE),'Hypothèses '!$C$12:$K$16,4,FALSE)="non",0,(J45+J47)*J160)</f>
        <v>0</v>
      </c>
    </row>
    <row r="159" spans="1:10" x14ac:dyDescent="0.2">
      <c r="A159" s="99"/>
      <c r="B159" s="99" t="s">
        <v>523</v>
      </c>
      <c r="C159" s="103">
        <f>IF(HLOOKUP(VLOOKUP(C$13,'table années scolaires'!$C$17:$E$27,2,FALSE),'Hypothèses '!$C$12:$K$16,4,FALSE)="non",0,C161*C137)</f>
        <v>0</v>
      </c>
      <c r="D159" s="103">
        <f>IF(HLOOKUP(VLOOKUP(D$13,'table années scolaires'!$C$17:$E$27,2,FALSE),'Hypothèses '!$C$12:$K$16,4,FALSE)="non",0,D161*C137)</f>
        <v>0</v>
      </c>
      <c r="E159" s="103">
        <f>IF(HLOOKUP(VLOOKUP(E$13,'table années scolaires'!$C$17:$E$27,2,FALSE),'Hypothèses '!$C$12:$K$16,4,FALSE)="non",0,E161*D137)</f>
        <v>0</v>
      </c>
      <c r="F159" s="103">
        <f>IF(HLOOKUP(VLOOKUP(F$13,'table années scolaires'!$C$17:$E$27,2,FALSE),'Hypothèses '!$C$12:$K$16,4,FALSE)="non",0,F161*E137)</f>
        <v>0</v>
      </c>
      <c r="G159" s="103">
        <f>IF(HLOOKUP(VLOOKUP(G$13,'table années scolaires'!$C$17:$E$27,2,FALSE),'Hypothèses '!$C$12:$K$16,4,FALSE)="non",0,G161*F137)</f>
        <v>0</v>
      </c>
      <c r="H159" s="103">
        <f>IF(HLOOKUP(VLOOKUP(H$13,'table années scolaires'!$C$17:$E$27,2,FALSE),'Hypothèses '!$C$12:$K$16,4,FALSE)="non",0,H161*G137)</f>
        <v>0</v>
      </c>
      <c r="I159" s="103">
        <f>IF(HLOOKUP(VLOOKUP(I$13,'table années scolaires'!$C$17:$E$27,2,FALSE),'Hypothèses '!$C$12:$K$16,4,FALSE)="non",0,I161*H137)</f>
        <v>0</v>
      </c>
      <c r="J159" s="103">
        <f>IF(HLOOKUP(VLOOKUP(J$13,'table années scolaires'!$C$17:$E$27,2,FALSE),'Hypothèses '!$C$12:$K$16,4,FALSE)="non",0,J161*I137)</f>
        <v>0</v>
      </c>
    </row>
    <row r="160" spans="1:10" x14ac:dyDescent="0.2">
      <c r="A160" s="99"/>
      <c r="B160" s="119" t="s">
        <v>537</v>
      </c>
      <c r="C160" s="162">
        <f>IF(HLOOKUP(VLOOKUP(C$13,'table années scolaires'!$C$17:$E$27,2,FALSE),'Hypothèses '!$C$12:$K$16,4,FALSE)="non",0,2%)</f>
        <v>0</v>
      </c>
      <c r="D160" s="162">
        <f>IF(HLOOKUP(VLOOKUP(D$13,'table années scolaires'!$C$17:$E$27,2,FALSE),'Hypothèses '!$C$12:$K$16,4,FALSE)="non",0,2%)</f>
        <v>0</v>
      </c>
      <c r="E160" s="162">
        <f>IF(HLOOKUP(VLOOKUP(E$13,'table années scolaires'!$C$17:$E$27,2,FALSE),'Hypothèses '!$C$12:$K$16,4,FALSE)="non",0,2%)</f>
        <v>0</v>
      </c>
      <c r="F160" s="162">
        <f>IF(HLOOKUP(VLOOKUP(F$13,'table années scolaires'!$C$17:$E$27,2,FALSE),'Hypothèses '!$C$12:$K$16,4,FALSE)="non",0,2%)</f>
        <v>0</v>
      </c>
      <c r="G160" s="162">
        <f>IF(HLOOKUP(VLOOKUP(G$13,'table années scolaires'!$C$17:$E$27,2,FALSE),'Hypothèses '!$C$12:$K$16,4,FALSE)="non",0,2%)</f>
        <v>0</v>
      </c>
      <c r="H160" s="162">
        <f>IF(HLOOKUP(VLOOKUP(H$13,'table années scolaires'!$C$17:$E$27,2,FALSE),'Hypothèses '!$C$12:$K$16,4,FALSE)="non",0,2%)</f>
        <v>0</v>
      </c>
      <c r="I160" s="162">
        <f>IF(HLOOKUP(VLOOKUP(I$13,'table années scolaires'!$C$17:$E$27,2,FALSE),'Hypothèses '!$C$12:$K$16,4,FALSE)="non",0,2%)</f>
        <v>0</v>
      </c>
      <c r="J160" s="162">
        <f>IF(HLOOKUP(VLOOKUP(J$13,'table années scolaires'!$C$17:$E$27,2,FALSE),'Hypothèses '!$C$12:$K$16,4,FALSE)="non",0,2%)</f>
        <v>0</v>
      </c>
    </row>
    <row r="161" spans="1:11" x14ac:dyDescent="0.2">
      <c r="A161" s="99"/>
      <c r="B161" s="119" t="s">
        <v>538</v>
      </c>
      <c r="C161" s="162">
        <f>IF(HLOOKUP(VLOOKUP(C$13,'table années scolaires'!$C$17:$E$27,2,FALSE),'Hypothèses '!$C$12:$K$16,4,FALSE)="non",0,1%)</f>
        <v>0</v>
      </c>
      <c r="D161" s="162">
        <f>IF(HLOOKUP(VLOOKUP(D$13,'table années scolaires'!$C$17:$E$27,2,FALSE),'Hypothèses '!$C$12:$K$16,4,FALSE)="non",0,1%)</f>
        <v>0</v>
      </c>
      <c r="E161" s="162">
        <f>IF(HLOOKUP(VLOOKUP(E$13,'table années scolaires'!$C$17:$E$27,2,FALSE),'Hypothèses '!$C$12:$K$16,4,FALSE)="non",0,1%)</f>
        <v>0</v>
      </c>
      <c r="F161" s="162">
        <f>IF(HLOOKUP(VLOOKUP(F$13,'table années scolaires'!$C$17:$E$27,2,FALSE),'Hypothèses '!$C$12:$K$16,4,FALSE)="non",0,1%)</f>
        <v>0</v>
      </c>
      <c r="G161" s="162">
        <f>IF(HLOOKUP(VLOOKUP(G$13,'table années scolaires'!$C$17:$E$27,2,FALSE),'Hypothèses '!$C$12:$K$16,4,FALSE)="non",0,1%)</f>
        <v>0</v>
      </c>
      <c r="H161" s="162">
        <f>IF(HLOOKUP(VLOOKUP(H$13,'table années scolaires'!$C$17:$E$27,2,FALSE),'Hypothèses '!$C$12:$K$16,4,FALSE)="non",0,1%)</f>
        <v>0</v>
      </c>
      <c r="I161" s="162">
        <f>IF(HLOOKUP(VLOOKUP(I$13,'table années scolaires'!$C$17:$E$27,2,FALSE),'Hypothèses '!$C$12:$K$16,4,FALSE)="non",0,1%)</f>
        <v>0</v>
      </c>
      <c r="J161" s="162">
        <f>IF(HLOOKUP(VLOOKUP(J$13,'table années scolaires'!$C$17:$E$27,2,FALSE),'Hypothèses '!$C$12:$K$16,4,FALSE)="non",0,1%)</f>
        <v>0</v>
      </c>
    </row>
    <row r="162" spans="1:11" ht="16" x14ac:dyDescent="0.2">
      <c r="A162" s="137" t="s">
        <v>498</v>
      </c>
      <c r="B162" s="153" t="s">
        <v>546</v>
      </c>
      <c r="C162" s="153" t="e">
        <f>C163+C167+C172+C182</f>
        <v>#N/A</v>
      </c>
      <c r="D162" s="153" t="e">
        <f t="shared" ref="D162:J162" si="89">D163+D167+D172+D182</f>
        <v>#N/A</v>
      </c>
      <c r="E162" s="153" t="e">
        <f t="shared" si="89"/>
        <v>#N/A</v>
      </c>
      <c r="F162" s="153" t="e">
        <f t="shared" si="89"/>
        <v>#N/A</v>
      </c>
      <c r="G162" s="153" t="e">
        <f t="shared" si="89"/>
        <v>#N/A</v>
      </c>
      <c r="H162" s="153" t="e">
        <f t="shared" si="89"/>
        <v>#N/A</v>
      </c>
      <c r="I162" s="153" t="e">
        <f t="shared" si="89"/>
        <v>#N/A</v>
      </c>
      <c r="J162" s="153" t="e">
        <f t="shared" si="89"/>
        <v>#N/A</v>
      </c>
    </row>
    <row r="163" spans="1:11" x14ac:dyDescent="0.2">
      <c r="A163" s="128"/>
      <c r="B163" s="137" t="s">
        <v>542</v>
      </c>
      <c r="C163" s="163" t="e">
        <f>SUM(C164:C166)</f>
        <v>#N/A</v>
      </c>
      <c r="D163" s="163" t="e">
        <f t="shared" ref="D163" si="90">SUM(D164:D166)</f>
        <v>#N/A</v>
      </c>
      <c r="E163" s="163" t="e">
        <f t="shared" ref="E163" si="91">SUM(E164:E166)</f>
        <v>#N/A</v>
      </c>
      <c r="F163" s="163" t="e">
        <f t="shared" ref="F163" si="92">SUM(F164:F166)</f>
        <v>#N/A</v>
      </c>
      <c r="G163" s="163" t="e">
        <f t="shared" ref="G163" si="93">SUM(G164:G166)</f>
        <v>#N/A</v>
      </c>
      <c r="H163" s="163" t="e">
        <f t="shared" ref="H163" si="94">SUM(H164:H166)</f>
        <v>#N/A</v>
      </c>
      <c r="I163" s="163" t="e">
        <f t="shared" ref="I163" si="95">SUM(I164:I166)</f>
        <v>#N/A</v>
      </c>
      <c r="J163" s="163" t="e">
        <f t="shared" ref="J163" si="96">SUM(J164:J166)</f>
        <v>#N/A</v>
      </c>
    </row>
    <row r="164" spans="1:11" ht="19" x14ac:dyDescent="0.25">
      <c r="A164" s="164"/>
      <c r="B164" s="128" t="s">
        <v>540</v>
      </c>
      <c r="C164" s="154">
        <f>'Calcul MS Personnels'!D247</f>
        <v>0</v>
      </c>
      <c r="D164" s="154">
        <f>'Calcul MS Personnels'!E247</f>
        <v>0</v>
      </c>
      <c r="E164" s="154">
        <f>'Calcul MS Personnels'!F247</f>
        <v>0</v>
      </c>
      <c r="F164" s="154">
        <f>'Calcul MS Personnels'!G247</f>
        <v>0</v>
      </c>
      <c r="G164" s="154">
        <f>'Calcul MS Personnels'!H247</f>
        <v>0</v>
      </c>
      <c r="H164" s="154">
        <f>'Calcul MS Personnels'!I247</f>
        <v>0</v>
      </c>
      <c r="I164" s="154">
        <f>'Calcul MS Personnels'!J247</f>
        <v>0</v>
      </c>
      <c r="J164" s="154">
        <f>'Calcul MS Personnels'!K247</f>
        <v>0</v>
      </c>
    </row>
    <row r="165" spans="1:11" ht="19" hidden="1" x14ac:dyDescent="0.25">
      <c r="A165" s="164"/>
      <c r="B165" s="128" t="s">
        <v>541</v>
      </c>
      <c r="C165" s="154">
        <f>'Calcul MS Personnels'!D246</f>
        <v>0</v>
      </c>
      <c r="D165" s="154">
        <f>'Calcul MS Personnels'!E246</f>
        <v>0</v>
      </c>
      <c r="E165" s="154">
        <f>'Calcul MS Personnels'!F246</f>
        <v>0</v>
      </c>
      <c r="F165" s="154">
        <f>'Calcul MS Personnels'!G246</f>
        <v>0</v>
      </c>
      <c r="G165" s="154">
        <f>'Calcul MS Personnels'!H246</f>
        <v>0</v>
      </c>
      <c r="H165" s="154">
        <f>'Calcul MS Personnels'!I246</f>
        <v>0</v>
      </c>
      <c r="I165" s="154">
        <f>'Calcul MS Personnels'!J246</f>
        <v>0</v>
      </c>
      <c r="J165" s="154">
        <f>'Calcul MS Personnels'!K246</f>
        <v>0</v>
      </c>
    </row>
    <row r="166" spans="1:11" ht="19" x14ac:dyDescent="0.25">
      <c r="A166" s="164"/>
      <c r="B166" s="128" t="s">
        <v>539</v>
      </c>
      <c r="C166" s="154" t="e">
        <f>SUM('Calcul MS Personnels'!D228:D235)+SUM('Calcul MS Personnels'!D237:D244)</f>
        <v>#N/A</v>
      </c>
      <c r="D166" s="154" t="e">
        <f>SUM('Calcul MS Personnels'!E228:E235)+SUM('Calcul MS Personnels'!E237:E244)</f>
        <v>#N/A</v>
      </c>
      <c r="E166" s="154" t="e">
        <f>SUM('Calcul MS Personnels'!F228:F235)+SUM('Calcul MS Personnels'!F237:F244)</f>
        <v>#N/A</v>
      </c>
      <c r="F166" s="154" t="e">
        <f>SUM('Calcul MS Personnels'!G228:G235)+SUM('Calcul MS Personnels'!G237:G244)</f>
        <v>#N/A</v>
      </c>
      <c r="G166" s="154" t="e">
        <f>SUM('Calcul MS Personnels'!H228:H235)+SUM('Calcul MS Personnels'!H237:H244)</f>
        <v>#N/A</v>
      </c>
      <c r="H166" s="154" t="e">
        <f>SUM('Calcul MS Personnels'!I228:I235)+SUM('Calcul MS Personnels'!I237:I244)</f>
        <v>#N/A</v>
      </c>
      <c r="I166" s="154" t="e">
        <f>SUM('Calcul MS Personnels'!J228:J235)+SUM('Calcul MS Personnels'!J237:J244)</f>
        <v>#N/A</v>
      </c>
      <c r="J166" s="154" t="e">
        <f>SUM('Calcul MS Personnels'!K228:K235)+SUM('Calcul MS Personnels'!K237:K244)</f>
        <v>#N/A</v>
      </c>
    </row>
    <row r="167" spans="1:11" x14ac:dyDescent="0.2">
      <c r="A167" s="128"/>
      <c r="B167" s="137" t="s">
        <v>513</v>
      </c>
      <c r="C167" s="163">
        <f>SUM(C168:C171)</f>
        <v>0</v>
      </c>
      <c r="D167" s="163">
        <f t="shared" ref="D167" si="97">SUM(D168:D171)</f>
        <v>0</v>
      </c>
      <c r="E167" s="163">
        <f t="shared" ref="E167" si="98">SUM(E168:E171)</f>
        <v>0</v>
      </c>
      <c r="F167" s="163">
        <f t="shared" ref="F167" si="99">SUM(F168:F171)</f>
        <v>0</v>
      </c>
      <c r="G167" s="163">
        <f t="shared" ref="G167" si="100">SUM(G168:G171)</f>
        <v>0</v>
      </c>
      <c r="H167" s="163">
        <f t="shared" ref="H167" si="101">SUM(H168:H171)</f>
        <v>0</v>
      </c>
      <c r="I167" s="163">
        <f t="shared" ref="I167" si="102">SUM(I168:I171)</f>
        <v>0</v>
      </c>
      <c r="J167" s="163">
        <f t="shared" ref="J167" si="103">SUM(J168:J171)</f>
        <v>0</v>
      </c>
    </row>
    <row r="168" spans="1:11" x14ac:dyDescent="0.2">
      <c r="A168" s="128"/>
      <c r="B168" s="128" t="s">
        <v>529</v>
      </c>
      <c r="C168" s="154">
        <f>VLOOKUP($B168,'Hypothèses '!$B$133:$D$146,3,FALSE)*HLOOKUP(VLOOKUP(C$13,'table années scolaires'!$C$17:$E$27,2,FALSE),'Projection Effectifs'!$S$31:$AC$35,5,FALSE)</f>
        <v>0</v>
      </c>
      <c r="D168" s="154">
        <f>C168*(1+(HLOOKUP(VLOOKUP(C$13,'table années scolaires'!$C$17:$E$27,3,FALSE),'Projection Effectifs'!$S$44:$AC$48,5,FALSE)))*(1+$D$59)</f>
        <v>0</v>
      </c>
      <c r="E168" s="154">
        <f>D168*(1+(HLOOKUP(VLOOKUP(D$13,'table années scolaires'!$C$17:$E$27,3,FALSE),'Projection Effectifs'!$S$44:$AC$48,4,FALSE)))*(1+$D$59)*(1+$E$59)</f>
        <v>0</v>
      </c>
      <c r="F168" s="154">
        <f>E168*(1+(HLOOKUP(VLOOKUP(E$13,'table années scolaires'!$C$17:$E$27,3,FALSE),'Projection Effectifs'!$S$44:$AC$48,5,FALSE)))*(1+$D$59)*(1+$E$59)*(1+$F$59)</f>
        <v>0</v>
      </c>
      <c r="G168" s="154">
        <f>F168*(1+(HLOOKUP(VLOOKUP(F$13,'table années scolaires'!$C$17:$E$27,3,FALSE),'Projection Effectifs'!$S$44:$AC$48,5,FALSE)))*(1+$D$59)*(1+$E$59)*(1+$F$59)*(1+$G$59)</f>
        <v>0</v>
      </c>
      <c r="H168" s="154">
        <f>G168*(1+(HLOOKUP(VLOOKUP(G$13,'table années scolaires'!$C$17:$E$27,3,FALSE),'Projection Effectifs'!$S$44:$AC$48,5,FALSE)))*(1+$D$59)*(1+$E$59)*(1+$F$59)*(1+$G$59)*(1+$H$59)</f>
        <v>0</v>
      </c>
      <c r="I168" s="154">
        <f>H168*(1+(HLOOKUP(VLOOKUP(H$13,'table années scolaires'!$C$17:$E$27,3,FALSE),'Projection Effectifs'!$S$44:$AC$48,5,FALSE)))*(1+$D$59)*(1+$E$59)*(1+$F$59)*(1+$G$59)*(1+$H$59)*(1+$I$59)</f>
        <v>0</v>
      </c>
      <c r="J168" s="154">
        <f>I168*(1+(HLOOKUP(VLOOKUP(I$13,'table années scolaires'!$C$17:$E$27,3,FALSE),'Projection Effectifs'!$S$44:$AC$48,5,FALSE)))*(1+$D$59)*(1+$E$59)*(1+$F$59)*(1+$G$59)*(1+$H$59)*(1+$I$59)*(1+$J$59)</f>
        <v>0</v>
      </c>
      <c r="K168" s="27"/>
    </row>
    <row r="169" spans="1:11" x14ac:dyDescent="0.2">
      <c r="A169" s="128"/>
      <c r="B169" s="128" t="s">
        <v>530</v>
      </c>
      <c r="C169" s="154">
        <f>VLOOKUP($B169,'Hypothèses '!$B$133:$D$146,3,FALSE)*HLOOKUP(VLOOKUP(C$13,'table années scolaires'!$C$17:$E$27,2,FALSE),'Projection Effectifs'!$S$31:$AC$35,5,FALSE)</f>
        <v>0</v>
      </c>
      <c r="D169" s="154">
        <f>C169*(1+(HLOOKUP(VLOOKUP(C$13,'table années scolaires'!$C$17:$E$27,3,FALSE),'Projection Effectifs'!$S$44:$AC$48,5,FALSE)))*(1+$D$59)</f>
        <v>0</v>
      </c>
      <c r="E169" s="154">
        <f>D169*(1+(HLOOKUP(VLOOKUP(D$13,'table années scolaires'!$C$17:$E$27,3,FALSE),'Projection Effectifs'!$S$44:$AC$48,4,FALSE)))*(1+$D$59)*(1+$E$59)</f>
        <v>0</v>
      </c>
      <c r="F169" s="154">
        <f>E169*(1+(HLOOKUP(VLOOKUP(E$13,'table années scolaires'!$C$17:$E$27,3,FALSE),'Projection Effectifs'!$S$44:$AC$48,5,FALSE)))*(1+$D$59)*(1+$E$59)*(1+$F$59)</f>
        <v>0</v>
      </c>
      <c r="G169" s="154">
        <f>F169*(1+(HLOOKUP(VLOOKUP(F$13,'table années scolaires'!$C$17:$E$27,3,FALSE),'Projection Effectifs'!$S$44:$AC$48,5,FALSE)))*(1+$D$59)*(1+$E$59)*(1+$F$59)*(1+$G$59)</f>
        <v>0</v>
      </c>
      <c r="H169" s="154">
        <f>G169*(1+(HLOOKUP(VLOOKUP(G$13,'table années scolaires'!$C$17:$E$27,3,FALSE),'Projection Effectifs'!$S$44:$AC$48,5,FALSE)))*(1+$D$59)*(1+$E$59)*(1+$F$59)*(1+$G$59)*(1+$H$59)</f>
        <v>0</v>
      </c>
      <c r="I169" s="154">
        <f>H169*(1+(HLOOKUP(VLOOKUP(H$13,'table années scolaires'!$C$17:$E$27,3,FALSE),'Projection Effectifs'!$S$44:$AC$48,5,FALSE)))*(1+$D$59)*(1+$E$59)*(1+$F$59)*(1+$G$59)*(1+$H$59)*(1+$I$59)</f>
        <v>0</v>
      </c>
      <c r="J169" s="154">
        <f>I169*(1+(HLOOKUP(VLOOKUP(I$13,'table années scolaires'!$C$17:$E$27,3,FALSE),'Projection Effectifs'!$S$44:$AC$48,5,FALSE)))*(1+$D$59)*(1+$E$59)*(1+$F$59)*(1+$G$59)*(1+$H$59)*(1+$I$59)*(1+$J$59)</f>
        <v>0</v>
      </c>
    </row>
    <row r="170" spans="1:11" x14ac:dyDescent="0.2">
      <c r="A170" s="128"/>
      <c r="B170" s="128" t="s">
        <v>531</v>
      </c>
      <c r="C170" s="154">
        <f>VLOOKUP($B170,'Hypothèses '!$B$133:$D$146,3,FALSE)*HLOOKUP(VLOOKUP(C$13,'table années scolaires'!$C$17:$E$27,2,FALSE),'Projection Effectifs'!$S$31:$AC$35,5,FALSE)</f>
        <v>0</v>
      </c>
      <c r="D170" s="154">
        <f>C170*(1+(HLOOKUP(VLOOKUP(C$13,'table années scolaires'!$C$17:$E$27,3,FALSE),'Projection Effectifs'!$S$44:$AC$48,5,FALSE)))*(1+$D$59)</f>
        <v>0</v>
      </c>
      <c r="E170" s="154">
        <f>D170*(1+(HLOOKUP(VLOOKUP(D$13,'table années scolaires'!$C$17:$E$27,3,FALSE),'Projection Effectifs'!$S$44:$AC$48,4,FALSE)))*(1+$D$59)*(1+$E$59)</f>
        <v>0</v>
      </c>
      <c r="F170" s="154">
        <f>E170*(1+(HLOOKUP(VLOOKUP(E$13,'table années scolaires'!$C$17:$E$27,3,FALSE),'Projection Effectifs'!$S$44:$AC$48,5,FALSE)))*(1+$D$59)*(1+$E$59)*(1+$F$59)</f>
        <v>0</v>
      </c>
      <c r="G170" s="154">
        <f>F170*(1+(HLOOKUP(VLOOKUP(F$13,'table années scolaires'!$C$17:$E$27,3,FALSE),'Projection Effectifs'!$S$44:$AC$48,5,FALSE)))*(1+$D$59)*(1+$E$59)*(1+$F$59)*(1+$G$59)</f>
        <v>0</v>
      </c>
      <c r="H170" s="154">
        <f>G170*(1+(HLOOKUP(VLOOKUP(G$13,'table années scolaires'!$C$17:$E$27,3,FALSE),'Projection Effectifs'!$S$44:$AC$48,5,FALSE)))*(1+$D$59)*(1+$E$59)*(1+$F$59)*(1+$G$59)*(1+$H$59)</f>
        <v>0</v>
      </c>
      <c r="I170" s="154">
        <f>H170*(1+(HLOOKUP(VLOOKUP(H$13,'table années scolaires'!$C$17:$E$27,3,FALSE),'Projection Effectifs'!$S$44:$AC$48,5,FALSE)))*(1+$D$59)*(1+$E$59)*(1+$F$59)*(1+$G$59)*(1+$H$59)*(1+$I$59)</f>
        <v>0</v>
      </c>
      <c r="J170" s="154">
        <f>I170*(1+(HLOOKUP(VLOOKUP(I$13,'table années scolaires'!$C$17:$E$27,3,FALSE),'Projection Effectifs'!$S$44:$AC$48,5,FALSE)))*(1+$D$59)*(1+$E$59)*(1+$F$59)*(1+$G$59)*(1+$H$59)*(1+$I$59)*(1+$J$59)</f>
        <v>0</v>
      </c>
    </row>
    <row r="171" spans="1:11" x14ac:dyDescent="0.2">
      <c r="A171" s="128"/>
      <c r="B171" s="128" t="s">
        <v>532</v>
      </c>
      <c r="C171" s="154">
        <f>VLOOKUP($B171,'Hypothèses '!$B$133:$D$146,3,FALSE)*HLOOKUP(VLOOKUP(C$13,'table années scolaires'!$C$17:$E$27,2,FALSE),'Projection Effectifs'!$S$31:$AC$35,5,FALSE)</f>
        <v>0</v>
      </c>
      <c r="D171" s="154">
        <f>C171*(1+(HLOOKUP(VLOOKUP(C$13,'table années scolaires'!$C$17:$E$27,3,FALSE),'Projection Effectifs'!$S$44:$AC$48,5,FALSE)))*(1+$D$59)</f>
        <v>0</v>
      </c>
      <c r="E171" s="154">
        <f>D171*(1+(HLOOKUP(VLOOKUP(D$13,'table années scolaires'!$C$17:$E$27,3,FALSE),'Projection Effectifs'!$S$44:$AC$48,4,FALSE)))*(1+$D$59)*(1+$E$59)</f>
        <v>0</v>
      </c>
      <c r="F171" s="154">
        <f>E171*(1+(HLOOKUP(VLOOKUP(E$13,'table années scolaires'!$C$17:$E$27,3,FALSE),'Projection Effectifs'!$S$44:$AC$48,5,FALSE)))*(1+$D$59)*(1+$E$59)*(1+$F$59)</f>
        <v>0</v>
      </c>
      <c r="G171" s="154">
        <f>F171*(1+(HLOOKUP(VLOOKUP(F$13,'table années scolaires'!$C$17:$E$27,3,FALSE),'Projection Effectifs'!$S$44:$AC$48,5,FALSE)))*(1+$D$59)*(1+$E$59)*(1+$F$59)*(1+$G$59)</f>
        <v>0</v>
      </c>
      <c r="H171" s="154">
        <f>G171*(1+(HLOOKUP(VLOOKUP(G$13,'table années scolaires'!$C$17:$E$27,3,FALSE),'Projection Effectifs'!$S$44:$AC$48,5,FALSE)))*(1+$D$59)*(1+$E$59)*(1+$F$59)*(1+$G$59)*(1+$H$59)</f>
        <v>0</v>
      </c>
      <c r="I171" s="154">
        <f>H171*(1+(HLOOKUP(VLOOKUP(H$13,'table années scolaires'!$C$17:$E$27,3,FALSE),'Projection Effectifs'!$S$44:$AC$48,5,FALSE)))*(1+$D$59)*(1+$E$59)*(1+$F$59)*(1+$G$59)*(1+$H$59)*(1+$I$59)</f>
        <v>0</v>
      </c>
      <c r="J171" s="154">
        <f>I171*(1+(HLOOKUP(VLOOKUP(I$13,'table années scolaires'!$C$17:$E$27,3,FALSE),'Projection Effectifs'!$S$44:$AC$48,5,FALSE)))*(1+$D$59)*(1+$E$59)*(1+$F$59)*(1+$G$59)*(1+$H$59)*(1+$I$59)*(1+$J$59)</f>
        <v>0</v>
      </c>
    </row>
    <row r="172" spans="1:11" x14ac:dyDescent="0.2">
      <c r="A172" s="128"/>
      <c r="B172" s="137" t="s">
        <v>516</v>
      </c>
      <c r="C172" s="163">
        <f>SUM(C173:C181)</f>
        <v>0</v>
      </c>
      <c r="D172" s="163">
        <f t="shared" ref="D172" si="104">SUM(D173:D181)</f>
        <v>0</v>
      </c>
      <c r="E172" s="163">
        <f t="shared" ref="E172" si="105">SUM(E173:E181)</f>
        <v>0</v>
      </c>
      <c r="F172" s="163">
        <f t="shared" ref="F172" si="106">SUM(F173:F181)</f>
        <v>0</v>
      </c>
      <c r="G172" s="163">
        <f t="shared" ref="G172" si="107">SUM(G173:G181)</f>
        <v>0</v>
      </c>
      <c r="H172" s="163">
        <f t="shared" ref="H172" si="108">SUM(H173:H181)</f>
        <v>0</v>
      </c>
      <c r="I172" s="163">
        <f t="shared" ref="I172" si="109">SUM(I173:I181)</f>
        <v>0</v>
      </c>
      <c r="J172" s="163">
        <f t="shared" ref="J172" si="110">SUM(J173:J181)</f>
        <v>0</v>
      </c>
    </row>
    <row r="173" spans="1:11" x14ac:dyDescent="0.2">
      <c r="A173" s="128"/>
      <c r="B173" s="128" t="s">
        <v>510</v>
      </c>
      <c r="C173" s="154">
        <f>VLOOKUP($B173,'Hypothèses '!$B$133:$D$146,3,FALSE)*HLOOKUP(VLOOKUP(C$13,'table années scolaires'!$C$17:$E$27,2,FALSE),'Projection Effectifs'!$S$31:$AC$35,5,FALSE)</f>
        <v>0</v>
      </c>
      <c r="D173" s="154">
        <f>VLOOKUP($B173,'Hypothèses '!$B$133:$D$146,3,FALSE)*HLOOKUP(VLOOKUP(D$13,'table années scolaires'!$C$17:$E$27,2,FALSE),'Projection Effectifs'!$S$31:$AC$35,5,FALSE)*(1+$E$59)</f>
        <v>0</v>
      </c>
      <c r="E173" s="154">
        <f>VLOOKUP($B173,'Hypothèses '!$B$133:$D$146,3,FALSE)*HLOOKUP(VLOOKUP(E$13,'table années scolaires'!$C$17:$E$27,2,FALSE),'Projection Effectifs'!$S$31:$AC$35,5,FALSE)*(1+$E$59)*(1+$D$59)</f>
        <v>0</v>
      </c>
      <c r="F173" s="154">
        <f>VLOOKUP($B173,'Hypothèses '!$B$133:$D$146,3,FALSE)*HLOOKUP(VLOOKUP(F$13,'table années scolaires'!$C$17:$E$27,2,FALSE),'Projection Effectifs'!$S$31:$AC$35,5,FALSE)*(1+$E$59)*(1+$F$59)*(1+$D$59)</f>
        <v>0</v>
      </c>
      <c r="G173" s="154">
        <f>VLOOKUP($B173,'Hypothèses '!$B$133:$D$146,3,FALSE)*HLOOKUP(VLOOKUP(G$13,'table années scolaires'!$C$17:$E$27,2,FALSE),'Projection Effectifs'!$S$31:$AC$35,5,FALSE)*(1+$E$59)*(1+$F$59)*(1+$G$59)*(1+$D$59)</f>
        <v>0</v>
      </c>
      <c r="H173" s="154">
        <f>VLOOKUP($B173,'Hypothèses '!$B$133:$D$146,3,FALSE)*HLOOKUP(VLOOKUP(H$13,'table années scolaires'!$C$17:$E$27,2,FALSE),'Projection Effectifs'!$S$31:$AC$35,5,FALSE)*(1+$E$59)*(1+$F$59)*(1+$G$59)*(1+$H$59)*(1+$D$59)</f>
        <v>0</v>
      </c>
      <c r="I173" s="154">
        <f>VLOOKUP($B173,'Hypothèses '!$B$133:$D$146,3,FALSE)*HLOOKUP(VLOOKUP(I$13,'table années scolaires'!$C$17:$E$27,2,FALSE),'Projection Effectifs'!$S$31:$AC$35,5,FALSE)*(1+$E$59)*(1+$F$59)*(1+$G$59)*(1+$H$59)*(1+$I$59)*(1+$D$59)</f>
        <v>0</v>
      </c>
      <c r="J173" s="154">
        <f>VLOOKUP($B173,'Hypothèses '!$B$133:$D$146,3,FALSE)*HLOOKUP(VLOOKUP(J$13,'table années scolaires'!$C$17:$E$27,2,FALSE),'Projection Effectifs'!$S$31:$AC$35,5,FALSE)*(1+$E$59)*(1+$F$59)*(1+$G$59)*(1+$H$59)*(1+$I$59)*(1+$J$59)*(1+$D$59)</f>
        <v>0</v>
      </c>
    </row>
    <row r="174" spans="1:11" x14ac:dyDescent="0.2">
      <c r="A174" s="128"/>
      <c r="B174" s="128" t="s">
        <v>528</v>
      </c>
      <c r="C174" s="154">
        <f>VLOOKUP($B174,'Hypothèses '!$B$133:$D$146,3,FALSE)*HLOOKUP(VLOOKUP(C$13,'table années scolaires'!$C$17:$E$27,2,FALSE),'Projection Effectifs'!$S$31:$AC$35,5,FALSE)</f>
        <v>0</v>
      </c>
      <c r="D174" s="154">
        <f>VLOOKUP($B174,'Hypothèses '!$B$133:$D$146,3,FALSE)*HLOOKUP(VLOOKUP(D$13,'table années scolaires'!$C$17:$E$27,2,FALSE),'Projection Effectifs'!$S$31:$AC$35,5,FALSE)*(1+$E$59)</f>
        <v>0</v>
      </c>
      <c r="E174" s="154">
        <f>VLOOKUP($B174,'Hypothèses '!$B$133:$D$146,3,FALSE)*HLOOKUP(VLOOKUP(E$13,'table années scolaires'!$C$17:$E$27,2,FALSE),'Projection Effectifs'!$S$31:$AC$35,5,FALSE)*(1+$E$59)*(1+$D$59)</f>
        <v>0</v>
      </c>
      <c r="F174" s="154">
        <f>VLOOKUP($B174,'Hypothèses '!$B$133:$D$146,3,FALSE)*HLOOKUP(VLOOKUP(F$13,'table années scolaires'!$C$17:$E$27,2,FALSE),'Projection Effectifs'!$S$31:$AC$35,5,FALSE)*(1+$E$59)*(1+$F$59)*(1+$D$59)</f>
        <v>0</v>
      </c>
      <c r="G174" s="154">
        <f>VLOOKUP($B174,'Hypothèses '!$B$133:$D$146,3,FALSE)*HLOOKUP(VLOOKUP(G$13,'table années scolaires'!$C$17:$E$27,2,FALSE),'Projection Effectifs'!$S$31:$AC$35,5,FALSE)*(1+$E$59)*(1+$F$59)*(1+$G$59)*(1+$D$59)</f>
        <v>0</v>
      </c>
      <c r="H174" s="154">
        <f>VLOOKUP($B174,'Hypothèses '!$B$133:$D$146,3,FALSE)*HLOOKUP(VLOOKUP(H$13,'table années scolaires'!$C$17:$E$27,2,FALSE),'Projection Effectifs'!$S$31:$AC$35,5,FALSE)*(1+$E$59)*(1+$F$59)*(1+$G$59)*(1+$H$59)*(1+$D$59)</f>
        <v>0</v>
      </c>
      <c r="I174" s="154">
        <f>VLOOKUP($B174,'Hypothèses '!$B$133:$D$146,3,FALSE)*HLOOKUP(VLOOKUP(I$13,'table années scolaires'!$C$17:$E$27,2,FALSE),'Projection Effectifs'!$S$31:$AC$35,5,FALSE)*(1+$E$59)*(1+$F$59)*(1+$G$59)*(1+$H$59)*(1+$I$59)*(1+$D$59)</f>
        <v>0</v>
      </c>
      <c r="J174" s="154">
        <f>VLOOKUP($B174,'Hypothèses '!$B$133:$D$146,3,FALSE)*HLOOKUP(VLOOKUP(J$13,'table années scolaires'!$C$17:$E$27,2,FALSE),'Projection Effectifs'!$S$31:$AC$35,5,FALSE)*(1+$E$59)*(1+$F$59)*(1+$G$59)*(1+$H$59)*(1+$I$59)*(1+$J$59)*(1+$D$59)</f>
        <v>0</v>
      </c>
    </row>
    <row r="175" spans="1:11" x14ac:dyDescent="0.2">
      <c r="A175" s="128"/>
      <c r="B175" s="128" t="s">
        <v>517</v>
      </c>
      <c r="C175" s="154">
        <f>VLOOKUP($B175,'Hypothèses '!$B$133:$D$146,3,FALSE)*HLOOKUP(VLOOKUP(C$13,'table années scolaires'!$C$17:$E$27,2,FALSE),'Projection Effectifs'!$S$31:$AC$35,5,FALSE)</f>
        <v>0</v>
      </c>
      <c r="D175" s="154">
        <f>VLOOKUP($B175,'Hypothèses '!$B$133:$D$146,3,FALSE)*HLOOKUP(VLOOKUP(D$13,'table années scolaires'!$C$17:$E$27,2,FALSE),'Projection Effectifs'!$S$31:$AC$35,5,FALSE)*(1+$E$59)</f>
        <v>0</v>
      </c>
      <c r="E175" s="154">
        <f>VLOOKUP($B175,'Hypothèses '!$B$133:$D$146,3,FALSE)*HLOOKUP(VLOOKUP(E$13,'table années scolaires'!$C$17:$E$27,2,FALSE),'Projection Effectifs'!$S$31:$AC$35,5,FALSE)*(1+$E$59)*(1+$D$59)</f>
        <v>0</v>
      </c>
      <c r="F175" s="154">
        <f>VLOOKUP($B175,'Hypothèses '!$B$133:$D$146,3,FALSE)*HLOOKUP(VLOOKUP(F$13,'table années scolaires'!$C$17:$E$27,2,FALSE),'Projection Effectifs'!$S$31:$AC$35,5,FALSE)*(1+$E$59)*(1+$F$59)*(1+$D$59)</f>
        <v>0</v>
      </c>
      <c r="G175" s="154">
        <f>VLOOKUP($B175,'Hypothèses '!$B$133:$D$146,3,FALSE)*HLOOKUP(VLOOKUP(G$13,'table années scolaires'!$C$17:$E$27,2,FALSE),'Projection Effectifs'!$S$31:$AC$35,5,FALSE)*(1+$E$59)*(1+$F$59)*(1+$G$59)*(1+$D$59)</f>
        <v>0</v>
      </c>
      <c r="H175" s="154">
        <f>VLOOKUP($B175,'Hypothèses '!$B$133:$D$146,3,FALSE)*HLOOKUP(VLOOKUP(H$13,'table années scolaires'!$C$17:$E$27,2,FALSE),'Projection Effectifs'!$S$31:$AC$35,5,FALSE)*(1+$E$59)*(1+$F$59)*(1+$G$59)*(1+$H$59)*(1+$D$59)</f>
        <v>0</v>
      </c>
      <c r="I175" s="154">
        <f>VLOOKUP($B175,'Hypothèses '!$B$133:$D$146,3,FALSE)*HLOOKUP(VLOOKUP(I$13,'table années scolaires'!$C$17:$E$27,2,FALSE),'Projection Effectifs'!$S$31:$AC$35,5,FALSE)*(1+$E$59)*(1+$F$59)*(1+$G$59)*(1+$H$59)*(1+$I$59)*(1+$D$59)</f>
        <v>0</v>
      </c>
      <c r="J175" s="154">
        <f>VLOOKUP($B175,'Hypothèses '!$B$133:$D$146,3,FALSE)*HLOOKUP(VLOOKUP(J$13,'table années scolaires'!$C$17:$E$27,2,FALSE),'Projection Effectifs'!$S$31:$AC$35,5,FALSE)*(1+$E$59)*(1+$F$59)*(1+$G$59)*(1+$H$59)*(1+$I$59)*(1+$J$59)*(1+$D$59)</f>
        <v>0</v>
      </c>
    </row>
    <row r="176" spans="1:11" x14ac:dyDescent="0.2">
      <c r="A176" s="128"/>
      <c r="B176" s="128" t="s">
        <v>518</v>
      </c>
      <c r="C176" s="154">
        <f>VLOOKUP($B176,'Hypothèses '!$B$133:$D$146,3,FALSE)*HLOOKUP(VLOOKUP(C$13,'table années scolaires'!$C$17:$E$27,2,FALSE),'Projection Effectifs'!$S$31:$AC$35,5,FALSE)</f>
        <v>0</v>
      </c>
      <c r="D176" s="154">
        <f>VLOOKUP($B176,'Hypothèses '!$B$133:$D$146,3,FALSE)*HLOOKUP(VLOOKUP(D$13,'table années scolaires'!$C$17:$E$27,2,FALSE),'Projection Effectifs'!$S$31:$AC$35,5,FALSE)*(1+$E$59)</f>
        <v>0</v>
      </c>
      <c r="E176" s="154">
        <f>VLOOKUP($B176,'Hypothèses '!$B$133:$D$146,3,FALSE)*HLOOKUP(VLOOKUP(E$13,'table années scolaires'!$C$17:$E$27,2,FALSE),'Projection Effectifs'!$S$31:$AC$35,5,FALSE)*(1+$E$59)*(1+$D$59)</f>
        <v>0</v>
      </c>
      <c r="F176" s="154">
        <f>VLOOKUP($B176,'Hypothèses '!$B$133:$D$146,3,FALSE)*HLOOKUP(VLOOKUP(F$13,'table années scolaires'!$C$17:$E$27,2,FALSE),'Projection Effectifs'!$S$31:$AC$35,5,FALSE)*(1+$E$59)*(1+$F$59)*(1+$D$59)</f>
        <v>0</v>
      </c>
      <c r="G176" s="154">
        <f>VLOOKUP($B176,'Hypothèses '!$B$133:$D$146,3,FALSE)*HLOOKUP(VLOOKUP(G$13,'table années scolaires'!$C$17:$E$27,2,FALSE),'Projection Effectifs'!$S$31:$AC$35,5,FALSE)*(1+$E$59)*(1+$F$59)*(1+$G$59)*(1+$D$59)</f>
        <v>0</v>
      </c>
      <c r="H176" s="154">
        <f>VLOOKUP($B176,'Hypothèses '!$B$133:$D$146,3,FALSE)*HLOOKUP(VLOOKUP(H$13,'table années scolaires'!$C$17:$E$27,2,FALSE),'Projection Effectifs'!$S$31:$AC$35,5,FALSE)*(1+$E$59)*(1+$F$59)*(1+$G$59)*(1+$H$59)*(1+$D$59)</f>
        <v>0</v>
      </c>
      <c r="I176" s="154">
        <f>VLOOKUP($B176,'Hypothèses '!$B$133:$D$146,3,FALSE)*HLOOKUP(VLOOKUP(I$13,'table années scolaires'!$C$17:$E$27,2,FALSE),'Projection Effectifs'!$S$31:$AC$35,5,FALSE)*(1+$E$59)*(1+$F$59)*(1+$G$59)*(1+$H$59)*(1+$I$59)*(1+$D$59)</f>
        <v>0</v>
      </c>
      <c r="J176" s="154">
        <f>VLOOKUP($B176,'Hypothèses '!$B$133:$D$146,3,FALSE)*HLOOKUP(VLOOKUP(J$13,'table années scolaires'!$C$17:$E$27,2,FALSE),'Projection Effectifs'!$S$31:$AC$35,5,FALSE)*(1+$E$59)*(1+$F$59)*(1+$G$59)*(1+$H$59)*(1+$I$59)*(1+$J$59)*(1+$D$59)</f>
        <v>0</v>
      </c>
    </row>
    <row r="177" spans="1:10" x14ac:dyDescent="0.2">
      <c r="A177" s="128"/>
      <c r="B177" s="128" t="s">
        <v>511</v>
      </c>
      <c r="C177" s="154">
        <f>VLOOKUP($B177,'Hypothèses '!$B$133:$D$146,3,FALSE)*HLOOKUP(VLOOKUP(C$13,'table années scolaires'!$C$17:$E$27,2,FALSE),'Projection Effectifs'!$S$31:$AC$35,5,FALSE)</f>
        <v>0</v>
      </c>
      <c r="D177" s="154">
        <f>VLOOKUP($B177,'Hypothèses '!$B$133:$D$146,3,FALSE)*HLOOKUP(VLOOKUP(D$13,'table années scolaires'!$C$17:$E$27,2,FALSE),'Projection Effectifs'!$S$31:$AC$35,5,FALSE)*(1+$E$59)</f>
        <v>0</v>
      </c>
      <c r="E177" s="154">
        <f>VLOOKUP($B177,'Hypothèses '!$B$133:$D$146,3,FALSE)*HLOOKUP(VLOOKUP(E$13,'table années scolaires'!$C$17:$E$27,2,FALSE),'Projection Effectifs'!$S$31:$AC$35,5,FALSE)*(1+$E$59)*(1+$D$59)</f>
        <v>0</v>
      </c>
      <c r="F177" s="154">
        <f>VLOOKUP($B177,'Hypothèses '!$B$133:$D$146,3,FALSE)*HLOOKUP(VLOOKUP(F$13,'table années scolaires'!$C$17:$E$27,2,FALSE),'Projection Effectifs'!$S$31:$AC$35,5,FALSE)*(1+$E$59)*(1+$F$59)*(1+$D$59)</f>
        <v>0</v>
      </c>
      <c r="G177" s="154">
        <f>VLOOKUP($B177,'Hypothèses '!$B$133:$D$146,3,FALSE)*HLOOKUP(VLOOKUP(G$13,'table années scolaires'!$C$17:$E$27,2,FALSE),'Projection Effectifs'!$S$31:$AC$35,5,FALSE)*(1+$E$59)*(1+$F$59)*(1+$G$59)*(1+$D$59)</f>
        <v>0</v>
      </c>
      <c r="H177" s="154">
        <f>VLOOKUP($B177,'Hypothèses '!$B$133:$D$146,3,FALSE)*HLOOKUP(VLOOKUP(H$13,'table années scolaires'!$C$17:$E$27,2,FALSE),'Projection Effectifs'!$S$31:$AC$35,5,FALSE)*(1+$E$59)*(1+$F$59)*(1+$G$59)*(1+$H$59)*(1+$D$59)</f>
        <v>0</v>
      </c>
      <c r="I177" s="154">
        <f>VLOOKUP($B177,'Hypothèses '!$B$133:$D$146,3,FALSE)*HLOOKUP(VLOOKUP(I$13,'table années scolaires'!$C$17:$E$27,2,FALSE),'Projection Effectifs'!$S$31:$AC$35,5,FALSE)*(1+$E$59)*(1+$F$59)*(1+$G$59)*(1+$H$59)*(1+$I$59)*(1+$D$59)</f>
        <v>0</v>
      </c>
      <c r="J177" s="154">
        <f>VLOOKUP($B177,'Hypothèses '!$B$133:$D$146,3,FALSE)*HLOOKUP(VLOOKUP(J$13,'table années scolaires'!$C$17:$E$27,2,FALSE),'Projection Effectifs'!$S$31:$AC$35,5,FALSE)*(1+$E$59)*(1+$F$59)*(1+$G$59)*(1+$H$59)*(1+$I$59)*(1+$J$59)*(1+$D$59)</f>
        <v>0</v>
      </c>
    </row>
    <row r="178" spans="1:10" x14ac:dyDescent="0.2">
      <c r="A178" s="128"/>
      <c r="B178" s="128" t="s">
        <v>512</v>
      </c>
      <c r="C178" s="154">
        <f>VLOOKUP($B178,'Hypothèses '!$B$133:$D$146,3,FALSE)*HLOOKUP(VLOOKUP(C$13,'table années scolaires'!$C$17:$E$27,2,FALSE),'Projection Effectifs'!$S$31:$AC$35,5,FALSE)</f>
        <v>0</v>
      </c>
      <c r="D178" s="154">
        <f>VLOOKUP($B178,'Hypothèses '!$B$133:$D$146,3,FALSE)*HLOOKUP(VLOOKUP(D$13,'table années scolaires'!$C$17:$E$27,2,FALSE),'Projection Effectifs'!$S$31:$AC$35,5,FALSE)*(1+$E$59)</f>
        <v>0</v>
      </c>
      <c r="E178" s="154">
        <f>VLOOKUP($B178,'Hypothèses '!$B$133:$D$146,3,FALSE)*HLOOKUP(VLOOKUP(E$13,'table années scolaires'!$C$17:$E$27,2,FALSE),'Projection Effectifs'!$S$31:$AC$35,5,FALSE)*(1+$E$59)*(1+$D$59)</f>
        <v>0</v>
      </c>
      <c r="F178" s="154">
        <f>VLOOKUP($B178,'Hypothèses '!$B$133:$D$146,3,FALSE)*HLOOKUP(VLOOKUP(F$13,'table années scolaires'!$C$17:$E$27,2,FALSE),'Projection Effectifs'!$S$31:$AC$35,5,FALSE)*(1+$E$59)*(1+$F$59)*(1+$D$59)</f>
        <v>0</v>
      </c>
      <c r="G178" s="154">
        <f>VLOOKUP($B178,'Hypothèses '!$B$133:$D$146,3,FALSE)*HLOOKUP(VLOOKUP(G$13,'table années scolaires'!$C$17:$E$27,2,FALSE),'Projection Effectifs'!$S$31:$AC$35,5,FALSE)*(1+$E$59)*(1+$F$59)*(1+$G$59)*(1+$D$59)</f>
        <v>0</v>
      </c>
      <c r="H178" s="154">
        <f>VLOOKUP($B178,'Hypothèses '!$B$133:$D$146,3,FALSE)*HLOOKUP(VLOOKUP(H$13,'table années scolaires'!$C$17:$E$27,2,FALSE),'Projection Effectifs'!$S$31:$AC$35,5,FALSE)*(1+$E$59)*(1+$F$59)*(1+$G$59)*(1+$H$59)*(1+$D$59)</f>
        <v>0</v>
      </c>
      <c r="I178" s="154">
        <f>VLOOKUP($B178,'Hypothèses '!$B$133:$D$146,3,FALSE)*HLOOKUP(VLOOKUP(I$13,'table années scolaires'!$C$17:$E$27,2,FALSE),'Projection Effectifs'!$S$31:$AC$35,5,FALSE)*(1+$E$59)*(1+$F$59)*(1+$G$59)*(1+$H$59)*(1+$I$59)*(1+$D$59)</f>
        <v>0</v>
      </c>
      <c r="J178" s="154">
        <f>VLOOKUP($B178,'Hypothèses '!$B$133:$D$146,3,FALSE)*HLOOKUP(VLOOKUP(J$13,'table années scolaires'!$C$17:$E$27,2,FALSE),'Projection Effectifs'!$S$31:$AC$35,5,FALSE)*(1+$E$59)*(1+$F$59)*(1+$G$59)*(1+$H$59)*(1+$I$59)*(1+$J$59)*(1+$D$59)</f>
        <v>0</v>
      </c>
    </row>
    <row r="179" spans="1:10" x14ac:dyDescent="0.2">
      <c r="A179" s="128"/>
      <c r="B179" s="128" t="s">
        <v>520</v>
      </c>
      <c r="C179" s="154">
        <f>VLOOKUP($B179,'Hypothèses '!$B$133:$D$146,3,FALSE)*HLOOKUP(VLOOKUP(C$13,'table années scolaires'!$C$17:$E$27,2,FALSE),'Projection Effectifs'!$S$31:$AC$35,5,FALSE)</f>
        <v>0</v>
      </c>
      <c r="D179" s="154">
        <f>VLOOKUP($B179,'Hypothèses '!$B$133:$D$146,3,FALSE)*HLOOKUP(VLOOKUP(D$13,'table années scolaires'!$C$17:$E$27,2,FALSE),'Projection Effectifs'!$S$31:$AC$35,5,FALSE)*(1+$E$59)</f>
        <v>0</v>
      </c>
      <c r="E179" s="154">
        <f>VLOOKUP($B179,'Hypothèses '!$B$133:$D$146,3,FALSE)*HLOOKUP(VLOOKUP(E$13,'table années scolaires'!$C$17:$E$27,2,FALSE),'Projection Effectifs'!$S$31:$AC$35,5,FALSE)*(1+$E$59)*(1+$D$59)</f>
        <v>0</v>
      </c>
      <c r="F179" s="154">
        <f>VLOOKUP($B179,'Hypothèses '!$B$133:$D$146,3,FALSE)*HLOOKUP(VLOOKUP(F$13,'table années scolaires'!$C$17:$E$27,2,FALSE),'Projection Effectifs'!$S$31:$AC$35,5,FALSE)*(1+$E$59)*(1+$F$59)*(1+$D$59)</f>
        <v>0</v>
      </c>
      <c r="G179" s="154">
        <f>VLOOKUP($B179,'Hypothèses '!$B$133:$D$146,3,FALSE)*HLOOKUP(VLOOKUP(G$13,'table années scolaires'!$C$17:$E$27,2,FALSE),'Projection Effectifs'!$S$31:$AC$35,5,FALSE)*(1+$E$59)*(1+$F$59)*(1+$G$59)*(1+$D$59)</f>
        <v>0</v>
      </c>
      <c r="H179" s="154">
        <f>VLOOKUP($B179,'Hypothèses '!$B$133:$D$146,3,FALSE)*HLOOKUP(VLOOKUP(H$13,'table années scolaires'!$C$17:$E$27,2,FALSE),'Projection Effectifs'!$S$31:$AC$35,5,FALSE)*(1+$E$59)*(1+$F$59)*(1+$G$59)*(1+$H$59)*(1+$D$59)</f>
        <v>0</v>
      </c>
      <c r="I179" s="154">
        <f>VLOOKUP($B179,'Hypothèses '!$B$133:$D$146,3,FALSE)*HLOOKUP(VLOOKUP(I$13,'table années scolaires'!$C$17:$E$27,2,FALSE),'Projection Effectifs'!$S$31:$AC$35,5,FALSE)*(1+$E$59)*(1+$F$59)*(1+$G$59)*(1+$H$59)*(1+$I$59)*(1+$D$59)</f>
        <v>0</v>
      </c>
      <c r="J179" s="154">
        <f>VLOOKUP($B179,'Hypothèses '!$B$133:$D$146,3,FALSE)*HLOOKUP(VLOOKUP(J$13,'table années scolaires'!$C$17:$E$27,2,FALSE),'Projection Effectifs'!$S$31:$AC$35,5,FALSE)*(1+$E$59)*(1+$F$59)*(1+$G$59)*(1+$H$59)*(1+$I$59)*(1+$J$59)*(1+$D$59)</f>
        <v>0</v>
      </c>
    </row>
    <row r="180" spans="1:10" x14ac:dyDescent="0.2">
      <c r="A180" s="128"/>
      <c r="B180" s="128" t="s">
        <v>526</v>
      </c>
      <c r="C180" s="154">
        <f>VLOOKUP($B180,'Hypothèses '!$B$133:$D$146,3,FALSE)*HLOOKUP(VLOOKUP(C$13,'table années scolaires'!$C$17:$E$27,2,FALSE),'Projection Effectifs'!$S$31:$AC$35,5,FALSE)</f>
        <v>0</v>
      </c>
      <c r="D180" s="154">
        <f>VLOOKUP($B180,'Hypothèses '!$B$133:$D$146,3,FALSE)*HLOOKUP(VLOOKUP(D$13,'table années scolaires'!$C$17:$E$27,2,FALSE),'Projection Effectifs'!$S$31:$AC$35,5,FALSE)*(1+$E$59)</f>
        <v>0</v>
      </c>
      <c r="E180" s="154">
        <f>VLOOKUP($B180,'Hypothèses '!$B$133:$D$146,3,FALSE)*HLOOKUP(VLOOKUP(E$13,'table années scolaires'!$C$17:$E$27,2,FALSE),'Projection Effectifs'!$S$31:$AC$35,5,FALSE)*(1+$E$59)*(1+$D$59)</f>
        <v>0</v>
      </c>
      <c r="F180" s="154">
        <f>VLOOKUP($B180,'Hypothèses '!$B$133:$D$146,3,FALSE)*HLOOKUP(VLOOKUP(F$13,'table années scolaires'!$C$17:$E$27,2,FALSE),'Projection Effectifs'!$S$31:$AC$35,5,FALSE)*(1+$E$59)*(1+$F$59)*(1+$D$59)</f>
        <v>0</v>
      </c>
      <c r="G180" s="154">
        <f>VLOOKUP($B180,'Hypothèses '!$B$133:$D$146,3,FALSE)*HLOOKUP(VLOOKUP(G$13,'table années scolaires'!$C$17:$E$27,2,FALSE),'Projection Effectifs'!$S$31:$AC$35,5,FALSE)*(1+$E$59)*(1+$F$59)*(1+$G$59)*(1+$D$59)</f>
        <v>0</v>
      </c>
      <c r="H180" s="154">
        <f>VLOOKUP($B180,'Hypothèses '!$B$133:$D$146,3,FALSE)*HLOOKUP(VLOOKUP(H$13,'table années scolaires'!$C$17:$E$27,2,FALSE),'Projection Effectifs'!$S$31:$AC$35,5,FALSE)*(1+$E$59)*(1+$F$59)*(1+$G$59)*(1+$H$59)*(1+$D$59)</f>
        <v>0</v>
      </c>
      <c r="I180" s="154">
        <f>VLOOKUP($B180,'Hypothèses '!$B$133:$D$146,3,FALSE)*HLOOKUP(VLOOKUP(I$13,'table années scolaires'!$C$17:$E$27,2,FALSE),'Projection Effectifs'!$S$31:$AC$35,5,FALSE)*(1+$E$59)*(1+$F$59)*(1+$G$59)*(1+$H$59)*(1+$I$59)*(1+$D$59)</f>
        <v>0</v>
      </c>
      <c r="J180" s="154">
        <f>VLOOKUP($B180,'Hypothèses '!$B$133:$D$146,3,FALSE)*HLOOKUP(VLOOKUP(J$13,'table années scolaires'!$C$17:$E$27,2,FALSE),'Projection Effectifs'!$S$31:$AC$35,5,FALSE)*(1+$E$59)*(1+$F$59)*(1+$G$59)*(1+$H$59)*(1+$I$59)*(1+$J$59)*(1+$D$59)</f>
        <v>0</v>
      </c>
    </row>
    <row r="181" spans="1:10" x14ac:dyDescent="0.2">
      <c r="A181" s="128"/>
      <c r="B181" s="128" t="s">
        <v>527</v>
      </c>
      <c r="C181" s="154">
        <f>VLOOKUP($B181,'Hypothèses '!$B$133:$D$146,3,FALSE)*HLOOKUP(VLOOKUP(C$13,'table années scolaires'!$C$17:$E$27,2,FALSE),'Projection Effectifs'!$S$31:$AC$35,5,FALSE)</f>
        <v>0</v>
      </c>
      <c r="D181" s="154">
        <f>VLOOKUP($B181,'Hypothèses '!$B$133:$D$146,3,FALSE)*HLOOKUP(VLOOKUP(D$13,'table années scolaires'!$C$17:$E$27,2,FALSE),'Projection Effectifs'!$S$31:$AC$35,5,FALSE)*(1+$E$59)</f>
        <v>0</v>
      </c>
      <c r="E181" s="154">
        <f>VLOOKUP($B181,'Hypothèses '!$B$133:$D$146,3,FALSE)*HLOOKUP(VLOOKUP(E$13,'table années scolaires'!$C$17:$E$27,2,FALSE),'Projection Effectifs'!$S$31:$AC$35,5,FALSE)*(1+$E$59)*(1+$D$59)</f>
        <v>0</v>
      </c>
      <c r="F181" s="154">
        <f>VLOOKUP($B181,'Hypothèses '!$B$133:$D$146,3,FALSE)*HLOOKUP(VLOOKUP(F$13,'table années scolaires'!$C$17:$E$27,2,FALSE),'Projection Effectifs'!$S$31:$AC$35,5,FALSE)*(1+$E$59)*(1+$F$59)*(1+$D$59)</f>
        <v>0</v>
      </c>
      <c r="G181" s="154">
        <f>VLOOKUP($B181,'Hypothèses '!$B$133:$D$146,3,FALSE)*HLOOKUP(VLOOKUP(G$13,'table années scolaires'!$C$17:$E$27,2,FALSE),'Projection Effectifs'!$S$31:$AC$35,5,FALSE)*(1+$E$59)*(1+$F$59)*(1+$G$59)*(1+$D$59)</f>
        <v>0</v>
      </c>
      <c r="H181" s="154">
        <f>VLOOKUP($B181,'Hypothèses '!$B$133:$D$146,3,FALSE)*HLOOKUP(VLOOKUP(H$13,'table années scolaires'!$C$17:$E$27,2,FALSE),'Projection Effectifs'!$S$31:$AC$35,5,FALSE)*(1+$E$59)*(1+$F$59)*(1+$G$59)*(1+$H$59)*(1+$D$59)</f>
        <v>0</v>
      </c>
      <c r="I181" s="154">
        <f>VLOOKUP($B181,'Hypothèses '!$B$133:$D$146,3,FALSE)*HLOOKUP(VLOOKUP(I$13,'table années scolaires'!$C$17:$E$27,2,FALSE),'Projection Effectifs'!$S$31:$AC$35,5,FALSE)*(1+$E$59)*(1+$F$59)*(1+$G$59)*(1+$H$59)*(1+$I$59)*(1+$D$59)</f>
        <v>0</v>
      </c>
      <c r="J181" s="154">
        <f>VLOOKUP($B181,'Hypothèses '!$B$133:$D$146,3,FALSE)*HLOOKUP(VLOOKUP(J$13,'table années scolaires'!$C$17:$E$27,2,FALSE),'Projection Effectifs'!$S$31:$AC$35,5,FALSE)*(1+$E$59)*(1+$F$59)*(1+$G$59)*(1+$H$59)*(1+$I$59)*(1+$J$59)*(1+$D$59)</f>
        <v>0</v>
      </c>
    </row>
    <row r="182" spans="1:10" x14ac:dyDescent="0.2">
      <c r="A182" s="128"/>
      <c r="B182" s="137" t="s">
        <v>524</v>
      </c>
      <c r="C182" s="163">
        <f>SUM(C183:C185)</f>
        <v>0</v>
      </c>
      <c r="D182" s="163">
        <f>SUM(D183:D185)</f>
        <v>0</v>
      </c>
      <c r="E182" s="163">
        <f t="shared" ref="E182:J182" si="111">SUM(E183:E185)</f>
        <v>0</v>
      </c>
      <c r="F182" s="163">
        <f t="shared" si="111"/>
        <v>0</v>
      </c>
      <c r="G182" s="163">
        <f t="shared" si="111"/>
        <v>0</v>
      </c>
      <c r="H182" s="163">
        <f t="shared" si="111"/>
        <v>0</v>
      </c>
      <c r="I182" s="163" t="e">
        <f t="shared" si="111"/>
        <v>#N/A</v>
      </c>
      <c r="J182" s="163" t="e">
        <f t="shared" si="111"/>
        <v>#N/A</v>
      </c>
    </row>
    <row r="183" spans="1:10" hidden="1" x14ac:dyDescent="0.2">
      <c r="A183" s="128"/>
      <c r="B183" s="128" t="s">
        <v>521</v>
      </c>
      <c r="C183" s="154">
        <f>IF('Hypothèses '!C$16="non",0,IF('Hypothèses '!C$16="non",0,IF('Hypothèses '!$C$7="conventionné",(C$53+C$55)*0.06*0.94,0)))</f>
        <v>0</v>
      </c>
      <c r="D183" s="154">
        <f>IF('Hypothèses '!D$16="non",0,IF('Hypothèses '!D$16="non",0,IF('Hypothèses '!$C$7="conventionné",(D$53+D$55)*0.06*0.94,0)))</f>
        <v>0</v>
      </c>
      <c r="E183" s="154">
        <f>IF('Hypothèses '!E$16="non",0,IF('Hypothèses '!E$16="non",0,IF('Hypothèses '!$C$7="conventionné",(E$53+E$55)*0.06*0.94,0)))</f>
        <v>0</v>
      </c>
      <c r="F183" s="154">
        <f>IF('Hypothèses '!F$16="non",0,IF('Hypothèses '!F$16="non",0,IF('Hypothèses '!$C$7="conventionné",(F$53+F$55)*0.06*0.94,0)))</f>
        <v>0</v>
      </c>
      <c r="G183" s="154">
        <f>IF('Hypothèses '!G$16="non",0,IF('Hypothèses '!G$16="non",0,IF('Hypothèses '!$C$7="conventionné",(G$53+G$55)*0.06*0.94,0)))</f>
        <v>0</v>
      </c>
      <c r="H183" s="154">
        <f>IF('Hypothèses '!H$16="non",0,IF('Hypothèses '!H$16="non",0,IF('Hypothèses '!$C$7="conventionné",(H$53+H$55)*0.06*0.94,0)))</f>
        <v>0</v>
      </c>
      <c r="I183" s="154">
        <f>IF('Hypothèses '!I$16="non",0,IF('Hypothèses '!I$16="non",0,IF('Hypothèses '!$C$7="conventionné",(I$53+I$55)*0.06*0.94,0)))</f>
        <v>1558050</v>
      </c>
      <c r="J183" s="154">
        <f>IF('Hypothèses '!J$16="non",0,IF('Hypothèses '!J$16="non",0,IF('Hypothèses '!$C$7="conventionné",(J$53+J$55)*0.06*0.94,0)))</f>
        <v>1503060</v>
      </c>
    </row>
    <row r="184" spans="1:10" x14ac:dyDescent="0.2">
      <c r="A184" s="128"/>
      <c r="B184" s="128" t="s">
        <v>522</v>
      </c>
      <c r="C184" s="154">
        <f>IF(HLOOKUP(VLOOKUP(C$13,'table années scolaires'!$C$17:$E$27,2,FALSE),'Hypothèses '!$C$12:$K$16,5,FALSE)="non",0,(C53+C55)*C186)</f>
        <v>0</v>
      </c>
      <c r="D184" s="154">
        <f>IF(HLOOKUP(VLOOKUP(D$13,'table années scolaires'!$C$17:$E$27,2,FALSE),'Hypothèses '!$C$12:$K$16,5,FALSE)="non",0,(D53+D55)*D186)</f>
        <v>0</v>
      </c>
      <c r="E184" s="154">
        <f>IF(HLOOKUP(VLOOKUP(E$13,'table années scolaires'!$C$17:$E$27,2,FALSE),'Hypothèses '!$C$12:$K$16,5,FALSE)="non",0,(E53+E55)*E186)</f>
        <v>0</v>
      </c>
      <c r="F184" s="154">
        <f>IF(HLOOKUP(VLOOKUP(F$13,'table années scolaires'!$C$17:$E$27,2,FALSE),'Hypothèses '!$C$12:$K$16,5,FALSE)="non",0,(F53+F55)*F186)</f>
        <v>0</v>
      </c>
      <c r="G184" s="154">
        <f>IF(HLOOKUP(VLOOKUP(G$13,'table années scolaires'!$C$17:$E$27,2,FALSE),'Hypothèses '!$C$12:$K$16,5,FALSE)="non",0,(G53+G55)*G186)</f>
        <v>0</v>
      </c>
      <c r="H184" s="154">
        <f>IF(HLOOKUP(VLOOKUP(H$13,'table années scolaires'!$C$17:$E$27,2,FALSE),'Hypothèses '!$C$12:$K$16,5,FALSE)="non",0,(H53+H55)*H186)</f>
        <v>0</v>
      </c>
      <c r="I184" s="154">
        <f>IF(HLOOKUP(VLOOKUP(I$13,'table années scolaires'!$C$17:$E$27,2,FALSE),'Hypothèses '!$C$12:$K$16,5,FALSE)="non",0,(I53+I55)*I186)</f>
        <v>552500</v>
      </c>
      <c r="J184" s="154">
        <f>IF(HLOOKUP(VLOOKUP(J$13,'table années scolaires'!$C$17:$E$27,2,FALSE),'Hypothèses '!$C$12:$K$16,5,FALSE)="non",0,(J53+J55)*J186)</f>
        <v>533000</v>
      </c>
    </row>
    <row r="185" spans="1:10" x14ac:dyDescent="0.2">
      <c r="A185" s="128"/>
      <c r="B185" s="128" t="s">
        <v>523</v>
      </c>
      <c r="C185" s="154">
        <f>IF(HLOOKUP(VLOOKUP(C$13,'table années scolaires'!$C$17:$E$27,2,FALSE),'Hypothèses '!$C$12:$K$16,5,FALSE)="non",0,C187*C163)</f>
        <v>0</v>
      </c>
      <c r="D185" s="154">
        <f>IF(HLOOKUP(VLOOKUP(D$13,'table années scolaires'!$C$17:$E$27,2,FALSE),'Hypothèses '!$C$12:$K$16,5,FALSE)="non",0,D187*C163)</f>
        <v>0</v>
      </c>
      <c r="E185" s="154">
        <f>IF(HLOOKUP(VLOOKUP(E$13,'table années scolaires'!$C$17:$E$27,2,FALSE),'Hypothèses '!$C$12:$K$16,5,FALSE)="non",0,E187*D163)</f>
        <v>0</v>
      </c>
      <c r="F185" s="154">
        <f>IF(HLOOKUP(VLOOKUP(F$13,'table années scolaires'!$C$17:$E$27,2,FALSE),'Hypothèses '!$C$12:$K$16,5,FALSE)="non",0,F187*E163)</f>
        <v>0</v>
      </c>
      <c r="G185" s="154">
        <f>IF(HLOOKUP(VLOOKUP(G$13,'table années scolaires'!$C$17:$E$27,2,FALSE),'Hypothèses '!$C$12:$K$16,5,FALSE)="non",0,G187*F163)</f>
        <v>0</v>
      </c>
      <c r="H185" s="154">
        <f>IF(HLOOKUP(VLOOKUP(H$13,'table années scolaires'!$C$17:$E$27,2,FALSE),'Hypothèses '!$C$12:$K$16,5,FALSE)="non",0,H187*G163)</f>
        <v>0</v>
      </c>
      <c r="I185" s="154" t="e">
        <f>IF(HLOOKUP(VLOOKUP(I$13,'table années scolaires'!$C$17:$E$27,2,FALSE),'Hypothèses '!$C$12:$K$16,5,FALSE)="non",0,I187*H163)</f>
        <v>#N/A</v>
      </c>
      <c r="J185" s="154" t="e">
        <f>IF(HLOOKUP(VLOOKUP(J$13,'table années scolaires'!$C$17:$E$27,2,FALSE),'Hypothèses '!$C$12:$K$16,5,FALSE)="non",0,J187*I163)</f>
        <v>#N/A</v>
      </c>
    </row>
    <row r="186" spans="1:10" x14ac:dyDescent="0.2">
      <c r="A186" s="128"/>
      <c r="B186" s="134" t="s">
        <v>537</v>
      </c>
      <c r="C186" s="165">
        <f>IF(HLOOKUP(VLOOKUP(C$13,'table années scolaires'!$C$17:$E$27,2,FALSE),'Hypothèses '!$C$12:$K$16,5,FALSE)="non",0,2%)</f>
        <v>0</v>
      </c>
      <c r="D186" s="165">
        <f>IF(HLOOKUP(VLOOKUP(D$13,'table années scolaires'!$C$17:$E$27,2,FALSE),'Hypothèses '!$C$12:$K$16,5,FALSE)="non",0,2%)</f>
        <v>0</v>
      </c>
      <c r="E186" s="165">
        <f>IF(HLOOKUP(VLOOKUP(E$13,'table années scolaires'!$C$17:$E$27,2,FALSE),'Hypothèses '!$C$12:$K$16,5,FALSE)="non",0,2%)</f>
        <v>0</v>
      </c>
      <c r="F186" s="165">
        <f>IF(HLOOKUP(VLOOKUP(F$13,'table années scolaires'!$C$17:$E$27,2,FALSE),'Hypothèses '!$C$12:$K$16,5,FALSE)="non",0,2%)</f>
        <v>0</v>
      </c>
      <c r="G186" s="165">
        <f>IF(HLOOKUP(VLOOKUP(G$13,'table années scolaires'!$C$17:$E$27,2,FALSE),'Hypothèses '!$C$12:$K$16,5,FALSE)="non",0,2%)</f>
        <v>0</v>
      </c>
      <c r="H186" s="165">
        <f>IF(HLOOKUP(VLOOKUP(H$13,'table années scolaires'!$C$17:$E$27,2,FALSE),'Hypothèses '!$C$12:$K$16,5,FALSE)="non",0,2%)</f>
        <v>0</v>
      </c>
      <c r="I186" s="165">
        <f>IF(HLOOKUP(VLOOKUP(I$13,'table années scolaires'!$C$17:$E$27,2,FALSE),'Hypothèses '!$C$12:$K$16,5,FALSE)="non",0,2%)</f>
        <v>0.02</v>
      </c>
      <c r="J186" s="165">
        <f>IF(HLOOKUP(VLOOKUP(J$13,'table années scolaires'!$C$17:$E$27,2,FALSE),'Hypothèses '!$C$12:$K$16,5,FALSE)="non",0,2%)</f>
        <v>0.02</v>
      </c>
    </row>
    <row r="187" spans="1:10" x14ac:dyDescent="0.2">
      <c r="A187" s="128"/>
      <c r="B187" s="134" t="s">
        <v>538</v>
      </c>
      <c r="C187" s="165">
        <f>IF(HLOOKUP(VLOOKUP(C$13,'table années scolaires'!$C$17:$E$27,2,FALSE),'Hypothèses '!$C$12:$K$16,5,FALSE)="non",0,1%)</f>
        <v>0</v>
      </c>
      <c r="D187" s="165">
        <f>IF(HLOOKUP(VLOOKUP(D$13,'table années scolaires'!$C$17:$E$27,2,FALSE),'Hypothèses '!$C$12:$K$16,5,FALSE)="non",0,1%)</f>
        <v>0</v>
      </c>
      <c r="E187" s="165">
        <f>IF(HLOOKUP(VLOOKUP(E$13,'table années scolaires'!$C$17:$E$27,2,FALSE),'Hypothèses '!$C$12:$K$16,5,FALSE)="non",0,1%)</f>
        <v>0</v>
      </c>
      <c r="F187" s="165">
        <f>IF(HLOOKUP(VLOOKUP(F$13,'table années scolaires'!$C$17:$E$27,2,FALSE),'Hypothèses '!$C$12:$K$16,5,FALSE)="non",0,1%)</f>
        <v>0</v>
      </c>
      <c r="G187" s="165">
        <f>IF(HLOOKUP(VLOOKUP(G$13,'table années scolaires'!$C$17:$E$27,2,FALSE),'Hypothèses '!$C$12:$K$16,5,FALSE)="non",0,1%)</f>
        <v>0</v>
      </c>
      <c r="H187" s="165">
        <f>IF(HLOOKUP(VLOOKUP(H$13,'table années scolaires'!$C$17:$E$27,2,FALSE),'Hypothèses '!$C$12:$K$16,5,FALSE)="non",0,1%)</f>
        <v>0</v>
      </c>
      <c r="I187" s="165">
        <f>IF(HLOOKUP(VLOOKUP(I$13,'table années scolaires'!$C$17:$E$27,2,FALSE),'Hypothèses '!$C$12:$K$16,5,FALSE)="non",0,1%)</f>
        <v>0.01</v>
      </c>
      <c r="J187" s="165">
        <f>IF(HLOOKUP(VLOOKUP(J$13,'table années scolaires'!$C$17:$E$27,2,FALSE),'Hypothèses '!$C$12:$K$16,5,FALSE)="non",0,1%)</f>
        <v>0.01</v>
      </c>
    </row>
  </sheetData>
  <phoneticPr fontId="29" type="noConversion"/>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F932A-4C5A-4E31-9D64-484EFD0B66B8}">
  <dimension ref="A2:M187"/>
  <sheetViews>
    <sheetView showGridLines="0" workbookViewId="0">
      <selection activeCell="E2" sqref="E2"/>
    </sheetView>
  </sheetViews>
  <sheetFormatPr baseColWidth="10" defaultRowHeight="15" x14ac:dyDescent="0.2"/>
  <cols>
    <col min="1" max="1" width="15.1640625" customWidth="1"/>
    <col min="2" max="2" width="36" customWidth="1"/>
    <col min="3" max="10" width="19.6640625" customWidth="1"/>
    <col min="11" max="11" width="12.33203125" bestFit="1" customWidth="1"/>
  </cols>
  <sheetData>
    <row r="2" spans="1:11" ht="21" x14ac:dyDescent="0.25">
      <c r="A2" s="180" t="s">
        <v>506</v>
      </c>
    </row>
    <row r="3" spans="1:11" ht="21" x14ac:dyDescent="0.25">
      <c r="A3" s="180" t="s">
        <v>603</v>
      </c>
    </row>
    <row r="4" spans="1:11" ht="21" x14ac:dyDescent="0.25">
      <c r="A4" s="147"/>
      <c r="C4" s="175">
        <f>'Hypothèses '!$C$9</f>
        <v>2024</v>
      </c>
      <c r="D4" s="175">
        <f>C4+1</f>
        <v>2025</v>
      </c>
      <c r="E4" s="175">
        <f t="shared" ref="E4:J4" si="0">D4+1</f>
        <v>2026</v>
      </c>
      <c r="F4" s="175">
        <f t="shared" si="0"/>
        <v>2027</v>
      </c>
      <c r="G4" s="175">
        <f t="shared" si="0"/>
        <v>2028</v>
      </c>
      <c r="H4" s="175">
        <f t="shared" si="0"/>
        <v>2029</v>
      </c>
      <c r="I4" s="175">
        <f t="shared" si="0"/>
        <v>2030</v>
      </c>
      <c r="J4" s="175">
        <f t="shared" si="0"/>
        <v>2031</v>
      </c>
    </row>
    <row r="5" spans="1:11" ht="19" x14ac:dyDescent="0.25">
      <c r="A5" s="159" t="s">
        <v>548</v>
      </c>
      <c r="C5">
        <f>HLOOKUP(C$4,'Hypothèses '!$C$34:$K$38,5,FALSE)</f>
        <v>0.25</v>
      </c>
      <c r="D5">
        <f>HLOOKUP(D$4,'Hypothèses '!$C$34:$K$38,5,FALSE)</f>
        <v>0.25</v>
      </c>
      <c r="E5">
        <f>HLOOKUP(E$4,'Hypothèses '!$C$34:$K$38,5,FALSE)</f>
        <v>0.25</v>
      </c>
      <c r="F5">
        <f>HLOOKUP(F$4,'Hypothèses '!$C$34:$K$38,5,FALSE)</f>
        <v>0.25</v>
      </c>
      <c r="G5">
        <f>HLOOKUP(G$4,'Hypothèses '!$C$34:$K$38,5,FALSE)</f>
        <v>0.25</v>
      </c>
      <c r="H5">
        <f>HLOOKUP(H$4,'Hypothèses '!$C$34:$K$38,5,FALSE)</f>
        <v>0.25</v>
      </c>
      <c r="I5">
        <f>HLOOKUP(I$4,'Hypothèses '!$C$34:$K$38,5,FALSE)</f>
        <v>0.25</v>
      </c>
      <c r="J5">
        <f>HLOOKUP(J$4,'Hypothèses '!$C$34:$K$38,5,FALSE)</f>
        <v>0.25</v>
      </c>
    </row>
    <row r="6" spans="1:11" ht="16" x14ac:dyDescent="0.2">
      <c r="A6" s="156" t="s">
        <v>536</v>
      </c>
      <c r="B6" s="47"/>
      <c r="C6" s="360" t="e">
        <f>C15-C60</f>
        <v>#N/A</v>
      </c>
      <c r="D6" s="360" t="e">
        <f t="shared" ref="D6:J6" si="1">D15-D60</f>
        <v>#N/A</v>
      </c>
      <c r="E6" s="360" t="e">
        <f t="shared" si="1"/>
        <v>#N/A</v>
      </c>
      <c r="F6" s="360" t="e">
        <f t="shared" si="1"/>
        <v>#N/A</v>
      </c>
      <c r="G6" s="360" t="e">
        <f t="shared" si="1"/>
        <v>#N/A</v>
      </c>
      <c r="H6" s="360" t="e">
        <f t="shared" si="1"/>
        <v>#N/A</v>
      </c>
      <c r="I6" s="360" t="e">
        <f t="shared" si="1"/>
        <v>#N/A</v>
      </c>
      <c r="J6" s="360" t="e">
        <f t="shared" si="1"/>
        <v>#N/A</v>
      </c>
    </row>
    <row r="7" spans="1:11" ht="16" x14ac:dyDescent="0.2">
      <c r="A7" s="177" t="s">
        <v>533</v>
      </c>
      <c r="B7" s="178"/>
      <c r="C7" s="362" t="e">
        <f>C24-C84</f>
        <v>#N/A</v>
      </c>
      <c r="D7" s="362" t="e">
        <f t="shared" ref="D7:J7" si="2">D24-D84</f>
        <v>#N/A</v>
      </c>
      <c r="E7" s="362" t="e">
        <f t="shared" si="2"/>
        <v>#N/A</v>
      </c>
      <c r="F7" s="362" t="e">
        <f t="shared" si="2"/>
        <v>#N/A</v>
      </c>
      <c r="G7" s="362" t="e">
        <f t="shared" si="2"/>
        <v>#N/A</v>
      </c>
      <c r="H7" s="362" t="e">
        <f t="shared" si="2"/>
        <v>#N/A</v>
      </c>
      <c r="I7" s="362" t="e">
        <f t="shared" si="2"/>
        <v>#N/A</v>
      </c>
      <c r="J7" s="362" t="e">
        <f t="shared" si="2"/>
        <v>#N/A</v>
      </c>
    </row>
    <row r="8" spans="1:11" ht="16" x14ac:dyDescent="0.2">
      <c r="A8" s="94" t="s">
        <v>88</v>
      </c>
      <c r="B8" s="68"/>
      <c r="C8" s="354" t="e">
        <f>C32-C110</f>
        <v>#N/A</v>
      </c>
      <c r="D8" s="354" t="e">
        <f t="shared" ref="D8:J8" si="3">D32-D110</f>
        <v>#N/A</v>
      </c>
      <c r="E8" s="354" t="e">
        <f t="shared" si="3"/>
        <v>#N/A</v>
      </c>
      <c r="F8" s="354" t="e">
        <f t="shared" si="3"/>
        <v>#N/A</v>
      </c>
      <c r="G8" s="354" t="e">
        <f t="shared" si="3"/>
        <v>#N/A</v>
      </c>
      <c r="H8" s="354" t="e">
        <f t="shared" si="3"/>
        <v>#N/A</v>
      </c>
      <c r="I8" s="354" t="e">
        <f t="shared" si="3"/>
        <v>#N/A</v>
      </c>
      <c r="J8" s="354" t="e">
        <f t="shared" si="3"/>
        <v>#N/A</v>
      </c>
    </row>
    <row r="9" spans="1:11" ht="16" x14ac:dyDescent="0.2">
      <c r="A9" s="120" t="s">
        <v>126</v>
      </c>
      <c r="B9" s="99"/>
      <c r="C9" s="356" t="e">
        <f>C40-C136</f>
        <v>#N/A</v>
      </c>
      <c r="D9" s="356" t="e">
        <f t="shared" ref="D9:J9" si="4">D40-D136</f>
        <v>#N/A</v>
      </c>
      <c r="E9" s="356" t="e">
        <f t="shared" si="4"/>
        <v>#N/A</v>
      </c>
      <c r="F9" s="356" t="e">
        <f t="shared" si="4"/>
        <v>#N/A</v>
      </c>
      <c r="G9" s="356" t="e">
        <f t="shared" si="4"/>
        <v>#N/A</v>
      </c>
      <c r="H9" s="356" t="e">
        <f t="shared" si="4"/>
        <v>#N/A</v>
      </c>
      <c r="I9" s="356" t="e">
        <f t="shared" si="4"/>
        <v>#N/A</v>
      </c>
      <c r="J9" s="356" t="e">
        <f t="shared" si="4"/>
        <v>#N/A</v>
      </c>
    </row>
    <row r="10" spans="1:11" ht="16" x14ac:dyDescent="0.2">
      <c r="A10" s="137" t="s">
        <v>498</v>
      </c>
      <c r="B10" s="128"/>
      <c r="C10" s="358" t="e">
        <f>C48-C162</f>
        <v>#N/A</v>
      </c>
      <c r="D10" s="358" t="e">
        <f t="shared" ref="D10:J10" si="5">D48-D162</f>
        <v>#N/A</v>
      </c>
      <c r="E10" s="358" t="e">
        <f t="shared" si="5"/>
        <v>#N/A</v>
      </c>
      <c r="F10" s="358" t="e">
        <f t="shared" si="5"/>
        <v>#N/A</v>
      </c>
      <c r="G10" s="358" t="e">
        <f t="shared" si="5"/>
        <v>#N/A</v>
      </c>
      <c r="H10" s="358" t="e">
        <f t="shared" si="5"/>
        <v>#N/A</v>
      </c>
      <c r="I10" s="358" t="e">
        <f t="shared" si="5"/>
        <v>#N/A</v>
      </c>
      <c r="J10" s="358" t="e">
        <f t="shared" si="5"/>
        <v>#N/A</v>
      </c>
    </row>
    <row r="11" spans="1:11" x14ac:dyDescent="0.2">
      <c r="A11" s="147"/>
    </row>
    <row r="13" spans="1:11" ht="21" x14ac:dyDescent="0.25">
      <c r="A13" s="159" t="s">
        <v>514</v>
      </c>
      <c r="C13" s="175">
        <f>'Hypothèses '!$C$9</f>
        <v>2024</v>
      </c>
      <c r="D13" s="175">
        <f>C13+1</f>
        <v>2025</v>
      </c>
      <c r="E13" s="175">
        <f t="shared" ref="E13:J13" si="6">D13+1</f>
        <v>2026</v>
      </c>
      <c r="F13" s="175">
        <f t="shared" si="6"/>
        <v>2027</v>
      </c>
      <c r="G13" s="175">
        <f t="shared" si="6"/>
        <v>2028</v>
      </c>
      <c r="H13" s="175">
        <f t="shared" si="6"/>
        <v>2029</v>
      </c>
      <c r="I13" s="175">
        <f t="shared" si="6"/>
        <v>2030</v>
      </c>
      <c r="J13" s="175">
        <f t="shared" si="6"/>
        <v>2031</v>
      </c>
    </row>
    <row r="14" spans="1:11" ht="16" x14ac:dyDescent="0.2">
      <c r="A14" t="s">
        <v>519</v>
      </c>
      <c r="C14" s="61"/>
      <c r="D14" s="61"/>
      <c r="E14" s="61"/>
      <c r="F14" s="61"/>
      <c r="G14" s="61"/>
      <c r="H14" s="61"/>
      <c r="I14" s="61"/>
      <c r="J14" s="61"/>
    </row>
    <row r="15" spans="1:11" ht="16" x14ac:dyDescent="0.2">
      <c r="A15" s="156" t="s">
        <v>536</v>
      </c>
      <c r="B15" s="47"/>
      <c r="C15" s="360">
        <f>SUM(C20:C23)</f>
        <v>0</v>
      </c>
      <c r="D15" s="360">
        <f t="shared" ref="D15:J15" si="7">SUM(D20:D23)</f>
        <v>0</v>
      </c>
      <c r="E15" s="360">
        <f t="shared" si="7"/>
        <v>51406250</v>
      </c>
      <c r="F15" s="360">
        <f t="shared" si="7"/>
        <v>49628750</v>
      </c>
      <c r="G15" s="360">
        <f t="shared" si="7"/>
        <v>48921250</v>
      </c>
      <c r="H15" s="360">
        <f t="shared" si="7"/>
        <v>48995000</v>
      </c>
      <c r="I15" s="360">
        <f t="shared" si="7"/>
        <v>48920000</v>
      </c>
      <c r="J15" s="360">
        <f t="shared" si="7"/>
        <v>48386250</v>
      </c>
      <c r="K15" s="275"/>
    </row>
    <row r="16" spans="1:11" x14ac:dyDescent="0.2">
      <c r="A16" s="156"/>
      <c r="B16" s="344" t="s">
        <v>664</v>
      </c>
      <c r="C16" s="345">
        <f>'Compte Résultat ML'!C16</f>
        <v>0</v>
      </c>
      <c r="D16" s="345">
        <f>'Compte Résultat ML'!D16</f>
        <v>0.1</v>
      </c>
      <c r="E16" s="345">
        <f>'Compte Résultat ML'!E16</f>
        <v>0.1</v>
      </c>
      <c r="F16" s="345">
        <f>'Compte Résultat ML'!F16</f>
        <v>0.1</v>
      </c>
      <c r="G16" s="345">
        <f>'Compte Résultat ML'!G16</f>
        <v>0.1</v>
      </c>
      <c r="H16" s="345">
        <f>'Compte Résultat ML'!H16</f>
        <v>0.1</v>
      </c>
      <c r="I16" s="345">
        <f>'Compte Résultat ML'!I16</f>
        <v>0.1</v>
      </c>
      <c r="J16" s="345">
        <f>'Compte Résultat ML'!J16</f>
        <v>0.1</v>
      </c>
      <c r="K16" s="275"/>
    </row>
    <row r="17" spans="1:11" x14ac:dyDescent="0.2">
      <c r="A17" s="156"/>
      <c r="B17" s="346" t="s">
        <v>665</v>
      </c>
      <c r="C17" s="345">
        <f>'Compte Résultat ML'!C17</f>
        <v>0</v>
      </c>
      <c r="D17" s="345">
        <f>'Compte Résultat ML'!D17</f>
        <v>0.06</v>
      </c>
      <c r="E17" s="345">
        <f>'Compte Résultat ML'!E17</f>
        <v>0.06</v>
      </c>
      <c r="F17" s="345">
        <f>'Compte Résultat ML'!F17</f>
        <v>0.06</v>
      </c>
      <c r="G17" s="345">
        <f>'Compte Résultat ML'!G17</f>
        <v>0.06</v>
      </c>
      <c r="H17" s="345">
        <f>'Compte Résultat ML'!H17</f>
        <v>0.06</v>
      </c>
      <c r="I17" s="345">
        <f>'Compte Résultat ML'!I17</f>
        <v>0.06</v>
      </c>
      <c r="J17" s="345">
        <f>'Compte Résultat ML'!J17</f>
        <v>0.06</v>
      </c>
      <c r="K17" s="275"/>
    </row>
    <row r="18" spans="1:11" x14ac:dyDescent="0.2">
      <c r="A18" s="156"/>
      <c r="B18" s="344" t="s">
        <v>508</v>
      </c>
      <c r="C18" s="361">
        <f>'Compte Résultat ML'!C18*C$5</f>
        <v>0</v>
      </c>
      <c r="D18" s="361">
        <f>'Compte Résultat ML'!D18*D$5</f>
        <v>0</v>
      </c>
      <c r="E18" s="361">
        <f>'Compte Résultat ML'!E18*E$5</f>
        <v>125000</v>
      </c>
      <c r="F18" s="361">
        <f>'Compte Résultat ML'!F18*F$5</f>
        <v>125000</v>
      </c>
      <c r="G18" s="361">
        <f>'Compte Résultat ML'!G18*G$5</f>
        <v>125000</v>
      </c>
      <c r="H18" s="361">
        <f>'Compte Résultat ML'!H18*H$5</f>
        <v>125000</v>
      </c>
      <c r="I18" s="361">
        <f>'Compte Résultat ML'!I18*I$5</f>
        <v>125000</v>
      </c>
      <c r="J18" s="361">
        <f>'Compte Résultat ML'!J18*J$5</f>
        <v>125000</v>
      </c>
      <c r="K18" s="275"/>
    </row>
    <row r="19" spans="1:11" x14ac:dyDescent="0.2">
      <c r="A19" s="156"/>
      <c r="B19" s="344" t="s">
        <v>663</v>
      </c>
      <c r="C19" s="361">
        <f>'Compte Résultat ML'!C19*C$5</f>
        <v>0</v>
      </c>
      <c r="D19" s="361">
        <f>'Compte Résultat ML'!D19*D$5</f>
        <v>0</v>
      </c>
      <c r="E19" s="361">
        <f>'Compte Résultat ML'!E19*E$5</f>
        <v>16250</v>
      </c>
      <c r="F19" s="361">
        <f>'Compte Résultat ML'!F19*F$5</f>
        <v>16250</v>
      </c>
      <c r="G19" s="361">
        <f>'Compte Résultat ML'!G19*G$5</f>
        <v>16250</v>
      </c>
      <c r="H19" s="361">
        <f>'Compte Résultat ML'!H19*H$5</f>
        <v>16250</v>
      </c>
      <c r="I19" s="361">
        <f>'Compte Résultat ML'!I19*I$5</f>
        <v>16250</v>
      </c>
      <c r="J19" s="361">
        <f>'Compte Résultat ML'!J19*J$5</f>
        <v>16250</v>
      </c>
      <c r="K19" s="275"/>
    </row>
    <row r="20" spans="1:11" x14ac:dyDescent="0.2">
      <c r="A20" s="156"/>
      <c r="B20" s="47" t="s">
        <v>507</v>
      </c>
      <c r="C20" s="364">
        <f>'Compte Résultat ML'!C20*C$5</f>
        <v>0</v>
      </c>
      <c r="D20" s="364">
        <f>'Compte Résultat ML'!D20*D$5</f>
        <v>0</v>
      </c>
      <c r="E20" s="364">
        <f>'Compte Résultat ML'!E20*E$5</f>
        <v>0</v>
      </c>
      <c r="F20" s="364">
        <f>'Compte Résultat ML'!F20*F$5</f>
        <v>0</v>
      </c>
      <c r="G20" s="364">
        <f>'Compte Résultat ML'!G20*G$5</f>
        <v>0</v>
      </c>
      <c r="H20" s="364">
        <f>'Compte Résultat ML'!H20*H$5</f>
        <v>0</v>
      </c>
      <c r="I20" s="364">
        <f>'Compte Résultat ML'!I20*I$5</f>
        <v>0</v>
      </c>
      <c r="J20" s="364">
        <f>'Compte Résultat ML'!J20*J$5</f>
        <v>0</v>
      </c>
    </row>
    <row r="21" spans="1:11" x14ac:dyDescent="0.2">
      <c r="A21" s="156"/>
      <c r="B21" s="47" t="s">
        <v>508</v>
      </c>
      <c r="C21" s="364">
        <f>'Compte Résultat ML'!C21*C$5</f>
        <v>0</v>
      </c>
      <c r="D21" s="364">
        <f>'Compte Résultat ML'!D21*D$5</f>
        <v>0</v>
      </c>
      <c r="E21" s="364">
        <f>'Compte Résultat ML'!E21*E$5</f>
        <v>22562500</v>
      </c>
      <c r="F21" s="364">
        <f>'Compte Résultat ML'!F21*F$5</f>
        <v>21857500</v>
      </c>
      <c r="G21" s="364">
        <f>'Compte Résultat ML'!G21*G$5</f>
        <v>21312500</v>
      </c>
      <c r="H21" s="364">
        <f>'Compte Résultat ML'!H21*H$5</f>
        <v>21272500</v>
      </c>
      <c r="I21" s="364">
        <f>'Compte Résultat ML'!I21*I$5</f>
        <v>21295000</v>
      </c>
      <c r="J21" s="364">
        <f>'Compte Résultat ML'!J21*J$5</f>
        <v>21135000</v>
      </c>
    </row>
    <row r="22" spans="1:11" x14ac:dyDescent="0.2">
      <c r="A22" s="156"/>
      <c r="B22" s="47" t="s">
        <v>509</v>
      </c>
      <c r="C22" s="364">
        <f>'Compte Résultat ML'!C22*C$5</f>
        <v>0</v>
      </c>
      <c r="D22" s="364">
        <f>'Compte Résultat ML'!D22*D$5</f>
        <v>0</v>
      </c>
      <c r="E22" s="364">
        <f>'Compte Résultat ML'!E22*E$5</f>
        <v>28843750</v>
      </c>
      <c r="F22" s="364">
        <f>'Compte Résultat ML'!F22*F$5</f>
        <v>27771250</v>
      </c>
      <c r="G22" s="364">
        <f>'Compte Résultat ML'!G22*G$5</f>
        <v>27608750</v>
      </c>
      <c r="H22" s="364">
        <f>'Compte Résultat ML'!H22*H$5</f>
        <v>27722500</v>
      </c>
      <c r="I22" s="364">
        <f>'Compte Résultat ML'!I22*I$5</f>
        <v>27625000</v>
      </c>
      <c r="J22" s="364">
        <f>'Compte Résultat ML'!J22*J$5</f>
        <v>27251250</v>
      </c>
    </row>
    <row r="23" spans="1:11" x14ac:dyDescent="0.2">
      <c r="A23" s="156"/>
      <c r="B23" s="47" t="s">
        <v>614</v>
      </c>
      <c r="C23" s="364">
        <f>'Compte Résultat ML'!C23*C$5</f>
        <v>0</v>
      </c>
      <c r="D23" s="364">
        <f>'Compte Résultat ML'!D23*D$5</f>
        <v>0</v>
      </c>
      <c r="E23" s="364">
        <f>'Compte Résultat ML'!E23*E$5</f>
        <v>0</v>
      </c>
      <c r="F23" s="364">
        <f>'Compte Résultat ML'!F23*F$5</f>
        <v>0</v>
      </c>
      <c r="G23" s="364">
        <f>'Compte Résultat ML'!G23*G$5</f>
        <v>0</v>
      </c>
      <c r="H23" s="364">
        <f>'Compte Résultat ML'!H23*H$5</f>
        <v>0</v>
      </c>
      <c r="I23" s="364">
        <f>'Compte Résultat ML'!I23*I$5</f>
        <v>0</v>
      </c>
      <c r="J23" s="364">
        <f>'Compte Résultat ML'!J23*J$5</f>
        <v>0</v>
      </c>
    </row>
    <row r="24" spans="1:11" ht="16" x14ac:dyDescent="0.2">
      <c r="A24" s="86" t="s">
        <v>533</v>
      </c>
      <c r="B24" s="65"/>
      <c r="C24" s="352">
        <f>SUM(C29:C31)</f>
        <v>0</v>
      </c>
      <c r="D24" s="352">
        <f t="shared" ref="D24:J24" si="8">SUM(D29:D31)</f>
        <v>0</v>
      </c>
      <c r="E24" s="352">
        <f t="shared" si="8"/>
        <v>6332500</v>
      </c>
      <c r="F24" s="352">
        <f t="shared" si="8"/>
        <v>5552500</v>
      </c>
      <c r="G24" s="352">
        <f t="shared" si="8"/>
        <v>6525000</v>
      </c>
      <c r="H24" s="352">
        <f t="shared" si="8"/>
        <v>8175000</v>
      </c>
      <c r="I24" s="352">
        <f t="shared" si="8"/>
        <v>9900000</v>
      </c>
      <c r="J24" s="352">
        <f t="shared" si="8"/>
        <v>10350000</v>
      </c>
    </row>
    <row r="25" spans="1:11" x14ac:dyDescent="0.2">
      <c r="A25" s="86"/>
      <c r="B25" s="336" t="s">
        <v>659</v>
      </c>
      <c r="C25" s="363">
        <f>'Compte Résultat ML'!C25</f>
        <v>0</v>
      </c>
      <c r="D25" s="363">
        <f>'Compte Résultat ML'!D25</f>
        <v>293</v>
      </c>
      <c r="E25" s="363">
        <f>'Compte Résultat ML'!E25</f>
        <v>272</v>
      </c>
      <c r="F25" s="363">
        <f>'Compte Résultat ML'!F25</f>
        <v>202</v>
      </c>
      <c r="G25" s="363">
        <f>'Compte Résultat ML'!G25</f>
        <v>190</v>
      </c>
      <c r="H25" s="363">
        <f>'Compte Résultat ML'!H25</f>
        <v>240</v>
      </c>
      <c r="I25" s="363">
        <f>'Compte Résultat ML'!I25</f>
        <v>300</v>
      </c>
      <c r="J25" s="363">
        <f>'Compte Résultat ML'!J25</f>
        <v>360</v>
      </c>
    </row>
    <row r="26" spans="1:11" x14ac:dyDescent="0.2">
      <c r="A26" s="86"/>
      <c r="B26" s="336" t="s">
        <v>660</v>
      </c>
      <c r="C26" s="363">
        <f>'Compte Résultat ML'!C26</f>
        <v>293</v>
      </c>
      <c r="D26" s="363">
        <f>'Compte Résultat ML'!D26</f>
        <v>272</v>
      </c>
      <c r="E26" s="363">
        <f>'Compte Résultat ML'!E26</f>
        <v>202</v>
      </c>
      <c r="F26" s="363">
        <f>'Compte Résultat ML'!F26</f>
        <v>190</v>
      </c>
      <c r="G26" s="363">
        <f>'Compte Résultat ML'!G26</f>
        <v>240</v>
      </c>
      <c r="H26" s="363">
        <f>'Compte Résultat ML'!H26</f>
        <v>300</v>
      </c>
      <c r="I26" s="363">
        <f>'Compte Résultat ML'!I26</f>
        <v>360</v>
      </c>
      <c r="J26" s="363">
        <f>'Compte Résultat ML'!J26</f>
        <v>360</v>
      </c>
    </row>
    <row r="27" spans="1:11" x14ac:dyDescent="0.2">
      <c r="A27" s="86"/>
      <c r="B27" s="336" t="s">
        <v>661</v>
      </c>
      <c r="C27" s="353">
        <f>'Compte Résultat ML'!C27*C$5</f>
        <v>0</v>
      </c>
      <c r="D27" s="353">
        <f>'Compte Résultat ML'!D27*D$5</f>
        <v>0</v>
      </c>
      <c r="E27" s="353">
        <f>'Compte Résultat ML'!E27*E$5</f>
        <v>0</v>
      </c>
      <c r="F27" s="353">
        <f>'Compte Résultat ML'!F27*F$5</f>
        <v>0</v>
      </c>
      <c r="G27" s="353">
        <f>'Compte Résultat ML'!G27*G$5</f>
        <v>0</v>
      </c>
      <c r="H27" s="353">
        <f>'Compte Résultat ML'!H27*H$5</f>
        <v>0</v>
      </c>
      <c r="I27" s="353">
        <f>'Compte Résultat ML'!I27*I$5</f>
        <v>0</v>
      </c>
      <c r="J27" s="353">
        <f>'Compte Résultat ML'!J27*J$5</f>
        <v>0</v>
      </c>
    </row>
    <row r="28" spans="1:11" x14ac:dyDescent="0.2">
      <c r="A28" s="86"/>
      <c r="B28" s="336" t="s">
        <v>662</v>
      </c>
      <c r="C28" s="353">
        <f>'Compte Résultat ML'!C28*C$5</f>
        <v>0</v>
      </c>
      <c r="D28" s="353">
        <f>'Compte Résultat ML'!D28*D$5</f>
        <v>0</v>
      </c>
      <c r="E28" s="353">
        <f>'Compte Résultat ML'!E28*E$5</f>
        <v>0</v>
      </c>
      <c r="F28" s="353">
        <f>'Compte Résultat ML'!F28*F$5</f>
        <v>0</v>
      </c>
      <c r="G28" s="353">
        <f>'Compte Résultat ML'!G28*G$5</f>
        <v>0</v>
      </c>
      <c r="H28" s="353">
        <f>'Compte Résultat ML'!H28*H$5</f>
        <v>0</v>
      </c>
      <c r="I28" s="353">
        <f>'Compte Résultat ML'!I28*I$5</f>
        <v>0</v>
      </c>
      <c r="J28" s="353">
        <f>'Compte Résultat ML'!J28*J$5</f>
        <v>0</v>
      </c>
    </row>
    <row r="29" spans="1:11" x14ac:dyDescent="0.2">
      <c r="A29" s="86"/>
      <c r="B29" s="65" t="s">
        <v>507</v>
      </c>
      <c r="C29" s="353">
        <f>'Compte Résultat ML'!C29*C$5</f>
        <v>0</v>
      </c>
      <c r="D29" s="353">
        <f>'Compte Résultat ML'!D29*D$5</f>
        <v>0</v>
      </c>
      <c r="E29" s="353">
        <f>'Compte Résultat ML'!E29*E$5</f>
        <v>0</v>
      </c>
      <c r="F29" s="353">
        <f>'Compte Résultat ML'!F29*F$5</f>
        <v>0</v>
      </c>
      <c r="G29" s="353">
        <f>'Compte Résultat ML'!G29*G$5</f>
        <v>0</v>
      </c>
      <c r="H29" s="353">
        <f>'Compte Résultat ML'!H29*H$5</f>
        <v>0</v>
      </c>
      <c r="I29" s="353">
        <f>'Compte Résultat ML'!I29*I$5</f>
        <v>0</v>
      </c>
      <c r="J29" s="353">
        <f>'Compte Résultat ML'!J29*J$5</f>
        <v>0</v>
      </c>
    </row>
    <row r="30" spans="1:11" x14ac:dyDescent="0.2">
      <c r="A30" s="86"/>
      <c r="B30" s="65" t="s">
        <v>508</v>
      </c>
      <c r="C30" s="353">
        <f>'Compte Résultat ML'!C30*C$5</f>
        <v>0</v>
      </c>
      <c r="D30" s="353">
        <f>'Compte Résultat ML'!D30*D$5</f>
        <v>0</v>
      </c>
      <c r="E30" s="353">
        <f>'Compte Résultat ML'!E30*E$5</f>
        <v>3050000</v>
      </c>
      <c r="F30" s="353">
        <f>'Compte Résultat ML'!F30*F$5</f>
        <v>2465000</v>
      </c>
      <c r="G30" s="353">
        <f>'Compte Résultat ML'!G30*G$5</f>
        <v>2625000</v>
      </c>
      <c r="H30" s="353">
        <f>'Compte Résultat ML'!H30*H$5</f>
        <v>3300000</v>
      </c>
      <c r="I30" s="353">
        <f>'Compte Résultat ML'!I30*I$5</f>
        <v>4050000</v>
      </c>
      <c r="J30" s="353">
        <f>'Compte Résultat ML'!J30*J$5</f>
        <v>4500000</v>
      </c>
    </row>
    <row r="31" spans="1:11" x14ac:dyDescent="0.2">
      <c r="A31" s="86"/>
      <c r="B31" s="65" t="s">
        <v>509</v>
      </c>
      <c r="C31" s="353">
        <f>'Compte Résultat ML'!C31*C$5</f>
        <v>0</v>
      </c>
      <c r="D31" s="353">
        <f>'Compte Résultat ML'!D31*D$5</f>
        <v>0</v>
      </c>
      <c r="E31" s="353">
        <f>'Compte Résultat ML'!E31*E$5</f>
        <v>3282500</v>
      </c>
      <c r="F31" s="353">
        <f>'Compte Résultat ML'!F31*F$5</f>
        <v>3087500</v>
      </c>
      <c r="G31" s="353">
        <f>'Compte Résultat ML'!G31*G$5</f>
        <v>3900000</v>
      </c>
      <c r="H31" s="353">
        <f>'Compte Résultat ML'!H31*H$5</f>
        <v>4875000</v>
      </c>
      <c r="I31" s="353">
        <f>'Compte Résultat ML'!I31*I$5</f>
        <v>5850000</v>
      </c>
      <c r="J31" s="353">
        <f>'Compte Résultat ML'!J31*J$5</f>
        <v>5850000</v>
      </c>
    </row>
    <row r="32" spans="1:11" ht="16" x14ac:dyDescent="0.2">
      <c r="A32" s="94" t="s">
        <v>88</v>
      </c>
      <c r="B32" s="68"/>
      <c r="C32" s="354">
        <f>SUM(C37:C39)</f>
        <v>0</v>
      </c>
      <c r="D32" s="354">
        <f t="shared" ref="D32:J32" si="9">SUM(D37:D39)</f>
        <v>0</v>
      </c>
      <c r="E32" s="354">
        <f t="shared" si="9"/>
        <v>18766250</v>
      </c>
      <c r="F32" s="354">
        <f t="shared" si="9"/>
        <v>17583750</v>
      </c>
      <c r="G32" s="354">
        <f t="shared" si="9"/>
        <v>15740000</v>
      </c>
      <c r="H32" s="354">
        <f t="shared" si="9"/>
        <v>13877500</v>
      </c>
      <c r="I32" s="354">
        <f t="shared" si="9"/>
        <v>11825000</v>
      </c>
      <c r="J32" s="354">
        <f t="shared" si="9"/>
        <v>11057500</v>
      </c>
    </row>
    <row r="33" spans="1:10" x14ac:dyDescent="0.2">
      <c r="A33" s="94"/>
      <c r="B33" s="338" t="s">
        <v>659</v>
      </c>
      <c r="C33" s="367">
        <f>'Compte Résultat ML'!C33</f>
        <v>0</v>
      </c>
      <c r="D33" s="367">
        <f>'Compte Résultat ML'!D33</f>
        <v>651</v>
      </c>
      <c r="E33" s="367">
        <f>'Compte Résultat ML'!E33</f>
        <v>652</v>
      </c>
      <c r="F33" s="367">
        <f>'Compte Résultat ML'!F33</f>
        <v>653</v>
      </c>
      <c r="G33" s="367">
        <f>'Compte Résultat ML'!G33</f>
        <v>597</v>
      </c>
      <c r="H33" s="367">
        <f>'Compte Résultat ML'!H33</f>
        <v>530</v>
      </c>
      <c r="I33" s="367">
        <f>'Compte Résultat ML'!I33</f>
        <v>466</v>
      </c>
      <c r="J33" s="367">
        <f>'Compte Résultat ML'!J33</f>
        <v>392</v>
      </c>
    </row>
    <row r="34" spans="1:10" x14ac:dyDescent="0.2">
      <c r="A34" s="94"/>
      <c r="B34" s="338" t="s">
        <v>660</v>
      </c>
      <c r="C34" s="367">
        <f>'Compte Résultat ML'!C34</f>
        <v>651</v>
      </c>
      <c r="D34" s="367">
        <f>'Compte Résultat ML'!D34</f>
        <v>652</v>
      </c>
      <c r="E34" s="367">
        <f>'Compte Résultat ML'!E34</f>
        <v>653</v>
      </c>
      <c r="F34" s="367">
        <f>'Compte Résultat ML'!F34</f>
        <v>597</v>
      </c>
      <c r="G34" s="367">
        <f>'Compte Résultat ML'!G34</f>
        <v>530</v>
      </c>
      <c r="H34" s="367">
        <f>'Compte Résultat ML'!H34</f>
        <v>466</v>
      </c>
      <c r="I34" s="367">
        <f>'Compte Résultat ML'!I34</f>
        <v>392</v>
      </c>
      <c r="J34" s="367">
        <f>'Compte Résultat ML'!J34</f>
        <v>382</v>
      </c>
    </row>
    <row r="35" spans="1:10" x14ac:dyDescent="0.2">
      <c r="A35" s="94"/>
      <c r="B35" s="338" t="s">
        <v>661</v>
      </c>
      <c r="C35" s="355">
        <f>'Compte Résultat ML'!C35*C$5</f>
        <v>0</v>
      </c>
      <c r="D35" s="355">
        <f>'Compte Résultat ML'!D35*D$5</f>
        <v>0</v>
      </c>
      <c r="E35" s="355">
        <f>'Compte Résultat ML'!E35*E$5</f>
        <v>0</v>
      </c>
      <c r="F35" s="355">
        <f>'Compte Résultat ML'!F35*F$5</f>
        <v>0</v>
      </c>
      <c r="G35" s="355">
        <f>'Compte Résultat ML'!G35*G$5</f>
        <v>0</v>
      </c>
      <c r="H35" s="355">
        <f>'Compte Résultat ML'!H35*H$5</f>
        <v>0</v>
      </c>
      <c r="I35" s="355">
        <f>'Compte Résultat ML'!I35*I$5</f>
        <v>0</v>
      </c>
      <c r="J35" s="355">
        <f>'Compte Résultat ML'!J35*J$5</f>
        <v>0</v>
      </c>
    </row>
    <row r="36" spans="1:10" x14ac:dyDescent="0.2">
      <c r="A36" s="94"/>
      <c r="B36" s="338" t="s">
        <v>662</v>
      </c>
      <c r="C36" s="355">
        <f>'Compte Résultat ML'!C36*C$5</f>
        <v>0</v>
      </c>
      <c r="D36" s="355">
        <f>'Compte Résultat ML'!D36*D$5</f>
        <v>0</v>
      </c>
      <c r="E36" s="355">
        <f>'Compte Résultat ML'!E36*E$5</f>
        <v>0</v>
      </c>
      <c r="F36" s="355">
        <f>'Compte Résultat ML'!F36*F$5</f>
        <v>0</v>
      </c>
      <c r="G36" s="355">
        <f>'Compte Résultat ML'!G36*G$5</f>
        <v>0</v>
      </c>
      <c r="H36" s="355">
        <f>'Compte Résultat ML'!H36*H$5</f>
        <v>0</v>
      </c>
      <c r="I36" s="355">
        <f>'Compte Résultat ML'!I36*I$5</f>
        <v>0</v>
      </c>
      <c r="J36" s="355">
        <f>'Compte Résultat ML'!J36*J$5</f>
        <v>0</v>
      </c>
    </row>
    <row r="37" spans="1:10" x14ac:dyDescent="0.2">
      <c r="A37" s="94"/>
      <c r="B37" s="68" t="s">
        <v>507</v>
      </c>
      <c r="C37" s="355">
        <f>'Compte Résultat ML'!C37*C$5</f>
        <v>0</v>
      </c>
      <c r="D37" s="355">
        <f>'Compte Résultat ML'!D37*D$5</f>
        <v>0</v>
      </c>
      <c r="E37" s="355">
        <f>'Compte Résultat ML'!E37*E$5</f>
        <v>0</v>
      </c>
      <c r="F37" s="355">
        <f>'Compte Résultat ML'!F37*F$5</f>
        <v>0</v>
      </c>
      <c r="G37" s="355">
        <f>'Compte Résultat ML'!G37*G$5</f>
        <v>0</v>
      </c>
      <c r="H37" s="355">
        <f>'Compte Résultat ML'!H37*H$5</f>
        <v>0</v>
      </c>
      <c r="I37" s="355">
        <f>'Compte Résultat ML'!I37*I$5</f>
        <v>0</v>
      </c>
      <c r="J37" s="355">
        <f>'Compte Résultat ML'!J37*J$5</f>
        <v>0</v>
      </c>
    </row>
    <row r="38" spans="1:10" x14ac:dyDescent="0.2">
      <c r="A38" s="94"/>
      <c r="B38" s="68" t="s">
        <v>508</v>
      </c>
      <c r="C38" s="355">
        <f>'Compte Résultat ML'!C38*C$5</f>
        <v>0</v>
      </c>
      <c r="D38" s="355">
        <f>'Compte Résultat ML'!D38*D$5</f>
        <v>0</v>
      </c>
      <c r="E38" s="355">
        <f>'Compte Résultat ML'!E38*E$5</f>
        <v>8155000.0000000019</v>
      </c>
      <c r="F38" s="355">
        <f>'Compte Résultat ML'!F38*F$5</f>
        <v>7882499.9999999991</v>
      </c>
      <c r="G38" s="355">
        <f>'Compte Résultat ML'!G38*G$5</f>
        <v>7127500</v>
      </c>
      <c r="H38" s="355">
        <f>'Compte Résultat ML'!H38*H$5</f>
        <v>6305000</v>
      </c>
      <c r="I38" s="355">
        <f>'Compte Résultat ML'!I38*I$5</f>
        <v>5455000.0000000009</v>
      </c>
      <c r="J38" s="355">
        <f>'Compte Résultat ML'!J38*J$5</f>
        <v>4850000</v>
      </c>
    </row>
    <row r="39" spans="1:10" x14ac:dyDescent="0.2">
      <c r="A39" s="94"/>
      <c r="B39" s="68" t="s">
        <v>509</v>
      </c>
      <c r="C39" s="355">
        <f>'Compte Résultat ML'!C39*C$5</f>
        <v>0</v>
      </c>
      <c r="D39" s="355">
        <f>'Compte Résultat ML'!D39*D$5</f>
        <v>0</v>
      </c>
      <c r="E39" s="355">
        <f>'Compte Résultat ML'!E39*E$5</f>
        <v>10611250</v>
      </c>
      <c r="F39" s="355">
        <f>'Compte Résultat ML'!F39*F$5</f>
        <v>9701250</v>
      </c>
      <c r="G39" s="355">
        <f>'Compte Résultat ML'!G39*G$5</f>
        <v>8612500</v>
      </c>
      <c r="H39" s="355">
        <f>'Compte Résultat ML'!H39*H$5</f>
        <v>7572500</v>
      </c>
      <c r="I39" s="355">
        <f>'Compte Résultat ML'!I39*I$5</f>
        <v>6370000</v>
      </c>
      <c r="J39" s="355">
        <f>'Compte Résultat ML'!J39*J$5</f>
        <v>6207500</v>
      </c>
    </row>
    <row r="40" spans="1:10" ht="16" x14ac:dyDescent="0.2">
      <c r="A40" s="120" t="s">
        <v>126</v>
      </c>
      <c r="B40" s="99"/>
      <c r="C40" s="356">
        <f>SUM(C45:C47)</f>
        <v>0</v>
      </c>
      <c r="D40" s="356">
        <f t="shared" ref="D40:J40" si="10">SUM(D45:D47)</f>
        <v>0</v>
      </c>
      <c r="E40" s="356">
        <f t="shared" si="10"/>
        <v>15721250</v>
      </c>
      <c r="F40" s="356">
        <f t="shared" si="10"/>
        <v>15883750</v>
      </c>
      <c r="G40" s="356">
        <f t="shared" si="10"/>
        <v>15771250</v>
      </c>
      <c r="H40" s="356">
        <f t="shared" si="10"/>
        <v>15110000.000000002</v>
      </c>
      <c r="I40" s="356">
        <f t="shared" si="10"/>
        <v>14998750</v>
      </c>
      <c r="J40" s="356">
        <f t="shared" si="10"/>
        <v>15078750</v>
      </c>
    </row>
    <row r="41" spans="1:10" x14ac:dyDescent="0.2">
      <c r="A41" s="120"/>
      <c r="B41" s="340" t="s">
        <v>659</v>
      </c>
      <c r="C41" s="366">
        <f>'Compte Résultat ML'!C41</f>
        <v>0</v>
      </c>
      <c r="D41" s="366">
        <f>'Compte Résultat ML'!D41</f>
        <v>499</v>
      </c>
      <c r="E41" s="366">
        <f>'Compte Résultat ML'!E41</f>
        <v>535</v>
      </c>
      <c r="F41" s="366">
        <f>'Compte Résultat ML'!F41</f>
        <v>551</v>
      </c>
      <c r="G41" s="366">
        <f>'Compte Résultat ML'!G41</f>
        <v>553</v>
      </c>
      <c r="H41" s="366">
        <f>'Compte Résultat ML'!H41</f>
        <v>547</v>
      </c>
      <c r="I41" s="366">
        <f>'Compte Résultat ML'!I41</f>
        <v>518</v>
      </c>
      <c r="J41" s="366">
        <f>'Compte Résultat ML'!J41</f>
        <v>523</v>
      </c>
    </row>
    <row r="42" spans="1:10" x14ac:dyDescent="0.2">
      <c r="A42" s="120"/>
      <c r="B42" s="340" t="s">
        <v>660</v>
      </c>
      <c r="C42" s="366">
        <f>'Compte Résultat ML'!C42</f>
        <v>499</v>
      </c>
      <c r="D42" s="366">
        <f>'Compte Résultat ML'!D42</f>
        <v>535</v>
      </c>
      <c r="E42" s="366">
        <f>'Compte Résultat ML'!E42</f>
        <v>551</v>
      </c>
      <c r="F42" s="366">
        <f>'Compte Résultat ML'!F42</f>
        <v>553</v>
      </c>
      <c r="G42" s="366">
        <f>'Compte Résultat ML'!G42</f>
        <v>547</v>
      </c>
      <c r="H42" s="366">
        <f>'Compte Résultat ML'!H42</f>
        <v>518</v>
      </c>
      <c r="I42" s="366">
        <f>'Compte Résultat ML'!I42</f>
        <v>523</v>
      </c>
      <c r="J42" s="366">
        <f>'Compte Résultat ML'!J42</f>
        <v>525</v>
      </c>
    </row>
    <row r="43" spans="1:10" x14ac:dyDescent="0.2">
      <c r="A43" s="120"/>
      <c r="B43" s="340" t="s">
        <v>661</v>
      </c>
      <c r="C43" s="357">
        <f>'Compte Résultat ML'!C43*C$5</f>
        <v>0</v>
      </c>
      <c r="D43" s="357">
        <f>'Compte Résultat ML'!D43*D$5</f>
        <v>0</v>
      </c>
      <c r="E43" s="357">
        <f>'Compte Résultat ML'!E43*E$5</f>
        <v>0</v>
      </c>
      <c r="F43" s="357">
        <f>'Compte Résultat ML'!F43*F$5</f>
        <v>0</v>
      </c>
      <c r="G43" s="357">
        <f>'Compte Résultat ML'!G43*G$5</f>
        <v>0</v>
      </c>
      <c r="H43" s="357">
        <f>'Compte Résultat ML'!H43*H$5</f>
        <v>0</v>
      </c>
      <c r="I43" s="357">
        <f>'Compte Résultat ML'!I43*I$5</f>
        <v>0</v>
      </c>
      <c r="J43" s="357">
        <f>'Compte Résultat ML'!J43*J$5</f>
        <v>0</v>
      </c>
    </row>
    <row r="44" spans="1:10" x14ac:dyDescent="0.2">
      <c r="A44" s="120"/>
      <c r="B44" s="340" t="s">
        <v>662</v>
      </c>
      <c r="C44" s="357">
        <f>'Compte Résultat ML'!C44*C$5</f>
        <v>0</v>
      </c>
      <c r="D44" s="357">
        <f>'Compte Résultat ML'!D44*D$5</f>
        <v>0</v>
      </c>
      <c r="E44" s="357">
        <f>'Compte Résultat ML'!E44*E$5</f>
        <v>0</v>
      </c>
      <c r="F44" s="357">
        <f>'Compte Résultat ML'!F44*F$5</f>
        <v>0</v>
      </c>
      <c r="G44" s="357">
        <f>'Compte Résultat ML'!G44*G$5</f>
        <v>0</v>
      </c>
      <c r="H44" s="357">
        <f>'Compte Résultat ML'!H44*H$5</f>
        <v>0</v>
      </c>
      <c r="I44" s="357">
        <f>'Compte Résultat ML'!I44*I$5</f>
        <v>0</v>
      </c>
      <c r="J44" s="357">
        <f>'Compte Résultat ML'!J44*J$5</f>
        <v>0</v>
      </c>
    </row>
    <row r="45" spans="1:10" x14ac:dyDescent="0.2">
      <c r="A45" s="120"/>
      <c r="B45" s="99" t="s">
        <v>507</v>
      </c>
      <c r="C45" s="357">
        <f>'Compte Résultat ML'!C45*C$5</f>
        <v>0</v>
      </c>
      <c r="D45" s="357">
        <f>'Compte Résultat ML'!D45*D$5</f>
        <v>0</v>
      </c>
      <c r="E45" s="357">
        <f>'Compte Résultat ML'!E45*E$5</f>
        <v>0</v>
      </c>
      <c r="F45" s="357">
        <f>'Compte Résultat ML'!F45*F$5</f>
        <v>0</v>
      </c>
      <c r="G45" s="357">
        <f>'Compte Résultat ML'!G45*G$5</f>
        <v>0</v>
      </c>
      <c r="H45" s="357">
        <f>'Compte Résultat ML'!H45*H$5</f>
        <v>0</v>
      </c>
      <c r="I45" s="357">
        <f>'Compte Résultat ML'!I45*I$5</f>
        <v>0</v>
      </c>
      <c r="J45" s="357">
        <f>'Compte Résultat ML'!J45*J$5</f>
        <v>0</v>
      </c>
    </row>
    <row r="46" spans="1:10" x14ac:dyDescent="0.2">
      <c r="A46" s="120"/>
      <c r="B46" s="99" t="s">
        <v>508</v>
      </c>
      <c r="C46" s="357">
        <f>'Compte Résultat ML'!C46*C$5</f>
        <v>0</v>
      </c>
      <c r="D46" s="357">
        <f>'Compte Résultat ML'!D46*D$5</f>
        <v>0</v>
      </c>
      <c r="E46" s="357">
        <f>'Compte Résultat ML'!E46*E$5</f>
        <v>6767500</v>
      </c>
      <c r="F46" s="357">
        <f>'Compte Résultat ML'!F46*F$5</f>
        <v>6897500</v>
      </c>
      <c r="G46" s="357">
        <f>'Compte Résultat ML'!G46*G$5</f>
        <v>6882499.9999999991</v>
      </c>
      <c r="H46" s="357">
        <f>'Compte Résultat ML'!H46*H$5</f>
        <v>6692500.0000000019</v>
      </c>
      <c r="I46" s="357">
        <f>'Compte Résultat ML'!I46*I$5</f>
        <v>6500000</v>
      </c>
      <c r="J46" s="357">
        <f>'Compte Résultat ML'!J46*J$5</f>
        <v>6547500</v>
      </c>
    </row>
    <row r="47" spans="1:10" x14ac:dyDescent="0.2">
      <c r="A47" s="120"/>
      <c r="B47" s="99" t="s">
        <v>509</v>
      </c>
      <c r="C47" s="357">
        <f>'Compte Résultat ML'!C47*C$5</f>
        <v>0</v>
      </c>
      <c r="D47" s="357">
        <f>'Compte Résultat ML'!D47*D$5</f>
        <v>0</v>
      </c>
      <c r="E47" s="357">
        <f>'Compte Résultat ML'!E47*E$5</f>
        <v>8953750</v>
      </c>
      <c r="F47" s="357">
        <f>'Compte Résultat ML'!F47*F$5</f>
        <v>8986250</v>
      </c>
      <c r="G47" s="357">
        <f>'Compte Résultat ML'!G47*G$5</f>
        <v>8888750</v>
      </c>
      <c r="H47" s="357">
        <f>'Compte Résultat ML'!H47*H$5</f>
        <v>8417500</v>
      </c>
      <c r="I47" s="357">
        <f>'Compte Résultat ML'!I47*I$5</f>
        <v>8498750</v>
      </c>
      <c r="J47" s="357">
        <f>'Compte Résultat ML'!J47*J$5</f>
        <v>8531250</v>
      </c>
    </row>
    <row r="48" spans="1:10" ht="16" x14ac:dyDescent="0.2">
      <c r="A48" s="137" t="s">
        <v>498</v>
      </c>
      <c r="B48" s="128"/>
      <c r="C48" s="358">
        <f>SUM(C53:C55)</f>
        <v>0</v>
      </c>
      <c r="D48" s="358">
        <f t="shared" ref="D48:J48" si="11">SUM(D53:D55)</f>
        <v>0</v>
      </c>
      <c r="E48" s="358">
        <f t="shared" si="11"/>
        <v>10586250</v>
      </c>
      <c r="F48" s="358">
        <f t="shared" si="11"/>
        <v>10608750</v>
      </c>
      <c r="G48" s="358">
        <f t="shared" si="11"/>
        <v>10885000</v>
      </c>
      <c r="H48" s="358">
        <f t="shared" si="11"/>
        <v>11832500</v>
      </c>
      <c r="I48" s="358">
        <f t="shared" si="11"/>
        <v>12196250</v>
      </c>
      <c r="J48" s="358">
        <f t="shared" si="11"/>
        <v>11900000</v>
      </c>
    </row>
    <row r="49" spans="1:10" x14ac:dyDescent="0.2">
      <c r="A49" s="137"/>
      <c r="B49" s="342" t="s">
        <v>659</v>
      </c>
      <c r="C49" s="365">
        <f>'Compte Résultat ML'!C49</f>
        <v>0</v>
      </c>
      <c r="D49" s="365">
        <f>'Compte Résultat ML'!D49</f>
        <v>353</v>
      </c>
      <c r="E49" s="365">
        <f>'Compte Résultat ML'!E49</f>
        <v>366</v>
      </c>
      <c r="F49" s="365">
        <f>'Compte Résultat ML'!F49</f>
        <v>369</v>
      </c>
      <c r="G49" s="365">
        <f>'Compte Résultat ML'!G49</f>
        <v>369</v>
      </c>
      <c r="H49" s="365">
        <f>'Compte Résultat ML'!H49</f>
        <v>382</v>
      </c>
      <c r="I49" s="365">
        <f>'Compte Résultat ML'!I49</f>
        <v>422</v>
      </c>
      <c r="J49" s="365">
        <f>'Compte Résultat ML'!J49</f>
        <v>425</v>
      </c>
    </row>
    <row r="50" spans="1:10" x14ac:dyDescent="0.2">
      <c r="A50" s="137"/>
      <c r="B50" s="342" t="s">
        <v>660</v>
      </c>
      <c r="C50" s="365">
        <f>'Compte Résultat ML'!C50</f>
        <v>353</v>
      </c>
      <c r="D50" s="365">
        <f>'Compte Résultat ML'!D50</f>
        <v>366</v>
      </c>
      <c r="E50" s="365">
        <f>'Compte Résultat ML'!E50</f>
        <v>369</v>
      </c>
      <c r="F50" s="365">
        <f>'Compte Résultat ML'!F50</f>
        <v>369</v>
      </c>
      <c r="G50" s="365">
        <f>'Compte Résultat ML'!G50</f>
        <v>382</v>
      </c>
      <c r="H50" s="365">
        <f>'Compte Résultat ML'!H50</f>
        <v>422</v>
      </c>
      <c r="I50" s="365">
        <f>'Compte Résultat ML'!I50</f>
        <v>425</v>
      </c>
      <c r="J50" s="365">
        <f>'Compte Résultat ML'!J50</f>
        <v>410</v>
      </c>
    </row>
    <row r="51" spans="1:10" x14ac:dyDescent="0.2">
      <c r="A51" s="137"/>
      <c r="B51" s="342" t="s">
        <v>661</v>
      </c>
      <c r="C51" s="359">
        <f>'Compte Résultat ML'!C51*C$5</f>
        <v>0</v>
      </c>
      <c r="D51" s="359">
        <f>'Compte Résultat ML'!D51*D$5</f>
        <v>0</v>
      </c>
      <c r="E51" s="359">
        <f>'Compte Résultat ML'!E51*E$5</f>
        <v>0</v>
      </c>
      <c r="F51" s="359">
        <f>'Compte Résultat ML'!F51*F$5</f>
        <v>0</v>
      </c>
      <c r="G51" s="359">
        <f>'Compte Résultat ML'!G51*G$5</f>
        <v>0</v>
      </c>
      <c r="H51" s="359">
        <f>'Compte Résultat ML'!H51*H$5</f>
        <v>0</v>
      </c>
      <c r="I51" s="359">
        <f>'Compte Résultat ML'!I51*I$5</f>
        <v>0</v>
      </c>
      <c r="J51" s="359">
        <f>'Compte Résultat ML'!J51*J$5</f>
        <v>0</v>
      </c>
    </row>
    <row r="52" spans="1:10" x14ac:dyDescent="0.2">
      <c r="A52" s="137"/>
      <c r="B52" s="342" t="s">
        <v>662</v>
      </c>
      <c r="C52" s="359">
        <f>'Compte Résultat ML'!C52*C$5</f>
        <v>0</v>
      </c>
      <c r="D52" s="359">
        <f>'Compte Résultat ML'!D52*D$5</f>
        <v>0</v>
      </c>
      <c r="E52" s="359">
        <f>'Compte Résultat ML'!E52*E$5</f>
        <v>0</v>
      </c>
      <c r="F52" s="359">
        <f>'Compte Résultat ML'!F52*F$5</f>
        <v>0</v>
      </c>
      <c r="G52" s="359">
        <f>'Compte Résultat ML'!G52*G$5</f>
        <v>0</v>
      </c>
      <c r="H52" s="359">
        <f>'Compte Résultat ML'!H52*H$5</f>
        <v>0</v>
      </c>
      <c r="I52" s="359">
        <f>'Compte Résultat ML'!I52*I$5</f>
        <v>0</v>
      </c>
      <c r="J52" s="359">
        <f>'Compte Résultat ML'!J52*J$5</f>
        <v>0</v>
      </c>
    </row>
    <row r="53" spans="1:10" x14ac:dyDescent="0.2">
      <c r="A53" s="137"/>
      <c r="B53" s="128" t="s">
        <v>507</v>
      </c>
      <c r="C53" s="359">
        <f>'Compte Résultat ML'!C53*C$5</f>
        <v>0</v>
      </c>
      <c r="D53" s="359">
        <f>'Compte Résultat ML'!D53*D$5</f>
        <v>0</v>
      </c>
      <c r="E53" s="359">
        <f>'Compte Résultat ML'!E53*E$5</f>
        <v>0</v>
      </c>
      <c r="F53" s="359">
        <f>'Compte Résultat ML'!F53*F$5</f>
        <v>0</v>
      </c>
      <c r="G53" s="359">
        <f>'Compte Résultat ML'!G53*G$5</f>
        <v>0</v>
      </c>
      <c r="H53" s="359">
        <f>'Compte Résultat ML'!H53*H$5</f>
        <v>0</v>
      </c>
      <c r="I53" s="359">
        <f>'Compte Résultat ML'!I53*I$5</f>
        <v>0</v>
      </c>
      <c r="J53" s="359">
        <f>'Compte Résultat ML'!J53*J$5</f>
        <v>0</v>
      </c>
    </row>
    <row r="54" spans="1:10" x14ac:dyDescent="0.2">
      <c r="A54" s="137"/>
      <c r="B54" s="128" t="s">
        <v>508</v>
      </c>
      <c r="C54" s="359">
        <f>'Compte Résultat ML'!C54*C$5</f>
        <v>0</v>
      </c>
      <c r="D54" s="359">
        <f>'Compte Résultat ML'!D54*D$5</f>
        <v>0</v>
      </c>
      <c r="E54" s="359">
        <f>'Compte Résultat ML'!E54*E$5</f>
        <v>4590000.0000000009</v>
      </c>
      <c r="F54" s="359">
        <f>'Compte Résultat ML'!F54*F$5</f>
        <v>4612500</v>
      </c>
      <c r="G54" s="359">
        <f>'Compte Résultat ML'!G54*G$5</f>
        <v>4677500</v>
      </c>
      <c r="H54" s="359">
        <f>'Compte Résultat ML'!H54*H$5</f>
        <v>4975000</v>
      </c>
      <c r="I54" s="359">
        <f>'Compte Résultat ML'!I54*I$5</f>
        <v>5290000.0000000009</v>
      </c>
      <c r="J54" s="359">
        <f>'Compte Résultat ML'!J54*J$5</f>
        <v>5237500</v>
      </c>
    </row>
    <row r="55" spans="1:10" x14ac:dyDescent="0.2">
      <c r="A55" s="137"/>
      <c r="B55" s="128" t="s">
        <v>509</v>
      </c>
      <c r="C55" s="359">
        <f>'Compte Résultat ML'!C55*C$5</f>
        <v>0</v>
      </c>
      <c r="D55" s="359">
        <f>'Compte Résultat ML'!D55*D$5</f>
        <v>0</v>
      </c>
      <c r="E55" s="359">
        <f>'Compte Résultat ML'!E55*E$5</f>
        <v>5996250</v>
      </c>
      <c r="F55" s="359">
        <f>'Compte Résultat ML'!F55*F$5</f>
        <v>5996250</v>
      </c>
      <c r="G55" s="359">
        <f>'Compte Résultat ML'!G55*G$5</f>
        <v>6207500</v>
      </c>
      <c r="H55" s="359">
        <f>'Compte Résultat ML'!H55*H$5</f>
        <v>6857500</v>
      </c>
      <c r="I55" s="359">
        <f>'Compte Résultat ML'!I55*I$5</f>
        <v>6906250</v>
      </c>
      <c r="J55" s="359">
        <f>'Compte Résultat ML'!J55*J$5</f>
        <v>6662500</v>
      </c>
    </row>
    <row r="56" spans="1:10" ht="16" x14ac:dyDescent="0.2">
      <c r="A56" s="45"/>
      <c r="C56" s="61"/>
      <c r="D56" s="61"/>
      <c r="E56" s="61"/>
      <c r="F56" s="61"/>
      <c r="G56" s="61"/>
      <c r="H56" s="61"/>
      <c r="I56" s="61"/>
      <c r="J56" s="61"/>
    </row>
    <row r="57" spans="1:10" x14ac:dyDescent="0.2">
      <c r="C57" s="316"/>
      <c r="D57" s="316"/>
      <c r="E57" s="316"/>
      <c r="F57" s="316"/>
      <c r="G57" s="316"/>
      <c r="H57" s="316"/>
      <c r="I57" s="316"/>
      <c r="J57" s="316"/>
    </row>
    <row r="58" spans="1:10" ht="21" x14ac:dyDescent="0.25">
      <c r="A58" s="159" t="s">
        <v>515</v>
      </c>
      <c r="C58" s="175">
        <f>C13</f>
        <v>2024</v>
      </c>
      <c r="D58" s="175">
        <f>C58+1</f>
        <v>2025</v>
      </c>
      <c r="E58" s="175">
        <f t="shared" ref="E58:J58" si="12">D58+1</f>
        <v>2026</v>
      </c>
      <c r="F58" s="175">
        <f t="shared" si="12"/>
        <v>2027</v>
      </c>
      <c r="G58" s="175">
        <f t="shared" si="12"/>
        <v>2028</v>
      </c>
      <c r="H58" s="175">
        <f t="shared" si="12"/>
        <v>2029</v>
      </c>
      <c r="I58" s="175">
        <f t="shared" si="12"/>
        <v>2030</v>
      </c>
      <c r="J58" s="175">
        <f t="shared" si="12"/>
        <v>2031</v>
      </c>
    </row>
    <row r="59" spans="1:10" ht="19" x14ac:dyDescent="0.25">
      <c r="A59" s="159"/>
      <c r="B59" t="s">
        <v>666</v>
      </c>
      <c r="C59" s="348">
        <f>HLOOKUP(C$58,'Hypothèses '!$C$34:$K$36,3,FALSE)</f>
        <v>0</v>
      </c>
      <c r="D59" s="348">
        <f>HLOOKUP(D$58,'Hypothèses '!$C$34:$K$36,3,FALSE)</f>
        <v>0</v>
      </c>
      <c r="E59" s="348">
        <f>HLOOKUP(E$58,'Hypothèses '!$C$34:$K$36,3,FALSE)</f>
        <v>0</v>
      </c>
      <c r="F59" s="348">
        <f>HLOOKUP(F$58,'Hypothèses '!$C$34:$K$36,3,FALSE)</f>
        <v>0</v>
      </c>
      <c r="G59" s="348">
        <f>HLOOKUP(G$58,'Hypothèses '!$C$34:$K$36,3,FALSE)</f>
        <v>0</v>
      </c>
      <c r="H59" s="348">
        <f>HLOOKUP(H$58,'Hypothèses '!$C$34:$K$36,3,FALSE)</f>
        <v>0</v>
      </c>
      <c r="I59" s="348">
        <f>HLOOKUP(I$58,'Hypothèses '!$C$34:$K$36,3,FALSE)</f>
        <v>0</v>
      </c>
      <c r="J59" s="348">
        <f>HLOOKUP(J$58,'Hypothèses '!$C$34:$K$36,3,FALSE)</f>
        <v>0</v>
      </c>
    </row>
    <row r="60" spans="1:10" ht="16" x14ac:dyDescent="0.2">
      <c r="A60" s="156" t="s">
        <v>536</v>
      </c>
      <c r="B60" s="51" t="s">
        <v>547</v>
      </c>
      <c r="C60" s="157" t="e">
        <f>C61+C65+C70+C80</f>
        <v>#N/A</v>
      </c>
      <c r="D60" s="157" t="e">
        <f t="shared" ref="D60:J60" si="13">D61+D65+D70+D80</f>
        <v>#N/A</v>
      </c>
      <c r="E60" s="157" t="e">
        <f t="shared" si="13"/>
        <v>#N/A</v>
      </c>
      <c r="F60" s="157" t="e">
        <f t="shared" si="13"/>
        <v>#N/A</v>
      </c>
      <c r="G60" s="157" t="e">
        <f t="shared" si="13"/>
        <v>#N/A</v>
      </c>
      <c r="H60" s="157" t="e">
        <f t="shared" si="13"/>
        <v>#N/A</v>
      </c>
      <c r="I60" s="157" t="e">
        <f t="shared" si="13"/>
        <v>#N/A</v>
      </c>
      <c r="J60" s="157" t="e">
        <f t="shared" si="13"/>
        <v>#N/A</v>
      </c>
    </row>
    <row r="61" spans="1:10" x14ac:dyDescent="0.2">
      <c r="A61" s="47"/>
      <c r="B61" s="156" t="s">
        <v>542</v>
      </c>
      <c r="C61" s="174" t="e">
        <f t="shared" ref="C61:J76" si="14">C85+C111+C137+C163</f>
        <v>#N/A</v>
      </c>
      <c r="D61" s="174" t="e">
        <f t="shared" si="14"/>
        <v>#N/A</v>
      </c>
      <c r="E61" s="174" t="e">
        <f t="shared" si="14"/>
        <v>#N/A</v>
      </c>
      <c r="F61" s="174" t="e">
        <f t="shared" si="14"/>
        <v>#N/A</v>
      </c>
      <c r="G61" s="174" t="e">
        <f t="shared" si="14"/>
        <v>#N/A</v>
      </c>
      <c r="H61" s="174" t="e">
        <f t="shared" si="14"/>
        <v>#N/A</v>
      </c>
      <c r="I61" s="174" t="e">
        <f t="shared" si="14"/>
        <v>#N/A</v>
      </c>
      <c r="J61" s="174" t="e">
        <f t="shared" si="14"/>
        <v>#N/A</v>
      </c>
    </row>
    <row r="62" spans="1:10" ht="19" x14ac:dyDescent="0.25">
      <c r="A62" s="161"/>
      <c r="B62" s="47" t="s">
        <v>540</v>
      </c>
      <c r="C62" s="158">
        <f t="shared" si="14"/>
        <v>0</v>
      </c>
      <c r="D62" s="158">
        <f t="shared" si="14"/>
        <v>0</v>
      </c>
      <c r="E62" s="158">
        <f t="shared" si="14"/>
        <v>0</v>
      </c>
      <c r="F62" s="158">
        <f t="shared" si="14"/>
        <v>0</v>
      </c>
      <c r="G62" s="158">
        <f t="shared" si="14"/>
        <v>0</v>
      </c>
      <c r="H62" s="158">
        <f t="shared" si="14"/>
        <v>0</v>
      </c>
      <c r="I62" s="158">
        <f t="shared" si="14"/>
        <v>0</v>
      </c>
      <c r="J62" s="158">
        <f t="shared" si="14"/>
        <v>0</v>
      </c>
    </row>
    <row r="63" spans="1:10" ht="19" x14ac:dyDescent="0.25">
      <c r="A63" s="161"/>
      <c r="B63" s="47" t="s">
        <v>541</v>
      </c>
      <c r="C63" s="158">
        <f t="shared" si="14"/>
        <v>0</v>
      </c>
      <c r="D63" s="158">
        <f t="shared" si="14"/>
        <v>0</v>
      </c>
      <c r="E63" s="158">
        <f t="shared" si="14"/>
        <v>0</v>
      </c>
      <c r="F63" s="158">
        <f t="shared" si="14"/>
        <v>0</v>
      </c>
      <c r="G63" s="158">
        <f t="shared" si="14"/>
        <v>0</v>
      </c>
      <c r="H63" s="158">
        <f t="shared" si="14"/>
        <v>0</v>
      </c>
      <c r="I63" s="158">
        <f t="shared" si="14"/>
        <v>0</v>
      </c>
      <c r="J63" s="158">
        <f t="shared" si="14"/>
        <v>0</v>
      </c>
    </row>
    <row r="64" spans="1:10" ht="19" x14ac:dyDescent="0.25">
      <c r="A64" s="161"/>
      <c r="B64" s="47" t="s">
        <v>539</v>
      </c>
      <c r="C64" s="158" t="e">
        <f t="shared" si="14"/>
        <v>#N/A</v>
      </c>
      <c r="D64" s="158" t="e">
        <f t="shared" si="14"/>
        <v>#N/A</v>
      </c>
      <c r="E64" s="158" t="e">
        <f t="shared" si="14"/>
        <v>#N/A</v>
      </c>
      <c r="F64" s="158" t="e">
        <f t="shared" si="14"/>
        <v>#N/A</v>
      </c>
      <c r="G64" s="158" t="e">
        <f t="shared" si="14"/>
        <v>#N/A</v>
      </c>
      <c r="H64" s="158" t="e">
        <f t="shared" si="14"/>
        <v>#N/A</v>
      </c>
      <c r="I64" s="158" t="e">
        <f t="shared" si="14"/>
        <v>#N/A</v>
      </c>
      <c r="J64" s="158" t="e">
        <f t="shared" si="14"/>
        <v>#N/A</v>
      </c>
    </row>
    <row r="65" spans="1:12" ht="19" x14ac:dyDescent="0.25">
      <c r="A65" s="161"/>
      <c r="B65" s="156" t="s">
        <v>513</v>
      </c>
      <c r="C65" s="174">
        <f t="shared" si="14"/>
        <v>0</v>
      </c>
      <c r="D65" s="174">
        <f t="shared" si="14"/>
        <v>0</v>
      </c>
      <c r="E65" s="174">
        <f t="shared" si="14"/>
        <v>0</v>
      </c>
      <c r="F65" s="174">
        <f t="shared" si="14"/>
        <v>0</v>
      </c>
      <c r="G65" s="174">
        <f t="shared" si="14"/>
        <v>0</v>
      </c>
      <c r="H65" s="174">
        <f t="shared" si="14"/>
        <v>0</v>
      </c>
      <c r="I65" s="174">
        <f t="shared" si="14"/>
        <v>0</v>
      </c>
      <c r="J65" s="174">
        <f t="shared" si="14"/>
        <v>0</v>
      </c>
      <c r="L65" s="311"/>
    </row>
    <row r="66" spans="1:12" ht="19" x14ac:dyDescent="0.25">
      <c r="A66" s="161"/>
      <c r="B66" s="47" t="s">
        <v>529</v>
      </c>
      <c r="C66" s="158">
        <f t="shared" si="14"/>
        <v>0</v>
      </c>
      <c r="D66" s="158">
        <f t="shared" si="14"/>
        <v>0</v>
      </c>
      <c r="E66" s="158">
        <f t="shared" si="14"/>
        <v>0</v>
      </c>
      <c r="F66" s="158">
        <f t="shared" si="14"/>
        <v>0</v>
      </c>
      <c r="G66" s="158">
        <f t="shared" si="14"/>
        <v>0</v>
      </c>
      <c r="H66" s="158">
        <f t="shared" si="14"/>
        <v>0</v>
      </c>
      <c r="I66" s="158">
        <f t="shared" si="14"/>
        <v>0</v>
      </c>
      <c r="J66" s="158">
        <f t="shared" si="14"/>
        <v>0</v>
      </c>
    </row>
    <row r="67" spans="1:12" ht="19" x14ac:dyDescent="0.25">
      <c r="A67" s="161"/>
      <c r="B67" s="47" t="s">
        <v>530</v>
      </c>
      <c r="C67" s="158">
        <f t="shared" si="14"/>
        <v>0</v>
      </c>
      <c r="D67" s="158">
        <f t="shared" si="14"/>
        <v>0</v>
      </c>
      <c r="E67" s="158">
        <f t="shared" si="14"/>
        <v>0</v>
      </c>
      <c r="F67" s="158">
        <f t="shared" si="14"/>
        <v>0</v>
      </c>
      <c r="G67" s="158">
        <f t="shared" si="14"/>
        <v>0</v>
      </c>
      <c r="H67" s="158">
        <f t="shared" si="14"/>
        <v>0</v>
      </c>
      <c r="I67" s="158">
        <f t="shared" si="14"/>
        <v>0</v>
      </c>
      <c r="J67" s="158">
        <f t="shared" si="14"/>
        <v>0</v>
      </c>
    </row>
    <row r="68" spans="1:12" ht="19" x14ac:dyDescent="0.25">
      <c r="A68" s="161"/>
      <c r="B68" s="47" t="s">
        <v>531</v>
      </c>
      <c r="C68" s="158">
        <f t="shared" si="14"/>
        <v>0</v>
      </c>
      <c r="D68" s="158">
        <f t="shared" si="14"/>
        <v>0</v>
      </c>
      <c r="E68" s="158">
        <f t="shared" si="14"/>
        <v>0</v>
      </c>
      <c r="F68" s="158">
        <f t="shared" si="14"/>
        <v>0</v>
      </c>
      <c r="G68" s="158">
        <f t="shared" si="14"/>
        <v>0</v>
      </c>
      <c r="H68" s="158">
        <f t="shared" si="14"/>
        <v>0</v>
      </c>
      <c r="I68" s="158">
        <f t="shared" si="14"/>
        <v>0</v>
      </c>
      <c r="J68" s="158">
        <f t="shared" si="14"/>
        <v>0</v>
      </c>
    </row>
    <row r="69" spans="1:12" ht="19" x14ac:dyDescent="0.25">
      <c r="A69" s="161"/>
      <c r="B69" s="47" t="s">
        <v>532</v>
      </c>
      <c r="C69" s="158">
        <f t="shared" si="14"/>
        <v>0</v>
      </c>
      <c r="D69" s="158">
        <f t="shared" si="14"/>
        <v>0</v>
      </c>
      <c r="E69" s="158">
        <f t="shared" si="14"/>
        <v>0</v>
      </c>
      <c r="F69" s="158">
        <f t="shared" si="14"/>
        <v>0</v>
      </c>
      <c r="G69" s="158">
        <f t="shared" si="14"/>
        <v>0</v>
      </c>
      <c r="H69" s="158">
        <f t="shared" si="14"/>
        <v>0</v>
      </c>
      <c r="I69" s="158">
        <f t="shared" si="14"/>
        <v>0</v>
      </c>
      <c r="J69" s="158">
        <f t="shared" si="14"/>
        <v>0</v>
      </c>
    </row>
    <row r="70" spans="1:12" ht="19" x14ac:dyDescent="0.25">
      <c r="A70" s="161"/>
      <c r="B70" s="156" t="s">
        <v>516</v>
      </c>
      <c r="C70" s="174">
        <f t="shared" si="14"/>
        <v>0</v>
      </c>
      <c r="D70" s="174">
        <f t="shared" si="14"/>
        <v>0</v>
      </c>
      <c r="E70" s="174">
        <f t="shared" si="14"/>
        <v>0</v>
      </c>
      <c r="F70" s="174">
        <f t="shared" si="14"/>
        <v>0</v>
      </c>
      <c r="G70" s="174">
        <f t="shared" si="14"/>
        <v>0</v>
      </c>
      <c r="H70" s="174">
        <f t="shared" si="14"/>
        <v>0</v>
      </c>
      <c r="I70" s="174">
        <f t="shared" si="14"/>
        <v>0</v>
      </c>
      <c r="J70" s="174">
        <f t="shared" si="14"/>
        <v>0</v>
      </c>
    </row>
    <row r="71" spans="1:12" ht="19" x14ac:dyDescent="0.25">
      <c r="A71" s="161"/>
      <c r="B71" s="47" t="s">
        <v>510</v>
      </c>
      <c r="C71" s="158">
        <f t="shared" si="14"/>
        <v>0</v>
      </c>
      <c r="D71" s="158">
        <f t="shared" si="14"/>
        <v>0</v>
      </c>
      <c r="E71" s="158">
        <f t="shared" si="14"/>
        <v>0</v>
      </c>
      <c r="F71" s="158">
        <f t="shared" si="14"/>
        <v>0</v>
      </c>
      <c r="G71" s="158">
        <f t="shared" si="14"/>
        <v>0</v>
      </c>
      <c r="H71" s="158">
        <f t="shared" si="14"/>
        <v>0</v>
      </c>
      <c r="I71" s="158">
        <f t="shared" si="14"/>
        <v>0</v>
      </c>
      <c r="J71" s="158">
        <f t="shared" si="14"/>
        <v>0</v>
      </c>
    </row>
    <row r="72" spans="1:12" ht="19" x14ac:dyDescent="0.25">
      <c r="A72" s="161"/>
      <c r="B72" s="47" t="s">
        <v>528</v>
      </c>
      <c r="C72" s="158">
        <f t="shared" si="14"/>
        <v>0</v>
      </c>
      <c r="D72" s="158">
        <f t="shared" si="14"/>
        <v>0</v>
      </c>
      <c r="E72" s="158">
        <f t="shared" si="14"/>
        <v>0</v>
      </c>
      <c r="F72" s="158">
        <f t="shared" si="14"/>
        <v>0</v>
      </c>
      <c r="G72" s="158">
        <f t="shared" si="14"/>
        <v>0</v>
      </c>
      <c r="H72" s="158">
        <f t="shared" si="14"/>
        <v>0</v>
      </c>
      <c r="I72" s="158">
        <f t="shared" si="14"/>
        <v>0</v>
      </c>
      <c r="J72" s="158">
        <f t="shared" si="14"/>
        <v>0</v>
      </c>
    </row>
    <row r="73" spans="1:12" ht="19" x14ac:dyDescent="0.25">
      <c r="A73" s="161"/>
      <c r="B73" s="47" t="s">
        <v>517</v>
      </c>
      <c r="C73" s="158">
        <f t="shared" si="14"/>
        <v>0</v>
      </c>
      <c r="D73" s="158">
        <f t="shared" si="14"/>
        <v>0</v>
      </c>
      <c r="E73" s="158">
        <f t="shared" si="14"/>
        <v>0</v>
      </c>
      <c r="F73" s="158">
        <f t="shared" si="14"/>
        <v>0</v>
      </c>
      <c r="G73" s="158">
        <f t="shared" si="14"/>
        <v>0</v>
      </c>
      <c r="H73" s="158">
        <f t="shared" si="14"/>
        <v>0</v>
      </c>
      <c r="I73" s="158">
        <f t="shared" si="14"/>
        <v>0</v>
      </c>
      <c r="J73" s="158">
        <f t="shared" si="14"/>
        <v>0</v>
      </c>
    </row>
    <row r="74" spans="1:12" ht="19" x14ac:dyDescent="0.25">
      <c r="A74" s="161"/>
      <c r="B74" s="47" t="s">
        <v>518</v>
      </c>
      <c r="C74" s="158">
        <f t="shared" si="14"/>
        <v>0</v>
      </c>
      <c r="D74" s="158">
        <f t="shared" si="14"/>
        <v>0</v>
      </c>
      <c r="E74" s="158">
        <f t="shared" si="14"/>
        <v>0</v>
      </c>
      <c r="F74" s="158">
        <f t="shared" si="14"/>
        <v>0</v>
      </c>
      <c r="G74" s="158">
        <f t="shared" si="14"/>
        <v>0</v>
      </c>
      <c r="H74" s="158">
        <f t="shared" si="14"/>
        <v>0</v>
      </c>
      <c r="I74" s="158">
        <f t="shared" si="14"/>
        <v>0</v>
      </c>
      <c r="J74" s="158">
        <f t="shared" si="14"/>
        <v>0</v>
      </c>
    </row>
    <row r="75" spans="1:12" ht="19" x14ac:dyDescent="0.25">
      <c r="A75" s="161"/>
      <c r="B75" s="47" t="s">
        <v>511</v>
      </c>
      <c r="C75" s="158">
        <f t="shared" si="14"/>
        <v>0</v>
      </c>
      <c r="D75" s="158">
        <f t="shared" si="14"/>
        <v>0</v>
      </c>
      <c r="E75" s="158">
        <f t="shared" si="14"/>
        <v>0</v>
      </c>
      <c r="F75" s="158">
        <f t="shared" si="14"/>
        <v>0</v>
      </c>
      <c r="G75" s="158">
        <f t="shared" si="14"/>
        <v>0</v>
      </c>
      <c r="H75" s="158">
        <f t="shared" si="14"/>
        <v>0</v>
      </c>
      <c r="I75" s="158">
        <f t="shared" si="14"/>
        <v>0</v>
      </c>
      <c r="J75" s="158">
        <f t="shared" si="14"/>
        <v>0</v>
      </c>
    </row>
    <row r="76" spans="1:12" ht="19" x14ac:dyDescent="0.25">
      <c r="A76" s="161"/>
      <c r="B76" s="47" t="s">
        <v>512</v>
      </c>
      <c r="C76" s="158">
        <f t="shared" si="14"/>
        <v>0</v>
      </c>
      <c r="D76" s="158">
        <f t="shared" si="14"/>
        <v>0</v>
      </c>
      <c r="E76" s="158">
        <f t="shared" si="14"/>
        <v>0</v>
      </c>
      <c r="F76" s="158">
        <f t="shared" si="14"/>
        <v>0</v>
      </c>
      <c r="G76" s="158">
        <f t="shared" si="14"/>
        <v>0</v>
      </c>
      <c r="H76" s="158">
        <f t="shared" si="14"/>
        <v>0</v>
      </c>
      <c r="I76" s="158">
        <f t="shared" si="14"/>
        <v>0</v>
      </c>
      <c r="J76" s="158">
        <f t="shared" si="14"/>
        <v>0</v>
      </c>
    </row>
    <row r="77" spans="1:12" ht="19" x14ac:dyDescent="0.25">
      <c r="A77" s="161"/>
      <c r="B77" s="47" t="s">
        <v>520</v>
      </c>
      <c r="C77" s="158">
        <f t="shared" ref="C77:J83" si="15">C101+C127+C153+C179</f>
        <v>0</v>
      </c>
      <c r="D77" s="158">
        <f t="shared" si="15"/>
        <v>0</v>
      </c>
      <c r="E77" s="158">
        <f t="shared" si="15"/>
        <v>0</v>
      </c>
      <c r="F77" s="158">
        <f t="shared" si="15"/>
        <v>0</v>
      </c>
      <c r="G77" s="158">
        <f t="shared" si="15"/>
        <v>0</v>
      </c>
      <c r="H77" s="158">
        <f t="shared" si="15"/>
        <v>0</v>
      </c>
      <c r="I77" s="158">
        <f t="shared" si="15"/>
        <v>0</v>
      </c>
      <c r="J77" s="158">
        <f t="shared" si="15"/>
        <v>0</v>
      </c>
    </row>
    <row r="78" spans="1:12" ht="19" x14ac:dyDescent="0.25">
      <c r="A78" s="161"/>
      <c r="B78" s="47" t="s">
        <v>526</v>
      </c>
      <c r="C78" s="158">
        <f t="shared" si="15"/>
        <v>0</v>
      </c>
      <c r="D78" s="158">
        <f t="shared" si="15"/>
        <v>0</v>
      </c>
      <c r="E78" s="158">
        <f t="shared" si="15"/>
        <v>0</v>
      </c>
      <c r="F78" s="158">
        <f t="shared" si="15"/>
        <v>0</v>
      </c>
      <c r="G78" s="158">
        <f t="shared" si="15"/>
        <v>0</v>
      </c>
      <c r="H78" s="158">
        <f t="shared" si="15"/>
        <v>0</v>
      </c>
      <c r="I78" s="158">
        <f t="shared" si="15"/>
        <v>0</v>
      </c>
      <c r="J78" s="158">
        <f t="shared" si="15"/>
        <v>0</v>
      </c>
    </row>
    <row r="79" spans="1:12" ht="19" x14ac:dyDescent="0.25">
      <c r="A79" s="161"/>
      <c r="B79" s="47" t="s">
        <v>527</v>
      </c>
      <c r="C79" s="158">
        <f t="shared" si="15"/>
        <v>0</v>
      </c>
      <c r="D79" s="158">
        <f t="shared" si="15"/>
        <v>0</v>
      </c>
      <c r="E79" s="158">
        <f t="shared" si="15"/>
        <v>0</v>
      </c>
      <c r="F79" s="158">
        <f t="shared" si="15"/>
        <v>0</v>
      </c>
      <c r="G79" s="158">
        <f t="shared" si="15"/>
        <v>0</v>
      </c>
      <c r="H79" s="158">
        <f t="shared" si="15"/>
        <v>0</v>
      </c>
      <c r="I79" s="158">
        <f t="shared" si="15"/>
        <v>0</v>
      </c>
      <c r="J79" s="158">
        <f t="shared" si="15"/>
        <v>0</v>
      </c>
    </row>
    <row r="80" spans="1:12" ht="19" x14ac:dyDescent="0.25">
      <c r="A80" s="161"/>
      <c r="B80" s="156" t="s">
        <v>524</v>
      </c>
      <c r="C80" s="174">
        <f t="shared" si="15"/>
        <v>0</v>
      </c>
      <c r="D80" s="174">
        <f t="shared" si="15"/>
        <v>0</v>
      </c>
      <c r="E80" s="174">
        <f t="shared" si="15"/>
        <v>0</v>
      </c>
      <c r="F80" s="174" t="e">
        <f t="shared" si="15"/>
        <v>#N/A</v>
      </c>
      <c r="G80" s="174" t="e">
        <f t="shared" si="15"/>
        <v>#N/A</v>
      </c>
      <c r="H80" s="174" t="e">
        <f t="shared" si="15"/>
        <v>#N/A</v>
      </c>
      <c r="I80" s="174" t="e">
        <f t="shared" si="15"/>
        <v>#N/A</v>
      </c>
      <c r="J80" s="174" t="e">
        <f t="shared" si="15"/>
        <v>#N/A</v>
      </c>
    </row>
    <row r="81" spans="1:13" ht="19" x14ac:dyDescent="0.25">
      <c r="A81" s="161"/>
      <c r="B81" s="47" t="s">
        <v>521</v>
      </c>
      <c r="C81" s="158">
        <f t="shared" si="15"/>
        <v>0</v>
      </c>
      <c r="D81" s="158">
        <f t="shared" si="15"/>
        <v>0</v>
      </c>
      <c r="E81" s="158">
        <f t="shared" si="15"/>
        <v>0</v>
      </c>
      <c r="F81" s="158">
        <f t="shared" si="15"/>
        <v>174135</v>
      </c>
      <c r="G81" s="158">
        <f t="shared" si="15"/>
        <v>705705</v>
      </c>
      <c r="H81" s="158">
        <f t="shared" si="15"/>
        <v>702039</v>
      </c>
      <c r="I81" s="158">
        <f t="shared" si="15"/>
        <v>1078720.5</v>
      </c>
      <c r="J81" s="158">
        <f t="shared" si="15"/>
        <v>1055808</v>
      </c>
    </row>
    <row r="82" spans="1:13" ht="19" x14ac:dyDescent="0.25">
      <c r="A82" s="161"/>
      <c r="B82" s="47" t="s">
        <v>522</v>
      </c>
      <c r="C82" s="158">
        <f t="shared" si="15"/>
        <v>0</v>
      </c>
      <c r="D82" s="158">
        <f t="shared" si="15"/>
        <v>0</v>
      </c>
      <c r="E82" s="158">
        <f t="shared" si="15"/>
        <v>0</v>
      </c>
      <c r="F82" s="158">
        <f t="shared" si="15"/>
        <v>61750</v>
      </c>
      <c r="G82" s="158">
        <f t="shared" si="15"/>
        <v>250250</v>
      </c>
      <c r="H82" s="158">
        <f t="shared" si="15"/>
        <v>248950</v>
      </c>
      <c r="I82" s="158">
        <f t="shared" si="15"/>
        <v>382525</v>
      </c>
      <c r="J82" s="158">
        <f t="shared" si="15"/>
        <v>374400</v>
      </c>
    </row>
    <row r="83" spans="1:13" ht="19" x14ac:dyDescent="0.25">
      <c r="A83" s="161"/>
      <c r="B83" s="47" t="s">
        <v>523</v>
      </c>
      <c r="C83" s="158">
        <f t="shared" si="15"/>
        <v>0</v>
      </c>
      <c r="D83" s="158">
        <f t="shared" si="15"/>
        <v>0</v>
      </c>
      <c r="E83" s="158">
        <f t="shared" si="15"/>
        <v>0</v>
      </c>
      <c r="F83" s="158" t="e">
        <f t="shared" si="15"/>
        <v>#N/A</v>
      </c>
      <c r="G83" s="158" t="e">
        <f t="shared" si="15"/>
        <v>#N/A</v>
      </c>
      <c r="H83" s="158" t="e">
        <f t="shared" si="15"/>
        <v>#N/A</v>
      </c>
      <c r="I83" s="158" t="e">
        <f t="shared" si="15"/>
        <v>#N/A</v>
      </c>
      <c r="J83" s="158" t="e">
        <f t="shared" si="15"/>
        <v>#N/A</v>
      </c>
    </row>
    <row r="84" spans="1:13" ht="16" x14ac:dyDescent="0.2">
      <c r="A84" s="142" t="s">
        <v>533</v>
      </c>
      <c r="B84" s="142" t="s">
        <v>543</v>
      </c>
      <c r="C84" s="150" t="e">
        <f>C85+C89+C94+C104</f>
        <v>#N/A</v>
      </c>
      <c r="D84" s="150" t="e">
        <f t="shared" ref="D84:J84" si="16">D85+D89+D94+D104</f>
        <v>#N/A</v>
      </c>
      <c r="E84" s="150" t="e">
        <f t="shared" si="16"/>
        <v>#N/A</v>
      </c>
      <c r="F84" s="150" t="e">
        <f t="shared" si="16"/>
        <v>#N/A</v>
      </c>
      <c r="G84" s="150" t="e">
        <f t="shared" si="16"/>
        <v>#N/A</v>
      </c>
      <c r="H84" s="150" t="e">
        <f t="shared" si="16"/>
        <v>#N/A</v>
      </c>
      <c r="I84" s="150" t="e">
        <f t="shared" si="16"/>
        <v>#N/A</v>
      </c>
      <c r="J84" s="150" t="e">
        <f t="shared" si="16"/>
        <v>#N/A</v>
      </c>
    </row>
    <row r="85" spans="1:13" x14ac:dyDescent="0.2">
      <c r="A85" s="65"/>
      <c r="B85" s="86" t="s">
        <v>542</v>
      </c>
      <c r="C85" s="166" t="e">
        <f>SUM(C86:C88)</f>
        <v>#N/A</v>
      </c>
      <c r="D85" s="166" t="e">
        <f t="shared" ref="D85:J85" si="17">SUM(D86:D88)</f>
        <v>#N/A</v>
      </c>
      <c r="E85" s="166" t="e">
        <f t="shared" si="17"/>
        <v>#N/A</v>
      </c>
      <c r="F85" s="166" t="e">
        <f t="shared" si="17"/>
        <v>#N/A</v>
      </c>
      <c r="G85" s="166" t="e">
        <f t="shared" si="17"/>
        <v>#N/A</v>
      </c>
      <c r="H85" s="166" t="e">
        <f t="shared" si="17"/>
        <v>#N/A</v>
      </c>
      <c r="I85" s="166" t="e">
        <f t="shared" si="17"/>
        <v>#N/A</v>
      </c>
      <c r="J85" s="166" t="e">
        <f t="shared" si="17"/>
        <v>#N/A</v>
      </c>
    </row>
    <row r="86" spans="1:13" ht="19" x14ac:dyDescent="0.25">
      <c r="A86" s="167"/>
      <c r="B86" s="65" t="s">
        <v>540</v>
      </c>
      <c r="C86" s="83">
        <f>'Compte Résultat ML'!C86*C$5</f>
        <v>0</v>
      </c>
      <c r="D86" s="83">
        <f>'Compte Résultat ML'!D86*D$5</f>
        <v>0</v>
      </c>
      <c r="E86" s="83">
        <f>'Compte Résultat ML'!E86*E$5</f>
        <v>0</v>
      </c>
      <c r="F86" s="83">
        <f>'Compte Résultat ML'!F86*F$5</f>
        <v>0</v>
      </c>
      <c r="G86" s="83">
        <f>'Compte Résultat ML'!G86*G$5</f>
        <v>0</v>
      </c>
      <c r="H86" s="83">
        <f>'Compte Résultat ML'!H86*H$5</f>
        <v>0</v>
      </c>
      <c r="I86" s="83">
        <f>'Compte Résultat ML'!I86*I$5</f>
        <v>0</v>
      </c>
      <c r="J86" s="83">
        <f>'Compte Résultat ML'!J86*J$5</f>
        <v>0</v>
      </c>
    </row>
    <row r="87" spans="1:13" ht="19" x14ac:dyDescent="0.25">
      <c r="A87" s="167"/>
      <c r="B87" s="65" t="s">
        <v>541</v>
      </c>
      <c r="C87" s="83">
        <f>'Compte Résultat ML'!C87*C$5</f>
        <v>0</v>
      </c>
      <c r="D87" s="83">
        <f>'Compte Résultat ML'!D87*D$5</f>
        <v>0</v>
      </c>
      <c r="E87" s="83">
        <f>'Compte Résultat ML'!E87*E$5</f>
        <v>0</v>
      </c>
      <c r="F87" s="83">
        <f>'Compte Résultat ML'!F87*F$5</f>
        <v>0</v>
      </c>
      <c r="G87" s="83">
        <f>'Compte Résultat ML'!G87*G$5</f>
        <v>0</v>
      </c>
      <c r="H87" s="83">
        <f>'Compte Résultat ML'!H87*H$5</f>
        <v>0</v>
      </c>
      <c r="I87" s="83">
        <f>'Compte Résultat ML'!I87*I$5</f>
        <v>0</v>
      </c>
      <c r="J87" s="83">
        <f>'Compte Résultat ML'!J87*J$5</f>
        <v>0</v>
      </c>
    </row>
    <row r="88" spans="1:13" ht="19" x14ac:dyDescent="0.25">
      <c r="A88" s="167"/>
      <c r="B88" s="65" t="s">
        <v>539</v>
      </c>
      <c r="C88" s="83" t="e">
        <f>'Compte Résultat ML'!C88*C$5</f>
        <v>#N/A</v>
      </c>
      <c r="D88" s="83" t="e">
        <f>'Compte Résultat ML'!D88*D$5</f>
        <v>#N/A</v>
      </c>
      <c r="E88" s="83" t="e">
        <f>'Compte Résultat ML'!E88*E$5</f>
        <v>#N/A</v>
      </c>
      <c r="F88" s="83" t="e">
        <f>'Compte Résultat ML'!F88*F$5</f>
        <v>#N/A</v>
      </c>
      <c r="G88" s="83" t="e">
        <f>'Compte Résultat ML'!G88*G$5</f>
        <v>#N/A</v>
      </c>
      <c r="H88" s="83" t="e">
        <f>'Compte Résultat ML'!H88*H$5</f>
        <v>#N/A</v>
      </c>
      <c r="I88" s="83" t="e">
        <f>'Compte Résultat ML'!I88*I$5</f>
        <v>#N/A</v>
      </c>
      <c r="J88" s="83" t="e">
        <f>'Compte Résultat ML'!J88*J$5</f>
        <v>#N/A</v>
      </c>
    </row>
    <row r="89" spans="1:13" x14ac:dyDescent="0.2">
      <c r="A89" s="65"/>
      <c r="B89" s="86" t="s">
        <v>513</v>
      </c>
      <c r="C89" s="166">
        <f>SUM(C90:C93)</f>
        <v>0</v>
      </c>
      <c r="D89" s="166">
        <f t="shared" ref="D89:J89" si="18">SUM(D90:D93)</f>
        <v>0</v>
      </c>
      <c r="E89" s="166">
        <f t="shared" si="18"/>
        <v>0</v>
      </c>
      <c r="F89" s="166">
        <f t="shared" si="18"/>
        <v>0</v>
      </c>
      <c r="G89" s="166">
        <f t="shared" si="18"/>
        <v>0</v>
      </c>
      <c r="H89" s="166">
        <f t="shared" si="18"/>
        <v>0</v>
      </c>
      <c r="I89" s="166">
        <f t="shared" si="18"/>
        <v>0</v>
      </c>
      <c r="J89" s="166">
        <f t="shared" si="18"/>
        <v>0</v>
      </c>
    </row>
    <row r="90" spans="1:13" x14ac:dyDescent="0.2">
      <c r="A90" s="65"/>
      <c r="B90" s="65" t="s">
        <v>529</v>
      </c>
      <c r="C90" s="83">
        <f>'Compte Résultat ML'!C90*C$5</f>
        <v>0</v>
      </c>
      <c r="D90" s="83">
        <f>'Compte Résultat ML'!D90*D$5</f>
        <v>0</v>
      </c>
      <c r="E90" s="83">
        <f>'Compte Résultat ML'!E90*E$5</f>
        <v>0</v>
      </c>
      <c r="F90" s="83">
        <f>'Compte Résultat ML'!F90*F$5</f>
        <v>0</v>
      </c>
      <c r="G90" s="83">
        <f>'Compte Résultat ML'!G90*G$5</f>
        <v>0</v>
      </c>
      <c r="H90" s="83">
        <f>'Compte Résultat ML'!H90*H$5</f>
        <v>0</v>
      </c>
      <c r="I90" s="83">
        <f>'Compte Résultat ML'!I90*I$5</f>
        <v>0</v>
      </c>
      <c r="J90" s="83">
        <f>'Compte Résultat ML'!J90*J$5</f>
        <v>0</v>
      </c>
      <c r="L90" s="350"/>
      <c r="M90" s="56"/>
    </row>
    <row r="91" spans="1:13" x14ac:dyDescent="0.2">
      <c r="A91" s="65"/>
      <c r="B91" s="65" t="s">
        <v>530</v>
      </c>
      <c r="C91" s="83">
        <f>'Compte Résultat ML'!C91*C$5</f>
        <v>0</v>
      </c>
      <c r="D91" s="83">
        <f>'Compte Résultat ML'!D91*D$5</f>
        <v>0</v>
      </c>
      <c r="E91" s="83">
        <f>'Compte Résultat ML'!E91*E$5</f>
        <v>0</v>
      </c>
      <c r="F91" s="83">
        <f>'Compte Résultat ML'!F91*F$5</f>
        <v>0</v>
      </c>
      <c r="G91" s="83">
        <f>'Compte Résultat ML'!G91*G$5</f>
        <v>0</v>
      </c>
      <c r="H91" s="83">
        <f>'Compte Résultat ML'!H91*H$5</f>
        <v>0</v>
      </c>
      <c r="I91" s="83">
        <f>'Compte Résultat ML'!I91*I$5</f>
        <v>0</v>
      </c>
      <c r="J91" s="83">
        <f>'Compte Résultat ML'!J91*J$5</f>
        <v>0</v>
      </c>
    </row>
    <row r="92" spans="1:13" x14ac:dyDescent="0.2">
      <c r="A92" s="65"/>
      <c r="B92" s="65" t="s">
        <v>531</v>
      </c>
      <c r="C92" s="83">
        <f>'Compte Résultat ML'!C92*C$5</f>
        <v>0</v>
      </c>
      <c r="D92" s="83">
        <f>'Compte Résultat ML'!D92*D$5</f>
        <v>0</v>
      </c>
      <c r="E92" s="83">
        <f>'Compte Résultat ML'!E92*E$5</f>
        <v>0</v>
      </c>
      <c r="F92" s="83">
        <f>'Compte Résultat ML'!F92*F$5</f>
        <v>0</v>
      </c>
      <c r="G92" s="83">
        <f>'Compte Résultat ML'!G92*G$5</f>
        <v>0</v>
      </c>
      <c r="H92" s="83">
        <f>'Compte Résultat ML'!H92*H$5</f>
        <v>0</v>
      </c>
      <c r="I92" s="83">
        <f>'Compte Résultat ML'!I92*I$5</f>
        <v>0</v>
      </c>
      <c r="J92" s="83">
        <f>'Compte Résultat ML'!J92*J$5</f>
        <v>0</v>
      </c>
    </row>
    <row r="93" spans="1:13" x14ac:dyDescent="0.2">
      <c r="A93" s="65"/>
      <c r="B93" s="65" t="s">
        <v>532</v>
      </c>
      <c r="C93" s="83">
        <f>'Compte Résultat ML'!C93*C$5</f>
        <v>0</v>
      </c>
      <c r="D93" s="83">
        <f>'Compte Résultat ML'!D93*D$5</f>
        <v>0</v>
      </c>
      <c r="E93" s="83">
        <f>'Compte Résultat ML'!E93*E$5</f>
        <v>0</v>
      </c>
      <c r="F93" s="83">
        <f>'Compte Résultat ML'!F93*F$5</f>
        <v>0</v>
      </c>
      <c r="G93" s="83">
        <f>'Compte Résultat ML'!G93*G$5</f>
        <v>0</v>
      </c>
      <c r="H93" s="83">
        <f>'Compte Résultat ML'!H93*H$5</f>
        <v>0</v>
      </c>
      <c r="I93" s="83">
        <f>'Compte Résultat ML'!I93*I$5</f>
        <v>0</v>
      </c>
      <c r="J93" s="83">
        <f>'Compte Résultat ML'!J93*J$5</f>
        <v>0</v>
      </c>
    </row>
    <row r="94" spans="1:13" x14ac:dyDescent="0.2">
      <c r="A94" s="65"/>
      <c r="B94" s="86" t="s">
        <v>516</v>
      </c>
      <c r="C94" s="166">
        <f>SUM(C95:C103)</f>
        <v>0</v>
      </c>
      <c r="D94" s="166">
        <f t="shared" ref="D94:J94" si="19">SUM(D95:D103)</f>
        <v>0</v>
      </c>
      <c r="E94" s="166">
        <f t="shared" si="19"/>
        <v>0</v>
      </c>
      <c r="F94" s="166">
        <f t="shared" si="19"/>
        <v>0</v>
      </c>
      <c r="G94" s="166">
        <f t="shared" si="19"/>
        <v>0</v>
      </c>
      <c r="H94" s="166">
        <f t="shared" si="19"/>
        <v>0</v>
      </c>
      <c r="I94" s="166">
        <f t="shared" si="19"/>
        <v>0</v>
      </c>
      <c r="J94" s="166">
        <f t="shared" si="19"/>
        <v>0</v>
      </c>
    </row>
    <row r="95" spans="1:13" x14ac:dyDescent="0.2">
      <c r="A95" s="65"/>
      <c r="B95" s="65" t="s">
        <v>510</v>
      </c>
      <c r="C95" s="83">
        <f>'Compte Résultat ML'!C95*C$5</f>
        <v>0</v>
      </c>
      <c r="D95" s="83">
        <f>'Compte Résultat ML'!D95*D$5</f>
        <v>0</v>
      </c>
      <c r="E95" s="83">
        <f>'Compte Résultat ML'!E95*E$5</f>
        <v>0</v>
      </c>
      <c r="F95" s="83">
        <f>'Compte Résultat ML'!F95*F$5</f>
        <v>0</v>
      </c>
      <c r="G95" s="83">
        <f>'Compte Résultat ML'!G95*G$5</f>
        <v>0</v>
      </c>
      <c r="H95" s="83">
        <f>'Compte Résultat ML'!H95*H$5</f>
        <v>0</v>
      </c>
      <c r="I95" s="83">
        <f>'Compte Résultat ML'!I95*I$5</f>
        <v>0</v>
      </c>
      <c r="J95" s="83">
        <f>'Compte Résultat ML'!J95*J$5</f>
        <v>0</v>
      </c>
    </row>
    <row r="96" spans="1:13" x14ac:dyDescent="0.2">
      <c r="A96" s="65"/>
      <c r="B96" s="65" t="s">
        <v>528</v>
      </c>
      <c r="C96" s="83">
        <f>'Compte Résultat ML'!C96*C$5</f>
        <v>0</v>
      </c>
      <c r="D96" s="83">
        <f>'Compte Résultat ML'!D96*D$5</f>
        <v>0</v>
      </c>
      <c r="E96" s="83">
        <f>'Compte Résultat ML'!E96*E$5</f>
        <v>0</v>
      </c>
      <c r="F96" s="83">
        <f>'Compte Résultat ML'!F96*F$5</f>
        <v>0</v>
      </c>
      <c r="G96" s="83">
        <f>'Compte Résultat ML'!G96*G$5</f>
        <v>0</v>
      </c>
      <c r="H96" s="83">
        <f>'Compte Résultat ML'!H96*H$5</f>
        <v>0</v>
      </c>
      <c r="I96" s="83">
        <f>'Compte Résultat ML'!I96*I$5</f>
        <v>0</v>
      </c>
      <c r="J96" s="83">
        <f>'Compte Résultat ML'!J96*J$5</f>
        <v>0</v>
      </c>
    </row>
    <row r="97" spans="1:10" x14ac:dyDescent="0.2">
      <c r="A97" s="65"/>
      <c r="B97" s="65" t="s">
        <v>517</v>
      </c>
      <c r="C97" s="83">
        <f>'Compte Résultat ML'!C97*C$5</f>
        <v>0</v>
      </c>
      <c r="D97" s="83">
        <f>'Compte Résultat ML'!D97*D$5</f>
        <v>0</v>
      </c>
      <c r="E97" s="83">
        <f>'Compte Résultat ML'!E97*E$5</f>
        <v>0</v>
      </c>
      <c r="F97" s="83">
        <f>'Compte Résultat ML'!F97*F$5</f>
        <v>0</v>
      </c>
      <c r="G97" s="83">
        <f>'Compte Résultat ML'!G97*G$5</f>
        <v>0</v>
      </c>
      <c r="H97" s="83">
        <f>'Compte Résultat ML'!H97*H$5</f>
        <v>0</v>
      </c>
      <c r="I97" s="83">
        <f>'Compte Résultat ML'!I97*I$5</f>
        <v>0</v>
      </c>
      <c r="J97" s="83">
        <f>'Compte Résultat ML'!J97*J$5</f>
        <v>0</v>
      </c>
    </row>
    <row r="98" spans="1:10" x14ac:dyDescent="0.2">
      <c r="A98" s="65"/>
      <c r="B98" s="65" t="s">
        <v>518</v>
      </c>
      <c r="C98" s="83">
        <f>'Compte Résultat ML'!C98*C$5</f>
        <v>0</v>
      </c>
      <c r="D98" s="83">
        <f>'Compte Résultat ML'!D98*D$5</f>
        <v>0</v>
      </c>
      <c r="E98" s="83">
        <f>'Compte Résultat ML'!E98*E$5</f>
        <v>0</v>
      </c>
      <c r="F98" s="83">
        <f>'Compte Résultat ML'!F98*F$5</f>
        <v>0</v>
      </c>
      <c r="G98" s="83">
        <f>'Compte Résultat ML'!G98*G$5</f>
        <v>0</v>
      </c>
      <c r="H98" s="83">
        <f>'Compte Résultat ML'!H98*H$5</f>
        <v>0</v>
      </c>
      <c r="I98" s="83">
        <f>'Compte Résultat ML'!I98*I$5</f>
        <v>0</v>
      </c>
      <c r="J98" s="83">
        <f>'Compte Résultat ML'!J98*J$5</f>
        <v>0</v>
      </c>
    </row>
    <row r="99" spans="1:10" x14ac:dyDescent="0.2">
      <c r="A99" s="65"/>
      <c r="B99" s="65" t="s">
        <v>511</v>
      </c>
      <c r="C99" s="83">
        <f>'Compte Résultat ML'!C99*C$5</f>
        <v>0</v>
      </c>
      <c r="D99" s="83">
        <f>'Compte Résultat ML'!D99*D$5</f>
        <v>0</v>
      </c>
      <c r="E99" s="83">
        <f>'Compte Résultat ML'!E99*E$5</f>
        <v>0</v>
      </c>
      <c r="F99" s="83">
        <f>'Compte Résultat ML'!F99*F$5</f>
        <v>0</v>
      </c>
      <c r="G99" s="83">
        <f>'Compte Résultat ML'!G99*G$5</f>
        <v>0</v>
      </c>
      <c r="H99" s="83">
        <f>'Compte Résultat ML'!H99*H$5</f>
        <v>0</v>
      </c>
      <c r="I99" s="83">
        <f>'Compte Résultat ML'!I99*I$5</f>
        <v>0</v>
      </c>
      <c r="J99" s="83">
        <f>'Compte Résultat ML'!J99*J$5</f>
        <v>0</v>
      </c>
    </row>
    <row r="100" spans="1:10" x14ac:dyDescent="0.2">
      <c r="A100" s="65"/>
      <c r="B100" s="65" t="s">
        <v>512</v>
      </c>
      <c r="C100" s="83">
        <f>'Compte Résultat ML'!C100*C$5</f>
        <v>0</v>
      </c>
      <c r="D100" s="83">
        <f>'Compte Résultat ML'!D100*D$5</f>
        <v>0</v>
      </c>
      <c r="E100" s="83">
        <f>'Compte Résultat ML'!E100*E$5</f>
        <v>0</v>
      </c>
      <c r="F100" s="83">
        <f>'Compte Résultat ML'!F100*F$5</f>
        <v>0</v>
      </c>
      <c r="G100" s="83">
        <f>'Compte Résultat ML'!G100*G$5</f>
        <v>0</v>
      </c>
      <c r="H100" s="83">
        <f>'Compte Résultat ML'!H100*H$5</f>
        <v>0</v>
      </c>
      <c r="I100" s="83">
        <f>'Compte Résultat ML'!I100*I$5</f>
        <v>0</v>
      </c>
      <c r="J100" s="83">
        <f>'Compte Résultat ML'!J100*J$5</f>
        <v>0</v>
      </c>
    </row>
    <row r="101" spans="1:10" x14ac:dyDescent="0.2">
      <c r="A101" s="65"/>
      <c r="B101" s="65" t="s">
        <v>520</v>
      </c>
      <c r="C101" s="83">
        <f>'Compte Résultat ML'!C101*C$5</f>
        <v>0</v>
      </c>
      <c r="D101" s="83">
        <f>'Compte Résultat ML'!D101*D$5</f>
        <v>0</v>
      </c>
      <c r="E101" s="83">
        <f>'Compte Résultat ML'!E101*E$5</f>
        <v>0</v>
      </c>
      <c r="F101" s="83">
        <f>'Compte Résultat ML'!F101*F$5</f>
        <v>0</v>
      </c>
      <c r="G101" s="83">
        <f>'Compte Résultat ML'!G101*G$5</f>
        <v>0</v>
      </c>
      <c r="H101" s="83">
        <f>'Compte Résultat ML'!H101*H$5</f>
        <v>0</v>
      </c>
      <c r="I101" s="83">
        <f>'Compte Résultat ML'!I101*I$5</f>
        <v>0</v>
      </c>
      <c r="J101" s="83">
        <f>'Compte Résultat ML'!J101*J$5</f>
        <v>0</v>
      </c>
    </row>
    <row r="102" spans="1:10" x14ac:dyDescent="0.2">
      <c r="A102" s="65"/>
      <c r="B102" s="65" t="s">
        <v>526</v>
      </c>
      <c r="C102" s="83">
        <f>'Compte Résultat ML'!C102*C$5</f>
        <v>0</v>
      </c>
      <c r="D102" s="83">
        <f>'Compte Résultat ML'!D102*D$5</f>
        <v>0</v>
      </c>
      <c r="E102" s="83">
        <f>'Compte Résultat ML'!E102*E$5</f>
        <v>0</v>
      </c>
      <c r="F102" s="83">
        <f>'Compte Résultat ML'!F102*F$5</f>
        <v>0</v>
      </c>
      <c r="G102" s="83">
        <f>'Compte Résultat ML'!G102*G$5</f>
        <v>0</v>
      </c>
      <c r="H102" s="83">
        <f>'Compte Résultat ML'!H102*H$5</f>
        <v>0</v>
      </c>
      <c r="I102" s="83">
        <f>'Compte Résultat ML'!I102*I$5</f>
        <v>0</v>
      </c>
      <c r="J102" s="83">
        <f>'Compte Résultat ML'!J102*J$5</f>
        <v>0</v>
      </c>
    </row>
    <row r="103" spans="1:10" x14ac:dyDescent="0.2">
      <c r="A103" s="65"/>
      <c r="B103" s="65" t="s">
        <v>527</v>
      </c>
      <c r="C103" s="83">
        <f>'Compte Résultat ML'!C103*C$5</f>
        <v>0</v>
      </c>
      <c r="D103" s="83">
        <f>'Compte Résultat ML'!D103*D$5</f>
        <v>0</v>
      </c>
      <c r="E103" s="83">
        <f>'Compte Résultat ML'!E103*E$5</f>
        <v>0</v>
      </c>
      <c r="F103" s="83">
        <f>'Compte Résultat ML'!F103*F$5</f>
        <v>0</v>
      </c>
      <c r="G103" s="83">
        <f>'Compte Résultat ML'!G103*G$5</f>
        <v>0</v>
      </c>
      <c r="H103" s="83">
        <f>'Compte Résultat ML'!H103*H$5</f>
        <v>0</v>
      </c>
      <c r="I103" s="83">
        <f>'Compte Résultat ML'!I103*I$5</f>
        <v>0</v>
      </c>
      <c r="J103" s="83">
        <f>'Compte Résultat ML'!J103*J$5</f>
        <v>0</v>
      </c>
    </row>
    <row r="104" spans="1:10" x14ac:dyDescent="0.2">
      <c r="A104" s="65"/>
      <c r="B104" s="86" t="s">
        <v>524</v>
      </c>
      <c r="C104" s="166">
        <f>SUM(C105:C107)</f>
        <v>0</v>
      </c>
      <c r="D104" s="166">
        <f>SUM(D105:D107)</f>
        <v>0</v>
      </c>
      <c r="E104" s="166">
        <f t="shared" ref="E104:I104" si="20">SUM(E105:E107)</f>
        <v>0</v>
      </c>
      <c r="F104" s="166" t="e">
        <f t="shared" si="20"/>
        <v>#N/A</v>
      </c>
      <c r="G104" s="166" t="e">
        <f t="shared" si="20"/>
        <v>#N/A</v>
      </c>
      <c r="H104" s="166" t="e">
        <f t="shared" si="20"/>
        <v>#N/A</v>
      </c>
      <c r="I104" s="166" t="e">
        <f t="shared" si="20"/>
        <v>#N/A</v>
      </c>
      <c r="J104" s="166" t="e">
        <f>SUM(J105:J107)</f>
        <v>#N/A</v>
      </c>
    </row>
    <row r="105" spans="1:10" x14ac:dyDescent="0.2">
      <c r="A105" s="65"/>
      <c r="B105" s="65" t="s">
        <v>521</v>
      </c>
      <c r="C105" s="83">
        <f>'Compte Résultat ML'!C105*C$5</f>
        <v>0</v>
      </c>
      <c r="D105" s="83">
        <f>'Compte Résultat ML'!D105*D$5</f>
        <v>0</v>
      </c>
      <c r="E105" s="83">
        <f>'Compte Résultat ML'!E105*E$5</f>
        <v>0</v>
      </c>
      <c r="F105" s="83">
        <f>'Compte Résultat ML'!F105*F$5</f>
        <v>174135</v>
      </c>
      <c r="G105" s="83">
        <f>'Compte Résultat ML'!G105*G$5</f>
        <v>219960</v>
      </c>
      <c r="H105" s="83">
        <f>'Compte Résultat ML'!H105*H$5</f>
        <v>274950</v>
      </c>
      <c r="I105" s="83">
        <f>'Compte Résultat ML'!I105*I$5</f>
        <v>329940</v>
      </c>
      <c r="J105" s="83">
        <f>'Compte Résultat ML'!J105*J$5</f>
        <v>329940</v>
      </c>
    </row>
    <row r="106" spans="1:10" x14ac:dyDescent="0.2">
      <c r="A106" s="65"/>
      <c r="B106" s="65" t="s">
        <v>522</v>
      </c>
      <c r="C106" s="83">
        <f>'Compte Résultat ML'!C106*C$5</f>
        <v>0</v>
      </c>
      <c r="D106" s="83">
        <f>'Compte Résultat ML'!D106*D$5</f>
        <v>0</v>
      </c>
      <c r="E106" s="83">
        <f>'Compte Résultat ML'!E106*E$5</f>
        <v>0</v>
      </c>
      <c r="F106" s="83">
        <f>'Compte Résultat ML'!F106*F$5</f>
        <v>61750</v>
      </c>
      <c r="G106" s="83">
        <f>'Compte Résultat ML'!G106*G$5</f>
        <v>78000</v>
      </c>
      <c r="H106" s="83">
        <f>'Compte Résultat ML'!H106*H$5</f>
        <v>97500</v>
      </c>
      <c r="I106" s="83">
        <f>'Compte Résultat ML'!I106*I$5</f>
        <v>117000</v>
      </c>
      <c r="J106" s="83">
        <f>'Compte Résultat ML'!J106*J$5</f>
        <v>117000</v>
      </c>
    </row>
    <row r="107" spans="1:10" x14ac:dyDescent="0.2">
      <c r="A107" s="65"/>
      <c r="B107" s="65" t="s">
        <v>523</v>
      </c>
      <c r="C107" s="83">
        <f>'Compte Résultat ML'!C107*C$5</f>
        <v>0</v>
      </c>
      <c r="D107" s="83">
        <f>'Compte Résultat ML'!D107*D$5</f>
        <v>0</v>
      </c>
      <c r="E107" s="83">
        <f>'Compte Résultat ML'!E107*E$5</f>
        <v>0</v>
      </c>
      <c r="F107" s="83" t="e">
        <f>'Compte Résultat ML'!F107*F$5</f>
        <v>#N/A</v>
      </c>
      <c r="G107" s="83" t="e">
        <f>'Compte Résultat ML'!G107*G$5</f>
        <v>#N/A</v>
      </c>
      <c r="H107" s="83" t="e">
        <f>'Compte Résultat ML'!H107*H$5</f>
        <v>#N/A</v>
      </c>
      <c r="I107" s="83" t="e">
        <f>'Compte Résultat ML'!I107*I$5</f>
        <v>#N/A</v>
      </c>
      <c r="J107" s="83" t="e">
        <f>'Compte Résultat ML'!J107*J$5</f>
        <v>#N/A</v>
      </c>
    </row>
    <row r="108" spans="1:10" x14ac:dyDescent="0.2">
      <c r="A108" s="65"/>
      <c r="B108" s="168" t="s">
        <v>537</v>
      </c>
      <c r="C108" s="169">
        <f>IF('Hypothèses '!$C$7="partenaire",IF('Hypothèses '!D$13="oui",2%,0),0)</f>
        <v>0</v>
      </c>
      <c r="D108" s="169">
        <f>IF('Hypothèses '!$C$7="partenaire",IF('Hypothèses '!E$13="oui",2%,0),0)</f>
        <v>0</v>
      </c>
      <c r="E108" s="169">
        <f>IF('Hypothèses '!$C$7="partenaire",IF('Hypothèses '!F$13="oui",2%,0),0)</f>
        <v>0</v>
      </c>
      <c r="F108" s="169">
        <f>IF('Hypothèses '!$C$7="partenaire",IF('Hypothèses '!G$13="oui",2%,0),0)</f>
        <v>0</v>
      </c>
      <c r="G108" s="169">
        <f>IF('Hypothèses '!$C$7="partenaire",IF('Hypothèses '!H$13="oui",2%,0),0)</f>
        <v>0</v>
      </c>
      <c r="H108" s="169">
        <f>IF('Hypothèses '!$C$7="partenaire",IF('Hypothèses '!I$13="oui",2%,0),0)</f>
        <v>0</v>
      </c>
      <c r="I108" s="169">
        <f>IF('Hypothèses '!$C$7="partenaire",IF('Hypothèses '!J$13="oui",2%,0),0)</f>
        <v>0</v>
      </c>
      <c r="J108" s="169">
        <f>IF('Hypothèses '!$C$7="partenaire",IF('Hypothèses '!K$13="oui",2%,0),0)</f>
        <v>0</v>
      </c>
    </row>
    <row r="109" spans="1:10" x14ac:dyDescent="0.2">
      <c r="A109" s="65"/>
      <c r="B109" s="168" t="s">
        <v>538</v>
      </c>
      <c r="C109" s="169">
        <f>IF('Hypothèses '!$C$7="conventionné",1%,IF('Hypothèses '!D$13="oui",1%,0))</f>
        <v>0.01</v>
      </c>
      <c r="D109" s="169">
        <f>IF('Hypothèses '!$C$7="conventionné",1%,IF('Hypothèses '!E$13="oui",1%,0))</f>
        <v>0.01</v>
      </c>
      <c r="E109" s="169">
        <f>IF('Hypothèses '!$C$7="conventionné",1%,IF('Hypothèses '!F$13="oui",1%,0))</f>
        <v>0.01</v>
      </c>
      <c r="F109" s="169">
        <f>IF('Hypothèses '!$C$7="conventionné",1%,IF('Hypothèses '!G$13="oui",1%,0))</f>
        <v>0.01</v>
      </c>
      <c r="G109" s="169">
        <f>IF('Hypothèses '!$C$7="conventionné",1%,IF('Hypothèses '!H$13="oui",1%,0))</f>
        <v>0.01</v>
      </c>
      <c r="H109" s="169">
        <f>IF('Hypothèses '!$C$7="conventionné",1%,IF('Hypothèses '!I$13="oui",1%,0))</f>
        <v>0.01</v>
      </c>
      <c r="I109" s="169">
        <f>IF('Hypothèses '!$C$7="conventionné",1%,IF('Hypothèses '!J$13="oui",1%,0))</f>
        <v>0.01</v>
      </c>
      <c r="J109" s="169">
        <f>IF('Hypothèses '!$C$7="conventionné",1%,IF('Hypothèses '!K$13="oui",1%,0))</f>
        <v>0.01</v>
      </c>
    </row>
    <row r="110" spans="1:10" ht="16" x14ac:dyDescent="0.2">
      <c r="A110" s="94" t="s">
        <v>88</v>
      </c>
      <c r="B110" s="176" t="s">
        <v>544</v>
      </c>
      <c r="C110" s="151" t="e">
        <f>C111+C115+C120+C130</f>
        <v>#N/A</v>
      </c>
      <c r="D110" s="151" t="e">
        <f t="shared" ref="D110:J110" si="21">D111+D115+D120+D130</f>
        <v>#N/A</v>
      </c>
      <c r="E110" s="151" t="e">
        <f t="shared" si="21"/>
        <v>#N/A</v>
      </c>
      <c r="F110" s="151" t="e">
        <f t="shared" si="21"/>
        <v>#N/A</v>
      </c>
      <c r="G110" s="151" t="e">
        <f t="shared" si="21"/>
        <v>#N/A</v>
      </c>
      <c r="H110" s="151" t="e">
        <f t="shared" si="21"/>
        <v>#N/A</v>
      </c>
      <c r="I110" s="151" t="e">
        <f t="shared" si="21"/>
        <v>#N/A</v>
      </c>
      <c r="J110" s="151" t="e">
        <f t="shared" si="21"/>
        <v>#N/A</v>
      </c>
    </row>
    <row r="111" spans="1:10" x14ac:dyDescent="0.2">
      <c r="A111" s="68"/>
      <c r="B111" s="94" t="s">
        <v>542</v>
      </c>
      <c r="C111" s="170" t="e">
        <f>SUM(C112:C114)</f>
        <v>#N/A</v>
      </c>
      <c r="D111" s="170" t="e">
        <f t="shared" ref="D111:J111" si="22">SUM(D112:D114)</f>
        <v>#N/A</v>
      </c>
      <c r="E111" s="170" t="e">
        <f t="shared" si="22"/>
        <v>#N/A</v>
      </c>
      <c r="F111" s="170" t="e">
        <f t="shared" si="22"/>
        <v>#N/A</v>
      </c>
      <c r="G111" s="170" t="e">
        <f t="shared" si="22"/>
        <v>#N/A</v>
      </c>
      <c r="H111" s="170" t="e">
        <f t="shared" si="22"/>
        <v>#N/A</v>
      </c>
      <c r="I111" s="170" t="e">
        <f t="shared" si="22"/>
        <v>#N/A</v>
      </c>
      <c r="J111" s="170" t="e">
        <f t="shared" si="22"/>
        <v>#N/A</v>
      </c>
    </row>
    <row r="112" spans="1:10" ht="19" x14ac:dyDescent="0.25">
      <c r="A112" s="171"/>
      <c r="B112" s="68" t="s">
        <v>540</v>
      </c>
      <c r="C112" s="97">
        <f>'Compte Résultat ML'!C112*C$5</f>
        <v>0</v>
      </c>
      <c r="D112" s="97">
        <f>'Compte Résultat ML'!D112*D$5</f>
        <v>0</v>
      </c>
      <c r="E112" s="97">
        <f>'Compte Résultat ML'!E112*E$5</f>
        <v>0</v>
      </c>
      <c r="F112" s="97">
        <f>'Compte Résultat ML'!F112*F$5</f>
        <v>0</v>
      </c>
      <c r="G112" s="97">
        <f>'Compte Résultat ML'!G112*G$5</f>
        <v>0</v>
      </c>
      <c r="H112" s="97">
        <f>'Compte Résultat ML'!H112*H$5</f>
        <v>0</v>
      </c>
      <c r="I112" s="97">
        <f>'Compte Résultat ML'!I112*I$5</f>
        <v>0</v>
      </c>
      <c r="J112" s="97">
        <f>'Compte Résultat ML'!J112*J$5</f>
        <v>0</v>
      </c>
    </row>
    <row r="113" spans="1:10" ht="19" x14ac:dyDescent="0.25">
      <c r="A113" s="171"/>
      <c r="B113" s="68" t="s">
        <v>541</v>
      </c>
      <c r="C113" s="97">
        <f>'Compte Résultat ML'!C113*C$5</f>
        <v>0</v>
      </c>
      <c r="D113" s="97">
        <f>'Compte Résultat ML'!D113*D$5</f>
        <v>0</v>
      </c>
      <c r="E113" s="97">
        <f>'Compte Résultat ML'!E113*E$5</f>
        <v>0</v>
      </c>
      <c r="F113" s="97">
        <f>'Compte Résultat ML'!F113*F$5</f>
        <v>0</v>
      </c>
      <c r="G113" s="97">
        <f>'Compte Résultat ML'!G113*G$5</f>
        <v>0</v>
      </c>
      <c r="H113" s="97">
        <f>'Compte Résultat ML'!H113*H$5</f>
        <v>0</v>
      </c>
      <c r="I113" s="97">
        <f>'Compte Résultat ML'!I113*I$5</f>
        <v>0</v>
      </c>
      <c r="J113" s="97">
        <f>'Compte Résultat ML'!J113*J$5</f>
        <v>0</v>
      </c>
    </row>
    <row r="114" spans="1:10" ht="19" x14ac:dyDescent="0.25">
      <c r="A114" s="171"/>
      <c r="B114" s="68" t="s">
        <v>539</v>
      </c>
      <c r="C114" s="97" t="e">
        <f>'Compte Résultat ML'!C114*C$5</f>
        <v>#N/A</v>
      </c>
      <c r="D114" s="97" t="e">
        <f>'Compte Résultat ML'!D114*D$5</f>
        <v>#N/A</v>
      </c>
      <c r="E114" s="97" t="e">
        <f>'Compte Résultat ML'!E114*E$5</f>
        <v>#N/A</v>
      </c>
      <c r="F114" s="97" t="e">
        <f>'Compte Résultat ML'!F114*F$5</f>
        <v>#N/A</v>
      </c>
      <c r="G114" s="97" t="e">
        <f>'Compte Résultat ML'!G114*G$5</f>
        <v>#N/A</v>
      </c>
      <c r="H114" s="97" t="e">
        <f>'Compte Résultat ML'!H114*H$5</f>
        <v>#N/A</v>
      </c>
      <c r="I114" s="97" t="e">
        <f>'Compte Résultat ML'!I114*I$5</f>
        <v>#N/A</v>
      </c>
      <c r="J114" s="97" t="e">
        <f>'Compte Résultat ML'!J114*J$5</f>
        <v>#N/A</v>
      </c>
    </row>
    <row r="115" spans="1:10" x14ac:dyDescent="0.2">
      <c r="A115" s="68"/>
      <c r="B115" s="94" t="s">
        <v>513</v>
      </c>
      <c r="C115" s="170">
        <f>SUM(C116:C119)</f>
        <v>0</v>
      </c>
      <c r="D115" s="170">
        <f t="shared" ref="D115:J115" si="23">SUM(D116:D119)</f>
        <v>0</v>
      </c>
      <c r="E115" s="170">
        <f t="shared" si="23"/>
        <v>0</v>
      </c>
      <c r="F115" s="170">
        <f t="shared" si="23"/>
        <v>0</v>
      </c>
      <c r="G115" s="170">
        <f t="shared" si="23"/>
        <v>0</v>
      </c>
      <c r="H115" s="170">
        <f t="shared" si="23"/>
        <v>0</v>
      </c>
      <c r="I115" s="170">
        <f t="shared" si="23"/>
        <v>0</v>
      </c>
      <c r="J115" s="170">
        <f t="shared" si="23"/>
        <v>0</v>
      </c>
    </row>
    <row r="116" spans="1:10" x14ac:dyDescent="0.2">
      <c r="A116" s="68"/>
      <c r="B116" s="68" t="s">
        <v>529</v>
      </c>
      <c r="C116" s="97">
        <f>'Compte Résultat ML'!C116*C$5</f>
        <v>0</v>
      </c>
      <c r="D116" s="97">
        <f>'Compte Résultat ML'!D116*D$5</f>
        <v>0</v>
      </c>
      <c r="E116" s="97">
        <f>'Compte Résultat ML'!E116*E$5</f>
        <v>0</v>
      </c>
      <c r="F116" s="97">
        <f>'Compte Résultat ML'!F116*F$5</f>
        <v>0</v>
      </c>
      <c r="G116" s="97">
        <f>'Compte Résultat ML'!G116*G$5</f>
        <v>0</v>
      </c>
      <c r="H116" s="97">
        <f>'Compte Résultat ML'!H116*H$5</f>
        <v>0</v>
      </c>
      <c r="I116" s="97">
        <f>'Compte Résultat ML'!I116*I$5</f>
        <v>0</v>
      </c>
      <c r="J116" s="97">
        <f>'Compte Résultat ML'!J116*J$5</f>
        <v>0</v>
      </c>
    </row>
    <row r="117" spans="1:10" x14ac:dyDescent="0.2">
      <c r="A117" s="68"/>
      <c r="B117" s="68" t="s">
        <v>530</v>
      </c>
      <c r="C117" s="97">
        <f>'Compte Résultat ML'!C117*C$5</f>
        <v>0</v>
      </c>
      <c r="D117" s="97">
        <f>'Compte Résultat ML'!D117*D$5</f>
        <v>0</v>
      </c>
      <c r="E117" s="97">
        <f>'Compte Résultat ML'!E117*E$5</f>
        <v>0</v>
      </c>
      <c r="F117" s="97">
        <f>'Compte Résultat ML'!F117*F$5</f>
        <v>0</v>
      </c>
      <c r="G117" s="97">
        <f>'Compte Résultat ML'!G117*G$5</f>
        <v>0</v>
      </c>
      <c r="H117" s="97">
        <f>'Compte Résultat ML'!H117*H$5</f>
        <v>0</v>
      </c>
      <c r="I117" s="97">
        <f>'Compte Résultat ML'!I117*I$5</f>
        <v>0</v>
      </c>
      <c r="J117" s="97">
        <f>'Compte Résultat ML'!J117*J$5</f>
        <v>0</v>
      </c>
    </row>
    <row r="118" spans="1:10" x14ac:dyDescent="0.2">
      <c r="A118" s="68"/>
      <c r="B118" s="68" t="s">
        <v>531</v>
      </c>
      <c r="C118" s="97">
        <f>'Compte Résultat ML'!C118*C$5</f>
        <v>0</v>
      </c>
      <c r="D118" s="97">
        <f>'Compte Résultat ML'!D118*D$5</f>
        <v>0</v>
      </c>
      <c r="E118" s="97">
        <f>'Compte Résultat ML'!E118*E$5</f>
        <v>0</v>
      </c>
      <c r="F118" s="97">
        <f>'Compte Résultat ML'!F118*F$5</f>
        <v>0</v>
      </c>
      <c r="G118" s="97">
        <f>'Compte Résultat ML'!G118*G$5</f>
        <v>0</v>
      </c>
      <c r="H118" s="97">
        <f>'Compte Résultat ML'!H118*H$5</f>
        <v>0</v>
      </c>
      <c r="I118" s="97">
        <f>'Compte Résultat ML'!I118*I$5</f>
        <v>0</v>
      </c>
      <c r="J118" s="97">
        <f>'Compte Résultat ML'!J118*J$5</f>
        <v>0</v>
      </c>
    </row>
    <row r="119" spans="1:10" x14ac:dyDescent="0.2">
      <c r="A119" s="68"/>
      <c r="B119" s="68" t="s">
        <v>532</v>
      </c>
      <c r="C119" s="97">
        <f>'Compte Résultat ML'!C119*C$5</f>
        <v>0</v>
      </c>
      <c r="D119" s="97">
        <f>'Compte Résultat ML'!D119*D$5</f>
        <v>0</v>
      </c>
      <c r="E119" s="97">
        <f>'Compte Résultat ML'!E119*E$5</f>
        <v>0</v>
      </c>
      <c r="F119" s="97">
        <f>'Compte Résultat ML'!F119*F$5</f>
        <v>0</v>
      </c>
      <c r="G119" s="97">
        <f>'Compte Résultat ML'!G119*G$5</f>
        <v>0</v>
      </c>
      <c r="H119" s="97">
        <f>'Compte Résultat ML'!H119*H$5</f>
        <v>0</v>
      </c>
      <c r="I119" s="97">
        <f>'Compte Résultat ML'!I119*I$5</f>
        <v>0</v>
      </c>
      <c r="J119" s="97">
        <f>'Compte Résultat ML'!J119*J$5</f>
        <v>0</v>
      </c>
    </row>
    <row r="120" spans="1:10" x14ac:dyDescent="0.2">
      <c r="A120" s="68"/>
      <c r="B120" s="94" t="s">
        <v>516</v>
      </c>
      <c r="C120" s="170">
        <f>SUM(C121:C129)</f>
        <v>0</v>
      </c>
      <c r="D120" s="170">
        <f t="shared" ref="D120:J120" si="24">SUM(D121:D129)</f>
        <v>0</v>
      </c>
      <c r="E120" s="170">
        <f t="shared" si="24"/>
        <v>0</v>
      </c>
      <c r="F120" s="170">
        <f t="shared" si="24"/>
        <v>0</v>
      </c>
      <c r="G120" s="170">
        <f t="shared" si="24"/>
        <v>0</v>
      </c>
      <c r="H120" s="170">
        <f t="shared" si="24"/>
        <v>0</v>
      </c>
      <c r="I120" s="170">
        <f t="shared" si="24"/>
        <v>0</v>
      </c>
      <c r="J120" s="170">
        <f t="shared" si="24"/>
        <v>0</v>
      </c>
    </row>
    <row r="121" spans="1:10" x14ac:dyDescent="0.2">
      <c r="A121" s="68"/>
      <c r="B121" s="68" t="s">
        <v>510</v>
      </c>
      <c r="C121" s="97">
        <f>'Compte Résultat ML'!C121*C$5</f>
        <v>0</v>
      </c>
      <c r="D121" s="97">
        <f>'Compte Résultat ML'!D121*D$5</f>
        <v>0</v>
      </c>
      <c r="E121" s="97">
        <f>'Compte Résultat ML'!E121*E$5</f>
        <v>0</v>
      </c>
      <c r="F121" s="97">
        <f>'Compte Résultat ML'!F121*F$5</f>
        <v>0</v>
      </c>
      <c r="G121" s="97">
        <f>'Compte Résultat ML'!G121*G$5</f>
        <v>0</v>
      </c>
      <c r="H121" s="97">
        <f>'Compte Résultat ML'!H121*H$5</f>
        <v>0</v>
      </c>
      <c r="I121" s="97">
        <f>'Compte Résultat ML'!I121*I$5</f>
        <v>0</v>
      </c>
      <c r="J121" s="97">
        <f>'Compte Résultat ML'!J121*J$5</f>
        <v>0</v>
      </c>
    </row>
    <row r="122" spans="1:10" x14ac:dyDescent="0.2">
      <c r="A122" s="68"/>
      <c r="B122" s="68" t="s">
        <v>528</v>
      </c>
      <c r="C122" s="97">
        <f>'Compte Résultat ML'!C122*C$5</f>
        <v>0</v>
      </c>
      <c r="D122" s="97">
        <f>'Compte Résultat ML'!D122*D$5</f>
        <v>0</v>
      </c>
      <c r="E122" s="97">
        <f>'Compte Résultat ML'!E122*E$5</f>
        <v>0</v>
      </c>
      <c r="F122" s="97">
        <f>'Compte Résultat ML'!F122*F$5</f>
        <v>0</v>
      </c>
      <c r="G122" s="97">
        <f>'Compte Résultat ML'!G122*G$5</f>
        <v>0</v>
      </c>
      <c r="H122" s="97">
        <f>'Compte Résultat ML'!H122*H$5</f>
        <v>0</v>
      </c>
      <c r="I122" s="97">
        <f>'Compte Résultat ML'!I122*I$5</f>
        <v>0</v>
      </c>
      <c r="J122" s="97">
        <f>'Compte Résultat ML'!J122*J$5</f>
        <v>0</v>
      </c>
    </row>
    <row r="123" spans="1:10" x14ac:dyDescent="0.2">
      <c r="A123" s="68"/>
      <c r="B123" s="68" t="s">
        <v>517</v>
      </c>
      <c r="C123" s="97">
        <f>'Compte Résultat ML'!C123*C$5</f>
        <v>0</v>
      </c>
      <c r="D123" s="97">
        <f>'Compte Résultat ML'!D123*D$5</f>
        <v>0</v>
      </c>
      <c r="E123" s="97">
        <f>'Compte Résultat ML'!E123*E$5</f>
        <v>0</v>
      </c>
      <c r="F123" s="97">
        <f>'Compte Résultat ML'!F123*F$5</f>
        <v>0</v>
      </c>
      <c r="G123" s="97">
        <f>'Compte Résultat ML'!G123*G$5</f>
        <v>0</v>
      </c>
      <c r="H123" s="97">
        <f>'Compte Résultat ML'!H123*H$5</f>
        <v>0</v>
      </c>
      <c r="I123" s="97">
        <f>'Compte Résultat ML'!I123*I$5</f>
        <v>0</v>
      </c>
      <c r="J123" s="97">
        <f>'Compte Résultat ML'!J123*J$5</f>
        <v>0</v>
      </c>
    </row>
    <row r="124" spans="1:10" x14ac:dyDescent="0.2">
      <c r="A124" s="68"/>
      <c r="B124" s="68" t="s">
        <v>518</v>
      </c>
      <c r="C124" s="97">
        <f>'Compte Résultat ML'!C124*C$5</f>
        <v>0</v>
      </c>
      <c r="D124" s="97">
        <f>'Compte Résultat ML'!D124*D$5</f>
        <v>0</v>
      </c>
      <c r="E124" s="97">
        <f>'Compte Résultat ML'!E124*E$5</f>
        <v>0</v>
      </c>
      <c r="F124" s="97">
        <f>'Compte Résultat ML'!F124*F$5</f>
        <v>0</v>
      </c>
      <c r="G124" s="97">
        <f>'Compte Résultat ML'!G124*G$5</f>
        <v>0</v>
      </c>
      <c r="H124" s="97">
        <f>'Compte Résultat ML'!H124*H$5</f>
        <v>0</v>
      </c>
      <c r="I124" s="97">
        <f>'Compte Résultat ML'!I124*I$5</f>
        <v>0</v>
      </c>
      <c r="J124" s="97">
        <f>'Compte Résultat ML'!J124*J$5</f>
        <v>0</v>
      </c>
    </row>
    <row r="125" spans="1:10" x14ac:dyDescent="0.2">
      <c r="A125" s="68"/>
      <c r="B125" s="68" t="s">
        <v>511</v>
      </c>
      <c r="C125" s="97">
        <f>'Compte Résultat ML'!C125*C$5</f>
        <v>0</v>
      </c>
      <c r="D125" s="97">
        <f>'Compte Résultat ML'!D125*D$5</f>
        <v>0</v>
      </c>
      <c r="E125" s="97">
        <f>'Compte Résultat ML'!E125*E$5</f>
        <v>0</v>
      </c>
      <c r="F125" s="97">
        <f>'Compte Résultat ML'!F125*F$5</f>
        <v>0</v>
      </c>
      <c r="G125" s="97">
        <f>'Compte Résultat ML'!G125*G$5</f>
        <v>0</v>
      </c>
      <c r="H125" s="97">
        <f>'Compte Résultat ML'!H125*H$5</f>
        <v>0</v>
      </c>
      <c r="I125" s="97">
        <f>'Compte Résultat ML'!I125*I$5</f>
        <v>0</v>
      </c>
      <c r="J125" s="97">
        <f>'Compte Résultat ML'!J125*J$5</f>
        <v>0</v>
      </c>
    </row>
    <row r="126" spans="1:10" x14ac:dyDescent="0.2">
      <c r="A126" s="68"/>
      <c r="B126" s="68" t="s">
        <v>512</v>
      </c>
      <c r="C126" s="97">
        <f>'Compte Résultat ML'!C126*C$5</f>
        <v>0</v>
      </c>
      <c r="D126" s="97">
        <f>'Compte Résultat ML'!D126*D$5</f>
        <v>0</v>
      </c>
      <c r="E126" s="97">
        <f>'Compte Résultat ML'!E126*E$5</f>
        <v>0</v>
      </c>
      <c r="F126" s="97">
        <f>'Compte Résultat ML'!F126*F$5</f>
        <v>0</v>
      </c>
      <c r="G126" s="97">
        <f>'Compte Résultat ML'!G126*G$5</f>
        <v>0</v>
      </c>
      <c r="H126" s="97">
        <f>'Compte Résultat ML'!H126*H$5</f>
        <v>0</v>
      </c>
      <c r="I126" s="97">
        <f>'Compte Résultat ML'!I126*I$5</f>
        <v>0</v>
      </c>
      <c r="J126" s="97">
        <f>'Compte Résultat ML'!J126*J$5</f>
        <v>0</v>
      </c>
    </row>
    <row r="127" spans="1:10" x14ac:dyDescent="0.2">
      <c r="A127" s="68"/>
      <c r="B127" s="68" t="s">
        <v>520</v>
      </c>
      <c r="C127" s="97">
        <f>'Compte Résultat ML'!C127*C$5</f>
        <v>0</v>
      </c>
      <c r="D127" s="97">
        <f>'Compte Résultat ML'!D127*D$5</f>
        <v>0</v>
      </c>
      <c r="E127" s="97">
        <f>'Compte Résultat ML'!E127*E$5</f>
        <v>0</v>
      </c>
      <c r="F127" s="97">
        <f>'Compte Résultat ML'!F127*F$5</f>
        <v>0</v>
      </c>
      <c r="G127" s="97">
        <f>'Compte Résultat ML'!G127*G$5</f>
        <v>0</v>
      </c>
      <c r="H127" s="97">
        <f>'Compte Résultat ML'!H127*H$5</f>
        <v>0</v>
      </c>
      <c r="I127" s="97">
        <f>'Compte Résultat ML'!I127*I$5</f>
        <v>0</v>
      </c>
      <c r="J127" s="97">
        <f>'Compte Résultat ML'!J127*J$5</f>
        <v>0</v>
      </c>
    </row>
    <row r="128" spans="1:10" x14ac:dyDescent="0.2">
      <c r="A128" s="68"/>
      <c r="B128" s="68" t="s">
        <v>526</v>
      </c>
      <c r="C128" s="97">
        <f>'Compte Résultat ML'!C128*C$5</f>
        <v>0</v>
      </c>
      <c r="D128" s="97">
        <f>'Compte Résultat ML'!D128*D$5</f>
        <v>0</v>
      </c>
      <c r="E128" s="97">
        <f>'Compte Résultat ML'!E128*E$5</f>
        <v>0</v>
      </c>
      <c r="F128" s="97">
        <f>'Compte Résultat ML'!F128*F$5</f>
        <v>0</v>
      </c>
      <c r="G128" s="97">
        <f>'Compte Résultat ML'!G128*G$5</f>
        <v>0</v>
      </c>
      <c r="H128" s="97">
        <f>'Compte Résultat ML'!H128*H$5</f>
        <v>0</v>
      </c>
      <c r="I128" s="97">
        <f>'Compte Résultat ML'!I128*I$5</f>
        <v>0</v>
      </c>
      <c r="J128" s="97">
        <f>'Compte Résultat ML'!J128*J$5</f>
        <v>0</v>
      </c>
    </row>
    <row r="129" spans="1:10" x14ac:dyDescent="0.2">
      <c r="A129" s="68"/>
      <c r="B129" s="68" t="s">
        <v>527</v>
      </c>
      <c r="C129" s="97">
        <f>'Compte Résultat ML'!C129*C$5</f>
        <v>0</v>
      </c>
      <c r="D129" s="97">
        <f>'Compte Résultat ML'!D129*D$5</f>
        <v>0</v>
      </c>
      <c r="E129" s="97">
        <f>'Compte Résultat ML'!E129*E$5</f>
        <v>0</v>
      </c>
      <c r="F129" s="97">
        <f>'Compte Résultat ML'!F129*F$5</f>
        <v>0</v>
      </c>
      <c r="G129" s="97">
        <f>'Compte Résultat ML'!G129*G$5</f>
        <v>0</v>
      </c>
      <c r="H129" s="97">
        <f>'Compte Résultat ML'!H129*H$5</f>
        <v>0</v>
      </c>
      <c r="I129" s="97">
        <f>'Compte Résultat ML'!I129*I$5</f>
        <v>0</v>
      </c>
      <c r="J129" s="97">
        <f>'Compte Résultat ML'!J129*J$5</f>
        <v>0</v>
      </c>
    </row>
    <row r="130" spans="1:10" x14ac:dyDescent="0.2">
      <c r="A130" s="68"/>
      <c r="B130" s="94" t="s">
        <v>524</v>
      </c>
      <c r="C130" s="170">
        <f>SUM(C131:C133)</f>
        <v>0</v>
      </c>
      <c r="D130" s="170">
        <f>SUM(D131:D133)</f>
        <v>0</v>
      </c>
      <c r="E130" s="170">
        <f t="shared" ref="E130:J130" si="25">SUM(E131:E133)</f>
        <v>0</v>
      </c>
      <c r="F130" s="170">
        <f t="shared" si="25"/>
        <v>0</v>
      </c>
      <c r="G130" s="170" t="e">
        <f t="shared" si="25"/>
        <v>#N/A</v>
      </c>
      <c r="H130" s="170" t="e">
        <f t="shared" si="25"/>
        <v>#N/A</v>
      </c>
      <c r="I130" s="170" t="e">
        <f t="shared" si="25"/>
        <v>#N/A</v>
      </c>
      <c r="J130" s="170" t="e">
        <f t="shared" si="25"/>
        <v>#N/A</v>
      </c>
    </row>
    <row r="131" spans="1:10" x14ac:dyDescent="0.2">
      <c r="A131" s="68"/>
      <c r="B131" s="68" t="s">
        <v>521</v>
      </c>
      <c r="C131" s="97">
        <f>'Compte Résultat ML'!C131*C$5</f>
        <v>0</v>
      </c>
      <c r="D131" s="97">
        <f>'Compte Résultat ML'!D131*D$5</f>
        <v>0</v>
      </c>
      <c r="E131" s="97">
        <f>'Compte Résultat ML'!E131*E$5</f>
        <v>0</v>
      </c>
      <c r="F131" s="97">
        <f>'Compte Résultat ML'!F131*F$5</f>
        <v>0</v>
      </c>
      <c r="G131" s="97">
        <f>'Compte Résultat ML'!G131*G$5</f>
        <v>485745</v>
      </c>
      <c r="H131" s="97">
        <f>'Compte Résultat ML'!H131*H$5</f>
        <v>427089</v>
      </c>
      <c r="I131" s="97">
        <f>'Compte Résultat ML'!I131*I$5</f>
        <v>359268</v>
      </c>
      <c r="J131" s="97">
        <f>'Compte Résultat ML'!J131*J$5</f>
        <v>350103</v>
      </c>
    </row>
    <row r="132" spans="1:10" x14ac:dyDescent="0.2">
      <c r="A132" s="68"/>
      <c r="B132" s="68" t="s">
        <v>522</v>
      </c>
      <c r="C132" s="97">
        <f>'Compte Résultat ML'!C132*C$5</f>
        <v>0</v>
      </c>
      <c r="D132" s="97">
        <f>'Compte Résultat ML'!D132*D$5</f>
        <v>0</v>
      </c>
      <c r="E132" s="97">
        <f>'Compte Résultat ML'!E132*E$5</f>
        <v>0</v>
      </c>
      <c r="F132" s="97">
        <f>'Compte Résultat ML'!F132*F$5</f>
        <v>0</v>
      </c>
      <c r="G132" s="97">
        <f>'Compte Résultat ML'!G132*G$5</f>
        <v>172250</v>
      </c>
      <c r="H132" s="97">
        <f>'Compte Résultat ML'!H132*H$5</f>
        <v>151450</v>
      </c>
      <c r="I132" s="97">
        <f>'Compte Résultat ML'!I132*I$5</f>
        <v>127400</v>
      </c>
      <c r="J132" s="97">
        <f>'Compte Résultat ML'!J132*J$5</f>
        <v>124150</v>
      </c>
    </row>
    <row r="133" spans="1:10" x14ac:dyDescent="0.2">
      <c r="A133" s="68"/>
      <c r="B133" s="68" t="s">
        <v>523</v>
      </c>
      <c r="C133" s="97">
        <f>'Compte Résultat ML'!C133*C$5</f>
        <v>0</v>
      </c>
      <c r="D133" s="97">
        <f>'Compte Résultat ML'!D133*D$5</f>
        <v>0</v>
      </c>
      <c r="E133" s="97">
        <f>'Compte Résultat ML'!E133*E$5</f>
        <v>0</v>
      </c>
      <c r="F133" s="97">
        <f>'Compte Résultat ML'!F133*F$5</f>
        <v>0</v>
      </c>
      <c r="G133" s="97" t="e">
        <f>'Compte Résultat ML'!G133*G$5</f>
        <v>#N/A</v>
      </c>
      <c r="H133" s="97" t="e">
        <f>'Compte Résultat ML'!H133*H$5</f>
        <v>#N/A</v>
      </c>
      <c r="I133" s="97" t="e">
        <f>'Compte Résultat ML'!I133*I$5</f>
        <v>#N/A</v>
      </c>
      <c r="J133" s="97" t="e">
        <f>'Compte Résultat ML'!J133*J$5</f>
        <v>#N/A</v>
      </c>
    </row>
    <row r="134" spans="1:10" x14ac:dyDescent="0.2">
      <c r="A134" s="68"/>
      <c r="B134" s="172" t="s">
        <v>537</v>
      </c>
      <c r="C134" s="173">
        <f>IF('Hypothèses '!$C$7="partenaire",IF('Hypothèses '!D$14="oui",2%,0),0)</f>
        <v>0</v>
      </c>
      <c r="D134" s="173">
        <f>IF('Hypothèses '!$C$7="partenaire",IF('Hypothèses '!E$14="oui",2%,0),0)</f>
        <v>0</v>
      </c>
      <c r="E134" s="173">
        <f>IF('Hypothèses '!$C$7="partenaire",IF('Hypothèses '!F$14="oui",2%,0),0)</f>
        <v>0</v>
      </c>
      <c r="F134" s="173">
        <f>IF('Hypothèses '!$C$7="partenaire",IF('Hypothèses '!G$14="oui",2%,0),0)</f>
        <v>0</v>
      </c>
      <c r="G134" s="173">
        <f>IF('Hypothèses '!$C$7="partenaire",IF('Hypothèses '!H$14="oui",2%,0),0)</f>
        <v>0</v>
      </c>
      <c r="H134" s="173">
        <f>IF('Hypothèses '!$C$7="partenaire",IF('Hypothèses '!I$14="oui",2%,0),0)</f>
        <v>0</v>
      </c>
      <c r="I134" s="173">
        <f>IF('Hypothèses '!$C$7="partenaire",IF('Hypothèses '!J$14="oui",2%,0),0)</f>
        <v>0</v>
      </c>
      <c r="J134" s="173">
        <f>IF('Hypothèses '!$C$7="partenaire",IF('Hypothèses '!K$14="oui",2%,0),0)</f>
        <v>0</v>
      </c>
    </row>
    <row r="135" spans="1:10" x14ac:dyDescent="0.2">
      <c r="A135" s="68"/>
      <c r="B135" s="172" t="s">
        <v>538</v>
      </c>
      <c r="C135" s="173">
        <f>IF('Hypothèses '!$C$7="conventionné",1%,IF('Hypothèses '!D$14="oui",1%,0))</f>
        <v>0.01</v>
      </c>
      <c r="D135" s="173">
        <f>IF('Hypothèses '!$C$7="conventionné",1%,IF('Hypothèses '!E$14="oui",1%,0))</f>
        <v>0.01</v>
      </c>
      <c r="E135" s="173">
        <f>IF('Hypothèses '!$C$7="conventionné",1%,IF('Hypothèses '!F$14="oui",1%,0))</f>
        <v>0.01</v>
      </c>
      <c r="F135" s="173">
        <f>IF('Hypothèses '!$C$7="conventionné",1%,IF('Hypothèses '!G$14="oui",1%,0))</f>
        <v>0.01</v>
      </c>
      <c r="G135" s="173">
        <f>IF('Hypothèses '!$C$7="conventionné",1%,IF('Hypothèses '!H$14="oui",1%,0))</f>
        <v>0.01</v>
      </c>
      <c r="H135" s="173">
        <f>IF('Hypothèses '!$C$7="conventionné",1%,IF('Hypothèses '!I$14="oui",1%,0))</f>
        <v>0.01</v>
      </c>
      <c r="I135" s="173">
        <f>IF('Hypothèses '!$C$7="conventionné",1%,IF('Hypothèses '!J$14="oui",1%,0))</f>
        <v>0.01</v>
      </c>
      <c r="J135" s="173">
        <f>IF('Hypothèses '!$C$7="conventionné",1%,IF('Hypothèses '!K$14="oui",1%,0))</f>
        <v>0.01</v>
      </c>
    </row>
    <row r="136" spans="1:10" ht="16" x14ac:dyDescent="0.2">
      <c r="A136" s="120" t="s">
        <v>126</v>
      </c>
      <c r="B136" s="152" t="s">
        <v>545</v>
      </c>
      <c r="C136" s="152" t="e">
        <f>C137+C141+C146+C156</f>
        <v>#N/A</v>
      </c>
      <c r="D136" s="152" t="e">
        <f t="shared" ref="D136:J136" si="26">D137+D141+D146+D156</f>
        <v>#N/A</v>
      </c>
      <c r="E136" s="152" t="e">
        <f t="shared" si="26"/>
        <v>#N/A</v>
      </c>
      <c r="F136" s="152" t="e">
        <f t="shared" si="26"/>
        <v>#N/A</v>
      </c>
      <c r="G136" s="152" t="e">
        <f t="shared" si="26"/>
        <v>#N/A</v>
      </c>
      <c r="H136" s="152" t="e">
        <f t="shared" si="26"/>
        <v>#N/A</v>
      </c>
      <c r="I136" s="152" t="e">
        <f t="shared" si="26"/>
        <v>#N/A</v>
      </c>
      <c r="J136" s="152" t="e">
        <f t="shared" si="26"/>
        <v>#N/A</v>
      </c>
    </row>
    <row r="137" spans="1:10" x14ac:dyDescent="0.2">
      <c r="A137" s="99"/>
      <c r="B137" s="120" t="s">
        <v>542</v>
      </c>
      <c r="C137" s="155" t="e">
        <f>SUM(C138:C140)</f>
        <v>#N/A</v>
      </c>
      <c r="D137" s="155" t="e">
        <f t="shared" ref="D137:J137" si="27">SUM(D138:D140)</f>
        <v>#N/A</v>
      </c>
      <c r="E137" s="155" t="e">
        <f t="shared" si="27"/>
        <v>#N/A</v>
      </c>
      <c r="F137" s="155" t="e">
        <f t="shared" si="27"/>
        <v>#N/A</v>
      </c>
      <c r="G137" s="155" t="e">
        <f t="shared" si="27"/>
        <v>#N/A</v>
      </c>
      <c r="H137" s="155" t="e">
        <f t="shared" si="27"/>
        <v>#N/A</v>
      </c>
      <c r="I137" s="155" t="e">
        <f t="shared" si="27"/>
        <v>#N/A</v>
      </c>
      <c r="J137" s="155" t="e">
        <f t="shared" si="27"/>
        <v>#N/A</v>
      </c>
    </row>
    <row r="138" spans="1:10" ht="19" x14ac:dyDescent="0.25">
      <c r="A138" s="160"/>
      <c r="B138" s="99" t="s">
        <v>540</v>
      </c>
      <c r="C138" s="103">
        <f>'Compte Résultat ML'!C138*C$5</f>
        <v>0</v>
      </c>
      <c r="D138" s="103">
        <f>'Compte Résultat ML'!D138*D$5</f>
        <v>0</v>
      </c>
      <c r="E138" s="103">
        <f>'Compte Résultat ML'!E138*E$5</f>
        <v>0</v>
      </c>
      <c r="F138" s="103">
        <f>'Compte Résultat ML'!F138*F$5</f>
        <v>0</v>
      </c>
      <c r="G138" s="103">
        <f>'Compte Résultat ML'!G138*G$5</f>
        <v>0</v>
      </c>
      <c r="H138" s="103">
        <f>'Compte Résultat ML'!H138*H$5</f>
        <v>0</v>
      </c>
      <c r="I138" s="103">
        <f>'Compte Résultat ML'!I138*I$5</f>
        <v>0</v>
      </c>
      <c r="J138" s="103">
        <f>'Compte Résultat ML'!J138*J$5</f>
        <v>0</v>
      </c>
    </row>
    <row r="139" spans="1:10" ht="19" x14ac:dyDescent="0.25">
      <c r="A139" s="160"/>
      <c r="B139" s="99" t="s">
        <v>541</v>
      </c>
      <c r="C139" s="103">
        <f>'Compte Résultat ML'!C139*C$5</f>
        <v>0</v>
      </c>
      <c r="D139" s="103">
        <f>'Compte Résultat ML'!D139*D$5</f>
        <v>0</v>
      </c>
      <c r="E139" s="103">
        <f>'Compte Résultat ML'!E139*E$5</f>
        <v>0</v>
      </c>
      <c r="F139" s="103">
        <f>'Compte Résultat ML'!F139*F$5</f>
        <v>0</v>
      </c>
      <c r="G139" s="103">
        <f>'Compte Résultat ML'!G139*G$5</f>
        <v>0</v>
      </c>
      <c r="H139" s="103">
        <f>'Compte Résultat ML'!H139*H$5</f>
        <v>0</v>
      </c>
      <c r="I139" s="103">
        <f>'Compte Résultat ML'!I139*I$5</f>
        <v>0</v>
      </c>
      <c r="J139" s="103">
        <f>'Compte Résultat ML'!J139*J$5</f>
        <v>0</v>
      </c>
    </row>
    <row r="140" spans="1:10" ht="19" x14ac:dyDescent="0.25">
      <c r="A140" s="160"/>
      <c r="B140" s="99" t="s">
        <v>539</v>
      </c>
      <c r="C140" s="103" t="e">
        <f>'Compte Résultat ML'!C140*C$5</f>
        <v>#N/A</v>
      </c>
      <c r="D140" s="103" t="e">
        <f>'Compte Résultat ML'!D140*D$5</f>
        <v>#N/A</v>
      </c>
      <c r="E140" s="103" t="e">
        <f>'Compte Résultat ML'!E140*E$5</f>
        <v>#N/A</v>
      </c>
      <c r="F140" s="103" t="e">
        <f>'Compte Résultat ML'!F140*F$5</f>
        <v>#N/A</v>
      </c>
      <c r="G140" s="103" t="e">
        <f>'Compte Résultat ML'!G140*G$5</f>
        <v>#N/A</v>
      </c>
      <c r="H140" s="103" t="e">
        <f>'Compte Résultat ML'!H140*H$5</f>
        <v>#N/A</v>
      </c>
      <c r="I140" s="103" t="e">
        <f>'Compte Résultat ML'!I140*I$5</f>
        <v>#N/A</v>
      </c>
      <c r="J140" s="103" t="e">
        <f>'Compte Résultat ML'!J140*J$5</f>
        <v>#N/A</v>
      </c>
    </row>
    <row r="141" spans="1:10" x14ac:dyDescent="0.2">
      <c r="A141" s="99"/>
      <c r="B141" s="120" t="s">
        <v>513</v>
      </c>
      <c r="C141" s="155">
        <f>SUM(C142:C145)</f>
        <v>0</v>
      </c>
      <c r="D141" s="155">
        <f t="shared" ref="D141:J141" si="28">SUM(D142:D145)</f>
        <v>0</v>
      </c>
      <c r="E141" s="155">
        <f t="shared" si="28"/>
        <v>0</v>
      </c>
      <c r="F141" s="155">
        <f t="shared" si="28"/>
        <v>0</v>
      </c>
      <c r="G141" s="155">
        <f t="shared" si="28"/>
        <v>0</v>
      </c>
      <c r="H141" s="155">
        <f t="shared" si="28"/>
        <v>0</v>
      </c>
      <c r="I141" s="155">
        <f t="shared" si="28"/>
        <v>0</v>
      </c>
      <c r="J141" s="155">
        <f t="shared" si="28"/>
        <v>0</v>
      </c>
    </row>
    <row r="142" spans="1:10" x14ac:dyDescent="0.2">
      <c r="A142" s="99"/>
      <c r="B142" s="99" t="s">
        <v>529</v>
      </c>
      <c r="C142" s="103">
        <f>'Compte Résultat ML'!C142*C$5</f>
        <v>0</v>
      </c>
      <c r="D142" s="103">
        <f>'Compte Résultat ML'!D142*D$5</f>
        <v>0</v>
      </c>
      <c r="E142" s="103">
        <f>'Compte Résultat ML'!E142*E$5</f>
        <v>0</v>
      </c>
      <c r="F142" s="103">
        <f>'Compte Résultat ML'!F142*F$5</f>
        <v>0</v>
      </c>
      <c r="G142" s="103">
        <f>'Compte Résultat ML'!G142*G$5</f>
        <v>0</v>
      </c>
      <c r="H142" s="103">
        <f>'Compte Résultat ML'!H142*H$5</f>
        <v>0</v>
      </c>
      <c r="I142" s="103">
        <f>'Compte Résultat ML'!I142*I$5</f>
        <v>0</v>
      </c>
      <c r="J142" s="103">
        <f>'Compte Résultat ML'!J142*J$5</f>
        <v>0</v>
      </c>
    </row>
    <row r="143" spans="1:10" x14ac:dyDescent="0.2">
      <c r="A143" s="99"/>
      <c r="B143" s="99" t="s">
        <v>530</v>
      </c>
      <c r="C143" s="103">
        <f>'Compte Résultat ML'!C143*C$5</f>
        <v>0</v>
      </c>
      <c r="D143" s="103">
        <f>'Compte Résultat ML'!D143*D$5</f>
        <v>0</v>
      </c>
      <c r="E143" s="103">
        <f>'Compte Résultat ML'!E143*E$5</f>
        <v>0</v>
      </c>
      <c r="F143" s="103">
        <f>'Compte Résultat ML'!F143*F$5</f>
        <v>0</v>
      </c>
      <c r="G143" s="103">
        <f>'Compte Résultat ML'!G143*G$5</f>
        <v>0</v>
      </c>
      <c r="H143" s="103">
        <f>'Compte Résultat ML'!H143*H$5</f>
        <v>0</v>
      </c>
      <c r="I143" s="103">
        <f>'Compte Résultat ML'!I143*I$5</f>
        <v>0</v>
      </c>
      <c r="J143" s="103">
        <f>'Compte Résultat ML'!J143*J$5</f>
        <v>0</v>
      </c>
    </row>
    <row r="144" spans="1:10" x14ac:dyDescent="0.2">
      <c r="A144" s="99"/>
      <c r="B144" s="99" t="s">
        <v>531</v>
      </c>
      <c r="C144" s="103">
        <f>'Compte Résultat ML'!C144*C$5</f>
        <v>0</v>
      </c>
      <c r="D144" s="103">
        <f>'Compte Résultat ML'!D144*D$5</f>
        <v>0</v>
      </c>
      <c r="E144" s="103">
        <f>'Compte Résultat ML'!E144*E$5</f>
        <v>0</v>
      </c>
      <c r="F144" s="103">
        <f>'Compte Résultat ML'!F144*F$5</f>
        <v>0</v>
      </c>
      <c r="G144" s="103">
        <f>'Compte Résultat ML'!G144*G$5</f>
        <v>0</v>
      </c>
      <c r="H144" s="103">
        <f>'Compte Résultat ML'!H144*H$5</f>
        <v>0</v>
      </c>
      <c r="I144" s="103">
        <f>'Compte Résultat ML'!I144*I$5</f>
        <v>0</v>
      </c>
      <c r="J144" s="103">
        <f>'Compte Résultat ML'!J144*J$5</f>
        <v>0</v>
      </c>
    </row>
    <row r="145" spans="1:10" x14ac:dyDescent="0.2">
      <c r="A145" s="99"/>
      <c r="B145" s="99" t="s">
        <v>532</v>
      </c>
      <c r="C145" s="103">
        <f>'Compte Résultat ML'!C145*C$5</f>
        <v>0</v>
      </c>
      <c r="D145" s="103">
        <f>'Compte Résultat ML'!D145*D$5</f>
        <v>0</v>
      </c>
      <c r="E145" s="103">
        <f>'Compte Résultat ML'!E145*E$5</f>
        <v>0</v>
      </c>
      <c r="F145" s="103">
        <f>'Compte Résultat ML'!F145*F$5</f>
        <v>0</v>
      </c>
      <c r="G145" s="103">
        <f>'Compte Résultat ML'!G145*G$5</f>
        <v>0</v>
      </c>
      <c r="H145" s="103">
        <f>'Compte Résultat ML'!H145*H$5</f>
        <v>0</v>
      </c>
      <c r="I145" s="103">
        <f>'Compte Résultat ML'!I145*I$5</f>
        <v>0</v>
      </c>
      <c r="J145" s="103">
        <f>'Compte Résultat ML'!J145*J$5</f>
        <v>0</v>
      </c>
    </row>
    <row r="146" spans="1:10" x14ac:dyDescent="0.2">
      <c r="A146" s="99"/>
      <c r="B146" s="120" t="s">
        <v>516</v>
      </c>
      <c r="C146" s="155">
        <f>SUM(C147:C155)</f>
        <v>0</v>
      </c>
      <c r="D146" s="155">
        <f t="shared" ref="D146:J146" si="29">SUM(D147:D155)</f>
        <v>0</v>
      </c>
      <c r="E146" s="155">
        <f t="shared" si="29"/>
        <v>0</v>
      </c>
      <c r="F146" s="155">
        <f t="shared" si="29"/>
        <v>0</v>
      </c>
      <c r="G146" s="155">
        <f t="shared" si="29"/>
        <v>0</v>
      </c>
      <c r="H146" s="155">
        <f t="shared" si="29"/>
        <v>0</v>
      </c>
      <c r="I146" s="155">
        <f t="shared" si="29"/>
        <v>0</v>
      </c>
      <c r="J146" s="155">
        <f t="shared" si="29"/>
        <v>0</v>
      </c>
    </row>
    <row r="147" spans="1:10" x14ac:dyDescent="0.2">
      <c r="A147" s="99"/>
      <c r="B147" s="99" t="s">
        <v>510</v>
      </c>
      <c r="C147" s="103">
        <f>'Compte Résultat ML'!C147*C$5</f>
        <v>0</v>
      </c>
      <c r="D147" s="103">
        <f>'Compte Résultat ML'!D147*D$5</f>
        <v>0</v>
      </c>
      <c r="E147" s="103">
        <f>'Compte Résultat ML'!E147*E$5</f>
        <v>0</v>
      </c>
      <c r="F147" s="103">
        <f>'Compte Résultat ML'!F147*F$5</f>
        <v>0</v>
      </c>
      <c r="G147" s="103">
        <f>'Compte Résultat ML'!G147*G$5</f>
        <v>0</v>
      </c>
      <c r="H147" s="103">
        <f>'Compte Résultat ML'!H147*H$5</f>
        <v>0</v>
      </c>
      <c r="I147" s="103">
        <f>'Compte Résultat ML'!I147*I$5</f>
        <v>0</v>
      </c>
      <c r="J147" s="103">
        <f>'Compte Résultat ML'!J147*J$5</f>
        <v>0</v>
      </c>
    </row>
    <row r="148" spans="1:10" x14ac:dyDescent="0.2">
      <c r="A148" s="99"/>
      <c r="B148" s="99" t="s">
        <v>528</v>
      </c>
      <c r="C148" s="103">
        <f>'Compte Résultat ML'!C148*C$5</f>
        <v>0</v>
      </c>
      <c r="D148" s="103">
        <f>'Compte Résultat ML'!D148*D$5</f>
        <v>0</v>
      </c>
      <c r="E148" s="103">
        <f>'Compte Résultat ML'!E148*E$5</f>
        <v>0</v>
      </c>
      <c r="F148" s="103">
        <f>'Compte Résultat ML'!F148*F$5</f>
        <v>0</v>
      </c>
      <c r="G148" s="103">
        <f>'Compte Résultat ML'!G148*G$5</f>
        <v>0</v>
      </c>
      <c r="H148" s="103">
        <f>'Compte Résultat ML'!H148*H$5</f>
        <v>0</v>
      </c>
      <c r="I148" s="103">
        <f>'Compte Résultat ML'!I148*I$5</f>
        <v>0</v>
      </c>
      <c r="J148" s="103">
        <f>'Compte Résultat ML'!J148*J$5</f>
        <v>0</v>
      </c>
    </row>
    <row r="149" spans="1:10" x14ac:dyDescent="0.2">
      <c r="A149" s="99"/>
      <c r="B149" s="99" t="s">
        <v>517</v>
      </c>
      <c r="C149" s="103">
        <f>'Compte Résultat ML'!C149*C$5</f>
        <v>0</v>
      </c>
      <c r="D149" s="103">
        <f>'Compte Résultat ML'!D149*D$5</f>
        <v>0</v>
      </c>
      <c r="E149" s="103">
        <f>'Compte Résultat ML'!E149*E$5</f>
        <v>0</v>
      </c>
      <c r="F149" s="103">
        <f>'Compte Résultat ML'!F149*F$5</f>
        <v>0</v>
      </c>
      <c r="G149" s="103">
        <f>'Compte Résultat ML'!G149*G$5</f>
        <v>0</v>
      </c>
      <c r="H149" s="103">
        <f>'Compte Résultat ML'!H149*H$5</f>
        <v>0</v>
      </c>
      <c r="I149" s="103">
        <f>'Compte Résultat ML'!I149*I$5</f>
        <v>0</v>
      </c>
      <c r="J149" s="103">
        <f>'Compte Résultat ML'!J149*J$5</f>
        <v>0</v>
      </c>
    </row>
    <row r="150" spans="1:10" x14ac:dyDescent="0.2">
      <c r="A150" s="99"/>
      <c r="B150" s="99" t="s">
        <v>518</v>
      </c>
      <c r="C150" s="103">
        <f>'Compte Résultat ML'!C150*C$5</f>
        <v>0</v>
      </c>
      <c r="D150" s="103">
        <f>'Compte Résultat ML'!D150*D$5</f>
        <v>0</v>
      </c>
      <c r="E150" s="103">
        <f>'Compte Résultat ML'!E150*E$5</f>
        <v>0</v>
      </c>
      <c r="F150" s="103">
        <f>'Compte Résultat ML'!F150*F$5</f>
        <v>0</v>
      </c>
      <c r="G150" s="103">
        <f>'Compte Résultat ML'!G150*G$5</f>
        <v>0</v>
      </c>
      <c r="H150" s="103">
        <f>'Compte Résultat ML'!H150*H$5</f>
        <v>0</v>
      </c>
      <c r="I150" s="103">
        <f>'Compte Résultat ML'!I150*I$5</f>
        <v>0</v>
      </c>
      <c r="J150" s="103">
        <f>'Compte Résultat ML'!J150*J$5</f>
        <v>0</v>
      </c>
    </row>
    <row r="151" spans="1:10" x14ac:dyDescent="0.2">
      <c r="A151" s="99"/>
      <c r="B151" s="99" t="s">
        <v>511</v>
      </c>
      <c r="C151" s="103">
        <f>'Compte Résultat ML'!C151*C$5</f>
        <v>0</v>
      </c>
      <c r="D151" s="103">
        <f>'Compte Résultat ML'!D151*D$5</f>
        <v>0</v>
      </c>
      <c r="E151" s="103">
        <f>'Compte Résultat ML'!E151*E$5</f>
        <v>0</v>
      </c>
      <c r="F151" s="103">
        <f>'Compte Résultat ML'!F151*F$5</f>
        <v>0</v>
      </c>
      <c r="G151" s="103">
        <f>'Compte Résultat ML'!G151*G$5</f>
        <v>0</v>
      </c>
      <c r="H151" s="103">
        <f>'Compte Résultat ML'!H151*H$5</f>
        <v>0</v>
      </c>
      <c r="I151" s="103">
        <f>'Compte Résultat ML'!I151*I$5</f>
        <v>0</v>
      </c>
      <c r="J151" s="103">
        <f>'Compte Résultat ML'!J151*J$5</f>
        <v>0</v>
      </c>
    </row>
    <row r="152" spans="1:10" x14ac:dyDescent="0.2">
      <c r="A152" s="99"/>
      <c r="B152" s="99" t="s">
        <v>512</v>
      </c>
      <c r="C152" s="103">
        <f>'Compte Résultat ML'!C152*C$5</f>
        <v>0</v>
      </c>
      <c r="D152" s="103">
        <f>'Compte Résultat ML'!D152*D$5</f>
        <v>0</v>
      </c>
      <c r="E152" s="103">
        <f>'Compte Résultat ML'!E152*E$5</f>
        <v>0</v>
      </c>
      <c r="F152" s="103">
        <f>'Compte Résultat ML'!F152*F$5</f>
        <v>0</v>
      </c>
      <c r="G152" s="103">
        <f>'Compte Résultat ML'!G152*G$5</f>
        <v>0</v>
      </c>
      <c r="H152" s="103">
        <f>'Compte Résultat ML'!H152*H$5</f>
        <v>0</v>
      </c>
      <c r="I152" s="103">
        <f>'Compte Résultat ML'!I152*I$5</f>
        <v>0</v>
      </c>
      <c r="J152" s="103">
        <f>'Compte Résultat ML'!J152*J$5</f>
        <v>0</v>
      </c>
    </row>
    <row r="153" spans="1:10" x14ac:dyDescent="0.2">
      <c r="A153" s="99"/>
      <c r="B153" s="99" t="s">
        <v>520</v>
      </c>
      <c r="C153" s="103">
        <f>'Compte Résultat ML'!C153*C$5</f>
        <v>0</v>
      </c>
      <c r="D153" s="103">
        <f>'Compte Résultat ML'!D153*D$5</f>
        <v>0</v>
      </c>
      <c r="E153" s="103">
        <f>'Compte Résultat ML'!E153*E$5</f>
        <v>0</v>
      </c>
      <c r="F153" s="103">
        <f>'Compte Résultat ML'!F153*F$5</f>
        <v>0</v>
      </c>
      <c r="G153" s="103">
        <f>'Compte Résultat ML'!G153*G$5</f>
        <v>0</v>
      </c>
      <c r="H153" s="103">
        <f>'Compte Résultat ML'!H153*H$5</f>
        <v>0</v>
      </c>
      <c r="I153" s="103">
        <f>'Compte Résultat ML'!I153*I$5</f>
        <v>0</v>
      </c>
      <c r="J153" s="103">
        <f>'Compte Résultat ML'!J153*J$5</f>
        <v>0</v>
      </c>
    </row>
    <row r="154" spans="1:10" x14ac:dyDescent="0.2">
      <c r="A154" s="99"/>
      <c r="B154" s="99" t="s">
        <v>526</v>
      </c>
      <c r="C154" s="103">
        <f>'Compte Résultat ML'!C154*C$5</f>
        <v>0</v>
      </c>
      <c r="D154" s="103">
        <f>'Compte Résultat ML'!D154*D$5</f>
        <v>0</v>
      </c>
      <c r="E154" s="103">
        <f>'Compte Résultat ML'!E154*E$5</f>
        <v>0</v>
      </c>
      <c r="F154" s="103">
        <f>'Compte Résultat ML'!F154*F$5</f>
        <v>0</v>
      </c>
      <c r="G154" s="103">
        <f>'Compte Résultat ML'!G154*G$5</f>
        <v>0</v>
      </c>
      <c r="H154" s="103">
        <f>'Compte Résultat ML'!H154*H$5</f>
        <v>0</v>
      </c>
      <c r="I154" s="103">
        <f>'Compte Résultat ML'!I154*I$5</f>
        <v>0</v>
      </c>
      <c r="J154" s="103">
        <f>'Compte Résultat ML'!J154*J$5</f>
        <v>0</v>
      </c>
    </row>
    <row r="155" spans="1:10" x14ac:dyDescent="0.2">
      <c r="A155" s="99"/>
      <c r="B155" s="99" t="s">
        <v>527</v>
      </c>
      <c r="C155" s="103">
        <f>'Compte Résultat ML'!C155*C$5</f>
        <v>0</v>
      </c>
      <c r="D155" s="103">
        <f>'Compte Résultat ML'!D155*D$5</f>
        <v>0</v>
      </c>
      <c r="E155" s="103">
        <f>'Compte Résultat ML'!E155*E$5</f>
        <v>0</v>
      </c>
      <c r="F155" s="103">
        <f>'Compte Résultat ML'!F155*F$5</f>
        <v>0</v>
      </c>
      <c r="G155" s="103">
        <f>'Compte Résultat ML'!G155*G$5</f>
        <v>0</v>
      </c>
      <c r="H155" s="103">
        <f>'Compte Résultat ML'!H155*H$5</f>
        <v>0</v>
      </c>
      <c r="I155" s="103">
        <f>'Compte Résultat ML'!I155*I$5</f>
        <v>0</v>
      </c>
      <c r="J155" s="103">
        <f>'Compte Résultat ML'!J155*J$5</f>
        <v>0</v>
      </c>
    </row>
    <row r="156" spans="1:10" x14ac:dyDescent="0.2">
      <c r="A156" s="99"/>
      <c r="B156" s="120" t="s">
        <v>524</v>
      </c>
      <c r="C156" s="155">
        <f>SUM(C157:C159)</f>
        <v>0</v>
      </c>
      <c r="D156" s="155">
        <f>SUM(D157:D159)</f>
        <v>0</v>
      </c>
      <c r="E156" s="155">
        <f t="shared" ref="E156:J156" si="30">SUM(E157:E159)</f>
        <v>0</v>
      </c>
      <c r="F156" s="155">
        <f t="shared" si="30"/>
        <v>0</v>
      </c>
      <c r="G156" s="155">
        <f t="shared" si="30"/>
        <v>0</v>
      </c>
      <c r="H156" s="155">
        <f t="shared" si="30"/>
        <v>0</v>
      </c>
      <c r="I156" s="155">
        <f t="shared" si="30"/>
        <v>0</v>
      </c>
      <c r="J156" s="155">
        <f t="shared" si="30"/>
        <v>0</v>
      </c>
    </row>
    <row r="157" spans="1:10" x14ac:dyDescent="0.2">
      <c r="A157" s="99"/>
      <c r="B157" s="99" t="s">
        <v>521</v>
      </c>
      <c r="C157" s="103">
        <f>'Compte Résultat ML'!C157*C$5</f>
        <v>0</v>
      </c>
      <c r="D157" s="103">
        <f>'Compte Résultat ML'!D157*D$5</f>
        <v>0</v>
      </c>
      <c r="E157" s="103">
        <f>'Compte Résultat ML'!E157*E$5</f>
        <v>0</v>
      </c>
      <c r="F157" s="103">
        <f>'Compte Résultat ML'!F157*F$5</f>
        <v>0</v>
      </c>
      <c r="G157" s="103">
        <f>'Compte Résultat ML'!G157*G$5</f>
        <v>0</v>
      </c>
      <c r="H157" s="103">
        <f>'Compte Résultat ML'!H157*H$5</f>
        <v>0</v>
      </c>
      <c r="I157" s="103">
        <f>'Compte Résultat ML'!I157*I$5</f>
        <v>0</v>
      </c>
      <c r="J157" s="103">
        <f>'Compte Résultat ML'!J157*J$5</f>
        <v>0</v>
      </c>
    </row>
    <row r="158" spans="1:10" x14ac:dyDescent="0.2">
      <c r="A158" s="99"/>
      <c r="B158" s="99" t="s">
        <v>522</v>
      </c>
      <c r="C158" s="103">
        <f>'Compte Résultat ML'!C158*C$5</f>
        <v>0</v>
      </c>
      <c r="D158" s="103">
        <f>'Compte Résultat ML'!D158*D$5</f>
        <v>0</v>
      </c>
      <c r="E158" s="103">
        <f>'Compte Résultat ML'!E158*E$5</f>
        <v>0</v>
      </c>
      <c r="F158" s="103">
        <f>'Compte Résultat ML'!F158*F$5</f>
        <v>0</v>
      </c>
      <c r="G158" s="103">
        <f>'Compte Résultat ML'!G158*G$5</f>
        <v>0</v>
      </c>
      <c r="H158" s="103">
        <f>'Compte Résultat ML'!H158*H$5</f>
        <v>0</v>
      </c>
      <c r="I158" s="103">
        <f>'Compte Résultat ML'!I158*I$5</f>
        <v>0</v>
      </c>
      <c r="J158" s="103">
        <f>'Compte Résultat ML'!J158*J$5</f>
        <v>0</v>
      </c>
    </row>
    <row r="159" spans="1:10" x14ac:dyDescent="0.2">
      <c r="A159" s="99"/>
      <c r="B159" s="99" t="s">
        <v>523</v>
      </c>
      <c r="C159" s="103">
        <f>'Compte Résultat ML'!C159*C$5</f>
        <v>0</v>
      </c>
      <c r="D159" s="103">
        <f>'Compte Résultat ML'!D159*D$5</f>
        <v>0</v>
      </c>
      <c r="E159" s="103">
        <f>'Compte Résultat ML'!E159*E$5</f>
        <v>0</v>
      </c>
      <c r="F159" s="103">
        <f>'Compte Résultat ML'!F159*F$5</f>
        <v>0</v>
      </c>
      <c r="G159" s="103">
        <f>'Compte Résultat ML'!G159*G$5</f>
        <v>0</v>
      </c>
      <c r="H159" s="103">
        <f>'Compte Résultat ML'!H159*H$5</f>
        <v>0</v>
      </c>
      <c r="I159" s="103">
        <f>'Compte Résultat ML'!I159*I$5</f>
        <v>0</v>
      </c>
      <c r="J159" s="103">
        <f>'Compte Résultat ML'!J159*J$5</f>
        <v>0</v>
      </c>
    </row>
    <row r="160" spans="1:10" x14ac:dyDescent="0.2">
      <c r="A160" s="99"/>
      <c r="B160" s="119" t="s">
        <v>537</v>
      </c>
      <c r="C160" s="162">
        <f>IF('Hypothèses '!$C$7="partenaire",IF('Hypothèses '!D$15="oui",2%,0),0)</f>
        <v>0</v>
      </c>
      <c r="D160" s="162">
        <f>IF('Hypothèses '!$C$7="partenaire",IF('Hypothèses '!E$15="oui",2%,0),0)</f>
        <v>0</v>
      </c>
      <c r="E160" s="162">
        <f>IF('Hypothèses '!$C$7="partenaire",IF('Hypothèses '!F$15="oui",2%,0),0)</f>
        <v>0</v>
      </c>
      <c r="F160" s="162">
        <f>IF('Hypothèses '!$C$7="partenaire",IF('Hypothèses '!G$15="oui",2%,0),0)</f>
        <v>0</v>
      </c>
      <c r="G160" s="162">
        <f>IF('Hypothèses '!$C$7="partenaire",IF('Hypothèses '!H$15="oui",2%,0),0)</f>
        <v>0</v>
      </c>
      <c r="H160" s="162">
        <f>IF('Hypothèses '!$C$7="partenaire",IF('Hypothèses '!I$15="oui",2%,0),0)</f>
        <v>0</v>
      </c>
      <c r="I160" s="162">
        <f>IF('Hypothèses '!$C$7="partenaire",IF('Hypothèses '!J$15="oui",2%,0),0)</f>
        <v>0</v>
      </c>
      <c r="J160" s="162">
        <f>IF('Hypothèses '!$C$7="partenaire",IF('Hypothèses '!K$15="oui",2%,0),0)</f>
        <v>0</v>
      </c>
    </row>
    <row r="161" spans="1:11" x14ac:dyDescent="0.2">
      <c r="A161" s="99"/>
      <c r="B161" s="119" t="s">
        <v>538</v>
      </c>
      <c r="C161" s="162">
        <f>IF('Hypothèses '!$C$7="conventionné",1%,IF('Hypothèses '!D$15="oui",1%,0))</f>
        <v>0.01</v>
      </c>
      <c r="D161" s="162">
        <f>IF('Hypothèses '!$C$7="conventionné",1%,IF('Hypothèses '!E$15="oui",1%,0))</f>
        <v>0.01</v>
      </c>
      <c r="E161" s="162">
        <f>IF('Hypothèses '!$C$7="conventionné",1%,IF('Hypothèses '!F$15="oui",1%,0))</f>
        <v>0.01</v>
      </c>
      <c r="F161" s="162">
        <f>IF('Hypothèses '!$C$7="conventionné",1%,IF('Hypothèses '!G$15="oui",1%,0))</f>
        <v>0.01</v>
      </c>
      <c r="G161" s="162">
        <f>IF('Hypothèses '!$C$7="conventionné",1%,IF('Hypothèses '!H$15="oui",1%,0))</f>
        <v>0.01</v>
      </c>
      <c r="H161" s="162">
        <f>IF('Hypothèses '!$C$7="conventionné",1%,IF('Hypothèses '!I$15="oui",1%,0))</f>
        <v>0.01</v>
      </c>
      <c r="I161" s="162">
        <f>IF('Hypothèses '!$C$7="conventionné",1%,IF('Hypothèses '!J$15="oui",1%,0))</f>
        <v>0.01</v>
      </c>
      <c r="J161" s="162">
        <f>IF('Hypothèses '!$C$7="conventionné",1%,IF('Hypothèses '!K$15="oui",1%,0))</f>
        <v>0.01</v>
      </c>
    </row>
    <row r="162" spans="1:11" ht="16" x14ac:dyDescent="0.2">
      <c r="A162" s="137" t="s">
        <v>498</v>
      </c>
      <c r="B162" s="153" t="s">
        <v>546</v>
      </c>
      <c r="C162" s="153" t="e">
        <f>C163+C167+C172+C182</f>
        <v>#N/A</v>
      </c>
      <c r="D162" s="153" t="e">
        <f t="shared" ref="D162:J162" si="31">D163+D167+D172+D182</f>
        <v>#N/A</v>
      </c>
      <c r="E162" s="153" t="e">
        <f t="shared" si="31"/>
        <v>#N/A</v>
      </c>
      <c r="F162" s="153" t="e">
        <f t="shared" si="31"/>
        <v>#N/A</v>
      </c>
      <c r="G162" s="153" t="e">
        <f t="shared" si="31"/>
        <v>#N/A</v>
      </c>
      <c r="H162" s="153" t="e">
        <f t="shared" si="31"/>
        <v>#N/A</v>
      </c>
      <c r="I162" s="153" t="e">
        <f t="shared" si="31"/>
        <v>#N/A</v>
      </c>
      <c r="J162" s="153" t="e">
        <f t="shared" si="31"/>
        <v>#N/A</v>
      </c>
    </row>
    <row r="163" spans="1:11" x14ac:dyDescent="0.2">
      <c r="A163" s="128"/>
      <c r="B163" s="137" t="s">
        <v>542</v>
      </c>
      <c r="C163" s="163" t="e">
        <f>SUM(C164:C166)</f>
        <v>#N/A</v>
      </c>
      <c r="D163" s="163" t="e">
        <f t="shared" ref="D163:J163" si="32">SUM(D164:D166)</f>
        <v>#N/A</v>
      </c>
      <c r="E163" s="163" t="e">
        <f t="shared" si="32"/>
        <v>#N/A</v>
      </c>
      <c r="F163" s="163" t="e">
        <f t="shared" si="32"/>
        <v>#N/A</v>
      </c>
      <c r="G163" s="163" t="e">
        <f t="shared" si="32"/>
        <v>#N/A</v>
      </c>
      <c r="H163" s="163" t="e">
        <f t="shared" si="32"/>
        <v>#N/A</v>
      </c>
      <c r="I163" s="163" t="e">
        <f t="shared" si="32"/>
        <v>#N/A</v>
      </c>
      <c r="J163" s="163" t="e">
        <f t="shared" si="32"/>
        <v>#N/A</v>
      </c>
    </row>
    <row r="164" spans="1:11" ht="19" x14ac:dyDescent="0.25">
      <c r="A164" s="164"/>
      <c r="B164" s="128" t="s">
        <v>540</v>
      </c>
      <c r="C164" s="154">
        <f>'Compte Résultat ML'!C164*C$5</f>
        <v>0</v>
      </c>
      <c r="D164" s="154">
        <f>'Compte Résultat ML'!D164*D$5</f>
        <v>0</v>
      </c>
      <c r="E164" s="154">
        <f>'Compte Résultat ML'!E164*E$5</f>
        <v>0</v>
      </c>
      <c r="F164" s="154">
        <f>'Compte Résultat ML'!F164*F$5</f>
        <v>0</v>
      </c>
      <c r="G164" s="154">
        <f>'Compte Résultat ML'!G164*G$5</f>
        <v>0</v>
      </c>
      <c r="H164" s="154">
        <f>'Compte Résultat ML'!H164*H$5</f>
        <v>0</v>
      </c>
      <c r="I164" s="154">
        <f>'Compte Résultat ML'!I164*I$5</f>
        <v>0</v>
      </c>
      <c r="J164" s="154">
        <f>'Compte Résultat ML'!J164*J$5</f>
        <v>0</v>
      </c>
    </row>
    <row r="165" spans="1:11" ht="19" x14ac:dyDescent="0.25">
      <c r="A165" s="164"/>
      <c r="B165" s="128" t="s">
        <v>541</v>
      </c>
      <c r="C165" s="154">
        <f>'Compte Résultat ML'!C165*C$5</f>
        <v>0</v>
      </c>
      <c r="D165" s="154">
        <f>'Compte Résultat ML'!D165*D$5</f>
        <v>0</v>
      </c>
      <c r="E165" s="154">
        <f>'Compte Résultat ML'!E165*E$5</f>
        <v>0</v>
      </c>
      <c r="F165" s="154">
        <f>'Compte Résultat ML'!F165*F$5</f>
        <v>0</v>
      </c>
      <c r="G165" s="154">
        <f>'Compte Résultat ML'!G165*G$5</f>
        <v>0</v>
      </c>
      <c r="H165" s="154">
        <f>'Compte Résultat ML'!H165*H$5</f>
        <v>0</v>
      </c>
      <c r="I165" s="154">
        <f>'Compte Résultat ML'!I165*I$5</f>
        <v>0</v>
      </c>
      <c r="J165" s="154">
        <f>'Compte Résultat ML'!J165*J$5</f>
        <v>0</v>
      </c>
    </row>
    <row r="166" spans="1:11" ht="19" x14ac:dyDescent="0.25">
      <c r="A166" s="164"/>
      <c r="B166" s="128" t="s">
        <v>539</v>
      </c>
      <c r="C166" s="154" t="e">
        <f>'Compte Résultat ML'!C166*C$5</f>
        <v>#N/A</v>
      </c>
      <c r="D166" s="154" t="e">
        <f>'Compte Résultat ML'!D166*D$5</f>
        <v>#N/A</v>
      </c>
      <c r="E166" s="154" t="e">
        <f>'Compte Résultat ML'!E166*E$5</f>
        <v>#N/A</v>
      </c>
      <c r="F166" s="154" t="e">
        <f>'Compte Résultat ML'!F166*F$5</f>
        <v>#N/A</v>
      </c>
      <c r="G166" s="154" t="e">
        <f>'Compte Résultat ML'!G166*G$5</f>
        <v>#N/A</v>
      </c>
      <c r="H166" s="154" t="e">
        <f>'Compte Résultat ML'!H166*H$5</f>
        <v>#N/A</v>
      </c>
      <c r="I166" s="154" t="e">
        <f>'Compte Résultat ML'!I166*I$5</f>
        <v>#N/A</v>
      </c>
      <c r="J166" s="154" t="e">
        <f>'Compte Résultat ML'!J166*J$5</f>
        <v>#N/A</v>
      </c>
    </row>
    <row r="167" spans="1:11" x14ac:dyDescent="0.2">
      <c r="A167" s="128"/>
      <c r="B167" s="137" t="s">
        <v>513</v>
      </c>
      <c r="C167" s="163">
        <f>SUM(C168:C171)</f>
        <v>0</v>
      </c>
      <c r="D167" s="163">
        <f t="shared" ref="D167:J167" si="33">SUM(D168:D171)</f>
        <v>0</v>
      </c>
      <c r="E167" s="163">
        <f t="shared" si="33"/>
        <v>0</v>
      </c>
      <c r="F167" s="163">
        <f t="shared" si="33"/>
        <v>0</v>
      </c>
      <c r="G167" s="163">
        <f t="shared" si="33"/>
        <v>0</v>
      </c>
      <c r="H167" s="163">
        <f t="shared" si="33"/>
        <v>0</v>
      </c>
      <c r="I167" s="163">
        <f t="shared" si="33"/>
        <v>0</v>
      </c>
      <c r="J167" s="163">
        <f t="shared" si="33"/>
        <v>0</v>
      </c>
    </row>
    <row r="168" spans="1:11" x14ac:dyDescent="0.2">
      <c r="A168" s="128"/>
      <c r="B168" s="128" t="s">
        <v>529</v>
      </c>
      <c r="C168" s="154">
        <f>'Compte Résultat ML'!C168*C$5</f>
        <v>0</v>
      </c>
      <c r="D168" s="154">
        <f>'Compte Résultat ML'!D168*D$5</f>
        <v>0</v>
      </c>
      <c r="E168" s="154">
        <f>'Compte Résultat ML'!E168*E$5</f>
        <v>0</v>
      </c>
      <c r="F168" s="154">
        <f>'Compte Résultat ML'!F168*F$5</f>
        <v>0</v>
      </c>
      <c r="G168" s="154">
        <f>'Compte Résultat ML'!G168*G$5</f>
        <v>0</v>
      </c>
      <c r="H168" s="154">
        <f>'Compte Résultat ML'!H168*H$5</f>
        <v>0</v>
      </c>
      <c r="I168" s="154">
        <f>'Compte Résultat ML'!I168*I$5</f>
        <v>0</v>
      </c>
      <c r="J168" s="154">
        <f>'Compte Résultat ML'!J168*J$5</f>
        <v>0</v>
      </c>
      <c r="K168" s="27"/>
    </row>
    <row r="169" spans="1:11" x14ac:dyDescent="0.2">
      <c r="A169" s="128"/>
      <c r="B169" s="128" t="s">
        <v>530</v>
      </c>
      <c r="C169" s="154">
        <f>'Compte Résultat ML'!C169*C$5</f>
        <v>0</v>
      </c>
      <c r="D169" s="154">
        <f>'Compte Résultat ML'!D169*D$5</f>
        <v>0</v>
      </c>
      <c r="E169" s="154">
        <f>'Compte Résultat ML'!E169*E$5</f>
        <v>0</v>
      </c>
      <c r="F169" s="154">
        <f>'Compte Résultat ML'!F169*F$5</f>
        <v>0</v>
      </c>
      <c r="G169" s="154">
        <f>'Compte Résultat ML'!G169*G$5</f>
        <v>0</v>
      </c>
      <c r="H169" s="154">
        <f>'Compte Résultat ML'!H169*H$5</f>
        <v>0</v>
      </c>
      <c r="I169" s="154">
        <f>'Compte Résultat ML'!I169*I$5</f>
        <v>0</v>
      </c>
      <c r="J169" s="154">
        <f>'Compte Résultat ML'!J169*J$5</f>
        <v>0</v>
      </c>
    </row>
    <row r="170" spans="1:11" x14ac:dyDescent="0.2">
      <c r="A170" s="128"/>
      <c r="B170" s="128" t="s">
        <v>531</v>
      </c>
      <c r="C170" s="154">
        <f>'Compte Résultat ML'!C170*C$5</f>
        <v>0</v>
      </c>
      <c r="D170" s="154">
        <f>'Compte Résultat ML'!D170*D$5</f>
        <v>0</v>
      </c>
      <c r="E170" s="154">
        <f>'Compte Résultat ML'!E170*E$5</f>
        <v>0</v>
      </c>
      <c r="F170" s="154">
        <f>'Compte Résultat ML'!F170*F$5</f>
        <v>0</v>
      </c>
      <c r="G170" s="154">
        <f>'Compte Résultat ML'!G170*G$5</f>
        <v>0</v>
      </c>
      <c r="H170" s="154">
        <f>'Compte Résultat ML'!H170*H$5</f>
        <v>0</v>
      </c>
      <c r="I170" s="154">
        <f>'Compte Résultat ML'!I170*I$5</f>
        <v>0</v>
      </c>
      <c r="J170" s="154">
        <f>'Compte Résultat ML'!J170*J$5</f>
        <v>0</v>
      </c>
    </row>
    <row r="171" spans="1:11" x14ac:dyDescent="0.2">
      <c r="A171" s="128"/>
      <c r="B171" s="128" t="s">
        <v>532</v>
      </c>
      <c r="C171" s="154">
        <f>'Compte Résultat ML'!C171*C$5</f>
        <v>0</v>
      </c>
      <c r="D171" s="154">
        <f>'Compte Résultat ML'!D171*D$5</f>
        <v>0</v>
      </c>
      <c r="E171" s="154">
        <f>'Compte Résultat ML'!E171*E$5</f>
        <v>0</v>
      </c>
      <c r="F171" s="154">
        <f>'Compte Résultat ML'!F171*F$5</f>
        <v>0</v>
      </c>
      <c r="G171" s="154">
        <f>'Compte Résultat ML'!G171*G$5</f>
        <v>0</v>
      </c>
      <c r="H171" s="154">
        <f>'Compte Résultat ML'!H171*H$5</f>
        <v>0</v>
      </c>
      <c r="I171" s="154">
        <f>'Compte Résultat ML'!I171*I$5</f>
        <v>0</v>
      </c>
      <c r="J171" s="154">
        <f>'Compte Résultat ML'!J171*J$5</f>
        <v>0</v>
      </c>
    </row>
    <row r="172" spans="1:11" x14ac:dyDescent="0.2">
      <c r="A172" s="128"/>
      <c r="B172" s="137" t="s">
        <v>516</v>
      </c>
      <c r="C172" s="163">
        <f>SUM(C173:C181)</f>
        <v>0</v>
      </c>
      <c r="D172" s="163">
        <f t="shared" ref="D172:J172" si="34">SUM(D173:D181)</f>
        <v>0</v>
      </c>
      <c r="E172" s="163">
        <f t="shared" si="34"/>
        <v>0</v>
      </c>
      <c r="F172" s="163">
        <f t="shared" si="34"/>
        <v>0</v>
      </c>
      <c r="G172" s="163">
        <f t="shared" si="34"/>
        <v>0</v>
      </c>
      <c r="H172" s="163">
        <f t="shared" si="34"/>
        <v>0</v>
      </c>
      <c r="I172" s="163">
        <f t="shared" si="34"/>
        <v>0</v>
      </c>
      <c r="J172" s="163">
        <f t="shared" si="34"/>
        <v>0</v>
      </c>
    </row>
    <row r="173" spans="1:11" x14ac:dyDescent="0.2">
      <c r="A173" s="128"/>
      <c r="B173" s="128" t="s">
        <v>510</v>
      </c>
      <c r="C173" s="154">
        <f>'Compte Résultat ML'!C173*C$5</f>
        <v>0</v>
      </c>
      <c r="D173" s="154">
        <f>'Compte Résultat ML'!D173*D$5</f>
        <v>0</v>
      </c>
      <c r="E173" s="154">
        <f>'Compte Résultat ML'!E173*E$5</f>
        <v>0</v>
      </c>
      <c r="F173" s="154">
        <f>'Compte Résultat ML'!F173*F$5</f>
        <v>0</v>
      </c>
      <c r="G173" s="154">
        <f>'Compte Résultat ML'!G173*G$5</f>
        <v>0</v>
      </c>
      <c r="H173" s="154">
        <f>'Compte Résultat ML'!H173*H$5</f>
        <v>0</v>
      </c>
      <c r="I173" s="154">
        <f>'Compte Résultat ML'!I173*I$5</f>
        <v>0</v>
      </c>
      <c r="J173" s="154">
        <f>'Compte Résultat ML'!J173*J$5</f>
        <v>0</v>
      </c>
    </row>
    <row r="174" spans="1:11" x14ac:dyDescent="0.2">
      <c r="A174" s="128"/>
      <c r="B174" s="128" t="s">
        <v>528</v>
      </c>
      <c r="C174" s="154">
        <f>'Compte Résultat ML'!C174*C$5</f>
        <v>0</v>
      </c>
      <c r="D174" s="154">
        <f>'Compte Résultat ML'!D174*D$5</f>
        <v>0</v>
      </c>
      <c r="E174" s="154">
        <f>'Compte Résultat ML'!E174*E$5</f>
        <v>0</v>
      </c>
      <c r="F174" s="154">
        <f>'Compte Résultat ML'!F174*F$5</f>
        <v>0</v>
      </c>
      <c r="G174" s="154">
        <f>'Compte Résultat ML'!G174*G$5</f>
        <v>0</v>
      </c>
      <c r="H174" s="154">
        <f>'Compte Résultat ML'!H174*H$5</f>
        <v>0</v>
      </c>
      <c r="I174" s="154">
        <f>'Compte Résultat ML'!I174*I$5</f>
        <v>0</v>
      </c>
      <c r="J174" s="154">
        <f>'Compte Résultat ML'!J174*J$5</f>
        <v>0</v>
      </c>
    </row>
    <row r="175" spans="1:11" x14ac:dyDescent="0.2">
      <c r="A175" s="128"/>
      <c r="B175" s="128" t="s">
        <v>517</v>
      </c>
      <c r="C175" s="154">
        <f>'Compte Résultat ML'!C175*C$5</f>
        <v>0</v>
      </c>
      <c r="D175" s="154">
        <f>'Compte Résultat ML'!D175*D$5</f>
        <v>0</v>
      </c>
      <c r="E175" s="154">
        <f>'Compte Résultat ML'!E175*E$5</f>
        <v>0</v>
      </c>
      <c r="F175" s="154">
        <f>'Compte Résultat ML'!F175*F$5</f>
        <v>0</v>
      </c>
      <c r="G175" s="154">
        <f>'Compte Résultat ML'!G175*G$5</f>
        <v>0</v>
      </c>
      <c r="H175" s="154">
        <f>'Compte Résultat ML'!H175*H$5</f>
        <v>0</v>
      </c>
      <c r="I175" s="154">
        <f>'Compte Résultat ML'!I175*I$5</f>
        <v>0</v>
      </c>
      <c r="J175" s="154">
        <f>'Compte Résultat ML'!J175*J$5</f>
        <v>0</v>
      </c>
    </row>
    <row r="176" spans="1:11" x14ac:dyDescent="0.2">
      <c r="A176" s="128"/>
      <c r="B176" s="128" t="s">
        <v>518</v>
      </c>
      <c r="C176" s="154">
        <f>'Compte Résultat ML'!C176*C$5</f>
        <v>0</v>
      </c>
      <c r="D176" s="154">
        <f>'Compte Résultat ML'!D176*D$5</f>
        <v>0</v>
      </c>
      <c r="E176" s="154">
        <f>'Compte Résultat ML'!E176*E$5</f>
        <v>0</v>
      </c>
      <c r="F176" s="154">
        <f>'Compte Résultat ML'!F176*F$5</f>
        <v>0</v>
      </c>
      <c r="G176" s="154">
        <f>'Compte Résultat ML'!G176*G$5</f>
        <v>0</v>
      </c>
      <c r="H176" s="154">
        <f>'Compte Résultat ML'!H176*H$5</f>
        <v>0</v>
      </c>
      <c r="I176" s="154">
        <f>'Compte Résultat ML'!I176*I$5</f>
        <v>0</v>
      </c>
      <c r="J176" s="154">
        <f>'Compte Résultat ML'!J176*J$5</f>
        <v>0</v>
      </c>
    </row>
    <row r="177" spans="1:10" x14ac:dyDescent="0.2">
      <c r="A177" s="128"/>
      <c r="B177" s="128" t="s">
        <v>511</v>
      </c>
      <c r="C177" s="154">
        <f>'Compte Résultat ML'!C177*C$5</f>
        <v>0</v>
      </c>
      <c r="D177" s="154">
        <f>'Compte Résultat ML'!D177*D$5</f>
        <v>0</v>
      </c>
      <c r="E177" s="154">
        <f>'Compte Résultat ML'!E177*E$5</f>
        <v>0</v>
      </c>
      <c r="F177" s="154">
        <f>'Compte Résultat ML'!F177*F$5</f>
        <v>0</v>
      </c>
      <c r="G177" s="154">
        <f>'Compte Résultat ML'!G177*G$5</f>
        <v>0</v>
      </c>
      <c r="H177" s="154">
        <f>'Compte Résultat ML'!H177*H$5</f>
        <v>0</v>
      </c>
      <c r="I177" s="154">
        <f>'Compte Résultat ML'!I177*I$5</f>
        <v>0</v>
      </c>
      <c r="J177" s="154">
        <f>'Compte Résultat ML'!J177*J$5</f>
        <v>0</v>
      </c>
    </row>
    <row r="178" spans="1:10" x14ac:dyDescent="0.2">
      <c r="A178" s="128"/>
      <c r="B178" s="128" t="s">
        <v>512</v>
      </c>
      <c r="C178" s="154">
        <f>'Compte Résultat ML'!C178*C$5</f>
        <v>0</v>
      </c>
      <c r="D178" s="154">
        <f>'Compte Résultat ML'!D178*D$5</f>
        <v>0</v>
      </c>
      <c r="E178" s="154">
        <f>'Compte Résultat ML'!E178*E$5</f>
        <v>0</v>
      </c>
      <c r="F178" s="154">
        <f>'Compte Résultat ML'!F178*F$5</f>
        <v>0</v>
      </c>
      <c r="G178" s="154">
        <f>'Compte Résultat ML'!G178*G$5</f>
        <v>0</v>
      </c>
      <c r="H178" s="154">
        <f>'Compte Résultat ML'!H178*H$5</f>
        <v>0</v>
      </c>
      <c r="I178" s="154">
        <f>'Compte Résultat ML'!I178*I$5</f>
        <v>0</v>
      </c>
      <c r="J178" s="154">
        <f>'Compte Résultat ML'!J178*J$5</f>
        <v>0</v>
      </c>
    </row>
    <row r="179" spans="1:10" x14ac:dyDescent="0.2">
      <c r="A179" s="128"/>
      <c r="B179" s="128" t="s">
        <v>520</v>
      </c>
      <c r="C179" s="154">
        <f>'Compte Résultat ML'!C179*C$5</f>
        <v>0</v>
      </c>
      <c r="D179" s="154">
        <f>'Compte Résultat ML'!D179*D$5</f>
        <v>0</v>
      </c>
      <c r="E179" s="154">
        <f>'Compte Résultat ML'!E179*E$5</f>
        <v>0</v>
      </c>
      <c r="F179" s="154">
        <f>'Compte Résultat ML'!F179*F$5</f>
        <v>0</v>
      </c>
      <c r="G179" s="154">
        <f>'Compte Résultat ML'!G179*G$5</f>
        <v>0</v>
      </c>
      <c r="H179" s="154">
        <f>'Compte Résultat ML'!H179*H$5</f>
        <v>0</v>
      </c>
      <c r="I179" s="154">
        <f>'Compte Résultat ML'!I179*I$5</f>
        <v>0</v>
      </c>
      <c r="J179" s="154">
        <f>'Compte Résultat ML'!J179*J$5</f>
        <v>0</v>
      </c>
    </row>
    <row r="180" spans="1:10" x14ac:dyDescent="0.2">
      <c r="A180" s="128"/>
      <c r="B180" s="128" t="s">
        <v>526</v>
      </c>
      <c r="C180" s="154">
        <f>'Compte Résultat ML'!C180*C$5</f>
        <v>0</v>
      </c>
      <c r="D180" s="154">
        <f>'Compte Résultat ML'!D180*D$5</f>
        <v>0</v>
      </c>
      <c r="E180" s="154">
        <f>'Compte Résultat ML'!E180*E$5</f>
        <v>0</v>
      </c>
      <c r="F180" s="154">
        <f>'Compte Résultat ML'!F180*F$5</f>
        <v>0</v>
      </c>
      <c r="G180" s="154">
        <f>'Compte Résultat ML'!G180*G$5</f>
        <v>0</v>
      </c>
      <c r="H180" s="154">
        <f>'Compte Résultat ML'!H180*H$5</f>
        <v>0</v>
      </c>
      <c r="I180" s="154">
        <f>'Compte Résultat ML'!I180*I$5</f>
        <v>0</v>
      </c>
      <c r="J180" s="154">
        <f>'Compte Résultat ML'!J180*J$5</f>
        <v>0</v>
      </c>
    </row>
    <row r="181" spans="1:10" x14ac:dyDescent="0.2">
      <c r="A181" s="128"/>
      <c r="B181" s="128" t="s">
        <v>527</v>
      </c>
      <c r="C181" s="154">
        <f>'Compte Résultat ML'!C181*C$5</f>
        <v>0</v>
      </c>
      <c r="D181" s="154">
        <f>'Compte Résultat ML'!D181*D$5</f>
        <v>0</v>
      </c>
      <c r="E181" s="154">
        <f>'Compte Résultat ML'!E181*E$5</f>
        <v>0</v>
      </c>
      <c r="F181" s="154">
        <f>'Compte Résultat ML'!F181*F$5</f>
        <v>0</v>
      </c>
      <c r="G181" s="154">
        <f>'Compte Résultat ML'!G181*G$5</f>
        <v>0</v>
      </c>
      <c r="H181" s="154">
        <f>'Compte Résultat ML'!H181*H$5</f>
        <v>0</v>
      </c>
      <c r="I181" s="154">
        <f>'Compte Résultat ML'!I181*I$5</f>
        <v>0</v>
      </c>
      <c r="J181" s="154">
        <f>'Compte Résultat ML'!J181*J$5</f>
        <v>0</v>
      </c>
    </row>
    <row r="182" spans="1:10" x14ac:dyDescent="0.2">
      <c r="A182" s="128"/>
      <c r="B182" s="137" t="s">
        <v>524</v>
      </c>
      <c r="C182" s="163">
        <f>SUM(C183:C185)</f>
        <v>0</v>
      </c>
      <c r="D182" s="163">
        <f>SUM(D183:D185)</f>
        <v>0</v>
      </c>
      <c r="E182" s="163">
        <f t="shared" ref="E182:J182" si="35">SUM(E183:E185)</f>
        <v>0</v>
      </c>
      <c r="F182" s="163">
        <f t="shared" si="35"/>
        <v>0</v>
      </c>
      <c r="G182" s="163">
        <f t="shared" si="35"/>
        <v>0</v>
      </c>
      <c r="H182" s="163">
        <f t="shared" si="35"/>
        <v>0</v>
      </c>
      <c r="I182" s="163" t="e">
        <f t="shared" si="35"/>
        <v>#N/A</v>
      </c>
      <c r="J182" s="163" t="e">
        <f t="shared" si="35"/>
        <v>#N/A</v>
      </c>
    </row>
    <row r="183" spans="1:10" x14ac:dyDescent="0.2">
      <c r="A183" s="128"/>
      <c r="B183" s="128" t="s">
        <v>521</v>
      </c>
      <c r="C183" s="154">
        <f>'Compte Résultat ML'!C183*C$5</f>
        <v>0</v>
      </c>
      <c r="D183" s="154">
        <f>'Compte Résultat ML'!D183*D$5</f>
        <v>0</v>
      </c>
      <c r="E183" s="154">
        <f>'Compte Résultat ML'!E183*E$5</f>
        <v>0</v>
      </c>
      <c r="F183" s="154">
        <f>'Compte Résultat ML'!F183*F$5</f>
        <v>0</v>
      </c>
      <c r="G183" s="154">
        <f>'Compte Résultat ML'!G183*G$5</f>
        <v>0</v>
      </c>
      <c r="H183" s="154">
        <f>'Compte Résultat ML'!H183*H$5</f>
        <v>0</v>
      </c>
      <c r="I183" s="154">
        <f>'Compte Résultat ML'!I183*I$5</f>
        <v>389512.5</v>
      </c>
      <c r="J183" s="154">
        <f>'Compte Résultat ML'!J183*J$5</f>
        <v>375765</v>
      </c>
    </row>
    <row r="184" spans="1:10" x14ac:dyDescent="0.2">
      <c r="A184" s="128"/>
      <c r="B184" s="128" t="s">
        <v>522</v>
      </c>
      <c r="C184" s="154">
        <f>'Compte Résultat ML'!C184*C$5</f>
        <v>0</v>
      </c>
      <c r="D184" s="154">
        <f>'Compte Résultat ML'!D184*D$5</f>
        <v>0</v>
      </c>
      <c r="E184" s="154">
        <f>'Compte Résultat ML'!E184*E$5</f>
        <v>0</v>
      </c>
      <c r="F184" s="154">
        <f>'Compte Résultat ML'!F184*F$5</f>
        <v>0</v>
      </c>
      <c r="G184" s="154">
        <f>'Compte Résultat ML'!G184*G$5</f>
        <v>0</v>
      </c>
      <c r="H184" s="154">
        <f>'Compte Résultat ML'!H184*H$5</f>
        <v>0</v>
      </c>
      <c r="I184" s="154">
        <f>'Compte Résultat ML'!I184*I$5</f>
        <v>138125</v>
      </c>
      <c r="J184" s="154">
        <f>'Compte Résultat ML'!J184*J$5</f>
        <v>133250</v>
      </c>
    </row>
    <row r="185" spans="1:10" x14ac:dyDescent="0.2">
      <c r="A185" s="128"/>
      <c r="B185" s="128" t="s">
        <v>523</v>
      </c>
      <c r="C185" s="154">
        <f>'Compte Résultat ML'!C185*C$5</f>
        <v>0</v>
      </c>
      <c r="D185" s="154">
        <f>'Compte Résultat ML'!D185*D$5</f>
        <v>0</v>
      </c>
      <c r="E185" s="154">
        <f>'Compte Résultat ML'!E185*E$5</f>
        <v>0</v>
      </c>
      <c r="F185" s="154">
        <f>'Compte Résultat ML'!F185*F$5</f>
        <v>0</v>
      </c>
      <c r="G185" s="154">
        <f>'Compte Résultat ML'!G185*G$5</f>
        <v>0</v>
      </c>
      <c r="H185" s="154">
        <f>'Compte Résultat ML'!H185*H$5</f>
        <v>0</v>
      </c>
      <c r="I185" s="154" t="e">
        <f>'Compte Résultat ML'!I185*I$5</f>
        <v>#N/A</v>
      </c>
      <c r="J185" s="154" t="e">
        <f>'Compte Résultat ML'!J185*J$5</f>
        <v>#N/A</v>
      </c>
    </row>
    <row r="186" spans="1:10" x14ac:dyDescent="0.2">
      <c r="A186" s="128"/>
      <c r="B186" s="134" t="s">
        <v>537</v>
      </c>
      <c r="C186" s="165">
        <f>IF('Hypothèses '!$C$7="partenaire",IF('Hypothèses '!D$16="oui",2%,0),0)</f>
        <v>0</v>
      </c>
      <c r="D186" s="165">
        <f>IF('Hypothèses '!$C$7="partenaire",IF('Hypothèses '!E$16="oui",2%,0),0)</f>
        <v>0</v>
      </c>
      <c r="E186" s="165">
        <f>IF('Hypothèses '!$C$7="partenaire",IF('Hypothèses '!F$16="oui",2%,0),0)</f>
        <v>0</v>
      </c>
      <c r="F186" s="165">
        <f>IF('Hypothèses '!$C$7="partenaire",IF('Hypothèses '!G$16="oui",2%,0),0)</f>
        <v>0</v>
      </c>
      <c r="G186" s="165">
        <f>IF('Hypothèses '!$C$7="partenaire",IF('Hypothèses '!H$16="oui",2%,0),0)</f>
        <v>0</v>
      </c>
      <c r="H186" s="165">
        <f>IF('Hypothèses '!$C$7="partenaire",IF('Hypothèses '!I$16="oui",2%,0),0)</f>
        <v>0</v>
      </c>
      <c r="I186" s="165">
        <f>IF('Hypothèses '!$C$7="partenaire",IF('Hypothèses '!J$16="oui",2%,0),0)</f>
        <v>0</v>
      </c>
      <c r="J186" s="165">
        <f>IF('Hypothèses '!$C$7="partenaire",IF('Hypothèses '!K$16="oui",2%,0),0)</f>
        <v>0</v>
      </c>
    </row>
    <row r="187" spans="1:10" x14ac:dyDescent="0.2">
      <c r="A187" s="128"/>
      <c r="B187" s="134" t="s">
        <v>538</v>
      </c>
      <c r="C187" s="165">
        <f>IF('Hypothèses '!$C$7="conventionné",1%,IF('Hypothèses '!D$16="oui",1%,0))</f>
        <v>0.01</v>
      </c>
      <c r="D187" s="165">
        <f>IF('Hypothèses '!$C$7="conventionné",1%,IF('Hypothèses '!E$16="oui",1%,0))</f>
        <v>0.01</v>
      </c>
      <c r="E187" s="165">
        <f>IF('Hypothèses '!$C$7="conventionné",1%,IF('Hypothèses '!F$16="oui",1%,0))</f>
        <v>0.01</v>
      </c>
      <c r="F187" s="165">
        <f>IF('Hypothèses '!$C$7="conventionné",1%,IF('Hypothèses '!G$16="oui",1%,0))</f>
        <v>0.01</v>
      </c>
      <c r="G187" s="165">
        <f>IF('Hypothèses '!$C$7="conventionné",1%,IF('Hypothèses '!H$16="oui",1%,0))</f>
        <v>0.01</v>
      </c>
      <c r="H187" s="165">
        <f>IF('Hypothèses '!$C$7="conventionné",1%,IF('Hypothèses '!I$16="oui",1%,0))</f>
        <v>0.01</v>
      </c>
      <c r="I187" s="165">
        <f>IF('Hypothèses '!$C$7="conventionné",1%,IF('Hypothèses '!J$16="oui",1%,0))</f>
        <v>0.01</v>
      </c>
      <c r="J187" s="165">
        <f>IF('Hypothèses '!$C$7="conventionné",1%,IF('Hypothèses '!K$16="oui",1%,0))</f>
        <v>0.01</v>
      </c>
    </row>
  </sheetData>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04D09-E77E-4D6D-A557-9220ABD4C1A1}">
  <dimension ref="A3:J56"/>
  <sheetViews>
    <sheetView showGridLines="0" workbookViewId="0">
      <selection activeCell="H12" sqref="H12"/>
    </sheetView>
  </sheetViews>
  <sheetFormatPr baseColWidth="10" defaultRowHeight="15" x14ac:dyDescent="0.2"/>
  <cols>
    <col min="1" max="1" width="38.5" customWidth="1"/>
    <col min="2" max="2" width="17.1640625" customWidth="1"/>
    <col min="3" max="4" width="13.83203125" customWidth="1"/>
    <col min="5" max="5" width="13.33203125" customWidth="1"/>
    <col min="9" max="9" width="13.33203125" customWidth="1"/>
  </cols>
  <sheetData>
    <row r="3" spans="1:10" x14ac:dyDescent="0.2">
      <c r="A3" s="45" t="s">
        <v>91</v>
      </c>
    </row>
    <row r="5" spans="1:10" x14ac:dyDescent="0.2">
      <c r="A5" t="s">
        <v>101</v>
      </c>
    </row>
    <row r="7" spans="1:10" x14ac:dyDescent="0.2">
      <c r="A7" t="s">
        <v>110</v>
      </c>
    </row>
    <row r="8" spans="1:10" x14ac:dyDescent="0.2">
      <c r="A8" t="s">
        <v>102</v>
      </c>
    </row>
    <row r="10" spans="1:10" ht="33" customHeight="1" x14ac:dyDescent="0.2">
      <c r="A10" s="71"/>
      <c r="B10" s="72" t="s">
        <v>92</v>
      </c>
      <c r="C10" s="72" t="s">
        <v>100</v>
      </c>
      <c r="D10" s="72" t="s">
        <v>93</v>
      </c>
      <c r="E10" s="72" t="s">
        <v>94</v>
      </c>
      <c r="F10" s="72" t="s">
        <v>95</v>
      </c>
      <c r="G10" s="72" t="s">
        <v>96</v>
      </c>
      <c r="H10" s="72" t="s">
        <v>97</v>
      </c>
      <c r="I10" s="72" t="s">
        <v>98</v>
      </c>
      <c r="J10" s="82"/>
    </row>
    <row r="11" spans="1:10" x14ac:dyDescent="0.2">
      <c r="A11" s="71" t="s">
        <v>103</v>
      </c>
      <c r="B11" s="73">
        <v>1646054.89</v>
      </c>
      <c r="C11" s="74">
        <f>'Hypothèses '!D40</f>
        <v>0</v>
      </c>
      <c r="D11" s="75">
        <f>B11*0.62</f>
        <v>1020554.0317999999</v>
      </c>
      <c r="E11" s="75">
        <v>1041174.94</v>
      </c>
      <c r="F11" s="76">
        <f>E11/B11</f>
        <v>0.63252747300547185</v>
      </c>
      <c r="G11" s="77">
        <f>F11-C11</f>
        <v>0.63252747300547185</v>
      </c>
      <c r="H11" s="78">
        <v>290060</v>
      </c>
      <c r="I11" s="75">
        <f>H11+E11</f>
        <v>1331234.94</v>
      </c>
    </row>
    <row r="12" spans="1:10" x14ac:dyDescent="0.2">
      <c r="A12" s="71" t="s">
        <v>99</v>
      </c>
      <c r="B12" s="80">
        <f>B11/$B$13</f>
        <v>51762.732389937104</v>
      </c>
      <c r="C12" s="75"/>
      <c r="D12" s="81">
        <f>D11/$B$13</f>
        <v>32092.894081761002</v>
      </c>
      <c r="E12" s="81">
        <f>E11/$B$13</f>
        <v>32741.350314465406</v>
      </c>
      <c r="F12" s="71"/>
      <c r="G12" s="71"/>
      <c r="H12" s="80">
        <f>H11/$B$13</f>
        <v>9121.3836477987425</v>
      </c>
      <c r="I12" s="75">
        <f>I11/$B$13</f>
        <v>41862.733962264145</v>
      </c>
    </row>
    <row r="13" spans="1:10" x14ac:dyDescent="0.2">
      <c r="A13" t="s">
        <v>104</v>
      </c>
      <c r="B13" s="79">
        <v>31.8</v>
      </c>
      <c r="I13" s="70"/>
    </row>
    <row r="51" spans="1:9" x14ac:dyDescent="0.2">
      <c r="A51" t="s">
        <v>105</v>
      </c>
    </row>
    <row r="53" spans="1:9" x14ac:dyDescent="0.2">
      <c r="A53" t="s">
        <v>106</v>
      </c>
    </row>
    <row r="54" spans="1:9" x14ac:dyDescent="0.2">
      <c r="A54" t="s">
        <v>107</v>
      </c>
    </row>
    <row r="55" spans="1:9" x14ac:dyDescent="0.2">
      <c r="A55" t="s">
        <v>108</v>
      </c>
    </row>
    <row r="56" spans="1:9" x14ac:dyDescent="0.2">
      <c r="A56" t="s">
        <v>109</v>
      </c>
      <c r="B56" s="45"/>
      <c r="C56" s="45"/>
      <c r="D56" s="45"/>
      <c r="E56" s="45"/>
      <c r="F56" s="45"/>
      <c r="G56" s="45"/>
      <c r="H56" s="45"/>
      <c r="I56" s="45"/>
    </row>
  </sheetData>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5E3E-4477-4F57-A1F6-A6B651ED45D3}">
  <dimension ref="A2:W247"/>
  <sheetViews>
    <sheetView topLeftCell="A10" workbookViewId="0">
      <selection activeCell="C16" sqref="C16"/>
    </sheetView>
  </sheetViews>
  <sheetFormatPr baseColWidth="10" defaultRowHeight="15" x14ac:dyDescent="0.2"/>
  <cols>
    <col min="2" max="2" width="14.5" customWidth="1"/>
    <col min="4" max="4" width="10" customWidth="1"/>
    <col min="5" max="5" width="11.33203125" customWidth="1"/>
    <col min="6" max="6" width="13.5" customWidth="1"/>
    <col min="7" max="7" width="15" style="20" customWidth="1"/>
    <col min="8" max="8" width="14.83203125" customWidth="1"/>
    <col min="9" max="9" width="15.6640625" customWidth="1"/>
    <col min="10" max="10" width="16.1640625" customWidth="1"/>
    <col min="11" max="11" width="17.1640625" customWidth="1"/>
    <col min="12" max="12" width="15.5" customWidth="1"/>
    <col min="13" max="13" width="21.1640625" customWidth="1"/>
    <col min="15" max="15" width="13.1640625" customWidth="1"/>
  </cols>
  <sheetData>
    <row r="2" spans="1:11" ht="21" x14ac:dyDescent="0.25">
      <c r="A2" s="184" t="s">
        <v>595</v>
      </c>
      <c r="B2" s="184"/>
      <c r="C2" s="184"/>
      <c r="D2" s="184"/>
      <c r="E2" s="184"/>
      <c r="F2" s="184"/>
      <c r="G2" s="184"/>
      <c r="H2" s="184"/>
      <c r="I2" s="184"/>
      <c r="J2" s="184"/>
      <c r="K2" s="184"/>
    </row>
    <row r="4" spans="1:11" x14ac:dyDescent="0.2">
      <c r="A4" s="45" t="s">
        <v>596</v>
      </c>
    </row>
    <row r="5" spans="1:11" x14ac:dyDescent="0.2">
      <c r="B5" s="20" t="s">
        <v>598</v>
      </c>
      <c r="C5" s="527" t="s">
        <v>599</v>
      </c>
      <c r="D5" s="527"/>
    </row>
    <row r="6" spans="1:11" x14ac:dyDescent="0.2">
      <c r="B6" s="20"/>
      <c r="C6" s="265"/>
      <c r="D6" s="265"/>
    </row>
    <row r="7" spans="1:11" x14ac:dyDescent="0.2">
      <c r="B7" s="45">
        <v>1</v>
      </c>
      <c r="C7" s="62">
        <v>0.3</v>
      </c>
      <c r="D7" s="62" t="s">
        <v>631</v>
      </c>
    </row>
    <row r="8" spans="1:11" x14ac:dyDescent="0.2">
      <c r="B8" s="45">
        <v>2</v>
      </c>
      <c r="C8" s="62">
        <v>0.4</v>
      </c>
      <c r="D8" s="62" t="s">
        <v>632</v>
      </c>
    </row>
    <row r="13" spans="1:11" ht="21" x14ac:dyDescent="0.25">
      <c r="A13" s="184" t="s">
        <v>597</v>
      </c>
      <c r="B13" s="184"/>
      <c r="C13" s="184"/>
      <c r="D13" s="184"/>
      <c r="E13" s="184"/>
      <c r="F13" s="184"/>
      <c r="G13" s="184"/>
      <c r="H13" s="184"/>
      <c r="I13" s="184"/>
      <c r="J13" s="184"/>
      <c r="K13" s="184"/>
    </row>
    <row r="15" spans="1:11" x14ac:dyDescent="0.2">
      <c r="B15" s="427" t="s">
        <v>699</v>
      </c>
      <c r="C15" s="427"/>
      <c r="F15" s="117" t="s">
        <v>499</v>
      </c>
      <c r="H15" s="117" t="s">
        <v>698</v>
      </c>
      <c r="I15" s="20"/>
    </row>
    <row r="16" spans="1:11" x14ac:dyDescent="0.2">
      <c r="F16" s="117" t="s">
        <v>650</v>
      </c>
      <c r="G16" s="425">
        <v>-5.3600000000000002E-2</v>
      </c>
      <c r="H16" s="425">
        <v>-4.9799999999999997E-2</v>
      </c>
      <c r="I16" s="117" t="s">
        <v>650</v>
      </c>
    </row>
    <row r="17" spans="2:21" x14ac:dyDescent="0.2">
      <c r="B17" t="s">
        <v>126</v>
      </c>
      <c r="F17" s="117" t="s">
        <v>697</v>
      </c>
      <c r="G17" s="425">
        <v>2.798</v>
      </c>
      <c r="H17" s="425">
        <v>2.9056999999999999</v>
      </c>
      <c r="I17" s="117" t="s">
        <v>697</v>
      </c>
    </row>
    <row r="18" spans="2:21" ht="29.25" customHeight="1" x14ac:dyDescent="0.2">
      <c r="B18" s="72" t="s">
        <v>497</v>
      </c>
      <c r="C18" s="72" t="s">
        <v>144</v>
      </c>
      <c r="D18" s="72" t="s">
        <v>145</v>
      </c>
      <c r="E18" s="72" t="s">
        <v>146</v>
      </c>
      <c r="F18" s="72" t="s">
        <v>147</v>
      </c>
      <c r="G18" s="118" t="s">
        <v>502</v>
      </c>
      <c r="H18" s="72" t="s">
        <v>696</v>
      </c>
    </row>
    <row r="19" spans="2:21" x14ac:dyDescent="0.2">
      <c r="B19" s="71">
        <v>16</v>
      </c>
      <c r="C19" s="112">
        <v>1.625</v>
      </c>
      <c r="D19" s="71"/>
      <c r="E19" s="71">
        <v>2.0699999999999998</v>
      </c>
      <c r="F19" s="426">
        <v>2.1089000000000002</v>
      </c>
      <c r="G19" s="313">
        <f>B19*$G$16+$G$17</f>
        <v>1.9403999999999999</v>
      </c>
      <c r="H19" s="313">
        <f t="shared" ref="H19:H36" si="0">B19*$H$16+$H$17</f>
        <v>2.1089000000000002</v>
      </c>
      <c r="Q19" t="s">
        <v>143</v>
      </c>
      <c r="R19" t="s">
        <v>144</v>
      </c>
      <c r="S19" t="s">
        <v>145</v>
      </c>
      <c r="T19" t="s">
        <v>146</v>
      </c>
      <c r="U19" t="s">
        <v>147</v>
      </c>
    </row>
    <row r="20" spans="2:21" x14ac:dyDescent="0.2">
      <c r="B20" s="71">
        <v>17</v>
      </c>
      <c r="C20" s="112">
        <v>1.5072463768115942</v>
      </c>
      <c r="D20" s="71"/>
      <c r="E20" s="71">
        <v>1.86</v>
      </c>
      <c r="F20" s="426">
        <v>2.0590999999999999</v>
      </c>
      <c r="G20" s="313">
        <f t="shared" ref="G20:G36" si="1">B20*$G$16+$G$17</f>
        <v>1.8868</v>
      </c>
      <c r="H20" s="313">
        <f t="shared" si="0"/>
        <v>2.0590999999999999</v>
      </c>
      <c r="Q20">
        <v>14</v>
      </c>
      <c r="R20" s="111"/>
    </row>
    <row r="21" spans="2:21" x14ac:dyDescent="0.2">
      <c r="B21" s="71">
        <v>18</v>
      </c>
      <c r="C21" s="112">
        <v>1.429553264604811</v>
      </c>
      <c r="D21" s="71">
        <v>1.81</v>
      </c>
      <c r="E21" s="71">
        <v>1.88</v>
      </c>
      <c r="F21" s="426">
        <v>2.0093000000000001</v>
      </c>
      <c r="G21" s="313">
        <f t="shared" si="1"/>
        <v>1.8332000000000002</v>
      </c>
      <c r="H21" s="313">
        <f t="shared" si="0"/>
        <v>2.0093000000000001</v>
      </c>
      <c r="Q21">
        <v>15</v>
      </c>
      <c r="R21" s="111"/>
    </row>
    <row r="22" spans="2:21" x14ac:dyDescent="0.2">
      <c r="B22" s="71">
        <v>19</v>
      </c>
      <c r="C22" s="112"/>
      <c r="D22" s="79">
        <v>1.6</v>
      </c>
      <c r="E22" s="79">
        <v>1.78</v>
      </c>
      <c r="F22" s="426">
        <v>1.9595</v>
      </c>
      <c r="G22" s="313">
        <f t="shared" si="1"/>
        <v>1.7796000000000001</v>
      </c>
      <c r="H22" s="313">
        <f t="shared" si="0"/>
        <v>1.9595</v>
      </c>
      <c r="Q22">
        <v>16</v>
      </c>
      <c r="R22" s="112">
        <v>1.625</v>
      </c>
      <c r="T22">
        <v>2.0699999999999998</v>
      </c>
    </row>
    <row r="23" spans="2:21" x14ac:dyDescent="0.2">
      <c r="B23" s="71">
        <v>20</v>
      </c>
      <c r="C23" s="112">
        <v>1.2952612393681653</v>
      </c>
      <c r="D23" s="71">
        <v>1.4</v>
      </c>
      <c r="E23" s="71">
        <v>1.71</v>
      </c>
      <c r="F23" s="116">
        <v>1.97</v>
      </c>
      <c r="G23" s="313">
        <f t="shared" si="1"/>
        <v>1.726</v>
      </c>
      <c r="H23" s="313">
        <f t="shared" si="0"/>
        <v>1.9097</v>
      </c>
      <c r="Q23">
        <v>17</v>
      </c>
      <c r="R23" s="112">
        <v>1.5072463768115942</v>
      </c>
      <c r="T23">
        <v>1.86</v>
      </c>
    </row>
    <row r="24" spans="2:21" x14ac:dyDescent="0.2">
      <c r="B24" s="71">
        <v>21</v>
      </c>
      <c r="C24" s="112">
        <v>1.237487733071639</v>
      </c>
      <c r="D24" s="71">
        <v>1.35</v>
      </c>
      <c r="E24" s="71">
        <v>1.66</v>
      </c>
      <c r="F24" s="116">
        <v>1.98</v>
      </c>
      <c r="G24" s="313">
        <f t="shared" si="1"/>
        <v>1.6724000000000001</v>
      </c>
      <c r="H24" s="313">
        <f t="shared" si="0"/>
        <v>1.8599000000000001</v>
      </c>
      <c r="Q24">
        <v>18</v>
      </c>
      <c r="R24" s="112">
        <v>1.429553264604811</v>
      </c>
      <c r="S24">
        <v>1.81</v>
      </c>
      <c r="T24">
        <v>1.88</v>
      </c>
      <c r="U24">
        <v>1.94</v>
      </c>
    </row>
    <row r="25" spans="2:21" x14ac:dyDescent="0.2">
      <c r="B25" s="71">
        <v>22</v>
      </c>
      <c r="C25" s="112">
        <v>1.1830785638108781</v>
      </c>
      <c r="D25" s="71">
        <v>1.3</v>
      </c>
      <c r="E25" s="71">
        <v>1.58</v>
      </c>
      <c r="F25" s="116">
        <v>1.8</v>
      </c>
      <c r="G25" s="313">
        <f t="shared" si="1"/>
        <v>1.6188</v>
      </c>
      <c r="H25" s="313">
        <f t="shared" si="0"/>
        <v>1.8101</v>
      </c>
      <c r="Q25">
        <v>20</v>
      </c>
      <c r="R25" s="112">
        <v>1.2952612393681653</v>
      </c>
      <c r="S25">
        <v>1.4</v>
      </c>
      <c r="T25">
        <v>1.71</v>
      </c>
      <c r="U25">
        <v>1.97</v>
      </c>
    </row>
    <row r="26" spans="2:21" x14ac:dyDescent="0.2">
      <c r="B26" s="71">
        <v>23</v>
      </c>
      <c r="C26" s="112">
        <v>1.1288167938931297</v>
      </c>
      <c r="D26" s="71">
        <v>1.34</v>
      </c>
      <c r="E26" s="71">
        <v>1.48</v>
      </c>
      <c r="F26" s="116">
        <v>1.78</v>
      </c>
      <c r="G26" s="313">
        <f t="shared" si="1"/>
        <v>1.5651999999999999</v>
      </c>
      <c r="H26" s="313">
        <f t="shared" si="0"/>
        <v>1.7603</v>
      </c>
      <c r="Q26">
        <v>21</v>
      </c>
      <c r="R26" s="112">
        <v>1.237487733071639</v>
      </c>
      <c r="S26">
        <v>1.35</v>
      </c>
      <c r="T26">
        <v>1.66</v>
      </c>
      <c r="U26">
        <v>1.98</v>
      </c>
    </row>
    <row r="27" spans="2:21" x14ac:dyDescent="0.2">
      <c r="B27" s="71">
        <v>24</v>
      </c>
      <c r="C27" s="112">
        <v>1.0837192732454577</v>
      </c>
      <c r="D27" s="71">
        <v>1.31</v>
      </c>
      <c r="E27" s="71">
        <v>1.46</v>
      </c>
      <c r="F27" s="116">
        <v>1.68</v>
      </c>
      <c r="G27" s="313">
        <f t="shared" si="1"/>
        <v>1.5116000000000001</v>
      </c>
      <c r="H27" s="313">
        <f t="shared" si="0"/>
        <v>1.7105000000000001</v>
      </c>
      <c r="Q27">
        <v>22</v>
      </c>
      <c r="R27" s="112">
        <v>1.1830785638108781</v>
      </c>
      <c r="S27">
        <v>1.3</v>
      </c>
      <c r="T27">
        <v>1.58</v>
      </c>
      <c r="U27">
        <v>1.8</v>
      </c>
    </row>
    <row r="28" spans="2:21" x14ac:dyDescent="0.2">
      <c r="B28" s="71">
        <v>25</v>
      </c>
      <c r="C28" s="112">
        <v>1.0386151797603196</v>
      </c>
      <c r="D28" s="71">
        <v>1.31</v>
      </c>
      <c r="E28" s="71">
        <v>1.44</v>
      </c>
      <c r="F28" s="426">
        <v>1.6607000000000001</v>
      </c>
      <c r="G28" s="313">
        <f t="shared" si="1"/>
        <v>1.458</v>
      </c>
      <c r="H28" s="313">
        <f t="shared" si="0"/>
        <v>1.6607000000000001</v>
      </c>
      <c r="Q28">
        <v>23</v>
      </c>
      <c r="R28" s="112">
        <v>1.1288167938931297</v>
      </c>
      <c r="S28">
        <v>1.34</v>
      </c>
      <c r="T28">
        <v>1.48</v>
      </c>
      <c r="U28">
        <v>1.78</v>
      </c>
    </row>
    <row r="29" spans="2:21" x14ac:dyDescent="0.2">
      <c r="B29" s="71">
        <v>26</v>
      </c>
      <c r="C29" s="112">
        <v>1.0017424975798646</v>
      </c>
      <c r="D29" s="71">
        <v>1.1100000000000001</v>
      </c>
      <c r="E29" s="71">
        <v>1.27</v>
      </c>
      <c r="F29" s="116">
        <v>1.4</v>
      </c>
      <c r="G29" s="313">
        <f t="shared" si="1"/>
        <v>1.4044000000000001</v>
      </c>
      <c r="H29" s="313">
        <f t="shared" si="0"/>
        <v>1.6109</v>
      </c>
      <c r="Q29">
        <v>24</v>
      </c>
      <c r="R29" s="112">
        <v>1.0837192732454577</v>
      </c>
      <c r="S29">
        <v>1.31</v>
      </c>
      <c r="T29">
        <v>1.46</v>
      </c>
      <c r="U29">
        <v>1.68</v>
      </c>
    </row>
    <row r="30" spans="2:21" x14ac:dyDescent="0.2">
      <c r="B30" s="71">
        <v>27</v>
      </c>
      <c r="C30" s="112">
        <v>0.96190476190476193</v>
      </c>
      <c r="D30" s="71">
        <v>1.1299999999999999</v>
      </c>
      <c r="E30" s="71">
        <v>1.34</v>
      </c>
      <c r="F30" s="116">
        <v>1.63</v>
      </c>
      <c r="G30" s="313">
        <f t="shared" si="1"/>
        <v>1.3508</v>
      </c>
      <c r="H30" s="313">
        <f t="shared" si="0"/>
        <v>1.5610999999999999</v>
      </c>
      <c r="Q30">
        <v>25</v>
      </c>
      <c r="R30" s="112">
        <v>1.0386151797603196</v>
      </c>
      <c r="S30">
        <v>1.31</v>
      </c>
      <c r="T30">
        <v>1.44</v>
      </c>
      <c r="U30">
        <v>1.98</v>
      </c>
    </row>
    <row r="31" spans="2:21" x14ac:dyDescent="0.2">
      <c r="B31" s="71">
        <v>28</v>
      </c>
      <c r="C31" s="112">
        <v>0.92823656689505951</v>
      </c>
      <c r="D31" s="71">
        <v>1.3</v>
      </c>
      <c r="E31" s="71">
        <v>1.38</v>
      </c>
      <c r="F31" s="116">
        <v>1.46</v>
      </c>
      <c r="G31" s="313">
        <f t="shared" si="1"/>
        <v>1.2971999999999999</v>
      </c>
      <c r="H31" s="313">
        <f t="shared" si="0"/>
        <v>1.5113000000000001</v>
      </c>
      <c r="Q31">
        <v>26</v>
      </c>
      <c r="R31" s="112">
        <v>1.0017424975798646</v>
      </c>
      <c r="S31">
        <v>1.1100000000000001</v>
      </c>
      <c r="T31">
        <v>1.27</v>
      </c>
      <c r="U31">
        <v>1.4</v>
      </c>
    </row>
    <row r="32" spans="2:21" x14ac:dyDescent="0.2">
      <c r="B32" s="71">
        <v>29</v>
      </c>
      <c r="C32" s="112">
        <v>0.89635231316725983</v>
      </c>
      <c r="D32" s="71">
        <v>1.21</v>
      </c>
      <c r="E32" s="71">
        <v>1.27</v>
      </c>
      <c r="F32" s="116">
        <v>1.35</v>
      </c>
      <c r="G32" s="313">
        <f t="shared" si="1"/>
        <v>1.2436</v>
      </c>
      <c r="H32" s="313">
        <f t="shared" si="0"/>
        <v>1.4615</v>
      </c>
      <c r="Q32">
        <v>27</v>
      </c>
      <c r="R32" s="112">
        <v>0.96190476190476193</v>
      </c>
      <c r="S32">
        <v>1.1299999999999999</v>
      </c>
      <c r="T32">
        <v>1.34</v>
      </c>
      <c r="U32">
        <v>1.63</v>
      </c>
    </row>
    <row r="33" spans="2:21" x14ac:dyDescent="0.2">
      <c r="B33" s="71">
        <v>30</v>
      </c>
      <c r="C33" s="112">
        <v>0.86885245901639341</v>
      </c>
      <c r="D33" s="71">
        <v>1.21</v>
      </c>
      <c r="E33" s="71">
        <v>1.31</v>
      </c>
      <c r="F33" s="116">
        <v>1.39</v>
      </c>
      <c r="G33" s="313">
        <f t="shared" si="1"/>
        <v>1.19</v>
      </c>
      <c r="H33" s="313">
        <f t="shared" si="0"/>
        <v>1.4117</v>
      </c>
      <c r="Q33">
        <v>28</v>
      </c>
      <c r="R33" s="112">
        <v>0.92823656689505951</v>
      </c>
      <c r="S33">
        <v>1.3</v>
      </c>
      <c r="T33">
        <v>1.38</v>
      </c>
      <c r="U33">
        <v>1.46</v>
      </c>
    </row>
    <row r="34" spans="2:21" x14ac:dyDescent="0.2">
      <c r="B34" s="71">
        <v>31</v>
      </c>
      <c r="C34" s="112"/>
      <c r="D34" s="71"/>
      <c r="E34" s="313">
        <v>1.1364000000000001</v>
      </c>
      <c r="F34" s="116">
        <v>1.3619000000000001</v>
      </c>
      <c r="G34" s="313">
        <f t="shared" si="1"/>
        <v>1.1364000000000001</v>
      </c>
      <c r="H34" s="313">
        <f t="shared" si="0"/>
        <v>1.3619000000000001</v>
      </c>
      <c r="Q34">
        <v>29</v>
      </c>
      <c r="R34" s="112">
        <v>0.89635231316725983</v>
      </c>
      <c r="S34">
        <v>1.21</v>
      </c>
      <c r="T34">
        <v>1.27</v>
      </c>
      <c r="U34">
        <v>1.35</v>
      </c>
    </row>
    <row r="35" spans="2:21" x14ac:dyDescent="0.2">
      <c r="B35" s="71">
        <v>32</v>
      </c>
      <c r="C35" s="112"/>
      <c r="D35" s="71"/>
      <c r="E35" s="313">
        <v>1.0828</v>
      </c>
      <c r="F35" s="116">
        <v>1.3121</v>
      </c>
      <c r="G35" s="313">
        <f t="shared" si="1"/>
        <v>1.0828</v>
      </c>
      <c r="H35" s="313">
        <f t="shared" si="0"/>
        <v>1.3121</v>
      </c>
      <c r="Q35">
        <v>30</v>
      </c>
      <c r="R35" s="112">
        <v>0.86885245901639341</v>
      </c>
      <c r="S35">
        <v>1.21</v>
      </c>
      <c r="T35">
        <v>1.31</v>
      </c>
      <c r="U35">
        <v>1.39</v>
      </c>
    </row>
    <row r="36" spans="2:21" x14ac:dyDescent="0.2">
      <c r="B36" s="71">
        <v>33</v>
      </c>
      <c r="C36" s="112"/>
      <c r="D36" s="71"/>
      <c r="E36" s="313">
        <v>1.0291999999999999</v>
      </c>
      <c r="F36" s="116">
        <v>1.2623</v>
      </c>
      <c r="G36" s="313">
        <f t="shared" si="1"/>
        <v>1.0291999999999999</v>
      </c>
      <c r="H36" s="313">
        <f t="shared" si="0"/>
        <v>1.2623</v>
      </c>
      <c r="Q36">
        <v>31</v>
      </c>
      <c r="R36" s="112">
        <v>0.85245901639344257</v>
      </c>
    </row>
    <row r="37" spans="2:21" ht="28.5" customHeight="1" x14ac:dyDescent="0.2"/>
    <row r="38" spans="2:21" x14ac:dyDescent="0.2">
      <c r="B38" s="427" t="s">
        <v>699</v>
      </c>
      <c r="C38" s="427"/>
      <c r="R38" t="s">
        <v>230</v>
      </c>
      <c r="S38" t="s">
        <v>231</v>
      </c>
    </row>
    <row r="39" spans="2:21" x14ac:dyDescent="0.2">
      <c r="B39" t="s">
        <v>498</v>
      </c>
      <c r="E39" s="117" t="s">
        <v>501</v>
      </c>
      <c r="R39">
        <v>16</v>
      </c>
      <c r="S39">
        <v>2.0699999999999998</v>
      </c>
    </row>
    <row r="40" spans="2:21" x14ac:dyDescent="0.2">
      <c r="E40" s="117"/>
      <c r="F40" s="117" t="s">
        <v>650</v>
      </c>
      <c r="G40" s="425">
        <v>-8.09E-2</v>
      </c>
      <c r="H40" s="425">
        <v>-8.1500000000000003E-2</v>
      </c>
    </row>
    <row r="41" spans="2:21" x14ac:dyDescent="0.2">
      <c r="F41" s="117" t="s">
        <v>697</v>
      </c>
      <c r="G41" s="425">
        <v>3.8050000000000002</v>
      </c>
      <c r="H41" s="425">
        <v>4.1749999999999998</v>
      </c>
      <c r="R41">
        <v>17</v>
      </c>
      <c r="S41">
        <v>1.86</v>
      </c>
    </row>
    <row r="42" spans="2:21" ht="32" x14ac:dyDescent="0.2">
      <c r="B42" s="72" t="s">
        <v>497</v>
      </c>
      <c r="C42" s="72" t="s">
        <v>144</v>
      </c>
      <c r="D42" s="72" t="s">
        <v>145</v>
      </c>
      <c r="E42" s="72" t="s">
        <v>146</v>
      </c>
      <c r="F42" s="72" t="s">
        <v>147</v>
      </c>
      <c r="G42" s="428" t="s">
        <v>502</v>
      </c>
      <c r="H42" s="428" t="s">
        <v>700</v>
      </c>
      <c r="R42">
        <v>18</v>
      </c>
      <c r="S42">
        <v>1.88</v>
      </c>
    </row>
    <row r="43" spans="2:21" x14ac:dyDescent="0.2">
      <c r="B43" s="71">
        <v>14</v>
      </c>
      <c r="C43" s="116">
        <v>2.1463414634146343</v>
      </c>
      <c r="D43" s="71"/>
      <c r="E43" s="71">
        <v>3.04</v>
      </c>
      <c r="F43" s="426">
        <v>3.0339999999999998</v>
      </c>
      <c r="G43" s="313">
        <f>$B43*$G$40+$G$41</f>
        <v>2.6724000000000001</v>
      </c>
      <c r="H43" s="313">
        <f>$B43*$H$40+$H$41</f>
        <v>3.0339999999999998</v>
      </c>
      <c r="R43">
        <v>20</v>
      </c>
      <c r="S43">
        <v>1.71</v>
      </c>
    </row>
    <row r="44" spans="2:21" x14ac:dyDescent="0.2">
      <c r="B44" s="71">
        <v>15</v>
      </c>
      <c r="C44" s="116">
        <v>1.9340659340659341</v>
      </c>
      <c r="D44" s="71">
        <v>3.36</v>
      </c>
      <c r="E44" s="426">
        <v>2.5914999999999999</v>
      </c>
      <c r="F44" s="426">
        <v>2.9524999999999997</v>
      </c>
      <c r="G44" s="313">
        <f t="shared" ref="G44:G61" si="2">$B44*$G$40+$G$41</f>
        <v>2.5914999999999999</v>
      </c>
      <c r="H44" s="313">
        <f t="shared" ref="H44:H62" si="3">$B44*$H$40+$H$41</f>
        <v>2.9524999999999997</v>
      </c>
      <c r="R44">
        <v>21</v>
      </c>
      <c r="S44">
        <v>1.66</v>
      </c>
    </row>
    <row r="45" spans="2:21" x14ac:dyDescent="0.2">
      <c r="B45" s="71">
        <v>16</v>
      </c>
      <c r="C45" s="116">
        <v>1.784037558685446</v>
      </c>
      <c r="D45" s="71">
        <v>2.4</v>
      </c>
      <c r="E45" s="71">
        <v>2.46</v>
      </c>
      <c r="F45" s="71">
        <v>2.54</v>
      </c>
      <c r="G45" s="313">
        <f t="shared" si="2"/>
        <v>2.5106000000000002</v>
      </c>
      <c r="H45" s="313">
        <f t="shared" si="3"/>
        <v>2.8709999999999996</v>
      </c>
      <c r="R45">
        <v>22</v>
      </c>
      <c r="S45">
        <v>1.58</v>
      </c>
    </row>
    <row r="46" spans="2:21" x14ac:dyDescent="0.2">
      <c r="B46" s="71">
        <v>17</v>
      </c>
      <c r="C46" s="116">
        <v>1.7160493827160495</v>
      </c>
      <c r="D46" s="71">
        <v>2.4</v>
      </c>
      <c r="E46" s="79">
        <v>2.4300000000000002</v>
      </c>
      <c r="F46" s="71">
        <v>3.15</v>
      </c>
      <c r="G46" s="313">
        <f t="shared" si="2"/>
        <v>2.4297000000000004</v>
      </c>
      <c r="H46" s="313">
        <f t="shared" si="3"/>
        <v>2.7894999999999999</v>
      </c>
      <c r="R46">
        <v>23</v>
      </c>
      <c r="S46">
        <v>1.48</v>
      </c>
    </row>
    <row r="47" spans="2:21" x14ac:dyDescent="0.2">
      <c r="B47" s="71">
        <v>18</v>
      </c>
      <c r="C47" s="116">
        <v>1.6537102473498233</v>
      </c>
      <c r="D47" s="71">
        <v>2.29</v>
      </c>
      <c r="E47" s="71">
        <v>2.38</v>
      </c>
      <c r="F47" s="71">
        <v>2.4700000000000002</v>
      </c>
      <c r="G47" s="313">
        <f t="shared" si="2"/>
        <v>2.3488000000000002</v>
      </c>
      <c r="H47" s="313">
        <f t="shared" si="3"/>
        <v>2.7079999999999997</v>
      </c>
      <c r="R47">
        <v>24</v>
      </c>
      <c r="S47">
        <v>1.46</v>
      </c>
    </row>
    <row r="48" spans="2:21" x14ac:dyDescent="0.2">
      <c r="B48" s="71">
        <v>19</v>
      </c>
      <c r="C48" s="116">
        <v>1.5505925250683683</v>
      </c>
      <c r="D48" s="71">
        <v>2.04</v>
      </c>
      <c r="E48" s="71">
        <v>2.2200000000000002</v>
      </c>
      <c r="F48" s="71">
        <v>2.87</v>
      </c>
      <c r="G48" s="313">
        <f t="shared" si="2"/>
        <v>2.2679</v>
      </c>
      <c r="H48" s="313">
        <f t="shared" si="3"/>
        <v>2.6265000000000001</v>
      </c>
      <c r="R48">
        <v>25</v>
      </c>
      <c r="S48">
        <v>1.44</v>
      </c>
    </row>
    <row r="49" spans="2:19" x14ac:dyDescent="0.2">
      <c r="B49" s="71">
        <v>20</v>
      </c>
      <c r="C49" s="116">
        <v>1.4524776604386678</v>
      </c>
      <c r="D49" s="71">
        <v>1.81</v>
      </c>
      <c r="E49" s="71">
        <v>2.12</v>
      </c>
      <c r="F49" s="71">
        <v>2.7</v>
      </c>
      <c r="G49" s="313">
        <f t="shared" si="2"/>
        <v>2.1870000000000003</v>
      </c>
      <c r="H49" s="313">
        <f t="shared" si="3"/>
        <v>2.5449999999999999</v>
      </c>
      <c r="R49">
        <v>26</v>
      </c>
      <c r="S49">
        <v>1.27</v>
      </c>
    </row>
    <row r="50" spans="2:19" x14ac:dyDescent="0.2">
      <c r="B50" s="71">
        <v>21</v>
      </c>
      <c r="C50" s="116">
        <v>1.3772169167803547</v>
      </c>
      <c r="D50" s="71">
        <v>1.88</v>
      </c>
      <c r="E50" s="71">
        <v>2.11</v>
      </c>
      <c r="F50" s="71">
        <v>2.35</v>
      </c>
      <c r="G50" s="313">
        <f t="shared" si="2"/>
        <v>2.1061000000000001</v>
      </c>
      <c r="H50" s="313">
        <f t="shared" si="3"/>
        <v>2.4634999999999998</v>
      </c>
      <c r="R50">
        <v>27</v>
      </c>
      <c r="S50">
        <v>1.34</v>
      </c>
    </row>
    <row r="51" spans="2:19" x14ac:dyDescent="0.2">
      <c r="B51" s="71">
        <v>22</v>
      </c>
      <c r="C51" s="116">
        <v>1.3318181818181818</v>
      </c>
      <c r="D51" s="71">
        <v>1.75</v>
      </c>
      <c r="E51" s="71">
        <v>1.94</v>
      </c>
      <c r="F51" s="71">
        <v>2.2200000000000002</v>
      </c>
      <c r="G51" s="313">
        <f t="shared" si="2"/>
        <v>2.0251999999999999</v>
      </c>
      <c r="H51" s="313">
        <f t="shared" si="3"/>
        <v>2.3819999999999997</v>
      </c>
      <c r="R51">
        <v>28</v>
      </c>
      <c r="S51">
        <v>1.38</v>
      </c>
    </row>
    <row r="52" spans="2:19" x14ac:dyDescent="0.2">
      <c r="B52" s="71">
        <v>23</v>
      </c>
      <c r="C52" s="116">
        <v>1.2696365767878077</v>
      </c>
      <c r="D52" s="71">
        <v>1.59</v>
      </c>
      <c r="E52" s="71">
        <v>1.83</v>
      </c>
      <c r="F52" s="71">
        <v>2.06</v>
      </c>
      <c r="G52" s="313">
        <f t="shared" si="2"/>
        <v>1.9443000000000001</v>
      </c>
      <c r="H52" s="313">
        <f t="shared" si="3"/>
        <v>2.3004999999999995</v>
      </c>
      <c r="R52">
        <v>29</v>
      </c>
      <c r="S52">
        <v>1.27</v>
      </c>
    </row>
    <row r="53" spans="2:19" x14ac:dyDescent="0.2">
      <c r="B53" s="71">
        <v>24</v>
      </c>
      <c r="C53" s="116">
        <v>1.2196104768300873</v>
      </c>
      <c r="D53" s="71">
        <v>1.62</v>
      </c>
      <c r="E53" s="71">
        <v>1.85</v>
      </c>
      <c r="F53" s="71">
        <v>2.13</v>
      </c>
      <c r="G53" s="313">
        <f t="shared" si="2"/>
        <v>1.8634000000000002</v>
      </c>
      <c r="H53" s="313">
        <f t="shared" si="3"/>
        <v>2.2189999999999999</v>
      </c>
      <c r="R53">
        <v>30</v>
      </c>
      <c r="S53">
        <v>1.31</v>
      </c>
    </row>
    <row r="54" spans="2:19" x14ac:dyDescent="0.2">
      <c r="B54" s="71">
        <v>25</v>
      </c>
      <c r="C54" s="116">
        <v>1.1750192752505784</v>
      </c>
      <c r="D54" s="71">
        <v>1.46</v>
      </c>
      <c r="E54" s="71">
        <v>1.6</v>
      </c>
      <c r="F54" s="426">
        <v>2.1374999999999997</v>
      </c>
      <c r="G54" s="313">
        <f t="shared" si="2"/>
        <v>1.7825000000000002</v>
      </c>
      <c r="H54" s="313">
        <f t="shared" si="3"/>
        <v>2.1374999999999997</v>
      </c>
      <c r="R54">
        <v>31</v>
      </c>
    </row>
    <row r="55" spans="2:19" x14ac:dyDescent="0.2">
      <c r="B55" s="71">
        <v>26</v>
      </c>
      <c r="C55" s="116">
        <v>1.1085337915234823</v>
      </c>
      <c r="D55" s="71">
        <v>1.43</v>
      </c>
      <c r="E55" s="71">
        <v>1.67</v>
      </c>
      <c r="F55" s="426">
        <f>2.06</f>
        <v>2.06</v>
      </c>
      <c r="G55" s="313">
        <f t="shared" si="2"/>
        <v>1.7016</v>
      </c>
      <c r="H55" s="313">
        <f t="shared" si="3"/>
        <v>2.0559999999999996</v>
      </c>
    </row>
    <row r="56" spans="2:19" x14ac:dyDescent="0.2">
      <c r="B56" s="71">
        <v>27</v>
      </c>
      <c r="C56" s="116">
        <v>1.0786175465248766</v>
      </c>
      <c r="D56" s="71">
        <v>1.53</v>
      </c>
      <c r="E56" s="71">
        <v>1.6</v>
      </c>
      <c r="F56" s="71">
        <v>1.73</v>
      </c>
      <c r="G56" s="313">
        <f t="shared" si="2"/>
        <v>1.6207000000000003</v>
      </c>
      <c r="H56" s="313">
        <f t="shared" si="3"/>
        <v>1.9744999999999999</v>
      </c>
      <c r="R56" t="s">
        <v>299</v>
      </c>
    </row>
    <row r="57" spans="2:19" x14ac:dyDescent="0.2">
      <c r="B57" s="71">
        <v>28</v>
      </c>
      <c r="C57" s="116">
        <v>1.0506756756756757</v>
      </c>
      <c r="D57" s="71">
        <v>1.48</v>
      </c>
      <c r="E57" s="71">
        <v>1.69</v>
      </c>
      <c r="F57" s="71">
        <v>1.96</v>
      </c>
      <c r="G57" s="313">
        <f t="shared" si="2"/>
        <v>1.5398000000000001</v>
      </c>
      <c r="H57" s="313">
        <f t="shared" si="3"/>
        <v>1.8929999999999998</v>
      </c>
    </row>
    <row r="58" spans="2:19" x14ac:dyDescent="0.2">
      <c r="B58" s="71">
        <v>29</v>
      </c>
      <c r="C58" s="116">
        <v>1.0027489309712889</v>
      </c>
      <c r="D58" s="71">
        <v>1.4</v>
      </c>
      <c r="E58" s="71">
        <v>1.51</v>
      </c>
      <c r="F58" s="71">
        <v>1.79</v>
      </c>
      <c r="G58" s="313">
        <f t="shared" si="2"/>
        <v>1.4589000000000003</v>
      </c>
      <c r="H58" s="313">
        <f t="shared" si="3"/>
        <v>1.8114999999999997</v>
      </c>
    </row>
    <row r="59" spans="2:19" x14ac:dyDescent="0.2">
      <c r="B59" s="71">
        <v>30</v>
      </c>
      <c r="C59" s="116">
        <v>0.98206278026905824</v>
      </c>
      <c r="D59" s="71"/>
      <c r="E59" s="71">
        <v>1.47</v>
      </c>
      <c r="F59" s="426">
        <v>1.7299999999999995</v>
      </c>
      <c r="G59" s="313">
        <f t="shared" si="2"/>
        <v>1.3780000000000001</v>
      </c>
      <c r="H59" s="313">
        <f t="shared" si="3"/>
        <v>1.7299999999999995</v>
      </c>
    </row>
    <row r="60" spans="2:19" x14ac:dyDescent="0.2">
      <c r="B60" s="71">
        <v>31</v>
      </c>
      <c r="C60" s="71"/>
      <c r="D60" s="71"/>
      <c r="E60" s="426">
        <v>1.2971000000000004</v>
      </c>
      <c r="F60" s="426">
        <v>1.6484999999999999</v>
      </c>
      <c r="G60" s="313">
        <f t="shared" si="2"/>
        <v>1.2971000000000004</v>
      </c>
      <c r="H60" s="313">
        <f t="shared" si="3"/>
        <v>1.6484999999999999</v>
      </c>
    </row>
    <row r="61" spans="2:19" x14ac:dyDescent="0.2">
      <c r="B61" s="71">
        <v>32</v>
      </c>
      <c r="C61" s="71"/>
      <c r="D61" s="71"/>
      <c r="E61" s="426">
        <v>1.2162000000000002</v>
      </c>
      <c r="F61" s="426">
        <v>1.5669999999999997</v>
      </c>
      <c r="G61" s="313">
        <f t="shared" si="2"/>
        <v>1.2162000000000002</v>
      </c>
      <c r="H61" s="313">
        <f t="shared" si="3"/>
        <v>1.5669999999999997</v>
      </c>
    </row>
    <row r="62" spans="2:19" x14ac:dyDescent="0.2">
      <c r="B62" s="71">
        <v>33</v>
      </c>
      <c r="C62" s="71"/>
      <c r="D62" s="71"/>
      <c r="E62" s="426">
        <v>1.1353</v>
      </c>
      <c r="F62" s="426">
        <v>1.4854999999999996</v>
      </c>
      <c r="G62" s="313">
        <f t="shared" ref="G62" si="4">B62*$G$40+$G$41</f>
        <v>1.1353</v>
      </c>
      <c r="H62" s="313">
        <f t="shared" si="3"/>
        <v>1.4854999999999996</v>
      </c>
    </row>
    <row r="76" spans="8:16" x14ac:dyDescent="0.2">
      <c r="H76" s="104" t="s">
        <v>128</v>
      </c>
      <c r="I76" s="104" t="s">
        <v>129</v>
      </c>
      <c r="J76" s="104" t="s">
        <v>130</v>
      </c>
      <c r="K76" s="104" t="s">
        <v>131</v>
      </c>
      <c r="L76" s="104" t="s">
        <v>132</v>
      </c>
      <c r="M76" s="104" t="s">
        <v>133</v>
      </c>
      <c r="N76" s="104" t="s">
        <v>134</v>
      </c>
      <c r="O76" s="104" t="s">
        <v>135</v>
      </c>
      <c r="P76" s="104" t="s">
        <v>136</v>
      </c>
    </row>
    <row r="77" spans="8:16" x14ac:dyDescent="0.2">
      <c r="H77" s="106" t="s">
        <v>137</v>
      </c>
      <c r="I77" s="106" t="s">
        <v>138</v>
      </c>
      <c r="J77" s="106" t="s">
        <v>139</v>
      </c>
      <c r="K77" s="106" t="s">
        <v>140</v>
      </c>
      <c r="L77" s="106" t="s">
        <v>141</v>
      </c>
      <c r="M77" s="106" t="s">
        <v>142</v>
      </c>
      <c r="N77" s="107">
        <v>1.625</v>
      </c>
      <c r="O77" s="107">
        <v>2.07421875</v>
      </c>
      <c r="P77" s="106">
        <v>16</v>
      </c>
    </row>
    <row r="78" spans="8:16" x14ac:dyDescent="0.2">
      <c r="H78" s="109" t="s">
        <v>148</v>
      </c>
      <c r="I78" s="109" t="s">
        <v>149</v>
      </c>
      <c r="J78" s="109" t="s">
        <v>150</v>
      </c>
      <c r="K78" s="109" t="s">
        <v>151</v>
      </c>
      <c r="L78" s="109" t="s">
        <v>151</v>
      </c>
      <c r="M78" s="109" t="s">
        <v>142</v>
      </c>
      <c r="N78" s="110">
        <v>1.5072463768115942</v>
      </c>
      <c r="O78" s="110">
        <v>1.8623188405797102</v>
      </c>
      <c r="P78" s="109">
        <v>17</v>
      </c>
    </row>
    <row r="79" spans="8:16" x14ac:dyDescent="0.2">
      <c r="H79" s="106" t="s">
        <v>152</v>
      </c>
      <c r="I79" s="106" t="s">
        <v>153</v>
      </c>
      <c r="J79" s="106" t="s">
        <v>150</v>
      </c>
      <c r="K79" s="106" t="s">
        <v>154</v>
      </c>
      <c r="L79" s="106" t="s">
        <v>155</v>
      </c>
      <c r="M79" s="106" t="s">
        <v>142</v>
      </c>
      <c r="N79" s="107">
        <v>1.4246575342465753</v>
      </c>
      <c r="O79" s="107">
        <v>1.9383561643835616</v>
      </c>
      <c r="P79" s="106">
        <v>18</v>
      </c>
    </row>
    <row r="80" spans="8:16" x14ac:dyDescent="0.2">
      <c r="H80" s="109" t="s">
        <v>156</v>
      </c>
      <c r="I80" s="109" t="s">
        <v>157</v>
      </c>
      <c r="J80" s="109" t="s">
        <v>158</v>
      </c>
      <c r="K80" s="109" t="s">
        <v>159</v>
      </c>
      <c r="L80" s="109" t="s">
        <v>160</v>
      </c>
      <c r="M80" s="109" t="s">
        <v>161</v>
      </c>
      <c r="N80" s="110">
        <v>1.4344827586206896</v>
      </c>
      <c r="O80" s="110">
        <v>1.8137931034482759</v>
      </c>
      <c r="P80" s="109">
        <v>18</v>
      </c>
    </row>
    <row r="81" spans="8:16" x14ac:dyDescent="0.2">
      <c r="H81" s="106" t="s">
        <v>162</v>
      </c>
      <c r="I81" s="106" t="s">
        <v>163</v>
      </c>
      <c r="J81" s="106" t="s">
        <v>164</v>
      </c>
      <c r="K81" s="106" t="s">
        <v>165</v>
      </c>
      <c r="L81" s="106" t="s">
        <v>166</v>
      </c>
      <c r="M81" s="106" t="s">
        <v>142</v>
      </c>
      <c r="N81" s="107">
        <v>1.3164556962025316</v>
      </c>
      <c r="O81" s="107">
        <v>1.6329113924050633</v>
      </c>
      <c r="P81" s="106">
        <v>20</v>
      </c>
    </row>
    <row r="82" spans="8:16" x14ac:dyDescent="0.2">
      <c r="H82" s="109" t="s">
        <v>167</v>
      </c>
      <c r="I82" s="109" t="s">
        <v>168</v>
      </c>
      <c r="J82" s="109" t="s">
        <v>169</v>
      </c>
      <c r="K82" s="109" t="s">
        <v>170</v>
      </c>
      <c r="L82" s="109" t="s">
        <v>171</v>
      </c>
      <c r="M82" s="109" t="s">
        <v>142</v>
      </c>
      <c r="N82" s="110">
        <v>1.278688524590164</v>
      </c>
      <c r="O82" s="110">
        <v>1.6233606557377049</v>
      </c>
      <c r="P82" s="109">
        <v>20</v>
      </c>
    </row>
    <row r="83" spans="8:16" x14ac:dyDescent="0.2">
      <c r="H83" s="106" t="s">
        <v>172</v>
      </c>
      <c r="I83" s="106" t="s">
        <v>173</v>
      </c>
      <c r="J83" s="106" t="s">
        <v>158</v>
      </c>
      <c r="K83" s="106" t="s">
        <v>174</v>
      </c>
      <c r="L83" s="106" t="s">
        <v>175</v>
      </c>
      <c r="M83" s="106" t="s">
        <v>142</v>
      </c>
      <c r="N83" s="107">
        <v>1.3</v>
      </c>
      <c r="O83" s="107">
        <v>2.161111111111111</v>
      </c>
      <c r="P83" s="106">
        <v>20</v>
      </c>
    </row>
    <row r="84" spans="8:16" x14ac:dyDescent="0.2">
      <c r="H84" s="109" t="s">
        <v>176</v>
      </c>
      <c r="I84" s="109" t="s">
        <v>177</v>
      </c>
      <c r="J84" s="109" t="s">
        <v>178</v>
      </c>
      <c r="K84" s="109" t="s">
        <v>179</v>
      </c>
      <c r="L84" s="109" t="s">
        <v>180</v>
      </c>
      <c r="M84" s="109" t="s">
        <v>142</v>
      </c>
      <c r="N84" s="110">
        <v>1.3081761006289307</v>
      </c>
      <c r="O84" s="110">
        <v>1.9654088050314464</v>
      </c>
      <c r="P84" s="109">
        <v>20</v>
      </c>
    </row>
    <row r="85" spans="8:16" x14ac:dyDescent="0.2">
      <c r="H85" s="106" t="s">
        <v>181</v>
      </c>
      <c r="I85" s="106" t="s">
        <v>182</v>
      </c>
      <c r="J85" s="106" t="s">
        <v>139</v>
      </c>
      <c r="K85" s="106" t="s">
        <v>140</v>
      </c>
      <c r="L85" s="106" t="s">
        <v>183</v>
      </c>
      <c r="M85" s="106" t="s">
        <v>142</v>
      </c>
      <c r="N85" s="107">
        <v>1.2871287128712872</v>
      </c>
      <c r="O85" s="107">
        <v>1.4009900990099009</v>
      </c>
      <c r="P85" s="106">
        <v>20</v>
      </c>
    </row>
    <row r="86" spans="8:16" x14ac:dyDescent="0.2">
      <c r="H86" s="109" t="s">
        <v>184</v>
      </c>
      <c r="I86" s="109" t="s">
        <v>185</v>
      </c>
      <c r="J86" s="109" t="s">
        <v>186</v>
      </c>
      <c r="K86" s="109" t="s">
        <v>187</v>
      </c>
      <c r="L86" s="109" t="s">
        <v>188</v>
      </c>
      <c r="M86" s="109" t="s">
        <v>142</v>
      </c>
      <c r="N86" s="110">
        <v>1.3081761006289307</v>
      </c>
      <c r="O86" s="110">
        <v>1.7647798742138365</v>
      </c>
      <c r="P86" s="109">
        <v>20</v>
      </c>
    </row>
    <row r="87" spans="8:16" x14ac:dyDescent="0.2">
      <c r="H87" s="106" t="s">
        <v>189</v>
      </c>
      <c r="I87" s="106" t="s">
        <v>190</v>
      </c>
      <c r="J87" s="106" t="s">
        <v>164</v>
      </c>
      <c r="K87" s="106" t="s">
        <v>191</v>
      </c>
      <c r="L87" s="106" t="s">
        <v>192</v>
      </c>
      <c r="M87" s="106" t="s">
        <v>142</v>
      </c>
      <c r="N87" s="107">
        <v>1.2892561983471074</v>
      </c>
      <c r="O87" s="107">
        <v>1.4876033057851239</v>
      </c>
      <c r="P87" s="106">
        <v>20</v>
      </c>
    </row>
    <row r="88" spans="8:16" x14ac:dyDescent="0.2">
      <c r="H88" s="109" t="s">
        <v>193</v>
      </c>
      <c r="I88" s="109" t="s">
        <v>194</v>
      </c>
      <c r="J88" s="109" t="s">
        <v>164</v>
      </c>
      <c r="K88" s="109" t="s">
        <v>195</v>
      </c>
      <c r="L88" s="109" t="s">
        <v>196</v>
      </c>
      <c r="M88" s="109" t="s">
        <v>142</v>
      </c>
      <c r="N88" s="110">
        <v>1.2807881773399015</v>
      </c>
      <c r="O88" s="110">
        <v>1.5147783251231528</v>
      </c>
      <c r="P88" s="109">
        <v>20</v>
      </c>
    </row>
    <row r="89" spans="8:16" x14ac:dyDescent="0.2">
      <c r="H89" s="106" t="s">
        <v>197</v>
      </c>
      <c r="I89" s="106" t="s">
        <v>198</v>
      </c>
      <c r="J89" s="106" t="s">
        <v>199</v>
      </c>
      <c r="K89" s="106" t="s">
        <v>200</v>
      </c>
      <c r="L89" s="106" t="s">
        <v>201</v>
      </c>
      <c r="M89" s="106" t="s">
        <v>142</v>
      </c>
      <c r="N89" s="107">
        <v>1.2839506172839505</v>
      </c>
      <c r="O89" s="107">
        <v>1.4876543209876543</v>
      </c>
      <c r="P89" s="106">
        <v>20</v>
      </c>
    </row>
    <row r="90" spans="8:16" x14ac:dyDescent="0.2">
      <c r="H90" s="109" t="s">
        <v>202</v>
      </c>
      <c r="I90" s="109" t="s">
        <v>203</v>
      </c>
      <c r="J90" s="109" t="s">
        <v>158</v>
      </c>
      <c r="K90" s="109" t="s">
        <v>204</v>
      </c>
      <c r="L90" s="109" t="s">
        <v>205</v>
      </c>
      <c r="M90" s="109" t="s">
        <v>142</v>
      </c>
      <c r="N90" s="110">
        <v>1.2871287128712872</v>
      </c>
      <c r="O90" s="110">
        <v>2.4306930693069306</v>
      </c>
      <c r="P90" s="109">
        <v>20</v>
      </c>
    </row>
    <row r="91" spans="8:16" x14ac:dyDescent="0.2">
      <c r="H91" s="106" t="s">
        <v>206</v>
      </c>
      <c r="I91" s="106" t="s">
        <v>207</v>
      </c>
      <c r="J91" s="106" t="s">
        <v>169</v>
      </c>
      <c r="K91" s="106" t="s">
        <v>208</v>
      </c>
      <c r="L91" s="106" t="s">
        <v>209</v>
      </c>
      <c r="M91" s="106" t="s">
        <v>142</v>
      </c>
      <c r="N91" s="107">
        <v>1.3131313131313131</v>
      </c>
      <c r="O91" s="107">
        <v>1.9116161616161615</v>
      </c>
      <c r="P91" s="106">
        <v>20</v>
      </c>
    </row>
    <row r="92" spans="8:16" x14ac:dyDescent="0.2">
      <c r="H92" s="109" t="s">
        <v>210</v>
      </c>
      <c r="I92" s="109" t="s">
        <v>211</v>
      </c>
      <c r="J92" s="109" t="s">
        <v>212</v>
      </c>
      <c r="K92" s="109" t="s">
        <v>213</v>
      </c>
      <c r="L92" s="109" t="s">
        <v>214</v>
      </c>
      <c r="M92" s="109" t="s">
        <v>142</v>
      </c>
      <c r="N92" s="110">
        <v>1.3164556962025316</v>
      </c>
      <c r="O92" s="110">
        <v>1.6329113924050633</v>
      </c>
      <c r="P92" s="109">
        <v>20</v>
      </c>
    </row>
    <row r="93" spans="8:16" x14ac:dyDescent="0.2">
      <c r="H93" s="106" t="s">
        <v>215</v>
      </c>
      <c r="I93" s="106" t="s">
        <v>216</v>
      </c>
      <c r="J93" s="106" t="s">
        <v>186</v>
      </c>
      <c r="K93" s="106" t="s">
        <v>217</v>
      </c>
      <c r="L93" s="106" t="s">
        <v>218</v>
      </c>
      <c r="M93" s="106" t="s">
        <v>161</v>
      </c>
      <c r="N93" s="107">
        <v>1.2163742690058479</v>
      </c>
      <c r="O93" s="107">
        <v>1.9748538011695906</v>
      </c>
      <c r="P93" s="106">
        <v>21</v>
      </c>
    </row>
    <row r="94" spans="8:16" x14ac:dyDescent="0.2">
      <c r="H94" s="109" t="s">
        <v>219</v>
      </c>
      <c r="I94" s="109" t="s">
        <v>220</v>
      </c>
      <c r="J94" s="109" t="s">
        <v>186</v>
      </c>
      <c r="K94" s="109" t="s">
        <v>221</v>
      </c>
      <c r="L94" s="109" t="s">
        <v>222</v>
      </c>
      <c r="M94" s="109" t="s">
        <v>161</v>
      </c>
      <c r="N94" s="110">
        <v>1.2682926829268293</v>
      </c>
      <c r="O94" s="110">
        <v>1.975609756097561</v>
      </c>
      <c r="P94" s="109">
        <v>21</v>
      </c>
    </row>
    <row r="95" spans="8:16" x14ac:dyDescent="0.2">
      <c r="H95" s="105" t="s">
        <v>223</v>
      </c>
      <c r="I95" s="106" t="s">
        <v>224</v>
      </c>
      <c r="J95" s="106" t="s">
        <v>158</v>
      </c>
      <c r="K95" s="106" t="s">
        <v>225</v>
      </c>
      <c r="L95" s="106" t="s">
        <v>225</v>
      </c>
      <c r="M95" s="106" t="s">
        <v>142</v>
      </c>
      <c r="N95" s="107">
        <v>1.2350000000000001</v>
      </c>
      <c r="O95" s="107">
        <v>1.8831249999999999</v>
      </c>
      <c r="P95" s="106">
        <v>21</v>
      </c>
    </row>
    <row r="96" spans="8:16" x14ac:dyDescent="0.2">
      <c r="H96" s="108" t="s">
        <v>226</v>
      </c>
      <c r="I96" s="109" t="s">
        <v>227</v>
      </c>
      <c r="J96" s="109" t="s">
        <v>178</v>
      </c>
      <c r="K96" s="109" t="s">
        <v>228</v>
      </c>
      <c r="L96" s="109" t="s">
        <v>229</v>
      </c>
      <c r="M96" s="109" t="s">
        <v>142</v>
      </c>
      <c r="N96" s="110">
        <v>1.2283464566929134</v>
      </c>
      <c r="O96" s="110">
        <v>1.5702755905511812</v>
      </c>
      <c r="P96" s="109">
        <v>21</v>
      </c>
    </row>
    <row r="97" spans="8:16" x14ac:dyDescent="0.2">
      <c r="H97" s="105" t="s">
        <v>232</v>
      </c>
      <c r="I97" s="106" t="s">
        <v>233</v>
      </c>
      <c r="J97" s="106" t="s">
        <v>139</v>
      </c>
      <c r="K97" s="106" t="s">
        <v>140</v>
      </c>
      <c r="L97" s="106" t="s">
        <v>234</v>
      </c>
      <c r="M97" s="106" t="s">
        <v>142</v>
      </c>
      <c r="N97" s="107">
        <v>1.2530120481927711</v>
      </c>
      <c r="O97" s="107">
        <v>1.3493975903614457</v>
      </c>
      <c r="P97" s="106">
        <v>21</v>
      </c>
    </row>
    <row r="98" spans="8:16" x14ac:dyDescent="0.2">
      <c r="H98" s="108" t="s">
        <v>235</v>
      </c>
      <c r="I98" s="109" t="s">
        <v>236</v>
      </c>
      <c r="J98" s="109" t="s">
        <v>139</v>
      </c>
      <c r="K98" s="109" t="s">
        <v>140</v>
      </c>
      <c r="L98" s="109" t="s">
        <v>237</v>
      </c>
      <c r="M98" s="109" t="s">
        <v>142</v>
      </c>
      <c r="N98" s="110">
        <v>1.2163742690058479</v>
      </c>
      <c r="O98" s="110">
        <v>1.3538011695906433</v>
      </c>
      <c r="P98" s="109">
        <v>21</v>
      </c>
    </row>
    <row r="99" spans="8:16" x14ac:dyDescent="0.2">
      <c r="H99" s="106" t="s">
        <v>238</v>
      </c>
      <c r="I99" s="106" t="s">
        <v>239</v>
      </c>
      <c r="J99" s="106" t="s">
        <v>139</v>
      </c>
      <c r="K99" s="106" t="s">
        <v>240</v>
      </c>
      <c r="L99" s="106" t="s">
        <v>241</v>
      </c>
      <c r="M99" s="106" t="s">
        <v>142</v>
      </c>
      <c r="N99" s="107">
        <v>1.2380952380952381</v>
      </c>
      <c r="O99" s="107">
        <v>1.8107607687074834</v>
      </c>
      <c r="P99" s="106">
        <v>21</v>
      </c>
    </row>
    <row r="100" spans="8:16" x14ac:dyDescent="0.2">
      <c r="H100" s="109" t="s">
        <v>242</v>
      </c>
      <c r="I100" s="109" t="s">
        <v>243</v>
      </c>
      <c r="J100" s="109" t="s">
        <v>158</v>
      </c>
      <c r="K100" s="109" t="s">
        <v>244</v>
      </c>
      <c r="L100" s="109" t="s">
        <v>245</v>
      </c>
      <c r="M100" s="109" t="s">
        <v>142</v>
      </c>
      <c r="N100" s="110">
        <v>1.1685393258426966</v>
      </c>
      <c r="O100" s="110">
        <v>1.4129213483146068</v>
      </c>
      <c r="P100" s="109">
        <v>22</v>
      </c>
    </row>
    <row r="101" spans="8:16" x14ac:dyDescent="0.2">
      <c r="H101" s="106" t="s">
        <v>246</v>
      </c>
      <c r="I101" s="106" t="s">
        <v>247</v>
      </c>
      <c r="J101" s="106" t="s">
        <v>169</v>
      </c>
      <c r="K101" s="106" t="s">
        <v>248</v>
      </c>
      <c r="L101" s="106" t="s">
        <v>249</v>
      </c>
      <c r="M101" s="106" t="s">
        <v>142</v>
      </c>
      <c r="N101" s="107">
        <v>1.2061855670103092</v>
      </c>
      <c r="O101" s="107">
        <v>1.3376288659793814</v>
      </c>
      <c r="P101" s="106">
        <v>22</v>
      </c>
    </row>
    <row r="102" spans="8:16" x14ac:dyDescent="0.2">
      <c r="H102" s="109" t="s">
        <v>250</v>
      </c>
      <c r="I102" s="109" t="s">
        <v>251</v>
      </c>
      <c r="J102" s="109" t="s">
        <v>150</v>
      </c>
      <c r="K102" s="109" t="s">
        <v>252</v>
      </c>
      <c r="L102" s="109" t="s">
        <v>253</v>
      </c>
      <c r="M102" s="109" t="s">
        <v>142</v>
      </c>
      <c r="N102" s="110">
        <v>1.1592356687898089</v>
      </c>
      <c r="O102" s="110">
        <v>1.6184713375796178</v>
      </c>
      <c r="P102" s="109">
        <v>22</v>
      </c>
    </row>
    <row r="103" spans="8:16" x14ac:dyDescent="0.2">
      <c r="H103" s="106" t="s">
        <v>254</v>
      </c>
      <c r="I103" s="106" t="s">
        <v>255</v>
      </c>
      <c r="J103" s="106" t="s">
        <v>186</v>
      </c>
      <c r="K103" s="106" t="s">
        <v>256</v>
      </c>
      <c r="L103" s="106" t="s">
        <v>257</v>
      </c>
      <c r="M103" s="106" t="s">
        <v>161</v>
      </c>
      <c r="N103" s="107">
        <v>1.1818181818181819</v>
      </c>
      <c r="O103" s="107">
        <v>1.8204545454545455</v>
      </c>
      <c r="P103" s="106">
        <v>22</v>
      </c>
    </row>
    <row r="104" spans="8:16" x14ac:dyDescent="0.2">
      <c r="H104" s="109" t="s">
        <v>258</v>
      </c>
      <c r="I104" s="109" t="s">
        <v>259</v>
      </c>
      <c r="J104" s="109" t="s">
        <v>158</v>
      </c>
      <c r="K104" s="109" t="s">
        <v>260</v>
      </c>
      <c r="L104" s="109" t="s">
        <v>261</v>
      </c>
      <c r="M104" s="109" t="s">
        <v>142</v>
      </c>
      <c r="N104" s="110">
        <v>1.1954022988505748</v>
      </c>
      <c r="O104" s="110">
        <v>1.7183908045977012</v>
      </c>
      <c r="P104" s="109">
        <v>22</v>
      </c>
    </row>
    <row r="105" spans="8:16" x14ac:dyDescent="0.2">
      <c r="H105" s="106" t="s">
        <v>262</v>
      </c>
      <c r="I105" s="106" t="s">
        <v>263</v>
      </c>
      <c r="J105" s="106" t="s">
        <v>264</v>
      </c>
      <c r="K105" s="106" t="s">
        <v>265</v>
      </c>
      <c r="L105" s="106" t="s">
        <v>266</v>
      </c>
      <c r="M105" s="106" t="s">
        <v>142</v>
      </c>
      <c r="N105" s="107">
        <v>1.1818181818181819</v>
      </c>
      <c r="O105" s="107">
        <v>1.7386363636363635</v>
      </c>
      <c r="P105" s="106">
        <v>22</v>
      </c>
    </row>
    <row r="106" spans="8:16" x14ac:dyDescent="0.2">
      <c r="H106" s="109" t="s">
        <v>267</v>
      </c>
      <c r="I106" s="109" t="s">
        <v>268</v>
      </c>
      <c r="J106" s="109" t="s">
        <v>269</v>
      </c>
      <c r="K106" s="109" t="s">
        <v>270</v>
      </c>
      <c r="L106" s="109" t="s">
        <v>271</v>
      </c>
      <c r="M106" s="109" t="s">
        <v>142</v>
      </c>
      <c r="N106" s="110">
        <v>1.1926605504587156</v>
      </c>
      <c r="O106" s="110">
        <v>1.4373088685015289</v>
      </c>
      <c r="P106" s="109">
        <v>22</v>
      </c>
    </row>
    <row r="107" spans="8:16" x14ac:dyDescent="0.2">
      <c r="H107" s="106" t="s">
        <v>272</v>
      </c>
      <c r="I107" s="106" t="s">
        <v>273</v>
      </c>
      <c r="J107" s="106" t="s">
        <v>264</v>
      </c>
      <c r="K107" s="106" t="s">
        <v>274</v>
      </c>
      <c r="L107" s="106" t="s">
        <v>275</v>
      </c>
      <c r="M107" s="106" t="s">
        <v>142</v>
      </c>
      <c r="N107" s="107">
        <v>1.1926605504587156</v>
      </c>
      <c r="O107" s="107">
        <v>1.6928899082568807</v>
      </c>
      <c r="P107" s="106">
        <v>22</v>
      </c>
    </row>
    <row r="108" spans="8:16" x14ac:dyDescent="0.2">
      <c r="H108" s="109" t="s">
        <v>276</v>
      </c>
      <c r="I108" s="109" t="s">
        <v>277</v>
      </c>
      <c r="J108" s="109" t="s">
        <v>264</v>
      </c>
      <c r="K108" s="109" t="s">
        <v>274</v>
      </c>
      <c r="L108" s="109" t="s">
        <v>278</v>
      </c>
      <c r="M108" s="109" t="s">
        <v>142</v>
      </c>
      <c r="N108" s="110">
        <v>1.1695501730103806</v>
      </c>
      <c r="O108" s="110">
        <v>1.7647058823529411</v>
      </c>
      <c r="P108" s="109">
        <v>22</v>
      </c>
    </row>
    <row r="109" spans="8:16" x14ac:dyDescent="0.2">
      <c r="H109" s="106" t="s">
        <v>279</v>
      </c>
      <c r="I109" s="106" t="s">
        <v>280</v>
      </c>
      <c r="J109" s="106" t="s">
        <v>158</v>
      </c>
      <c r="K109" s="106" t="s">
        <v>281</v>
      </c>
      <c r="L109" s="106" t="s">
        <v>282</v>
      </c>
      <c r="M109" s="106" t="s">
        <v>142</v>
      </c>
      <c r="N109" s="107">
        <v>1.2061855670103092</v>
      </c>
      <c r="O109" s="107">
        <v>1.5667010309278351</v>
      </c>
      <c r="P109" s="106">
        <v>22</v>
      </c>
    </row>
    <row r="110" spans="8:16" x14ac:dyDescent="0.2">
      <c r="H110" s="109" t="s">
        <v>283</v>
      </c>
      <c r="I110" s="109" t="s">
        <v>284</v>
      </c>
      <c r="J110" s="109" t="s">
        <v>169</v>
      </c>
      <c r="K110" s="109" t="s">
        <v>285</v>
      </c>
      <c r="L110" s="109" t="s">
        <v>286</v>
      </c>
      <c r="M110" s="109" t="s">
        <v>142</v>
      </c>
      <c r="N110" s="110">
        <v>1.1908396946564885</v>
      </c>
      <c r="O110" s="110">
        <v>1.5267175572519085</v>
      </c>
      <c r="P110" s="109">
        <v>22</v>
      </c>
    </row>
    <row r="111" spans="8:16" x14ac:dyDescent="0.2">
      <c r="H111" s="106" t="s">
        <v>287</v>
      </c>
      <c r="I111" s="106" t="s">
        <v>288</v>
      </c>
      <c r="J111" s="106" t="s">
        <v>169</v>
      </c>
      <c r="K111" s="106" t="s">
        <v>289</v>
      </c>
      <c r="L111" s="106" t="s">
        <v>290</v>
      </c>
      <c r="M111" s="106" t="s">
        <v>142</v>
      </c>
      <c r="N111" s="107">
        <v>1.1685393258426966</v>
      </c>
      <c r="O111" s="107">
        <v>1.3026217228464421</v>
      </c>
      <c r="P111" s="106">
        <v>22</v>
      </c>
    </row>
    <row r="112" spans="8:16" x14ac:dyDescent="0.2">
      <c r="H112" s="109" t="s">
        <v>291</v>
      </c>
      <c r="I112" s="109" t="s">
        <v>292</v>
      </c>
      <c r="J112" s="109" t="s">
        <v>199</v>
      </c>
      <c r="K112" s="109" t="s">
        <v>293</v>
      </c>
      <c r="L112" s="109" t="s">
        <v>294</v>
      </c>
      <c r="M112" s="109" t="s">
        <v>161</v>
      </c>
      <c r="N112" s="110">
        <v>1.1375</v>
      </c>
      <c r="O112" s="110">
        <v>1.5</v>
      </c>
      <c r="P112" s="109">
        <v>23</v>
      </c>
    </row>
    <row r="113" spans="8:22" x14ac:dyDescent="0.2">
      <c r="H113" s="106" t="s">
        <v>295</v>
      </c>
      <c r="I113" s="106" t="s">
        <v>296</v>
      </c>
      <c r="J113" s="106" t="s">
        <v>164</v>
      </c>
      <c r="K113" s="106" t="s">
        <v>297</v>
      </c>
      <c r="L113" s="106" t="s">
        <v>298</v>
      </c>
      <c r="M113" s="106" t="s">
        <v>142</v>
      </c>
      <c r="N113" s="107">
        <v>1.1439999999999999</v>
      </c>
      <c r="O113" s="107">
        <v>1.3371999999999999</v>
      </c>
      <c r="P113" s="106">
        <v>23</v>
      </c>
    </row>
    <row r="114" spans="8:22" x14ac:dyDescent="0.2">
      <c r="H114" s="109" t="s">
        <v>300</v>
      </c>
      <c r="I114" s="109" t="s">
        <v>301</v>
      </c>
      <c r="J114" s="109" t="s">
        <v>169</v>
      </c>
      <c r="K114" s="109" t="s">
        <v>302</v>
      </c>
      <c r="L114" s="109" t="s">
        <v>303</v>
      </c>
      <c r="M114" s="109" t="s">
        <v>142</v>
      </c>
      <c r="N114" s="110">
        <v>1.1504424778761062</v>
      </c>
      <c r="O114" s="110">
        <v>1.3473451327433628</v>
      </c>
      <c r="P114" s="109">
        <v>23</v>
      </c>
      <c r="R114" t="s">
        <v>143</v>
      </c>
      <c r="S114" t="s">
        <v>144</v>
      </c>
      <c r="T114" t="s">
        <v>145</v>
      </c>
      <c r="U114" t="s">
        <v>146</v>
      </c>
      <c r="V114" t="s">
        <v>147</v>
      </c>
    </row>
    <row r="115" spans="8:22" x14ac:dyDescent="0.2">
      <c r="H115" s="106" t="s">
        <v>304</v>
      </c>
      <c r="I115" s="106" t="s">
        <v>305</v>
      </c>
      <c r="J115" s="106" t="s">
        <v>158</v>
      </c>
      <c r="K115" s="106" t="s">
        <v>306</v>
      </c>
      <c r="L115" s="106" t="s">
        <v>307</v>
      </c>
      <c r="M115" s="106" t="s">
        <v>142</v>
      </c>
      <c r="N115" s="107">
        <v>1.1229235880398671</v>
      </c>
      <c r="O115" s="107">
        <v>1.7823920265780731</v>
      </c>
      <c r="P115" s="106">
        <v>23</v>
      </c>
      <c r="R115">
        <v>14</v>
      </c>
      <c r="S115" s="111">
        <v>2.1463414634146343</v>
      </c>
      <c r="U115">
        <v>3.04</v>
      </c>
    </row>
    <row r="116" spans="8:22" x14ac:dyDescent="0.2">
      <c r="H116" s="109" t="s">
        <v>308</v>
      </c>
      <c r="I116" s="109" t="s">
        <v>309</v>
      </c>
      <c r="J116" s="109" t="s">
        <v>264</v>
      </c>
      <c r="K116" s="109" t="s">
        <v>310</v>
      </c>
      <c r="L116" s="109" t="s">
        <v>311</v>
      </c>
      <c r="M116" s="109" t="s">
        <v>142</v>
      </c>
      <c r="N116" s="110">
        <v>1.1122994652406417</v>
      </c>
      <c r="O116" s="110">
        <v>1.5419786096256685</v>
      </c>
      <c r="P116" s="109">
        <v>23</v>
      </c>
      <c r="R116">
        <v>15</v>
      </c>
      <c r="S116" s="111">
        <v>1.9340659340659341</v>
      </c>
      <c r="T116">
        <v>3.36</v>
      </c>
    </row>
    <row r="117" spans="8:22" x14ac:dyDescent="0.2">
      <c r="H117" s="106" t="s">
        <v>312</v>
      </c>
      <c r="I117" s="106" t="s">
        <v>313</v>
      </c>
      <c r="J117" s="106" t="s">
        <v>264</v>
      </c>
      <c r="K117" s="106" t="s">
        <v>314</v>
      </c>
      <c r="L117" s="106" t="s">
        <v>315</v>
      </c>
      <c r="M117" s="106" t="s">
        <v>142</v>
      </c>
      <c r="N117" s="107">
        <v>1.149171270718232</v>
      </c>
      <c r="O117" s="107">
        <v>1.4702762430939227</v>
      </c>
      <c r="P117" s="106">
        <v>23</v>
      </c>
      <c r="R117">
        <v>16</v>
      </c>
      <c r="S117" s="111">
        <v>1.784037558685446</v>
      </c>
      <c r="T117">
        <v>2.4</v>
      </c>
      <c r="U117">
        <v>2.46</v>
      </c>
      <c r="V117">
        <v>2.54</v>
      </c>
    </row>
    <row r="118" spans="8:22" x14ac:dyDescent="0.2">
      <c r="H118" s="109" t="s">
        <v>316</v>
      </c>
      <c r="I118" s="109" t="s">
        <v>317</v>
      </c>
      <c r="J118" s="109" t="s">
        <v>164</v>
      </c>
      <c r="K118" s="109" t="s">
        <v>318</v>
      </c>
      <c r="L118" s="109" t="s">
        <v>318</v>
      </c>
      <c r="M118" s="109" t="s">
        <v>142</v>
      </c>
      <c r="N118" s="110">
        <v>1.1243243243243244</v>
      </c>
      <c r="O118" s="110">
        <v>1.3662162162162161</v>
      </c>
      <c r="P118" s="109">
        <v>23</v>
      </c>
      <c r="R118">
        <v>17</v>
      </c>
      <c r="S118" s="111">
        <v>1.7160493827160495</v>
      </c>
      <c r="T118">
        <v>2.4</v>
      </c>
      <c r="U118">
        <v>2.73</v>
      </c>
      <c r="V118">
        <v>3.15</v>
      </c>
    </row>
    <row r="119" spans="8:22" x14ac:dyDescent="0.2">
      <c r="H119" s="106" t="s">
        <v>319</v>
      </c>
      <c r="I119" s="106" t="s">
        <v>320</v>
      </c>
      <c r="J119" s="106" t="s">
        <v>212</v>
      </c>
      <c r="K119" s="106" t="s">
        <v>321</v>
      </c>
      <c r="L119" s="106" t="s">
        <v>322</v>
      </c>
      <c r="M119" s="106" t="s">
        <v>142</v>
      </c>
      <c r="N119" s="107">
        <v>1.1212938005390836</v>
      </c>
      <c r="O119" s="107">
        <v>1.4043126684636118</v>
      </c>
      <c r="P119" s="106">
        <v>23</v>
      </c>
      <c r="R119">
        <v>18</v>
      </c>
      <c r="S119" s="111">
        <v>1.6537102473498233</v>
      </c>
      <c r="T119">
        <v>2.29</v>
      </c>
      <c r="U119">
        <v>2.38</v>
      </c>
      <c r="V119">
        <v>2.4700000000000002</v>
      </c>
    </row>
    <row r="120" spans="8:22" x14ac:dyDescent="0.2">
      <c r="H120" s="108" t="s">
        <v>323</v>
      </c>
      <c r="I120" s="109" t="s">
        <v>324</v>
      </c>
      <c r="J120" s="109" t="s">
        <v>264</v>
      </c>
      <c r="K120" s="109" t="s">
        <v>325</v>
      </c>
      <c r="L120" s="109" t="s">
        <v>326</v>
      </c>
      <c r="M120" s="109" t="s">
        <v>142</v>
      </c>
      <c r="N120" s="110">
        <v>1.1304347826086956</v>
      </c>
      <c r="O120" s="110">
        <v>1.5</v>
      </c>
      <c r="P120" s="109">
        <v>23</v>
      </c>
      <c r="R120">
        <v>19</v>
      </c>
      <c r="S120" s="111">
        <v>1.5505925250683683</v>
      </c>
      <c r="T120">
        <v>2.04</v>
      </c>
      <c r="U120">
        <v>2.2200000000000002</v>
      </c>
      <c r="V120">
        <v>2.87</v>
      </c>
    </row>
    <row r="121" spans="8:22" x14ac:dyDescent="0.2">
      <c r="H121" s="105" t="s">
        <v>327</v>
      </c>
      <c r="I121" s="106" t="s">
        <v>328</v>
      </c>
      <c r="J121" s="106" t="s">
        <v>150</v>
      </c>
      <c r="K121" s="106" t="s">
        <v>329</v>
      </c>
      <c r="L121" s="106" t="s">
        <v>330</v>
      </c>
      <c r="M121" s="106" t="s">
        <v>142</v>
      </c>
      <c r="N121" s="107">
        <v>1.1485943775100402</v>
      </c>
      <c r="O121" s="107">
        <v>1.4036144578313252</v>
      </c>
      <c r="P121" s="106">
        <v>23</v>
      </c>
      <c r="R121">
        <v>20</v>
      </c>
      <c r="S121" s="111">
        <v>1.4524776604386678</v>
      </c>
      <c r="T121">
        <v>1.81</v>
      </c>
      <c r="U121">
        <v>2.12</v>
      </c>
      <c r="V121">
        <v>2.7</v>
      </c>
    </row>
    <row r="122" spans="8:22" x14ac:dyDescent="0.2">
      <c r="H122" s="108" t="s">
        <v>331</v>
      </c>
      <c r="I122" s="109" t="s">
        <v>332</v>
      </c>
      <c r="J122" s="109" t="s">
        <v>150</v>
      </c>
      <c r="K122" s="109" t="s">
        <v>333</v>
      </c>
      <c r="L122" s="109" t="s">
        <v>334</v>
      </c>
      <c r="M122" s="109" t="s">
        <v>161</v>
      </c>
      <c r="N122" s="110">
        <v>1.1304347826086956</v>
      </c>
      <c r="O122" s="110">
        <v>1.576086956521739</v>
      </c>
      <c r="P122" s="109">
        <v>23</v>
      </c>
      <c r="R122">
        <v>21</v>
      </c>
      <c r="S122" s="111">
        <v>1.3772169167803547</v>
      </c>
      <c r="T122">
        <v>1.88</v>
      </c>
      <c r="U122">
        <v>2.11</v>
      </c>
      <c r="V122">
        <v>2.35</v>
      </c>
    </row>
    <row r="123" spans="8:22" x14ac:dyDescent="0.2">
      <c r="H123" s="105" t="s">
        <v>335</v>
      </c>
      <c r="I123" s="106" t="s">
        <v>336</v>
      </c>
      <c r="J123" s="106" t="s">
        <v>212</v>
      </c>
      <c r="K123" s="106" t="s">
        <v>213</v>
      </c>
      <c r="L123" s="106" t="s">
        <v>337</v>
      </c>
      <c r="M123" s="106" t="s">
        <v>142</v>
      </c>
      <c r="N123" s="107">
        <v>1.1349206349206349</v>
      </c>
      <c r="O123" s="107">
        <v>1.501984126984127</v>
      </c>
      <c r="P123" s="106">
        <v>23</v>
      </c>
      <c r="R123">
        <v>22</v>
      </c>
      <c r="S123" s="111">
        <v>1.3318181818181818</v>
      </c>
      <c r="T123">
        <v>1.75</v>
      </c>
      <c r="U123">
        <v>1.94</v>
      </c>
      <c r="V123">
        <v>2.2200000000000002</v>
      </c>
    </row>
    <row r="124" spans="8:22" x14ac:dyDescent="0.2">
      <c r="H124" s="108" t="s">
        <v>338</v>
      </c>
      <c r="I124" s="109" t="s">
        <v>339</v>
      </c>
      <c r="J124" s="109" t="s">
        <v>158</v>
      </c>
      <c r="K124" s="109" t="s">
        <v>340</v>
      </c>
      <c r="L124" s="109" t="s">
        <v>341</v>
      </c>
      <c r="M124" s="109" t="s">
        <v>161</v>
      </c>
      <c r="N124" s="110">
        <v>1.0833333333333333</v>
      </c>
      <c r="O124" s="110">
        <v>1.4166666666666667</v>
      </c>
      <c r="P124" s="109">
        <v>24</v>
      </c>
      <c r="R124">
        <v>23</v>
      </c>
      <c r="S124" s="111">
        <v>1.2696365767878077</v>
      </c>
      <c r="T124">
        <v>1.59</v>
      </c>
      <c r="U124">
        <v>1.83</v>
      </c>
      <c r="V124">
        <v>2.06</v>
      </c>
    </row>
    <row r="125" spans="8:22" x14ac:dyDescent="0.2">
      <c r="H125" s="105" t="s">
        <v>342</v>
      </c>
      <c r="I125" s="106" t="s">
        <v>343</v>
      </c>
      <c r="J125" s="106" t="s">
        <v>150</v>
      </c>
      <c r="K125" s="106" t="s">
        <v>344</v>
      </c>
      <c r="L125" s="106" t="s">
        <v>345</v>
      </c>
      <c r="M125" s="106" t="s">
        <v>161</v>
      </c>
      <c r="N125" s="107">
        <v>1.0974025974025974</v>
      </c>
      <c r="O125" s="107">
        <v>1.3717532467532467</v>
      </c>
      <c r="P125" s="106">
        <v>24</v>
      </c>
      <c r="R125">
        <v>24</v>
      </c>
      <c r="S125" s="111">
        <v>1.2196104768300873</v>
      </c>
      <c r="T125">
        <v>1.62</v>
      </c>
      <c r="U125">
        <v>1.85</v>
      </c>
      <c r="V125">
        <v>2.13</v>
      </c>
    </row>
    <row r="126" spans="8:22" x14ac:dyDescent="0.2">
      <c r="H126" s="108" t="s">
        <v>346</v>
      </c>
      <c r="I126" s="109" t="s">
        <v>347</v>
      </c>
      <c r="J126" s="109" t="s">
        <v>348</v>
      </c>
      <c r="K126" s="109" t="s">
        <v>349</v>
      </c>
      <c r="L126" s="109" t="s">
        <v>350</v>
      </c>
      <c r="M126" s="109" t="s">
        <v>161</v>
      </c>
      <c r="N126" s="110">
        <v>1.0833333333333333</v>
      </c>
      <c r="O126" s="110">
        <v>1.6753472222222223</v>
      </c>
      <c r="P126" s="109">
        <v>24</v>
      </c>
      <c r="R126">
        <v>25</v>
      </c>
      <c r="S126" s="111">
        <v>1.1750192752505784</v>
      </c>
      <c r="T126">
        <v>1.46</v>
      </c>
      <c r="U126">
        <v>1.6</v>
      </c>
      <c r="V126">
        <v>1.68</v>
      </c>
    </row>
    <row r="127" spans="8:22" x14ac:dyDescent="0.2">
      <c r="H127" s="105" t="s">
        <v>351</v>
      </c>
      <c r="I127" s="106" t="s">
        <v>352</v>
      </c>
      <c r="J127" s="106" t="s">
        <v>264</v>
      </c>
      <c r="K127" s="106" t="s">
        <v>353</v>
      </c>
      <c r="L127" s="106" t="s">
        <v>354</v>
      </c>
      <c r="M127" s="106" t="s">
        <v>142</v>
      </c>
      <c r="N127" s="107">
        <v>1.1028277634961439</v>
      </c>
      <c r="O127" s="107">
        <v>1.3123393316195373</v>
      </c>
      <c r="P127" s="106">
        <v>24</v>
      </c>
      <c r="R127">
        <v>26</v>
      </c>
      <c r="S127" s="111">
        <v>1.1085337915234823</v>
      </c>
      <c r="T127">
        <v>1.43</v>
      </c>
      <c r="U127">
        <v>1.67</v>
      </c>
      <c r="V127">
        <v>2.2999999999999998</v>
      </c>
    </row>
    <row r="128" spans="8:22" x14ac:dyDescent="0.2">
      <c r="H128" s="108" t="s">
        <v>355</v>
      </c>
      <c r="I128" s="109" t="s">
        <v>356</v>
      </c>
      <c r="J128" s="109" t="s">
        <v>169</v>
      </c>
      <c r="K128" s="109" t="s">
        <v>170</v>
      </c>
      <c r="L128" s="109" t="s">
        <v>357</v>
      </c>
      <c r="M128" s="109" t="s">
        <v>142</v>
      </c>
      <c r="N128" s="110">
        <v>1.0684931506849316</v>
      </c>
      <c r="O128" s="110">
        <v>1.4252054794520548</v>
      </c>
      <c r="P128" s="109">
        <v>24</v>
      </c>
      <c r="R128">
        <v>27</v>
      </c>
      <c r="S128" s="111">
        <v>1.0786175465248766</v>
      </c>
      <c r="T128">
        <v>1.53</v>
      </c>
      <c r="U128">
        <v>1.6</v>
      </c>
      <c r="V128">
        <v>1.73</v>
      </c>
    </row>
    <row r="129" spans="8:23" x14ac:dyDescent="0.2">
      <c r="H129" s="105" t="s">
        <v>358</v>
      </c>
      <c r="I129" s="106" t="s">
        <v>359</v>
      </c>
      <c r="J129" s="106" t="s">
        <v>158</v>
      </c>
      <c r="K129" s="106" t="s">
        <v>360</v>
      </c>
      <c r="L129" s="106" t="s">
        <v>361</v>
      </c>
      <c r="M129" s="106" t="s">
        <v>142</v>
      </c>
      <c r="N129" s="107">
        <v>1.0623655913978494</v>
      </c>
      <c r="O129" s="107">
        <v>1.5862365591397849</v>
      </c>
      <c r="P129" s="106">
        <v>24</v>
      </c>
      <c r="R129">
        <v>28</v>
      </c>
      <c r="S129" s="111">
        <v>1.0506756756756757</v>
      </c>
      <c r="T129">
        <v>1.48</v>
      </c>
      <c r="U129">
        <v>1.69</v>
      </c>
      <c r="V129">
        <v>1.96</v>
      </c>
    </row>
    <row r="130" spans="8:23" x14ac:dyDescent="0.2">
      <c r="H130" s="108" t="s">
        <v>362</v>
      </c>
      <c r="I130" s="109" t="s">
        <v>363</v>
      </c>
      <c r="J130" s="109" t="s">
        <v>348</v>
      </c>
      <c r="K130" s="109" t="s">
        <v>364</v>
      </c>
      <c r="L130" s="109" t="s">
        <v>365</v>
      </c>
      <c r="M130" s="109" t="s">
        <v>142</v>
      </c>
      <c r="N130" s="110">
        <v>1.0452261306532664</v>
      </c>
      <c r="O130" s="110">
        <v>1.2776381909547738</v>
      </c>
      <c r="P130" s="109">
        <v>25</v>
      </c>
      <c r="R130">
        <v>29</v>
      </c>
      <c r="S130" s="111">
        <v>1.0027489309712889</v>
      </c>
      <c r="T130">
        <v>1.4</v>
      </c>
      <c r="U130">
        <v>1.51</v>
      </c>
      <c r="V130">
        <v>1.79</v>
      </c>
    </row>
    <row r="131" spans="8:23" x14ac:dyDescent="0.2">
      <c r="H131" s="105" t="s">
        <v>366</v>
      </c>
      <c r="I131" s="106" t="s">
        <v>367</v>
      </c>
      <c r="J131" s="106" t="s">
        <v>158</v>
      </c>
      <c r="K131" s="106" t="s">
        <v>368</v>
      </c>
      <c r="L131" s="106" t="s">
        <v>369</v>
      </c>
      <c r="M131" s="106" t="s">
        <v>161</v>
      </c>
      <c r="N131" s="107">
        <v>1.0308370044052864</v>
      </c>
      <c r="O131" s="107">
        <v>1.9779735682819384</v>
      </c>
      <c r="P131" s="106">
        <v>25</v>
      </c>
      <c r="R131">
        <v>30</v>
      </c>
      <c r="S131" s="111">
        <v>0.98206278026905824</v>
      </c>
      <c r="U131">
        <v>1.47</v>
      </c>
    </row>
    <row r="132" spans="8:23" x14ac:dyDescent="0.2">
      <c r="H132" s="108" t="s">
        <v>370</v>
      </c>
      <c r="I132" s="109" t="s">
        <v>371</v>
      </c>
      <c r="J132" s="109" t="s">
        <v>150</v>
      </c>
      <c r="K132" s="109" t="s">
        <v>333</v>
      </c>
      <c r="L132" s="109" t="s">
        <v>372</v>
      </c>
      <c r="M132" s="109" t="s">
        <v>161</v>
      </c>
      <c r="N132" s="110">
        <v>1.027027027027027</v>
      </c>
      <c r="O132" s="110">
        <v>1.3087318087318087</v>
      </c>
      <c r="P132" s="109">
        <v>25</v>
      </c>
    </row>
    <row r="133" spans="8:23" x14ac:dyDescent="0.2">
      <c r="H133" s="105" t="s">
        <v>373</v>
      </c>
      <c r="I133" s="106" t="s">
        <v>374</v>
      </c>
      <c r="J133" s="106" t="s">
        <v>264</v>
      </c>
      <c r="K133" s="106" t="s">
        <v>375</v>
      </c>
      <c r="L133" s="106" t="s">
        <v>376</v>
      </c>
      <c r="M133" s="106" t="s">
        <v>142</v>
      </c>
      <c r="N133" s="107">
        <v>1.0297029702970297</v>
      </c>
      <c r="O133" s="107">
        <v>1.4900990099009901</v>
      </c>
      <c r="P133" s="106">
        <v>25</v>
      </c>
    </row>
    <row r="134" spans="8:23" x14ac:dyDescent="0.2">
      <c r="H134" s="108" t="s">
        <v>377</v>
      </c>
      <c r="I134" s="109" t="s">
        <v>378</v>
      </c>
      <c r="J134" s="109" t="s">
        <v>264</v>
      </c>
      <c r="K134" s="109" t="s">
        <v>379</v>
      </c>
      <c r="L134" s="109" t="s">
        <v>380</v>
      </c>
      <c r="M134" s="109" t="s">
        <v>142</v>
      </c>
      <c r="N134" s="110">
        <v>1.0585241730279897</v>
      </c>
      <c r="O134" s="110">
        <v>1.5203562340966921</v>
      </c>
      <c r="P134" s="109">
        <v>25</v>
      </c>
    </row>
    <row r="135" spans="8:23" x14ac:dyDescent="0.2">
      <c r="H135" s="105" t="s">
        <v>381</v>
      </c>
      <c r="I135" s="106" t="s">
        <v>382</v>
      </c>
      <c r="J135" s="106" t="s">
        <v>383</v>
      </c>
      <c r="K135" s="106" t="s">
        <v>384</v>
      </c>
      <c r="L135" s="106" t="s">
        <v>385</v>
      </c>
      <c r="M135" s="106" t="s">
        <v>161</v>
      </c>
      <c r="N135" s="107">
        <v>1</v>
      </c>
      <c r="O135" s="107">
        <v>1.3602564102564103</v>
      </c>
      <c r="P135" s="106">
        <v>26</v>
      </c>
      <c r="R135">
        <v>14</v>
      </c>
      <c r="S135">
        <v>176</v>
      </c>
      <c r="T135">
        <v>249.5</v>
      </c>
      <c r="U135">
        <v>82</v>
      </c>
      <c r="V135" s="111">
        <v>2.1463414634146343</v>
      </c>
      <c r="W135" s="111">
        <v>3.0426829268292681</v>
      </c>
    </row>
    <row r="136" spans="8:23" x14ac:dyDescent="0.2">
      <c r="H136" s="108" t="s">
        <v>386</v>
      </c>
      <c r="I136" s="109" t="s">
        <v>387</v>
      </c>
      <c r="J136" s="109" t="s">
        <v>388</v>
      </c>
      <c r="K136" s="109" t="s">
        <v>389</v>
      </c>
      <c r="L136" s="109" t="s">
        <v>390</v>
      </c>
      <c r="M136" s="109" t="s">
        <v>161</v>
      </c>
      <c r="N136" s="110">
        <v>1.008729388942774</v>
      </c>
      <c r="O136" s="110">
        <v>1.2374393792434528</v>
      </c>
      <c r="P136" s="109">
        <v>26</v>
      </c>
      <c r="R136">
        <v>15</v>
      </c>
      <c r="S136">
        <v>176</v>
      </c>
      <c r="T136">
        <v>305.40000000000003</v>
      </c>
      <c r="U136">
        <v>91</v>
      </c>
      <c r="V136" s="111">
        <v>1.9340659340659341</v>
      </c>
      <c r="W136" s="111">
        <v>3.3560439560439566</v>
      </c>
    </row>
    <row r="137" spans="8:23" x14ac:dyDescent="0.2">
      <c r="H137" s="105" t="s">
        <v>391</v>
      </c>
      <c r="I137" s="106" t="s">
        <v>392</v>
      </c>
      <c r="J137" s="106" t="s">
        <v>199</v>
      </c>
      <c r="K137" s="106" t="s">
        <v>393</v>
      </c>
      <c r="L137" s="106" t="s">
        <v>394</v>
      </c>
      <c r="M137" s="106" t="s">
        <v>161</v>
      </c>
      <c r="N137" s="107">
        <v>0.9889064976228209</v>
      </c>
      <c r="O137" s="107">
        <v>1.4014263074484943</v>
      </c>
      <c r="P137" s="106">
        <v>26</v>
      </c>
      <c r="R137">
        <v>16</v>
      </c>
      <c r="S137">
        <v>380</v>
      </c>
      <c r="T137">
        <v>524.5</v>
      </c>
      <c r="U137">
        <v>213</v>
      </c>
      <c r="V137" s="111">
        <v>1.784037558685446</v>
      </c>
      <c r="W137" s="111">
        <v>2.4624413145539905</v>
      </c>
    </row>
    <row r="138" spans="8:23" x14ac:dyDescent="0.2">
      <c r="H138" s="108" t="s">
        <v>395</v>
      </c>
      <c r="I138" s="109" t="s">
        <v>396</v>
      </c>
      <c r="J138" s="109" t="s">
        <v>388</v>
      </c>
      <c r="K138" s="109" t="s">
        <v>397</v>
      </c>
      <c r="L138" s="109" t="s">
        <v>398</v>
      </c>
      <c r="M138" s="109" t="s">
        <v>142</v>
      </c>
      <c r="N138" s="110">
        <v>0.99236641221374045</v>
      </c>
      <c r="O138" s="110">
        <v>1.2772900763358779</v>
      </c>
      <c r="P138" s="109">
        <v>26</v>
      </c>
      <c r="R138">
        <v>17</v>
      </c>
      <c r="S138">
        <v>556</v>
      </c>
      <c r="T138">
        <v>885.5</v>
      </c>
      <c r="U138">
        <v>324</v>
      </c>
      <c r="V138" s="111">
        <v>1.7160493827160495</v>
      </c>
      <c r="W138" s="111">
        <v>2.7330246913580245</v>
      </c>
    </row>
    <row r="139" spans="8:23" x14ac:dyDescent="0.2">
      <c r="H139" s="105" t="s">
        <v>399</v>
      </c>
      <c r="I139" s="106" t="s">
        <v>400</v>
      </c>
      <c r="J139" s="106" t="s">
        <v>169</v>
      </c>
      <c r="K139" s="106" t="s">
        <v>401</v>
      </c>
      <c r="L139" s="106" t="s">
        <v>402</v>
      </c>
      <c r="M139" s="106" t="s">
        <v>142</v>
      </c>
      <c r="N139" s="107">
        <v>1.0146341463414634</v>
      </c>
      <c r="O139" s="107">
        <v>1.1097560975609757</v>
      </c>
      <c r="P139" s="106">
        <v>26</v>
      </c>
      <c r="R139">
        <v>18</v>
      </c>
      <c r="S139">
        <v>468</v>
      </c>
      <c r="T139">
        <v>906.82</v>
      </c>
      <c r="U139">
        <v>283</v>
      </c>
      <c r="V139" s="111">
        <v>1.6537102473498233</v>
      </c>
      <c r="W139" s="111">
        <v>3.2043109540636046</v>
      </c>
    </row>
    <row r="140" spans="8:23" x14ac:dyDescent="0.2">
      <c r="H140" s="108" t="s">
        <v>403</v>
      </c>
      <c r="I140" s="109" t="s">
        <v>404</v>
      </c>
      <c r="J140" s="109" t="s">
        <v>139</v>
      </c>
      <c r="K140" s="109" t="s">
        <v>140</v>
      </c>
      <c r="L140" s="109" t="s">
        <v>405</v>
      </c>
      <c r="M140" s="109" t="s">
        <v>142</v>
      </c>
      <c r="N140" s="110">
        <v>1.0097087378640777</v>
      </c>
      <c r="O140" s="110">
        <v>1.2362459546925566</v>
      </c>
      <c r="P140" s="109">
        <v>26</v>
      </c>
      <c r="R140">
        <v>19</v>
      </c>
      <c r="S140">
        <v>1701</v>
      </c>
      <c r="T140">
        <v>1468.091872</v>
      </c>
      <c r="U140">
        <v>1097</v>
      </c>
      <c r="V140" s="111">
        <v>1.5505925250683683</v>
      </c>
      <c r="W140" s="111">
        <v>1.3382788258887877</v>
      </c>
    </row>
    <row r="141" spans="8:23" x14ac:dyDescent="0.2">
      <c r="H141" s="105" t="s">
        <v>406</v>
      </c>
      <c r="I141" s="106" t="s">
        <v>407</v>
      </c>
      <c r="J141" s="106" t="s">
        <v>139</v>
      </c>
      <c r="K141" s="106" t="s">
        <v>140</v>
      </c>
      <c r="L141" s="106" t="s">
        <v>408</v>
      </c>
      <c r="M141" s="106" t="s">
        <v>161</v>
      </c>
      <c r="N141" s="107">
        <v>1.0115273775216138</v>
      </c>
      <c r="O141" s="107">
        <v>1.3299711815561959</v>
      </c>
      <c r="P141" s="106">
        <v>26</v>
      </c>
      <c r="R141">
        <v>20</v>
      </c>
      <c r="S141">
        <v>1788</v>
      </c>
      <c r="T141">
        <v>2086.5463519999998</v>
      </c>
      <c r="U141">
        <v>1231</v>
      </c>
      <c r="V141" s="111">
        <v>1.4524776604386678</v>
      </c>
      <c r="W141" s="111">
        <v>1.6950010982940698</v>
      </c>
    </row>
    <row r="142" spans="8:23" x14ac:dyDescent="0.2">
      <c r="H142" s="108" t="s">
        <v>409</v>
      </c>
      <c r="I142" s="109" t="s">
        <v>410</v>
      </c>
      <c r="J142" s="109" t="s">
        <v>169</v>
      </c>
      <c r="K142" s="109" t="s">
        <v>411</v>
      </c>
      <c r="L142" s="109" t="s">
        <v>412</v>
      </c>
      <c r="M142" s="109" t="s">
        <v>142</v>
      </c>
      <c r="N142" s="110">
        <v>0.98913043478260865</v>
      </c>
      <c r="O142" s="110">
        <v>1.2228260869565217</v>
      </c>
      <c r="P142" s="109">
        <v>26</v>
      </c>
      <c r="R142">
        <v>21</v>
      </c>
      <c r="S142">
        <v>2019</v>
      </c>
      <c r="T142">
        <v>3229.85</v>
      </c>
      <c r="U142">
        <v>1466</v>
      </c>
      <c r="V142" s="111">
        <v>1.3772169167803547</v>
      </c>
      <c r="W142" s="111">
        <v>2.2031718963165074</v>
      </c>
    </row>
    <row r="143" spans="8:23" x14ac:dyDescent="0.2">
      <c r="H143" s="105" t="s">
        <v>413</v>
      </c>
      <c r="I143" s="106" t="s">
        <v>414</v>
      </c>
      <c r="J143" s="106" t="s">
        <v>212</v>
      </c>
      <c r="K143" s="106" t="s">
        <v>213</v>
      </c>
      <c r="L143" s="106" t="s">
        <v>415</v>
      </c>
      <c r="M143" s="106" t="s">
        <v>161</v>
      </c>
      <c r="N143" s="107">
        <v>1.0016051364365972</v>
      </c>
      <c r="O143" s="107">
        <v>1.2865168539325842</v>
      </c>
      <c r="P143" s="106">
        <v>26</v>
      </c>
      <c r="R143">
        <v>22</v>
      </c>
      <c r="S143">
        <v>1172</v>
      </c>
      <c r="T143">
        <v>1708.3999999999999</v>
      </c>
      <c r="U143">
        <v>880</v>
      </c>
      <c r="V143" s="111">
        <v>1.3318181818181818</v>
      </c>
      <c r="W143" s="111">
        <v>1.9413636363636362</v>
      </c>
    </row>
    <row r="144" spans="8:23" x14ac:dyDescent="0.2">
      <c r="H144" s="108" t="s">
        <v>416</v>
      </c>
      <c r="I144" s="109" t="s">
        <v>417</v>
      </c>
      <c r="J144" s="109" t="s">
        <v>383</v>
      </c>
      <c r="K144" s="109" t="s">
        <v>418</v>
      </c>
      <c r="L144" s="109" t="s">
        <v>419</v>
      </c>
      <c r="M144" s="109" t="s">
        <v>161</v>
      </c>
      <c r="N144" s="110">
        <v>0.97652582159624413</v>
      </c>
      <c r="O144" s="110">
        <v>1.6291079812206573</v>
      </c>
      <c r="P144" s="109">
        <v>27</v>
      </c>
      <c r="R144">
        <v>23</v>
      </c>
      <c r="S144">
        <v>2166</v>
      </c>
      <c r="T144">
        <v>3072.09</v>
      </c>
      <c r="U144">
        <v>1706</v>
      </c>
      <c r="V144" s="111">
        <v>1.2696365767878077</v>
      </c>
      <c r="W144" s="111">
        <v>1.8007561547479485</v>
      </c>
    </row>
    <row r="145" spans="8:23" x14ac:dyDescent="0.2">
      <c r="H145" s="105" t="s">
        <v>420</v>
      </c>
      <c r="I145" s="106" t="s">
        <v>421</v>
      </c>
      <c r="J145" s="106" t="s">
        <v>388</v>
      </c>
      <c r="K145" s="106" t="s">
        <v>422</v>
      </c>
      <c r="L145" s="106" t="s">
        <v>423</v>
      </c>
      <c r="M145" s="106" t="s">
        <v>142</v>
      </c>
      <c r="N145" s="107">
        <v>0.94832826747720367</v>
      </c>
      <c r="O145" s="107">
        <v>1.1565349544072949</v>
      </c>
      <c r="P145" s="106">
        <v>27</v>
      </c>
      <c r="R145">
        <v>24</v>
      </c>
      <c r="S145">
        <v>1816</v>
      </c>
      <c r="T145">
        <v>2716.5</v>
      </c>
      <c r="U145">
        <v>1489</v>
      </c>
      <c r="V145" s="111">
        <v>1.2196104768300873</v>
      </c>
      <c r="W145" s="111">
        <v>1.8243787777031564</v>
      </c>
    </row>
    <row r="146" spans="8:23" x14ac:dyDescent="0.2">
      <c r="H146" s="108" t="s">
        <v>424</v>
      </c>
      <c r="I146" s="109" t="s">
        <v>425</v>
      </c>
      <c r="J146" s="109" t="s">
        <v>212</v>
      </c>
      <c r="K146" s="109" t="s">
        <v>321</v>
      </c>
      <c r="L146" s="109" t="s">
        <v>426</v>
      </c>
      <c r="M146" s="109" t="s">
        <v>161</v>
      </c>
      <c r="N146" s="110">
        <v>0.9555895865237366</v>
      </c>
      <c r="O146" s="110">
        <v>1.451761102603369</v>
      </c>
      <c r="P146" s="109">
        <v>27</v>
      </c>
      <c r="R146">
        <v>25</v>
      </c>
      <c r="S146">
        <v>1524</v>
      </c>
      <c r="T146">
        <v>2056.8100000000004</v>
      </c>
      <c r="U146">
        <v>1297</v>
      </c>
      <c r="V146" s="111">
        <v>1.1750192752505784</v>
      </c>
      <c r="W146" s="111">
        <v>1.5858211256746342</v>
      </c>
    </row>
    <row r="147" spans="8:23" x14ac:dyDescent="0.2">
      <c r="H147" s="105" t="s">
        <v>427</v>
      </c>
      <c r="I147" s="106" t="s">
        <v>428</v>
      </c>
      <c r="J147" s="106" t="s">
        <v>388</v>
      </c>
      <c r="K147" s="106" t="s">
        <v>429</v>
      </c>
      <c r="L147" s="106" t="s">
        <v>430</v>
      </c>
      <c r="M147" s="106" t="s">
        <v>161</v>
      </c>
      <c r="N147" s="107">
        <v>0.95354523227383858</v>
      </c>
      <c r="O147" s="107">
        <v>1.1295843520782396</v>
      </c>
      <c r="P147" s="106">
        <v>27</v>
      </c>
      <c r="R147">
        <v>26</v>
      </c>
      <c r="S147">
        <v>3871</v>
      </c>
      <c r="T147">
        <v>5746.35</v>
      </c>
      <c r="U147">
        <v>3492</v>
      </c>
      <c r="V147" s="111">
        <v>1.1085337915234823</v>
      </c>
      <c r="W147" s="111">
        <v>1.6455756013745706</v>
      </c>
    </row>
    <row r="148" spans="8:23" x14ac:dyDescent="0.2">
      <c r="H148" s="108" t="s">
        <v>431</v>
      </c>
      <c r="I148" s="109" t="s">
        <v>432</v>
      </c>
      <c r="J148" s="109" t="s">
        <v>433</v>
      </c>
      <c r="K148" s="109" t="s">
        <v>434</v>
      </c>
      <c r="L148" s="109" t="s">
        <v>435</v>
      </c>
      <c r="M148" s="109" t="s">
        <v>161</v>
      </c>
      <c r="N148" s="110">
        <v>0.96147919876733434</v>
      </c>
      <c r="O148" s="110">
        <v>1.3875192604006163</v>
      </c>
      <c r="P148" s="109">
        <v>27</v>
      </c>
      <c r="R148">
        <v>27</v>
      </c>
      <c r="S148">
        <v>2840</v>
      </c>
      <c r="T148">
        <v>4322.8099999999995</v>
      </c>
      <c r="U148">
        <v>2633</v>
      </c>
      <c r="V148" s="111">
        <v>1.0786175465248766</v>
      </c>
      <c r="W148" s="111">
        <v>1.6417812381314087</v>
      </c>
    </row>
    <row r="149" spans="8:23" x14ac:dyDescent="0.2">
      <c r="H149" s="105" t="s">
        <v>436</v>
      </c>
      <c r="I149" s="106" t="s">
        <v>437</v>
      </c>
      <c r="J149" s="106" t="s">
        <v>433</v>
      </c>
      <c r="K149" s="106" t="s">
        <v>434</v>
      </c>
      <c r="L149" s="106" t="s">
        <v>435</v>
      </c>
      <c r="M149" s="106" t="s">
        <v>161</v>
      </c>
      <c r="N149" s="107">
        <v>0.98113207547169812</v>
      </c>
      <c r="O149" s="107">
        <v>1.3275353773584906</v>
      </c>
      <c r="P149" s="106">
        <v>27</v>
      </c>
      <c r="R149">
        <v>28</v>
      </c>
      <c r="S149">
        <v>1555</v>
      </c>
      <c r="T149">
        <v>2540.4</v>
      </c>
      <c r="U149">
        <v>1480</v>
      </c>
      <c r="V149" s="111">
        <v>1.0506756756756757</v>
      </c>
      <c r="W149" s="111">
        <v>1.7164864864864866</v>
      </c>
    </row>
    <row r="150" spans="8:23" x14ac:dyDescent="0.2">
      <c r="H150" s="108" t="s">
        <v>438</v>
      </c>
      <c r="I150" s="109" t="s">
        <v>439</v>
      </c>
      <c r="J150" s="109" t="s">
        <v>433</v>
      </c>
      <c r="K150" s="109" t="s">
        <v>434</v>
      </c>
      <c r="L150" s="109" t="s">
        <v>440</v>
      </c>
      <c r="M150" s="109" t="s">
        <v>161</v>
      </c>
      <c r="N150" s="110">
        <v>0.96894409937888204</v>
      </c>
      <c r="O150" s="110">
        <v>1.3462732919254659</v>
      </c>
      <c r="P150" s="109">
        <v>27</v>
      </c>
      <c r="R150">
        <v>29</v>
      </c>
      <c r="S150">
        <v>6566</v>
      </c>
      <c r="T150">
        <v>9952.51</v>
      </c>
      <c r="U150">
        <v>6548</v>
      </c>
      <c r="V150" s="111">
        <v>1.0027489309712889</v>
      </c>
      <c r="W150" s="111">
        <v>1.5199312767257178</v>
      </c>
    </row>
    <row r="151" spans="8:23" x14ac:dyDescent="0.2">
      <c r="H151" s="105" t="s">
        <v>441</v>
      </c>
      <c r="I151" s="106" t="s">
        <v>442</v>
      </c>
      <c r="J151" s="106" t="s">
        <v>433</v>
      </c>
      <c r="K151" s="106" t="s">
        <v>434</v>
      </c>
      <c r="L151" s="106" t="s">
        <v>443</v>
      </c>
      <c r="M151" s="106" t="s">
        <v>161</v>
      </c>
      <c r="N151" s="107">
        <v>0.94832826747720367</v>
      </c>
      <c r="O151" s="107">
        <v>1.1702127659574468</v>
      </c>
      <c r="P151" s="106">
        <v>27</v>
      </c>
      <c r="R151">
        <v>30</v>
      </c>
      <c r="S151">
        <v>438</v>
      </c>
      <c r="T151">
        <v>654</v>
      </c>
      <c r="U151">
        <v>446</v>
      </c>
      <c r="V151" s="111">
        <v>0.98206278026905824</v>
      </c>
      <c r="W151" s="111">
        <v>1.4663677130044843</v>
      </c>
    </row>
    <row r="152" spans="8:23" x14ac:dyDescent="0.2">
      <c r="H152" s="108" t="s">
        <v>444</v>
      </c>
      <c r="I152" s="109" t="s">
        <v>445</v>
      </c>
      <c r="J152" s="109" t="s">
        <v>433</v>
      </c>
      <c r="K152" s="109" t="s">
        <v>434</v>
      </c>
      <c r="L152" s="109" t="s">
        <v>446</v>
      </c>
      <c r="M152" s="109" t="s">
        <v>161</v>
      </c>
      <c r="N152" s="110">
        <v>0.94688922610015169</v>
      </c>
      <c r="O152" s="110">
        <v>1.3528072837632776</v>
      </c>
      <c r="P152" s="109">
        <v>27</v>
      </c>
    </row>
    <row r="153" spans="8:23" x14ac:dyDescent="0.2">
      <c r="H153" s="105" t="s">
        <v>447</v>
      </c>
      <c r="I153" s="106" t="s">
        <v>448</v>
      </c>
      <c r="J153" s="106" t="s">
        <v>139</v>
      </c>
      <c r="K153" s="106" t="s">
        <v>140</v>
      </c>
      <c r="L153" s="106" t="s">
        <v>449</v>
      </c>
      <c r="M153" s="106" t="s">
        <v>142</v>
      </c>
      <c r="N153" s="107">
        <v>0.97744360902255634</v>
      </c>
      <c r="O153" s="107">
        <v>1.3421052631578947</v>
      </c>
      <c r="P153" s="106">
        <v>27</v>
      </c>
    </row>
    <row r="154" spans="8:23" x14ac:dyDescent="0.2">
      <c r="H154" s="108" t="s">
        <v>450</v>
      </c>
      <c r="I154" s="109" t="s">
        <v>451</v>
      </c>
      <c r="J154" s="109" t="s">
        <v>150</v>
      </c>
      <c r="K154" s="109" t="s">
        <v>452</v>
      </c>
      <c r="L154" s="109" t="s">
        <v>453</v>
      </c>
      <c r="M154" s="109" t="s">
        <v>142</v>
      </c>
      <c r="N154" s="110">
        <v>0.98113207547169812</v>
      </c>
      <c r="O154" s="110">
        <v>1.4607966457023061</v>
      </c>
      <c r="P154" s="109">
        <v>27</v>
      </c>
      <c r="R154" s="71" t="s">
        <v>491</v>
      </c>
      <c r="S154" s="71" t="s">
        <v>492</v>
      </c>
    </row>
    <row r="155" spans="8:23" x14ac:dyDescent="0.2">
      <c r="H155" s="105" t="s">
        <v>454</v>
      </c>
      <c r="I155" s="106" t="s">
        <v>455</v>
      </c>
      <c r="J155" s="106" t="s">
        <v>433</v>
      </c>
      <c r="K155" s="106" t="s">
        <v>434</v>
      </c>
      <c r="L155" s="106" t="s">
        <v>456</v>
      </c>
      <c r="M155" s="106" t="s">
        <v>161</v>
      </c>
      <c r="N155" s="107">
        <v>0.92198581560283688</v>
      </c>
      <c r="O155" s="107">
        <v>1.2955082742316786</v>
      </c>
      <c r="P155" s="106">
        <v>28</v>
      </c>
      <c r="R155" s="71">
        <v>16</v>
      </c>
      <c r="S155" s="71">
        <v>2.46</v>
      </c>
      <c r="T155">
        <f>3.8126-(R155*0.0831)</f>
        <v>2.4830000000000005</v>
      </c>
    </row>
    <row r="156" spans="8:23" x14ac:dyDescent="0.2">
      <c r="H156" s="108" t="s">
        <v>457</v>
      </c>
      <c r="I156" s="109" t="s">
        <v>458</v>
      </c>
      <c r="J156" s="109" t="s">
        <v>212</v>
      </c>
      <c r="K156" s="109" t="s">
        <v>213</v>
      </c>
      <c r="L156" s="109" t="s">
        <v>459</v>
      </c>
      <c r="M156" s="109" t="s">
        <v>161</v>
      </c>
      <c r="N156" s="110">
        <v>0.93273542600896864</v>
      </c>
      <c r="O156" s="110">
        <v>1.3766816143497758</v>
      </c>
      <c r="P156" s="109">
        <v>28</v>
      </c>
      <c r="R156" s="71">
        <v>17</v>
      </c>
      <c r="S156" s="71">
        <v>2.73</v>
      </c>
      <c r="T156">
        <f t="shared" ref="T156:T169" si="5">3.8126-(R156*0.0831)</f>
        <v>2.3999000000000006</v>
      </c>
    </row>
    <row r="157" spans="8:23" x14ac:dyDescent="0.2">
      <c r="H157" s="105" t="s">
        <v>460</v>
      </c>
      <c r="I157" s="106" t="s">
        <v>461</v>
      </c>
      <c r="J157" s="106" t="s">
        <v>212</v>
      </c>
      <c r="K157" s="106" t="s">
        <v>213</v>
      </c>
      <c r="L157" s="106" t="s">
        <v>462</v>
      </c>
      <c r="M157" s="106" t="s">
        <v>161</v>
      </c>
      <c r="N157" s="107">
        <v>0.92490118577075098</v>
      </c>
      <c r="O157" s="107">
        <v>1.4557806324110671</v>
      </c>
      <c r="P157" s="106">
        <v>28</v>
      </c>
      <c r="R157" s="71">
        <v>18</v>
      </c>
      <c r="S157" s="71">
        <v>2.38</v>
      </c>
      <c r="T157">
        <f t="shared" si="5"/>
        <v>2.3168000000000006</v>
      </c>
    </row>
    <row r="158" spans="8:23" x14ac:dyDescent="0.2">
      <c r="H158" s="108" t="s">
        <v>463</v>
      </c>
      <c r="I158" s="109" t="s">
        <v>464</v>
      </c>
      <c r="J158" s="109" t="s">
        <v>383</v>
      </c>
      <c r="K158" s="109" t="s">
        <v>418</v>
      </c>
      <c r="L158" s="109" t="s">
        <v>465</v>
      </c>
      <c r="M158" s="109" t="s">
        <v>161</v>
      </c>
      <c r="N158" s="110">
        <v>0.88293118856121533</v>
      </c>
      <c r="O158" s="110">
        <v>1.2055138516532617</v>
      </c>
      <c r="P158" s="109">
        <v>29</v>
      </c>
      <c r="R158" s="71">
        <v>19</v>
      </c>
      <c r="S158" s="71">
        <v>2.2200000000000002</v>
      </c>
      <c r="T158">
        <f t="shared" si="5"/>
        <v>2.2337000000000002</v>
      </c>
    </row>
    <row r="159" spans="8:23" x14ac:dyDescent="0.2">
      <c r="H159" s="105" t="s">
        <v>466</v>
      </c>
      <c r="I159" s="106" t="s">
        <v>467</v>
      </c>
      <c r="J159" s="106" t="s">
        <v>383</v>
      </c>
      <c r="K159" s="106" t="s">
        <v>418</v>
      </c>
      <c r="L159" s="106" t="s">
        <v>468</v>
      </c>
      <c r="M159" s="106" t="s">
        <v>161</v>
      </c>
      <c r="N159" s="107">
        <v>0.90516206482593042</v>
      </c>
      <c r="O159" s="107">
        <v>1.2554621848739496</v>
      </c>
      <c r="P159" s="106">
        <v>29</v>
      </c>
      <c r="R159" s="71">
        <v>20</v>
      </c>
      <c r="S159" s="71">
        <v>2.12</v>
      </c>
      <c r="T159">
        <f t="shared" si="5"/>
        <v>2.1506000000000003</v>
      </c>
    </row>
    <row r="160" spans="8:23" x14ac:dyDescent="0.2">
      <c r="H160" s="108" t="s">
        <v>469</v>
      </c>
      <c r="I160" s="109" t="s">
        <v>470</v>
      </c>
      <c r="J160" s="109" t="s">
        <v>348</v>
      </c>
      <c r="K160" s="109" t="s">
        <v>471</v>
      </c>
      <c r="L160" s="109" t="s">
        <v>472</v>
      </c>
      <c r="M160" s="109" t="s">
        <v>161</v>
      </c>
      <c r="N160" s="110">
        <v>0.90238611713665939</v>
      </c>
      <c r="O160" s="110">
        <v>1.3519522776572668</v>
      </c>
      <c r="P160" s="109">
        <v>29</v>
      </c>
      <c r="R160" s="71">
        <v>21</v>
      </c>
      <c r="S160" s="71">
        <v>2.11</v>
      </c>
      <c r="T160">
        <f t="shared" si="5"/>
        <v>2.0675000000000003</v>
      </c>
    </row>
    <row r="161" spans="8:20" x14ac:dyDescent="0.2">
      <c r="H161" s="105" t="s">
        <v>473</v>
      </c>
      <c r="I161" s="106" t="s">
        <v>474</v>
      </c>
      <c r="J161" s="106" t="s">
        <v>433</v>
      </c>
      <c r="K161" s="106" t="s">
        <v>434</v>
      </c>
      <c r="L161" s="106" t="s">
        <v>446</v>
      </c>
      <c r="M161" s="106" t="s">
        <v>161</v>
      </c>
      <c r="N161" s="107">
        <v>0.89765721331689274</v>
      </c>
      <c r="O161" s="107">
        <v>1.2697287299630087</v>
      </c>
      <c r="P161" s="106">
        <v>29</v>
      </c>
      <c r="R161" s="71">
        <v>22</v>
      </c>
      <c r="S161" s="71">
        <v>1.94</v>
      </c>
      <c r="T161">
        <f t="shared" si="5"/>
        <v>1.9844000000000004</v>
      </c>
    </row>
    <row r="162" spans="8:20" x14ac:dyDescent="0.2">
      <c r="H162" s="108" t="s">
        <v>475</v>
      </c>
      <c r="I162" s="109" t="s">
        <v>476</v>
      </c>
      <c r="J162" s="109" t="s">
        <v>433</v>
      </c>
      <c r="K162" s="109" t="s">
        <v>434</v>
      </c>
      <c r="L162" s="109" t="s">
        <v>477</v>
      </c>
      <c r="M162" s="109" t="s">
        <v>161</v>
      </c>
      <c r="N162" s="110">
        <v>0.8764044943820225</v>
      </c>
      <c r="O162" s="110">
        <v>1.3377808988764044</v>
      </c>
      <c r="P162" s="109">
        <v>30</v>
      </c>
      <c r="R162" s="71">
        <v>23</v>
      </c>
      <c r="S162" s="71">
        <v>1.83</v>
      </c>
      <c r="T162">
        <f t="shared" si="5"/>
        <v>1.9013000000000004</v>
      </c>
    </row>
    <row r="163" spans="8:20" x14ac:dyDescent="0.2">
      <c r="H163" s="105" t="s">
        <v>478</v>
      </c>
      <c r="I163" s="106" t="s">
        <v>479</v>
      </c>
      <c r="J163" s="106" t="s">
        <v>269</v>
      </c>
      <c r="K163" s="106" t="s">
        <v>270</v>
      </c>
      <c r="L163" s="106" t="s">
        <v>480</v>
      </c>
      <c r="M163" s="106" t="s">
        <v>142</v>
      </c>
      <c r="N163" s="107">
        <v>0.86255924170616116</v>
      </c>
      <c r="O163" s="107">
        <v>1.20695102685624</v>
      </c>
      <c r="P163" s="106">
        <v>30</v>
      </c>
      <c r="R163" s="71">
        <v>24</v>
      </c>
      <c r="S163" s="71">
        <v>1.85</v>
      </c>
      <c r="T163">
        <f t="shared" si="5"/>
        <v>1.8182000000000005</v>
      </c>
    </row>
    <row r="164" spans="8:20" x14ac:dyDescent="0.2">
      <c r="H164" s="108" t="s">
        <v>481</v>
      </c>
      <c r="I164" s="109" t="s">
        <v>482</v>
      </c>
      <c r="J164" s="109" t="s">
        <v>433</v>
      </c>
      <c r="K164" s="109" t="s">
        <v>434</v>
      </c>
      <c r="L164" s="109" t="s">
        <v>483</v>
      </c>
      <c r="M164" s="109" t="s">
        <v>161</v>
      </c>
      <c r="N164" s="110">
        <v>0.86307053941908718</v>
      </c>
      <c r="O164" s="110">
        <v>1.3941908713692945</v>
      </c>
      <c r="P164" s="109">
        <v>30</v>
      </c>
      <c r="R164" s="71">
        <v>25</v>
      </c>
      <c r="S164" s="71">
        <v>1.6</v>
      </c>
      <c r="T164">
        <f t="shared" si="5"/>
        <v>1.7351000000000005</v>
      </c>
    </row>
    <row r="165" spans="8:20" x14ac:dyDescent="0.2">
      <c r="H165" s="105" t="s">
        <v>484</v>
      </c>
      <c r="I165" s="106" t="s">
        <v>485</v>
      </c>
      <c r="J165" s="106" t="s">
        <v>164</v>
      </c>
      <c r="K165" s="106" t="s">
        <v>191</v>
      </c>
      <c r="L165" s="106" t="s">
        <v>486</v>
      </c>
      <c r="M165" s="106" t="s">
        <v>142</v>
      </c>
      <c r="N165" s="107">
        <v>0.85245901639344257</v>
      </c>
      <c r="O165" s="107">
        <v>1.4077868852459017</v>
      </c>
      <c r="P165" s="106">
        <v>31</v>
      </c>
      <c r="R165" s="71">
        <v>26</v>
      </c>
      <c r="S165" s="71">
        <v>1.67</v>
      </c>
      <c r="T165">
        <f t="shared" si="5"/>
        <v>1.6520000000000006</v>
      </c>
    </row>
    <row r="166" spans="8:20" x14ac:dyDescent="0.2">
      <c r="R166" s="71">
        <v>27</v>
      </c>
      <c r="S166" s="71">
        <v>1.6</v>
      </c>
      <c r="T166">
        <f t="shared" si="5"/>
        <v>1.5689000000000002</v>
      </c>
    </row>
    <row r="167" spans="8:20" x14ac:dyDescent="0.2">
      <c r="R167" s="71">
        <v>28</v>
      </c>
      <c r="S167" s="71">
        <v>1.69</v>
      </c>
      <c r="T167">
        <f t="shared" si="5"/>
        <v>1.4858000000000002</v>
      </c>
    </row>
    <row r="168" spans="8:20" x14ac:dyDescent="0.2">
      <c r="H168" t="s">
        <v>487</v>
      </c>
      <c r="R168" s="71">
        <v>29</v>
      </c>
      <c r="S168" s="71">
        <v>1.51</v>
      </c>
      <c r="T168">
        <f t="shared" si="5"/>
        <v>1.4027000000000003</v>
      </c>
    </row>
    <row r="169" spans="8:20" x14ac:dyDescent="0.2">
      <c r="R169" s="71">
        <v>30</v>
      </c>
      <c r="S169" s="71">
        <v>1.47</v>
      </c>
      <c r="T169">
        <f t="shared" si="5"/>
        <v>1.3196000000000003</v>
      </c>
    </row>
    <row r="170" spans="8:20" x14ac:dyDescent="0.2">
      <c r="I170" s="104" t="s">
        <v>129</v>
      </c>
      <c r="J170" s="104" t="s">
        <v>130</v>
      </c>
      <c r="K170" s="104" t="s">
        <v>131</v>
      </c>
      <c r="L170" s="104" t="s">
        <v>132</v>
      </c>
      <c r="M170" s="104" t="s">
        <v>133</v>
      </c>
      <c r="N170" s="104" t="s">
        <v>488</v>
      </c>
      <c r="O170" s="104" t="s">
        <v>489</v>
      </c>
      <c r="P170" s="113" t="s">
        <v>490</v>
      </c>
    </row>
    <row r="171" spans="8:20" x14ac:dyDescent="0.2">
      <c r="I171" s="106" t="s">
        <v>157</v>
      </c>
      <c r="J171" s="106" t="s">
        <v>158</v>
      </c>
      <c r="K171" s="106" t="s">
        <v>159</v>
      </c>
      <c r="L171" s="106" t="s">
        <v>160</v>
      </c>
      <c r="M171" s="106" t="s">
        <v>161</v>
      </c>
      <c r="N171" s="107">
        <v>2.1463414634146343</v>
      </c>
      <c r="O171" s="107">
        <v>3.0426829268292681</v>
      </c>
      <c r="P171" s="114">
        <v>14</v>
      </c>
    </row>
    <row r="172" spans="8:20" x14ac:dyDescent="0.2">
      <c r="I172" s="109" t="s">
        <v>216</v>
      </c>
      <c r="J172" s="109" t="s">
        <v>186</v>
      </c>
      <c r="K172" s="109" t="s">
        <v>217</v>
      </c>
      <c r="L172" s="109" t="s">
        <v>218</v>
      </c>
      <c r="M172" s="109" t="s">
        <v>161</v>
      </c>
      <c r="N172" s="110">
        <v>1.9340659340659341</v>
      </c>
      <c r="O172" s="110">
        <v>3.3560439560439566</v>
      </c>
      <c r="P172" s="115">
        <v>15</v>
      </c>
      <c r="R172" t="s">
        <v>493</v>
      </c>
      <c r="S172" t="s">
        <v>494</v>
      </c>
    </row>
    <row r="173" spans="8:20" x14ac:dyDescent="0.2">
      <c r="I173" s="106" t="s">
        <v>173</v>
      </c>
      <c r="J173" s="106" t="s">
        <v>158</v>
      </c>
      <c r="K173" s="106" t="s">
        <v>174</v>
      </c>
      <c r="L173" s="106" t="s">
        <v>175</v>
      </c>
      <c r="M173" s="106" t="s">
        <v>142</v>
      </c>
      <c r="N173" s="107">
        <v>1.7959183673469388</v>
      </c>
      <c r="O173" s="107">
        <v>2.5357142857142856</v>
      </c>
      <c r="P173" s="106">
        <v>16</v>
      </c>
      <c r="R173" t="s">
        <v>495</v>
      </c>
      <c r="S173" t="s">
        <v>496</v>
      </c>
    </row>
    <row r="174" spans="8:20" x14ac:dyDescent="0.2">
      <c r="I174" s="109" t="s">
        <v>243</v>
      </c>
      <c r="J174" s="109" t="s">
        <v>158</v>
      </c>
      <c r="K174" s="109" t="s">
        <v>244</v>
      </c>
      <c r="L174" s="109" t="s">
        <v>245</v>
      </c>
      <c r="M174" s="109" t="s">
        <v>142</v>
      </c>
      <c r="N174" s="110">
        <v>1.7739130434782608</v>
      </c>
      <c r="O174" s="110">
        <v>2.4</v>
      </c>
      <c r="P174" s="109">
        <v>16</v>
      </c>
    </row>
    <row r="175" spans="8:20" x14ac:dyDescent="0.2">
      <c r="I175" s="106" t="s">
        <v>185</v>
      </c>
      <c r="J175" s="106" t="s">
        <v>186</v>
      </c>
      <c r="K175" s="106" t="s">
        <v>187</v>
      </c>
      <c r="L175" s="106" t="s">
        <v>188</v>
      </c>
      <c r="M175" s="106" t="s">
        <v>142</v>
      </c>
      <c r="N175" s="107">
        <v>1.7176470588235293</v>
      </c>
      <c r="O175" s="107">
        <v>2.4035294117647061</v>
      </c>
      <c r="P175" s="106">
        <v>17</v>
      </c>
    </row>
    <row r="176" spans="8:20" x14ac:dyDescent="0.2">
      <c r="I176" s="109" t="s">
        <v>263</v>
      </c>
      <c r="J176" s="109" t="s">
        <v>264</v>
      </c>
      <c r="K176" s="109" t="s">
        <v>265</v>
      </c>
      <c r="L176" s="109" t="s">
        <v>266</v>
      </c>
      <c r="M176" s="109" t="s">
        <v>142</v>
      </c>
      <c r="N176" s="110">
        <v>1.7380952380952381</v>
      </c>
      <c r="O176" s="110">
        <v>2.5952380952380953</v>
      </c>
      <c r="P176" s="109">
        <v>17</v>
      </c>
    </row>
    <row r="177" spans="9:16" x14ac:dyDescent="0.2">
      <c r="I177" s="106" t="s">
        <v>367</v>
      </c>
      <c r="J177" s="106" t="s">
        <v>158</v>
      </c>
      <c r="K177" s="106" t="s">
        <v>368</v>
      </c>
      <c r="L177" s="106" t="s">
        <v>369</v>
      </c>
      <c r="M177" s="106" t="s">
        <v>161</v>
      </c>
      <c r="N177" s="107">
        <v>1.7087378640776698</v>
      </c>
      <c r="O177" s="107">
        <v>3.1524271844660192</v>
      </c>
      <c r="P177" s="106">
        <v>17</v>
      </c>
    </row>
    <row r="178" spans="9:16" x14ac:dyDescent="0.2">
      <c r="I178" s="109" t="s">
        <v>177</v>
      </c>
      <c r="J178" s="109" t="s">
        <v>178</v>
      </c>
      <c r="K178" s="109" t="s">
        <v>179</v>
      </c>
      <c r="L178" s="109" t="s">
        <v>180</v>
      </c>
      <c r="M178" s="109" t="s">
        <v>142</v>
      </c>
      <c r="N178" s="110">
        <v>1.6642857142857144</v>
      </c>
      <c r="O178" s="110">
        <v>4.0235714285714295</v>
      </c>
      <c r="P178" s="109">
        <v>18</v>
      </c>
    </row>
    <row r="179" spans="9:16" x14ac:dyDescent="0.2">
      <c r="I179" s="106" t="s">
        <v>207</v>
      </c>
      <c r="J179" s="106" t="s">
        <v>169</v>
      </c>
      <c r="K179" s="106" t="s">
        <v>208</v>
      </c>
      <c r="L179" s="106" t="s">
        <v>209</v>
      </c>
      <c r="M179" s="106" t="s">
        <v>142</v>
      </c>
      <c r="N179" s="107">
        <v>1.651685393258427</v>
      </c>
      <c r="O179" s="107">
        <v>2.4719101123595504</v>
      </c>
      <c r="P179" s="106">
        <v>18</v>
      </c>
    </row>
    <row r="180" spans="9:16" x14ac:dyDescent="0.2">
      <c r="I180" s="109" t="s">
        <v>211</v>
      </c>
      <c r="J180" s="109" t="s">
        <v>212</v>
      </c>
      <c r="K180" s="109" t="s">
        <v>213</v>
      </c>
      <c r="L180" s="109" t="s">
        <v>214</v>
      </c>
      <c r="M180" s="109" t="s">
        <v>142</v>
      </c>
      <c r="N180" s="110">
        <v>1.6296296296296295</v>
      </c>
      <c r="O180" s="110">
        <v>2.2874074074074078</v>
      </c>
      <c r="P180" s="109">
        <v>18</v>
      </c>
    </row>
    <row r="181" spans="9:16" x14ac:dyDescent="0.2">
      <c r="I181" s="106" t="s">
        <v>163</v>
      </c>
      <c r="J181" s="106" t="s">
        <v>164</v>
      </c>
      <c r="K181" s="106" t="s">
        <v>165</v>
      </c>
      <c r="L181" s="106" t="s">
        <v>166</v>
      </c>
      <c r="M181" s="106" t="s">
        <v>142</v>
      </c>
      <c r="N181" s="107">
        <v>1.5172413793103448</v>
      </c>
      <c r="O181" s="107">
        <v>2.2758620689655173</v>
      </c>
      <c r="P181" s="106">
        <v>19</v>
      </c>
    </row>
    <row r="182" spans="9:16" x14ac:dyDescent="0.2">
      <c r="I182" s="109" t="s">
        <v>190</v>
      </c>
      <c r="J182" s="109" t="s">
        <v>164</v>
      </c>
      <c r="K182" s="109" t="s">
        <v>191</v>
      </c>
      <c r="L182" s="109" t="s">
        <v>192</v>
      </c>
      <c r="M182" s="109" t="s">
        <v>142</v>
      </c>
      <c r="N182" s="110">
        <v>1.5496688741721854</v>
      </c>
      <c r="O182" s="110">
        <v>2.0397350993377485</v>
      </c>
      <c r="P182" s="109">
        <v>19</v>
      </c>
    </row>
    <row r="183" spans="9:16" x14ac:dyDescent="0.2">
      <c r="I183" s="106" t="s">
        <v>259</v>
      </c>
      <c r="J183" s="106" t="s">
        <v>158</v>
      </c>
      <c r="K183" s="106" t="s">
        <v>260</v>
      </c>
      <c r="L183" s="106" t="s">
        <v>261</v>
      </c>
      <c r="M183" s="106" t="s">
        <v>142</v>
      </c>
      <c r="N183" s="107">
        <v>1.5714285714285714</v>
      </c>
      <c r="O183" s="107">
        <v>2.8660714285714284</v>
      </c>
      <c r="P183" s="106">
        <v>19</v>
      </c>
    </row>
    <row r="184" spans="9:16" x14ac:dyDescent="0.2">
      <c r="I184" s="109" t="s">
        <v>280</v>
      </c>
      <c r="J184" s="109" t="s">
        <v>158</v>
      </c>
      <c r="K184" s="109" t="s">
        <v>281</v>
      </c>
      <c r="L184" s="109" t="s">
        <v>282</v>
      </c>
      <c r="M184" s="109" t="s">
        <v>142</v>
      </c>
      <c r="N184" s="110">
        <v>1.5304347826086957</v>
      </c>
      <c r="O184" s="110">
        <v>2.3347826086956522</v>
      </c>
      <c r="P184" s="109">
        <v>19</v>
      </c>
    </row>
    <row r="185" spans="9:16" x14ac:dyDescent="0.2">
      <c r="I185" s="106" t="s">
        <v>198</v>
      </c>
      <c r="J185" s="106" t="s">
        <v>199</v>
      </c>
      <c r="K185" s="106" t="s">
        <v>200</v>
      </c>
      <c r="L185" s="106" t="s">
        <v>201</v>
      </c>
      <c r="M185" s="106" t="s">
        <v>142</v>
      </c>
      <c r="N185" s="107">
        <v>1.45</v>
      </c>
      <c r="O185" s="107">
        <v>2.35</v>
      </c>
      <c r="P185" s="106">
        <v>20</v>
      </c>
    </row>
    <row r="186" spans="9:16" x14ac:dyDescent="0.2">
      <c r="I186" s="109" t="s">
        <v>227</v>
      </c>
      <c r="J186" s="109" t="s">
        <v>178</v>
      </c>
      <c r="K186" s="109" t="s">
        <v>228</v>
      </c>
      <c r="L186" s="109" t="s">
        <v>229</v>
      </c>
      <c r="M186" s="109" t="s">
        <v>142</v>
      </c>
      <c r="N186" s="110">
        <v>1.4534161490683231</v>
      </c>
      <c r="O186" s="110">
        <v>2.0201863354037268</v>
      </c>
      <c r="P186" s="109">
        <v>20</v>
      </c>
    </row>
    <row r="187" spans="9:16" x14ac:dyDescent="0.2">
      <c r="I187" s="106" t="s">
        <v>247</v>
      </c>
      <c r="J187" s="106" t="s">
        <v>169</v>
      </c>
      <c r="K187" s="106" t="s">
        <v>248</v>
      </c>
      <c r="L187" s="106" t="s">
        <v>249</v>
      </c>
      <c r="M187" s="106" t="s">
        <v>142</v>
      </c>
      <c r="N187" s="107">
        <v>1.4545454545454546</v>
      </c>
      <c r="O187" s="107">
        <v>1.8057851239669422</v>
      </c>
      <c r="P187" s="106">
        <v>20</v>
      </c>
    </row>
    <row r="188" spans="9:16" x14ac:dyDescent="0.2">
      <c r="I188" s="109" t="s">
        <v>284</v>
      </c>
      <c r="J188" s="109" t="s">
        <v>169</v>
      </c>
      <c r="K188" s="109" t="s">
        <v>285</v>
      </c>
      <c r="L188" s="109" t="s">
        <v>286</v>
      </c>
      <c r="M188" s="109" t="s">
        <v>142</v>
      </c>
      <c r="N188" s="110">
        <v>1.4426229508196722</v>
      </c>
      <c r="O188" s="110">
        <v>2.7049180327868854</v>
      </c>
      <c r="P188" s="109">
        <v>20</v>
      </c>
    </row>
    <row r="189" spans="9:16" x14ac:dyDescent="0.2">
      <c r="I189" s="106" t="s">
        <v>328</v>
      </c>
      <c r="J189" s="106" t="s">
        <v>150</v>
      </c>
      <c r="K189" s="106" t="s">
        <v>329</v>
      </c>
      <c r="L189" s="106" t="s">
        <v>330</v>
      </c>
      <c r="M189" s="106" t="s">
        <v>142</v>
      </c>
      <c r="N189" s="107">
        <v>1.4426229508196722</v>
      </c>
      <c r="O189" s="107">
        <v>1.9737704918032788</v>
      </c>
      <c r="P189" s="106">
        <v>20</v>
      </c>
    </row>
    <row r="190" spans="9:16" x14ac:dyDescent="0.2">
      <c r="I190" s="109" t="s">
        <v>356</v>
      </c>
      <c r="J190" s="109" t="s">
        <v>169</v>
      </c>
      <c r="K190" s="109" t="s">
        <v>170</v>
      </c>
      <c r="L190" s="109" t="s">
        <v>357</v>
      </c>
      <c r="M190" s="109" t="s">
        <v>142</v>
      </c>
      <c r="N190" s="110">
        <v>1.4355555555555555</v>
      </c>
      <c r="O190" s="110">
        <v>1.8756888888888887</v>
      </c>
      <c r="P190" s="109">
        <v>20</v>
      </c>
    </row>
    <row r="191" spans="9:16" x14ac:dyDescent="0.2">
      <c r="I191" s="106" t="s">
        <v>168</v>
      </c>
      <c r="J191" s="106" t="s">
        <v>169</v>
      </c>
      <c r="K191" s="106" t="s">
        <v>170</v>
      </c>
      <c r="L191" s="106" t="s">
        <v>171</v>
      </c>
      <c r="M191" s="106" t="s">
        <v>142</v>
      </c>
      <c r="N191" s="107">
        <v>1.3730569948186528</v>
      </c>
      <c r="O191" s="107">
        <v>1.9784974093264249</v>
      </c>
      <c r="P191" s="106">
        <v>21</v>
      </c>
    </row>
    <row r="192" spans="9:16" x14ac:dyDescent="0.2">
      <c r="I192" s="109" t="s">
        <v>224</v>
      </c>
      <c r="J192" s="109" t="s">
        <v>158</v>
      </c>
      <c r="K192" s="109" t="s">
        <v>225</v>
      </c>
      <c r="L192" s="109" t="s">
        <v>225</v>
      </c>
      <c r="M192" s="109" t="s">
        <v>142</v>
      </c>
      <c r="N192" s="110">
        <v>1.3674832962138084</v>
      </c>
      <c r="O192" s="110">
        <v>2.6403118040089089</v>
      </c>
      <c r="P192" s="109">
        <v>21</v>
      </c>
    </row>
    <row r="193" spans="9:16" x14ac:dyDescent="0.2">
      <c r="I193" s="106" t="s">
        <v>251</v>
      </c>
      <c r="J193" s="106" t="s">
        <v>150</v>
      </c>
      <c r="K193" s="106" t="s">
        <v>252</v>
      </c>
      <c r="L193" s="106" t="s">
        <v>253</v>
      </c>
      <c r="M193" s="106" t="s">
        <v>142</v>
      </c>
      <c r="N193" s="107">
        <v>1.3838862559241707</v>
      </c>
      <c r="O193" s="107">
        <v>1.8838862559241707</v>
      </c>
      <c r="P193" s="106">
        <v>21</v>
      </c>
    </row>
    <row r="194" spans="9:16" x14ac:dyDescent="0.2">
      <c r="I194" s="109" t="s">
        <v>268</v>
      </c>
      <c r="J194" s="109" t="s">
        <v>269</v>
      </c>
      <c r="K194" s="109" t="s">
        <v>270</v>
      </c>
      <c r="L194" s="109" t="s">
        <v>271</v>
      </c>
      <c r="M194" s="109" t="s">
        <v>142</v>
      </c>
      <c r="N194" s="110">
        <v>1.3738317757009346</v>
      </c>
      <c r="O194" s="110">
        <v>1.8901869158878504</v>
      </c>
      <c r="P194" s="109">
        <v>21</v>
      </c>
    </row>
    <row r="195" spans="9:16" x14ac:dyDescent="0.2">
      <c r="I195" s="106" t="s">
        <v>296</v>
      </c>
      <c r="J195" s="106" t="s">
        <v>164</v>
      </c>
      <c r="K195" s="106" t="s">
        <v>297</v>
      </c>
      <c r="L195" s="106" t="s">
        <v>298</v>
      </c>
      <c r="M195" s="106" t="s">
        <v>142</v>
      </c>
      <c r="N195" s="107">
        <v>1.403225806451613</v>
      </c>
      <c r="O195" s="107">
        <v>2.1129032258064515</v>
      </c>
      <c r="P195" s="114">
        <v>21</v>
      </c>
    </row>
    <row r="196" spans="9:16" x14ac:dyDescent="0.2">
      <c r="I196" s="109" t="s">
        <v>305</v>
      </c>
      <c r="J196" s="109" t="s">
        <v>158</v>
      </c>
      <c r="K196" s="109" t="s">
        <v>306</v>
      </c>
      <c r="L196" s="109" t="s">
        <v>307</v>
      </c>
      <c r="M196" s="109" t="s">
        <v>142</v>
      </c>
      <c r="N196" s="110">
        <v>1.3928571428571428</v>
      </c>
      <c r="O196" s="110">
        <v>2.3541666666666665</v>
      </c>
      <c r="P196" s="115">
        <v>21</v>
      </c>
    </row>
    <row r="197" spans="9:16" x14ac:dyDescent="0.2">
      <c r="I197" s="106" t="s">
        <v>363</v>
      </c>
      <c r="J197" s="106" t="s">
        <v>348</v>
      </c>
      <c r="K197" s="106" t="s">
        <v>364</v>
      </c>
      <c r="L197" s="106" t="s">
        <v>365</v>
      </c>
      <c r="M197" s="106" t="s">
        <v>142</v>
      </c>
      <c r="N197" s="107">
        <v>1.3644859813084111</v>
      </c>
      <c r="O197" s="107">
        <v>1.8971962616822431</v>
      </c>
      <c r="P197" s="106">
        <v>21</v>
      </c>
    </row>
    <row r="198" spans="9:16" x14ac:dyDescent="0.2">
      <c r="I198" s="109" t="s">
        <v>220</v>
      </c>
      <c r="J198" s="109" t="s">
        <v>186</v>
      </c>
      <c r="K198" s="109" t="s">
        <v>221</v>
      </c>
      <c r="L198" s="109" t="s">
        <v>222</v>
      </c>
      <c r="M198" s="109" t="s">
        <v>161</v>
      </c>
      <c r="N198" s="110">
        <v>1.3401015228426396</v>
      </c>
      <c r="O198" s="110">
        <v>2.218274111675127</v>
      </c>
      <c r="P198" s="109">
        <v>22</v>
      </c>
    </row>
    <row r="199" spans="9:16" x14ac:dyDescent="0.2">
      <c r="I199" s="106" t="s">
        <v>309</v>
      </c>
      <c r="J199" s="106" t="s">
        <v>264</v>
      </c>
      <c r="K199" s="106" t="s">
        <v>310</v>
      </c>
      <c r="L199" s="106" t="s">
        <v>311</v>
      </c>
      <c r="M199" s="106" t="s">
        <v>142</v>
      </c>
      <c r="N199" s="107">
        <v>1.3233082706766917</v>
      </c>
      <c r="O199" s="107">
        <v>2.0116541353383459</v>
      </c>
      <c r="P199" s="106">
        <v>22</v>
      </c>
    </row>
    <row r="200" spans="9:16" x14ac:dyDescent="0.2">
      <c r="I200" s="109" t="s">
        <v>320</v>
      </c>
      <c r="J200" s="109" t="s">
        <v>212</v>
      </c>
      <c r="K200" s="109" t="s">
        <v>321</v>
      </c>
      <c r="L200" s="109" t="s">
        <v>322</v>
      </c>
      <c r="M200" s="109" t="s">
        <v>142</v>
      </c>
      <c r="N200" s="110">
        <v>1.3472803347280335</v>
      </c>
      <c r="O200" s="110">
        <v>1.7502092050209206</v>
      </c>
      <c r="P200" s="109">
        <v>22</v>
      </c>
    </row>
    <row r="201" spans="9:16" x14ac:dyDescent="0.2">
      <c r="I201" s="106" t="s">
        <v>339</v>
      </c>
      <c r="J201" s="106" t="s">
        <v>158</v>
      </c>
      <c r="K201" s="106" t="s">
        <v>340</v>
      </c>
      <c r="L201" s="106" t="s">
        <v>341</v>
      </c>
      <c r="M201" s="106" t="s">
        <v>161</v>
      </c>
      <c r="N201" s="107">
        <v>1.3146067415730338</v>
      </c>
      <c r="O201" s="107">
        <v>1.7865168539325842</v>
      </c>
      <c r="P201" s="106">
        <v>22</v>
      </c>
    </row>
    <row r="202" spans="9:16" x14ac:dyDescent="0.2">
      <c r="I202" s="109" t="s">
        <v>194</v>
      </c>
      <c r="J202" s="109" t="s">
        <v>164</v>
      </c>
      <c r="K202" s="109" t="s">
        <v>195</v>
      </c>
      <c r="L202" s="109" t="s">
        <v>196</v>
      </c>
      <c r="M202" s="109" t="s">
        <v>142</v>
      </c>
      <c r="N202" s="110">
        <v>1.2608695652173914</v>
      </c>
      <c r="O202" s="110">
        <v>2.0619565217391305</v>
      </c>
      <c r="P202" s="109">
        <v>23</v>
      </c>
    </row>
    <row r="203" spans="9:16" x14ac:dyDescent="0.2">
      <c r="I203" s="106" t="s">
        <v>239</v>
      </c>
      <c r="J203" s="106" t="s">
        <v>139</v>
      </c>
      <c r="K203" s="106" t="s">
        <v>240</v>
      </c>
      <c r="L203" s="106" t="s">
        <v>241</v>
      </c>
      <c r="M203" s="106" t="s">
        <v>142</v>
      </c>
      <c r="N203" s="107">
        <v>1.2571428571428571</v>
      </c>
      <c r="O203" s="107">
        <v>2.0142857142857142</v>
      </c>
      <c r="P203" s="106">
        <v>23</v>
      </c>
    </row>
    <row r="204" spans="9:16" x14ac:dyDescent="0.2">
      <c r="I204" s="109" t="s">
        <v>273</v>
      </c>
      <c r="J204" s="109" t="s">
        <v>264</v>
      </c>
      <c r="K204" s="109" t="s">
        <v>274</v>
      </c>
      <c r="L204" s="109" t="s">
        <v>275</v>
      </c>
      <c r="M204" s="109" t="s">
        <v>142</v>
      </c>
      <c r="N204" s="110">
        <v>1.2607449856733524</v>
      </c>
      <c r="O204" s="110">
        <v>1.7168481375358169</v>
      </c>
      <c r="P204" s="109">
        <v>23</v>
      </c>
    </row>
    <row r="205" spans="9:16" x14ac:dyDescent="0.2">
      <c r="I205" s="106" t="s">
        <v>288</v>
      </c>
      <c r="J205" s="106" t="s">
        <v>169</v>
      </c>
      <c r="K205" s="106" t="s">
        <v>289</v>
      </c>
      <c r="L205" s="106" t="s">
        <v>290</v>
      </c>
      <c r="M205" s="106" t="s">
        <v>142</v>
      </c>
      <c r="N205" s="107">
        <v>1.2515337423312884</v>
      </c>
      <c r="O205" s="107">
        <v>1.5877300613496934</v>
      </c>
      <c r="P205" s="106">
        <v>23</v>
      </c>
    </row>
    <row r="206" spans="9:16" x14ac:dyDescent="0.2">
      <c r="I206" s="109" t="s">
        <v>292</v>
      </c>
      <c r="J206" s="109" t="s">
        <v>199</v>
      </c>
      <c r="K206" s="109" t="s">
        <v>293</v>
      </c>
      <c r="L206" s="109" t="s">
        <v>294</v>
      </c>
      <c r="M206" s="109" t="s">
        <v>161</v>
      </c>
      <c r="N206" s="110">
        <v>1.2526690391459074</v>
      </c>
      <c r="O206" s="110">
        <v>1.760355871886121</v>
      </c>
      <c r="P206" s="109">
        <v>23</v>
      </c>
    </row>
    <row r="207" spans="9:16" x14ac:dyDescent="0.2">
      <c r="I207" s="106" t="s">
        <v>324</v>
      </c>
      <c r="J207" s="106" t="s">
        <v>264</v>
      </c>
      <c r="K207" s="106" t="s">
        <v>325</v>
      </c>
      <c r="L207" s="106" t="s">
        <v>326</v>
      </c>
      <c r="M207" s="106" t="s">
        <v>142</v>
      </c>
      <c r="N207" s="107">
        <v>1.2920353982300885</v>
      </c>
      <c r="O207" s="107">
        <v>1.6991150442477876</v>
      </c>
      <c r="P207" s="106">
        <v>23</v>
      </c>
    </row>
    <row r="208" spans="9:16" x14ac:dyDescent="0.2">
      <c r="I208" s="109" t="s">
        <v>332</v>
      </c>
      <c r="J208" s="109" t="s">
        <v>150</v>
      </c>
      <c r="K208" s="109" t="s">
        <v>333</v>
      </c>
      <c r="L208" s="109" t="s">
        <v>334</v>
      </c>
      <c r="M208" s="109" t="s">
        <v>161</v>
      </c>
      <c r="N208" s="110">
        <v>1.3037037037037038</v>
      </c>
      <c r="O208" s="110">
        <v>1.8833333333333333</v>
      </c>
      <c r="P208" s="115">
        <v>23</v>
      </c>
    </row>
    <row r="209" spans="9:16" x14ac:dyDescent="0.2">
      <c r="I209" s="106" t="s">
        <v>374</v>
      </c>
      <c r="J209" s="106" t="s">
        <v>264</v>
      </c>
      <c r="K209" s="106" t="s">
        <v>375</v>
      </c>
      <c r="L209" s="106" t="s">
        <v>376</v>
      </c>
      <c r="M209" s="106" t="s">
        <v>142</v>
      </c>
      <c r="N209" s="107">
        <v>1.2807017543859649</v>
      </c>
      <c r="O209" s="107">
        <v>1.9035087719298245</v>
      </c>
      <c r="P209" s="114">
        <v>23</v>
      </c>
    </row>
    <row r="210" spans="9:16" x14ac:dyDescent="0.2">
      <c r="I210" s="109" t="s">
        <v>378</v>
      </c>
      <c r="J210" s="109" t="s">
        <v>264</v>
      </c>
      <c r="K210" s="109" t="s">
        <v>379</v>
      </c>
      <c r="L210" s="109" t="s">
        <v>380</v>
      </c>
      <c r="M210" s="109" t="s">
        <v>142</v>
      </c>
      <c r="N210" s="110">
        <v>1.2677165354330708</v>
      </c>
      <c r="O210" s="110">
        <v>1.8553149606299213</v>
      </c>
      <c r="P210" s="109">
        <v>23</v>
      </c>
    </row>
    <row r="211" spans="9:16" x14ac:dyDescent="0.2">
      <c r="I211" s="106" t="s">
        <v>153</v>
      </c>
      <c r="J211" s="106" t="s">
        <v>150</v>
      </c>
      <c r="K211" s="106" t="s">
        <v>154</v>
      </c>
      <c r="L211" s="106" t="s">
        <v>155</v>
      </c>
      <c r="M211" s="106" t="s">
        <v>142</v>
      </c>
      <c r="N211" s="107">
        <v>1.1958762886597938</v>
      </c>
      <c r="O211" s="107">
        <v>2.1288659793814433</v>
      </c>
      <c r="P211" s="106">
        <v>24</v>
      </c>
    </row>
    <row r="212" spans="9:16" x14ac:dyDescent="0.2">
      <c r="I212" s="109" t="s">
        <v>255</v>
      </c>
      <c r="J212" s="109" t="s">
        <v>186</v>
      </c>
      <c r="K212" s="109" t="s">
        <v>256</v>
      </c>
      <c r="L212" s="109" t="s">
        <v>257</v>
      </c>
      <c r="M212" s="109" t="s">
        <v>161</v>
      </c>
      <c r="N212" s="110">
        <v>1.2137931034482758</v>
      </c>
      <c r="O212" s="110">
        <v>2.0137931034482759</v>
      </c>
      <c r="P212" s="109">
        <v>24</v>
      </c>
    </row>
    <row r="213" spans="9:16" x14ac:dyDescent="0.2">
      <c r="I213" s="106" t="s">
        <v>301</v>
      </c>
      <c r="J213" s="106" t="s">
        <v>169</v>
      </c>
      <c r="K213" s="106" t="s">
        <v>302</v>
      </c>
      <c r="L213" s="106" t="s">
        <v>303</v>
      </c>
      <c r="M213" s="106" t="s">
        <v>142</v>
      </c>
      <c r="N213" s="107">
        <v>1.2051282051282051</v>
      </c>
      <c r="O213" s="107">
        <v>1.6205128205128205</v>
      </c>
      <c r="P213" s="106">
        <v>24</v>
      </c>
    </row>
    <row r="214" spans="9:16" x14ac:dyDescent="0.2">
      <c r="I214" s="109" t="s">
        <v>313</v>
      </c>
      <c r="J214" s="109" t="s">
        <v>264</v>
      </c>
      <c r="K214" s="109" t="s">
        <v>314</v>
      </c>
      <c r="L214" s="109" t="s">
        <v>315</v>
      </c>
      <c r="M214" s="109" t="s">
        <v>142</v>
      </c>
      <c r="N214" s="110">
        <v>1.2222222222222223</v>
      </c>
      <c r="O214" s="110">
        <v>1.6333333333333333</v>
      </c>
      <c r="P214" s="109">
        <v>24</v>
      </c>
    </row>
    <row r="215" spans="9:16" x14ac:dyDescent="0.2">
      <c r="I215" s="106" t="s">
        <v>352</v>
      </c>
      <c r="J215" s="106" t="s">
        <v>264</v>
      </c>
      <c r="K215" s="106" t="s">
        <v>353</v>
      </c>
      <c r="L215" s="106" t="s">
        <v>354</v>
      </c>
      <c r="M215" s="106" t="s">
        <v>142</v>
      </c>
      <c r="N215" s="107">
        <v>1.2359374999999999</v>
      </c>
      <c r="O215" s="107">
        <v>1.8226562500000001</v>
      </c>
      <c r="P215" s="106">
        <v>24</v>
      </c>
    </row>
    <row r="216" spans="9:16" x14ac:dyDescent="0.2">
      <c r="I216" s="109" t="s">
        <v>359</v>
      </c>
      <c r="J216" s="109" t="s">
        <v>158</v>
      </c>
      <c r="K216" s="109" t="s">
        <v>360</v>
      </c>
      <c r="L216" s="109" t="s">
        <v>361</v>
      </c>
      <c r="M216" s="109" t="s">
        <v>142</v>
      </c>
      <c r="N216" s="110">
        <v>1.2014925373134329</v>
      </c>
      <c r="O216" s="110">
        <v>1.8667910447761193</v>
      </c>
      <c r="P216" s="109">
        <v>24</v>
      </c>
    </row>
    <row r="217" spans="9:16" x14ac:dyDescent="0.2">
      <c r="I217" s="106" t="s">
        <v>317</v>
      </c>
      <c r="J217" s="106" t="s">
        <v>164</v>
      </c>
      <c r="K217" s="106" t="s">
        <v>318</v>
      </c>
      <c r="L217" s="106" t="s">
        <v>318</v>
      </c>
      <c r="M217" s="106" t="s">
        <v>142</v>
      </c>
      <c r="N217" s="107">
        <v>1.1815561959654179</v>
      </c>
      <c r="O217" s="107">
        <v>1.4582132564841499</v>
      </c>
      <c r="P217" s="106">
        <v>25</v>
      </c>
    </row>
    <row r="218" spans="9:16" x14ac:dyDescent="0.2">
      <c r="I218" s="109" t="s">
        <v>343</v>
      </c>
      <c r="J218" s="109" t="s">
        <v>150</v>
      </c>
      <c r="K218" s="109" t="s">
        <v>344</v>
      </c>
      <c r="L218" s="109" t="s">
        <v>345</v>
      </c>
      <c r="M218" s="109" t="s">
        <v>161</v>
      </c>
      <c r="N218" s="110">
        <v>1.1891891891891893</v>
      </c>
      <c r="O218" s="110">
        <v>1.6756756756756757</v>
      </c>
      <c r="P218" s="109">
        <v>25</v>
      </c>
    </row>
    <row r="219" spans="9:16" x14ac:dyDescent="0.2">
      <c r="I219" s="106" t="s">
        <v>404</v>
      </c>
      <c r="J219" s="106" t="s">
        <v>139</v>
      </c>
      <c r="K219" s="106" t="s">
        <v>140</v>
      </c>
      <c r="L219" s="106" t="s">
        <v>405</v>
      </c>
      <c r="M219" s="106" t="s">
        <v>142</v>
      </c>
      <c r="N219" s="107">
        <v>1.1785714285714286</v>
      </c>
      <c r="O219" s="107">
        <v>1.6214732142857142</v>
      </c>
      <c r="P219" s="106">
        <v>25</v>
      </c>
    </row>
    <row r="220" spans="9:16" x14ac:dyDescent="0.2">
      <c r="I220" s="109" t="s">
        <v>410</v>
      </c>
      <c r="J220" s="109" t="s">
        <v>169</v>
      </c>
      <c r="K220" s="109" t="s">
        <v>411</v>
      </c>
      <c r="L220" s="109" t="s">
        <v>412</v>
      </c>
      <c r="M220" s="109" t="s">
        <v>142</v>
      </c>
      <c r="N220" s="110">
        <v>1.1733333333333333</v>
      </c>
      <c r="O220" s="110">
        <v>1.6653333333333336</v>
      </c>
      <c r="P220" s="109">
        <v>25</v>
      </c>
    </row>
    <row r="221" spans="9:16" x14ac:dyDescent="0.2">
      <c r="I221" s="106" t="s">
        <v>428</v>
      </c>
      <c r="J221" s="106" t="s">
        <v>388</v>
      </c>
      <c r="K221" s="106" t="s">
        <v>429</v>
      </c>
      <c r="L221" s="106" t="s">
        <v>430</v>
      </c>
      <c r="M221" s="106" t="s">
        <v>161</v>
      </c>
      <c r="N221" s="107">
        <v>1.1541218637992832</v>
      </c>
      <c r="O221" s="107">
        <v>1.5802867383512544</v>
      </c>
      <c r="P221" s="106">
        <v>25</v>
      </c>
    </row>
    <row r="222" spans="9:16" x14ac:dyDescent="0.2">
      <c r="I222" s="109" t="s">
        <v>203</v>
      </c>
      <c r="J222" s="109" t="s">
        <v>158</v>
      </c>
      <c r="K222" s="109" t="s">
        <v>204</v>
      </c>
      <c r="L222" s="109" t="s">
        <v>205</v>
      </c>
      <c r="M222" s="109" t="s">
        <v>142</v>
      </c>
      <c r="N222" s="110">
        <v>1.1282051282051282</v>
      </c>
      <c r="O222" s="110">
        <v>2.6923076923076925</v>
      </c>
      <c r="P222" s="109">
        <v>26</v>
      </c>
    </row>
    <row r="223" spans="9:16" x14ac:dyDescent="0.2">
      <c r="I223" s="106" t="s">
        <v>347</v>
      </c>
      <c r="J223" s="106" t="s">
        <v>348</v>
      </c>
      <c r="K223" s="106" t="s">
        <v>349</v>
      </c>
      <c r="L223" s="106" t="s">
        <v>350</v>
      </c>
      <c r="M223" s="106" t="s">
        <v>161</v>
      </c>
      <c r="N223" s="107">
        <v>1.1330472103004292</v>
      </c>
      <c r="O223" s="107">
        <v>1.7489270386266094</v>
      </c>
      <c r="P223" s="106">
        <v>26</v>
      </c>
    </row>
    <row r="224" spans="9:16" x14ac:dyDescent="0.2">
      <c r="I224" s="109" t="s">
        <v>371</v>
      </c>
      <c r="J224" s="109" t="s">
        <v>150</v>
      </c>
      <c r="K224" s="109" t="s">
        <v>333</v>
      </c>
      <c r="L224" s="109" t="s">
        <v>372</v>
      </c>
      <c r="M224" s="109" t="s">
        <v>161</v>
      </c>
      <c r="N224" s="110">
        <v>1.1238938053097345</v>
      </c>
      <c r="O224" s="110">
        <v>1.5648967551622419</v>
      </c>
      <c r="P224" s="109">
        <v>26</v>
      </c>
    </row>
    <row r="225" spans="9:16" x14ac:dyDescent="0.2">
      <c r="I225" s="106" t="s">
        <v>392</v>
      </c>
      <c r="J225" s="106" t="s">
        <v>199</v>
      </c>
      <c r="K225" s="106" t="s">
        <v>393</v>
      </c>
      <c r="L225" s="106" t="s">
        <v>394</v>
      </c>
      <c r="M225" s="106" t="s">
        <v>161</v>
      </c>
      <c r="N225" s="107">
        <v>1.1323828920570265</v>
      </c>
      <c r="O225" s="107">
        <v>1.5661914460285133</v>
      </c>
      <c r="P225" s="106">
        <v>26</v>
      </c>
    </row>
    <row r="226" spans="9:16" x14ac:dyDescent="0.2">
      <c r="I226" s="109" t="s">
        <v>396</v>
      </c>
      <c r="J226" s="109" t="s">
        <v>388</v>
      </c>
      <c r="K226" s="109" t="s">
        <v>397</v>
      </c>
      <c r="L226" s="109" t="s">
        <v>398</v>
      </c>
      <c r="M226" s="109" t="s">
        <v>142</v>
      </c>
      <c r="N226" s="110">
        <v>1.1470588235294117</v>
      </c>
      <c r="O226" s="110">
        <v>1.4252450980392157</v>
      </c>
      <c r="P226" s="115">
        <v>26</v>
      </c>
    </row>
    <row r="227" spans="9:16" x14ac:dyDescent="0.2">
      <c r="I227" s="106" t="s">
        <v>407</v>
      </c>
      <c r="J227" s="106" t="s">
        <v>139</v>
      </c>
      <c r="K227" s="106" t="s">
        <v>140</v>
      </c>
      <c r="L227" s="106" t="s">
        <v>408</v>
      </c>
      <c r="M227" s="106" t="s">
        <v>161</v>
      </c>
      <c r="N227" s="107">
        <v>1.0568445475638051</v>
      </c>
      <c r="O227" s="107">
        <v>1.4964037122969838</v>
      </c>
      <c r="P227" s="114">
        <v>26</v>
      </c>
    </row>
    <row r="228" spans="9:16" x14ac:dyDescent="0.2">
      <c r="I228" s="109" t="s">
        <v>451</v>
      </c>
      <c r="J228" s="109" t="s">
        <v>150</v>
      </c>
      <c r="K228" s="109" t="s">
        <v>452</v>
      </c>
      <c r="L228" s="109" t="s">
        <v>453</v>
      </c>
      <c r="M228" s="109" t="s">
        <v>142</v>
      </c>
      <c r="N228" s="110">
        <v>1.1139240506329113</v>
      </c>
      <c r="O228" s="110">
        <v>2.3047468354430376</v>
      </c>
      <c r="P228" s="109">
        <v>26</v>
      </c>
    </row>
    <row r="229" spans="9:16" x14ac:dyDescent="0.2">
      <c r="I229" s="106" t="s">
        <v>461</v>
      </c>
      <c r="J229" s="106" t="s">
        <v>212</v>
      </c>
      <c r="K229" s="106" t="s">
        <v>213</v>
      </c>
      <c r="L229" s="106" t="s">
        <v>462</v>
      </c>
      <c r="M229" s="106" t="s">
        <v>161</v>
      </c>
      <c r="N229" s="107">
        <v>1.1124183006535948</v>
      </c>
      <c r="O229" s="107">
        <v>1.6073856209150328</v>
      </c>
      <c r="P229" s="106">
        <v>26</v>
      </c>
    </row>
    <row r="230" spans="9:16" x14ac:dyDescent="0.2">
      <c r="I230" s="109" t="s">
        <v>277</v>
      </c>
      <c r="J230" s="109" t="s">
        <v>264</v>
      </c>
      <c r="K230" s="109" t="s">
        <v>274</v>
      </c>
      <c r="L230" s="109" t="s">
        <v>278</v>
      </c>
      <c r="M230" s="109" t="s">
        <v>142</v>
      </c>
      <c r="N230" s="110">
        <v>1.1000000000000001</v>
      </c>
      <c r="O230" s="110">
        <v>2.2956250000000002</v>
      </c>
      <c r="P230" s="109">
        <v>27</v>
      </c>
    </row>
    <row r="231" spans="9:16" x14ac:dyDescent="0.2">
      <c r="I231" s="106" t="s">
        <v>414</v>
      </c>
      <c r="J231" s="106" t="s">
        <v>212</v>
      </c>
      <c r="K231" s="106" t="s">
        <v>213</v>
      </c>
      <c r="L231" s="106" t="s">
        <v>415</v>
      </c>
      <c r="M231" s="106" t="s">
        <v>161</v>
      </c>
      <c r="N231" s="107">
        <v>1.0909090909090908</v>
      </c>
      <c r="O231" s="107">
        <v>1.5276223776223774</v>
      </c>
      <c r="P231" s="106">
        <v>27</v>
      </c>
    </row>
    <row r="232" spans="9:16" x14ac:dyDescent="0.2">
      <c r="I232" s="109" t="s">
        <v>421</v>
      </c>
      <c r="J232" s="109" t="s">
        <v>388</v>
      </c>
      <c r="K232" s="109" t="s">
        <v>422</v>
      </c>
      <c r="L232" s="109" t="s">
        <v>423</v>
      </c>
      <c r="M232" s="109" t="s">
        <v>142</v>
      </c>
      <c r="N232" s="110">
        <v>1.0731707317073171</v>
      </c>
      <c r="O232" s="110">
        <v>1.5530894308943093</v>
      </c>
      <c r="P232" s="109">
        <v>27</v>
      </c>
    </row>
    <row r="233" spans="9:16" x14ac:dyDescent="0.2">
      <c r="I233" s="106" t="s">
        <v>437</v>
      </c>
      <c r="J233" s="106" t="s">
        <v>433</v>
      </c>
      <c r="K233" s="106" t="s">
        <v>434</v>
      </c>
      <c r="L233" s="106" t="s">
        <v>435</v>
      </c>
      <c r="M233" s="106" t="s">
        <v>161</v>
      </c>
      <c r="N233" s="107">
        <v>1.0747422680412371</v>
      </c>
      <c r="O233" s="107">
        <v>1.6057345360824742</v>
      </c>
      <c r="P233" s="106">
        <v>27</v>
      </c>
    </row>
    <row r="234" spans="9:16" x14ac:dyDescent="0.2">
      <c r="I234" s="109" t="s">
        <v>455</v>
      </c>
      <c r="J234" s="109" t="s">
        <v>433</v>
      </c>
      <c r="K234" s="109" t="s">
        <v>434</v>
      </c>
      <c r="L234" s="109" t="s">
        <v>456</v>
      </c>
      <c r="M234" s="109" t="s">
        <v>161</v>
      </c>
      <c r="N234" s="110">
        <v>1.0731707317073171</v>
      </c>
      <c r="O234" s="110">
        <v>1.7317073170731707</v>
      </c>
      <c r="P234" s="109">
        <v>27</v>
      </c>
    </row>
    <row r="235" spans="9:16" x14ac:dyDescent="0.2">
      <c r="I235" s="106" t="s">
        <v>336</v>
      </c>
      <c r="J235" s="106" t="s">
        <v>212</v>
      </c>
      <c r="K235" s="106" t="s">
        <v>213</v>
      </c>
      <c r="L235" s="106" t="s">
        <v>337</v>
      </c>
      <c r="M235" s="106" t="s">
        <v>142</v>
      </c>
      <c r="N235" s="107">
        <v>1.0414201183431953</v>
      </c>
      <c r="O235" s="107">
        <v>1.7041420118343196</v>
      </c>
      <c r="P235" s="106">
        <v>28</v>
      </c>
    </row>
    <row r="236" spans="9:16" x14ac:dyDescent="0.2">
      <c r="I236" s="109" t="s">
        <v>425</v>
      </c>
      <c r="J236" s="109" t="s">
        <v>212</v>
      </c>
      <c r="K236" s="109" t="s">
        <v>321</v>
      </c>
      <c r="L236" s="109" t="s">
        <v>426</v>
      </c>
      <c r="M236" s="109" t="s">
        <v>161</v>
      </c>
      <c r="N236" s="110">
        <v>1.0328638497652582</v>
      </c>
      <c r="O236" s="110">
        <v>1.9586854460093899</v>
      </c>
      <c r="P236" s="109">
        <v>28</v>
      </c>
    </row>
    <row r="237" spans="9:16" x14ac:dyDescent="0.2">
      <c r="I237" s="106" t="s">
        <v>467</v>
      </c>
      <c r="J237" s="106" t="s">
        <v>383</v>
      </c>
      <c r="K237" s="106" t="s">
        <v>418</v>
      </c>
      <c r="L237" s="106" t="s">
        <v>468</v>
      </c>
      <c r="M237" s="106" t="s">
        <v>161</v>
      </c>
      <c r="N237" s="107">
        <v>1.0626740947075208</v>
      </c>
      <c r="O237" s="107">
        <v>1.6302228412256268</v>
      </c>
      <c r="P237" s="106">
        <v>28</v>
      </c>
    </row>
    <row r="238" spans="9:16" x14ac:dyDescent="0.2">
      <c r="I238" s="109" t="s">
        <v>485</v>
      </c>
      <c r="J238" s="109" t="s">
        <v>164</v>
      </c>
      <c r="K238" s="109" t="s">
        <v>191</v>
      </c>
      <c r="L238" s="109" t="s">
        <v>486</v>
      </c>
      <c r="M238" s="109" t="s">
        <v>142</v>
      </c>
      <c r="N238" s="110">
        <v>1.0538922155688624</v>
      </c>
      <c r="O238" s="110">
        <v>1.4820359281437125</v>
      </c>
      <c r="P238" s="109">
        <v>28</v>
      </c>
    </row>
    <row r="239" spans="9:16" x14ac:dyDescent="0.2">
      <c r="I239" s="106" t="s">
        <v>382</v>
      </c>
      <c r="J239" s="106" t="s">
        <v>383</v>
      </c>
      <c r="K239" s="106" t="s">
        <v>384</v>
      </c>
      <c r="L239" s="106" t="s">
        <v>385</v>
      </c>
      <c r="M239" s="106" t="s">
        <v>161</v>
      </c>
      <c r="N239" s="107">
        <v>1.0220588235294117</v>
      </c>
      <c r="O239" s="107">
        <v>1.5023897058823528</v>
      </c>
      <c r="P239" s="106">
        <v>29</v>
      </c>
    </row>
    <row r="240" spans="9:16" x14ac:dyDescent="0.2">
      <c r="I240" s="109" t="s">
        <v>387</v>
      </c>
      <c r="J240" s="109" t="s">
        <v>388</v>
      </c>
      <c r="K240" s="109" t="s">
        <v>389</v>
      </c>
      <c r="L240" s="109" t="s">
        <v>390</v>
      </c>
      <c r="M240" s="109" t="s">
        <v>161</v>
      </c>
      <c r="N240" s="110">
        <v>1</v>
      </c>
      <c r="O240" s="110">
        <v>1.4180763983628919</v>
      </c>
      <c r="P240" s="109">
        <v>29</v>
      </c>
    </row>
    <row r="241" spans="9:16" x14ac:dyDescent="0.2">
      <c r="I241" s="106" t="s">
        <v>400</v>
      </c>
      <c r="J241" s="106" t="s">
        <v>169</v>
      </c>
      <c r="K241" s="106" t="s">
        <v>401</v>
      </c>
      <c r="L241" s="106" t="s">
        <v>402</v>
      </c>
      <c r="M241" s="106" t="s">
        <v>142</v>
      </c>
      <c r="N241" s="107">
        <v>1.0193050193050193</v>
      </c>
      <c r="O241" s="107">
        <v>1.2895752895752897</v>
      </c>
      <c r="P241" s="106">
        <v>29</v>
      </c>
    </row>
    <row r="242" spans="9:16" x14ac:dyDescent="0.2">
      <c r="I242" s="109" t="s">
        <v>458</v>
      </c>
      <c r="J242" s="109" t="s">
        <v>212</v>
      </c>
      <c r="K242" s="109" t="s">
        <v>213</v>
      </c>
      <c r="L242" s="109" t="s">
        <v>459</v>
      </c>
      <c r="M242" s="109" t="s">
        <v>161</v>
      </c>
      <c r="N242" s="110">
        <v>1.0111358574610245</v>
      </c>
      <c r="O242" s="110">
        <v>1.70228285077951</v>
      </c>
      <c r="P242" s="109">
        <v>29</v>
      </c>
    </row>
    <row r="243" spans="9:16" x14ac:dyDescent="0.2">
      <c r="I243" s="106" t="s">
        <v>464</v>
      </c>
      <c r="J243" s="106" t="s">
        <v>383</v>
      </c>
      <c r="K243" s="106" t="s">
        <v>418</v>
      </c>
      <c r="L243" s="106" t="s">
        <v>465</v>
      </c>
      <c r="M243" s="106" t="s">
        <v>161</v>
      </c>
      <c r="N243" s="107">
        <v>1.0107015457788346</v>
      </c>
      <c r="O243" s="107">
        <v>1.3963139120095127</v>
      </c>
      <c r="P243" s="106">
        <v>29</v>
      </c>
    </row>
    <row r="244" spans="9:16" x14ac:dyDescent="0.2">
      <c r="I244" s="109" t="s">
        <v>470</v>
      </c>
      <c r="J244" s="109" t="s">
        <v>348</v>
      </c>
      <c r="K244" s="109" t="s">
        <v>471</v>
      </c>
      <c r="L244" s="109" t="s">
        <v>472</v>
      </c>
      <c r="M244" s="109" t="s">
        <v>161</v>
      </c>
      <c r="N244" s="110">
        <v>1.0085959885386819</v>
      </c>
      <c r="O244" s="110">
        <v>1.7876934097421202</v>
      </c>
      <c r="P244" s="109">
        <v>29</v>
      </c>
    </row>
    <row r="245" spans="9:16" x14ac:dyDescent="0.2">
      <c r="I245" s="106" t="s">
        <v>474</v>
      </c>
      <c r="J245" s="106" t="s">
        <v>433</v>
      </c>
      <c r="K245" s="106" t="s">
        <v>434</v>
      </c>
      <c r="L245" s="106" t="s">
        <v>446</v>
      </c>
      <c r="M245" s="106" t="s">
        <v>161</v>
      </c>
      <c r="N245" s="107">
        <v>0.98737506575486589</v>
      </c>
      <c r="O245" s="107">
        <v>1.4681746449237243</v>
      </c>
      <c r="P245" s="106">
        <v>29</v>
      </c>
    </row>
    <row r="246" spans="9:16" x14ac:dyDescent="0.2">
      <c r="I246" s="109" t="s">
        <v>476</v>
      </c>
      <c r="J246" s="109" t="s">
        <v>433</v>
      </c>
      <c r="K246" s="109" t="s">
        <v>434</v>
      </c>
      <c r="L246" s="109" t="s">
        <v>477</v>
      </c>
      <c r="M246" s="109" t="s">
        <v>161</v>
      </c>
      <c r="N246" s="110">
        <v>1</v>
      </c>
      <c r="O246" s="110">
        <v>1.513353115727003</v>
      </c>
      <c r="P246" s="109">
        <v>29</v>
      </c>
    </row>
    <row r="247" spans="9:16" x14ac:dyDescent="0.2">
      <c r="I247" s="106" t="s">
        <v>479</v>
      </c>
      <c r="J247" s="106" t="s">
        <v>269</v>
      </c>
      <c r="K247" s="106" t="s">
        <v>270</v>
      </c>
      <c r="L247" s="106" t="s">
        <v>480</v>
      </c>
      <c r="M247" s="106" t="s">
        <v>142</v>
      </c>
      <c r="N247" s="107">
        <v>0.98206278026905824</v>
      </c>
      <c r="O247" s="107">
        <v>1.4663677130044843</v>
      </c>
      <c r="P247" s="106">
        <v>30</v>
      </c>
    </row>
  </sheetData>
  <mergeCells count="1">
    <mergeCell ref="C5:D5"/>
  </mergeCell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045DB-3BF2-40EC-B0ED-35005BA47891}">
  <dimension ref="C2:O27"/>
  <sheetViews>
    <sheetView workbookViewId="0">
      <selection activeCell="C24" sqref="C24"/>
    </sheetView>
  </sheetViews>
  <sheetFormatPr baseColWidth="10" defaultRowHeight="15" x14ac:dyDescent="0.2"/>
  <sheetData>
    <row r="2" spans="3:15" ht="16" x14ac:dyDescent="0.2">
      <c r="C2" s="200" t="s">
        <v>117</v>
      </c>
      <c r="D2" s="200"/>
      <c r="E2" s="200" t="s">
        <v>118</v>
      </c>
      <c r="F2" s="200" t="s">
        <v>119</v>
      </c>
      <c r="G2" s="200" t="s">
        <v>120</v>
      </c>
      <c r="H2" s="200" t="s">
        <v>121</v>
      </c>
      <c r="I2" s="200" t="s">
        <v>122</v>
      </c>
      <c r="J2" s="200" t="s">
        <v>123</v>
      </c>
      <c r="K2" s="200" t="s">
        <v>124</v>
      </c>
      <c r="L2" s="200" t="s">
        <v>644</v>
      </c>
    </row>
    <row r="3" spans="3:15" ht="16" x14ac:dyDescent="0.2">
      <c r="C3" s="200" t="s">
        <v>118</v>
      </c>
      <c r="D3" s="200"/>
      <c r="E3" s="200" t="s">
        <v>119</v>
      </c>
      <c r="F3" s="200" t="s">
        <v>120</v>
      </c>
      <c r="G3" s="200" t="s">
        <v>121</v>
      </c>
      <c r="H3" s="200" t="s">
        <v>122</v>
      </c>
      <c r="I3" s="200" t="s">
        <v>123</v>
      </c>
      <c r="J3" s="200" t="s">
        <v>124</v>
      </c>
      <c r="K3" s="200" t="s">
        <v>644</v>
      </c>
      <c r="L3" s="200" t="s">
        <v>645</v>
      </c>
    </row>
    <row r="4" spans="3:15" ht="16" x14ac:dyDescent="0.2">
      <c r="C4" s="312" t="s">
        <v>119</v>
      </c>
      <c r="D4" s="312"/>
      <c r="E4" s="312" t="s">
        <v>120</v>
      </c>
      <c r="F4" s="312" t="s">
        <v>121</v>
      </c>
      <c r="G4" s="312" t="s">
        <v>122</v>
      </c>
      <c r="H4" s="312" t="s">
        <v>123</v>
      </c>
      <c r="I4" s="312" t="s">
        <v>124</v>
      </c>
      <c r="J4" s="312" t="s">
        <v>644</v>
      </c>
      <c r="K4" s="312" t="s">
        <v>645</v>
      </c>
      <c r="L4" s="312" t="s">
        <v>646</v>
      </c>
    </row>
    <row r="5" spans="3:15" ht="16" x14ac:dyDescent="0.2">
      <c r="C5" s="312" t="s">
        <v>120</v>
      </c>
      <c r="D5" s="312"/>
      <c r="E5" s="312" t="s">
        <v>121</v>
      </c>
      <c r="F5" s="312" t="s">
        <v>122</v>
      </c>
      <c r="G5" s="312" t="s">
        <v>123</v>
      </c>
      <c r="H5" s="312" t="s">
        <v>124</v>
      </c>
      <c r="I5" s="312" t="s">
        <v>644</v>
      </c>
      <c r="J5" s="312" t="s">
        <v>645</v>
      </c>
      <c r="K5" s="312" t="s">
        <v>646</v>
      </c>
      <c r="L5" s="312" t="s">
        <v>647</v>
      </c>
    </row>
    <row r="6" spans="3:15" ht="16" x14ac:dyDescent="0.2">
      <c r="C6" s="312" t="s">
        <v>121</v>
      </c>
      <c r="D6" s="312"/>
      <c r="E6" s="312" t="s">
        <v>122</v>
      </c>
      <c r="F6" s="312" t="s">
        <v>123</v>
      </c>
      <c r="G6" s="312" t="s">
        <v>124</v>
      </c>
      <c r="H6" s="312" t="s">
        <v>644</v>
      </c>
      <c r="I6" s="312" t="s">
        <v>645</v>
      </c>
      <c r="J6" s="312" t="s">
        <v>646</v>
      </c>
      <c r="K6" s="312" t="s">
        <v>647</v>
      </c>
      <c r="L6" s="312" t="s">
        <v>648</v>
      </c>
    </row>
    <row r="8" spans="3:15" ht="16" x14ac:dyDescent="0.2">
      <c r="C8" s="312" t="s">
        <v>658</v>
      </c>
    </row>
    <row r="9" spans="3:15" ht="16" x14ac:dyDescent="0.2">
      <c r="C9" s="200" t="s">
        <v>117</v>
      </c>
      <c r="E9" s="87" t="s">
        <v>115</v>
      </c>
      <c r="F9" s="87" t="s">
        <v>116</v>
      </c>
      <c r="G9" s="87" t="s">
        <v>117</v>
      </c>
      <c r="H9" s="87" t="s">
        <v>118</v>
      </c>
      <c r="I9" s="87" t="s">
        <v>119</v>
      </c>
      <c r="J9" s="87" t="s">
        <v>120</v>
      </c>
      <c r="K9" s="87" t="s">
        <v>121</v>
      </c>
      <c r="L9" s="87" t="s">
        <v>122</v>
      </c>
      <c r="M9" s="87" t="s">
        <v>123</v>
      </c>
      <c r="N9" s="87" t="s">
        <v>124</v>
      </c>
      <c r="O9" s="87" t="s">
        <v>644</v>
      </c>
    </row>
    <row r="10" spans="3:15" ht="16" x14ac:dyDescent="0.2">
      <c r="C10" s="200" t="s">
        <v>118</v>
      </c>
      <c r="E10" s="87" t="s">
        <v>116</v>
      </c>
      <c r="F10" s="87" t="s">
        <v>117</v>
      </c>
      <c r="G10" s="87" t="s">
        <v>118</v>
      </c>
      <c r="H10" s="87" t="s">
        <v>119</v>
      </c>
      <c r="I10" s="87" t="s">
        <v>120</v>
      </c>
      <c r="J10" s="87" t="s">
        <v>121</v>
      </c>
      <c r="K10" s="87" t="s">
        <v>122</v>
      </c>
      <c r="L10" s="87" t="s">
        <v>123</v>
      </c>
      <c r="M10" s="87" t="s">
        <v>124</v>
      </c>
      <c r="N10" s="87" t="s">
        <v>644</v>
      </c>
      <c r="O10" s="87" t="s">
        <v>645</v>
      </c>
    </row>
    <row r="11" spans="3:15" ht="16" x14ac:dyDescent="0.2">
      <c r="C11" s="312" t="s">
        <v>119</v>
      </c>
      <c r="E11" s="87" t="s">
        <v>117</v>
      </c>
      <c r="F11" s="87" t="s">
        <v>118</v>
      </c>
      <c r="G11" s="87" t="s">
        <v>119</v>
      </c>
      <c r="H11" s="87" t="s">
        <v>120</v>
      </c>
      <c r="I11" s="87" t="s">
        <v>121</v>
      </c>
      <c r="J11" s="87" t="s">
        <v>122</v>
      </c>
      <c r="K11" s="87" t="s">
        <v>123</v>
      </c>
      <c r="L11" s="87" t="s">
        <v>124</v>
      </c>
      <c r="M11" s="87" t="s">
        <v>644</v>
      </c>
      <c r="N11" s="87" t="s">
        <v>645</v>
      </c>
      <c r="O11" s="87" t="s">
        <v>646</v>
      </c>
    </row>
    <row r="12" spans="3:15" ht="16" x14ac:dyDescent="0.2">
      <c r="C12" s="312" t="s">
        <v>120</v>
      </c>
      <c r="E12" s="87" t="s">
        <v>118</v>
      </c>
      <c r="F12" s="87" t="s">
        <v>119</v>
      </c>
      <c r="G12" s="87" t="s">
        <v>120</v>
      </c>
      <c r="H12" s="87" t="s">
        <v>121</v>
      </c>
      <c r="I12" s="87" t="s">
        <v>122</v>
      </c>
      <c r="J12" s="87" t="s">
        <v>123</v>
      </c>
      <c r="K12" s="87" t="s">
        <v>124</v>
      </c>
      <c r="L12" s="87" t="s">
        <v>644</v>
      </c>
      <c r="M12" s="87" t="s">
        <v>645</v>
      </c>
      <c r="N12" s="87" t="s">
        <v>646</v>
      </c>
      <c r="O12" s="87" t="s">
        <v>647</v>
      </c>
    </row>
    <row r="13" spans="3:15" ht="16" x14ac:dyDescent="0.2">
      <c r="C13" s="312" t="s">
        <v>121</v>
      </c>
      <c r="E13" s="87" t="s">
        <v>119</v>
      </c>
      <c r="F13" s="87" t="s">
        <v>120</v>
      </c>
      <c r="G13" s="87" t="s">
        <v>121</v>
      </c>
      <c r="H13" s="87" t="s">
        <v>122</v>
      </c>
      <c r="I13" s="87" t="s">
        <v>123</v>
      </c>
      <c r="J13" s="87" t="s">
        <v>124</v>
      </c>
      <c r="K13" s="87" t="s">
        <v>644</v>
      </c>
      <c r="L13" s="87" t="s">
        <v>645</v>
      </c>
      <c r="M13" s="87" t="s">
        <v>646</v>
      </c>
      <c r="N13" s="87" t="s">
        <v>647</v>
      </c>
      <c r="O13" s="87" t="s">
        <v>648</v>
      </c>
    </row>
    <row r="17" spans="3:5" x14ac:dyDescent="0.2">
      <c r="C17">
        <v>2023</v>
      </c>
      <c r="D17" t="s">
        <v>117</v>
      </c>
      <c r="E17" t="s">
        <v>118</v>
      </c>
    </row>
    <row r="18" spans="3:5" x14ac:dyDescent="0.2">
      <c r="C18">
        <v>2024</v>
      </c>
      <c r="D18" t="s">
        <v>118</v>
      </c>
      <c r="E18" t="s">
        <v>119</v>
      </c>
    </row>
    <row r="19" spans="3:5" x14ac:dyDescent="0.2">
      <c r="C19">
        <v>2025</v>
      </c>
      <c r="D19" t="s">
        <v>119</v>
      </c>
      <c r="E19" t="s">
        <v>120</v>
      </c>
    </row>
    <row r="20" spans="3:5" x14ac:dyDescent="0.2">
      <c r="C20">
        <v>2026</v>
      </c>
      <c r="D20" t="s">
        <v>120</v>
      </c>
      <c r="E20" t="s">
        <v>121</v>
      </c>
    </row>
    <row r="21" spans="3:5" x14ac:dyDescent="0.2">
      <c r="C21">
        <v>2027</v>
      </c>
      <c r="D21" t="s">
        <v>121</v>
      </c>
      <c r="E21" t="s">
        <v>122</v>
      </c>
    </row>
    <row r="22" spans="3:5" x14ac:dyDescent="0.2">
      <c r="C22">
        <v>2028</v>
      </c>
      <c r="D22" t="s">
        <v>122</v>
      </c>
      <c r="E22" t="s">
        <v>123</v>
      </c>
    </row>
    <row r="23" spans="3:5" x14ac:dyDescent="0.2">
      <c r="C23">
        <v>2029</v>
      </c>
      <c r="D23" t="s">
        <v>123</v>
      </c>
      <c r="E23" t="s">
        <v>124</v>
      </c>
    </row>
    <row r="24" spans="3:5" x14ac:dyDescent="0.2">
      <c r="C24">
        <v>2030</v>
      </c>
      <c r="D24" t="s">
        <v>124</v>
      </c>
      <c r="E24" t="s">
        <v>644</v>
      </c>
    </row>
    <row r="25" spans="3:5" x14ac:dyDescent="0.2">
      <c r="C25">
        <v>2031</v>
      </c>
      <c r="D25" t="s">
        <v>644</v>
      </c>
      <c r="E25" t="s">
        <v>645</v>
      </c>
    </row>
    <row r="26" spans="3:5" x14ac:dyDescent="0.2">
      <c r="C26">
        <v>2032</v>
      </c>
      <c r="D26" t="s">
        <v>645</v>
      </c>
      <c r="E26" t="s">
        <v>646</v>
      </c>
    </row>
    <row r="27" spans="3:5" x14ac:dyDescent="0.2">
      <c r="C27">
        <v>2033</v>
      </c>
      <c r="D27" t="s">
        <v>646</v>
      </c>
      <c r="E27" t="s">
        <v>647</v>
      </c>
    </row>
  </sheetData>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Méthodo</vt:lpstr>
      <vt:lpstr>Projection Effectifs</vt:lpstr>
      <vt:lpstr>Nbre de divisions</vt:lpstr>
      <vt:lpstr>Hypothèses </vt:lpstr>
      <vt:lpstr>Calcul MS Personnels</vt:lpstr>
      <vt:lpstr>Compte Résultat ML</vt:lpstr>
      <vt:lpstr>Compte Résultat Euro</vt:lpstr>
      <vt:lpstr>Calcul Cout Détaché</vt:lpstr>
      <vt:lpstr>Tables  Enseignants</vt:lpstr>
      <vt:lpstr>table années scolaires</vt:lpstr>
    </vt:vector>
  </TitlesOfParts>
  <Company>MAE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ANELONE Isabelle</dc:creator>
  <cp:lastModifiedBy>Faker Helali</cp:lastModifiedBy>
  <dcterms:created xsi:type="dcterms:W3CDTF">2023-11-10T10:46:26Z</dcterms:created>
  <dcterms:modified xsi:type="dcterms:W3CDTF">2025-12-11T17:37:04Z</dcterms:modified>
</cp:coreProperties>
</file>