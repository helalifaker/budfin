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akerhelali/Coding/School Historical Data/"/>
    </mc:Choice>
  </mc:AlternateContent>
  <xr:revisionPtr revIDLastSave="0" documentId="8_{9298CB7C-7541-1D4A-92FD-350A92C3D49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HSA Secondaire" sheetId="4" r:id="rId1"/>
    <sheet name="HSA primaire" sheetId="5" r:id="rId2"/>
  </sheets>
  <definedNames>
    <definedName name="_xlnm._FilterDatabase" localSheetId="0" hidden="1">'HSA Secondaire'!$A$6:$M$67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F2" i="5"/>
  <c r="G2" i="5" s="1"/>
  <c r="G13" i="5" s="1"/>
  <c r="J61" i="4" l="1"/>
  <c r="K61" i="4" s="1"/>
  <c r="J57" i="4"/>
  <c r="K57" i="4" s="1"/>
  <c r="J55" i="4"/>
  <c r="J14" i="4"/>
  <c r="K14" i="4" s="1"/>
  <c r="J64" i="4" l="1"/>
  <c r="K64" i="4" s="1"/>
  <c r="K63" i="4"/>
  <c r="J62" i="4"/>
  <c r="K62" i="4" s="1"/>
  <c r="J60" i="4"/>
  <c r="K60" i="4" s="1"/>
  <c r="J59" i="4"/>
  <c r="K59" i="4" s="1"/>
  <c r="J56" i="4"/>
  <c r="K56" i="4" s="1"/>
  <c r="K55" i="4"/>
  <c r="J54" i="4"/>
  <c r="K54" i="4" s="1"/>
  <c r="K53" i="4"/>
  <c r="J52" i="4"/>
  <c r="K52" i="4" s="1"/>
  <c r="J50" i="4"/>
  <c r="K50" i="4" s="1"/>
  <c r="J49" i="4"/>
  <c r="K49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4" i="4"/>
  <c r="K34" i="4" s="1"/>
  <c r="J33" i="4"/>
  <c r="K33" i="4" s="1"/>
  <c r="J32" i="4"/>
  <c r="K32" i="4" s="1"/>
  <c r="K31" i="4"/>
  <c r="J30" i="4"/>
  <c r="K30" i="4" s="1"/>
  <c r="J29" i="4"/>
  <c r="K29" i="4" s="1"/>
  <c r="K28" i="4"/>
  <c r="J27" i="4"/>
  <c r="K27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K67" i="4" l="1"/>
  <c r="K65" i="4"/>
</calcChain>
</file>

<file path=xl/sharedStrings.xml><?xml version="1.0" encoding="utf-8"?>
<sst xmlns="http://schemas.openxmlformats.org/spreadsheetml/2006/main" count="638" uniqueCount="215">
  <si>
    <t>Civilité</t>
  </si>
  <si>
    <t>Nom</t>
  </si>
  <si>
    <t>Prénom</t>
  </si>
  <si>
    <t>Mme</t>
  </si>
  <si>
    <t>M.</t>
  </si>
  <si>
    <t>BOUGAFTA</t>
  </si>
  <si>
    <t>Rim</t>
  </si>
  <si>
    <t>MERHABI</t>
  </si>
  <si>
    <t>Jinane</t>
  </si>
  <si>
    <t>RIFFI</t>
  </si>
  <si>
    <t>Siham</t>
  </si>
  <si>
    <t>DESBARRES</t>
  </si>
  <si>
    <t>Chloé</t>
  </si>
  <si>
    <t>ELOUAFI</t>
  </si>
  <si>
    <t>Hassan</t>
  </si>
  <si>
    <t>HOFFMANN</t>
  </si>
  <si>
    <t>Anne Sophie</t>
  </si>
  <si>
    <t>SAIDI</t>
  </si>
  <si>
    <t>Naaima</t>
  </si>
  <si>
    <t>Mehdi</t>
  </si>
  <si>
    <t>MAKSOUD</t>
  </si>
  <si>
    <t>EL KHATIB</t>
  </si>
  <si>
    <t>Myriam</t>
  </si>
  <si>
    <t>Apport</t>
  </si>
  <si>
    <t>Occupation</t>
  </si>
  <si>
    <t>AHE (Établissement)</t>
  </si>
  <si>
    <t>AHE (Académie)</t>
  </si>
  <si>
    <t>Discipline</t>
  </si>
  <si>
    <t>Statut</t>
  </si>
  <si>
    <t>AMRI</t>
  </si>
  <si>
    <t>Kehena</t>
  </si>
  <si>
    <t>18h00</t>
  </si>
  <si>
    <t>20h30</t>
  </si>
  <si>
    <t>2h00</t>
  </si>
  <si>
    <t>20h00</t>
  </si>
  <si>
    <t>0h00</t>
  </si>
  <si>
    <t>FR   FRANÇAIS</t>
  </si>
  <si>
    <t>Contrat local</t>
  </si>
  <si>
    <t>ASSEKOUR</t>
  </si>
  <si>
    <t>Soufiane</t>
  </si>
  <si>
    <t>18h30</t>
  </si>
  <si>
    <t>3h00</t>
  </si>
  <si>
    <t>EPS</t>
  </si>
  <si>
    <t>BALLAN</t>
  </si>
  <si>
    <t>Christiane</t>
  </si>
  <si>
    <t>21h00</t>
  </si>
  <si>
    <t>Arabe</t>
  </si>
  <si>
    <t>BASBOUS</t>
  </si>
  <si>
    <t>Carla</t>
  </si>
  <si>
    <t>BELLILA LAOUITI</t>
  </si>
  <si>
    <t>Ilham</t>
  </si>
  <si>
    <t>19h30</t>
  </si>
  <si>
    <t>SVT</t>
  </si>
  <si>
    <t>BEN FGUIRA</t>
  </si>
  <si>
    <t>Farès</t>
  </si>
  <si>
    <t>BEN HIBA</t>
  </si>
  <si>
    <t>Nesrine</t>
  </si>
  <si>
    <t>16h12</t>
  </si>
  <si>
    <t>15h30</t>
  </si>
  <si>
    <t>SES</t>
  </si>
  <si>
    <t>BEN OTHMAN</t>
  </si>
  <si>
    <t>Noëlle</t>
  </si>
  <si>
    <t>17h00</t>
  </si>
  <si>
    <t>BEN SMIDA</t>
  </si>
  <si>
    <t>Khadija</t>
  </si>
  <si>
    <t>Mathémat</t>
  </si>
  <si>
    <t>BOUHJAR</t>
  </si>
  <si>
    <t>Fahmi</t>
  </si>
  <si>
    <t>PH-CH   Physique-Chimie</t>
  </si>
  <si>
    <t>BOURSAULT</t>
  </si>
  <si>
    <t>Géraldine</t>
  </si>
  <si>
    <t>BUZIT</t>
  </si>
  <si>
    <t>Yann</t>
  </si>
  <si>
    <t>6h00</t>
  </si>
  <si>
    <t>11h24</t>
  </si>
  <si>
    <t>Expatrié</t>
  </si>
  <si>
    <t>CABRERA</t>
  </si>
  <si>
    <t>Victor</t>
  </si>
  <si>
    <t>Espagnol</t>
  </si>
  <si>
    <t>CATRY</t>
  </si>
  <si>
    <t>Vanessa</t>
  </si>
  <si>
    <t>19h00</t>
  </si>
  <si>
    <t>CHAABAN</t>
  </si>
  <si>
    <t>Amani</t>
  </si>
  <si>
    <t>Anglais</t>
  </si>
  <si>
    <t>CHAIEB</t>
  </si>
  <si>
    <t>Iheb</t>
  </si>
  <si>
    <t>22h00</t>
  </si>
  <si>
    <t>CHAUVET</t>
  </si>
  <si>
    <t>Aurélie</t>
  </si>
  <si>
    <t>HG   Histoire Géoghaphie</t>
  </si>
  <si>
    <t>CHERFAN</t>
  </si>
  <si>
    <t>Randa</t>
  </si>
  <si>
    <t>CORNETTE</t>
  </si>
  <si>
    <t>16h30</t>
  </si>
  <si>
    <t>DOMLOGE</t>
  </si>
  <si>
    <t>Racha</t>
  </si>
  <si>
    <t>Ghizlaine</t>
  </si>
  <si>
    <t>FAYE</t>
  </si>
  <si>
    <t>Maryelle</t>
  </si>
  <si>
    <t>FESSI</t>
  </si>
  <si>
    <t>Salwa</t>
  </si>
  <si>
    <t>22h30</t>
  </si>
  <si>
    <t>Technolo</t>
  </si>
  <si>
    <t>GHAZOUANI</t>
  </si>
  <si>
    <t>Slim</t>
  </si>
  <si>
    <t>HADDED</t>
  </si>
  <si>
    <t>Sabrina</t>
  </si>
  <si>
    <t>HADJ TAIEB</t>
  </si>
  <si>
    <t>Mohamed Amine</t>
  </si>
  <si>
    <t>10h00</t>
  </si>
  <si>
    <t>SNT   SC NUM TECHNO</t>
  </si>
  <si>
    <t>HG</t>
  </si>
  <si>
    <t>9h00</t>
  </si>
  <si>
    <t>Musique</t>
  </si>
  <si>
    <t>JAMGOSSIAN</t>
  </si>
  <si>
    <t>Anahid</t>
  </si>
  <si>
    <t>12h00</t>
  </si>
  <si>
    <t>KHAIRALLAH</t>
  </si>
  <si>
    <t>Joëlle</t>
  </si>
  <si>
    <t>KHALDI</t>
  </si>
  <si>
    <t>Fatma-Chiraz</t>
  </si>
  <si>
    <t>21h30</t>
  </si>
  <si>
    <t>M</t>
  </si>
  <si>
    <t>LOUNES</t>
  </si>
  <si>
    <t>Imrane</t>
  </si>
  <si>
    <t>MAARI DE CHBEIR</t>
  </si>
  <si>
    <t>Grece</t>
  </si>
  <si>
    <t>MAGRA</t>
  </si>
  <si>
    <t>Fatima</t>
  </si>
  <si>
    <t>Zeïna</t>
  </si>
  <si>
    <t>1h00</t>
  </si>
  <si>
    <t>MAMLOUK</t>
  </si>
  <si>
    <t>Arwa</t>
  </si>
  <si>
    <t>Arts   Plastiques</t>
  </si>
  <si>
    <t>MATHLOUTHI</t>
  </si>
  <si>
    <t>Sabeur</t>
  </si>
  <si>
    <t>MEKNI</t>
  </si>
  <si>
    <t>MESSAOUDI</t>
  </si>
  <si>
    <t>Amel</t>
  </si>
  <si>
    <t>NAGHAM</t>
  </si>
  <si>
    <t>Mariama</t>
  </si>
  <si>
    <t>NICOLAS</t>
  </si>
  <si>
    <t>Armelle</t>
  </si>
  <si>
    <t>RIBGOU</t>
  </si>
  <si>
    <t>Imane</t>
  </si>
  <si>
    <t>SAAB</t>
  </si>
  <si>
    <t>Maya</t>
  </si>
  <si>
    <t>SAAD</t>
  </si>
  <si>
    <t>May</t>
  </si>
  <si>
    <t>SAKR</t>
  </si>
  <si>
    <t>Sally</t>
  </si>
  <si>
    <t>Allemand</t>
  </si>
  <si>
    <t>SALAMA</t>
  </si>
  <si>
    <t>11h00</t>
  </si>
  <si>
    <t>SALHI</t>
  </si>
  <si>
    <t>Faten</t>
  </si>
  <si>
    <t>SEMAAN</t>
  </si>
  <si>
    <t>Fabienne</t>
  </si>
  <si>
    <t>TEDJANI</t>
  </si>
  <si>
    <t>Hajar</t>
  </si>
  <si>
    <t>WALHA</t>
  </si>
  <si>
    <t>Leila</t>
  </si>
  <si>
    <t>YOUNES</t>
  </si>
  <si>
    <t>Youmna</t>
  </si>
  <si>
    <t>ZAAROUR</t>
  </si>
  <si>
    <t>Nada</t>
  </si>
  <si>
    <t>1h30</t>
  </si>
  <si>
    <t>0h48</t>
  </si>
  <si>
    <t>1h57</t>
  </si>
  <si>
    <t>2h27</t>
  </si>
  <si>
    <t>4h24</t>
  </si>
  <si>
    <t>2h30</t>
  </si>
  <si>
    <t>5h00</t>
  </si>
  <si>
    <t>4h30</t>
  </si>
  <si>
    <t>3h51</t>
  </si>
  <si>
    <t>4h00</t>
  </si>
  <si>
    <t>4h06</t>
  </si>
  <si>
    <t>0h36</t>
  </si>
  <si>
    <t>3h30</t>
  </si>
  <si>
    <t>0h42</t>
  </si>
  <si>
    <t>1h42</t>
  </si>
  <si>
    <t>Conversion</t>
  </si>
  <si>
    <t>HSA</t>
  </si>
  <si>
    <t>Total</t>
  </si>
  <si>
    <t>HSA - Secondaire2025-2026</t>
  </si>
  <si>
    <t>1h12</t>
  </si>
  <si>
    <t>Nombre d'heure contractuelle</t>
  </si>
  <si>
    <t>Nombre d'heures réellement effectuées/semaine</t>
  </si>
  <si>
    <t>Montant HSA /mois</t>
  </si>
  <si>
    <t>El Ghazal</t>
  </si>
  <si>
    <t>Lina</t>
  </si>
  <si>
    <t xml:space="preserve">Hammoud </t>
  </si>
  <si>
    <t xml:space="preserve">Noura </t>
  </si>
  <si>
    <t xml:space="preserve">Kabbani </t>
  </si>
  <si>
    <t xml:space="preserve">Farah </t>
  </si>
  <si>
    <t xml:space="preserve">Shawbah </t>
  </si>
  <si>
    <t>Al Jundi</t>
  </si>
  <si>
    <t>Tamara</t>
  </si>
  <si>
    <t xml:space="preserve">Bachour </t>
  </si>
  <si>
    <t>Reem</t>
  </si>
  <si>
    <t>Badr</t>
  </si>
  <si>
    <t>Chantal</t>
  </si>
  <si>
    <t xml:space="preserve">Hussein </t>
  </si>
  <si>
    <t xml:space="preserve">Waad </t>
  </si>
  <si>
    <t xml:space="preserve">Sabra </t>
  </si>
  <si>
    <t>Dollat</t>
  </si>
  <si>
    <t>Saliba</t>
  </si>
  <si>
    <t>Fadia</t>
  </si>
  <si>
    <t>ZOUBIANE</t>
  </si>
  <si>
    <t>Sarah</t>
  </si>
  <si>
    <t>1 ére heure est à 500 SAR / mois</t>
  </si>
  <si>
    <t>Les heures restantes à 400 sar l'heure /mois</t>
  </si>
  <si>
    <t>Montant HSA</t>
  </si>
  <si>
    <t>Eléments FIXES payé sur 10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</si>
</sst>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8"/>
      <name val="Helvetica Neue"/>
      <family val="2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3" fillId="5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67"/>
  <sheetViews>
    <sheetView showGridLines="0" tabSelected="1" workbookViewId="0">
      <selection activeCell="D8" sqref="D8"/>
    </sheetView>
  </sheetViews>
  <sheetFormatPr baseColWidth="10" defaultRowHeight="16" x14ac:dyDescent="0.2"/>
  <cols>
    <col min="2" max="2" width="16.5" bestFit="1" customWidth="1"/>
    <col min="3" max="3" width="14.1640625" bestFit="1" customWidth="1"/>
    <col min="4" max="4" width="12.33203125" customWidth="1"/>
    <col min="9" max="9" width="11.5" style="3" hidden="1" customWidth="1"/>
    <col min="11" max="11" width="13.5" customWidth="1"/>
    <col min="12" max="12" width="21.33203125" bestFit="1" customWidth="1"/>
    <col min="13" max="13" width="19" customWidth="1"/>
  </cols>
  <sheetData>
    <row r="1" spans="1:13" ht="24.75" customHeight="1" x14ac:dyDescent="0.2">
      <c r="A1" s="25" t="s">
        <v>185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24.7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.75" customHeight="1" x14ac:dyDescent="0.2">
      <c r="A3" s="23"/>
      <c r="B3" s="23" t="s">
        <v>214</v>
      </c>
      <c r="C3" s="23"/>
      <c r="D3" s="23"/>
      <c r="E3" s="23"/>
      <c r="F3" s="23"/>
      <c r="G3" s="23"/>
      <c r="H3" s="21" t="s">
        <v>211</v>
      </c>
      <c r="I3"/>
      <c r="L3" s="23"/>
      <c r="M3" s="23"/>
    </row>
    <row r="4" spans="1:13" ht="24.75" customHeight="1" x14ac:dyDescent="0.2">
      <c r="A4" s="23"/>
      <c r="B4" s="23"/>
      <c r="C4" s="23"/>
      <c r="D4" s="23"/>
      <c r="E4" s="23"/>
      <c r="F4" s="23"/>
      <c r="G4" s="23"/>
      <c r="H4" s="21" t="s">
        <v>212</v>
      </c>
      <c r="I4"/>
      <c r="L4" s="23"/>
      <c r="M4" s="23"/>
    </row>
    <row r="5" spans="1:13" x14ac:dyDescent="0.2">
      <c r="I5"/>
    </row>
    <row r="6" spans="1:13" s="20" customFormat="1" ht="45" customHeight="1" x14ac:dyDescent="0.2">
      <c r="A6" s="24" t="s">
        <v>0</v>
      </c>
      <c r="B6" s="24" t="s">
        <v>1</v>
      </c>
      <c r="C6" s="24" t="s">
        <v>2</v>
      </c>
      <c r="D6" s="24" t="s">
        <v>23</v>
      </c>
      <c r="E6" s="24" t="s">
        <v>24</v>
      </c>
      <c r="F6" s="24" t="s">
        <v>25</v>
      </c>
      <c r="G6" s="24" t="s">
        <v>26</v>
      </c>
      <c r="H6" s="24" t="s">
        <v>183</v>
      </c>
      <c r="I6" s="6"/>
      <c r="J6" s="24" t="s">
        <v>182</v>
      </c>
      <c r="K6" s="8" t="s">
        <v>213</v>
      </c>
      <c r="L6" s="24" t="s">
        <v>27</v>
      </c>
      <c r="M6" s="24" t="s">
        <v>28</v>
      </c>
    </row>
    <row r="7" spans="1:13" ht="45" customHeight="1" x14ac:dyDescent="0.2">
      <c r="A7" s="4" t="s">
        <v>3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35</v>
      </c>
      <c r="G7" s="4" t="s">
        <v>35</v>
      </c>
      <c r="H7" s="4" t="s">
        <v>33</v>
      </c>
      <c r="I7" s="6">
        <v>2</v>
      </c>
      <c r="J7" s="7">
        <f>TRUNC(I7)+MOD(I7,1)/0.6</f>
        <v>2</v>
      </c>
      <c r="K7" s="8">
        <f>IF(J7&lt;=1,J7*500,500+(J7-1)*400)</f>
        <v>900</v>
      </c>
      <c r="L7" s="4" t="s">
        <v>36</v>
      </c>
      <c r="M7" s="4" t="s">
        <v>37</v>
      </c>
    </row>
    <row r="8" spans="1:13" ht="45" customHeight="1" x14ac:dyDescent="0.2">
      <c r="A8" s="4" t="s">
        <v>4</v>
      </c>
      <c r="B8" s="4" t="s">
        <v>38</v>
      </c>
      <c r="C8" s="4" t="s">
        <v>39</v>
      </c>
      <c r="D8" s="5" t="s">
        <v>34</v>
      </c>
      <c r="E8" s="4" t="s">
        <v>32</v>
      </c>
      <c r="F8" s="5" t="s">
        <v>41</v>
      </c>
      <c r="G8" s="4" t="s">
        <v>35</v>
      </c>
      <c r="H8" s="9" t="s">
        <v>167</v>
      </c>
      <c r="I8" s="10">
        <v>1.3</v>
      </c>
      <c r="J8" s="7">
        <f t="shared" ref="J8:J12" si="0">TRUNC(I8)+MOD(I8,1)/0.6</f>
        <v>1.5</v>
      </c>
      <c r="K8" s="8">
        <f t="shared" ref="K8:K12" si="1">IF(J8&lt;=1,J8*500,500+(J8-1)*400)</f>
        <v>700</v>
      </c>
      <c r="L8" s="4" t="s">
        <v>42</v>
      </c>
      <c r="M8" s="4" t="s">
        <v>37</v>
      </c>
    </row>
    <row r="9" spans="1:13" ht="45" customHeight="1" x14ac:dyDescent="0.2">
      <c r="A9" s="4" t="s">
        <v>3</v>
      </c>
      <c r="B9" s="4" t="s">
        <v>43</v>
      </c>
      <c r="C9" s="4" t="s">
        <v>44</v>
      </c>
      <c r="D9" s="4" t="s">
        <v>31</v>
      </c>
      <c r="E9" s="4" t="s">
        <v>45</v>
      </c>
      <c r="F9" s="4" t="s">
        <v>35</v>
      </c>
      <c r="G9" s="4" t="s">
        <v>35</v>
      </c>
      <c r="H9" s="4" t="s">
        <v>41</v>
      </c>
      <c r="I9" s="10">
        <v>3</v>
      </c>
      <c r="J9" s="7">
        <f t="shared" si="0"/>
        <v>3</v>
      </c>
      <c r="K9" s="8">
        <f t="shared" si="1"/>
        <v>1300</v>
      </c>
      <c r="L9" s="4" t="s">
        <v>46</v>
      </c>
      <c r="M9" s="4" t="s">
        <v>37</v>
      </c>
    </row>
    <row r="10" spans="1:13" ht="45" customHeight="1" x14ac:dyDescent="0.2">
      <c r="A10" s="4" t="s">
        <v>3</v>
      </c>
      <c r="B10" s="4" t="s">
        <v>47</v>
      </c>
      <c r="C10" s="4" t="s">
        <v>48</v>
      </c>
      <c r="D10" s="4" t="s">
        <v>31</v>
      </c>
      <c r="E10" s="4" t="s">
        <v>31</v>
      </c>
      <c r="F10" s="4" t="s">
        <v>35</v>
      </c>
      <c r="G10" s="4" t="s">
        <v>35</v>
      </c>
      <c r="H10" s="4" t="s">
        <v>168</v>
      </c>
      <c r="I10" s="10">
        <v>0.48</v>
      </c>
      <c r="J10" s="7">
        <f t="shared" si="0"/>
        <v>0.8</v>
      </c>
      <c r="K10" s="8">
        <f t="shared" si="1"/>
        <v>400</v>
      </c>
      <c r="L10" s="4" t="s">
        <v>46</v>
      </c>
      <c r="M10" s="4" t="s">
        <v>37</v>
      </c>
    </row>
    <row r="11" spans="1:13" ht="45" customHeight="1" x14ac:dyDescent="0.2">
      <c r="A11" s="4" t="s">
        <v>3</v>
      </c>
      <c r="B11" s="4" t="s">
        <v>49</v>
      </c>
      <c r="C11" s="4" t="s">
        <v>50</v>
      </c>
      <c r="D11" s="4" t="s">
        <v>31</v>
      </c>
      <c r="E11" s="4" t="s">
        <v>51</v>
      </c>
      <c r="F11" s="4" t="s">
        <v>35</v>
      </c>
      <c r="G11" s="4" t="s">
        <v>35</v>
      </c>
      <c r="H11" s="4" t="s">
        <v>169</v>
      </c>
      <c r="I11" s="10">
        <v>1.57</v>
      </c>
      <c r="J11" s="7">
        <f t="shared" si="0"/>
        <v>1.9500000000000002</v>
      </c>
      <c r="K11" s="8">
        <f t="shared" si="1"/>
        <v>880</v>
      </c>
      <c r="L11" s="4" t="s">
        <v>52</v>
      </c>
      <c r="M11" s="4" t="s">
        <v>37</v>
      </c>
    </row>
    <row r="12" spans="1:13" ht="45" customHeight="1" x14ac:dyDescent="0.2">
      <c r="A12" s="4" t="s">
        <v>4</v>
      </c>
      <c r="B12" s="4" t="s">
        <v>53</v>
      </c>
      <c r="C12" s="4" t="s">
        <v>54</v>
      </c>
      <c r="D12" s="5" t="s">
        <v>34</v>
      </c>
      <c r="E12" s="4" t="s">
        <v>34</v>
      </c>
      <c r="F12" s="5" t="s">
        <v>41</v>
      </c>
      <c r="G12" s="4" t="s">
        <v>35</v>
      </c>
      <c r="H12" s="4" t="s">
        <v>131</v>
      </c>
      <c r="I12" s="10">
        <v>1</v>
      </c>
      <c r="J12" s="7">
        <f t="shared" si="0"/>
        <v>1</v>
      </c>
      <c r="K12" s="8">
        <f t="shared" si="1"/>
        <v>500</v>
      </c>
      <c r="L12" s="4" t="s">
        <v>42</v>
      </c>
      <c r="M12" s="4" t="s">
        <v>37</v>
      </c>
    </row>
    <row r="13" spans="1:13" x14ac:dyDescent="0.2">
      <c r="A13" s="1" t="s">
        <v>3</v>
      </c>
      <c r="B13" s="1" t="s">
        <v>55</v>
      </c>
      <c r="C13" s="1" t="s">
        <v>56</v>
      </c>
      <c r="D13" s="2" t="s">
        <v>57</v>
      </c>
      <c r="E13" s="1" t="s">
        <v>58</v>
      </c>
      <c r="F13" s="1" t="s">
        <v>35</v>
      </c>
      <c r="G13" s="1" t="s">
        <v>35</v>
      </c>
      <c r="H13" s="1" t="s">
        <v>35</v>
      </c>
      <c r="I13" s="1"/>
      <c r="J13" s="1"/>
      <c r="K13" s="1"/>
      <c r="L13" s="1" t="s">
        <v>59</v>
      </c>
      <c r="M13" s="1" t="s">
        <v>37</v>
      </c>
    </row>
    <row r="14" spans="1:13" ht="45" hidden="1" customHeight="1" x14ac:dyDescent="0.2">
      <c r="A14" s="4" t="s">
        <v>3</v>
      </c>
      <c r="B14" s="4" t="s">
        <v>60</v>
      </c>
      <c r="C14" s="4" t="s">
        <v>61</v>
      </c>
      <c r="D14" s="4" t="s">
        <v>31</v>
      </c>
      <c r="E14" s="4" t="s">
        <v>62</v>
      </c>
      <c r="F14" s="4" t="s">
        <v>35</v>
      </c>
      <c r="G14" s="4" t="s">
        <v>35</v>
      </c>
      <c r="H14" s="4" t="s">
        <v>35</v>
      </c>
      <c r="I14" s="10">
        <v>0</v>
      </c>
      <c r="J14" s="7">
        <f t="shared" ref="J14:J25" si="2">TRUNC(I14)+MOD(I14,1)/0.6</f>
        <v>0</v>
      </c>
      <c r="K14" s="8">
        <f t="shared" ref="K14:K25" si="3">IF(J14&lt;=1,J14*500,500+(J14-1)*400)</f>
        <v>0</v>
      </c>
      <c r="L14" s="4" t="s">
        <v>59</v>
      </c>
      <c r="M14" s="4" t="s">
        <v>37</v>
      </c>
    </row>
    <row r="15" spans="1:13" ht="45" customHeight="1" x14ac:dyDescent="0.2">
      <c r="A15" s="4" t="s">
        <v>3</v>
      </c>
      <c r="B15" s="4" t="s">
        <v>63</v>
      </c>
      <c r="C15" s="4" t="s">
        <v>64</v>
      </c>
      <c r="D15" s="4" t="s">
        <v>31</v>
      </c>
      <c r="E15" s="4" t="s">
        <v>34</v>
      </c>
      <c r="F15" s="4" t="s">
        <v>35</v>
      </c>
      <c r="G15" s="4" t="s">
        <v>35</v>
      </c>
      <c r="H15" s="4" t="s">
        <v>170</v>
      </c>
      <c r="I15" s="10">
        <v>2.27</v>
      </c>
      <c r="J15" s="7">
        <f t="shared" si="2"/>
        <v>2.4500000000000002</v>
      </c>
      <c r="K15" s="8">
        <f t="shared" si="3"/>
        <v>1080</v>
      </c>
      <c r="L15" s="4" t="s">
        <v>65</v>
      </c>
      <c r="M15" s="4" t="s">
        <v>37</v>
      </c>
    </row>
    <row r="16" spans="1:13" ht="45" hidden="1" customHeight="1" x14ac:dyDescent="0.2">
      <c r="A16" s="4" t="s">
        <v>3</v>
      </c>
      <c r="B16" s="4" t="s">
        <v>5</v>
      </c>
      <c r="C16" s="4" t="s">
        <v>6</v>
      </c>
      <c r="D16" s="4" t="s">
        <v>31</v>
      </c>
      <c r="E16" s="4" t="s">
        <v>40</v>
      </c>
      <c r="F16" s="4" t="s">
        <v>35</v>
      </c>
      <c r="G16" s="4" t="s">
        <v>35</v>
      </c>
      <c r="H16" s="4" t="s">
        <v>35</v>
      </c>
      <c r="I16" s="10">
        <v>0</v>
      </c>
      <c r="J16" s="7">
        <f t="shared" si="2"/>
        <v>0</v>
      </c>
      <c r="K16" s="8">
        <f t="shared" si="3"/>
        <v>0</v>
      </c>
      <c r="L16" s="4" t="s">
        <v>65</v>
      </c>
      <c r="M16" s="4" t="s">
        <v>37</v>
      </c>
    </row>
    <row r="17" spans="1:13" ht="45" customHeight="1" x14ac:dyDescent="0.2">
      <c r="A17" s="4" t="s">
        <v>4</v>
      </c>
      <c r="B17" s="4" t="s">
        <v>66</v>
      </c>
      <c r="C17" s="4" t="s">
        <v>67</v>
      </c>
      <c r="D17" s="4" t="s">
        <v>31</v>
      </c>
      <c r="E17" s="4" t="s">
        <v>34</v>
      </c>
      <c r="F17" s="4" t="s">
        <v>35</v>
      </c>
      <c r="G17" s="4" t="s">
        <v>35</v>
      </c>
      <c r="H17" s="4" t="s">
        <v>41</v>
      </c>
      <c r="I17" s="10">
        <v>3</v>
      </c>
      <c r="J17" s="7">
        <f t="shared" si="2"/>
        <v>3</v>
      </c>
      <c r="K17" s="8">
        <f t="shared" si="3"/>
        <v>1300</v>
      </c>
      <c r="L17" s="4" t="s">
        <v>68</v>
      </c>
      <c r="M17" s="4" t="s">
        <v>37</v>
      </c>
    </row>
    <row r="18" spans="1:13" ht="45" customHeight="1" x14ac:dyDescent="0.2">
      <c r="A18" s="4" t="s">
        <v>3</v>
      </c>
      <c r="B18" s="4" t="s">
        <v>69</v>
      </c>
      <c r="C18" s="4" t="s">
        <v>70</v>
      </c>
      <c r="D18" s="4" t="s">
        <v>31</v>
      </c>
      <c r="E18" s="4" t="s">
        <v>34</v>
      </c>
      <c r="F18" s="4" t="s">
        <v>35</v>
      </c>
      <c r="G18" s="4" t="s">
        <v>35</v>
      </c>
      <c r="H18" s="4" t="s">
        <v>33</v>
      </c>
      <c r="I18" s="10">
        <v>2</v>
      </c>
      <c r="J18" s="7">
        <f t="shared" si="2"/>
        <v>2</v>
      </c>
      <c r="K18" s="8">
        <f t="shared" si="3"/>
        <v>900</v>
      </c>
      <c r="L18" s="4" t="s">
        <v>65</v>
      </c>
      <c r="M18" s="4" t="s">
        <v>37</v>
      </c>
    </row>
    <row r="19" spans="1:13" ht="45" hidden="1" customHeight="1" x14ac:dyDescent="0.2">
      <c r="A19" s="4" t="s">
        <v>4</v>
      </c>
      <c r="B19" s="4" t="s">
        <v>71</v>
      </c>
      <c r="C19" s="4" t="s">
        <v>72</v>
      </c>
      <c r="D19" s="4" t="s">
        <v>31</v>
      </c>
      <c r="E19" s="4" t="s">
        <v>73</v>
      </c>
      <c r="F19" s="4" t="s">
        <v>35</v>
      </c>
      <c r="G19" s="5" t="s">
        <v>74</v>
      </c>
      <c r="H19" s="4" t="s">
        <v>35</v>
      </c>
      <c r="I19" s="10">
        <v>0</v>
      </c>
      <c r="J19" s="7">
        <f t="shared" si="2"/>
        <v>0</v>
      </c>
      <c r="K19" s="8">
        <f t="shared" si="3"/>
        <v>0</v>
      </c>
      <c r="L19" s="4" t="s">
        <v>65</v>
      </c>
      <c r="M19" s="4" t="s">
        <v>75</v>
      </c>
    </row>
    <row r="20" spans="1:13" ht="45" customHeight="1" x14ac:dyDescent="0.2">
      <c r="A20" s="4" t="s">
        <v>4</v>
      </c>
      <c r="B20" s="4" t="s">
        <v>76</v>
      </c>
      <c r="C20" s="4" t="s">
        <v>77</v>
      </c>
      <c r="D20" s="4" t="s">
        <v>31</v>
      </c>
      <c r="E20" s="4" t="s">
        <v>34</v>
      </c>
      <c r="F20" s="4" t="s">
        <v>35</v>
      </c>
      <c r="G20" s="4" t="s">
        <v>35</v>
      </c>
      <c r="H20" s="4" t="s">
        <v>33</v>
      </c>
      <c r="I20" s="10">
        <v>2</v>
      </c>
      <c r="J20" s="7">
        <f t="shared" si="2"/>
        <v>2</v>
      </c>
      <c r="K20" s="8">
        <f t="shared" si="3"/>
        <v>900</v>
      </c>
      <c r="L20" s="4" t="s">
        <v>78</v>
      </c>
      <c r="M20" s="4" t="s">
        <v>37</v>
      </c>
    </row>
    <row r="21" spans="1:13" ht="45" hidden="1" customHeight="1" x14ac:dyDescent="0.2">
      <c r="A21" s="4" t="s">
        <v>3</v>
      </c>
      <c r="B21" s="4" t="s">
        <v>79</v>
      </c>
      <c r="C21" s="4" t="s">
        <v>80</v>
      </c>
      <c r="D21" s="5" t="s">
        <v>34</v>
      </c>
      <c r="E21" s="4" t="s">
        <v>81</v>
      </c>
      <c r="F21" s="5" t="s">
        <v>41</v>
      </c>
      <c r="G21" s="4" t="s">
        <v>35</v>
      </c>
      <c r="H21" s="4" t="s">
        <v>35</v>
      </c>
      <c r="I21" s="10">
        <v>0</v>
      </c>
      <c r="J21" s="7">
        <f t="shared" si="2"/>
        <v>0</v>
      </c>
      <c r="K21" s="8">
        <f t="shared" si="3"/>
        <v>0</v>
      </c>
      <c r="L21" s="4" t="s">
        <v>42</v>
      </c>
      <c r="M21" s="4" t="s">
        <v>37</v>
      </c>
    </row>
    <row r="22" spans="1:13" ht="45" hidden="1" customHeight="1" x14ac:dyDescent="0.2">
      <c r="A22" s="4" t="s">
        <v>3</v>
      </c>
      <c r="B22" s="4" t="s">
        <v>82</v>
      </c>
      <c r="C22" s="4" t="s">
        <v>83</v>
      </c>
      <c r="D22" s="4" t="s">
        <v>31</v>
      </c>
      <c r="E22" s="4" t="s">
        <v>31</v>
      </c>
      <c r="F22" s="4" t="s">
        <v>35</v>
      </c>
      <c r="G22" s="4" t="s">
        <v>35</v>
      </c>
      <c r="H22" s="4" t="s">
        <v>35</v>
      </c>
      <c r="I22" s="10">
        <v>0</v>
      </c>
      <c r="J22" s="7">
        <f t="shared" si="2"/>
        <v>0</v>
      </c>
      <c r="K22" s="8">
        <f t="shared" si="3"/>
        <v>0</v>
      </c>
      <c r="L22" s="4" t="s">
        <v>84</v>
      </c>
      <c r="M22" s="4" t="s">
        <v>37</v>
      </c>
    </row>
    <row r="23" spans="1:13" ht="45" customHeight="1" x14ac:dyDescent="0.2">
      <c r="A23" s="4" t="s">
        <v>4</v>
      </c>
      <c r="B23" s="4" t="s">
        <v>85</v>
      </c>
      <c r="C23" s="4" t="s">
        <v>86</v>
      </c>
      <c r="D23" s="4" t="s">
        <v>31</v>
      </c>
      <c r="E23" s="4" t="s">
        <v>87</v>
      </c>
      <c r="F23" s="4" t="s">
        <v>35</v>
      </c>
      <c r="G23" s="4" t="s">
        <v>35</v>
      </c>
      <c r="H23" s="4" t="s">
        <v>171</v>
      </c>
      <c r="I23" s="10">
        <v>4.24</v>
      </c>
      <c r="J23" s="7">
        <f t="shared" si="2"/>
        <v>4.4000000000000004</v>
      </c>
      <c r="K23" s="8">
        <f t="shared" si="3"/>
        <v>1860.0000000000002</v>
      </c>
      <c r="L23" s="4" t="s">
        <v>68</v>
      </c>
      <c r="M23" s="4" t="s">
        <v>37</v>
      </c>
    </row>
    <row r="24" spans="1:13" ht="45" hidden="1" customHeight="1" x14ac:dyDescent="0.2">
      <c r="A24" s="4" t="s">
        <v>3</v>
      </c>
      <c r="B24" s="4" t="s">
        <v>88</v>
      </c>
      <c r="C24" s="4" t="s">
        <v>89</v>
      </c>
      <c r="D24" s="4" t="s">
        <v>31</v>
      </c>
      <c r="E24" s="4" t="s">
        <v>31</v>
      </c>
      <c r="F24" s="4" t="s">
        <v>35</v>
      </c>
      <c r="G24" s="4" t="s">
        <v>35</v>
      </c>
      <c r="H24" s="4" t="s">
        <v>35</v>
      </c>
      <c r="I24" s="10">
        <v>0</v>
      </c>
      <c r="J24" s="7">
        <f t="shared" si="2"/>
        <v>0</v>
      </c>
      <c r="K24" s="8">
        <f t="shared" si="3"/>
        <v>0</v>
      </c>
      <c r="L24" s="4" t="s">
        <v>90</v>
      </c>
      <c r="M24" s="4" t="s">
        <v>37</v>
      </c>
    </row>
    <row r="25" spans="1:13" ht="45" hidden="1" customHeight="1" x14ac:dyDescent="0.2">
      <c r="A25" s="4" t="s">
        <v>3</v>
      </c>
      <c r="B25" s="4" t="s">
        <v>91</v>
      </c>
      <c r="C25" s="4" t="s">
        <v>92</v>
      </c>
      <c r="D25" s="4" t="s">
        <v>31</v>
      </c>
      <c r="E25" s="4" t="s">
        <v>40</v>
      </c>
      <c r="F25" s="4" t="s">
        <v>35</v>
      </c>
      <c r="G25" s="4" t="s">
        <v>35</v>
      </c>
      <c r="H25" s="4" t="s">
        <v>35</v>
      </c>
      <c r="I25" s="10">
        <v>0</v>
      </c>
      <c r="J25" s="7">
        <f t="shared" si="2"/>
        <v>0</v>
      </c>
      <c r="K25" s="8">
        <f t="shared" si="3"/>
        <v>0</v>
      </c>
      <c r="L25" s="4" t="s">
        <v>84</v>
      </c>
      <c r="M25" s="4" t="s">
        <v>37</v>
      </c>
    </row>
    <row r="26" spans="1:13" x14ac:dyDescent="0.2">
      <c r="A26" s="1" t="s">
        <v>3</v>
      </c>
      <c r="B26" s="1" t="s">
        <v>93</v>
      </c>
      <c r="C26" s="1" t="s">
        <v>22</v>
      </c>
      <c r="D26" s="2" t="s">
        <v>94</v>
      </c>
      <c r="E26" s="1" t="s">
        <v>94</v>
      </c>
      <c r="F26" s="1" t="s">
        <v>35</v>
      </c>
      <c r="G26" s="1" t="s">
        <v>35</v>
      </c>
      <c r="H26" s="1" t="s">
        <v>35</v>
      </c>
      <c r="I26" s="1"/>
      <c r="J26" s="1"/>
      <c r="K26" s="1"/>
      <c r="L26" s="1" t="s">
        <v>65</v>
      </c>
      <c r="M26" s="1" t="s">
        <v>37</v>
      </c>
    </row>
    <row r="27" spans="1:13" ht="45" hidden="1" customHeight="1" x14ac:dyDescent="0.2">
      <c r="A27" s="4" t="s">
        <v>3</v>
      </c>
      <c r="B27" s="4" t="s">
        <v>11</v>
      </c>
      <c r="C27" s="4" t="s">
        <v>12</v>
      </c>
      <c r="D27" s="4" t="s">
        <v>31</v>
      </c>
      <c r="E27" s="4" t="s">
        <v>31</v>
      </c>
      <c r="F27" s="4" t="s">
        <v>35</v>
      </c>
      <c r="G27" s="4" t="s">
        <v>35</v>
      </c>
      <c r="H27" s="4" t="s">
        <v>35</v>
      </c>
      <c r="I27" s="10">
        <v>0</v>
      </c>
      <c r="J27" s="7">
        <f t="shared" ref="J27:J34" si="4">TRUNC(I27)+MOD(I27,1)/0.6</f>
        <v>0</v>
      </c>
      <c r="K27" s="8">
        <f t="shared" ref="K27:K34" si="5">IF(J27&lt;=1,J27*500,500+(J27-1)*400)</f>
        <v>0</v>
      </c>
      <c r="L27" s="4" t="s">
        <v>84</v>
      </c>
      <c r="M27" s="4" t="s">
        <v>37</v>
      </c>
    </row>
    <row r="28" spans="1:13" ht="45" customHeight="1" x14ac:dyDescent="0.2">
      <c r="A28" s="4" t="s">
        <v>3</v>
      </c>
      <c r="B28" s="4" t="s">
        <v>95</v>
      </c>
      <c r="C28" s="4" t="s">
        <v>96</v>
      </c>
      <c r="D28" s="4" t="s">
        <v>31</v>
      </c>
      <c r="E28" s="4" t="s">
        <v>34</v>
      </c>
      <c r="F28" s="4" t="s">
        <v>35</v>
      </c>
      <c r="G28" s="4" t="s">
        <v>35</v>
      </c>
      <c r="H28" s="4" t="s">
        <v>41</v>
      </c>
      <c r="I28" s="10">
        <v>3</v>
      </c>
      <c r="J28" s="7">
        <v>5</v>
      </c>
      <c r="K28" s="8">
        <f t="shared" si="5"/>
        <v>2100</v>
      </c>
      <c r="L28" s="4" t="s">
        <v>36</v>
      </c>
      <c r="M28" s="4" t="s">
        <v>37</v>
      </c>
    </row>
    <row r="29" spans="1:13" ht="45" customHeight="1" x14ac:dyDescent="0.2">
      <c r="A29" s="4" t="s">
        <v>3</v>
      </c>
      <c r="B29" s="4" t="s">
        <v>21</v>
      </c>
      <c r="C29" s="4" t="s">
        <v>97</v>
      </c>
      <c r="D29" s="4" t="s">
        <v>31</v>
      </c>
      <c r="E29" s="4" t="s">
        <v>32</v>
      </c>
      <c r="F29" s="4" t="s">
        <v>35</v>
      </c>
      <c r="G29" s="4" t="s">
        <v>35</v>
      </c>
      <c r="H29" s="4" t="s">
        <v>172</v>
      </c>
      <c r="I29" s="10">
        <v>2.2999999999999998</v>
      </c>
      <c r="J29" s="7">
        <f t="shared" si="4"/>
        <v>2.4999999999999996</v>
      </c>
      <c r="K29" s="8">
        <f t="shared" si="5"/>
        <v>1099.9999999999998</v>
      </c>
      <c r="L29" s="4" t="s">
        <v>65</v>
      </c>
      <c r="M29" s="4" t="s">
        <v>37</v>
      </c>
    </row>
    <row r="30" spans="1:13" ht="45" hidden="1" customHeight="1" x14ac:dyDescent="0.2">
      <c r="A30" s="4" t="s">
        <v>4</v>
      </c>
      <c r="B30" s="4" t="s">
        <v>13</v>
      </c>
      <c r="C30" s="4" t="s">
        <v>14</v>
      </c>
      <c r="D30" s="4" t="s">
        <v>31</v>
      </c>
      <c r="E30" s="4" t="s">
        <v>31</v>
      </c>
      <c r="F30" s="4" t="s">
        <v>35</v>
      </c>
      <c r="G30" s="4" t="s">
        <v>35</v>
      </c>
      <c r="H30" s="4" t="s">
        <v>35</v>
      </c>
      <c r="I30" s="10">
        <v>0</v>
      </c>
      <c r="J30" s="7">
        <f t="shared" si="4"/>
        <v>0</v>
      </c>
      <c r="K30" s="8">
        <f t="shared" si="5"/>
        <v>0</v>
      </c>
      <c r="L30" s="4" t="s">
        <v>65</v>
      </c>
      <c r="M30" s="4" t="s">
        <v>37</v>
      </c>
    </row>
    <row r="31" spans="1:13" ht="45" customHeight="1" x14ac:dyDescent="0.2">
      <c r="A31" s="4" t="s">
        <v>3</v>
      </c>
      <c r="B31" s="4" t="s">
        <v>98</v>
      </c>
      <c r="C31" s="4" t="s">
        <v>99</v>
      </c>
      <c r="D31" s="4" t="s">
        <v>31</v>
      </c>
      <c r="E31" s="4" t="s">
        <v>32</v>
      </c>
      <c r="F31" s="4" t="s">
        <v>35</v>
      </c>
      <c r="G31" s="4" t="s">
        <v>35</v>
      </c>
      <c r="H31" s="4" t="s">
        <v>33</v>
      </c>
      <c r="I31" s="10">
        <v>2</v>
      </c>
      <c r="J31" s="7">
        <v>4</v>
      </c>
      <c r="K31" s="8">
        <f t="shared" si="5"/>
        <v>1700</v>
      </c>
      <c r="L31" s="4" t="s">
        <v>36</v>
      </c>
      <c r="M31" s="4" t="s">
        <v>37</v>
      </c>
    </row>
    <row r="32" spans="1:13" ht="45" customHeight="1" x14ac:dyDescent="0.2">
      <c r="A32" s="4" t="s">
        <v>3</v>
      </c>
      <c r="B32" s="4" t="s">
        <v>100</v>
      </c>
      <c r="C32" s="4" t="s">
        <v>101</v>
      </c>
      <c r="D32" s="4" t="s">
        <v>31</v>
      </c>
      <c r="E32" s="4" t="s">
        <v>102</v>
      </c>
      <c r="F32" s="4" t="s">
        <v>35</v>
      </c>
      <c r="G32" s="4" t="s">
        <v>35</v>
      </c>
      <c r="H32" s="4" t="s">
        <v>174</v>
      </c>
      <c r="I32" s="10">
        <v>4.3</v>
      </c>
      <c r="J32" s="14">
        <f t="shared" si="4"/>
        <v>4.5</v>
      </c>
      <c r="K32" s="8">
        <f t="shared" si="5"/>
        <v>1900</v>
      </c>
      <c r="L32" s="4" t="s">
        <v>65</v>
      </c>
      <c r="M32" s="4" t="s">
        <v>37</v>
      </c>
    </row>
    <row r="33" spans="1:13" ht="45" customHeight="1" x14ac:dyDescent="0.2">
      <c r="A33" s="4" t="s">
        <v>4</v>
      </c>
      <c r="B33" s="4" t="s">
        <v>104</v>
      </c>
      <c r="C33" s="4" t="s">
        <v>105</v>
      </c>
      <c r="D33" s="5" t="s">
        <v>34</v>
      </c>
      <c r="E33" s="4" t="s">
        <v>34</v>
      </c>
      <c r="F33" s="5" t="s">
        <v>41</v>
      </c>
      <c r="G33" s="4" t="s">
        <v>35</v>
      </c>
      <c r="H33" s="4" t="s">
        <v>131</v>
      </c>
      <c r="I33" s="10">
        <v>1</v>
      </c>
      <c r="J33" s="7">
        <f t="shared" si="4"/>
        <v>1</v>
      </c>
      <c r="K33" s="8">
        <f t="shared" si="5"/>
        <v>500</v>
      </c>
      <c r="L33" s="4" t="s">
        <v>42</v>
      </c>
      <c r="M33" s="4" t="s">
        <v>37</v>
      </c>
    </row>
    <row r="34" spans="1:13" ht="45" customHeight="1" x14ac:dyDescent="0.2">
      <c r="A34" s="4" t="s">
        <v>3</v>
      </c>
      <c r="B34" s="4" t="s">
        <v>106</v>
      </c>
      <c r="C34" s="4" t="s">
        <v>107</v>
      </c>
      <c r="D34" s="4" t="s">
        <v>31</v>
      </c>
      <c r="E34" s="4" t="s">
        <v>45</v>
      </c>
      <c r="F34" s="4" t="s">
        <v>35</v>
      </c>
      <c r="G34" s="4" t="s">
        <v>35</v>
      </c>
      <c r="H34" s="4" t="s">
        <v>41</v>
      </c>
      <c r="I34" s="10">
        <v>3</v>
      </c>
      <c r="J34" s="7">
        <f t="shared" si="4"/>
        <v>3</v>
      </c>
      <c r="K34" s="8">
        <f t="shared" si="5"/>
        <v>1300</v>
      </c>
      <c r="L34" s="4" t="s">
        <v>46</v>
      </c>
      <c r="M34" s="4" t="s">
        <v>37</v>
      </c>
    </row>
    <row r="35" spans="1:13" x14ac:dyDescent="0.2">
      <c r="A35" s="1" t="s">
        <v>4</v>
      </c>
      <c r="B35" s="1" t="s">
        <v>108</v>
      </c>
      <c r="C35" s="1" t="s">
        <v>109</v>
      </c>
      <c r="D35" s="2" t="s">
        <v>110</v>
      </c>
      <c r="E35" s="1" t="s">
        <v>110</v>
      </c>
      <c r="F35" s="1" t="s">
        <v>35</v>
      </c>
      <c r="G35" s="1" t="s">
        <v>35</v>
      </c>
      <c r="H35" s="1" t="s">
        <v>35</v>
      </c>
      <c r="I35" s="1"/>
      <c r="J35" s="1"/>
      <c r="K35" s="1"/>
      <c r="L35" s="1" t="s">
        <v>111</v>
      </c>
      <c r="M35" s="1" t="s">
        <v>37</v>
      </c>
    </row>
    <row r="36" spans="1:13" x14ac:dyDescent="0.2">
      <c r="A36" s="1"/>
      <c r="B36" s="1" t="s">
        <v>112</v>
      </c>
      <c r="C36" s="1" t="s">
        <v>112</v>
      </c>
      <c r="D36" s="2" t="s">
        <v>113</v>
      </c>
      <c r="E36" s="1" t="s">
        <v>113</v>
      </c>
      <c r="F36" s="1" t="s">
        <v>35</v>
      </c>
      <c r="G36" s="1" t="s">
        <v>35</v>
      </c>
      <c r="H36" s="1" t="s">
        <v>35</v>
      </c>
      <c r="I36" s="1"/>
      <c r="J36" s="1"/>
      <c r="K36" s="1"/>
      <c r="L36" s="1" t="s">
        <v>90</v>
      </c>
      <c r="M36" s="1" t="s">
        <v>37</v>
      </c>
    </row>
    <row r="37" spans="1:13" x14ac:dyDescent="0.2">
      <c r="A37" s="1" t="s">
        <v>3</v>
      </c>
      <c r="B37" s="1" t="s">
        <v>15</v>
      </c>
      <c r="C37" s="1" t="s">
        <v>16</v>
      </c>
      <c r="D37" s="2" t="s">
        <v>113</v>
      </c>
      <c r="E37" s="1" t="s">
        <v>113</v>
      </c>
      <c r="F37" s="1" t="s">
        <v>35</v>
      </c>
      <c r="G37" s="1" t="s">
        <v>35</v>
      </c>
      <c r="H37" s="1" t="s">
        <v>35</v>
      </c>
      <c r="I37" s="1"/>
      <c r="J37" s="1"/>
      <c r="K37" s="1"/>
      <c r="L37" s="1" t="s">
        <v>114</v>
      </c>
      <c r="M37" s="1" t="s">
        <v>37</v>
      </c>
    </row>
    <row r="38" spans="1:13" x14ac:dyDescent="0.2">
      <c r="A38" s="1" t="s">
        <v>3</v>
      </c>
      <c r="B38" s="1" t="s">
        <v>115</v>
      </c>
      <c r="C38" s="1" t="s">
        <v>116</v>
      </c>
      <c r="D38" s="2" t="s">
        <v>117</v>
      </c>
      <c r="E38" s="1" t="s">
        <v>117</v>
      </c>
      <c r="F38" s="1" t="s">
        <v>35</v>
      </c>
      <c r="G38" s="1" t="s">
        <v>35</v>
      </c>
      <c r="H38" s="1" t="s">
        <v>35</v>
      </c>
      <c r="I38" s="1"/>
      <c r="J38" s="1"/>
      <c r="K38" s="1"/>
      <c r="L38" s="1" t="s">
        <v>114</v>
      </c>
      <c r="M38" s="1" t="s">
        <v>37</v>
      </c>
    </row>
    <row r="39" spans="1:13" ht="45" customHeight="1" x14ac:dyDescent="0.2">
      <c r="A39" s="4" t="s">
        <v>3</v>
      </c>
      <c r="B39" s="4" t="s">
        <v>118</v>
      </c>
      <c r="C39" s="4" t="s">
        <v>119</v>
      </c>
      <c r="D39" s="4" t="s">
        <v>31</v>
      </c>
      <c r="E39" s="4" t="s">
        <v>34</v>
      </c>
      <c r="F39" s="4" t="s">
        <v>35</v>
      </c>
      <c r="G39" s="4" t="s">
        <v>35</v>
      </c>
      <c r="H39" s="4" t="s">
        <v>33</v>
      </c>
      <c r="I39" s="10">
        <v>2</v>
      </c>
      <c r="J39" s="7">
        <f t="shared" ref="J39:J47" si="6">TRUNC(I39)+MOD(I39,1)/0.6</f>
        <v>2</v>
      </c>
      <c r="K39" s="8">
        <f t="shared" ref="K39:K47" si="7">IF(J39&lt;=1,J39*500,500+(J39-1)*400)</f>
        <v>900</v>
      </c>
      <c r="L39" s="4" t="s">
        <v>36</v>
      </c>
      <c r="M39" s="4" t="s">
        <v>37</v>
      </c>
    </row>
    <row r="40" spans="1:13" ht="45" customHeight="1" x14ac:dyDescent="0.2">
      <c r="A40" s="4" t="s">
        <v>3</v>
      </c>
      <c r="B40" s="4" t="s">
        <v>120</v>
      </c>
      <c r="C40" s="4" t="s">
        <v>121</v>
      </c>
      <c r="D40" s="4" t="s">
        <v>31</v>
      </c>
      <c r="E40" s="4" t="s">
        <v>122</v>
      </c>
      <c r="F40" s="4" t="s">
        <v>35</v>
      </c>
      <c r="G40" s="4" t="s">
        <v>35</v>
      </c>
      <c r="H40" s="4" t="s">
        <v>175</v>
      </c>
      <c r="I40" s="10">
        <v>3.51</v>
      </c>
      <c r="J40" s="7">
        <f t="shared" si="6"/>
        <v>3.8499999999999996</v>
      </c>
      <c r="K40" s="8">
        <f t="shared" si="7"/>
        <v>1639.9999999999998</v>
      </c>
      <c r="L40" s="4" t="s">
        <v>52</v>
      </c>
      <c r="M40" s="4" t="s">
        <v>37</v>
      </c>
    </row>
    <row r="41" spans="1:13" ht="45" hidden="1" customHeight="1" x14ac:dyDescent="0.2">
      <c r="A41" s="4" t="s">
        <v>123</v>
      </c>
      <c r="B41" s="4" t="s">
        <v>124</v>
      </c>
      <c r="C41" s="4" t="s">
        <v>125</v>
      </c>
      <c r="D41" s="5" t="s">
        <v>34</v>
      </c>
      <c r="E41" s="4" t="s">
        <v>81</v>
      </c>
      <c r="F41" s="5" t="s">
        <v>41</v>
      </c>
      <c r="G41" s="4" t="s">
        <v>35</v>
      </c>
      <c r="H41" s="4" t="s">
        <v>35</v>
      </c>
      <c r="I41" s="10">
        <v>0</v>
      </c>
      <c r="J41" s="7">
        <f t="shared" si="6"/>
        <v>0</v>
      </c>
      <c r="K41" s="8">
        <f t="shared" si="7"/>
        <v>0</v>
      </c>
      <c r="L41" s="4" t="s">
        <v>42</v>
      </c>
      <c r="M41" s="4" t="s">
        <v>37</v>
      </c>
    </row>
    <row r="42" spans="1:13" ht="45" customHeight="1" x14ac:dyDescent="0.2">
      <c r="A42" s="4" t="s">
        <v>3</v>
      </c>
      <c r="B42" s="4" t="s">
        <v>126</v>
      </c>
      <c r="C42" s="4" t="s">
        <v>127</v>
      </c>
      <c r="D42" s="4" t="s">
        <v>31</v>
      </c>
      <c r="E42" s="4" t="s">
        <v>32</v>
      </c>
      <c r="F42" s="4" t="s">
        <v>35</v>
      </c>
      <c r="G42" s="4" t="s">
        <v>35</v>
      </c>
      <c r="H42" s="4" t="s">
        <v>172</v>
      </c>
      <c r="I42" s="10">
        <v>2.2999999999999998</v>
      </c>
      <c r="J42" s="14">
        <f t="shared" si="6"/>
        <v>2.4999999999999996</v>
      </c>
      <c r="K42" s="8">
        <f t="shared" si="7"/>
        <v>1099.9999999999998</v>
      </c>
      <c r="L42" s="4" t="s">
        <v>78</v>
      </c>
      <c r="M42" s="4" t="s">
        <v>37</v>
      </c>
    </row>
    <row r="43" spans="1:13" ht="45" customHeight="1" x14ac:dyDescent="0.2">
      <c r="A43" s="4" t="s">
        <v>3</v>
      </c>
      <c r="B43" s="4" t="s">
        <v>128</v>
      </c>
      <c r="C43" s="4" t="s">
        <v>129</v>
      </c>
      <c r="D43" s="4" t="s">
        <v>31</v>
      </c>
      <c r="E43" s="4" t="s">
        <v>45</v>
      </c>
      <c r="F43" s="4" t="s">
        <v>35</v>
      </c>
      <c r="G43" s="4" t="s">
        <v>35</v>
      </c>
      <c r="H43" s="4" t="s">
        <v>176</v>
      </c>
      <c r="I43" s="10">
        <v>4</v>
      </c>
      <c r="J43" s="7">
        <f t="shared" si="6"/>
        <v>4</v>
      </c>
      <c r="K43" s="8">
        <f t="shared" si="7"/>
        <v>1700</v>
      </c>
      <c r="L43" s="4" t="s">
        <v>65</v>
      </c>
      <c r="M43" s="4" t="s">
        <v>37</v>
      </c>
    </row>
    <row r="44" spans="1:13" ht="45" customHeight="1" x14ac:dyDescent="0.2">
      <c r="A44" s="4" t="s">
        <v>3</v>
      </c>
      <c r="B44" s="4" t="s">
        <v>20</v>
      </c>
      <c r="C44" s="4" t="s">
        <v>130</v>
      </c>
      <c r="D44" s="4" t="s">
        <v>31</v>
      </c>
      <c r="E44" s="4" t="s">
        <v>122</v>
      </c>
      <c r="F44" s="4" t="s">
        <v>35</v>
      </c>
      <c r="G44" s="4" t="s">
        <v>35</v>
      </c>
      <c r="H44" s="4" t="s">
        <v>177</v>
      </c>
      <c r="I44" s="10">
        <v>4.0599999999999996</v>
      </c>
      <c r="J44" s="7">
        <f t="shared" si="6"/>
        <v>4.0999999999999996</v>
      </c>
      <c r="K44" s="8">
        <f t="shared" si="7"/>
        <v>1739.9999999999998</v>
      </c>
      <c r="L44" s="4" t="s">
        <v>46</v>
      </c>
      <c r="M44" s="4" t="s">
        <v>37</v>
      </c>
    </row>
    <row r="45" spans="1:13" ht="45" customHeight="1" x14ac:dyDescent="0.2">
      <c r="A45" s="4" t="s">
        <v>3</v>
      </c>
      <c r="B45" s="4" t="s">
        <v>132</v>
      </c>
      <c r="C45" s="4" t="s">
        <v>133</v>
      </c>
      <c r="D45" s="4" t="s">
        <v>31</v>
      </c>
      <c r="E45" s="4" t="s">
        <v>31</v>
      </c>
      <c r="F45" s="4" t="s">
        <v>35</v>
      </c>
      <c r="G45" s="4" t="s">
        <v>35</v>
      </c>
      <c r="H45" s="4" t="s">
        <v>178</v>
      </c>
      <c r="I45" s="10">
        <v>0.36</v>
      </c>
      <c r="J45" s="7">
        <f t="shared" si="6"/>
        <v>0.6</v>
      </c>
      <c r="K45" s="8">
        <f t="shared" si="7"/>
        <v>300</v>
      </c>
      <c r="L45" s="4" t="s">
        <v>134</v>
      </c>
      <c r="M45" s="4" t="s">
        <v>37</v>
      </c>
    </row>
    <row r="46" spans="1:13" ht="45" customHeight="1" x14ac:dyDescent="0.2">
      <c r="A46" s="4" t="s">
        <v>4</v>
      </c>
      <c r="B46" s="4" t="s">
        <v>135</v>
      </c>
      <c r="C46" s="4" t="s">
        <v>136</v>
      </c>
      <c r="D46" s="4" t="s">
        <v>31</v>
      </c>
      <c r="E46" s="4" t="s">
        <v>32</v>
      </c>
      <c r="F46" s="4" t="s">
        <v>35</v>
      </c>
      <c r="G46" s="4" t="s">
        <v>35</v>
      </c>
      <c r="H46" s="4" t="s">
        <v>179</v>
      </c>
      <c r="I46" s="10">
        <v>3.3</v>
      </c>
      <c r="J46" s="7">
        <f t="shared" si="6"/>
        <v>3.4999999999999996</v>
      </c>
      <c r="K46" s="8">
        <f t="shared" si="7"/>
        <v>1499.9999999999998</v>
      </c>
      <c r="L46" s="4" t="s">
        <v>36</v>
      </c>
      <c r="M46" s="4" t="s">
        <v>37</v>
      </c>
    </row>
    <row r="47" spans="1:13" ht="45" customHeight="1" x14ac:dyDescent="0.2">
      <c r="A47" s="4" t="s">
        <v>123</v>
      </c>
      <c r="B47" s="4" t="s">
        <v>137</v>
      </c>
      <c r="C47" s="4" t="s">
        <v>19</v>
      </c>
      <c r="D47" s="4" t="s">
        <v>31</v>
      </c>
      <c r="E47" s="4" t="s">
        <v>31</v>
      </c>
      <c r="F47" s="4" t="s">
        <v>35</v>
      </c>
      <c r="G47" s="4" t="s">
        <v>35</v>
      </c>
      <c r="H47" s="4" t="s">
        <v>131</v>
      </c>
      <c r="I47" s="10">
        <v>1</v>
      </c>
      <c r="J47" s="7">
        <f t="shared" si="6"/>
        <v>1</v>
      </c>
      <c r="K47" s="8">
        <f t="shared" si="7"/>
        <v>500</v>
      </c>
      <c r="L47" s="4" t="s">
        <v>59</v>
      </c>
      <c r="M47" s="4" t="s">
        <v>37</v>
      </c>
    </row>
    <row r="48" spans="1:13" x14ac:dyDescent="0.2">
      <c r="A48" s="1" t="s">
        <v>3</v>
      </c>
      <c r="B48" s="1" t="s">
        <v>7</v>
      </c>
      <c r="C48" s="1" t="s">
        <v>8</v>
      </c>
      <c r="D48" s="2" t="s">
        <v>113</v>
      </c>
      <c r="E48" s="1" t="s">
        <v>113</v>
      </c>
      <c r="F48" s="1" t="s">
        <v>35</v>
      </c>
      <c r="G48" s="1" t="s">
        <v>35</v>
      </c>
      <c r="H48" s="1" t="s">
        <v>35</v>
      </c>
      <c r="I48" s="1"/>
      <c r="J48" s="1"/>
      <c r="K48" s="1"/>
      <c r="L48" s="1" t="s">
        <v>84</v>
      </c>
      <c r="M48" s="1" t="s">
        <v>37</v>
      </c>
    </row>
    <row r="49" spans="1:13" ht="45" customHeight="1" x14ac:dyDescent="0.2">
      <c r="A49" s="4" t="s">
        <v>3</v>
      </c>
      <c r="B49" s="4" t="s">
        <v>138</v>
      </c>
      <c r="C49" s="4" t="s">
        <v>139</v>
      </c>
      <c r="D49" s="4" t="s">
        <v>31</v>
      </c>
      <c r="E49" s="4" t="s">
        <v>87</v>
      </c>
      <c r="F49" s="4" t="s">
        <v>35</v>
      </c>
      <c r="G49" s="4" t="s">
        <v>35</v>
      </c>
      <c r="H49" s="4" t="s">
        <v>173</v>
      </c>
      <c r="I49" s="10">
        <v>5</v>
      </c>
      <c r="J49" s="7">
        <f t="shared" ref="J49:J50" si="8">TRUNC(I49)+MOD(I49,1)/0.6</f>
        <v>5</v>
      </c>
      <c r="K49" s="8">
        <f t="shared" ref="K49:K50" si="9">IF(J49&lt;=1,J49*500,500+(J49-1)*400)</f>
        <v>2100</v>
      </c>
      <c r="L49" s="4" t="s">
        <v>68</v>
      </c>
      <c r="M49" s="4" t="s">
        <v>37</v>
      </c>
    </row>
    <row r="50" spans="1:13" ht="45" customHeight="1" x14ac:dyDescent="0.2">
      <c r="A50" s="4" t="s">
        <v>3</v>
      </c>
      <c r="B50" s="4" t="s">
        <v>140</v>
      </c>
      <c r="C50" s="4" t="s">
        <v>141</v>
      </c>
      <c r="D50" s="4" t="s">
        <v>31</v>
      </c>
      <c r="E50" s="4" t="s">
        <v>32</v>
      </c>
      <c r="F50" s="4" t="s">
        <v>35</v>
      </c>
      <c r="G50" s="4" t="s">
        <v>35</v>
      </c>
      <c r="H50" s="4" t="s">
        <v>172</v>
      </c>
      <c r="I50" s="10">
        <v>2.2999999999999998</v>
      </c>
      <c r="J50" s="7">
        <f t="shared" si="8"/>
        <v>2.4999999999999996</v>
      </c>
      <c r="K50" s="8">
        <f t="shared" si="9"/>
        <v>1099.9999999999998</v>
      </c>
      <c r="L50" s="4" t="s">
        <v>46</v>
      </c>
      <c r="M50" s="4" t="s">
        <v>37</v>
      </c>
    </row>
    <row r="51" spans="1:13" x14ac:dyDescent="0.2">
      <c r="A51" s="1" t="s">
        <v>3</v>
      </c>
      <c r="B51" s="1" t="s">
        <v>142</v>
      </c>
      <c r="C51" s="1" t="s">
        <v>143</v>
      </c>
      <c r="D51" s="2" t="s">
        <v>113</v>
      </c>
      <c r="E51" s="1" t="s">
        <v>113</v>
      </c>
      <c r="F51" s="1" t="s">
        <v>35</v>
      </c>
      <c r="G51" s="1" t="s">
        <v>35</v>
      </c>
      <c r="H51" s="1" t="s">
        <v>35</v>
      </c>
      <c r="I51" s="1"/>
      <c r="J51" s="1"/>
      <c r="K51" s="1"/>
      <c r="L51" s="1" t="s">
        <v>90</v>
      </c>
      <c r="M51" s="1" t="s">
        <v>37</v>
      </c>
    </row>
    <row r="52" spans="1:13" ht="45" customHeight="1" x14ac:dyDescent="0.2">
      <c r="A52" s="4" t="s">
        <v>3</v>
      </c>
      <c r="B52" s="4" t="s">
        <v>144</v>
      </c>
      <c r="C52" s="4" t="s">
        <v>145</v>
      </c>
      <c r="D52" s="4" t="s">
        <v>31</v>
      </c>
      <c r="E52" s="4" t="s">
        <v>45</v>
      </c>
      <c r="F52" s="4" t="s">
        <v>35</v>
      </c>
      <c r="G52" s="4" t="s">
        <v>35</v>
      </c>
      <c r="H52" s="4" t="s">
        <v>41</v>
      </c>
      <c r="I52" s="10">
        <v>3</v>
      </c>
      <c r="J52" s="7">
        <f t="shared" ref="J52:J56" si="10">TRUNC(I52)+MOD(I52,1)/0.6</f>
        <v>3</v>
      </c>
      <c r="K52" s="8">
        <f t="shared" ref="K52:K57" si="11">IF(J52&lt;=1,J52*500,500+(J52-1)*400)</f>
        <v>1300</v>
      </c>
      <c r="L52" s="4" t="s">
        <v>68</v>
      </c>
      <c r="M52" s="4" t="s">
        <v>37</v>
      </c>
    </row>
    <row r="53" spans="1:13" ht="45" customHeight="1" x14ac:dyDescent="0.2">
      <c r="A53" s="4" t="s">
        <v>3</v>
      </c>
      <c r="B53" s="4" t="s">
        <v>9</v>
      </c>
      <c r="C53" s="4" t="s">
        <v>10</v>
      </c>
      <c r="D53" s="4" t="s">
        <v>31</v>
      </c>
      <c r="E53" s="4" t="s">
        <v>51</v>
      </c>
      <c r="F53" s="4" t="s">
        <v>35</v>
      </c>
      <c r="G53" s="4" t="s">
        <v>35</v>
      </c>
      <c r="H53" s="4" t="s">
        <v>167</v>
      </c>
      <c r="I53" s="10">
        <v>1.3</v>
      </c>
      <c r="J53" s="7">
        <v>1</v>
      </c>
      <c r="K53" s="8">
        <f t="shared" si="11"/>
        <v>500</v>
      </c>
      <c r="L53" s="4" t="s">
        <v>36</v>
      </c>
      <c r="M53" s="4" t="s">
        <v>37</v>
      </c>
    </row>
    <row r="54" spans="1:13" ht="45" customHeight="1" x14ac:dyDescent="0.2">
      <c r="A54" s="4" t="s">
        <v>3</v>
      </c>
      <c r="B54" s="4" t="s">
        <v>146</v>
      </c>
      <c r="C54" s="4" t="s">
        <v>147</v>
      </c>
      <c r="D54" s="4" t="s">
        <v>31</v>
      </c>
      <c r="E54" s="4" t="s">
        <v>45</v>
      </c>
      <c r="F54" s="4" t="s">
        <v>35</v>
      </c>
      <c r="G54" s="4" t="s">
        <v>35</v>
      </c>
      <c r="H54" s="4" t="s">
        <v>41</v>
      </c>
      <c r="I54" s="10">
        <v>3</v>
      </c>
      <c r="J54" s="7">
        <f t="shared" si="10"/>
        <v>3</v>
      </c>
      <c r="K54" s="8">
        <f t="shared" si="11"/>
        <v>1300</v>
      </c>
      <c r="L54" s="4" t="s">
        <v>52</v>
      </c>
      <c r="M54" s="4" t="s">
        <v>37</v>
      </c>
    </row>
    <row r="55" spans="1:13" ht="45" customHeight="1" x14ac:dyDescent="0.2">
      <c r="A55" s="4" t="s">
        <v>3</v>
      </c>
      <c r="B55" s="4" t="s">
        <v>148</v>
      </c>
      <c r="C55" s="4" t="s">
        <v>149</v>
      </c>
      <c r="D55" s="4" t="s">
        <v>31</v>
      </c>
      <c r="E55" s="4" t="s">
        <v>102</v>
      </c>
      <c r="F55" s="4" t="s">
        <v>35</v>
      </c>
      <c r="G55" s="4" t="s">
        <v>35</v>
      </c>
      <c r="H55" s="4" t="s">
        <v>174</v>
      </c>
      <c r="I55" s="10">
        <v>4.3</v>
      </c>
      <c r="J55" s="7">
        <f>TRUNC(I55)+MOD(I55,1)/0.6</f>
        <v>4.5</v>
      </c>
      <c r="K55" s="8">
        <f t="shared" si="11"/>
        <v>1900</v>
      </c>
      <c r="L55" s="4" t="s">
        <v>103</v>
      </c>
      <c r="M55" s="4" t="s">
        <v>37</v>
      </c>
    </row>
    <row r="56" spans="1:13" ht="45" customHeight="1" x14ac:dyDescent="0.2">
      <c r="A56" s="4" t="s">
        <v>3</v>
      </c>
      <c r="B56" s="4" t="s">
        <v>17</v>
      </c>
      <c r="C56" s="4" t="s">
        <v>18</v>
      </c>
      <c r="D56" s="4" t="s">
        <v>31</v>
      </c>
      <c r="E56" s="4" t="s">
        <v>87</v>
      </c>
      <c r="F56" s="4" t="s">
        <v>35</v>
      </c>
      <c r="G56" s="4" t="s">
        <v>35</v>
      </c>
      <c r="H56" s="4" t="s">
        <v>176</v>
      </c>
      <c r="I56" s="10">
        <v>4</v>
      </c>
      <c r="J56" s="14">
        <f t="shared" si="10"/>
        <v>4</v>
      </c>
      <c r="K56" s="8">
        <f t="shared" si="11"/>
        <v>1700</v>
      </c>
      <c r="L56" s="4" t="s">
        <v>90</v>
      </c>
      <c r="M56" s="4" t="s">
        <v>37</v>
      </c>
    </row>
    <row r="57" spans="1:13" s="13" customFormat="1" ht="35.25" customHeight="1" x14ac:dyDescent="0.2">
      <c r="A57" s="4" t="s">
        <v>3</v>
      </c>
      <c r="B57" s="4" t="s">
        <v>150</v>
      </c>
      <c r="C57" s="4" t="s">
        <v>151</v>
      </c>
      <c r="D57" s="4" t="s">
        <v>31</v>
      </c>
      <c r="E57" s="4" t="s">
        <v>62</v>
      </c>
      <c r="F57" s="4" t="s">
        <v>35</v>
      </c>
      <c r="G57" s="4" t="s">
        <v>35</v>
      </c>
      <c r="H57" s="4" t="s">
        <v>186</v>
      </c>
      <c r="I57" s="10">
        <v>1.1200000000000001</v>
      </c>
      <c r="J57" s="7">
        <f>TRUNC(I57)+MOD(I57,1)/0.6</f>
        <v>1.2000000000000002</v>
      </c>
      <c r="K57" s="8">
        <f t="shared" si="11"/>
        <v>580.00000000000011</v>
      </c>
      <c r="L57" s="4" t="s">
        <v>152</v>
      </c>
      <c r="M57" s="4" t="s">
        <v>37</v>
      </c>
    </row>
    <row r="58" spans="1:13" x14ac:dyDescent="0.2">
      <c r="A58" s="1" t="s">
        <v>3</v>
      </c>
      <c r="B58" s="1" t="s">
        <v>153</v>
      </c>
      <c r="C58" s="1" t="s">
        <v>149</v>
      </c>
      <c r="D58" s="2" t="s">
        <v>154</v>
      </c>
      <c r="E58" s="1" t="s">
        <v>117</v>
      </c>
      <c r="F58" s="1" t="s">
        <v>35</v>
      </c>
      <c r="G58" s="1" t="s">
        <v>35</v>
      </c>
      <c r="H58" s="1" t="s">
        <v>131</v>
      </c>
      <c r="I58" s="1"/>
      <c r="J58" s="1"/>
      <c r="K58" s="1"/>
      <c r="L58" s="1" t="s">
        <v>134</v>
      </c>
      <c r="M58" s="1" t="s">
        <v>37</v>
      </c>
    </row>
    <row r="59" spans="1:13" ht="45" customHeight="1" x14ac:dyDescent="0.2">
      <c r="A59" s="4" t="s">
        <v>3</v>
      </c>
      <c r="B59" s="4" t="s">
        <v>155</v>
      </c>
      <c r="C59" s="4" t="s">
        <v>156</v>
      </c>
      <c r="D59" s="4" t="s">
        <v>31</v>
      </c>
      <c r="E59" s="4" t="s">
        <v>32</v>
      </c>
      <c r="F59" s="4" t="s">
        <v>35</v>
      </c>
      <c r="G59" s="4" t="s">
        <v>35</v>
      </c>
      <c r="H59" s="4" t="s">
        <v>41</v>
      </c>
      <c r="I59" s="10">
        <v>3</v>
      </c>
      <c r="J59" s="7">
        <f t="shared" ref="J59:J61" si="12">TRUNC(I59)+MOD(I59,1)/0.6</f>
        <v>3</v>
      </c>
      <c r="K59" s="8">
        <f t="shared" ref="K59:K61" si="13">IF(J59&lt;=1,J59*500,500+(J59-1)*400)</f>
        <v>1300</v>
      </c>
      <c r="L59" s="4" t="s">
        <v>52</v>
      </c>
      <c r="M59" s="4" t="s">
        <v>37</v>
      </c>
    </row>
    <row r="60" spans="1:13" ht="45" customHeight="1" x14ac:dyDescent="0.2">
      <c r="A60" s="4" t="s">
        <v>3</v>
      </c>
      <c r="B60" s="4" t="s">
        <v>157</v>
      </c>
      <c r="C60" s="4" t="s">
        <v>158</v>
      </c>
      <c r="D60" s="4" t="s">
        <v>31</v>
      </c>
      <c r="E60" s="4" t="s">
        <v>40</v>
      </c>
      <c r="F60" s="4" t="s">
        <v>35</v>
      </c>
      <c r="G60" s="4" t="s">
        <v>35</v>
      </c>
      <c r="H60" s="4" t="s">
        <v>180</v>
      </c>
      <c r="I60" s="10">
        <v>0.42</v>
      </c>
      <c r="J60" s="7">
        <f t="shared" si="12"/>
        <v>0.7</v>
      </c>
      <c r="K60" s="8">
        <f t="shared" si="13"/>
        <v>350</v>
      </c>
      <c r="L60" s="4" t="s">
        <v>52</v>
      </c>
      <c r="M60" s="4" t="s">
        <v>37</v>
      </c>
    </row>
    <row r="61" spans="1:13" s="13" customFormat="1" ht="34.5" customHeight="1" x14ac:dyDescent="0.2">
      <c r="A61" s="4" t="s">
        <v>3</v>
      </c>
      <c r="B61" s="4" t="s">
        <v>159</v>
      </c>
      <c r="C61" s="4" t="s">
        <v>160</v>
      </c>
      <c r="D61" s="4" t="s">
        <v>31</v>
      </c>
      <c r="E61" s="4" t="s">
        <v>45</v>
      </c>
      <c r="F61" s="4" t="s">
        <v>35</v>
      </c>
      <c r="G61" s="4" t="s">
        <v>35</v>
      </c>
      <c r="H61" s="4" t="s">
        <v>41</v>
      </c>
      <c r="I61" s="10">
        <v>3</v>
      </c>
      <c r="J61" s="7">
        <f t="shared" si="12"/>
        <v>3</v>
      </c>
      <c r="K61" s="8">
        <f t="shared" si="13"/>
        <v>1300</v>
      </c>
      <c r="L61" s="4" t="s">
        <v>68</v>
      </c>
      <c r="M61" s="4" t="s">
        <v>37</v>
      </c>
    </row>
    <row r="62" spans="1:13" ht="45" customHeight="1" x14ac:dyDescent="0.2">
      <c r="A62" s="4" t="s">
        <v>3</v>
      </c>
      <c r="B62" s="4" t="s">
        <v>161</v>
      </c>
      <c r="C62" s="4" t="s">
        <v>162</v>
      </c>
      <c r="D62" s="4" t="s">
        <v>31</v>
      </c>
      <c r="E62" s="4" t="s">
        <v>87</v>
      </c>
      <c r="F62" s="4" t="s">
        <v>35</v>
      </c>
      <c r="G62" s="4" t="s">
        <v>35</v>
      </c>
      <c r="H62" s="4" t="s">
        <v>176</v>
      </c>
      <c r="I62" s="10">
        <v>4</v>
      </c>
      <c r="J62" s="7">
        <f t="shared" ref="J62:J64" si="14">TRUNC(I62)+MOD(I62,1)/0.6</f>
        <v>4</v>
      </c>
      <c r="K62" s="8">
        <f t="shared" ref="K62:K64" si="15">IF(J62&lt;=1,J62*500,500+(J62-1)*400)</f>
        <v>1700</v>
      </c>
      <c r="L62" s="4" t="s">
        <v>90</v>
      </c>
      <c r="M62" s="4" t="s">
        <v>37</v>
      </c>
    </row>
    <row r="63" spans="1:13" ht="45" customHeight="1" x14ac:dyDescent="0.2">
      <c r="A63" s="4" t="s">
        <v>3</v>
      </c>
      <c r="B63" s="4" t="s">
        <v>163</v>
      </c>
      <c r="C63" s="4" t="s">
        <v>164</v>
      </c>
      <c r="D63" s="4" t="s">
        <v>31</v>
      </c>
      <c r="E63" s="4" t="s">
        <v>34</v>
      </c>
      <c r="F63" s="4" t="s">
        <v>35</v>
      </c>
      <c r="G63" s="4" t="s">
        <v>35</v>
      </c>
      <c r="H63" s="4" t="s">
        <v>172</v>
      </c>
      <c r="I63" s="10">
        <v>2.2999999999999998</v>
      </c>
      <c r="J63" s="7">
        <v>5.5</v>
      </c>
      <c r="K63" s="8">
        <f t="shared" si="15"/>
        <v>2300</v>
      </c>
      <c r="L63" s="4" t="s">
        <v>84</v>
      </c>
      <c r="M63" s="4" t="s">
        <v>37</v>
      </c>
    </row>
    <row r="64" spans="1:13" ht="45" customHeight="1" x14ac:dyDescent="0.2">
      <c r="A64" s="4" t="s">
        <v>3</v>
      </c>
      <c r="B64" s="4" t="s">
        <v>165</v>
      </c>
      <c r="C64" s="4" t="s">
        <v>166</v>
      </c>
      <c r="D64" s="4" t="s">
        <v>31</v>
      </c>
      <c r="E64" s="4" t="s">
        <v>51</v>
      </c>
      <c r="F64" s="4" t="s">
        <v>35</v>
      </c>
      <c r="G64" s="4" t="s">
        <v>35</v>
      </c>
      <c r="H64" s="4" t="s">
        <v>181</v>
      </c>
      <c r="I64" s="10">
        <v>1.42</v>
      </c>
      <c r="J64" s="7">
        <f t="shared" si="14"/>
        <v>1.7</v>
      </c>
      <c r="K64" s="8">
        <f t="shared" si="15"/>
        <v>780</v>
      </c>
      <c r="L64" s="4" t="s">
        <v>68</v>
      </c>
      <c r="M64" s="4" t="s">
        <v>37</v>
      </c>
    </row>
    <row r="65" spans="1:13" ht="36.75" customHeight="1" x14ac:dyDescent="0.2">
      <c r="A65" s="26" t="s">
        <v>184</v>
      </c>
      <c r="B65" s="27"/>
      <c r="C65" s="27"/>
      <c r="D65" s="27"/>
      <c r="E65" s="27"/>
      <c r="F65" s="27"/>
      <c r="G65" s="27"/>
      <c r="H65" s="27"/>
      <c r="I65" s="28"/>
      <c r="J65" s="29"/>
      <c r="K65" s="11">
        <f>SUM(K7:K64)</f>
        <v>46910</v>
      </c>
      <c r="L65" s="1"/>
      <c r="M65" s="1"/>
    </row>
    <row r="66" spans="1:13" ht="30.75" customHeight="1" x14ac:dyDescent="0.2">
      <c r="K66" s="12">
        <v>42430</v>
      </c>
    </row>
    <row r="67" spans="1:13" ht="23.25" customHeight="1" x14ac:dyDescent="0.2">
      <c r="K67" s="12">
        <f>SUM(K7:K64)</f>
        <v>46910</v>
      </c>
    </row>
  </sheetData>
  <autoFilter ref="A6:M67" xr:uid="{00000000-0009-0000-0000-000000000000}">
    <filterColumn colId="10">
      <filters blank="1">
        <filter val="1080"/>
        <filter val="1100"/>
        <filter val="1300"/>
        <filter val="1500"/>
        <filter val="1640"/>
        <filter val="1700"/>
        <filter val="1740"/>
        <filter val="1860"/>
        <filter val="1900"/>
        <filter val="2100"/>
        <filter val="2300"/>
        <filter val="300"/>
        <filter val="350"/>
        <filter val="400"/>
        <filter val="42430"/>
        <filter val="46910"/>
        <filter val="500"/>
        <filter val="580"/>
        <filter val="700"/>
        <filter val="780"/>
        <filter val="880"/>
        <filter val="900"/>
      </filters>
    </filterColumn>
  </autoFilter>
  <mergeCells count="2">
    <mergeCell ref="A1:M1"/>
    <mergeCell ref="A65:J65"/>
  </mergeCells>
  <pageMargins left="0.7" right="0.7" top="0.75" bottom="0.75" header="0.3" footer="0.3"/>
  <pageSetup paperSize="9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workbookViewId="0">
      <selection activeCell="D1" sqref="D1"/>
    </sheetView>
  </sheetViews>
  <sheetFormatPr baseColWidth="10" defaultRowHeight="16" x14ac:dyDescent="0.2"/>
  <cols>
    <col min="7" max="7" width="15" customWidth="1"/>
  </cols>
  <sheetData>
    <row r="1" spans="1:10" ht="102" x14ac:dyDescent="0.2">
      <c r="A1" s="15" t="s">
        <v>1</v>
      </c>
      <c r="B1" s="15" t="s">
        <v>2</v>
      </c>
      <c r="C1" s="15" t="s">
        <v>27</v>
      </c>
      <c r="D1" s="15" t="s">
        <v>187</v>
      </c>
      <c r="E1" s="15" t="s">
        <v>188</v>
      </c>
      <c r="F1" s="15" t="s">
        <v>183</v>
      </c>
      <c r="G1" s="15" t="s">
        <v>189</v>
      </c>
    </row>
    <row r="2" spans="1:10" ht="35.25" customHeight="1" x14ac:dyDescent="0.2">
      <c r="A2" s="16" t="s">
        <v>190</v>
      </c>
      <c r="B2" s="16" t="s">
        <v>191</v>
      </c>
      <c r="C2" s="17" t="s">
        <v>84</v>
      </c>
      <c r="D2" s="18">
        <v>26</v>
      </c>
      <c r="E2" s="18">
        <v>30.63</v>
      </c>
      <c r="F2" s="18">
        <f>+E2-D2</f>
        <v>4.629999999999999</v>
      </c>
      <c r="G2" s="18">
        <f>IF(F2&lt;=1,F2*500,500+(F2-1)*400)</f>
        <v>1951.9999999999995</v>
      </c>
      <c r="J2" s="21" t="s">
        <v>211</v>
      </c>
    </row>
    <row r="3" spans="1:10" ht="35.25" customHeight="1" x14ac:dyDescent="0.2">
      <c r="A3" s="16" t="s">
        <v>192</v>
      </c>
      <c r="B3" s="16" t="s">
        <v>193</v>
      </c>
      <c r="C3" s="17" t="s">
        <v>84</v>
      </c>
      <c r="D3" s="18">
        <v>26</v>
      </c>
      <c r="E3" s="18">
        <v>30.6</v>
      </c>
      <c r="F3" s="18">
        <f t="shared" ref="F3:F12" si="0">+E3-D3</f>
        <v>4.6000000000000014</v>
      </c>
      <c r="G3" s="18">
        <f t="shared" ref="G3:G5" si="1">IF(F3&lt;=1,F3*500,500+(F3-1)*400)</f>
        <v>1940.0000000000005</v>
      </c>
      <c r="J3" s="21" t="s">
        <v>212</v>
      </c>
    </row>
    <row r="4" spans="1:10" ht="35.25" customHeight="1" x14ac:dyDescent="0.2">
      <c r="A4" s="16" t="s">
        <v>194</v>
      </c>
      <c r="B4" s="16" t="s">
        <v>195</v>
      </c>
      <c r="C4" s="17" t="s">
        <v>84</v>
      </c>
      <c r="D4" s="18">
        <v>26</v>
      </c>
      <c r="E4" s="18">
        <v>30.6</v>
      </c>
      <c r="F4" s="18">
        <f>+E4-D4</f>
        <v>4.6000000000000014</v>
      </c>
      <c r="G4" s="18">
        <f t="shared" si="1"/>
        <v>1940.0000000000005</v>
      </c>
    </row>
    <row r="5" spans="1:10" ht="35.25" customHeight="1" x14ac:dyDescent="0.2">
      <c r="A5" s="19" t="s">
        <v>196</v>
      </c>
      <c r="B5" s="19" t="s">
        <v>22</v>
      </c>
      <c r="C5" s="17" t="s">
        <v>84</v>
      </c>
      <c r="D5" s="18">
        <v>26</v>
      </c>
      <c r="E5" s="18">
        <v>31.7</v>
      </c>
      <c r="F5" s="18">
        <f>+E5-D5</f>
        <v>5.6999999999999993</v>
      </c>
      <c r="G5" s="18">
        <f t="shared" si="1"/>
        <v>2380</v>
      </c>
    </row>
    <row r="6" spans="1:10" ht="35.25" customHeight="1" x14ac:dyDescent="0.2">
      <c r="A6" s="19" t="s">
        <v>197</v>
      </c>
      <c r="B6" s="19" t="s">
        <v>198</v>
      </c>
      <c r="C6" s="17" t="s">
        <v>46</v>
      </c>
      <c r="D6" s="18">
        <v>26</v>
      </c>
      <c r="E6" s="18">
        <v>28.6</v>
      </c>
      <c r="F6" s="18">
        <f t="shared" si="0"/>
        <v>2.6000000000000014</v>
      </c>
      <c r="G6" s="18">
        <f>IF(F6&lt;=1,F6*500,500+(F6-1)*400)</f>
        <v>1140.0000000000005</v>
      </c>
    </row>
    <row r="7" spans="1:10" ht="35.25" customHeight="1" x14ac:dyDescent="0.2">
      <c r="A7" s="19" t="s">
        <v>199</v>
      </c>
      <c r="B7" s="19" t="s">
        <v>200</v>
      </c>
      <c r="C7" s="17" t="s">
        <v>46</v>
      </c>
      <c r="D7" s="18">
        <v>26</v>
      </c>
      <c r="E7" s="18">
        <v>28.6</v>
      </c>
      <c r="F7" s="18">
        <f t="shared" si="0"/>
        <v>2.6000000000000014</v>
      </c>
      <c r="G7" s="18">
        <f>IF(F7&lt;=1,F7*500,500+(F7-1)*400)</f>
        <v>1140.0000000000005</v>
      </c>
    </row>
    <row r="8" spans="1:10" ht="35.25" customHeight="1" x14ac:dyDescent="0.2">
      <c r="A8" s="19" t="s">
        <v>201</v>
      </c>
      <c r="B8" s="19" t="s">
        <v>202</v>
      </c>
      <c r="C8" s="17" t="s">
        <v>46</v>
      </c>
      <c r="D8" s="18">
        <v>26</v>
      </c>
      <c r="E8" s="18">
        <v>26.14</v>
      </c>
      <c r="F8" s="18">
        <f t="shared" si="0"/>
        <v>0.14000000000000057</v>
      </c>
      <c r="G8" s="18">
        <f>ROUND(IF(F8&lt;=1,F8*500,500+(F8-1)*400),0)</f>
        <v>70</v>
      </c>
    </row>
    <row r="9" spans="1:10" ht="35.25" customHeight="1" x14ac:dyDescent="0.2">
      <c r="A9" s="19" t="s">
        <v>203</v>
      </c>
      <c r="B9" s="19" t="s">
        <v>204</v>
      </c>
      <c r="C9" s="17" t="s">
        <v>46</v>
      </c>
      <c r="D9" s="18">
        <v>26</v>
      </c>
      <c r="E9" s="18">
        <v>26.18</v>
      </c>
      <c r="F9" s="18">
        <f t="shared" si="0"/>
        <v>0.17999999999999972</v>
      </c>
      <c r="G9" s="18">
        <f t="shared" ref="G9" si="2">IF(F9&lt;=1,F9*500,(F9-1)*400)</f>
        <v>89.999999999999858</v>
      </c>
    </row>
    <row r="10" spans="1:10" ht="35.25" customHeight="1" x14ac:dyDescent="0.2">
      <c r="A10" s="19" t="s">
        <v>205</v>
      </c>
      <c r="B10" s="19" t="s">
        <v>206</v>
      </c>
      <c r="C10" s="17" t="s">
        <v>46</v>
      </c>
      <c r="D10" s="18">
        <v>26</v>
      </c>
      <c r="E10" s="18">
        <v>27.74</v>
      </c>
      <c r="F10" s="18">
        <f t="shared" si="0"/>
        <v>1.7399999999999984</v>
      </c>
      <c r="G10" s="18">
        <f>ROUND(IF(F10&lt;=1,F10*500,500+(F10-1)*400),0)</f>
        <v>796</v>
      </c>
    </row>
    <row r="11" spans="1:10" ht="35.25" customHeight="1" x14ac:dyDescent="0.2">
      <c r="A11" s="19" t="s">
        <v>207</v>
      </c>
      <c r="B11" s="19" t="s">
        <v>208</v>
      </c>
      <c r="C11" s="17" t="s">
        <v>46</v>
      </c>
      <c r="D11" s="18">
        <v>26</v>
      </c>
      <c r="E11" s="18">
        <v>29.69</v>
      </c>
      <c r="F11" s="18">
        <f t="shared" si="0"/>
        <v>3.6900000000000013</v>
      </c>
      <c r="G11" s="18">
        <f>IF(F11&lt;=1,F11*500,500+(F11-1)*400)</f>
        <v>1576.0000000000005</v>
      </c>
    </row>
    <row r="12" spans="1:10" ht="35.25" customHeight="1" x14ac:dyDescent="0.2">
      <c r="A12" s="19" t="s">
        <v>209</v>
      </c>
      <c r="B12" s="19" t="s">
        <v>210</v>
      </c>
      <c r="C12" s="17" t="s">
        <v>46</v>
      </c>
      <c r="D12" s="18">
        <v>26</v>
      </c>
      <c r="E12" s="18">
        <v>26.18</v>
      </c>
      <c r="F12" s="18">
        <f t="shared" si="0"/>
        <v>0.17999999999999972</v>
      </c>
      <c r="G12" s="18">
        <f>IF(F12&lt;=1,F12*500,500+(F12-1)*400)</f>
        <v>89.999999999999858</v>
      </c>
    </row>
    <row r="13" spans="1:10" ht="30" customHeight="1" x14ac:dyDescent="0.2">
      <c r="G13" s="22">
        <f>SUM(G2:G12)</f>
        <v>13114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HSA Secondaire</vt:lpstr>
      <vt:lpstr>HSA primaire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Saïd Boulmane</dc:creator>
  <cp:lastModifiedBy>Faker Helali</cp:lastModifiedBy>
  <cp:lastPrinted>2025-09-17T08:17:39Z</cp:lastPrinted>
  <dcterms:created xsi:type="dcterms:W3CDTF">2025-09-11T13:22:22Z</dcterms:created>
  <dcterms:modified xsi:type="dcterms:W3CDTF">2025-12-09T19:16:03Z</dcterms:modified>
</cp:coreProperties>
</file>