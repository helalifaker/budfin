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kerhelali/Desktop/budfin/data/DHG/"/>
    </mc:Choice>
  </mc:AlternateContent>
  <xr:revisionPtr revIDLastSave="0" documentId="8_{2E253B3B-ACCE-0E4C-83AF-70BAFB5C67EC}" xr6:coauthVersionLast="47" xr6:coauthVersionMax="47" xr10:uidLastSave="{00000000-0000-0000-0000-000000000000}"/>
  <bookViews>
    <workbookView xWindow="0" yWindow="0" windowWidth="51200" windowHeight="28800" activeTab="3" xr2:uid="{B68A4753-2EE3-B241-A360-A02ACE6F0A7B}"/>
  </bookViews>
  <sheets>
    <sheet name="Number of class 2025-26" sheetId="1" r:id="rId1"/>
    <sheet name="Teacher Requirements" sheetId="5" r:id="rId2"/>
    <sheet name="Curriculum_Detail" sheetId="7" r:id="rId3"/>
    <sheet name="Master Data" sheetId="9" r:id="rId4"/>
  </sheets>
  <definedNames>
    <definedName name="_xlnm._FilterDatabase" localSheetId="2" hidden="1">Curriculum_Detail!$A$1:$Q$96</definedName>
    <definedName name="_xlnm._FilterDatabase" localSheetId="3" hidden="1">'Master Data'!$A$4:$X$189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" i="5" l="1"/>
  <c r="F100" i="5"/>
  <c r="D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D88" i="5"/>
  <c r="F87" i="5"/>
  <c r="E87" i="5"/>
  <c r="D87" i="5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5" i="9"/>
  <c r="C204" i="9"/>
  <c r="C202" i="9"/>
  <c r="C201" i="9"/>
  <c r="C200" i="9"/>
  <c r="C198" i="9"/>
  <c r="C197" i="9"/>
  <c r="C196" i="9"/>
  <c r="C195" i="9"/>
  <c r="C193" i="9"/>
  <c r="W61" i="5"/>
  <c r="W62" i="5"/>
  <c r="W63" i="5"/>
  <c r="W64" i="5"/>
  <c r="W65" i="5"/>
  <c r="W66" i="5"/>
  <c r="W67" i="5"/>
  <c r="W68" i="5"/>
  <c r="W69" i="5"/>
  <c r="W70" i="5"/>
  <c r="P61" i="5" a="1"/>
  <c r="P61" i="5" s="1"/>
  <c r="Q61" i="5" a="1"/>
  <c r="Q61" i="5" s="1"/>
  <c r="R61" i="5" a="1"/>
  <c r="R61" i="5" s="1"/>
  <c r="S61" i="5" a="1"/>
  <c r="S61" i="5" s="1"/>
  <c r="T62" i="5" a="1"/>
  <c r="T62" i="5" s="1"/>
  <c r="U62" i="5" a="1"/>
  <c r="U62" i="5" s="1"/>
  <c r="P63" i="5" a="1"/>
  <c r="P63" i="5" s="1"/>
  <c r="Q63" i="5" a="1"/>
  <c r="Q63" i="5" s="1"/>
  <c r="R63" i="5" a="1"/>
  <c r="R63" i="5" s="1"/>
  <c r="S63" i="5" a="1"/>
  <c r="S63" i="5" s="1"/>
  <c r="T64" i="5" a="1"/>
  <c r="T64" i="5" s="1"/>
  <c r="V64" i="5" s="1"/>
  <c r="U64" i="5" a="1"/>
  <c r="U64" i="5" s="1"/>
  <c r="P65" i="5" a="1"/>
  <c r="P65" i="5" s="1"/>
  <c r="V65" i="5" s="1" a="1"/>
  <c r="V65" i="5" s="1"/>
  <c r="Q65" i="5" a="1"/>
  <c r="Q65" i="5" s="1"/>
  <c r="R65" i="5" a="1"/>
  <c r="R65" i="5" s="1"/>
  <c r="S66" i="5" a="1"/>
  <c r="S66" i="5" s="1"/>
  <c r="V66" i="5" s="1" a="1"/>
  <c r="V66" i="5" s="1"/>
  <c r="T67" i="5" a="1"/>
  <c r="T67" i="5" s="1"/>
  <c r="U67" i="5" a="1"/>
  <c r="U67" i="5" s="1"/>
  <c r="S68" i="5" a="1"/>
  <c r="S68" i="5" s="1"/>
  <c r="V68" i="5" s="1" a="1"/>
  <c r="V68" i="5" s="1"/>
  <c r="T69" i="5" a="1"/>
  <c r="T69" i="5" s="1"/>
  <c r="U69" i="5" a="1"/>
  <c r="U69" i="5" s="1"/>
  <c r="T70" i="5" a="1"/>
  <c r="T70" i="5" s="1"/>
  <c r="V70" i="5" s="1"/>
  <c r="U70" i="5" a="1"/>
  <c r="U70" i="5" s="1"/>
  <c r="W59" i="5"/>
  <c r="W58" i="5"/>
  <c r="R57" i="5" a="1"/>
  <c r="R57" i="5" s="1"/>
  <c r="Q57" i="5" a="1"/>
  <c r="Q57" i="5" s="1"/>
  <c r="P57" i="5" a="1"/>
  <c r="P57" i="5" s="1"/>
  <c r="E57" i="5"/>
  <c r="E58" i="5"/>
  <c r="V58" i="5" s="1" a="1"/>
  <c r="V58" i="5" s="1"/>
  <c r="W57" i="5"/>
  <c r="W55" i="5"/>
  <c r="W54" i="5"/>
  <c r="R53" i="5" a="1"/>
  <c r="R53" i="5" s="1"/>
  <c r="Q53" i="5" a="1"/>
  <c r="Q53" i="5" s="1"/>
  <c r="P53" i="5" a="1"/>
  <c r="P53" i="5" s="1"/>
  <c r="E53" i="5"/>
  <c r="E54" i="5"/>
  <c r="V54" i="5" s="1" a="1"/>
  <c r="V54" i="5" s="1"/>
  <c r="W53" i="5"/>
  <c r="W51" i="5"/>
  <c r="W50" i="5"/>
  <c r="V50" i="5" a="1"/>
  <c r="V50" i="5" s="1"/>
  <c r="R49" i="5" a="1"/>
  <c r="R49" i="5" s="1"/>
  <c r="Q49" i="5" a="1"/>
  <c r="Q49" i="5" s="1"/>
  <c r="P49" i="5" a="1"/>
  <c r="P49" i="5" s="1"/>
  <c r="E49" i="5"/>
  <c r="E50" i="5"/>
  <c r="W49" i="5"/>
  <c r="W47" i="5"/>
  <c r="W46" i="5"/>
  <c r="U46" i="5" a="1"/>
  <c r="U46" i="5" s="1"/>
  <c r="T46" i="5" a="1"/>
  <c r="T46" i="5" s="1"/>
  <c r="W45" i="5"/>
  <c r="U45" i="5" a="1"/>
  <c r="U45" i="5" s="1"/>
  <c r="T45" i="5" a="1"/>
  <c r="T45" i="5" s="1"/>
  <c r="S45" i="5" a="1"/>
  <c r="S45" i="5" s="1"/>
  <c r="W44" i="5"/>
  <c r="R44" i="5" a="1"/>
  <c r="R44" i="5" s="1"/>
  <c r="Q44" i="5" a="1"/>
  <c r="Q44" i="5" s="1"/>
  <c r="P44" i="5" a="1"/>
  <c r="P44" i="5" s="1"/>
  <c r="O44" i="5" a="1"/>
  <c r="O44" i="5" s="1"/>
  <c r="I7" i="5"/>
  <c r="W32" i="5"/>
  <c r="U32" i="5" a="1"/>
  <c r="U32" i="5" s="1"/>
  <c r="V32" i="5" s="1"/>
  <c r="W31" i="5"/>
  <c r="T31" i="5" a="1"/>
  <c r="T31" i="5" s="1"/>
  <c r="V31" i="5" s="1"/>
  <c r="W75" i="5"/>
  <c r="W42" i="5"/>
  <c r="U42" i="5" a="1"/>
  <c r="U42" i="5" s="1"/>
  <c r="T42" i="5" a="1"/>
  <c r="T42" i="5" s="1"/>
  <c r="W38" i="5"/>
  <c r="V38" i="5"/>
  <c r="W37" i="5"/>
  <c r="V37" i="5"/>
  <c r="W36" i="5"/>
  <c r="U36" i="5" a="1"/>
  <c r="U36" i="5" s="1"/>
  <c r="T36" i="5" a="1"/>
  <c r="T36" i="5" s="1"/>
  <c r="W74" i="5"/>
  <c r="U74" i="5" a="1"/>
  <c r="U74" i="5" s="1"/>
  <c r="T74" i="5" a="1"/>
  <c r="T74" i="5" s="1"/>
  <c r="S74" i="5" a="1"/>
  <c r="S74" i="5" s="1"/>
  <c r="R74" i="5" a="1"/>
  <c r="R74" i="5" s="1"/>
  <c r="Q74" i="5" a="1"/>
  <c r="Q74" i="5" s="1"/>
  <c r="P74" i="5" a="1"/>
  <c r="P74" i="5" s="1"/>
  <c r="O74" i="5" a="1"/>
  <c r="O74" i="5" s="1"/>
  <c r="W72" i="5"/>
  <c r="R72" i="5" a="1"/>
  <c r="R72" i="5" s="1"/>
  <c r="Q72" i="5" a="1"/>
  <c r="Q72" i="5" s="1"/>
  <c r="P72" i="5" a="1"/>
  <c r="P72" i="5" s="1"/>
  <c r="O72" i="5" a="1"/>
  <c r="O72" i="5" s="1"/>
  <c r="W71" i="5"/>
  <c r="R71" i="5" a="1"/>
  <c r="R71" i="5" s="1"/>
  <c r="Q71" i="5" a="1"/>
  <c r="Q71" i="5" s="1"/>
  <c r="P71" i="5" a="1"/>
  <c r="P71" i="5" s="1"/>
  <c r="O71" i="5" a="1"/>
  <c r="O71" i="5" s="1"/>
  <c r="W41" i="5"/>
  <c r="U41" i="5" a="1"/>
  <c r="U41" i="5" s="1"/>
  <c r="T41" i="5" a="1"/>
  <c r="T41" i="5" s="1"/>
  <c r="S41" i="5" a="1"/>
  <c r="S41" i="5" s="1"/>
  <c r="R41" i="5" a="1"/>
  <c r="R41" i="5" s="1"/>
  <c r="Q41" i="5" a="1"/>
  <c r="Q41" i="5" s="1"/>
  <c r="P41" i="5" a="1"/>
  <c r="P41" i="5" s="1"/>
  <c r="O41" i="5" a="1"/>
  <c r="O41" i="5" s="1"/>
  <c r="W40" i="5"/>
  <c r="U40" i="5" a="1"/>
  <c r="U40" i="5" s="1"/>
  <c r="T40" i="5" a="1"/>
  <c r="T40" i="5" s="1"/>
  <c r="S40" i="5" a="1"/>
  <c r="S40" i="5" s="1"/>
  <c r="R40" i="5" a="1"/>
  <c r="R40" i="5" s="1"/>
  <c r="Q40" i="5" a="1"/>
  <c r="Q40" i="5" s="1"/>
  <c r="P40" i="5" a="1"/>
  <c r="P40" i="5" s="1"/>
  <c r="O40" i="5" a="1"/>
  <c r="O40" i="5" s="1"/>
  <c r="W35" i="5"/>
  <c r="O35" i="5" a="1"/>
  <c r="O35" i="5" s="1"/>
  <c r="V35" i="5" s="1" a="1"/>
  <c r="V35" i="5" s="1"/>
  <c r="W34" i="5"/>
  <c r="S34" i="5" a="1"/>
  <c r="S34" i="5" s="1"/>
  <c r="R34" i="5" a="1"/>
  <c r="R34" i="5" s="1"/>
  <c r="Q34" i="5" a="1"/>
  <c r="Q34" i="5" s="1"/>
  <c r="P34" i="5" a="1"/>
  <c r="P34" i="5" s="1"/>
  <c r="O34" i="5" a="1"/>
  <c r="O34" i="5" s="1"/>
  <c r="W30" i="5"/>
  <c r="U30" i="5" a="1"/>
  <c r="U30" i="5" s="1"/>
  <c r="V30" i="5" s="1" a="1"/>
  <c r="V30" i="5" s="1"/>
  <c r="W29" i="5"/>
  <c r="T29" i="5" a="1"/>
  <c r="T29" i="5" s="1"/>
  <c r="S29" i="5" a="1"/>
  <c r="S29" i="5" s="1"/>
  <c r="R29" i="5" a="1"/>
  <c r="R29" i="5" s="1"/>
  <c r="Q29" i="5" a="1"/>
  <c r="Q29" i="5" s="1"/>
  <c r="P29" i="5" a="1"/>
  <c r="P29" i="5" s="1"/>
  <c r="O29" i="5" a="1"/>
  <c r="O29" i="5" s="1"/>
  <c r="V14" i="5" a="1"/>
  <c r="V14" i="5" s="1"/>
  <c r="X14" i="5"/>
  <c r="Y14" i="5" s="1"/>
  <c r="W14" i="5"/>
  <c r="X16" i="5"/>
  <c r="X17" i="5" s="1"/>
  <c r="X13" i="5"/>
  <c r="Y13" i="5" s="1"/>
  <c r="W24" i="5"/>
  <c r="W21" i="5"/>
  <c r="W17" i="5"/>
  <c r="W15" i="5"/>
  <c r="W23" i="5"/>
  <c r="W20" i="5"/>
  <c r="W19" i="5"/>
  <c r="W16" i="5"/>
  <c r="W13" i="5"/>
  <c r="V23" i="5" a="1"/>
  <c r="V23" i="5" s="1"/>
  <c r="V20" i="5" a="1"/>
  <c r="V20" i="5" s="1"/>
  <c r="V19" i="5" a="1"/>
  <c r="V19" i="5" s="1"/>
  <c r="V16" i="5" a="1"/>
  <c r="V16" i="5" s="1"/>
  <c r="V17" i="5" s="1"/>
  <c r="V13" i="5" a="1"/>
  <c r="V13" i="5" s="1"/>
  <c r="H6" i="5"/>
  <c r="C24" i="1"/>
  <c r="C23" i="1"/>
  <c r="C22" i="1"/>
  <c r="C21" i="1"/>
  <c r="X64" i="5" l="1"/>
  <c r="Y64" i="5" s="1"/>
  <c r="X70" i="5"/>
  <c r="Y70" i="5" s="1"/>
  <c r="V63" i="5" a="1"/>
  <c r="V63" i="5" s="1"/>
  <c r="X68" i="5"/>
  <c r="Y68" i="5" s="1"/>
  <c r="V62" i="5"/>
  <c r="X62" i="5" s="1"/>
  <c r="Y62" i="5" s="1"/>
  <c r="V67" i="5" a="1"/>
  <c r="V67" i="5" s="1"/>
  <c r="X67" i="5" s="1"/>
  <c r="Y67" i="5" s="1"/>
  <c r="X66" i="5"/>
  <c r="Y66" i="5" s="1"/>
  <c r="V61" i="5" a="1"/>
  <c r="V61" i="5" s="1"/>
  <c r="X61" i="5" s="1"/>
  <c r="Y61" i="5" s="1"/>
  <c r="X65" i="5"/>
  <c r="Y65" i="5" s="1"/>
  <c r="X63" i="5"/>
  <c r="Y63" i="5" s="1"/>
  <c r="V69" i="5"/>
  <c r="X69" i="5" s="1"/>
  <c r="Y69" i="5" s="1"/>
  <c r="X58" i="5"/>
  <c r="Y58" i="5" s="1"/>
  <c r="V53" i="5" a="1"/>
  <c r="V53" i="5" s="1"/>
  <c r="V44" i="5" a="1"/>
  <c r="V44" i="5" s="1"/>
  <c r="X44" i="5" s="1"/>
  <c r="Y44" i="5" s="1"/>
  <c r="V49" i="5" a="1"/>
  <c r="V49" i="5" s="1"/>
  <c r="V45" i="5" a="1"/>
  <c r="V45" i="5" s="1"/>
  <c r="X45" i="5" s="1"/>
  <c r="Y45" i="5" s="1"/>
  <c r="X50" i="5"/>
  <c r="Y50" i="5" s="1"/>
  <c r="V46" i="5"/>
  <c r="X54" i="5"/>
  <c r="Y54" i="5" s="1"/>
  <c r="V57" i="5" a="1"/>
  <c r="V57" i="5" s="1"/>
  <c r="X31" i="5"/>
  <c r="Y31" i="5" s="1"/>
  <c r="X32" i="5"/>
  <c r="Y32" i="5" s="1"/>
  <c r="C26" i="1"/>
  <c r="X37" i="5"/>
  <c r="Y37" i="5" s="1"/>
  <c r="X38" i="5"/>
  <c r="Y38" i="5" s="1"/>
  <c r="V42" i="5"/>
  <c r="V36" i="5"/>
  <c r="X35" i="5"/>
  <c r="Y35" i="5" s="1"/>
  <c r="V40" i="5" a="1"/>
  <c r="V40" i="5" s="1"/>
  <c r="X40" i="5" s="1"/>
  <c r="Y40" i="5" s="1"/>
  <c r="V71" i="5" a="1"/>
  <c r="V71" i="5" s="1"/>
  <c r="V29" i="5" a="1"/>
  <c r="V29" i="5" s="1"/>
  <c r="V74" i="5" a="1"/>
  <c r="V74" i="5" s="1"/>
  <c r="V34" i="5" a="1"/>
  <c r="V34" i="5" s="1"/>
  <c r="V41" i="5" a="1"/>
  <c r="V41" i="5" s="1"/>
  <c r="V72" i="5" a="1"/>
  <c r="V72" i="5" s="1"/>
  <c r="X72" i="5" s="1"/>
  <c r="Y72" i="5" s="1"/>
  <c r="V21" i="5"/>
  <c r="X21" i="5" s="1"/>
  <c r="Y21" i="5" s="1"/>
  <c r="X30" i="5"/>
  <c r="Y30" i="5" s="1"/>
  <c r="X15" i="5"/>
  <c r="Y15" i="5" s="1"/>
  <c r="X19" i="5"/>
  <c r="Y19" i="5" s="1"/>
  <c r="X20" i="5"/>
  <c r="Y20" i="5" s="1"/>
  <c r="V15" i="5"/>
  <c r="X23" i="5"/>
  <c r="Y23" i="5" s="1"/>
  <c r="V24" i="5"/>
  <c r="X24" i="5" s="1"/>
  <c r="Y24" i="5" s="1"/>
  <c r="Y16" i="5"/>
  <c r="Y17" i="5"/>
  <c r="X41" i="5" l="1"/>
  <c r="Y41" i="5" s="1"/>
  <c r="V51" i="5"/>
  <c r="X53" i="5"/>
  <c r="Y53" i="5" s="1"/>
  <c r="V47" i="5"/>
  <c r="X49" i="5"/>
  <c r="Y49" i="5" s="1"/>
  <c r="V55" i="5"/>
  <c r="X55" i="5" s="1"/>
  <c r="Y55" i="5" s="1"/>
  <c r="X47" i="5"/>
  <c r="Y47" i="5" s="1"/>
  <c r="X51" i="5"/>
  <c r="Y51" i="5" s="1"/>
  <c r="X46" i="5"/>
  <c r="Y46" i="5" s="1"/>
  <c r="V59" i="5"/>
  <c r="V75" i="5" s="1"/>
  <c r="X57" i="5"/>
  <c r="Y57" i="5" s="1"/>
  <c r="X34" i="5"/>
  <c r="Y34" i="5" s="1"/>
  <c r="X36" i="5"/>
  <c r="Y36" i="5" s="1"/>
  <c r="X42" i="5"/>
  <c r="Y42" i="5" s="1"/>
  <c r="X71" i="5"/>
  <c r="Y71" i="5" s="1"/>
  <c r="X29" i="5"/>
  <c r="Y29" i="5" s="1"/>
  <c r="X74" i="5"/>
  <c r="Y74" i="5" s="1"/>
  <c r="X59" i="5" l="1"/>
  <c r="Y59" i="5" s="1"/>
  <c r="X75" i="5"/>
  <c r="Y75" i="5" s="1"/>
  <c r="D24" i="1" l="1"/>
  <c r="D23" i="1"/>
  <c r="D22" i="1"/>
  <c r="D21" i="1"/>
  <c r="D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B4" authorId="0" shapeId="0" xr:uid="{99C10DFB-8A71-FD4F-B041-38F2440A8CE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EFIR, https://www.efiriyad.com/en/primaire/les-classes/</t>
        </r>
      </text>
    </comment>
    <comment ref="D4" authorId="0" shapeId="0" xr:uid="{4FB155EA-D790-0A4C-B7CD-A08DE3380D9D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EFIR, https://www.efiriyad.com/en/primaire/les-classes/</t>
        </r>
      </text>
    </comment>
    <comment ref="E4" authorId="0" shapeId="0" xr:uid="{0EC6AA08-3F21-DB4A-B500-1AEBC5E3C35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EFIR, https://www.efiriyad.com/en/primaire/les-classes/</t>
        </r>
      </text>
    </comment>
    <comment ref="B5" authorId="0" shapeId="0" xr:uid="{4A9EC761-1951-7A4E-A207-8596D763DADC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D5" authorId="0" shapeId="0" xr:uid="{F00D15D8-E3A0-AC47-914B-CCE14840E6D7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5" authorId="0" shapeId="0" xr:uid="{E8529603-17F6-7149-930A-879DEC89746B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6" authorId="0" shapeId="0" xr:uid="{5DD5220E-2BDF-5741-8890-30A2F044C5A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D6" authorId="0" shapeId="0" xr:uid="{386DAE25-6E08-1C42-B235-63C6A222FBD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E6" authorId="0" shapeId="0" xr:uid="{1328A2B8-EDE1-944F-9B32-802410E4893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B7" authorId="0" shapeId="0" xr:uid="{1A852921-B4A0-4F46-8685-6404B409316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7" authorId="0" shapeId="0" xr:uid="{C7EC75AE-6955-AD42-8985-0632C2D51649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7" authorId="0" shapeId="0" xr:uid="{8AD654E0-7ADE-654F-9F13-61B6EE6BEA68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8" authorId="0" shapeId="0" xr:uid="{172F3C52-75E7-7C42-889B-99A3A8E9B0B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8" authorId="0" shapeId="0" xr:uid="{0E693529-7ADD-FC48-9E7D-EE2E147270B8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8" authorId="0" shapeId="0" xr:uid="{74C91FCD-5B57-B340-B282-B6B76B5EE4A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9" authorId="0" shapeId="0" xr:uid="{9ADBBC2A-76C4-3844-88C9-704AB82E326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9" authorId="0" shapeId="0" xr:uid="{C7C7C4D7-5F1F-F745-BA5E-CDD3BC533FF4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9" authorId="0" shapeId="0" xr:uid="{1B9A6E69-5173-6842-AA35-62364C5815BC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0" authorId="0" shapeId="0" xr:uid="{FE899EA6-C4A4-694E-A8D9-80690CF5CA6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10" authorId="0" shapeId="0" xr:uid="{949A3C63-E4C5-6D49-A84E-C5C6D929044C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0" authorId="0" shapeId="0" xr:uid="{9E5136C3-01C9-D042-B5E0-B50D7ADBD03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1" authorId="0" shapeId="0" xr:uid="{F928D4B1-8B02-3B43-BABF-0D511D92DF4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11" authorId="0" shapeId="0" xr:uid="{7CAE0C3C-A325-FA4D-9D03-BE6AA3876DA3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1" authorId="0" shapeId="0" xr:uid="{D09F38C7-8821-C142-B724-A34F47BC6128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2" authorId="0" shapeId="0" xr:uid="{05B57A63-FC6D-964F-9F7E-B2E6EF8C1D6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Only partial data visible in search</t>
        </r>
      </text>
    </comment>
    <comment ref="D12" authorId="0" shapeId="0" xr:uid="{E444B352-FEDE-5746-84E7-7E8A5B0F6FC1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2" authorId="0" shapeId="0" xr:uid="{0D9C587F-EEC0-3A49-9D6D-32F559E37310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3" authorId="0" shapeId="0" xr:uid="{56FFB018-536B-B049-AA29-62AFE4C677F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Data not fully visible in search</t>
        </r>
      </text>
    </comment>
    <comment ref="D13" authorId="0" shapeId="0" xr:uid="{3C75826D-3438-8941-AB69-77D8D964ABF6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3" authorId="0" shapeId="0" xr:uid="{E02CE5CB-4F49-DE4C-A113-D5F9EF25C81A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4" authorId="0" shapeId="0" xr:uid="{E8200CD9-C7BD-5248-AF20-D7B0647F97A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Data not fully visible in search</t>
        </r>
      </text>
    </comment>
    <comment ref="D14" authorId="0" shapeId="0" xr:uid="{4E282C71-AA0D-2F43-B3CC-F343BB3D30D3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4" authorId="0" shapeId="0" xr:uid="{4BF7E9A2-A82B-6B44-BFA1-624EAA44E38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5" authorId="0" shapeId="0" xr:uid="{AD393F5A-12D5-C647-99C9-3F9D31174F4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- 3ème C confirmed from news article</t>
        </r>
      </text>
    </comment>
    <comment ref="D15" authorId="0" shapeId="0" xr:uid="{4A6B7609-5328-9E40-B790-E39EB2CF7D14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5" authorId="0" shapeId="0" xr:uid="{4A93FFF1-878A-0548-BB4F-51D4502ED084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6" authorId="0" shapeId="0" xr:uid="{3CCB8658-F222-ED49-B650-3F31558B439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https://www.efiriyad.com/en/les-classes-du-lycee/</t>
        </r>
      </text>
    </comment>
    <comment ref="D16" authorId="0" shapeId="0" xr:uid="{4B315ABD-D843-EC4E-87EF-E6DFAA5CF571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6" authorId="0" shapeId="0" xr:uid="{31A40277-BEEF-5B4F-B8A9-EF846517FC1C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7" authorId="0" shapeId="0" xr:uid="{CA654E1C-5402-0E4C-ACB0-1E5E98668C6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https://www.efiriyad.com/en/les-classes-du-lycee/ - Not visible in search results</t>
        </r>
      </text>
    </comment>
    <comment ref="D17" authorId="0" shapeId="0" xr:uid="{8BA1B0D6-723C-7B47-8CDB-F85E1EE8F916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7" authorId="0" shapeId="0" xr:uid="{496A0BD3-6B55-EE44-A5FE-E6418DF1E1F0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8" authorId="0" shapeId="0" xr:uid="{0B7702AA-04AD-A444-ACE5-D2A9BA1A9C7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https://www.efiriyad.com/en/les-classes-du-lycee/</t>
        </r>
      </text>
    </comment>
    <comment ref="D18" authorId="0" shapeId="0" xr:uid="{079B1F30-2F53-E443-9617-C138C4BAE7C3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8" authorId="0" shapeId="0" xr:uid="{5A486550-F374-DD4A-AB94-B63306812BB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  <author>tc={75B24367-228F-8545-BF0F-85DE90257867}</author>
  </authors>
  <commentList>
    <comment ref="D7" authorId="0" shapeId="0" xr:uid="{377E2533-6C6D-7B48-B971-93EDBA1AEEE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Editable assumption: % of LV2/LVB students choosing Arabic</t>
        </r>
      </text>
    </comment>
    <comment ref="F7" authorId="0" shapeId="0" xr:uid="{1C17D3BC-4A43-FF4F-A286-6D4E76E81BB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Editable assumption: % of LV2/LVB students choosing German</t>
        </r>
      </text>
    </comment>
    <comment ref="H7" authorId="0" shapeId="0" xr:uid="{E6A263B8-0410-4B44-8351-CF9E524E0D7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Editable assumption: % of LV2/LVB students choosing Spanish</t>
        </r>
      </text>
    </comment>
    <comment ref="Y25" authorId="1" shapeId="0" xr:uid="{75B24367-228F-8545-BF0F-85DE90257867}">
      <text>
        <t>[Threaded comment]
Your version of Excel allows you to read this threaded comment; however, any edits to it will get removed if the file is opened in a newer version of Excel. Learn more: https://go.microsoft.com/fwlink/?linkid=870924
Comment:
    Pooled headcount: 129 hrs ÷ 18 = 7.17 FTE → 8 teachers.
Previously counted per-row: 6+2+1+1 = 10 teachers.
Saving: 2 headcount by sharing across Collège + Lycée Maths.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62" authorId="0" shapeId="0" xr:uid="{E766F6F6-E84A-D044-8189-2E4C7FB1FD24}">
      <text>
        <r>
          <rPr>
            <sz val="11"/>
            <color theme="1"/>
            <rFont val="Aptos Narrow"/>
            <family val="2"/>
            <scheme val="minor"/>
          </rPr>
          <t>Default is 0. Enter the number of groups/students sections requiring this conditional course.</t>
        </r>
      </text>
    </comment>
    <comment ref="J71" authorId="0" shapeId="0" xr:uid="{AB6D086B-7255-BF4E-8CCA-BFA6EFE5535F}">
      <text>
        <r>
          <rPr>
            <sz val="11"/>
            <color rgb="FF000000"/>
            <rFont val="Calibri"/>
            <family val="2"/>
          </rPr>
          <t>Default is 0. Enter the number of specialty teaching groups actually opened.</t>
        </r>
      </text>
    </comment>
    <comment ref="J72" authorId="0" shapeId="0" xr:uid="{E7C432A8-D77E-6945-80C4-A43EA5A89EE6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3" authorId="0" shapeId="0" xr:uid="{9C56347D-31CD-6248-9B70-D8D0D7FEFC0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4" authorId="0" shapeId="0" xr:uid="{717F3547-0FC2-3F4D-B8E6-8B8BB625D732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5" authorId="0" shapeId="0" xr:uid="{FD60D203-E364-8E4C-8E91-56966FC50A26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6" authorId="0" shapeId="0" xr:uid="{B9424393-CD33-9F42-900F-BAD5F3F4C9C7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7" authorId="0" shapeId="0" xr:uid="{48FD4C6F-A4DA-F842-8D37-577E5AB77C9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8" authorId="0" shapeId="0" xr:uid="{34B7E9D2-F750-2E47-8987-8F2278CD9CE9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9" authorId="0" shapeId="0" xr:uid="{664A0CAB-C3D3-1F4D-8EBA-E125CC48EA08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0" authorId="0" shapeId="0" xr:uid="{517F261F-525C-904F-AF18-6600528C5590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1" authorId="0" shapeId="0" xr:uid="{A6555E2E-1406-0E47-92AD-4B7F99EAE144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2" authorId="0" shapeId="0" xr:uid="{1803F1FE-2D49-B64A-AFBE-3D30906A30A9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3" authorId="0" shapeId="0" xr:uid="{3D7B6C34-2DAC-3B48-96D2-39BB8E7F16A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4" authorId="0" shapeId="0" xr:uid="{F3DEE377-C8FD-4E4D-8794-8E3677322081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5" authorId="0" shapeId="0" xr:uid="{7062A4EB-08FF-4140-8F7B-ECA1D7B97826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6" authorId="0" shapeId="0" xr:uid="{85280EF0-5977-FE4D-BF5E-F294F676932E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7" authorId="0" shapeId="0" xr:uid="{247363D9-0834-604E-9C67-4A44A23F18F1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8" authorId="0" shapeId="0" xr:uid="{CC36D115-F6A7-C04E-B817-58BD089C022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9" authorId="0" shapeId="0" xr:uid="{59BD6C21-4722-714F-B28D-5C9A3DDD00DA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0" authorId="0" shapeId="0" xr:uid="{9A358D98-0A60-A244-955D-B09C2EE4CC62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1" authorId="0" shapeId="0" xr:uid="{7808F842-484F-8049-A1DB-EF598D9C6D0F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2" authorId="0" shapeId="0" xr:uid="{A9B4633D-9A89-4849-87ED-A9B579E282ED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3" authorId="0" shapeId="0" xr:uid="{F5B9B9B3-CC92-EA45-B834-55116A472BE4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4" authorId="0" shapeId="0" xr:uid="{814A1133-F60D-D84F-BAF8-BE25CABEBDBE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5" authorId="0" shapeId="0" xr:uid="{66B5D34D-573C-EC46-AC1B-2E6E0F6871BA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6" authorId="0" shapeId="0" xr:uid="{4A77B0CD-9BF6-A34E-8F90-3FEB58F8611B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I21" authorId="0" shapeId="0" xr:uid="{3A7E2065-742C-FE45-8A54-D5E2194A25F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ZoomInfo/LinkedIn — Professeur d'EPS at EFIR, previously Professeur Coordonnateur d'EPS at Lycée Français d'Amman. STAPS Lille 2.</t>
        </r>
      </text>
    </comment>
    <comment ref="I63" authorId="0" shapeId="0" xr:uid="{79D34D21-8413-5347-9CCB-DABADA7FEAC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LinkedIn (Chloe Desbarres, Riyadh) — French/English native speaker, UCL French &amp; Spanish degree, CELTA qualified. 5+ years French &amp; English teaching (EFL, tutoring, primary/secondary). Previously at Lycée Français de Singapour.</t>
        </r>
      </text>
    </comment>
    <comment ref="I90" authorId="0" shapeId="0" xr:uid="{1F6FAB16-716D-274F-BECC-F44A13BB57A9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Viadeo (Emna Harbi, Strasbourg) — Background in French language teaching (FOS/FLE), student support with personalized French courses. Confidence: Medium — profile matches but not explicitly confirmed at EFIR.</t>
        </r>
      </text>
    </comment>
    <comment ref="I117" authorId="0" shapeId="0" xr:uid="{4BA8BD8D-E7C7-4C49-911B-8AFCECCB66F2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LinkedIn (Chloe Desbarres, Riyadh) — French/English native speaker, UCL French &amp; Spanish degree, CELTA qualified. 5+ years French &amp; English teaching (EFL, tutoring, primary/secondary). Previously at Lycée Français de Singapour.</t>
        </r>
      </text>
    </comment>
    <comment ref="I124" authorId="0" shapeId="0" xr:uid="{C8B0AD18-92EC-EA44-B9D0-8F5C41E6903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ZoomInfo/LinkedIn — Professeur d'EPS at EFIR, previously Professeur Coordonnateur d'EPS at Lycée Français d'Amman. STAPS Lille 2.</t>
        </r>
      </text>
    </comment>
    <comment ref="I132" authorId="0" shapeId="0" xr:uid="{7B6CB70B-25C8-4A4B-8511-1E08AA0B1DF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LinkedIn — FLE/FLM specialist. Background in Simulation Globale, formation de formateurs, FLE pedagogy.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<sst xmlns="http://schemas.openxmlformats.org/spreadsheetml/2006/main" count="3599" uniqueCount="842">
  <si>
    <t>École Française Internationale de Riyad (EFIR) - Classes by Level</t>
  </si>
  <si>
    <t>Cycle</t>
  </si>
  <si>
    <t>Level</t>
  </si>
  <si>
    <t>Number of Classes</t>
  </si>
  <si>
    <t>Maternelle</t>
  </si>
  <si>
    <t>Petite Section (PS)</t>
  </si>
  <si>
    <t>Moyenne Section (MS)</t>
  </si>
  <si>
    <t>Grande Section (GS)</t>
  </si>
  <si>
    <t>Élémentaire</t>
  </si>
  <si>
    <t>CP (Cours Préparatoire)</t>
  </si>
  <si>
    <t>CE1</t>
  </si>
  <si>
    <t>CE2</t>
  </si>
  <si>
    <t>CM1</t>
  </si>
  <si>
    <t>CM2</t>
  </si>
  <si>
    <t>Collège</t>
  </si>
  <si>
    <t>6ème</t>
  </si>
  <si>
    <t>5ème</t>
  </si>
  <si>
    <t>4ème</t>
  </si>
  <si>
    <t>3ème</t>
  </si>
  <si>
    <t>Lycée</t>
  </si>
  <si>
    <t>Seconde (2nde)</t>
  </si>
  <si>
    <t>Première (1ère)</t>
  </si>
  <si>
    <t>Terminale</t>
  </si>
  <si>
    <t>SUMMARY BY CYCLE</t>
  </si>
  <si>
    <t>Maternelle (Kindergarten)</t>
  </si>
  <si>
    <t>Élémentaire (Elementary)</t>
  </si>
  <si>
    <t>Collège (Middle School)</t>
  </si>
  <si>
    <t>Lycée (High School)</t>
  </si>
  <si>
    <t>TOTAL CLASSES</t>
  </si>
  <si>
    <t>Source: EFIR Structure Pédagogique — https://www.efiriyad.com/structure-pedagogique/</t>
  </si>
  <si>
    <t>Annual Hours</t>
  </si>
  <si>
    <t>Français</t>
  </si>
  <si>
    <t>Mathématiques</t>
  </si>
  <si>
    <t>Type</t>
  </si>
  <si>
    <t>Physique-Chimie</t>
  </si>
  <si>
    <t>Technologie</t>
  </si>
  <si>
    <t>Arts Plastiques</t>
  </si>
  <si>
    <t>Éducation Musicale</t>
  </si>
  <si>
    <t>Notes</t>
  </si>
  <si>
    <t>Histoire-Géographie</t>
  </si>
  <si>
    <t>SVT</t>
  </si>
  <si>
    <t>Enseignement Scientifique</t>
  </si>
  <si>
    <t>EPS</t>
  </si>
  <si>
    <t>Arabe</t>
  </si>
  <si>
    <t>Anglais</t>
  </si>
  <si>
    <t>MATERNELLE</t>
  </si>
  <si>
    <t>ÉLÉMENTAIRE</t>
  </si>
  <si>
    <t>COLLÈGE</t>
  </si>
  <si>
    <t>LYCÉE</t>
  </si>
  <si>
    <t>Subject / Matière</t>
  </si>
  <si>
    <t>Teacher Profile</t>
  </si>
  <si>
    <t>PS</t>
  </si>
  <si>
    <t>MS</t>
  </si>
  <si>
    <t>GS</t>
  </si>
  <si>
    <t>CP</t>
  </si>
  <si>
    <t>2nde</t>
  </si>
  <si>
    <t>1ère</t>
  </si>
  <si>
    <t>Tle</t>
  </si>
  <si>
    <t>Professeur des écoles (PE)</t>
  </si>
  <si>
    <t>Philosophie</t>
  </si>
  <si>
    <t>MATHEMATICS</t>
  </si>
  <si>
    <t>Spé. Mathématiques</t>
  </si>
  <si>
    <t>ARABIC LANGUAGE</t>
  </si>
  <si>
    <t>Arabe (Arabophone group)</t>
  </si>
  <si>
    <t>Arabe (Non-Arabophone group)</t>
  </si>
  <si>
    <t>Certifié Arabe</t>
  </si>
  <si>
    <t>ENGLISH LANGUAGE</t>
  </si>
  <si>
    <t>Enseignant Anglais Primaire</t>
  </si>
  <si>
    <t>Certifié Anglais</t>
  </si>
  <si>
    <t>Spé. LLCE Anglais</t>
  </si>
  <si>
    <t>SCIENCES</t>
  </si>
  <si>
    <t>Certifié SVT</t>
  </si>
  <si>
    <t>Spé. SVT</t>
  </si>
  <si>
    <t>Certifié Physique-Chimie</t>
  </si>
  <si>
    <t>Spé. Physique-Chimie</t>
  </si>
  <si>
    <t>Certifié Technologie</t>
  </si>
  <si>
    <t>Certifié Sciences (mutualisé)</t>
  </si>
  <si>
    <t>Certifié NSI/Maths</t>
  </si>
  <si>
    <t>HISTORY, GEOGRAPHY &amp; CIVICS</t>
  </si>
  <si>
    <t>Certifié Hist-Géo</t>
  </si>
  <si>
    <t>Spé. HGGSP</t>
  </si>
  <si>
    <t>Certifié SES</t>
  </si>
  <si>
    <t>Spé. SES</t>
  </si>
  <si>
    <t>Certifié Arts Plastiques</t>
  </si>
  <si>
    <t>Certifié Éducation Musicale</t>
  </si>
  <si>
    <t>Certifié EPS</t>
  </si>
  <si>
    <t>EFIR — Teacher Staffing Requirements Matrix 2025-26</t>
  </si>
  <si>
    <t>Purpose: Calculate FTE requirements per teacher profile. Blue cells = editable assumptions.</t>
  </si>
  <si>
    <t>PARAMETERS</t>
  </si>
  <si>
    <t>Statutory Hours / Week</t>
  </si>
  <si>
    <t>Certifié</t>
  </si>
  <si>
    <t>h/week</t>
  </si>
  <si>
    <t>Prof. des Écoles (PE)</t>
  </si>
  <si>
    <t>COMPUTATION</t>
  </si>
  <si>
    <t>Category</t>
  </si>
  <si>
    <t>Groups / Class</t>
  </si>
  <si>
    <t>Total Hrs/Wk</t>
  </si>
  <si>
    <t>Statutory</t>
  </si>
  <si>
    <t>FTE Req.</t>
  </si>
  <si>
    <t>Headcount</t>
  </si>
  <si>
    <t>FRENCH LANGUAGE</t>
  </si>
  <si>
    <t>Certifié Lettres</t>
  </si>
  <si>
    <t>Certifié Philosophie</t>
  </si>
  <si>
    <t>Maths</t>
  </si>
  <si>
    <t>Certifié Maths</t>
  </si>
  <si>
    <t>Maths Complémentaires (opt.)</t>
  </si>
  <si>
    <t>Maths Expertes (opt.)</t>
  </si>
  <si>
    <t>Anglais (Primaire)</t>
  </si>
  <si>
    <t>Sciences</t>
  </si>
  <si>
    <t>Technologie (Cycle 4)</t>
  </si>
  <si>
    <t>SNT (2nde)</t>
  </si>
  <si>
    <t>Spé. NSI</t>
  </si>
  <si>
    <t>HG-EMC</t>
  </si>
  <si>
    <t>SES (2nde)</t>
  </si>
  <si>
    <t>Arts</t>
  </si>
  <si>
    <t>HOMEROOM</t>
  </si>
  <si>
    <t>Homeroom</t>
  </si>
  <si>
    <t>Homeroom Maternelle</t>
  </si>
  <si>
    <t>Homeroom Élémentaire</t>
  </si>
  <si>
    <t>ASEM Maternelle</t>
  </si>
  <si>
    <t>ASEM</t>
  </si>
  <si>
    <t>Total Certifié Arabe</t>
  </si>
  <si>
    <t>Total Certifié Anglais</t>
  </si>
  <si>
    <t>Number of students</t>
  </si>
  <si>
    <t xml:space="preserve">  ▸ Primaire</t>
  </si>
  <si>
    <t>⬛ Subtotal Primaire (shared pool)</t>
  </si>
  <si>
    <t>⬛ Subtotal Maternelle</t>
  </si>
  <si>
    <t>⬛ Subtotal Élémentaire</t>
  </si>
  <si>
    <t>BLOCK 1 — MATERNELLE / PRIMAIRE</t>
  </si>
  <si>
    <t>BLOCK 2 — COLLÈGE / LYCÉE</t>
  </si>
  <si>
    <t>HSA (Supp. Hrs)</t>
  </si>
  <si>
    <t>Effective Certifié</t>
  </si>
  <si>
    <t>Sort Order</t>
  </si>
  <si>
    <t>Stage</t>
  </si>
  <si>
    <t>Track</t>
  </si>
  <si>
    <t>Subject</t>
  </si>
  <si>
    <t>Hour Status</t>
  </si>
  <si>
    <t>Weekly Hours</t>
  </si>
  <si>
    <t>Planning Groups</t>
  </si>
  <si>
    <t>Delivered Hours/Wk</t>
  </si>
  <si>
    <t>Teacher Load Hrs/Wk</t>
  </si>
  <si>
    <t>Required FTE</t>
  </si>
  <si>
    <t>Avg Cost per FTE</t>
  </si>
  <si>
    <t>Est Annual Cost</t>
  </si>
  <si>
    <t>Source URL</t>
  </si>
  <si>
    <t>Core</t>
  </si>
  <si>
    <t>Official</t>
  </si>
  <si>
    <t/>
  </si>
  <si>
    <t>Éducation physique et sportive</t>
  </si>
  <si>
    <t>Derived from official grouped block</t>
  </si>
  <si>
    <t>Enseignement moral et civique</t>
  </si>
  <si>
    <t>Cycle 3</t>
  </si>
  <si>
    <t>6e</t>
  </si>
  <si>
    <t>https://www.education.gouv.fr/les-horaires-par-cycle-au-college-9884</t>
  </si>
  <si>
    <t>Histoire-géographie</t>
  </si>
  <si>
    <t>Derived from official 3 h grouped block 'Histoire-géographie + EMC', of which EMC is 30 minutes.</t>
  </si>
  <si>
    <t>Langue vivante 1</t>
  </si>
  <si>
    <t>Sciences de la vie et de la Terre + Physique-chimie</t>
  </si>
  <si>
    <t>Official grouped sciences block</t>
  </si>
  <si>
    <t>Current official 6e timetable groups the sciences block at 3 h/week.</t>
  </si>
  <si>
    <t>Arts plastiques</t>
  </si>
  <si>
    <t>Éducation musicale</t>
  </si>
  <si>
    <t>Soutien / approfondissement en français ou mathématiques</t>
  </si>
  <si>
    <t>Cycle 4</t>
  </si>
  <si>
    <t>5e</t>
  </si>
  <si>
    <t>Derived from official grouped block 'Histoire-géographie + EMC' with EMC = 30 minutes.</t>
  </si>
  <si>
    <t>Langue vivante 2</t>
  </si>
  <si>
    <t>Sciences de la vie et de la Terre</t>
  </si>
  <si>
    <t>Physique-chimie</t>
  </si>
  <si>
    <t>4e</t>
  </si>
  <si>
    <t>3e</t>
  </si>
  <si>
    <t>Seconde</t>
  </si>
  <si>
    <t>https://eduscol.education.gouv.fr/5466/seconde-generale-et-technologique</t>
  </si>
  <si>
    <t>LVA + LVB</t>
  </si>
  <si>
    <t>Sciences économiques et sociales</t>
  </si>
  <si>
    <t>Sciences numériques et technologie</t>
  </si>
  <si>
    <t>Première</t>
  </si>
  <si>
    <t>https://eduscol.education.gouv.fr/5418/cycle-terminal-de-la-voie-generale</t>
  </si>
  <si>
    <t>Enseignement scientifique</t>
  </si>
  <si>
    <t>Base common hours for all Première générale students.</t>
  </si>
  <si>
    <t>Conditional</t>
  </si>
  <si>
    <t>Mathématiques spécifiques intégrées à l'enseignement scientifique</t>
  </si>
  <si>
    <t>https://eduscol.education.gouv.fr/5790/programmes-et-ressources-en-enseignement-scientifique-voie-g</t>
  </si>
  <si>
    <t>Only for students not choosing the math specialty.</t>
  </si>
  <si>
    <t>Official annual 18h converted to weekly equivalent</t>
  </si>
  <si>
    <t>18 annual hours expressed here as a 0.5 h weekly equivalent.</t>
  </si>
  <si>
    <t>Specialty</t>
  </si>
  <si>
    <t>Official specialty</t>
  </si>
  <si>
    <t>National list; local school availability may differ. Students choose 3 specialties in Première.</t>
  </si>
  <si>
    <t>Biologie-écologie</t>
  </si>
  <si>
    <t>Agricultural lycée specialty; usually not applicable in mainstream AEFE schools. Students choose 3 specialties in Première.</t>
  </si>
  <si>
    <t>Éducation physique, pratiques et culture sportives</t>
  </si>
  <si>
    <t>School availability dependent. Students choose 3 specialties in Première.</t>
  </si>
  <si>
    <t>Histoire-géographie, géopolitique et sciences politiques</t>
  </si>
  <si>
    <t xml:space="preserve"> Students choose 3 specialties in Première.</t>
  </si>
  <si>
    <t>Humanités, littérature et philosophie</t>
  </si>
  <si>
    <t>Langues, littératures et cultures étrangères et régionales</t>
  </si>
  <si>
    <t>Littératures et langues et cultures de l'Antiquité</t>
  </si>
  <si>
    <t>Numérique et sciences informatiques</t>
  </si>
  <si>
    <t>Sciences de l'ingénieur</t>
  </si>
  <si>
    <t>National list; local school availability may differ. Students continue 2 specialties in Terminale.</t>
  </si>
  <si>
    <t>Agricultural lycée specialty; usually not applicable in mainstream AEFE schools. Students continue 2 specialties in Terminale.</t>
  </si>
  <si>
    <t>School availability dependent. Students continue 2 specialties in Terminale.</t>
  </si>
  <si>
    <t xml:space="preserve"> Students continue 2 specialties in Terminale.</t>
  </si>
  <si>
    <t>CORE SUBJECTS — TRONC COMMUN</t>
  </si>
  <si>
    <t>Soutien / approfondissement</t>
  </si>
  <si>
    <t>Option</t>
  </si>
  <si>
    <t>⬛ SUBTOTAL BLOCK 2 — COLLÈGE / LYCÉE</t>
  </si>
  <si>
    <t>Spé. HLP (1ère)</t>
  </si>
  <si>
    <t>Spé. HLP (Tle)</t>
  </si>
  <si>
    <t>LV2/LVB Student Split</t>
  </si>
  <si>
    <t>% Arabic</t>
  </si>
  <si>
    <t>% German</t>
  </si>
  <si>
    <t>% Spanish</t>
  </si>
  <si>
    <t xml:space="preserve">  ▸ Col</t>
  </si>
  <si>
    <t>Anglais — LV1 (Collège)</t>
  </si>
  <si>
    <t xml:space="preserve">  ▸ Lyc</t>
  </si>
  <si>
    <t>Anglais — LVA (Lycée)</t>
  </si>
  <si>
    <t>Arabe — LV2 (Collège 5e–3e)</t>
  </si>
  <si>
    <t>Arabe — LVB (Lycée)</t>
  </si>
  <si>
    <t>GERMAN LANGUAGE</t>
  </si>
  <si>
    <t>Allemand — LV2 (Collège 5e–3e)</t>
  </si>
  <si>
    <t>Certifié Allemand</t>
  </si>
  <si>
    <t>Allemand — LVB (Lycée)</t>
  </si>
  <si>
    <t>Total Certifié Allemand</t>
  </si>
  <si>
    <t>SPANISH LANGUAGE</t>
  </si>
  <si>
    <t>Espagnol — LV2 (Collège 5e–3e)</t>
  </si>
  <si>
    <t>Certifié Espagnol</t>
  </si>
  <si>
    <t>Espagnol — LVB (Lycée)</t>
  </si>
  <si>
    <t>Total Certifié Espagnol</t>
  </si>
  <si>
    <t>#</t>
  </si>
  <si>
    <t>Last Name</t>
  </si>
  <si>
    <t>First Name</t>
  </si>
  <si>
    <t>Contract Type</t>
  </si>
  <si>
    <t>Function / Role</t>
  </si>
  <si>
    <t>Department</t>
  </si>
  <si>
    <t>Subject / Discipline</t>
  </si>
  <si>
    <t>Allocation (Band)</t>
  </si>
  <si>
    <t>Status</t>
  </si>
  <si>
    <t>Joining Date</t>
  </si>
  <si>
    <t>YoS</t>
  </si>
  <si>
    <t>Base Salary (SAR)</t>
  </si>
  <si>
    <t>Housing (IL)</t>
  </si>
  <si>
    <t>Transport (IT)</t>
  </si>
  <si>
    <t>Resp. Premium</t>
  </si>
  <si>
    <t>HSA (10m)</t>
  </si>
  <si>
    <t>Monthly Gross (SAR)</t>
  </si>
  <si>
    <t>Hourly %</t>
  </si>
  <si>
    <t>Payment Method</t>
  </si>
  <si>
    <t>Aug. 2026-27</t>
  </si>
  <si>
    <t>Notes (QA)</t>
  </si>
  <si>
    <t>ABED</t>
  </si>
  <si>
    <t>Ghina</t>
  </si>
  <si>
    <t>Contrat Local</t>
  </si>
  <si>
    <t>Assistant(e) d'éducation</t>
  </si>
  <si>
    <t>Vie Scolaire &amp; Support</t>
  </si>
  <si>
    <t>Vie scolaire</t>
  </si>
  <si>
    <t>Secondaire</t>
  </si>
  <si>
    <t>Existing</t>
  </si>
  <si>
    <t>Liquide</t>
  </si>
  <si>
    <t>✓ Verified: All salary fields match payroll file.</t>
  </si>
  <si>
    <t>ABID</t>
  </si>
  <si>
    <t>Hamdi</t>
  </si>
  <si>
    <t>Virement</t>
  </si>
  <si>
    <t>ABOU RJEILI</t>
  </si>
  <si>
    <t>Christina</t>
  </si>
  <si>
    <t>ABOUTALEB</t>
  </si>
  <si>
    <t>Hasnae</t>
  </si>
  <si>
    <t>Professeur(e) des écoles</t>
  </si>
  <si>
    <t>Generaliste</t>
  </si>
  <si>
    <t>PSB</t>
  </si>
  <si>
    <t>ABSIL</t>
  </si>
  <si>
    <t>Marie-Savine</t>
  </si>
  <si>
    <t>Nouveau Contrat</t>
  </si>
  <si>
    <t>ACHATOU</t>
  </si>
  <si>
    <t>Nadia</t>
  </si>
  <si>
    <t>Responsable RH</t>
  </si>
  <si>
    <t>Administration</t>
  </si>
  <si>
    <t>Ressources humaines</t>
  </si>
  <si>
    <t>Mudad</t>
  </si>
  <si>
    <t>ADJTOUTAH</t>
  </si>
  <si>
    <t>Anissa</t>
  </si>
  <si>
    <t>AHYOUD</t>
  </si>
  <si>
    <t>Hanan</t>
  </si>
  <si>
    <t>GSD</t>
  </si>
  <si>
    <t>AL JUNDI</t>
  </si>
  <si>
    <t>Tamara</t>
  </si>
  <si>
    <t>Enseignant de langue étrangère</t>
  </si>
  <si>
    <t>PS-CM2 (Primaire)</t>
  </si>
  <si>
    <t>Primaire</t>
  </si>
  <si>
    <t>AL NAHED</t>
  </si>
  <si>
    <t>Saliha</t>
  </si>
  <si>
    <t>CE2 D</t>
  </si>
  <si>
    <t>AL OSSAIMI AL OTAIBI</t>
  </si>
  <si>
    <t>BADR</t>
  </si>
  <si>
    <t>Démarcheur</t>
  </si>
  <si>
    <t>Relations publiques</t>
  </si>
  <si>
    <t>✓ Verified: All salary fields match payroll file. | MISSING: Joining Date is blank. Needs HR input. | MISSING: YoS is blank. Needs HR input.</t>
  </si>
  <si>
    <t>AL SHAKHAA</t>
  </si>
  <si>
    <t>Nada</t>
  </si>
  <si>
    <t>Chargé(e) du programme noor</t>
  </si>
  <si>
    <t>Programme Noor</t>
  </si>
  <si>
    <t>ALAMRI</t>
  </si>
  <si>
    <t>Shalan</t>
  </si>
  <si>
    <t>Chargé(e) des relations publiques</t>
  </si>
  <si>
    <t>ALNACHAR</t>
  </si>
  <si>
    <t>Farah</t>
  </si>
  <si>
    <t>AMANAT</t>
  </si>
  <si>
    <t>Aisha</t>
  </si>
  <si>
    <t>MSB</t>
  </si>
  <si>
    <t>AMRI</t>
  </si>
  <si>
    <t>Kehena</t>
  </si>
  <si>
    <t>Enseignant second degré</t>
  </si>
  <si>
    <t>Collège / Lycée</t>
  </si>
  <si>
    <t>Francais</t>
  </si>
  <si>
    <t>PP 6eme B</t>
  </si>
  <si>
    <t>ASSEKOUR</t>
  </si>
  <si>
    <t>Soufiane</t>
  </si>
  <si>
    <t>TBD</t>
  </si>
  <si>
    <t>Secondaire (TBD)</t>
  </si>
  <si>
    <t>AYACHI</t>
  </si>
  <si>
    <t>Amen</t>
  </si>
  <si>
    <t>MSE</t>
  </si>
  <si>
    <t>BACHOUR</t>
  </si>
  <si>
    <t>Reem</t>
  </si>
  <si>
    <t>Chantal</t>
  </si>
  <si>
    <t>BALLAN</t>
  </si>
  <si>
    <t>Christiane</t>
  </si>
  <si>
    <t>Enseignant de langue étrangère second degré</t>
  </si>
  <si>
    <t>BASBOUS</t>
  </si>
  <si>
    <t>Carla</t>
  </si>
  <si>
    <t>Arabe (coordinatrice)</t>
  </si>
  <si>
    <t>-3250 (nouveau contrat retraite)</t>
  </si>
  <si>
    <t>BAYDOUN</t>
  </si>
  <si>
    <t>Fayza</t>
  </si>
  <si>
    <t>Assistante de direction</t>
  </si>
  <si>
    <t>Secretariat</t>
  </si>
  <si>
    <t>BELLILA LAOUATI</t>
  </si>
  <si>
    <t>Ilham</t>
  </si>
  <si>
    <t>PP 5eme E</t>
  </si>
  <si>
    <t>BEN ABDESSALEM</t>
  </si>
  <si>
    <t>Yousra</t>
  </si>
  <si>
    <t>CM2 F</t>
  </si>
  <si>
    <t>BEN AMAR</t>
  </si>
  <si>
    <t>Amira</t>
  </si>
  <si>
    <t>CE2 A</t>
  </si>
  <si>
    <t>BEN FGUIRA</t>
  </si>
  <si>
    <t>Fares</t>
  </si>
  <si>
    <t>Professeur(e) d'EPS</t>
  </si>
  <si>
    <t>BEN HIBA</t>
  </si>
  <si>
    <t>Nesrine</t>
  </si>
  <si>
    <t>BEN KIRAN</t>
  </si>
  <si>
    <t>Ambre</t>
  </si>
  <si>
    <t>Responsable APS</t>
  </si>
  <si>
    <t>Activites periscolaires</t>
  </si>
  <si>
    <t>Primaire &amp; Secondaire</t>
  </si>
  <si>
    <t>BEN OTHMAN</t>
  </si>
  <si>
    <t>Noelle</t>
  </si>
  <si>
    <t>Sciences economiques (SES)</t>
  </si>
  <si>
    <t>BEN SMIDA ÉP BEN IDRIS</t>
  </si>
  <si>
    <t>Khadija</t>
  </si>
  <si>
    <t>Mathematiques</t>
  </si>
  <si>
    <t>PP 2nde A</t>
  </si>
  <si>
    <t>BENBERNOU</t>
  </si>
  <si>
    <t>Rabia</t>
  </si>
  <si>
    <t>Assistante maternelle</t>
  </si>
  <si>
    <t>MSA</t>
  </si>
  <si>
    <t>BOUGATFA</t>
  </si>
  <si>
    <t>Rim</t>
  </si>
  <si>
    <t>BOUHJAR</t>
  </si>
  <si>
    <t>Fahmi</t>
  </si>
  <si>
    <t>Sciences physiques</t>
  </si>
  <si>
    <t>BOULMANE</t>
  </si>
  <si>
    <t>Lala-Malika</t>
  </si>
  <si>
    <t>Coordinatrice inclusion</t>
  </si>
  <si>
    <t>Inclusion</t>
  </si>
  <si>
    <t>BOURAOUI</t>
  </si>
  <si>
    <t>Nasri</t>
  </si>
  <si>
    <t>BOURSAULT</t>
  </si>
  <si>
    <t>Géraldine</t>
  </si>
  <si>
    <t>BOUSSAID</t>
  </si>
  <si>
    <t>BOUZID</t>
  </si>
  <si>
    <t>Rafahiya</t>
  </si>
  <si>
    <t>BRAX</t>
  </si>
  <si>
    <t>Nathalie</t>
  </si>
  <si>
    <t>GSB</t>
  </si>
  <si>
    <t>BRUNET</t>
  </si>
  <si>
    <t>Clemence</t>
  </si>
  <si>
    <t>PSA</t>
  </si>
  <si>
    <t>BUZIT</t>
  </si>
  <si>
    <t>Cécile</t>
  </si>
  <si>
    <t>Chargée des moyens généraux</t>
  </si>
  <si>
    <t>Moyens generaux</t>
  </si>
  <si>
    <t>CABRERA</t>
  </si>
  <si>
    <t>Victor</t>
  </si>
  <si>
    <t>Espagnol</t>
  </si>
  <si>
    <t>CATRY</t>
  </si>
  <si>
    <t>Vanessa</t>
  </si>
  <si>
    <t>PP 6eme E</t>
  </si>
  <si>
    <t>CHAABAN</t>
  </si>
  <si>
    <t>Amani</t>
  </si>
  <si>
    <t>CHABIRAND</t>
  </si>
  <si>
    <t>Estelle</t>
  </si>
  <si>
    <t>CP B</t>
  </si>
  <si>
    <t>CHAIEB</t>
  </si>
  <si>
    <t>Iheb</t>
  </si>
  <si>
    <t>CHARIF</t>
  </si>
  <si>
    <t>Hiba</t>
  </si>
  <si>
    <t>CHAUVET</t>
  </si>
  <si>
    <t>Aurelie</t>
  </si>
  <si>
    <t>CM2 E</t>
  </si>
  <si>
    <t>CHBEIR</t>
  </si>
  <si>
    <t>Grece</t>
  </si>
  <si>
    <t>CHEBLI</t>
  </si>
  <si>
    <t>Amal</t>
  </si>
  <si>
    <t>CE2 E</t>
  </si>
  <si>
    <t>CHERFAN</t>
  </si>
  <si>
    <t>Randa</t>
  </si>
  <si>
    <t>PP 6eme D</t>
  </si>
  <si>
    <t>CHIKHANI</t>
  </si>
  <si>
    <t>Roula</t>
  </si>
  <si>
    <t>Responsable des moyens généraux</t>
  </si>
  <si>
    <t>CHOUT</t>
  </si>
  <si>
    <t>Valérie</t>
  </si>
  <si>
    <t>FLE</t>
  </si>
  <si>
    <t>CORNETTE</t>
  </si>
  <si>
    <t>Myriem</t>
  </si>
  <si>
    <t>COSSIN ÉP FAYE</t>
  </si>
  <si>
    <t>Maryelle</t>
  </si>
  <si>
    <t>PP 3eme C</t>
  </si>
  <si>
    <t>DAOUK</t>
  </si>
  <si>
    <t>Zeina</t>
  </si>
  <si>
    <t>GSA</t>
  </si>
  <si>
    <t>DELLAH</t>
  </si>
  <si>
    <t>Sawssen</t>
  </si>
  <si>
    <t>MSC</t>
  </si>
  <si>
    <t>DESBARRES</t>
  </si>
  <si>
    <t>Chloé</t>
  </si>
  <si>
    <t>DIAZ</t>
  </si>
  <si>
    <t>Maud</t>
  </si>
  <si>
    <t>DIOURI</t>
  </si>
  <si>
    <t>DJEBARI</t>
  </si>
  <si>
    <t>Yasmina</t>
  </si>
  <si>
    <t>CPE</t>
  </si>
  <si>
    <t>3000 (changement de poste)</t>
  </si>
  <si>
    <t>DJERAD</t>
  </si>
  <si>
    <t>Islem</t>
  </si>
  <si>
    <t>Responsable informatique</t>
  </si>
  <si>
    <t>Informatique</t>
  </si>
  <si>
    <t>500 (alignement des Resp Admin)</t>
  </si>
  <si>
    <t>DOMLOGE</t>
  </si>
  <si>
    <t>Racha</t>
  </si>
  <si>
    <t>PP 2nde E</t>
  </si>
  <si>
    <t>DUMAS</t>
  </si>
  <si>
    <t>Tiphaine</t>
  </si>
  <si>
    <t>CE1 B</t>
  </si>
  <si>
    <t>EDOUJ</t>
  </si>
  <si>
    <t>Fatima</t>
  </si>
  <si>
    <t>EL BOUFRAHI</t>
  </si>
  <si>
    <t>NAJLAA</t>
  </si>
  <si>
    <t>Infirmière</t>
  </si>
  <si>
    <t>Sante scolaire</t>
  </si>
  <si>
    <t>EL GHAZAL</t>
  </si>
  <si>
    <t>Lina</t>
  </si>
  <si>
    <t>EL KHATIB</t>
  </si>
  <si>
    <t>Ghislaine</t>
  </si>
  <si>
    <t>EL OUAFI</t>
  </si>
  <si>
    <t>Hassan</t>
  </si>
  <si>
    <t>EL OUAHABI/LAHLOU</t>
  </si>
  <si>
    <t>MSD</t>
  </si>
  <si>
    <t>EL OUARDI</t>
  </si>
  <si>
    <t>Nawale</t>
  </si>
  <si>
    <t>EL SMAILI</t>
  </si>
  <si>
    <t>Laila</t>
  </si>
  <si>
    <t>CM1 B</t>
  </si>
  <si>
    <t>EZZOUHOURI</t>
  </si>
  <si>
    <t>Sana</t>
  </si>
  <si>
    <t>FERJANI</t>
  </si>
  <si>
    <t>Chokri</t>
  </si>
  <si>
    <t>Chauffeur</t>
  </si>
  <si>
    <t>Transport</t>
  </si>
  <si>
    <t>FESSI</t>
  </si>
  <si>
    <t>Salwa</t>
  </si>
  <si>
    <t>PP 6eme F</t>
  </si>
  <si>
    <t>FOUAL</t>
  </si>
  <si>
    <t>Kenza</t>
  </si>
  <si>
    <t>AED Collège / Assistante APS</t>
  </si>
  <si>
    <t>Remplacement</t>
  </si>
  <si>
    <t>FRIGUI</t>
  </si>
  <si>
    <t>Amir</t>
  </si>
  <si>
    <t>GHAZOUANI</t>
  </si>
  <si>
    <t>Slim</t>
  </si>
  <si>
    <t>GRATEAU</t>
  </si>
  <si>
    <t>Michele</t>
  </si>
  <si>
    <t>Bibliothécaire</t>
  </si>
  <si>
    <t>Bibliotheque</t>
  </si>
  <si>
    <t>✓ Verified: All salary fields match payroll file. | TYPO FIXED: 'Bibliothécaire' corrected to 'Bibliothécaire' (corrupted in source file).</t>
  </si>
  <si>
    <t>GRENIER-MERAUD</t>
  </si>
  <si>
    <t>Laetitia</t>
  </si>
  <si>
    <t>PSC</t>
  </si>
  <si>
    <t>HADJ TAIEB</t>
  </si>
  <si>
    <t>Amine</t>
  </si>
  <si>
    <t>Enseignant second degré (55.6%) + Animateur Fab/Lab (42.9%)</t>
  </si>
  <si>
    <t>Collège / Lycée + Vie Scolaire</t>
  </si>
  <si>
    <t>Technologie / SNT</t>
  </si>
  <si>
    <t>250 + 200</t>
  </si>
  <si>
    <t>MERGED: Was 2 rows (#82 Enseignant 55.6% + #83 Animateur 42.9%). Combined salary = Base 7796 + IL 2460 + IT 492 = Gross 10748. Total hourly ~98.4%. Aug: 250 (Enseignant) + 200 (Animateur). Salary file also had 2 rows - both verified matching.</t>
  </si>
  <si>
    <t>HAJJEJ</t>
  </si>
  <si>
    <t>Mohamed</t>
  </si>
  <si>
    <t>Référent sécurité</t>
  </si>
  <si>
    <t>Securite</t>
  </si>
  <si>
    <t>2200 (changement de poste)</t>
  </si>
  <si>
    <t>HAMMOUD</t>
  </si>
  <si>
    <t>Noura</t>
  </si>
  <si>
    <t>HARB</t>
  </si>
  <si>
    <t>HIBA</t>
  </si>
  <si>
    <t>CM1 C</t>
  </si>
  <si>
    <t>HARBI</t>
  </si>
  <si>
    <t>Emna</t>
  </si>
  <si>
    <t>HELOU - SEMAAN</t>
  </si>
  <si>
    <t>Sylvana</t>
  </si>
  <si>
    <t>CE1 D</t>
  </si>
  <si>
    <t>HEMAYA</t>
  </si>
  <si>
    <t>Loubna</t>
  </si>
  <si>
    <t>CE1 F</t>
  </si>
  <si>
    <t>HOFFMAN</t>
  </si>
  <si>
    <t>Anne-Sophie</t>
  </si>
  <si>
    <t>Professeure de Musique</t>
  </si>
  <si>
    <t>Musique</t>
  </si>
  <si>
    <t>HUSSEIN</t>
  </si>
  <si>
    <t>Waad</t>
  </si>
  <si>
    <t>IMRANE</t>
  </si>
  <si>
    <t>Lounes</t>
  </si>
  <si>
    <t>JAMGOSSIAN</t>
  </si>
  <si>
    <t>Anahid-Lydia</t>
  </si>
  <si>
    <t>JEANSON</t>
  </si>
  <si>
    <t>Marianne</t>
  </si>
  <si>
    <t>CP E</t>
  </si>
  <si>
    <t>JEMAA ÉP KHALDI</t>
  </si>
  <si>
    <t>Fatma Chiraz</t>
  </si>
  <si>
    <t>PP 4eme A</t>
  </si>
  <si>
    <t>KABBANI</t>
  </si>
  <si>
    <t>KARAM</t>
  </si>
  <si>
    <t>Nadine</t>
  </si>
  <si>
    <t>Chef comptable</t>
  </si>
  <si>
    <t>Comptabilite</t>
  </si>
  <si>
    <t>KARE CHEVALIER</t>
  </si>
  <si>
    <t>Yacine</t>
  </si>
  <si>
    <t>Chargée des frais de scolarité</t>
  </si>
  <si>
    <t>Frais de scolarite</t>
  </si>
  <si>
    <t>KARKAR</t>
  </si>
  <si>
    <t>Assia</t>
  </si>
  <si>
    <t>KERARMA</t>
  </si>
  <si>
    <t>Faiza</t>
  </si>
  <si>
    <t>GSC</t>
  </si>
  <si>
    <t>KHAIRALLAH</t>
  </si>
  <si>
    <t>Joelle</t>
  </si>
  <si>
    <t>PP 5eme D</t>
  </si>
  <si>
    <t>KHELIF</t>
  </si>
  <si>
    <t>Jihed</t>
  </si>
  <si>
    <t>KHEMIRI</t>
  </si>
  <si>
    <t>KHODR VANDAMME</t>
  </si>
  <si>
    <t>Claire</t>
  </si>
  <si>
    <t>KIRECHE</t>
  </si>
  <si>
    <t>Asma</t>
  </si>
  <si>
    <t>LABBAN</t>
  </si>
  <si>
    <t>MAGRA</t>
  </si>
  <si>
    <t>Mathematiques (coordinatrice)</t>
  </si>
  <si>
    <t>PP 1ere D</t>
  </si>
  <si>
    <t>MAKSOUD</t>
  </si>
  <si>
    <t>PP 3eme A</t>
  </si>
  <si>
    <t>MALLY</t>
  </si>
  <si>
    <t>Karima</t>
  </si>
  <si>
    <t>Responsable des frais de scolarité</t>
  </si>
  <si>
    <t>MAMLOUK ÉP DAOUD</t>
  </si>
  <si>
    <t>Arwa</t>
  </si>
  <si>
    <t>Arts plastiques (coordinatrice)</t>
  </si>
  <si>
    <t>PP 4eme B</t>
  </si>
  <si>
    <t>MATHLOUTI</t>
  </si>
  <si>
    <t>Sabeur</t>
  </si>
  <si>
    <t>PP 3eme D</t>
  </si>
  <si>
    <t>MAURRIC</t>
  </si>
  <si>
    <t>Isabelle</t>
  </si>
  <si>
    <t>MEKNI</t>
  </si>
  <si>
    <t>Mehdi</t>
  </si>
  <si>
    <t>MERHABI</t>
  </si>
  <si>
    <t>Jinane</t>
  </si>
  <si>
    <t>MESSAOUDI</t>
  </si>
  <si>
    <t>Amel</t>
  </si>
  <si>
    <t>PP 3eme B</t>
  </si>
  <si>
    <t>MESTO</t>
  </si>
  <si>
    <t>Comptable</t>
  </si>
  <si>
    <t>MIKHAEL</t>
  </si>
  <si>
    <t>Aide laboratoire</t>
  </si>
  <si>
    <t>Laboratoire</t>
  </si>
  <si>
    <t>MONCHIET</t>
  </si>
  <si>
    <t>Daniel</t>
  </si>
  <si>
    <t>Responsable sécurité</t>
  </si>
  <si>
    <t>MOUAATARIF</t>
  </si>
  <si>
    <t>Psychologue scolaire</t>
  </si>
  <si>
    <t>Psychologie scolaire</t>
  </si>
  <si>
    <t>MOURI</t>
  </si>
  <si>
    <t>Farès</t>
  </si>
  <si>
    <t>MOURTAFIA</t>
  </si>
  <si>
    <t>Siham</t>
  </si>
  <si>
    <t>GSE</t>
  </si>
  <si>
    <t>NACCOUR</t>
  </si>
  <si>
    <t>Responsable des inscriptions</t>
  </si>
  <si>
    <t>Inscriptions</t>
  </si>
  <si>
    <t>2250 (alignement des Resp Admin)</t>
  </si>
  <si>
    <t>NAGHAM</t>
  </si>
  <si>
    <t>Mariama</t>
  </si>
  <si>
    <t>NASSAR</t>
  </si>
  <si>
    <t>Maya</t>
  </si>
  <si>
    <t>NICOLAS</t>
  </si>
  <si>
    <t>Armelle</t>
  </si>
  <si>
    <t>Bibliothécaire (50%) + Enseignant second degré (50%)</t>
  </si>
  <si>
    <t>Vie Scolaire + Collège / Lycée</t>
  </si>
  <si>
    <t>Histoire-Géographie / Bibliothèque</t>
  </si>
  <si>
    <t>MERGED: Was 2 rows (#127 Bibliothécaire 50% + #128 Enseignant 50%). Combined salary = Base 8750 + IL 2500 + IT 500 = Gross 11750. Total hourly 100%. Salary file also had 2 rows - both verified matching. | NOTE: Original salary file had 'Bibliothécaire' typo (corrupted 'Bibliothécaire') - corrected here.</t>
  </si>
  <si>
    <t>OBAA ESSOLA</t>
  </si>
  <si>
    <t>Cynthia</t>
  </si>
  <si>
    <t>5800 (changement de poste)</t>
  </si>
  <si>
    <t>PIERRU</t>
  </si>
  <si>
    <t>Documentaliste</t>
  </si>
  <si>
    <t>Documentation / CDI</t>
  </si>
  <si>
    <t>POPULUS</t>
  </si>
  <si>
    <t>QUESNEL</t>
  </si>
  <si>
    <t>Guillaume</t>
  </si>
  <si>
    <t>RAJEH</t>
  </si>
  <si>
    <t>Raya</t>
  </si>
  <si>
    <t>REZGUI</t>
  </si>
  <si>
    <t>Imen</t>
  </si>
  <si>
    <t>Chargée RH</t>
  </si>
  <si>
    <t>RIFFI</t>
  </si>
  <si>
    <t>RIGBOU</t>
  </si>
  <si>
    <t>RIGOLLET</t>
  </si>
  <si>
    <t>Claudelle</t>
  </si>
  <si>
    <t>CM2 C</t>
  </si>
  <si>
    <t>ROJKOFF</t>
  </si>
  <si>
    <t>Sonia</t>
  </si>
  <si>
    <t>CE2 C</t>
  </si>
  <si>
    <t>SAAB</t>
  </si>
  <si>
    <t>SAAD</t>
  </si>
  <si>
    <t>May</t>
  </si>
  <si>
    <t>SAADOUNE</t>
  </si>
  <si>
    <t>SABRA</t>
  </si>
  <si>
    <t>Dollat</t>
  </si>
  <si>
    <t>SAIDI</t>
  </si>
  <si>
    <t>Naaima</t>
  </si>
  <si>
    <t>Histoire-Geographie</t>
  </si>
  <si>
    <t>SAKR</t>
  </si>
  <si>
    <t>Sally</t>
  </si>
  <si>
    <t>Allemand</t>
  </si>
  <si>
    <t>SALAMA HUSSEIN</t>
  </si>
  <si>
    <t>SALEH</t>
  </si>
  <si>
    <t>Ghinwa</t>
  </si>
  <si>
    <t>SALHI</t>
  </si>
  <si>
    <t>Faten</t>
  </si>
  <si>
    <t>PP 3eme E</t>
  </si>
  <si>
    <t>SALIBA</t>
  </si>
  <si>
    <t>Fadia</t>
  </si>
  <si>
    <t>SEMAAN</t>
  </si>
  <si>
    <t>Fabienne</t>
  </si>
  <si>
    <t>SHAWBAH</t>
  </si>
  <si>
    <t>Myriam</t>
  </si>
  <si>
    <t>Anglais (coordinatrice)</t>
  </si>
  <si>
    <t>SOUKIASSIAN</t>
  </si>
  <si>
    <t>Lisa</t>
  </si>
  <si>
    <t>Professeur Documentaliste</t>
  </si>
  <si>
    <t>TEDJANI</t>
  </si>
  <si>
    <t>Hajar</t>
  </si>
  <si>
    <t>TEMAGOULT</t>
  </si>
  <si>
    <t>AED primaire avec mission de remplacement</t>
  </si>
  <si>
    <t>VAN OORDT</t>
  </si>
  <si>
    <t>Alexandra</t>
  </si>
  <si>
    <t>PDMQDC</t>
  </si>
  <si>
    <t>PDMQDC (Soutien CP-CM2)</t>
  </si>
  <si>
    <t>WALET</t>
  </si>
  <si>
    <t>Ahmedou</t>
  </si>
  <si>
    <t>WALHA</t>
  </si>
  <si>
    <t>Leila</t>
  </si>
  <si>
    <t>YAKHLEF</t>
  </si>
  <si>
    <t>Sabrina</t>
  </si>
  <si>
    <t>YOUNES</t>
  </si>
  <si>
    <t>Youmna</t>
  </si>
  <si>
    <t>PP 5eme B</t>
  </si>
  <si>
    <t>ZAFARULLAH</t>
  </si>
  <si>
    <t>Khan</t>
  </si>
  <si>
    <t>Surveillant(e) de baignade</t>
  </si>
  <si>
    <t>Surveillance piscine</t>
  </si>
  <si>
    <t>ZARROUR</t>
  </si>
  <si>
    <t>PP 4eme D</t>
  </si>
  <si>
    <t>ZOUBIANE</t>
  </si>
  <si>
    <t>Sarah</t>
  </si>
  <si>
    <t>ZRIBI</t>
  </si>
  <si>
    <t>Boutheina</t>
  </si>
  <si>
    <t>CE1 C</t>
  </si>
  <si>
    <t>REGNIER</t>
  </si>
  <si>
    <t>Arnaud</t>
  </si>
  <si>
    <t>Titulaire EN</t>
  </si>
  <si>
    <t>Proviseur</t>
  </si>
  <si>
    <t>Direction</t>
  </si>
  <si>
    <t>Direction generale</t>
  </si>
  <si>
    <t>Etablissement</t>
  </si>
  <si>
    <t>N/A</t>
  </si>
  <si>
    <t>Titulaire EN (paid by France). Salary fields intentionally blank. Not in local payroll.</t>
  </si>
  <si>
    <t>OUFAQUI</t>
  </si>
  <si>
    <t>Fouad</t>
  </si>
  <si>
    <t>Directeur administratif et financier (DAF)</t>
  </si>
  <si>
    <t>Direction financiere</t>
  </si>
  <si>
    <t>Said</t>
  </si>
  <si>
    <t>Proviseur-Adjoint</t>
  </si>
  <si>
    <t>AIT LHADJ</t>
  </si>
  <si>
    <t>Mohand</t>
  </si>
  <si>
    <t>Directeur ecole elementaire</t>
  </si>
  <si>
    <t>Direction pedagogique</t>
  </si>
  <si>
    <t>MARCHIVE</t>
  </si>
  <si>
    <t>Berengere</t>
  </si>
  <si>
    <t>Directrice ecole maternelle</t>
  </si>
  <si>
    <t>ANIN</t>
  </si>
  <si>
    <t>Karine</t>
  </si>
  <si>
    <t>Professeur(e) des ecoles</t>
  </si>
  <si>
    <t>PSC (Maternelle)</t>
  </si>
  <si>
    <t>LIEGE-ORVILLE</t>
  </si>
  <si>
    <t>GSB (Maternelle)</t>
  </si>
  <si>
    <t>BEN ABDELLAH</t>
  </si>
  <si>
    <t>CM1 A</t>
  </si>
  <si>
    <t>Youcef</t>
  </si>
  <si>
    <t>CP D</t>
  </si>
  <si>
    <t>COURSAULT</t>
  </si>
  <si>
    <t>Celine</t>
  </si>
  <si>
    <t>CM1 E</t>
  </si>
  <si>
    <t>FIGUA</t>
  </si>
  <si>
    <t>CP C</t>
  </si>
  <si>
    <t>HENNI</t>
  </si>
  <si>
    <t>Virginie</t>
  </si>
  <si>
    <t>CM1 D</t>
  </si>
  <si>
    <t>Yann</t>
  </si>
  <si>
    <t>Enseignant second degre</t>
  </si>
  <si>
    <t>CARATCHIAN</t>
  </si>
  <si>
    <t>Serge</t>
  </si>
  <si>
    <t>PP 1ere C</t>
  </si>
  <si>
    <t>DAUPHIN</t>
  </si>
  <si>
    <t>Marie</t>
  </si>
  <si>
    <t>PP 6eme C</t>
  </si>
  <si>
    <t>Kahena</t>
  </si>
  <si>
    <t>Francais (coordinatrice)</t>
  </si>
  <si>
    <t>PP 1ere A</t>
  </si>
  <si>
    <t>Sciences physiques (coordinateur)</t>
  </si>
  <si>
    <t>PP 2nde C</t>
  </si>
  <si>
    <t>Ahmed</t>
  </si>
  <si>
    <t>Technologie / SNT (coordinateur)</t>
  </si>
  <si>
    <t>PP 5eme C</t>
  </si>
  <si>
    <t>GOUDEZEUNE</t>
  </si>
  <si>
    <t>Stephane</t>
  </si>
  <si>
    <t>PP 2nde D</t>
  </si>
  <si>
    <t>HAFIDI</t>
  </si>
  <si>
    <t>Malika</t>
  </si>
  <si>
    <t>PP Tle D</t>
  </si>
  <si>
    <t>HASSAN</t>
  </si>
  <si>
    <t>Enseignant de langue etrangere second degre</t>
  </si>
  <si>
    <t>Espagnol (coordinateur)</t>
  </si>
  <si>
    <t>HU</t>
  </si>
  <si>
    <t>Gregory</t>
  </si>
  <si>
    <t>Sciences eco. (SES) (coordinateur)</t>
  </si>
  <si>
    <t>PP 2nde B</t>
  </si>
  <si>
    <t>LEFEVERE</t>
  </si>
  <si>
    <t>Marc</t>
  </si>
  <si>
    <t>Mathematiques (coordinateur)</t>
  </si>
  <si>
    <t>MASSIN</t>
  </si>
  <si>
    <t>Anais</t>
  </si>
  <si>
    <t>SVT (coordinatrice)</t>
  </si>
  <si>
    <t>THIONEL</t>
  </si>
  <si>
    <t>PP Tle B</t>
  </si>
  <si>
    <t>Riad</t>
  </si>
  <si>
    <t>Histoire-Geo (coordinateur)</t>
  </si>
  <si>
    <t>PP Tle A</t>
  </si>
  <si>
    <t xml:space="preserve">  </t>
  </si>
  <si>
    <t>HEADCOUNT SUMMARY</t>
  </si>
  <si>
    <t xml:space="preserve">  Departed</t>
  </si>
  <si>
    <t xml:space="preserve">  Direction</t>
  </si>
  <si>
    <t>CORRECTIONS &amp; NOTES</t>
  </si>
  <si>
    <t>EFIR — Staff Master Data FY2025-2026</t>
  </si>
  <si>
    <t>Teacher / Non-Teacher</t>
  </si>
  <si>
    <t>Non-Teacher</t>
  </si>
  <si>
    <t>Teacher</t>
  </si>
  <si>
    <t>Élémentaire (TBD)</t>
  </si>
  <si>
    <t>Collège &amp; Lycée</t>
  </si>
  <si>
    <t>Count</t>
  </si>
  <si>
    <t>Total Active Staff</t>
  </si>
  <si>
    <t>AEFE Staff (Titulaire EN)</t>
  </si>
  <si>
    <t xml:space="preserve">  Teachers</t>
  </si>
  <si>
    <t>Total Teachers</t>
  </si>
  <si>
    <t>Total Non-Teachers</t>
  </si>
  <si>
    <t>TEACHER PROFILE BREAKDOWN</t>
  </si>
  <si>
    <t xml:space="preserve">  Professeur des écoles (PE)</t>
  </si>
  <si>
    <t xml:space="preserve">  Certifié Lettres</t>
  </si>
  <si>
    <t xml:space="preserve">  Certifié Maths</t>
  </si>
  <si>
    <t xml:space="preserve">  Certifié Hist-Géo</t>
  </si>
  <si>
    <t xml:space="preserve">  Certifié SVT</t>
  </si>
  <si>
    <t xml:space="preserve">  Certifié Physique-Chimie</t>
  </si>
  <si>
    <t xml:space="preserve">  Certifié Info/Techno</t>
  </si>
  <si>
    <t xml:space="preserve">  Certifié SES</t>
  </si>
  <si>
    <t xml:space="preserve">  Certifié Arts Plastiques</t>
  </si>
  <si>
    <t xml:space="preserve">  Certifié Éducation Musicale</t>
  </si>
  <si>
    <t xml:space="preserve">  Certifié EPS</t>
  </si>
  <si>
    <t xml:space="preserve">  Certifié Anglais</t>
  </si>
  <si>
    <t xml:space="preserve">  Certifié Arabe</t>
  </si>
  <si>
    <t xml:space="preserve">  Certifié Espagnol</t>
  </si>
  <si>
    <t xml:space="preserve">  Certifié Allemand</t>
  </si>
  <si>
    <t xml:space="preserve">  Enseignant Anglais Primaire</t>
  </si>
  <si>
    <t xml:space="preserve">  TBD — Enseignant Arabe</t>
  </si>
  <si>
    <t xml:space="preserve">  TBD (Subject Unknown)</t>
  </si>
  <si>
    <t>CHAUVET Aurélie: corrected dept from Collège/Lycée to Élémentaire (website shows CM2 E teacher)</t>
  </si>
  <si>
    <t>CHOUT Valérie: corrected dept from Collège/Lycée to Élémentaire (website shows FLE teacher)</t>
  </si>
  <si>
    <t>HARB Hiba: corrected dept from Vie Scolaire to Élémentaire (website shows CM1 C class teacher)</t>
  </si>
  <si>
    <t>NEGHNAGH Anissa (#126 ASEM MSE): marked DEPARTED per user confirmation</t>
  </si>
  <si>
    <t>HADJ TAIEB Amine: merged from 2 payroll rows (Enseignant 55.6% + Animateur Fab/Lab 42.9%)</t>
  </si>
  <si>
    <t>NICOLAS Armelle: merged from 2 payroll rows (Bibliothécaire 50% + Enseignant Hist-Géo 50%)</t>
  </si>
  <si>
    <t>HUSSEIN Waad = Waad Mansour on website (confirmed same person)</t>
  </si>
  <si>
    <t>KABBANI Farah = Farah Chehabeddine on website (married name)</t>
  </si>
  <si>
    <t>YAKHLEF Sabrina = Sabrina Hadded on website (alternate name)</t>
  </si>
  <si>
    <t>DATA SOURCES:</t>
  </si>
  <si>
    <t>Payroll: Tableau récapitulatif Salaires 2025-2026 (source of truth for salary data)</t>
  </si>
  <si>
    <t>Website: efiriyad.com (March 2026) — source of truth for subject/allocation/class assignments</t>
  </si>
  <si>
    <t>Titulaires: AEFE staff paid by French Ministry of Education — salary fields intentionally blank</t>
  </si>
  <si>
    <t>TBD entries: staff whose subject/allocation could not be confirmed from website</t>
  </si>
  <si>
    <t>LEGEND</t>
  </si>
  <si>
    <t>Élémentaire / Primaire</t>
  </si>
  <si>
    <t>Secondaire (Collège &amp; Lycée)</t>
  </si>
  <si>
    <t>Titulaire EN (paid by France)</t>
  </si>
  <si>
    <t>Departed</t>
  </si>
  <si>
    <t xml:space="preserve">  Active (pre-existing)</t>
  </si>
  <si>
    <t xml:space="preserve">  New Hires (marked Nouveau Contrat)</t>
  </si>
  <si>
    <t>Active: 185 (159 Local + 26 AEFE) | Departed: 1 | Total rows: 186 | Currency: SAR | QA Validated: 2026-03-21</t>
  </si>
  <si>
    <t>Enseignant Arabe</t>
  </si>
  <si>
    <t>Certifié EMC</t>
  </si>
  <si>
    <t>EMC</t>
  </si>
  <si>
    <t>TOTAL</t>
  </si>
  <si>
    <t>Block</t>
  </si>
  <si>
    <t>Collège/Lycée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</si>
</sst>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7" formatCode="yyyy\-mm\-dd"/>
    <numFmt numFmtId="169" formatCode="0.0%"/>
  </numFmts>
  <fonts count="7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rgb="FFFFFFFF"/>
      <name val="Aptos Narrow"/>
      <family val="2"/>
      <scheme val="minor"/>
    </font>
    <font>
      <b/>
      <i/>
      <sz val="9"/>
      <color rgb="FF80808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FFFFFF"/>
      <name val="Aptos Narrow"/>
      <scheme val="minor"/>
    </font>
    <font>
      <b/>
      <sz val="12"/>
      <color rgb="FF0000FF"/>
      <name val="Aptos Narrow"/>
      <scheme val="minor"/>
    </font>
    <font>
      <sz val="12"/>
      <color rgb="FF333333"/>
      <name val="Aptos Narrow"/>
      <scheme val="minor"/>
    </font>
    <font>
      <i/>
      <sz val="12"/>
      <color rgb="FF595959"/>
      <name val="Aptos Narrow"/>
      <scheme val="minor"/>
    </font>
    <font>
      <i/>
      <sz val="10"/>
      <color rgb="FF4472C4"/>
      <name val="Aptos Narrow"/>
      <scheme val="minor"/>
    </font>
    <font>
      <b/>
      <i/>
      <sz val="11"/>
      <color rgb="FFFFFFFF"/>
      <name val="Aptos Narrow"/>
      <scheme val="minor"/>
    </font>
    <font>
      <b/>
      <sz val="11"/>
      <color rgb="FFFFFFFF"/>
      <name val="Aptos Narrow"/>
      <scheme val="minor"/>
    </font>
    <font>
      <i/>
      <sz val="12"/>
      <color rgb="FF808080"/>
      <name val="Aptos Narrow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color rgb="FF1F4E79"/>
      <name val="Aptos Narrow"/>
      <family val="2"/>
      <scheme val="minor"/>
    </font>
    <font>
      <i/>
      <sz val="10"/>
      <color rgb="FF595959"/>
      <name val="Aptos Narrow"/>
      <scheme val="minor"/>
    </font>
    <font>
      <b/>
      <i/>
      <sz val="10"/>
      <color rgb="FF595959"/>
      <name val="Aptos Narrow"/>
      <scheme val="minor"/>
    </font>
    <font>
      <b/>
      <sz val="10"/>
      <color rgb="FFFFFFFF"/>
      <name val="Aptos Narrow"/>
      <scheme val="minor"/>
    </font>
    <font>
      <b/>
      <sz val="10"/>
      <color rgb="FF1F4E79"/>
      <name val="Aptos Narrow"/>
      <scheme val="minor"/>
    </font>
    <font>
      <sz val="10"/>
      <color theme="1"/>
      <name val="Aptos Narrow"/>
      <scheme val="minor"/>
    </font>
    <font>
      <b/>
      <i/>
      <sz val="10"/>
      <color rgb="FFFFFFFF"/>
      <name val="Aptos Narrow"/>
      <scheme val="minor"/>
    </font>
    <font>
      <i/>
      <sz val="10"/>
      <color theme="1"/>
      <name val="Aptos Narrow"/>
      <scheme val="minor"/>
    </font>
    <font>
      <sz val="10"/>
      <color rgb="FF333333"/>
      <name val="Aptos Narrow"/>
      <scheme val="minor"/>
    </font>
    <font>
      <b/>
      <sz val="12"/>
      <color rgb="FF333333"/>
      <name val="Aptos Narrow"/>
      <scheme val="minor"/>
    </font>
    <font>
      <i/>
      <sz val="10"/>
      <color rgb="FF555555"/>
      <name val="Aptos Narrow"/>
      <scheme val="minor"/>
    </font>
    <font>
      <b/>
      <sz val="10"/>
      <color rgb="FF333333"/>
      <name val="Aptos Narrow"/>
      <scheme val="minor"/>
    </font>
    <font>
      <b/>
      <sz val="12"/>
      <color rgb="FF1B5E20"/>
      <name val="Aptos Narrow"/>
      <scheme val="minor"/>
    </font>
    <font>
      <b/>
      <i/>
      <sz val="10"/>
      <color rgb="FF555555"/>
      <name val="Aptos Narrow"/>
      <scheme val="minor"/>
    </font>
    <font>
      <b/>
      <sz val="10"/>
      <color rgb="FF1B5E20"/>
      <name val="Aptos Narrow"/>
      <scheme val="minor"/>
    </font>
    <font>
      <sz val="10"/>
      <color rgb="FF000000"/>
      <name val="Aptos Narrow"/>
      <scheme val="minor"/>
    </font>
    <font>
      <b/>
      <sz val="10"/>
      <color theme="1"/>
      <name val="Aptos Narrow"/>
      <scheme val="minor"/>
    </font>
    <font>
      <i/>
      <sz val="9"/>
      <color rgb="FF2D5F8A"/>
      <name val="Aptos Narrow"/>
      <scheme val="minor"/>
    </font>
    <font>
      <i/>
      <sz val="9"/>
      <color rgb="FF8B4513"/>
      <name val="Aptos Narrow"/>
      <scheme val="minor"/>
    </font>
    <font>
      <sz val="10"/>
      <color rgb="FF8B4513"/>
      <name val="Aptos Narrow"/>
      <scheme val="minor"/>
    </font>
    <font>
      <b/>
      <i/>
      <sz val="9"/>
      <color rgb="FF1F4E79"/>
      <name val="Aptos Narrow"/>
      <scheme val="minor"/>
    </font>
    <font>
      <b/>
      <i/>
      <sz val="9"/>
      <color rgb="FF8B4513"/>
      <name val="Aptos Narrow"/>
      <scheme val="minor"/>
    </font>
    <font>
      <b/>
      <sz val="10"/>
      <color rgb="FF8B4513"/>
      <name val="Aptos Narrow"/>
      <scheme val="minor"/>
    </font>
    <font>
      <b/>
      <sz val="14"/>
      <color rgb="FF1F4E79"/>
      <name val="Aptos Narrow"/>
      <scheme val="minor"/>
    </font>
    <font>
      <i/>
      <sz val="10"/>
      <color rgb="FF808080"/>
      <name val="Aptos Narrow"/>
      <scheme val="minor"/>
    </font>
    <font>
      <b/>
      <sz val="11"/>
      <color rgb="FF1B2A4A"/>
      <name val="Aptos Narrow"/>
      <scheme val="minor"/>
    </font>
    <font>
      <b/>
      <sz val="11"/>
      <color rgb="FF3D6B21"/>
      <name val="Aptos Narrow"/>
      <scheme val="minor"/>
    </font>
    <font>
      <b/>
      <sz val="12"/>
      <color rgb="FF3D6B21"/>
      <name val="Aptos Narrow"/>
      <scheme val="minor"/>
    </font>
    <font>
      <b/>
      <sz val="10"/>
      <color rgb="FF000000"/>
      <name val="Aptos Narrow"/>
      <scheme val="minor"/>
    </font>
    <font>
      <b/>
      <i/>
      <sz val="10"/>
      <color rgb="FF1B5E20"/>
      <name val="Aptos Narrow"/>
      <scheme val="minor"/>
    </font>
    <font>
      <b/>
      <i/>
      <sz val="10"/>
      <color rgb="FF333333"/>
      <name val="Aptos Narrow"/>
      <scheme val="minor"/>
    </font>
    <font>
      <b/>
      <i/>
      <sz val="10"/>
      <color rgb="FF000000"/>
      <name val="Aptos Narrow"/>
      <scheme val="minor"/>
    </font>
    <font>
      <i/>
      <sz val="9"/>
      <color rgb="FF595959"/>
      <name val="Aptos Narrow"/>
      <family val="2"/>
      <scheme val="minor"/>
    </font>
    <font>
      <sz val="10"/>
      <color theme="1"/>
      <name val="Calibri"/>
      <family val="2"/>
    </font>
    <font>
      <sz val="12"/>
      <color rgb="FF4A148C"/>
      <name val="Aptos Narrow"/>
      <family val="2"/>
      <scheme val="minor"/>
    </font>
    <font>
      <sz val="10"/>
      <color rgb="FF757575"/>
      <name val="Calibri"/>
      <family val="2"/>
    </font>
    <font>
      <b/>
      <sz val="10"/>
      <color rgb="FF1565C0"/>
      <name val="Calibri"/>
      <family val="2"/>
    </font>
    <font>
      <sz val="10"/>
      <color rgb="FFE65100"/>
      <name val="Calibri"/>
      <family val="2"/>
    </font>
    <font>
      <sz val="12"/>
      <color rgb="FF757575"/>
      <name val="Aptos Narrow"/>
      <family val="2"/>
      <scheme val="minor"/>
    </font>
    <font>
      <b/>
      <sz val="12"/>
      <color rgb="FF1565C0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rgb="FF1F4E79"/>
      <name val="Calibri"/>
      <family val="2"/>
    </font>
    <font>
      <sz val="9"/>
      <color rgb="FF595959"/>
      <name val="Aptos Narrow"/>
      <family val="2"/>
      <scheme val="minor"/>
    </font>
    <font>
      <b/>
      <sz val="9"/>
      <color rgb="FF333333"/>
      <name val="Aptos Narrow"/>
      <family val="2"/>
      <scheme val="minor"/>
    </font>
    <font>
      <sz val="10"/>
      <color rgb="FF4A148C"/>
      <name val="Calibri"/>
      <family val="2"/>
    </font>
    <font>
      <sz val="10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ADCF8"/>
      </patternFill>
    </fill>
    <fill>
      <patternFill patternType="solid">
        <fgColor rgb="FFE0E7EF"/>
        <bgColor indexed="64"/>
      </patternFill>
    </fill>
    <fill>
      <patternFill patternType="solid">
        <fgColor rgb="FF2D5F8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3A7BBF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EFF5E7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DDE8D6"/>
        <bgColor indexed="64"/>
      </patternFill>
    </fill>
    <fill>
      <patternFill patternType="solid">
        <fgColor rgb="FFFFF5EC"/>
        <bgColor indexed="64"/>
      </patternFill>
    </fill>
    <fill>
      <patternFill patternType="solid">
        <fgColor rgb="FF5B8C3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E0D0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D5B9DA"/>
        <bgColor indexed="64"/>
      </patternFill>
    </fill>
    <fill>
      <patternFill patternType="solid">
        <fgColor rgb="FF0D3259"/>
        <bgColor indexed="64"/>
      </patternFill>
    </fill>
  </fills>
  <borders count="6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1B2A4A"/>
      </top>
      <bottom/>
      <diagonal/>
    </border>
    <border>
      <left/>
      <right/>
      <top style="thin">
        <color rgb="FF1B2A4A"/>
      </top>
      <bottom style="thin">
        <color rgb="FF1B2A4A"/>
      </bottom>
      <diagonal/>
    </border>
    <border>
      <left/>
      <right style="thin">
        <color rgb="FFBFBFBF"/>
      </right>
      <top/>
      <bottom style="thin">
        <color rgb="FF1B2A4A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1B2A4A"/>
      </top>
      <bottom/>
      <diagonal/>
    </border>
    <border>
      <left/>
      <right style="thin">
        <color rgb="FFBFBFBF"/>
      </right>
      <top style="thin">
        <color rgb="FF1B2A4A"/>
      </top>
      <bottom style="thin">
        <color rgb="FF1B2A4A"/>
      </bottom>
      <diagonal/>
    </border>
    <border>
      <left/>
      <right style="thin">
        <color rgb="FFBFBFBF"/>
      </right>
      <top style="thin">
        <color rgb="FFE0E0E0"/>
      </top>
      <bottom/>
      <diagonal/>
    </border>
    <border>
      <left style="medium">
        <color rgb="FF5B8C3E"/>
      </left>
      <right/>
      <top/>
      <bottom style="thin">
        <color rgb="FF1B2A4A"/>
      </bottom>
      <diagonal/>
    </border>
    <border>
      <left style="medium">
        <color rgb="FF5B8C3E"/>
      </left>
      <right/>
      <top/>
      <bottom/>
      <diagonal/>
    </border>
    <border>
      <left style="medium">
        <color rgb="FF5B8C3E"/>
      </left>
      <right/>
      <top style="thin">
        <color rgb="FF1B2A4A"/>
      </top>
      <bottom/>
      <diagonal/>
    </border>
    <border>
      <left style="medium">
        <color rgb="FF5B8C3E"/>
      </left>
      <right/>
      <top style="thin">
        <color rgb="FF1B2A4A"/>
      </top>
      <bottom style="thin">
        <color rgb="FF1B2A4A"/>
      </bottom>
      <diagonal/>
    </border>
    <border>
      <left style="medium">
        <color rgb="FF5B8C3E"/>
      </left>
      <right/>
      <top style="thin">
        <color rgb="FFE0E0E0"/>
      </top>
      <bottom/>
      <diagonal/>
    </border>
    <border>
      <left/>
      <right style="thin">
        <color rgb="FFD0D0D0"/>
      </right>
      <top/>
      <bottom style="thin">
        <color rgb="FF1B2A4A"/>
      </bottom>
      <diagonal/>
    </border>
    <border>
      <left/>
      <right style="thin">
        <color rgb="FFD0D0D0"/>
      </right>
      <top/>
      <bottom/>
      <diagonal/>
    </border>
    <border>
      <left/>
      <right style="thin">
        <color rgb="FFD0D0D0"/>
      </right>
      <top style="thin">
        <color rgb="FF1B2A4A"/>
      </top>
      <bottom/>
      <diagonal/>
    </border>
    <border>
      <left/>
      <right style="thin">
        <color rgb="FFD0D0D0"/>
      </right>
      <top style="thin">
        <color rgb="FF1B2A4A"/>
      </top>
      <bottom style="thin">
        <color rgb="FF1B2A4A"/>
      </bottom>
      <diagonal/>
    </border>
    <border>
      <left/>
      <right style="thin">
        <color rgb="FFD0D0D0"/>
      </right>
      <top style="thin">
        <color rgb="FFE0E0E0"/>
      </top>
      <bottom/>
      <diagonal/>
    </border>
    <border>
      <left/>
      <right/>
      <top/>
      <bottom style="thin">
        <color rgb="FF1B2A4A"/>
      </bottom>
      <diagonal/>
    </border>
    <border>
      <left/>
      <right/>
      <top style="medium">
        <color rgb="FF1B2A4A"/>
      </top>
      <bottom style="medium">
        <color rgb="FF2D5F8A"/>
      </bottom>
      <diagonal/>
    </border>
    <border>
      <left/>
      <right style="thin">
        <color rgb="FFBFBFBF"/>
      </right>
      <top style="medium">
        <color rgb="FF1B2A4A"/>
      </top>
      <bottom style="medium">
        <color rgb="FF2D5F8A"/>
      </bottom>
      <diagonal/>
    </border>
    <border>
      <left/>
      <right style="thin">
        <color rgb="FFD0D0D0"/>
      </right>
      <top style="medium">
        <color rgb="FF1B2A4A"/>
      </top>
      <bottom style="medium">
        <color rgb="FF2D5F8A"/>
      </bottom>
      <diagonal/>
    </border>
    <border>
      <left style="medium">
        <color rgb="FF5B8C3E"/>
      </left>
      <right/>
      <top style="medium">
        <color rgb="FF1B2A4A"/>
      </top>
      <bottom style="medium">
        <color rgb="FF2D5F8A"/>
      </bottom>
      <diagonal/>
    </border>
    <border>
      <left/>
      <right/>
      <top style="medium">
        <color rgb="FF1B2A4A"/>
      </top>
      <bottom/>
      <diagonal/>
    </border>
    <border>
      <left/>
      <right style="thin">
        <color rgb="FFBFBFBF"/>
      </right>
      <top style="medium">
        <color rgb="FF1B2A4A"/>
      </top>
      <bottom/>
      <diagonal/>
    </border>
    <border>
      <left/>
      <right style="thin">
        <color rgb="FFD0D0D0"/>
      </right>
      <top style="medium">
        <color rgb="FF1B2A4A"/>
      </top>
      <bottom/>
      <diagonal/>
    </border>
    <border>
      <left style="medium">
        <color rgb="FF5B8C3E"/>
      </left>
      <right/>
      <top style="medium">
        <color rgb="FF1B2A4A"/>
      </top>
      <bottom/>
      <diagonal/>
    </border>
    <border>
      <left/>
      <right/>
      <top style="thin">
        <color rgb="FFE0E0E0"/>
      </top>
      <bottom style="medium">
        <color rgb="FF1B2A4A"/>
      </bottom>
      <diagonal/>
    </border>
    <border>
      <left/>
      <right style="thin">
        <color rgb="FFBFBFBF"/>
      </right>
      <top style="thin">
        <color rgb="FFE0E0E0"/>
      </top>
      <bottom style="medium">
        <color rgb="FF1B2A4A"/>
      </bottom>
      <diagonal/>
    </border>
    <border>
      <left/>
      <right style="thin">
        <color rgb="FFD0D0D0"/>
      </right>
      <top style="thin">
        <color rgb="FFE0E0E0"/>
      </top>
      <bottom style="medium">
        <color rgb="FF1B2A4A"/>
      </bottom>
      <diagonal/>
    </border>
    <border>
      <left style="medium">
        <color rgb="FF5B8C3E"/>
      </left>
      <right/>
      <top style="thin">
        <color rgb="FFE0E0E0"/>
      </top>
      <bottom style="medium">
        <color rgb="FF1B2A4A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medium">
        <color rgb="FF1B2A4A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1B2A4A"/>
      </right>
      <top style="thin">
        <color rgb="FFD0D0D0"/>
      </top>
      <bottom style="thin">
        <color rgb="FFD0D0D0"/>
      </bottom>
      <diagonal/>
    </border>
    <border>
      <left style="medium">
        <color rgb="FF1B2A4A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medium">
        <color rgb="FF1B2A4A"/>
      </right>
      <top/>
      <bottom style="thin">
        <color rgb="FFD0D0D0"/>
      </bottom>
      <diagonal/>
    </border>
    <border>
      <left style="medium">
        <color rgb="FF1B2A4A"/>
      </left>
      <right style="thin">
        <color rgb="FFD0D0D0"/>
      </right>
      <top style="medium">
        <color rgb="FF1B2A4A"/>
      </top>
      <bottom style="medium">
        <color rgb="FF1B2A4A"/>
      </bottom>
      <diagonal/>
    </border>
    <border>
      <left style="thin">
        <color rgb="FFD0D0D0"/>
      </left>
      <right style="thin">
        <color rgb="FFD0D0D0"/>
      </right>
      <top style="medium">
        <color rgb="FF1B2A4A"/>
      </top>
      <bottom style="medium">
        <color rgb="FF1B2A4A"/>
      </bottom>
      <diagonal/>
    </border>
    <border>
      <left style="thin">
        <color rgb="FFD0D0D0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medium">
        <color rgb="FF1B2A4A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medium">
        <color rgb="FF1B2A4A"/>
      </right>
      <top style="thin">
        <color rgb="FFD0D0D0"/>
      </top>
      <bottom/>
      <diagonal/>
    </border>
  </borders>
  <cellStyleXfs count="2">
    <xf numFmtId="0" fontId="0" fillId="0" borderId="0"/>
    <xf numFmtId="0" fontId="23" fillId="0" borderId="0"/>
  </cellStyleXfs>
  <cellXfs count="396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1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6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7" fillId="6" borderId="0" xfId="0" applyFont="1" applyFill="1"/>
    <xf numFmtId="0" fontId="8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0" fontId="12" fillId="2" borderId="0" xfId="0" applyFont="1" applyFill="1"/>
    <xf numFmtId="0" fontId="12" fillId="0" borderId="0" xfId="0" applyFont="1"/>
    <xf numFmtId="0" fontId="13" fillId="0" borderId="0" xfId="0" applyFont="1"/>
    <xf numFmtId="0" fontId="12" fillId="11" borderId="0" xfId="0" applyFont="1" applyFill="1" applyBorder="1"/>
    <xf numFmtId="1" fontId="15" fillId="10" borderId="0" xfId="0" applyNumberFormat="1" applyFont="1" applyFill="1"/>
    <xf numFmtId="0" fontId="21" fillId="0" borderId="0" xfId="0" applyFont="1"/>
    <xf numFmtId="1" fontId="13" fillId="0" borderId="0" xfId="0" applyNumberFormat="1" applyFont="1"/>
    <xf numFmtId="0" fontId="24" fillId="12" borderId="0" xfId="1" applyFont="1" applyFill="1" applyAlignment="1">
      <alignment horizontal="center" vertical="center" wrapText="1"/>
    </xf>
    <xf numFmtId="0" fontId="23" fillId="0" borderId="0" xfId="1"/>
    <xf numFmtId="0" fontId="23" fillId="13" borderId="7" xfId="1" applyFill="1" applyBorder="1" applyAlignment="1">
      <alignment horizontal="center" vertical="center" wrapText="1"/>
    </xf>
    <xf numFmtId="0" fontId="23" fillId="13" borderId="7" xfId="1" applyFill="1" applyBorder="1" applyAlignment="1">
      <alignment horizontal="left" vertical="center" wrapText="1"/>
    </xf>
    <xf numFmtId="164" fontId="23" fillId="0" borderId="7" xfId="1" applyNumberFormat="1" applyBorder="1" applyAlignment="1">
      <alignment horizontal="center" vertical="center" wrapText="1"/>
    </xf>
    <xf numFmtId="164" fontId="22" fillId="0" borderId="7" xfId="1" applyNumberFormat="1" applyFont="1" applyBorder="1" applyAlignment="1">
      <alignment horizontal="center" vertical="center" wrapText="1"/>
    </xf>
    <xf numFmtId="164" fontId="25" fillId="14" borderId="7" xfId="1" applyNumberFormat="1" applyFont="1" applyFill="1" applyBorder="1" applyAlignment="1">
      <alignment horizontal="center" vertical="center" wrapText="1"/>
    </xf>
    <xf numFmtId="2" fontId="22" fillId="0" borderId="7" xfId="1" applyNumberFormat="1" applyFont="1" applyBorder="1" applyAlignment="1">
      <alignment horizontal="center" vertical="center" wrapText="1"/>
    </xf>
    <xf numFmtId="3" fontId="22" fillId="0" borderId="7" xfId="1" applyNumberFormat="1" applyFont="1" applyBorder="1" applyAlignment="1">
      <alignment horizontal="center" vertical="center" wrapText="1"/>
    </xf>
    <xf numFmtId="0" fontId="23" fillId="14" borderId="7" xfId="1" applyFill="1" applyBorder="1" applyAlignment="1">
      <alignment horizontal="center" vertical="center" wrapText="1"/>
    </xf>
    <xf numFmtId="0" fontId="23" fillId="14" borderId="7" xfId="1" applyFill="1" applyBorder="1" applyAlignment="1">
      <alignment horizontal="left" vertical="center" wrapText="1"/>
    </xf>
    <xf numFmtId="0" fontId="23" fillId="15" borderId="7" xfId="1" applyFill="1" applyBorder="1" applyAlignment="1">
      <alignment horizontal="center" vertical="center" wrapText="1"/>
    </xf>
    <xf numFmtId="0" fontId="23" fillId="15" borderId="7" xfId="1" applyFill="1" applyBorder="1" applyAlignment="1">
      <alignment horizontal="left" vertical="center" wrapText="1"/>
    </xf>
    <xf numFmtId="0" fontId="29" fillId="20" borderId="0" xfId="0" applyFont="1" applyFill="1"/>
    <xf numFmtId="1" fontId="29" fillId="20" borderId="0" xfId="0" applyNumberFormat="1" applyFont="1" applyFill="1" applyAlignment="1">
      <alignment horizontal="center"/>
    </xf>
    <xf numFmtId="0" fontId="32" fillId="20" borderId="0" xfId="0" applyFont="1" applyFill="1" applyAlignment="1">
      <alignment horizontal="center"/>
    </xf>
    <xf numFmtId="0" fontId="43" fillId="11" borderId="0" xfId="0" applyFont="1" applyFill="1" applyAlignment="1">
      <alignment horizontal="center"/>
    </xf>
    <xf numFmtId="1" fontId="34" fillId="22" borderId="0" xfId="0" applyNumberFormat="1" applyFont="1" applyFill="1" applyAlignment="1">
      <alignment horizontal="right"/>
    </xf>
    <xf numFmtId="2" fontId="34" fillId="22" borderId="0" xfId="0" applyNumberFormat="1" applyFont="1" applyFill="1" applyAlignment="1">
      <alignment horizontal="right"/>
    </xf>
    <xf numFmtId="0" fontId="43" fillId="23" borderId="0" xfId="0" applyFont="1" applyFill="1" applyAlignment="1">
      <alignment horizontal="center"/>
    </xf>
    <xf numFmtId="0" fontId="44" fillId="25" borderId="0" xfId="0" applyFont="1" applyFill="1" applyAlignment="1">
      <alignment horizontal="center"/>
    </xf>
    <xf numFmtId="1" fontId="31" fillId="21" borderId="0" xfId="0" applyNumberFormat="1" applyFont="1" applyFill="1" applyBorder="1" applyAlignment="1">
      <alignment horizontal="center"/>
    </xf>
    <xf numFmtId="1" fontId="37" fillId="22" borderId="0" xfId="0" applyNumberFormat="1" applyFont="1" applyFill="1" applyAlignment="1">
      <alignment horizontal="right"/>
    </xf>
    <xf numFmtId="2" fontId="37" fillId="22" borderId="0" xfId="0" applyNumberFormat="1" applyFont="1" applyFill="1" applyAlignment="1">
      <alignment horizontal="right"/>
    </xf>
    <xf numFmtId="0" fontId="46" fillId="24" borderId="0" xfId="0" applyFont="1" applyFill="1" applyAlignment="1">
      <alignment horizontal="center"/>
    </xf>
    <xf numFmtId="1" fontId="40" fillId="24" borderId="0" xfId="0" applyNumberFormat="1" applyFont="1" applyFill="1" applyAlignment="1">
      <alignment horizontal="right"/>
    </xf>
    <xf numFmtId="2" fontId="40" fillId="24" borderId="0" xfId="0" applyNumberFormat="1" applyFont="1" applyFill="1" applyAlignment="1">
      <alignment horizontal="right"/>
    </xf>
    <xf numFmtId="165" fontId="37" fillId="22" borderId="0" xfId="0" applyNumberFormat="1" applyFont="1" applyFill="1" applyAlignment="1">
      <alignment horizontal="right"/>
    </xf>
    <xf numFmtId="0" fontId="29" fillId="17" borderId="0" xfId="0" applyFont="1" applyFill="1" applyBorder="1" applyAlignment="1">
      <alignment horizontal="center"/>
    </xf>
    <xf numFmtId="0" fontId="20" fillId="18" borderId="0" xfId="0" applyFont="1" applyFill="1" applyBorder="1" applyAlignment="1">
      <alignment horizontal="left"/>
    </xf>
    <xf numFmtId="1" fontId="16" fillId="22" borderId="0" xfId="0" applyNumberFormat="1" applyFont="1" applyFill="1" applyBorder="1" applyAlignment="1">
      <alignment horizontal="right"/>
    </xf>
    <xf numFmtId="2" fontId="16" fillId="22" borderId="0" xfId="0" applyNumberFormat="1" applyFont="1" applyFill="1" applyBorder="1" applyAlignment="1">
      <alignment horizontal="right"/>
    </xf>
    <xf numFmtId="0" fontId="18" fillId="11" borderId="0" xfId="0" applyFont="1" applyFill="1" applyBorder="1" applyAlignment="1">
      <alignment horizontal="center"/>
    </xf>
    <xf numFmtId="0" fontId="20" fillId="19" borderId="0" xfId="0" applyFont="1" applyFill="1" applyBorder="1" applyAlignment="1">
      <alignment horizontal="left"/>
    </xf>
    <xf numFmtId="0" fontId="19" fillId="19" borderId="0" xfId="0" applyFont="1" applyFill="1" applyBorder="1" applyAlignment="1">
      <alignment horizontal="center"/>
    </xf>
    <xf numFmtId="0" fontId="43" fillId="11" borderId="0" xfId="0" applyFont="1" applyFill="1" applyBorder="1" applyAlignment="1">
      <alignment horizontal="center"/>
    </xf>
    <xf numFmtId="1" fontId="34" fillId="22" borderId="0" xfId="0" applyNumberFormat="1" applyFont="1" applyFill="1" applyBorder="1" applyAlignment="1">
      <alignment horizontal="right"/>
    </xf>
    <xf numFmtId="2" fontId="34" fillId="22" borderId="0" xfId="0" applyNumberFormat="1" applyFont="1" applyFill="1" applyBorder="1" applyAlignment="1">
      <alignment horizontal="right"/>
    </xf>
    <xf numFmtId="0" fontId="44" fillId="25" borderId="0" xfId="0" applyFont="1" applyFill="1" applyBorder="1" applyAlignment="1">
      <alignment horizontal="center"/>
    </xf>
    <xf numFmtId="1" fontId="37" fillId="22" borderId="0" xfId="0" applyNumberFormat="1" applyFont="1" applyFill="1" applyBorder="1" applyAlignment="1">
      <alignment horizontal="right"/>
    </xf>
    <xf numFmtId="2" fontId="37" fillId="22" borderId="0" xfId="0" applyNumberFormat="1" applyFont="1" applyFill="1" applyBorder="1" applyAlignment="1">
      <alignment horizontal="right"/>
    </xf>
    <xf numFmtId="1" fontId="12" fillId="21" borderId="0" xfId="0" applyNumberFormat="1" applyFont="1" applyFill="1" applyBorder="1" applyAlignment="1">
      <alignment horizontal="center"/>
    </xf>
    <xf numFmtId="0" fontId="27" fillId="23" borderId="8" xfId="0" applyFont="1" applyFill="1" applyBorder="1" applyAlignment="1">
      <alignment horizontal="center"/>
    </xf>
    <xf numFmtId="1" fontId="12" fillId="21" borderId="8" xfId="0" applyNumberFormat="1" applyFont="1" applyFill="1" applyBorder="1" applyAlignment="1">
      <alignment horizontal="center"/>
    </xf>
    <xf numFmtId="1" fontId="16" fillId="22" borderId="8" xfId="0" applyNumberFormat="1" applyFont="1" applyFill="1" applyBorder="1" applyAlignment="1">
      <alignment horizontal="right"/>
    </xf>
    <xf numFmtId="2" fontId="16" fillId="22" borderId="8" xfId="0" applyNumberFormat="1" applyFont="1" applyFill="1" applyBorder="1" applyAlignment="1">
      <alignment horizontal="right"/>
    </xf>
    <xf numFmtId="0" fontId="28" fillId="24" borderId="8" xfId="0" applyFont="1" applyFill="1" applyBorder="1" applyAlignment="1">
      <alignment horizontal="center"/>
    </xf>
    <xf numFmtId="1" fontId="13" fillId="24" borderId="8" xfId="0" applyNumberFormat="1" applyFont="1" applyFill="1" applyBorder="1" applyAlignment="1">
      <alignment horizontal="center"/>
    </xf>
    <xf numFmtId="1" fontId="38" fillId="24" borderId="8" xfId="0" applyNumberFormat="1" applyFont="1" applyFill="1" applyBorder="1" applyAlignment="1">
      <alignment horizontal="right"/>
    </xf>
    <xf numFmtId="2" fontId="38" fillId="24" borderId="8" xfId="0" applyNumberFormat="1" applyFont="1" applyFill="1" applyBorder="1" applyAlignment="1">
      <alignment horizontal="right"/>
    </xf>
    <xf numFmtId="0" fontId="27" fillId="11" borderId="8" xfId="0" applyFont="1" applyFill="1" applyBorder="1" applyAlignment="1">
      <alignment horizontal="center"/>
    </xf>
    <xf numFmtId="0" fontId="18" fillId="23" borderId="8" xfId="0" applyFont="1" applyFill="1" applyBorder="1" applyAlignment="1">
      <alignment horizontal="center"/>
    </xf>
    <xf numFmtId="0" fontId="43" fillId="23" borderId="8" xfId="0" applyFont="1" applyFill="1" applyBorder="1" applyAlignment="1">
      <alignment horizontal="center"/>
    </xf>
    <xf numFmtId="1" fontId="31" fillId="21" borderId="8" xfId="0" applyNumberFormat="1" applyFont="1" applyFill="1" applyBorder="1" applyAlignment="1">
      <alignment horizontal="center"/>
    </xf>
    <xf numFmtId="1" fontId="34" fillId="22" borderId="8" xfId="0" applyNumberFormat="1" applyFont="1" applyFill="1" applyBorder="1" applyAlignment="1">
      <alignment horizontal="right"/>
    </xf>
    <xf numFmtId="2" fontId="34" fillId="22" borderId="8" xfId="0" applyNumberFormat="1" applyFont="1" applyFill="1" applyBorder="1" applyAlignment="1">
      <alignment horizontal="right"/>
    </xf>
    <xf numFmtId="0" fontId="44" fillId="25" borderId="8" xfId="0" applyFont="1" applyFill="1" applyBorder="1" applyAlignment="1">
      <alignment horizontal="center"/>
    </xf>
    <xf numFmtId="1" fontId="37" fillId="22" borderId="8" xfId="0" applyNumberFormat="1" applyFont="1" applyFill="1" applyBorder="1" applyAlignment="1">
      <alignment horizontal="right"/>
    </xf>
    <xf numFmtId="2" fontId="37" fillId="22" borderId="8" xfId="0" applyNumberFormat="1" applyFont="1" applyFill="1" applyBorder="1" applyAlignment="1">
      <alignment horizontal="right"/>
    </xf>
    <xf numFmtId="0" fontId="43" fillId="11" borderId="8" xfId="0" applyFont="1" applyFill="1" applyBorder="1" applyAlignment="1">
      <alignment horizontal="center"/>
    </xf>
    <xf numFmtId="0" fontId="47" fillId="25" borderId="8" xfId="0" applyFont="1" applyFill="1" applyBorder="1" applyAlignment="1">
      <alignment horizontal="center"/>
    </xf>
    <xf numFmtId="1" fontId="29" fillId="21" borderId="8" xfId="0" applyNumberFormat="1" applyFont="1" applyFill="1" applyBorder="1" applyAlignment="1">
      <alignment horizontal="center"/>
    </xf>
    <xf numFmtId="1" fontId="29" fillId="20" borderId="10" xfId="0" applyNumberFormat="1" applyFont="1" applyFill="1" applyBorder="1" applyAlignment="1">
      <alignment horizontal="center"/>
    </xf>
    <xf numFmtId="0" fontId="32" fillId="20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left"/>
    </xf>
    <xf numFmtId="0" fontId="32" fillId="17" borderId="9" xfId="0" applyFont="1" applyFill="1" applyBorder="1" applyAlignment="1">
      <alignment horizontal="center"/>
    </xf>
    <xf numFmtId="1" fontId="29" fillId="17" borderId="9" xfId="0" applyNumberFormat="1" applyFont="1" applyFill="1" applyBorder="1" applyAlignment="1">
      <alignment horizontal="center"/>
    </xf>
    <xf numFmtId="1" fontId="12" fillId="21" borderId="12" xfId="0" applyNumberFormat="1" applyFont="1" applyFill="1" applyBorder="1" applyAlignment="1">
      <alignment horizontal="center"/>
    </xf>
    <xf numFmtId="1" fontId="12" fillId="21" borderId="15" xfId="0" applyNumberFormat="1" applyFont="1" applyFill="1" applyBorder="1" applyAlignment="1">
      <alignment horizontal="center"/>
    </xf>
    <xf numFmtId="1" fontId="13" fillId="24" borderId="15" xfId="0" applyNumberFormat="1" applyFont="1" applyFill="1" applyBorder="1" applyAlignment="1">
      <alignment horizontal="center"/>
    </xf>
    <xf numFmtId="1" fontId="31" fillId="21" borderId="12" xfId="0" applyNumberFormat="1" applyFont="1" applyFill="1" applyBorder="1" applyAlignment="1">
      <alignment horizontal="center"/>
    </xf>
    <xf numFmtId="1" fontId="31" fillId="21" borderId="15" xfId="0" applyNumberFormat="1" applyFont="1" applyFill="1" applyBorder="1" applyAlignment="1">
      <alignment horizontal="center"/>
    </xf>
    <xf numFmtId="1" fontId="29" fillId="21" borderId="15" xfId="0" applyNumberFormat="1" applyFont="1" applyFill="1" applyBorder="1" applyAlignment="1">
      <alignment horizontal="center"/>
    </xf>
    <xf numFmtId="165" fontId="35" fillId="22" borderId="17" xfId="0" applyNumberFormat="1" applyFont="1" applyFill="1" applyBorder="1" applyAlignment="1">
      <alignment horizontal="right"/>
    </xf>
    <xf numFmtId="165" fontId="35" fillId="22" borderId="20" xfId="0" applyNumberFormat="1" applyFont="1" applyFill="1" applyBorder="1" applyAlignment="1">
      <alignment horizontal="right"/>
    </xf>
    <xf numFmtId="165" fontId="38" fillId="24" borderId="20" xfId="0" applyNumberFormat="1" applyFont="1" applyFill="1" applyBorder="1" applyAlignment="1">
      <alignment horizontal="right"/>
    </xf>
    <xf numFmtId="165" fontId="37" fillId="22" borderId="17" xfId="0" applyNumberFormat="1" applyFont="1" applyFill="1" applyBorder="1" applyAlignment="1">
      <alignment horizontal="right"/>
    </xf>
    <xf numFmtId="165" fontId="37" fillId="22" borderId="20" xfId="0" applyNumberFormat="1" applyFont="1" applyFill="1" applyBorder="1" applyAlignment="1">
      <alignment horizontal="right"/>
    </xf>
    <xf numFmtId="0" fontId="29" fillId="17" borderId="13" xfId="0" applyFont="1" applyFill="1" applyBorder="1" applyAlignment="1">
      <alignment horizontal="left"/>
    </xf>
    <xf numFmtId="0" fontId="20" fillId="18" borderId="12" xfId="0" applyFont="1" applyFill="1" applyBorder="1" applyAlignment="1">
      <alignment horizontal="left"/>
    </xf>
    <xf numFmtId="0" fontId="49" fillId="0" borderId="0" xfId="0" applyFont="1"/>
    <xf numFmtId="0" fontId="50" fillId="0" borderId="0" xfId="0" applyFont="1"/>
    <xf numFmtId="0" fontId="12" fillId="16" borderId="0" xfId="0" applyFont="1" applyFill="1" applyBorder="1"/>
    <xf numFmtId="0" fontId="12" fillId="16" borderId="12" xfId="0" applyFont="1" applyFill="1" applyBorder="1"/>
    <xf numFmtId="0" fontId="51" fillId="16" borderId="0" xfId="0" applyFont="1" applyFill="1" applyBorder="1" applyAlignment="1">
      <alignment horizontal="center"/>
    </xf>
    <xf numFmtId="0" fontId="12" fillId="16" borderId="22" xfId="0" applyFont="1" applyFill="1" applyBorder="1"/>
    <xf numFmtId="0" fontId="29" fillId="17" borderId="0" xfId="0" applyFont="1" applyFill="1" applyBorder="1"/>
    <xf numFmtId="0" fontId="29" fillId="17" borderId="12" xfId="0" applyFont="1" applyFill="1" applyBorder="1"/>
    <xf numFmtId="0" fontId="29" fillId="17" borderId="22" xfId="0" applyFont="1" applyFill="1" applyBorder="1" applyAlignment="1">
      <alignment horizontal="center"/>
    </xf>
    <xf numFmtId="0" fontId="42" fillId="16" borderId="27" xfId="0" applyFont="1" applyFill="1" applyBorder="1"/>
    <xf numFmtId="0" fontId="30" fillId="16" borderId="27" xfId="0" applyFont="1" applyFill="1" applyBorder="1"/>
    <xf numFmtId="0" fontId="42" fillId="16" borderId="28" xfId="0" applyFont="1" applyFill="1" applyBorder="1"/>
    <xf numFmtId="0" fontId="42" fillId="16" borderId="30" xfId="0" applyFont="1" applyFill="1" applyBorder="1"/>
    <xf numFmtId="165" fontId="20" fillId="18" borderId="17" xfId="0" applyNumberFormat="1" applyFont="1" applyFill="1" applyBorder="1" applyAlignment="1">
      <alignment horizontal="right"/>
    </xf>
    <xf numFmtId="1" fontId="20" fillId="18" borderId="0" xfId="0" applyNumberFormat="1" applyFont="1" applyFill="1" applyBorder="1" applyAlignment="1">
      <alignment horizontal="right"/>
    </xf>
    <xf numFmtId="2" fontId="20" fillId="18" borderId="0" xfId="0" applyNumberFormat="1" applyFont="1" applyFill="1" applyBorder="1" applyAlignment="1">
      <alignment horizontal="right"/>
    </xf>
    <xf numFmtId="1" fontId="20" fillId="18" borderId="0" xfId="0" applyNumberFormat="1" applyFont="1" applyFill="1" applyBorder="1" applyAlignment="1">
      <alignment horizontal="right"/>
    </xf>
    <xf numFmtId="165" fontId="29" fillId="20" borderId="19" xfId="0" applyNumberFormat="1" applyFont="1" applyFill="1" applyBorder="1" applyAlignment="1">
      <alignment horizontal="right"/>
    </xf>
    <xf numFmtId="1" fontId="29" fillId="20" borderId="10" xfId="0" applyNumberFormat="1" applyFont="1" applyFill="1" applyBorder="1" applyAlignment="1">
      <alignment horizontal="right"/>
    </xf>
    <xf numFmtId="2" fontId="29" fillId="20" borderId="10" xfId="0" applyNumberFormat="1" applyFont="1" applyFill="1" applyBorder="1" applyAlignment="1">
      <alignment horizontal="right"/>
    </xf>
    <xf numFmtId="165" fontId="29" fillId="17" borderId="18" xfId="0" applyNumberFormat="1" applyFont="1" applyFill="1" applyBorder="1" applyAlignment="1">
      <alignment horizontal="right"/>
    </xf>
    <xf numFmtId="1" fontId="29" fillId="17" borderId="9" xfId="0" applyNumberFormat="1" applyFont="1" applyFill="1" applyBorder="1" applyAlignment="1">
      <alignment horizontal="right"/>
    </xf>
    <xf numFmtId="2" fontId="29" fillId="17" borderId="9" xfId="0" applyNumberFormat="1" applyFont="1" applyFill="1" applyBorder="1" applyAlignment="1">
      <alignment horizontal="right"/>
    </xf>
    <xf numFmtId="0" fontId="20" fillId="18" borderId="0" xfId="0" applyFont="1" applyFill="1" applyBorder="1" applyAlignment="1">
      <alignment horizontal="center"/>
    </xf>
    <xf numFmtId="0" fontId="29" fillId="20" borderId="10" xfId="0" applyFont="1" applyFill="1" applyBorder="1" applyAlignment="1">
      <alignment horizontal="center"/>
    </xf>
    <xf numFmtId="0" fontId="17" fillId="11" borderId="0" xfId="0" applyFont="1" applyFill="1" applyBorder="1" applyAlignment="1">
      <alignment horizontal="center"/>
    </xf>
    <xf numFmtId="1" fontId="20" fillId="18" borderId="0" xfId="0" applyNumberFormat="1" applyFont="1" applyFill="1" applyBorder="1" applyAlignment="1">
      <alignment horizontal="center"/>
    </xf>
    <xf numFmtId="1" fontId="20" fillId="18" borderId="12" xfId="0" applyNumberFormat="1" applyFont="1" applyFill="1" applyBorder="1" applyAlignment="1">
      <alignment horizontal="center"/>
    </xf>
    <xf numFmtId="1" fontId="29" fillId="20" borderId="14" xfId="0" applyNumberFormat="1" applyFont="1" applyFill="1" applyBorder="1" applyAlignment="1">
      <alignment horizontal="center"/>
    </xf>
    <xf numFmtId="1" fontId="29" fillId="17" borderId="13" xfId="0" applyNumberFormat="1" applyFont="1" applyFill="1" applyBorder="1" applyAlignment="1">
      <alignment horizontal="center"/>
    </xf>
    <xf numFmtId="0" fontId="29" fillId="20" borderId="10" xfId="0" applyFont="1" applyFill="1" applyBorder="1" applyAlignment="1">
      <alignment horizontal="left"/>
    </xf>
    <xf numFmtId="0" fontId="36" fillId="11" borderId="0" xfId="0" applyFont="1" applyFill="1" applyBorder="1" applyAlignment="1">
      <alignment horizontal="left"/>
    </xf>
    <xf numFmtId="0" fontId="36" fillId="23" borderId="8" xfId="0" applyFont="1" applyFill="1" applyBorder="1" applyAlignment="1">
      <alignment horizontal="left"/>
    </xf>
    <xf numFmtId="0" fontId="39" fillId="24" borderId="8" xfId="0" applyFont="1" applyFill="1" applyBorder="1" applyAlignment="1">
      <alignment horizontal="left"/>
    </xf>
    <xf numFmtId="0" fontId="36" fillId="11" borderId="8" xfId="0" applyFont="1" applyFill="1" applyBorder="1" applyAlignment="1">
      <alignment horizontal="left"/>
    </xf>
    <xf numFmtId="0" fontId="36" fillId="25" borderId="8" xfId="0" applyFont="1" applyFill="1" applyBorder="1" applyAlignment="1">
      <alignment horizontal="left"/>
    </xf>
    <xf numFmtId="0" fontId="39" fillId="25" borderId="8" xfId="0" applyFont="1" applyFill="1" applyBorder="1" applyAlignment="1">
      <alignment horizontal="left"/>
    </xf>
    <xf numFmtId="0" fontId="34" fillId="11" borderId="0" xfId="0" applyFont="1" applyFill="1" applyBorder="1" applyAlignment="1">
      <alignment horizontal="left"/>
    </xf>
    <xf numFmtId="0" fontId="34" fillId="23" borderId="8" xfId="0" applyFont="1" applyFill="1" applyBorder="1" applyAlignment="1">
      <alignment horizontal="left"/>
    </xf>
    <xf numFmtId="0" fontId="40" fillId="24" borderId="8" xfId="0" applyFont="1" applyFill="1" applyBorder="1" applyAlignment="1">
      <alignment horizontal="left"/>
    </xf>
    <xf numFmtId="0" fontId="34" fillId="11" borderId="8" xfId="0" applyFont="1" applyFill="1" applyBorder="1" applyAlignment="1">
      <alignment horizontal="left"/>
    </xf>
    <xf numFmtId="0" fontId="45" fillId="25" borderId="8" xfId="0" applyFont="1" applyFill="1" applyBorder="1" applyAlignment="1">
      <alignment horizontal="left"/>
    </xf>
    <xf numFmtId="0" fontId="48" fillId="25" borderId="8" xfId="0" applyFont="1" applyFill="1" applyBorder="1" applyAlignment="1">
      <alignment horizontal="left"/>
    </xf>
    <xf numFmtId="0" fontId="29" fillId="20" borderId="14" xfId="0" applyFont="1" applyFill="1" applyBorder="1" applyAlignment="1">
      <alignment horizontal="left"/>
    </xf>
    <xf numFmtId="0" fontId="34" fillId="11" borderId="12" xfId="0" applyFont="1" applyFill="1" applyBorder="1" applyAlignment="1">
      <alignment horizontal="left"/>
    </xf>
    <xf numFmtId="0" fontId="34" fillId="23" borderId="15" xfId="0" applyFont="1" applyFill="1" applyBorder="1" applyAlignment="1">
      <alignment horizontal="left"/>
    </xf>
    <xf numFmtId="0" fontId="37" fillId="24" borderId="15" xfId="0" applyFont="1" applyFill="1" applyBorder="1" applyAlignment="1">
      <alignment horizontal="left"/>
    </xf>
    <xf numFmtId="0" fontId="34" fillId="11" borderId="15" xfId="0" applyFont="1" applyFill="1" applyBorder="1" applyAlignment="1">
      <alignment horizontal="left"/>
    </xf>
    <xf numFmtId="0" fontId="45" fillId="25" borderId="15" xfId="0" applyFont="1" applyFill="1" applyBorder="1" applyAlignment="1">
      <alignment horizontal="left"/>
    </xf>
    <xf numFmtId="0" fontId="48" fillId="25" borderId="15" xfId="0" applyFont="1" applyFill="1" applyBorder="1" applyAlignment="1">
      <alignment horizontal="left"/>
    </xf>
    <xf numFmtId="0" fontId="52" fillId="22" borderId="17" xfId="0" applyFont="1" applyFill="1" applyBorder="1" applyAlignment="1">
      <alignment horizontal="center"/>
    </xf>
    <xf numFmtId="0" fontId="53" fillId="22" borderId="0" xfId="0" applyFont="1" applyFill="1" applyBorder="1"/>
    <xf numFmtId="0" fontId="29" fillId="26" borderId="17" xfId="0" applyFont="1" applyFill="1" applyBorder="1" applyAlignment="1">
      <alignment horizontal="center"/>
    </xf>
    <xf numFmtId="0" fontId="29" fillId="26" borderId="0" xfId="0" applyFont="1" applyFill="1" applyBorder="1" applyAlignment="1">
      <alignment horizontal="center"/>
    </xf>
    <xf numFmtId="1" fontId="35" fillId="22" borderId="0" xfId="0" applyNumberFormat="1" applyFont="1" applyFill="1" applyBorder="1" applyAlignment="1">
      <alignment horizontal="right"/>
    </xf>
    <xf numFmtId="1" fontId="35" fillId="22" borderId="8" xfId="0" applyNumberFormat="1" applyFont="1" applyFill="1" applyBorder="1" applyAlignment="1">
      <alignment horizontal="right"/>
    </xf>
    <xf numFmtId="0" fontId="20" fillId="19" borderId="12" xfId="0" applyFont="1" applyFill="1" applyBorder="1" applyAlignment="1">
      <alignment horizontal="left"/>
    </xf>
    <xf numFmtId="1" fontId="20" fillId="19" borderId="0" xfId="0" applyNumberFormat="1" applyFont="1" applyFill="1" applyBorder="1" applyAlignment="1">
      <alignment horizontal="center"/>
    </xf>
    <xf numFmtId="1" fontId="20" fillId="19" borderId="12" xfId="0" applyNumberFormat="1" applyFont="1" applyFill="1" applyBorder="1" applyAlignment="1">
      <alignment horizontal="center"/>
    </xf>
    <xf numFmtId="165" fontId="20" fillId="19" borderId="17" xfId="0" applyNumberFormat="1" applyFont="1" applyFill="1" applyBorder="1" applyAlignment="1">
      <alignment horizontal="right"/>
    </xf>
    <xf numFmtId="1" fontId="20" fillId="19" borderId="0" xfId="0" applyNumberFormat="1" applyFont="1" applyFill="1" applyBorder="1" applyAlignment="1">
      <alignment horizontal="right"/>
    </xf>
    <xf numFmtId="2" fontId="20" fillId="19" borderId="0" xfId="0" applyNumberFormat="1" applyFont="1" applyFill="1" applyBorder="1" applyAlignment="1">
      <alignment horizontal="right"/>
    </xf>
    <xf numFmtId="0" fontId="12" fillId="11" borderId="26" xfId="0" applyFont="1" applyFill="1" applyBorder="1" applyAlignment="1">
      <alignment horizontal="left"/>
    </xf>
    <xf numFmtId="0" fontId="33" fillId="11" borderId="26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left"/>
    </xf>
    <xf numFmtId="1" fontId="12" fillId="11" borderId="26" xfId="0" applyNumberFormat="1" applyFont="1" applyFill="1" applyBorder="1" applyAlignment="1">
      <alignment horizontal="center"/>
    </xf>
    <xf numFmtId="1" fontId="12" fillId="11" borderId="11" xfId="0" applyNumberFormat="1" applyFont="1" applyFill="1" applyBorder="1" applyAlignment="1">
      <alignment horizontal="center"/>
    </xf>
    <xf numFmtId="165" fontId="13" fillId="11" borderId="16" xfId="0" applyNumberFormat="1" applyFont="1" applyFill="1" applyBorder="1" applyAlignment="1">
      <alignment horizontal="right"/>
    </xf>
    <xf numFmtId="1" fontId="12" fillId="11" borderId="26" xfId="0" applyNumberFormat="1" applyFont="1" applyFill="1" applyBorder="1" applyAlignment="1">
      <alignment horizontal="right"/>
    </xf>
    <xf numFmtId="2" fontId="12" fillId="11" borderId="26" xfId="0" applyNumberFormat="1" applyFont="1" applyFill="1" applyBorder="1" applyAlignment="1">
      <alignment horizontal="right"/>
    </xf>
    <xf numFmtId="1" fontId="13" fillId="11" borderId="26" xfId="0" applyNumberFormat="1" applyFont="1" applyFill="1" applyBorder="1" applyAlignment="1">
      <alignment horizontal="right"/>
    </xf>
    <xf numFmtId="0" fontId="14" fillId="18" borderId="31" xfId="0" applyFont="1" applyFill="1" applyBorder="1" applyAlignment="1">
      <alignment horizontal="left"/>
    </xf>
    <xf numFmtId="0" fontId="32" fillId="18" borderId="31" xfId="0" applyFont="1" applyFill="1" applyBorder="1" applyAlignment="1">
      <alignment horizontal="center"/>
    </xf>
    <xf numFmtId="0" fontId="14" fillId="18" borderId="32" xfId="0" applyFont="1" applyFill="1" applyBorder="1" applyAlignment="1">
      <alignment horizontal="left"/>
    </xf>
    <xf numFmtId="1" fontId="14" fillId="18" borderId="31" xfId="0" applyNumberFormat="1" applyFont="1" applyFill="1" applyBorder="1" applyAlignment="1">
      <alignment horizontal="center"/>
    </xf>
    <xf numFmtId="1" fontId="14" fillId="18" borderId="32" xfId="0" applyNumberFormat="1" applyFont="1" applyFill="1" applyBorder="1" applyAlignment="1">
      <alignment horizontal="center"/>
    </xf>
    <xf numFmtId="165" fontId="14" fillId="18" borderId="34" xfId="0" applyNumberFormat="1" applyFont="1" applyFill="1" applyBorder="1" applyAlignment="1">
      <alignment horizontal="right"/>
    </xf>
    <xf numFmtId="1" fontId="14" fillId="18" borderId="31" xfId="0" applyNumberFormat="1" applyFont="1" applyFill="1" applyBorder="1" applyAlignment="1">
      <alignment horizontal="right"/>
    </xf>
    <xf numFmtId="2" fontId="14" fillId="18" borderId="31" xfId="0" applyNumberFormat="1" applyFont="1" applyFill="1" applyBorder="1" applyAlignment="1">
      <alignment horizontal="right"/>
    </xf>
    <xf numFmtId="0" fontId="39" fillId="24" borderId="35" xfId="0" applyFont="1" applyFill="1" applyBorder="1" applyAlignment="1">
      <alignment horizontal="left"/>
    </xf>
    <xf numFmtId="0" fontId="28" fillId="24" borderId="35" xfId="0" applyFont="1" applyFill="1" applyBorder="1" applyAlignment="1">
      <alignment horizontal="center"/>
    </xf>
    <xf numFmtId="0" fontId="40" fillId="24" borderId="35" xfId="0" applyFont="1" applyFill="1" applyBorder="1" applyAlignment="1">
      <alignment horizontal="left"/>
    </xf>
    <xf numFmtId="0" fontId="37" fillId="24" borderId="36" xfId="0" applyFont="1" applyFill="1" applyBorder="1" applyAlignment="1">
      <alignment horizontal="left"/>
    </xf>
    <xf numFmtId="1" fontId="13" fillId="24" borderId="35" xfId="0" applyNumberFormat="1" applyFont="1" applyFill="1" applyBorder="1" applyAlignment="1">
      <alignment horizontal="center"/>
    </xf>
    <xf numFmtId="1" fontId="13" fillId="24" borderId="36" xfId="0" applyNumberFormat="1" applyFont="1" applyFill="1" applyBorder="1" applyAlignment="1">
      <alignment horizontal="center"/>
    </xf>
    <xf numFmtId="165" fontId="38" fillId="24" borderId="38" xfId="0" applyNumberFormat="1" applyFont="1" applyFill="1" applyBorder="1" applyAlignment="1">
      <alignment horizontal="right"/>
    </xf>
    <xf numFmtId="1" fontId="38" fillId="24" borderId="35" xfId="0" applyNumberFormat="1" applyFont="1" applyFill="1" applyBorder="1" applyAlignment="1">
      <alignment horizontal="right"/>
    </xf>
    <xf numFmtId="2" fontId="38" fillId="24" borderId="35" xfId="0" applyNumberFormat="1" applyFont="1" applyFill="1" applyBorder="1" applyAlignment="1">
      <alignment horizontal="right"/>
    </xf>
    <xf numFmtId="0" fontId="20" fillId="18" borderId="0" xfId="0" applyNumberFormat="1" applyFont="1" applyFill="1" applyBorder="1" applyAlignment="1">
      <alignment horizontal="center"/>
    </xf>
    <xf numFmtId="0" fontId="20" fillId="18" borderId="22" xfId="0" applyNumberFormat="1" applyFont="1" applyFill="1" applyBorder="1" applyAlignment="1">
      <alignment horizontal="center"/>
    </xf>
    <xf numFmtId="0" fontId="29" fillId="20" borderId="10" xfId="0" applyNumberFormat="1" applyFont="1" applyFill="1" applyBorder="1" applyAlignment="1">
      <alignment horizontal="center"/>
    </xf>
    <xf numFmtId="0" fontId="29" fillId="20" borderId="24" xfId="0" applyNumberFormat="1" applyFont="1" applyFill="1" applyBorder="1" applyAlignment="1">
      <alignment horizontal="center"/>
    </xf>
    <xf numFmtId="0" fontId="34" fillId="11" borderId="0" xfId="0" applyNumberFormat="1" applyFont="1" applyFill="1" applyBorder="1" applyAlignment="1">
      <alignment horizontal="center"/>
    </xf>
    <xf numFmtId="0" fontId="34" fillId="11" borderId="22" xfId="0" applyNumberFormat="1" applyFont="1" applyFill="1" applyBorder="1" applyAlignment="1">
      <alignment horizontal="center"/>
    </xf>
    <xf numFmtId="0" fontId="34" fillId="23" borderId="8" xfId="0" applyNumberFormat="1" applyFont="1" applyFill="1" applyBorder="1" applyAlignment="1">
      <alignment horizontal="center"/>
    </xf>
    <xf numFmtId="0" fontId="34" fillId="23" borderId="25" xfId="0" applyNumberFormat="1" applyFont="1" applyFill="1" applyBorder="1" applyAlignment="1">
      <alignment horizontal="center"/>
    </xf>
    <xf numFmtId="0" fontId="37" fillId="24" borderId="8" xfId="0" applyNumberFormat="1" applyFont="1" applyFill="1" applyBorder="1" applyAlignment="1">
      <alignment horizontal="center"/>
    </xf>
    <xf numFmtId="0" fontId="37" fillId="24" borderId="25" xfId="0" applyNumberFormat="1" applyFont="1" applyFill="1" applyBorder="1" applyAlignment="1">
      <alignment horizontal="center"/>
    </xf>
    <xf numFmtId="0" fontId="34" fillId="11" borderId="8" xfId="0" applyNumberFormat="1" applyFont="1" applyFill="1" applyBorder="1" applyAlignment="1">
      <alignment horizontal="center"/>
    </xf>
    <xf numFmtId="0" fontId="34" fillId="11" borderId="25" xfId="0" applyNumberFormat="1" applyFont="1" applyFill="1" applyBorder="1" applyAlignment="1">
      <alignment horizontal="center"/>
    </xf>
    <xf numFmtId="0" fontId="37" fillId="24" borderId="35" xfId="0" applyNumberFormat="1" applyFont="1" applyFill="1" applyBorder="1" applyAlignment="1">
      <alignment horizontal="center"/>
    </xf>
    <xf numFmtId="0" fontId="37" fillId="24" borderId="37" xfId="0" applyNumberFormat="1" applyFont="1" applyFill="1" applyBorder="1" applyAlignment="1">
      <alignment horizontal="center"/>
    </xf>
    <xf numFmtId="0" fontId="12" fillId="11" borderId="26" xfId="0" applyNumberFormat="1" applyFont="1" applyFill="1" applyBorder="1" applyAlignment="1">
      <alignment horizontal="center"/>
    </xf>
    <xf numFmtId="0" fontId="12" fillId="11" borderId="21" xfId="0" applyNumberFormat="1" applyFont="1" applyFill="1" applyBorder="1" applyAlignment="1">
      <alignment horizontal="center"/>
    </xf>
    <xf numFmtId="0" fontId="20" fillId="19" borderId="0" xfId="0" applyNumberFormat="1" applyFont="1" applyFill="1" applyBorder="1" applyAlignment="1">
      <alignment horizontal="center"/>
    </xf>
    <xf numFmtId="0" fontId="20" fillId="19" borderId="22" xfId="0" applyNumberFormat="1" applyFont="1" applyFill="1" applyBorder="1" applyAlignment="1">
      <alignment horizontal="center"/>
    </xf>
    <xf numFmtId="0" fontId="29" fillId="17" borderId="9" xfId="0" applyNumberFormat="1" applyFont="1" applyFill="1" applyBorder="1" applyAlignment="1">
      <alignment horizontal="center"/>
    </xf>
    <xf numFmtId="0" fontId="29" fillId="17" borderId="23" xfId="0" applyNumberFormat="1" applyFont="1" applyFill="1" applyBorder="1" applyAlignment="1">
      <alignment horizontal="center"/>
    </xf>
    <xf numFmtId="0" fontId="34" fillId="25" borderId="8" xfId="0" applyNumberFormat="1" applyFont="1" applyFill="1" applyBorder="1" applyAlignment="1">
      <alignment horizontal="center"/>
    </xf>
    <xf numFmtId="0" fontId="37" fillId="25" borderId="8" xfId="0" applyNumberFormat="1" applyFont="1" applyFill="1" applyBorder="1" applyAlignment="1">
      <alignment horizontal="center"/>
    </xf>
    <xf numFmtId="0" fontId="14" fillId="18" borderId="31" xfId="0" applyNumberFormat="1" applyFont="1" applyFill="1" applyBorder="1" applyAlignment="1">
      <alignment horizontal="center"/>
    </xf>
    <xf numFmtId="0" fontId="14" fillId="18" borderId="33" xfId="0" applyNumberFormat="1" applyFont="1" applyFill="1" applyBorder="1" applyAlignment="1">
      <alignment horizontal="center"/>
    </xf>
    <xf numFmtId="1" fontId="30" fillId="16" borderId="27" xfId="0" applyNumberFormat="1" applyFont="1" applyFill="1" applyBorder="1" applyAlignment="1">
      <alignment horizontal="center"/>
    </xf>
    <xf numFmtId="1" fontId="30" fillId="16" borderId="29" xfId="0" applyNumberFormat="1" applyFont="1" applyFill="1" applyBorder="1" applyAlignment="1">
      <alignment horizontal="center"/>
    </xf>
    <xf numFmtId="0" fontId="34" fillId="27" borderId="8" xfId="0" applyNumberFormat="1" applyFont="1" applyFill="1" applyBorder="1" applyAlignment="1">
      <alignment horizontal="center"/>
    </xf>
    <xf numFmtId="0" fontId="34" fillId="27" borderId="25" xfId="0" applyNumberFormat="1" applyFont="1" applyFill="1" applyBorder="1" applyAlignment="1">
      <alignment horizontal="center"/>
    </xf>
    <xf numFmtId="0" fontId="37" fillId="27" borderId="8" xfId="0" applyNumberFormat="1" applyFont="1" applyFill="1" applyBorder="1" applyAlignment="1">
      <alignment horizontal="center"/>
    </xf>
    <xf numFmtId="0" fontId="37" fillId="27" borderId="25" xfId="0" applyNumberFormat="1" applyFont="1" applyFill="1" applyBorder="1" applyAlignment="1">
      <alignment horizontal="center"/>
    </xf>
    <xf numFmtId="0" fontId="20" fillId="18" borderId="0" xfId="0" applyFont="1" applyFill="1"/>
    <xf numFmtId="0" fontId="36" fillId="25" borderId="0" xfId="0" applyFont="1" applyFill="1" applyBorder="1" applyAlignment="1">
      <alignment horizontal="left"/>
    </xf>
    <xf numFmtId="0" fontId="45" fillId="25" borderId="0" xfId="0" applyFont="1" applyFill="1" applyBorder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34" fillId="27" borderId="0" xfId="0" applyNumberFormat="1" applyFont="1" applyFill="1" applyBorder="1" applyAlignment="1">
      <alignment horizontal="center"/>
    </xf>
    <xf numFmtId="0" fontId="34" fillId="27" borderId="22" xfId="0" applyNumberFormat="1" applyFont="1" applyFill="1" applyBorder="1" applyAlignment="1">
      <alignment horizontal="center"/>
    </xf>
    <xf numFmtId="0" fontId="34" fillId="25" borderId="0" xfId="0" applyNumberFormat="1" applyFont="1" applyFill="1" applyBorder="1" applyAlignment="1">
      <alignment horizontal="center"/>
    </xf>
    <xf numFmtId="0" fontId="54" fillId="0" borderId="0" xfId="0" applyFont="1"/>
    <xf numFmtId="9" fontId="15" fillId="10" borderId="0" xfId="0" applyNumberFormat="1" applyFont="1" applyFill="1" applyAlignment="1">
      <alignment horizontal="center"/>
    </xf>
    <xf numFmtId="0" fontId="12" fillId="18" borderId="0" xfId="0" applyFont="1" applyFill="1"/>
    <xf numFmtId="0" fontId="29" fillId="20" borderId="0" xfId="0" applyFont="1" applyFill="1" applyAlignment="1">
      <alignment horizontal="left"/>
    </xf>
    <xf numFmtId="0" fontId="29" fillId="20" borderId="0" xfId="0" applyFont="1" applyFill="1" applyAlignment="1">
      <alignment horizontal="center"/>
    </xf>
    <xf numFmtId="165" fontId="29" fillId="20" borderId="0" xfId="0" applyNumberFormat="1" applyFont="1" applyFill="1" applyAlignment="1">
      <alignment horizontal="right"/>
    </xf>
    <xf numFmtId="1" fontId="29" fillId="20" borderId="0" xfId="0" applyNumberFormat="1" applyFont="1" applyFill="1" applyAlignment="1">
      <alignment horizontal="right"/>
    </xf>
    <xf numFmtId="2" fontId="29" fillId="20" borderId="0" xfId="0" applyNumberFormat="1" applyFont="1" applyFill="1" applyAlignment="1">
      <alignment horizontal="right"/>
    </xf>
    <xf numFmtId="0" fontId="36" fillId="11" borderId="0" xfId="0" applyFont="1" applyFill="1" applyAlignment="1">
      <alignment horizontal="left"/>
    </xf>
    <xf numFmtId="0" fontId="34" fillId="11" borderId="0" xfId="0" applyFont="1" applyFill="1" applyAlignment="1">
      <alignment horizontal="left"/>
    </xf>
    <xf numFmtId="1" fontId="41" fillId="21" borderId="0" xfId="0" applyNumberFormat="1" applyFont="1" applyFill="1" applyBorder="1" applyAlignment="1">
      <alignment horizontal="center"/>
    </xf>
    <xf numFmtId="1" fontId="41" fillId="21" borderId="0" xfId="0" applyNumberFormat="1" applyFont="1" applyFill="1" applyAlignment="1">
      <alignment horizontal="center"/>
    </xf>
    <xf numFmtId="0" fontId="34" fillId="11" borderId="0" xfId="0" applyFont="1" applyFill="1" applyAlignment="1">
      <alignment horizontal="center"/>
    </xf>
    <xf numFmtId="0" fontId="36" fillId="23" borderId="0" xfId="0" applyFont="1" applyFill="1" applyAlignment="1">
      <alignment horizontal="left"/>
    </xf>
    <xf numFmtId="0" fontId="34" fillId="23" borderId="0" xfId="0" applyFont="1" applyFill="1" applyAlignment="1">
      <alignment horizontal="left"/>
    </xf>
    <xf numFmtId="0" fontId="34" fillId="23" borderId="0" xfId="0" applyFont="1" applyFill="1" applyAlignment="1">
      <alignment horizontal="center"/>
    </xf>
    <xf numFmtId="0" fontId="36" fillId="25" borderId="0" xfId="0" applyFont="1" applyFill="1" applyAlignment="1">
      <alignment horizontal="left"/>
    </xf>
    <xf numFmtId="0" fontId="45" fillId="25" borderId="0" xfId="0" applyFont="1" applyFill="1" applyAlignment="1">
      <alignment horizontal="left"/>
    </xf>
    <xf numFmtId="0" fontId="34" fillId="27" borderId="0" xfId="0" applyFont="1" applyFill="1" applyAlignment="1">
      <alignment horizontal="center"/>
    </xf>
    <xf numFmtId="0" fontId="34" fillId="25" borderId="0" xfId="0" applyFont="1" applyFill="1" applyAlignment="1">
      <alignment horizontal="center"/>
    </xf>
    <xf numFmtId="0" fontId="39" fillId="24" borderId="0" xfId="0" applyFont="1" applyFill="1" applyAlignment="1">
      <alignment horizontal="left"/>
    </xf>
    <xf numFmtId="0" fontId="40" fillId="24" borderId="0" xfId="0" applyFont="1" applyFill="1" applyAlignment="1">
      <alignment horizontal="left"/>
    </xf>
    <xf numFmtId="0" fontId="37" fillId="24" borderId="0" xfId="0" applyFont="1" applyFill="1" applyAlignment="1">
      <alignment horizontal="left"/>
    </xf>
    <xf numFmtId="1" fontId="54" fillId="24" borderId="0" xfId="0" applyNumberFormat="1" applyFont="1" applyFill="1" applyAlignment="1">
      <alignment horizontal="center"/>
    </xf>
    <xf numFmtId="0" fontId="37" fillId="24" borderId="0" xfId="0" applyFont="1" applyFill="1" applyAlignment="1">
      <alignment horizontal="center"/>
    </xf>
    <xf numFmtId="165" fontId="40" fillId="24" borderId="0" xfId="0" applyNumberFormat="1" applyFont="1" applyFill="1" applyAlignment="1">
      <alignment horizontal="right"/>
    </xf>
    <xf numFmtId="9" fontId="41" fillId="21" borderId="0" xfId="0" applyNumberFormat="1" applyFont="1" applyFill="1" applyAlignment="1">
      <alignment horizontal="center"/>
    </xf>
    <xf numFmtId="0" fontId="55" fillId="24" borderId="0" xfId="0" applyFont="1" applyFill="1" applyAlignment="1">
      <alignment horizontal="left"/>
    </xf>
    <xf numFmtId="0" fontId="56" fillId="24" borderId="0" xfId="0" applyFont="1" applyFill="1" applyAlignment="1">
      <alignment horizontal="left"/>
    </xf>
    <xf numFmtId="1" fontId="57" fillId="24" borderId="0" xfId="0" applyNumberFormat="1" applyFont="1" applyFill="1" applyAlignment="1">
      <alignment horizontal="center"/>
    </xf>
    <xf numFmtId="0" fontId="56" fillId="24" borderId="0" xfId="0" applyFont="1" applyFill="1" applyAlignment="1">
      <alignment horizontal="center"/>
    </xf>
    <xf numFmtId="165" fontId="55" fillId="24" borderId="0" xfId="0" applyNumberFormat="1" applyFont="1" applyFill="1" applyAlignment="1">
      <alignment horizontal="right"/>
    </xf>
    <xf numFmtId="1" fontId="55" fillId="24" borderId="0" xfId="0" applyNumberFormat="1" applyFont="1" applyFill="1" applyAlignment="1">
      <alignment horizontal="right"/>
    </xf>
    <xf numFmtId="2" fontId="55" fillId="24" borderId="0" xfId="0" applyNumberFormat="1" applyFont="1" applyFill="1" applyAlignment="1">
      <alignment horizontal="right"/>
    </xf>
    <xf numFmtId="1" fontId="41" fillId="21" borderId="8" xfId="0" applyNumberFormat="1" applyFont="1" applyFill="1" applyBorder="1" applyAlignment="1">
      <alignment horizontal="center"/>
    </xf>
    <xf numFmtId="1" fontId="41" fillId="21" borderId="15" xfId="0" applyNumberFormat="1" applyFont="1" applyFill="1" applyBorder="1" applyAlignment="1">
      <alignment horizontal="center"/>
    </xf>
    <xf numFmtId="0" fontId="58" fillId="0" borderId="0" xfId="0" applyFont="1"/>
    <xf numFmtId="0" fontId="10" fillId="2" borderId="39" xfId="0" applyFont="1" applyFill="1" applyBorder="1" applyAlignment="1">
      <alignment horizontal="center"/>
    </xf>
    <xf numFmtId="0" fontId="10" fillId="2" borderId="40" xfId="0" applyFont="1" applyFill="1" applyBorder="1" applyAlignment="1">
      <alignment horizontal="center"/>
    </xf>
    <xf numFmtId="0" fontId="10" fillId="2" borderId="41" xfId="0" applyFont="1" applyFill="1" applyBorder="1" applyAlignment="1">
      <alignment horizontal="center"/>
    </xf>
    <xf numFmtId="0" fontId="59" fillId="28" borderId="42" xfId="0" applyFont="1" applyFill="1" applyBorder="1"/>
    <xf numFmtId="0" fontId="59" fillId="28" borderId="43" xfId="0" applyFont="1" applyFill="1" applyBorder="1"/>
    <xf numFmtId="167" fontId="59" fillId="28" borderId="43" xfId="0" applyNumberFormat="1" applyFont="1" applyFill="1" applyBorder="1"/>
    <xf numFmtId="164" fontId="59" fillId="28" borderId="43" xfId="0" applyNumberFormat="1" applyFont="1" applyFill="1" applyBorder="1"/>
    <xf numFmtId="3" fontId="59" fillId="28" borderId="43" xfId="0" applyNumberFormat="1" applyFont="1" applyFill="1" applyBorder="1"/>
    <xf numFmtId="169" fontId="59" fillId="28" borderId="43" xfId="0" applyNumberFormat="1" applyFont="1" applyFill="1" applyBorder="1"/>
    <xf numFmtId="0" fontId="59" fillId="28" borderId="44" xfId="0" applyFont="1" applyFill="1" applyBorder="1"/>
    <xf numFmtId="0" fontId="59" fillId="7" borderId="42" xfId="0" applyFont="1" applyFill="1" applyBorder="1"/>
    <xf numFmtId="0" fontId="59" fillId="7" borderId="43" xfId="0" applyFont="1" applyFill="1" applyBorder="1"/>
    <xf numFmtId="167" fontId="59" fillId="7" borderId="43" xfId="0" applyNumberFormat="1" applyFont="1" applyFill="1" applyBorder="1"/>
    <xf numFmtId="164" fontId="59" fillId="7" borderId="43" xfId="0" applyNumberFormat="1" applyFont="1" applyFill="1" applyBorder="1"/>
    <xf numFmtId="3" fontId="59" fillId="7" borderId="43" xfId="0" applyNumberFormat="1" applyFont="1" applyFill="1" applyBorder="1"/>
    <xf numFmtId="169" fontId="59" fillId="7" borderId="43" xfId="0" applyNumberFormat="1" applyFont="1" applyFill="1" applyBorder="1"/>
    <xf numFmtId="0" fontId="59" fillId="7" borderId="44" xfId="0" applyFont="1" applyFill="1" applyBorder="1"/>
    <xf numFmtId="0" fontId="59" fillId="8" borderId="42" xfId="0" applyFont="1" applyFill="1" applyBorder="1"/>
    <xf numFmtId="0" fontId="59" fillId="8" borderId="43" xfId="0" applyFont="1" applyFill="1" applyBorder="1"/>
    <xf numFmtId="167" fontId="59" fillId="8" borderId="43" xfId="0" applyNumberFormat="1" applyFont="1" applyFill="1" applyBorder="1"/>
    <xf numFmtId="164" fontId="59" fillId="8" borderId="43" xfId="0" applyNumberFormat="1" applyFont="1" applyFill="1" applyBorder="1"/>
    <xf numFmtId="3" fontId="59" fillId="8" borderId="43" xfId="0" applyNumberFormat="1" applyFont="1" applyFill="1" applyBorder="1"/>
    <xf numFmtId="169" fontId="59" fillId="8" borderId="43" xfId="0" applyNumberFormat="1" applyFont="1" applyFill="1" applyBorder="1"/>
    <xf numFmtId="0" fontId="59" fillId="8" borderId="44" xfId="0" applyFont="1" applyFill="1" applyBorder="1"/>
    <xf numFmtId="0" fontId="59" fillId="29" borderId="42" xfId="0" applyFont="1" applyFill="1" applyBorder="1"/>
    <xf numFmtId="0" fontId="59" fillId="29" borderId="43" xfId="0" applyFont="1" applyFill="1" applyBorder="1"/>
    <xf numFmtId="167" fontId="59" fillId="29" borderId="43" xfId="0" applyNumberFormat="1" applyFont="1" applyFill="1" applyBorder="1"/>
    <xf numFmtId="164" fontId="59" fillId="29" borderId="43" xfId="0" applyNumberFormat="1" applyFont="1" applyFill="1" applyBorder="1"/>
    <xf numFmtId="3" fontId="59" fillId="29" borderId="43" xfId="0" applyNumberFormat="1" applyFont="1" applyFill="1" applyBorder="1"/>
    <xf numFmtId="169" fontId="59" fillId="29" borderId="43" xfId="0" applyNumberFormat="1" applyFont="1" applyFill="1" applyBorder="1"/>
    <xf numFmtId="0" fontId="59" fillId="29" borderId="44" xfId="0" applyFont="1" applyFill="1" applyBorder="1"/>
    <xf numFmtId="0" fontId="59" fillId="4" borderId="42" xfId="0" applyFont="1" applyFill="1" applyBorder="1"/>
    <xf numFmtId="0" fontId="59" fillId="4" borderId="43" xfId="0" applyFont="1" applyFill="1" applyBorder="1"/>
    <xf numFmtId="167" fontId="59" fillId="4" borderId="43" xfId="0" applyNumberFormat="1" applyFont="1" applyFill="1" applyBorder="1"/>
    <xf numFmtId="164" fontId="59" fillId="4" borderId="43" xfId="0" applyNumberFormat="1" applyFont="1" applyFill="1" applyBorder="1"/>
    <xf numFmtId="3" fontId="59" fillId="4" borderId="43" xfId="0" applyNumberFormat="1" applyFont="1" applyFill="1" applyBorder="1"/>
    <xf numFmtId="169" fontId="59" fillId="4" borderId="43" xfId="0" applyNumberFormat="1" applyFont="1" applyFill="1" applyBorder="1"/>
    <xf numFmtId="0" fontId="59" fillId="4" borderId="44" xfId="0" applyFont="1" applyFill="1" applyBorder="1"/>
    <xf numFmtId="0" fontId="60" fillId="30" borderId="42" xfId="0" applyFont="1" applyFill="1" applyBorder="1"/>
    <xf numFmtId="0" fontId="60" fillId="30" borderId="43" xfId="0" applyFont="1" applyFill="1" applyBorder="1"/>
    <xf numFmtId="167" fontId="60" fillId="30" borderId="43" xfId="0" applyNumberFormat="1" applyFont="1" applyFill="1" applyBorder="1"/>
    <xf numFmtId="164" fontId="60" fillId="30" borderId="43" xfId="0" applyNumberFormat="1" applyFont="1" applyFill="1" applyBorder="1"/>
    <xf numFmtId="3" fontId="60" fillId="30" borderId="43" xfId="0" applyNumberFormat="1" applyFont="1" applyFill="1" applyBorder="1"/>
    <xf numFmtId="169" fontId="60" fillId="30" borderId="43" xfId="0" applyNumberFormat="1" applyFont="1" applyFill="1" applyBorder="1"/>
    <xf numFmtId="0" fontId="60" fillId="30" borderId="44" xfId="0" applyFont="1" applyFill="1" applyBorder="1"/>
    <xf numFmtId="0" fontId="60" fillId="30" borderId="45" xfId="0" applyFont="1" applyFill="1" applyBorder="1"/>
    <xf numFmtId="0" fontId="60" fillId="30" borderId="46" xfId="0" applyFont="1" applyFill="1" applyBorder="1"/>
    <xf numFmtId="167" fontId="60" fillId="30" borderId="46" xfId="0" applyNumberFormat="1" applyFont="1" applyFill="1" applyBorder="1"/>
    <xf numFmtId="164" fontId="60" fillId="30" borderId="46" xfId="0" applyNumberFormat="1" applyFont="1" applyFill="1" applyBorder="1"/>
    <xf numFmtId="3" fontId="60" fillId="30" borderId="46" xfId="0" applyNumberFormat="1" applyFont="1" applyFill="1" applyBorder="1"/>
    <xf numFmtId="169" fontId="60" fillId="30" borderId="46" xfId="0" applyNumberFormat="1" applyFont="1" applyFill="1" applyBorder="1"/>
    <xf numFmtId="0" fontId="60" fillId="30" borderId="47" xfId="0" applyFont="1" applyFill="1" applyBorder="1"/>
    <xf numFmtId="0" fontId="61" fillId="28" borderId="43" xfId="0" applyFont="1" applyFill="1" applyBorder="1"/>
    <xf numFmtId="0" fontId="62" fillId="7" borderId="43" xfId="0" applyFont="1" applyFill="1" applyBorder="1"/>
    <xf numFmtId="0" fontId="62" fillId="8" borderId="43" xfId="0" applyFont="1" applyFill="1" applyBorder="1"/>
    <xf numFmtId="0" fontId="61" fillId="29" borderId="43" xfId="0" applyFont="1" applyFill="1" applyBorder="1"/>
    <xf numFmtId="0" fontId="63" fillId="31" borderId="43" xfId="0" applyFont="1" applyFill="1" applyBorder="1"/>
    <xf numFmtId="0" fontId="62" fillId="4" borderId="43" xfId="0" applyFont="1" applyFill="1" applyBorder="1"/>
    <xf numFmtId="0" fontId="61" fillId="7" borderId="43" xfId="0" applyFont="1" applyFill="1" applyBorder="1"/>
    <xf numFmtId="0" fontId="61" fillId="8" borderId="43" xfId="0" applyFont="1" applyFill="1" applyBorder="1"/>
    <xf numFmtId="0" fontId="61" fillId="4" borderId="43" xfId="0" applyFont="1" applyFill="1" applyBorder="1"/>
    <xf numFmtId="0" fontId="64" fillId="30" borderId="43" xfId="0" applyFont="1" applyFill="1" applyBorder="1"/>
    <xf numFmtId="0" fontId="65" fillId="30" borderId="43" xfId="0" applyFont="1" applyFill="1" applyBorder="1"/>
    <xf numFmtId="0" fontId="65" fillId="30" borderId="46" xfId="0" applyFont="1" applyFill="1" applyBorder="1"/>
    <xf numFmtId="0" fontId="26" fillId="0" borderId="0" xfId="0" applyFont="1"/>
    <xf numFmtId="0" fontId="26" fillId="0" borderId="6" xfId="0" applyFont="1" applyBorder="1"/>
    <xf numFmtId="0" fontId="59" fillId="0" borderId="0" xfId="0" applyFont="1"/>
    <xf numFmtId="0" fontId="66" fillId="0" borderId="0" xfId="0" applyFont="1"/>
    <xf numFmtId="0" fontId="65" fillId="0" borderId="0" xfId="0" applyFont="1" applyAlignment="1">
      <alignment horizontal="center"/>
    </xf>
    <xf numFmtId="0" fontId="67" fillId="0" borderId="6" xfId="0" applyFont="1" applyBorder="1"/>
    <xf numFmtId="0" fontId="68" fillId="0" borderId="0" xfId="0" applyFont="1"/>
    <xf numFmtId="0" fontId="69" fillId="0" borderId="0" xfId="0" applyFont="1"/>
    <xf numFmtId="0" fontId="68" fillId="7" borderId="0" xfId="0" applyFont="1" applyFill="1" applyBorder="1"/>
    <xf numFmtId="0" fontId="0" fillId="8" borderId="2" xfId="0" applyFill="1" applyBorder="1"/>
    <xf numFmtId="0" fontId="0" fillId="4" borderId="2" xfId="0" applyFill="1" applyBorder="1"/>
    <xf numFmtId="0" fontId="0" fillId="29" borderId="2" xfId="0" applyFill="1" applyBorder="1"/>
    <xf numFmtId="0" fontId="0" fillId="32" borderId="2" xfId="0" applyFill="1" applyBorder="1"/>
    <xf numFmtId="0" fontId="0" fillId="28" borderId="2" xfId="0" applyFill="1" applyBorder="1"/>
    <xf numFmtId="0" fontId="0" fillId="9" borderId="1" xfId="0" applyFill="1" applyBorder="1"/>
    <xf numFmtId="0" fontId="0" fillId="30" borderId="2" xfId="0" applyFill="1" applyBorder="1"/>
    <xf numFmtId="0" fontId="70" fillId="30" borderId="48" xfId="0" applyFont="1" applyFill="1" applyBorder="1"/>
    <xf numFmtId="0" fontId="70" fillId="30" borderId="49" xfId="0" applyFont="1" applyFill="1" applyBorder="1"/>
    <xf numFmtId="0" fontId="62" fillId="30" borderId="49" xfId="0" applyFont="1" applyFill="1" applyBorder="1"/>
    <xf numFmtId="0" fontId="70" fillId="30" borderId="50" xfId="0" applyFont="1" applyFill="1" applyBorder="1"/>
    <xf numFmtId="0" fontId="10" fillId="33" borderId="40" xfId="0" applyFont="1" applyFill="1" applyBorder="1" applyAlignment="1">
      <alignment horizontal="center"/>
    </xf>
    <xf numFmtId="0" fontId="71" fillId="4" borderId="43" xfId="0" applyFont="1" applyFill="1" applyBorder="1"/>
    <xf numFmtId="0" fontId="31" fillId="11" borderId="4" xfId="0" applyFont="1" applyFill="1" applyBorder="1"/>
    <xf numFmtId="0" fontId="31" fillId="11" borderId="4" xfId="0" applyFont="1" applyFill="1" applyBorder="1" applyAlignment="1">
      <alignment horizontal="center"/>
    </xf>
    <xf numFmtId="165" fontId="31" fillId="11" borderId="4" xfId="0" applyNumberFormat="1" applyFont="1" applyFill="1" applyBorder="1" applyAlignment="1">
      <alignment horizontal="right"/>
    </xf>
    <xf numFmtId="1" fontId="31" fillId="11" borderId="4" xfId="0" applyNumberFormat="1" applyFont="1" applyFill="1" applyBorder="1" applyAlignment="1">
      <alignment horizontal="right"/>
    </xf>
    <xf numFmtId="2" fontId="31" fillId="11" borderId="4" xfId="0" applyNumberFormat="1" applyFont="1" applyFill="1" applyBorder="1" applyAlignment="1">
      <alignment horizontal="right"/>
    </xf>
    <xf numFmtId="0" fontId="31" fillId="23" borderId="4" xfId="0" applyFont="1" applyFill="1" applyBorder="1"/>
    <xf numFmtId="0" fontId="31" fillId="23" borderId="4" xfId="0" applyFont="1" applyFill="1" applyBorder="1" applyAlignment="1">
      <alignment horizontal="center"/>
    </xf>
    <xf numFmtId="165" fontId="31" fillId="23" borderId="4" xfId="0" applyNumberFormat="1" applyFont="1" applyFill="1" applyBorder="1" applyAlignment="1">
      <alignment horizontal="right"/>
    </xf>
    <xf numFmtId="1" fontId="31" fillId="23" borderId="4" xfId="0" applyNumberFormat="1" applyFont="1" applyFill="1" applyBorder="1" applyAlignment="1">
      <alignment horizontal="right"/>
    </xf>
    <xf numFmtId="2" fontId="31" fillId="23" borderId="4" xfId="0" applyNumberFormat="1" applyFont="1" applyFill="1" applyBorder="1" applyAlignment="1">
      <alignment horizontal="right"/>
    </xf>
    <xf numFmtId="0" fontId="31" fillId="11" borderId="51" xfId="0" applyFont="1" applyFill="1" applyBorder="1" applyAlignment="1">
      <alignment horizontal="center"/>
    </xf>
    <xf numFmtId="0" fontId="31" fillId="23" borderId="51" xfId="0" applyFont="1" applyFill="1" applyBorder="1" applyAlignment="1">
      <alignment horizontal="center"/>
    </xf>
    <xf numFmtId="1" fontId="31" fillId="11" borderId="52" xfId="0" applyNumberFormat="1" applyFont="1" applyFill="1" applyBorder="1" applyAlignment="1">
      <alignment horizontal="right"/>
    </xf>
    <xf numFmtId="1" fontId="31" fillId="23" borderId="52" xfId="0" applyNumberFormat="1" applyFont="1" applyFill="1" applyBorder="1" applyAlignment="1">
      <alignment horizontal="right"/>
    </xf>
    <xf numFmtId="0" fontId="31" fillId="11" borderId="53" xfId="0" applyFont="1" applyFill="1" applyBorder="1" applyAlignment="1">
      <alignment horizontal="center"/>
    </xf>
    <xf numFmtId="0" fontId="31" fillId="11" borderId="3" xfId="0" applyFont="1" applyFill="1" applyBorder="1"/>
    <xf numFmtId="0" fontId="31" fillId="11" borderId="3" xfId="0" applyFont="1" applyFill="1" applyBorder="1" applyAlignment="1">
      <alignment horizontal="center"/>
    </xf>
    <xf numFmtId="165" fontId="31" fillId="11" borderId="3" xfId="0" applyNumberFormat="1" applyFont="1" applyFill="1" applyBorder="1" applyAlignment="1">
      <alignment horizontal="right"/>
    </xf>
    <xf numFmtId="1" fontId="31" fillId="11" borderId="3" xfId="0" applyNumberFormat="1" applyFont="1" applyFill="1" applyBorder="1" applyAlignment="1">
      <alignment horizontal="right"/>
    </xf>
    <xf numFmtId="2" fontId="31" fillId="11" borderId="3" xfId="0" applyNumberFormat="1" applyFont="1" applyFill="1" applyBorder="1" applyAlignment="1">
      <alignment horizontal="right"/>
    </xf>
    <xf numFmtId="1" fontId="31" fillId="11" borderId="54" xfId="0" applyNumberFormat="1" applyFont="1" applyFill="1" applyBorder="1" applyAlignment="1">
      <alignment horizontal="right"/>
    </xf>
    <xf numFmtId="0" fontId="20" fillId="18" borderId="55" xfId="0" applyFont="1" applyFill="1" applyBorder="1" applyAlignment="1">
      <alignment horizontal="center"/>
    </xf>
    <xf numFmtId="0" fontId="20" fillId="18" borderId="56" xfId="0" applyFont="1" applyFill="1" applyBorder="1" applyAlignment="1">
      <alignment horizontal="left"/>
    </xf>
    <xf numFmtId="0" fontId="20" fillId="18" borderId="56" xfId="0" applyFont="1" applyFill="1" applyBorder="1" applyAlignment="1">
      <alignment horizontal="center"/>
    </xf>
    <xf numFmtId="165" fontId="20" fillId="18" borderId="56" xfId="0" applyNumberFormat="1" applyFont="1" applyFill="1" applyBorder="1" applyAlignment="1">
      <alignment horizontal="right"/>
    </xf>
    <xf numFmtId="1" fontId="20" fillId="18" borderId="56" xfId="0" applyNumberFormat="1" applyFont="1" applyFill="1" applyBorder="1" applyAlignment="1">
      <alignment horizontal="right"/>
    </xf>
    <xf numFmtId="2" fontId="20" fillId="18" borderId="56" xfId="0" applyNumberFormat="1" applyFont="1" applyFill="1" applyBorder="1" applyAlignment="1">
      <alignment horizontal="right"/>
    </xf>
    <xf numFmtId="1" fontId="20" fillId="18" borderId="57" xfId="0" applyNumberFormat="1" applyFont="1" applyFill="1" applyBorder="1" applyAlignment="1">
      <alignment horizontal="right"/>
    </xf>
    <xf numFmtId="0" fontId="31" fillId="23" borderId="58" xfId="0" applyFont="1" applyFill="1" applyBorder="1" applyAlignment="1">
      <alignment horizontal="center"/>
    </xf>
    <xf numFmtId="0" fontId="31" fillId="23" borderId="5" xfId="0" applyFont="1" applyFill="1" applyBorder="1"/>
    <xf numFmtId="0" fontId="31" fillId="23" borderId="5" xfId="0" applyFont="1" applyFill="1" applyBorder="1" applyAlignment="1">
      <alignment horizontal="center"/>
    </xf>
    <xf numFmtId="165" fontId="31" fillId="23" borderId="5" xfId="0" applyNumberFormat="1" applyFont="1" applyFill="1" applyBorder="1" applyAlignment="1">
      <alignment horizontal="right"/>
    </xf>
    <xf numFmtId="1" fontId="31" fillId="23" borderId="5" xfId="0" applyNumberFormat="1" applyFont="1" applyFill="1" applyBorder="1" applyAlignment="1">
      <alignment horizontal="right"/>
    </xf>
    <xf numFmtId="2" fontId="31" fillId="23" borderId="5" xfId="0" applyNumberFormat="1" applyFont="1" applyFill="1" applyBorder="1" applyAlignment="1">
      <alignment horizontal="right"/>
    </xf>
    <xf numFmtId="1" fontId="31" fillId="23" borderId="59" xfId="0" applyNumberFormat="1" applyFont="1" applyFill="1" applyBorder="1" applyAlignment="1">
      <alignment horizontal="right"/>
    </xf>
    <xf numFmtId="0" fontId="20" fillId="18" borderId="56" xfId="0" applyFont="1" applyFill="1" applyBorder="1"/>
    <xf numFmtId="0" fontId="0" fillId="18" borderId="55" xfId="0" applyFill="1" applyBorder="1"/>
    <xf numFmtId="0" fontId="0" fillId="18" borderId="56" xfId="0" applyFill="1" applyBorder="1"/>
  </cellXfs>
  <cellStyles count="2">
    <cellStyle name="Normal" xfId="0" builtinId="0"/>
    <cellStyle name="Normal 2" xfId="1" xr:uid="{3516D6F3-74EC-E948-AA16-0846603211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ker Helali" id="{7BFDF199-F290-E44B-BC88-7AF54B43F1FE}" userId="S::Faker.Helali@cdgefir.com::f3dc44ee-6b52-4582-b599-6a62da4821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25" dT="2026-03-22T12:29:58.29" personId="{7BFDF199-F290-E44B-BC88-7AF54B43F1FE}" id="{75B24367-228F-8545-BF0F-85DE90257867}">
    <text>Pooled headcount: 129 hrs ÷ 18 = 7.17 FTE → 8 teachers.
Previously counted per-row: 6+2+1+1 = 10 teachers.
Saving: 2 headcount by sharing across Collège + Lycée Maths.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F4E733-9140-514F-82F1-F2973C8C327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8571-7DD6-3B40-B249-AEDAEEDFC2FA}">
  <dimension ref="A1:E27"/>
  <sheetViews>
    <sheetView showGridLines="0" workbookViewId="0">
      <selection activeCell="C61" sqref="C61"/>
    </sheetView>
  </sheetViews>
  <sheetFormatPr baseColWidth="10" defaultRowHeight="16" x14ac:dyDescent="0.2"/>
  <cols>
    <col min="1" max="1" width="30" customWidth="1"/>
    <col min="2" max="2" width="28.33203125" customWidth="1"/>
    <col min="3" max="3" width="17.6640625" bestFit="1" customWidth="1"/>
    <col min="4" max="4" width="17.1640625" bestFit="1" customWidth="1"/>
    <col min="5" max="5" width="46.6640625" customWidth="1"/>
  </cols>
  <sheetData>
    <row r="1" spans="1:5" ht="19" x14ac:dyDescent="0.25">
      <c r="A1" s="1" t="s">
        <v>0</v>
      </c>
    </row>
    <row r="3" spans="1:5" x14ac:dyDescent="0.2">
      <c r="A3" s="3" t="s">
        <v>1</v>
      </c>
      <c r="B3" s="3" t="s">
        <v>2</v>
      </c>
      <c r="C3" s="3" t="s">
        <v>123</v>
      </c>
      <c r="D3" s="3" t="s">
        <v>3</v>
      </c>
    </row>
    <row r="4" spans="1:5" x14ac:dyDescent="0.2">
      <c r="A4" s="4" t="s">
        <v>4</v>
      </c>
      <c r="B4" s="5" t="s">
        <v>5</v>
      </c>
      <c r="C4" s="5">
        <v>65</v>
      </c>
      <c r="D4" s="6">
        <v>3</v>
      </c>
    </row>
    <row r="5" spans="1:5" x14ac:dyDescent="0.2">
      <c r="A5" s="4" t="s">
        <v>4</v>
      </c>
      <c r="B5" s="5" t="s">
        <v>6</v>
      </c>
      <c r="C5" s="5">
        <v>77</v>
      </c>
      <c r="D5" s="6">
        <v>3</v>
      </c>
    </row>
    <row r="6" spans="1:5" x14ac:dyDescent="0.2">
      <c r="A6" s="4" t="s">
        <v>4</v>
      </c>
      <c r="B6" s="5" t="s">
        <v>7</v>
      </c>
      <c r="C6" s="5">
        <v>124</v>
      </c>
      <c r="D6" s="6">
        <v>5</v>
      </c>
    </row>
    <row r="7" spans="1:5" x14ac:dyDescent="0.2">
      <c r="A7" s="7" t="s">
        <v>8</v>
      </c>
      <c r="B7" s="8" t="s">
        <v>9</v>
      </c>
      <c r="C7" s="8">
        <v>126</v>
      </c>
      <c r="D7" s="9">
        <v>6</v>
      </c>
    </row>
    <row r="8" spans="1:5" x14ac:dyDescent="0.2">
      <c r="A8" s="7" t="s">
        <v>8</v>
      </c>
      <c r="B8" s="8" t="s">
        <v>10</v>
      </c>
      <c r="C8" s="8">
        <v>118</v>
      </c>
      <c r="D8" s="9">
        <v>5</v>
      </c>
    </row>
    <row r="9" spans="1:5" x14ac:dyDescent="0.2">
      <c r="A9" s="7" t="s">
        <v>8</v>
      </c>
      <c r="B9" s="8" t="s">
        <v>11</v>
      </c>
      <c r="C9" s="8">
        <v>132</v>
      </c>
      <c r="D9" s="9">
        <v>6</v>
      </c>
    </row>
    <row r="10" spans="1:5" x14ac:dyDescent="0.2">
      <c r="A10" s="7" t="s">
        <v>8</v>
      </c>
      <c r="B10" s="8" t="s">
        <v>12</v>
      </c>
      <c r="C10" s="8">
        <v>121</v>
      </c>
      <c r="D10" s="9">
        <v>5</v>
      </c>
    </row>
    <row r="11" spans="1:5" x14ac:dyDescent="0.2">
      <c r="A11" s="7" t="s">
        <v>8</v>
      </c>
      <c r="B11" s="8" t="s">
        <v>13</v>
      </c>
      <c r="C11" s="8">
        <v>121</v>
      </c>
      <c r="D11" s="9">
        <v>5</v>
      </c>
    </row>
    <row r="12" spans="1:5" x14ac:dyDescent="0.2">
      <c r="A12" s="10" t="s">
        <v>14</v>
      </c>
      <c r="B12" s="11" t="s">
        <v>15</v>
      </c>
      <c r="C12" s="11">
        <v>151</v>
      </c>
      <c r="D12" s="12">
        <v>6</v>
      </c>
    </row>
    <row r="13" spans="1:5" x14ac:dyDescent="0.2">
      <c r="A13" s="10" t="s">
        <v>14</v>
      </c>
      <c r="B13" s="11" t="s">
        <v>16</v>
      </c>
      <c r="C13" s="11">
        <v>139</v>
      </c>
      <c r="D13" s="12">
        <v>6</v>
      </c>
    </row>
    <row r="14" spans="1:5" x14ac:dyDescent="0.2">
      <c r="A14" s="10" t="s">
        <v>14</v>
      </c>
      <c r="B14" s="11" t="s">
        <v>17</v>
      </c>
      <c r="C14" s="11">
        <v>120</v>
      </c>
      <c r="D14" s="12">
        <v>5</v>
      </c>
    </row>
    <row r="15" spans="1:5" x14ac:dyDescent="0.2">
      <c r="A15" s="10" t="s">
        <v>14</v>
      </c>
      <c r="B15" s="11" t="s">
        <v>18</v>
      </c>
      <c r="C15" s="11">
        <v>103</v>
      </c>
      <c r="D15" s="12">
        <v>4</v>
      </c>
    </row>
    <row r="16" spans="1:5" x14ac:dyDescent="0.2">
      <c r="A16" s="13" t="s">
        <v>19</v>
      </c>
      <c r="B16" s="14" t="s">
        <v>20</v>
      </c>
      <c r="C16" s="14">
        <v>125</v>
      </c>
      <c r="D16" s="15">
        <v>5</v>
      </c>
    </row>
    <row r="17" spans="1:5" x14ac:dyDescent="0.2">
      <c r="A17" s="13" t="s">
        <v>19</v>
      </c>
      <c r="B17" s="14" t="s">
        <v>21</v>
      </c>
      <c r="C17" s="14">
        <v>120</v>
      </c>
      <c r="D17" s="15">
        <v>5</v>
      </c>
    </row>
    <row r="18" spans="1:5" x14ac:dyDescent="0.2">
      <c r="A18" s="13" t="s">
        <v>19</v>
      </c>
      <c r="B18" s="14" t="s">
        <v>22</v>
      </c>
      <c r="C18" s="14">
        <v>111</v>
      </c>
      <c r="D18" s="15">
        <v>4</v>
      </c>
    </row>
    <row r="20" spans="1:5" x14ac:dyDescent="0.2">
      <c r="A20" s="16" t="s">
        <v>23</v>
      </c>
      <c r="B20" s="17"/>
      <c r="C20" s="17"/>
      <c r="D20" s="17"/>
    </row>
    <row r="21" spans="1:5" x14ac:dyDescent="0.2">
      <c r="A21" s="13" t="s">
        <v>24</v>
      </c>
      <c r="B21" s="18"/>
      <c r="C21" s="18">
        <f>SUM(C4:C6)</f>
        <v>266</v>
      </c>
      <c r="D21" s="18">
        <f>SUM(D4:D6)</f>
        <v>11</v>
      </c>
    </row>
    <row r="22" spans="1:5" x14ac:dyDescent="0.2">
      <c r="A22" s="13" t="s">
        <v>25</v>
      </c>
      <c r="B22" s="18"/>
      <c r="C22" s="18">
        <f>SUM(C7:C11)</f>
        <v>618</v>
      </c>
      <c r="D22" s="18">
        <f>SUM(D7:D11)</f>
        <v>27</v>
      </c>
    </row>
    <row r="23" spans="1:5" x14ac:dyDescent="0.2">
      <c r="A23" s="13" t="s">
        <v>26</v>
      </c>
      <c r="B23" s="18"/>
      <c r="C23" s="18">
        <f>SUM(C12:C15)</f>
        <v>513</v>
      </c>
      <c r="D23" s="18">
        <f>SUM(D12:D15)</f>
        <v>21</v>
      </c>
    </row>
    <row r="24" spans="1:5" x14ac:dyDescent="0.2">
      <c r="A24" s="13" t="s">
        <v>27</v>
      </c>
      <c r="B24" s="18"/>
      <c r="C24" s="18">
        <f>SUM(C16:C18)</f>
        <v>356</v>
      </c>
      <c r="D24" s="18">
        <f>SUM(D16:D18)</f>
        <v>14</v>
      </c>
    </row>
    <row r="26" spans="1:5" x14ac:dyDescent="0.2">
      <c r="A26" s="2" t="s">
        <v>28</v>
      </c>
      <c r="B26" s="3"/>
      <c r="C26" s="3">
        <f>SUM(C21:C24)</f>
        <v>1753</v>
      </c>
      <c r="D26" s="3">
        <f>SUM(D21:D24)</f>
        <v>73</v>
      </c>
    </row>
    <row r="27" spans="1:5" x14ac:dyDescent="0.2">
      <c r="A27" s="19" t="s">
        <v>29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94D2-BBF7-044C-B021-381EA100579A}">
  <dimension ref="A1:Y100"/>
  <sheetViews>
    <sheetView zoomScale="110" zoomScaleNormal="110" workbookViewId="0">
      <pane xSplit="4" ySplit="10" topLeftCell="E11" activePane="bottomRight" state="frozen"/>
      <selection pane="topRight" activeCell="D1" sqref="D1"/>
      <selection pane="bottomLeft" activeCell="A11" sqref="A11"/>
      <selection pane="bottomRight" activeCell="H98" sqref="H98"/>
    </sheetView>
  </sheetViews>
  <sheetFormatPr baseColWidth="10" defaultRowHeight="16" x14ac:dyDescent="0.2"/>
  <cols>
    <col min="1" max="1" width="20" customWidth="1"/>
    <col min="2" max="3" width="33.33203125" customWidth="1"/>
    <col min="4" max="4" width="30" customWidth="1"/>
    <col min="5" max="21" width="8.33203125" customWidth="1"/>
    <col min="22" max="25" width="12.5" customWidth="1"/>
  </cols>
  <sheetData>
    <row r="1" spans="1:25" ht="19" x14ac:dyDescent="0.25">
      <c r="A1" s="110" t="s">
        <v>86</v>
      </c>
      <c r="B1" s="110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x14ac:dyDescent="0.2">
      <c r="A2" s="111" t="s">
        <v>87</v>
      </c>
      <c r="B2" s="111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x14ac:dyDescent="0.2">
      <c r="A4" s="228" t="s">
        <v>88</v>
      </c>
      <c r="B4" s="228"/>
      <c r="C4" s="23"/>
      <c r="D4" s="23"/>
      <c r="E4" s="23"/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x14ac:dyDescent="0.2">
      <c r="A5" s="25" t="s">
        <v>89</v>
      </c>
      <c r="B5" s="25"/>
      <c r="C5" s="25" t="s">
        <v>90</v>
      </c>
      <c r="D5" s="27">
        <v>18</v>
      </c>
      <c r="E5" s="28" t="s">
        <v>91</v>
      </c>
      <c r="F5" s="28"/>
      <c r="G5" s="25" t="s">
        <v>130</v>
      </c>
      <c r="H5" s="27">
        <v>0</v>
      </c>
      <c r="I5" s="28" t="s">
        <v>91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x14ac:dyDescent="0.2">
      <c r="A6" s="25"/>
      <c r="B6" s="25"/>
      <c r="C6" s="25" t="s">
        <v>92</v>
      </c>
      <c r="D6" s="27">
        <v>24</v>
      </c>
      <c r="E6" s="28" t="s">
        <v>91</v>
      </c>
      <c r="F6" s="28"/>
      <c r="G6" s="25" t="s">
        <v>131</v>
      </c>
      <c r="H6" s="29">
        <f>$D$5+$H$5</f>
        <v>18</v>
      </c>
      <c r="I6" s="28" t="s">
        <v>91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x14ac:dyDescent="0.2">
      <c r="A7" s="228" t="s">
        <v>210</v>
      </c>
      <c r="B7" s="237"/>
      <c r="C7" s="235" t="s">
        <v>211</v>
      </c>
      <c r="D7" s="236">
        <v>0.5</v>
      </c>
      <c r="E7" s="235" t="s">
        <v>212</v>
      </c>
      <c r="F7" s="236">
        <v>0.1</v>
      </c>
      <c r="G7" s="235" t="s">
        <v>213</v>
      </c>
      <c r="H7" s="236">
        <v>0.4</v>
      </c>
      <c r="I7" s="235" t="str">
        <f>IF(D7+F7+H7=1,"✓","≠100%!")</f>
        <v>✓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x14ac:dyDescent="0.2">
      <c r="A8" s="112"/>
      <c r="B8" s="112"/>
      <c r="C8" s="112"/>
      <c r="D8" s="113"/>
      <c r="E8" s="112"/>
      <c r="F8" s="113"/>
      <c r="G8" s="114" t="s">
        <v>45</v>
      </c>
      <c r="H8" s="112"/>
      <c r="I8" s="115"/>
      <c r="J8" s="114" t="s">
        <v>46</v>
      </c>
      <c r="K8" s="112"/>
      <c r="L8" s="112"/>
      <c r="M8" s="112"/>
      <c r="N8" s="115"/>
      <c r="O8" s="114" t="s">
        <v>47</v>
      </c>
      <c r="P8" s="112"/>
      <c r="Q8" s="112"/>
      <c r="R8" s="115"/>
      <c r="S8" s="114" t="s">
        <v>48</v>
      </c>
      <c r="T8" s="112"/>
      <c r="U8" s="112"/>
      <c r="V8" s="160" t="s">
        <v>93</v>
      </c>
      <c r="W8" s="161"/>
      <c r="X8" s="161"/>
      <c r="Y8" s="161"/>
    </row>
    <row r="9" spans="1:25" ht="17" thickBot="1" x14ac:dyDescent="0.25">
      <c r="A9" s="116" t="s">
        <v>94</v>
      </c>
      <c r="B9" s="58" t="s">
        <v>33</v>
      </c>
      <c r="C9" s="116" t="s">
        <v>49</v>
      </c>
      <c r="D9" s="117" t="s">
        <v>50</v>
      </c>
      <c r="E9" s="116" t="s">
        <v>95</v>
      </c>
      <c r="F9" s="117"/>
      <c r="G9" s="58" t="s">
        <v>51</v>
      </c>
      <c r="H9" s="58" t="s">
        <v>52</v>
      </c>
      <c r="I9" s="118" t="s">
        <v>53</v>
      </c>
      <c r="J9" s="58" t="s">
        <v>54</v>
      </c>
      <c r="K9" s="58" t="s">
        <v>10</v>
      </c>
      <c r="L9" s="58" t="s">
        <v>11</v>
      </c>
      <c r="M9" s="58" t="s">
        <v>12</v>
      </c>
      <c r="N9" s="118" t="s">
        <v>13</v>
      </c>
      <c r="O9" s="58" t="s">
        <v>15</v>
      </c>
      <c r="P9" s="58" t="s">
        <v>16</v>
      </c>
      <c r="Q9" s="58" t="s">
        <v>17</v>
      </c>
      <c r="R9" s="118" t="s">
        <v>18</v>
      </c>
      <c r="S9" s="58" t="s">
        <v>55</v>
      </c>
      <c r="T9" s="58" t="s">
        <v>56</v>
      </c>
      <c r="U9" s="58" t="s">
        <v>57</v>
      </c>
      <c r="V9" s="162" t="s">
        <v>96</v>
      </c>
      <c r="W9" s="163" t="s">
        <v>97</v>
      </c>
      <c r="X9" s="163" t="s">
        <v>98</v>
      </c>
      <c r="Y9" s="163" t="s">
        <v>99</v>
      </c>
    </row>
    <row r="10" spans="1:25" ht="17" thickBot="1" x14ac:dyDescent="0.25">
      <c r="A10" s="119"/>
      <c r="B10" s="119"/>
      <c r="C10" s="120" t="s">
        <v>3</v>
      </c>
      <c r="D10" s="121"/>
      <c r="E10" s="119"/>
      <c r="F10" s="121"/>
      <c r="G10" s="222">
        <v>3</v>
      </c>
      <c r="H10" s="222">
        <v>3</v>
      </c>
      <c r="I10" s="223">
        <v>5</v>
      </c>
      <c r="J10" s="222">
        <v>6</v>
      </c>
      <c r="K10" s="222">
        <v>5</v>
      </c>
      <c r="L10" s="222">
        <v>6</v>
      </c>
      <c r="M10" s="222">
        <v>5</v>
      </c>
      <c r="N10" s="223">
        <v>5</v>
      </c>
      <c r="O10" s="222">
        <v>6</v>
      </c>
      <c r="P10" s="222">
        <v>6</v>
      </c>
      <c r="Q10" s="222">
        <v>5</v>
      </c>
      <c r="R10" s="223">
        <v>4</v>
      </c>
      <c r="S10" s="222">
        <v>5</v>
      </c>
      <c r="T10" s="222">
        <v>5</v>
      </c>
      <c r="U10" s="222">
        <v>4</v>
      </c>
      <c r="V10" s="122"/>
      <c r="W10" s="119"/>
      <c r="X10" s="119"/>
      <c r="Y10" s="119"/>
    </row>
    <row r="11" spans="1:25" ht="22" customHeight="1" x14ac:dyDescent="0.2">
      <c r="A11" s="59" t="s">
        <v>128</v>
      </c>
      <c r="B11" s="133"/>
      <c r="C11" s="59"/>
      <c r="D11" s="109"/>
      <c r="E11" s="136"/>
      <c r="F11" s="137"/>
      <c r="G11" s="198"/>
      <c r="H11" s="198"/>
      <c r="I11" s="199"/>
      <c r="J11" s="198"/>
      <c r="K11" s="198"/>
      <c r="L11" s="198"/>
      <c r="M11" s="198"/>
      <c r="N11" s="199"/>
      <c r="O11" s="198"/>
      <c r="P11" s="198"/>
      <c r="Q11" s="198"/>
      <c r="R11" s="199"/>
      <c r="S11" s="198"/>
      <c r="T11" s="198"/>
      <c r="U11" s="198"/>
      <c r="V11" s="123"/>
      <c r="W11" s="124"/>
      <c r="X11" s="125"/>
      <c r="Y11" s="126"/>
    </row>
    <row r="12" spans="1:25" ht="19" customHeight="1" x14ac:dyDescent="0.2">
      <c r="A12" s="140" t="s">
        <v>115</v>
      </c>
      <c r="B12" s="134"/>
      <c r="C12" s="140"/>
      <c r="D12" s="153"/>
      <c r="E12" s="92"/>
      <c r="F12" s="138"/>
      <c r="G12" s="200"/>
      <c r="H12" s="200"/>
      <c r="I12" s="201"/>
      <c r="J12" s="200"/>
      <c r="K12" s="200"/>
      <c r="L12" s="200"/>
      <c r="M12" s="200"/>
      <c r="N12" s="201"/>
      <c r="O12" s="200"/>
      <c r="P12" s="200"/>
      <c r="Q12" s="200"/>
      <c r="R12" s="201"/>
      <c r="S12" s="200"/>
      <c r="T12" s="200"/>
      <c r="U12" s="200"/>
      <c r="V12" s="127"/>
      <c r="W12" s="128"/>
      <c r="X12" s="129"/>
      <c r="Y12" s="128"/>
    </row>
    <row r="13" spans="1:25" ht="17" customHeight="1" x14ac:dyDescent="0.2">
      <c r="A13" s="141" t="s">
        <v>116</v>
      </c>
      <c r="B13" s="135"/>
      <c r="C13" s="147" t="s">
        <v>117</v>
      </c>
      <c r="D13" s="154" t="s">
        <v>58</v>
      </c>
      <c r="E13" s="71">
        <v>1</v>
      </c>
      <c r="F13" s="97"/>
      <c r="G13" s="202">
        <v>24</v>
      </c>
      <c r="H13" s="202">
        <v>24</v>
      </c>
      <c r="I13" s="203">
        <v>24</v>
      </c>
      <c r="J13" s="202"/>
      <c r="K13" s="202"/>
      <c r="L13" s="202"/>
      <c r="M13" s="202"/>
      <c r="N13" s="203"/>
      <c r="O13" s="202"/>
      <c r="P13" s="202"/>
      <c r="Q13" s="202"/>
      <c r="R13" s="203"/>
      <c r="S13" s="202"/>
      <c r="T13" s="202"/>
      <c r="U13" s="202"/>
      <c r="V13" s="103" cm="1">
        <f t="array" ref="V13">SUMPRODUCT(IF(ISNUMBER(G13:U13),G13:U13,0),$G$10:$U$10)*E13</f>
        <v>264</v>
      </c>
      <c r="W13" s="60">
        <f>IF(ISNUMBER(SEARCH("PE",D13)),$D$6,$D$5)</f>
        <v>24</v>
      </c>
      <c r="X13" s="61">
        <f>SUM($G$10:$I$10)</f>
        <v>11</v>
      </c>
      <c r="Y13" s="164">
        <f>X13</f>
        <v>11</v>
      </c>
    </row>
    <row r="14" spans="1:25" ht="17" customHeight="1" x14ac:dyDescent="0.2">
      <c r="A14" s="142" t="s">
        <v>116</v>
      </c>
      <c r="B14" s="72" t="s">
        <v>116</v>
      </c>
      <c r="C14" s="148" t="s">
        <v>119</v>
      </c>
      <c r="D14" s="155" t="s">
        <v>120</v>
      </c>
      <c r="E14" s="73">
        <v>1</v>
      </c>
      <c r="F14" s="98"/>
      <c r="G14" s="204">
        <v>24</v>
      </c>
      <c r="H14" s="204">
        <v>24</v>
      </c>
      <c r="I14" s="205">
        <v>24</v>
      </c>
      <c r="J14" s="204"/>
      <c r="K14" s="204"/>
      <c r="L14" s="204"/>
      <c r="M14" s="204"/>
      <c r="N14" s="205"/>
      <c r="O14" s="204"/>
      <c r="P14" s="204"/>
      <c r="Q14" s="204"/>
      <c r="R14" s="205"/>
      <c r="S14" s="204"/>
      <c r="T14" s="204"/>
      <c r="U14" s="204"/>
      <c r="V14" s="104" cm="1">
        <f t="array" ref="V14">SUMPRODUCT(IF(ISNUMBER(G14:U14),G14:U14,0),$G$10:$U$10)*E14</f>
        <v>264</v>
      </c>
      <c r="W14" s="74">
        <f>$D$6</f>
        <v>24</v>
      </c>
      <c r="X14" s="75">
        <f>SUM($G$10:$I$10)</f>
        <v>11</v>
      </c>
      <c r="Y14" s="165">
        <f>X14</f>
        <v>11</v>
      </c>
    </row>
    <row r="15" spans="1:25" ht="17" customHeight="1" x14ac:dyDescent="0.2">
      <c r="A15" s="143"/>
      <c r="B15" s="76" t="s">
        <v>116</v>
      </c>
      <c r="C15" s="149" t="s">
        <v>126</v>
      </c>
      <c r="D15" s="156"/>
      <c r="E15" s="77"/>
      <c r="F15" s="99"/>
      <c r="G15" s="206"/>
      <c r="H15" s="206"/>
      <c r="I15" s="207"/>
      <c r="J15" s="206"/>
      <c r="K15" s="206"/>
      <c r="L15" s="206"/>
      <c r="M15" s="206"/>
      <c r="N15" s="207"/>
      <c r="O15" s="206"/>
      <c r="P15" s="206"/>
      <c r="Q15" s="206"/>
      <c r="R15" s="207"/>
      <c r="S15" s="206"/>
      <c r="T15" s="206"/>
      <c r="U15" s="206"/>
      <c r="V15" s="105">
        <f>V13+V14</f>
        <v>528</v>
      </c>
      <c r="W15" s="78">
        <f>$D$6</f>
        <v>24</v>
      </c>
      <c r="X15" s="79">
        <f>X13</f>
        <v>11</v>
      </c>
      <c r="Y15" s="78">
        <f>X15</f>
        <v>11</v>
      </c>
    </row>
    <row r="16" spans="1:25" ht="17" customHeight="1" x14ac:dyDescent="0.2">
      <c r="A16" s="144" t="s">
        <v>116</v>
      </c>
      <c r="B16" s="80"/>
      <c r="C16" s="150" t="s">
        <v>118</v>
      </c>
      <c r="D16" s="157" t="s">
        <v>58</v>
      </c>
      <c r="E16" s="73">
        <v>1</v>
      </c>
      <c r="F16" s="98"/>
      <c r="G16" s="208"/>
      <c r="H16" s="208"/>
      <c r="I16" s="209"/>
      <c r="J16" s="208">
        <v>24</v>
      </c>
      <c r="K16" s="208">
        <v>24</v>
      </c>
      <c r="L16" s="208">
        <v>24</v>
      </c>
      <c r="M16" s="208">
        <v>24</v>
      </c>
      <c r="N16" s="209">
        <v>24</v>
      </c>
      <c r="O16" s="208"/>
      <c r="P16" s="208"/>
      <c r="Q16" s="208"/>
      <c r="R16" s="209"/>
      <c r="S16" s="208"/>
      <c r="T16" s="208"/>
      <c r="U16" s="208"/>
      <c r="V16" s="104" cm="1">
        <f t="array" ref="V16">SUMPRODUCT(IF(ISNUMBER(G16:U16),G16:U16,0),$G$10:$U$10)*E16</f>
        <v>648</v>
      </c>
      <c r="W16" s="74">
        <f>IF(ISNUMBER(SEARCH("PE",D16)),$D$6,$D$5)</f>
        <v>24</v>
      </c>
      <c r="X16" s="75">
        <f>SUM($J$10:$N$10)</f>
        <v>27</v>
      </c>
      <c r="Y16" s="165">
        <f>X16</f>
        <v>27</v>
      </c>
    </row>
    <row r="17" spans="1:25" ht="17" customHeight="1" x14ac:dyDescent="0.2">
      <c r="A17" s="143"/>
      <c r="B17" s="76" t="s">
        <v>116</v>
      </c>
      <c r="C17" s="149" t="s">
        <v>127</v>
      </c>
      <c r="D17" s="156"/>
      <c r="E17" s="77"/>
      <c r="F17" s="99"/>
      <c r="G17" s="206"/>
      <c r="H17" s="206"/>
      <c r="I17" s="207"/>
      <c r="J17" s="206"/>
      <c r="K17" s="206"/>
      <c r="L17" s="206"/>
      <c r="M17" s="206"/>
      <c r="N17" s="207"/>
      <c r="O17" s="206"/>
      <c r="P17" s="206"/>
      <c r="Q17" s="206"/>
      <c r="R17" s="207"/>
      <c r="S17" s="206"/>
      <c r="T17" s="206"/>
      <c r="U17" s="206"/>
      <c r="V17" s="105">
        <f>V16</f>
        <v>648</v>
      </c>
      <c r="W17" s="78">
        <f>$D$6</f>
        <v>24</v>
      </c>
      <c r="X17" s="79">
        <f>X16</f>
        <v>27</v>
      </c>
      <c r="Y17" s="78">
        <f>X16</f>
        <v>27</v>
      </c>
    </row>
    <row r="18" spans="1:25" ht="19" customHeight="1" x14ac:dyDescent="0.2">
      <c r="A18" s="140" t="s">
        <v>62</v>
      </c>
      <c r="B18" s="93"/>
      <c r="C18" s="140"/>
      <c r="D18" s="153"/>
      <c r="E18" s="92"/>
      <c r="F18" s="138"/>
      <c r="G18" s="200"/>
      <c r="H18" s="200"/>
      <c r="I18" s="201"/>
      <c r="J18" s="200"/>
      <c r="K18" s="200"/>
      <c r="L18" s="200"/>
      <c r="M18" s="200"/>
      <c r="N18" s="201"/>
      <c r="O18" s="200"/>
      <c r="P18" s="200"/>
      <c r="Q18" s="200"/>
      <c r="R18" s="201"/>
      <c r="S18" s="200"/>
      <c r="T18" s="200"/>
      <c r="U18" s="200"/>
      <c r="V18" s="127"/>
      <c r="W18" s="128"/>
      <c r="X18" s="129"/>
      <c r="Y18" s="128"/>
    </row>
    <row r="19" spans="1:25" ht="17" customHeight="1" x14ac:dyDescent="0.2">
      <c r="A19" s="141" t="s">
        <v>124</v>
      </c>
      <c r="B19" s="62"/>
      <c r="C19" s="147" t="s">
        <v>63</v>
      </c>
      <c r="D19" s="154" t="s">
        <v>836</v>
      </c>
      <c r="E19" s="71">
        <v>1</v>
      </c>
      <c r="F19" s="97"/>
      <c r="G19" s="202">
        <v>2</v>
      </c>
      <c r="H19" s="202">
        <v>2</v>
      </c>
      <c r="I19" s="203">
        <v>2.67</v>
      </c>
      <c r="J19" s="202">
        <v>2</v>
      </c>
      <c r="K19" s="202">
        <v>2</v>
      </c>
      <c r="L19" s="202">
        <v>2</v>
      </c>
      <c r="M19" s="202">
        <v>2</v>
      </c>
      <c r="N19" s="203">
        <v>2</v>
      </c>
      <c r="O19" s="202"/>
      <c r="P19" s="202"/>
      <c r="Q19" s="202"/>
      <c r="R19" s="203"/>
      <c r="S19" s="202"/>
      <c r="T19" s="202"/>
      <c r="U19" s="202"/>
      <c r="V19" s="103" cm="1">
        <f t="array" ref="V19">SUMPRODUCT(IF(ISNUMBER(G19:U19),G19:U19,0),$G$10:$U$10)*E19</f>
        <v>79.349999999999994</v>
      </c>
      <c r="W19" s="60">
        <f>IF(ISNUMBER(SEARCH("PE",D19)),$D$6,$D$5)</f>
        <v>18</v>
      </c>
      <c r="X19" s="61">
        <f>IF(V19=0,"",V19/$H$6)</f>
        <v>4.4083333333333332</v>
      </c>
      <c r="Y19" s="164">
        <f>IF(X19="","",ROUNDUP(X19,0))</f>
        <v>5</v>
      </c>
    </row>
    <row r="20" spans="1:25" ht="17" customHeight="1" x14ac:dyDescent="0.2">
      <c r="A20" s="142" t="s">
        <v>124</v>
      </c>
      <c r="B20" s="81" t="s">
        <v>145</v>
      </c>
      <c r="C20" s="148" t="s">
        <v>64</v>
      </c>
      <c r="D20" s="154" t="s">
        <v>836</v>
      </c>
      <c r="E20" s="73">
        <v>1</v>
      </c>
      <c r="F20" s="98"/>
      <c r="G20" s="204"/>
      <c r="H20" s="204"/>
      <c r="I20" s="205">
        <v>2.67</v>
      </c>
      <c r="J20" s="204">
        <v>2</v>
      </c>
      <c r="K20" s="204">
        <v>2</v>
      </c>
      <c r="L20" s="204">
        <v>2</v>
      </c>
      <c r="M20" s="204">
        <v>2</v>
      </c>
      <c r="N20" s="205">
        <v>2</v>
      </c>
      <c r="O20" s="204"/>
      <c r="P20" s="204"/>
      <c r="Q20" s="204"/>
      <c r="R20" s="205"/>
      <c r="S20" s="204"/>
      <c r="T20" s="204"/>
      <c r="U20" s="204"/>
      <c r="V20" s="104" cm="1">
        <f t="array" ref="V20">SUMPRODUCT(IF(ISNUMBER(G20:U20),G20:U20,0),$G$10:$U$10)*E20</f>
        <v>67.349999999999994</v>
      </c>
      <c r="W20" s="74">
        <f>IF(ISNUMBER(SEARCH("PE",D20)),$D$6,$D$5)</f>
        <v>18</v>
      </c>
      <c r="X20" s="75">
        <f>IF(V20=0,"",V20/$H$6)</f>
        <v>3.7416666666666663</v>
      </c>
      <c r="Y20" s="165">
        <f>IF(X20="","",ROUNDUP(X20,0))</f>
        <v>4</v>
      </c>
    </row>
    <row r="21" spans="1:25" ht="17" customHeight="1" x14ac:dyDescent="0.2">
      <c r="A21" s="143"/>
      <c r="B21" s="76" t="s">
        <v>145</v>
      </c>
      <c r="C21" s="149" t="s">
        <v>125</v>
      </c>
      <c r="D21" s="156"/>
      <c r="E21" s="77"/>
      <c r="F21" s="99"/>
      <c r="G21" s="206"/>
      <c r="H21" s="206"/>
      <c r="I21" s="207"/>
      <c r="J21" s="206"/>
      <c r="K21" s="206"/>
      <c r="L21" s="206"/>
      <c r="M21" s="206"/>
      <c r="N21" s="207"/>
      <c r="O21" s="206"/>
      <c r="P21" s="206"/>
      <c r="Q21" s="206"/>
      <c r="R21" s="207"/>
      <c r="S21" s="206"/>
      <c r="T21" s="206"/>
      <c r="U21" s="206"/>
      <c r="V21" s="105">
        <f>V19+V20</f>
        <v>146.69999999999999</v>
      </c>
      <c r="W21" s="78">
        <f>$D$5</f>
        <v>18</v>
      </c>
      <c r="X21" s="79">
        <f>IF(V21=0,"",V21/$H$6)</f>
        <v>8.1499999999999986</v>
      </c>
      <c r="Y21" s="78">
        <f>IF(X21="","",ROUNDUP(X21,0))</f>
        <v>9</v>
      </c>
    </row>
    <row r="22" spans="1:25" ht="19" customHeight="1" x14ac:dyDescent="0.2">
      <c r="A22" s="140" t="s">
        <v>66</v>
      </c>
      <c r="B22" s="93"/>
      <c r="C22" s="140"/>
      <c r="D22" s="153"/>
      <c r="E22" s="92"/>
      <c r="F22" s="138"/>
      <c r="G22" s="200"/>
      <c r="H22" s="200"/>
      <c r="I22" s="201"/>
      <c r="J22" s="200"/>
      <c r="K22" s="200"/>
      <c r="L22" s="200"/>
      <c r="M22" s="200"/>
      <c r="N22" s="201"/>
      <c r="O22" s="200"/>
      <c r="P22" s="200"/>
      <c r="Q22" s="200"/>
      <c r="R22" s="201"/>
      <c r="S22" s="200"/>
      <c r="T22" s="200"/>
      <c r="U22" s="200"/>
      <c r="V22" s="127"/>
      <c r="W22" s="128"/>
      <c r="X22" s="129"/>
      <c r="Y22" s="128"/>
    </row>
    <row r="23" spans="1:25" ht="17" customHeight="1" x14ac:dyDescent="0.2">
      <c r="A23" s="141" t="s">
        <v>124</v>
      </c>
      <c r="B23" s="62"/>
      <c r="C23" s="147" t="s">
        <v>107</v>
      </c>
      <c r="D23" s="154" t="s">
        <v>67</v>
      </c>
      <c r="E23" s="71">
        <v>1</v>
      </c>
      <c r="F23" s="97"/>
      <c r="G23" s="202"/>
      <c r="H23" s="202"/>
      <c r="I23" s="203">
        <v>0.67</v>
      </c>
      <c r="J23" s="202">
        <v>1.5</v>
      </c>
      <c r="K23" s="202">
        <v>1.5</v>
      </c>
      <c r="L23" s="202">
        <v>1.5</v>
      </c>
      <c r="M23" s="202">
        <v>1.5</v>
      </c>
      <c r="N23" s="203">
        <v>1.5</v>
      </c>
      <c r="O23" s="202"/>
      <c r="P23" s="202"/>
      <c r="Q23" s="202"/>
      <c r="R23" s="203"/>
      <c r="S23" s="202"/>
      <c r="T23" s="202"/>
      <c r="U23" s="202"/>
      <c r="V23" s="103" cm="1">
        <f t="array" ref="V23">SUMPRODUCT(IF(ISNUMBER(G23:U23),G23:U23,0),$G$10:$U$10)*E23</f>
        <v>43.85</v>
      </c>
      <c r="W23" s="60">
        <f>IF(ISNUMBER(SEARCH("PE",D23)),$D$6,$D$5)</f>
        <v>18</v>
      </c>
      <c r="X23" s="61">
        <f>IF(V23=0,"",V23/$H$6)</f>
        <v>2.4361111111111113</v>
      </c>
      <c r="Y23" s="164">
        <f>IF(X23="","",ROUNDUP(X23,0))</f>
        <v>3</v>
      </c>
    </row>
    <row r="24" spans="1:25" ht="17" customHeight="1" thickBot="1" x14ac:dyDescent="0.25">
      <c r="A24" s="189"/>
      <c r="B24" s="190" t="s">
        <v>145</v>
      </c>
      <c r="C24" s="191" t="s">
        <v>125</v>
      </c>
      <c r="D24" s="192"/>
      <c r="E24" s="193"/>
      <c r="F24" s="194"/>
      <c r="G24" s="210"/>
      <c r="H24" s="210"/>
      <c r="I24" s="211"/>
      <c r="J24" s="210"/>
      <c r="K24" s="210"/>
      <c r="L24" s="210"/>
      <c r="M24" s="210"/>
      <c r="N24" s="211"/>
      <c r="O24" s="210"/>
      <c r="P24" s="210"/>
      <c r="Q24" s="210"/>
      <c r="R24" s="211"/>
      <c r="S24" s="210"/>
      <c r="T24" s="210"/>
      <c r="U24" s="210"/>
      <c r="V24" s="195">
        <f>V23</f>
        <v>43.85</v>
      </c>
      <c r="W24" s="196">
        <f>$D$5</f>
        <v>18</v>
      </c>
      <c r="X24" s="197">
        <f>IF(V24=0,"",V24/$H$6)</f>
        <v>2.4361111111111113</v>
      </c>
      <c r="Y24" s="196">
        <f>IF(X24="","",ROUNDUP(X24,0))</f>
        <v>3</v>
      </c>
    </row>
    <row r="25" spans="1:25" ht="8" customHeight="1" x14ac:dyDescent="0.2">
      <c r="A25" s="172"/>
      <c r="B25" s="173"/>
      <c r="C25" s="172"/>
      <c r="D25" s="174"/>
      <c r="E25" s="175"/>
      <c r="F25" s="176"/>
      <c r="G25" s="212"/>
      <c r="H25" s="212"/>
      <c r="I25" s="213"/>
      <c r="J25" s="212"/>
      <c r="K25" s="212"/>
      <c r="L25" s="212"/>
      <c r="M25" s="212"/>
      <c r="N25" s="213"/>
      <c r="O25" s="212"/>
      <c r="P25" s="212"/>
      <c r="Q25" s="212"/>
      <c r="R25" s="213"/>
      <c r="S25" s="212"/>
      <c r="T25" s="212"/>
      <c r="U25" s="212"/>
      <c r="V25" s="177"/>
      <c r="W25" s="178"/>
      <c r="X25" s="179"/>
      <c r="Y25" s="180"/>
    </row>
    <row r="26" spans="1:25" ht="22" customHeight="1" x14ac:dyDescent="0.2">
      <c r="A26" s="63" t="s">
        <v>129</v>
      </c>
      <c r="B26" s="64"/>
      <c r="C26" s="63"/>
      <c r="D26" s="166"/>
      <c r="E26" s="167"/>
      <c r="F26" s="168"/>
      <c r="G26" s="214"/>
      <c r="H26" s="214"/>
      <c r="I26" s="215"/>
      <c r="J26" s="214"/>
      <c r="K26" s="214"/>
      <c r="L26" s="214"/>
      <c r="M26" s="214"/>
      <c r="N26" s="215"/>
      <c r="O26" s="214"/>
      <c r="P26" s="214"/>
      <c r="Q26" s="214"/>
      <c r="R26" s="215"/>
      <c r="S26" s="214"/>
      <c r="T26" s="214"/>
      <c r="U26" s="214"/>
      <c r="V26" s="169"/>
      <c r="W26" s="170"/>
      <c r="X26" s="171"/>
      <c r="Y26" s="170"/>
    </row>
    <row r="27" spans="1:25" x14ac:dyDescent="0.2">
      <c r="A27" s="94" t="s">
        <v>204</v>
      </c>
      <c r="B27" s="95"/>
      <c r="C27" s="94"/>
      <c r="D27" s="108"/>
      <c r="E27" s="96"/>
      <c r="F27" s="139"/>
      <c r="G27" s="216"/>
      <c r="H27" s="216"/>
      <c r="I27" s="217"/>
      <c r="J27" s="216"/>
      <c r="K27" s="216"/>
      <c r="L27" s="216"/>
      <c r="M27" s="216"/>
      <c r="N27" s="217"/>
      <c r="O27" s="216"/>
      <c r="P27" s="216"/>
      <c r="Q27" s="216"/>
      <c r="R27" s="217"/>
      <c r="S27" s="216"/>
      <c r="T27" s="216"/>
      <c r="U27" s="216"/>
      <c r="V27" s="130"/>
      <c r="W27" s="131"/>
      <c r="X27" s="132"/>
      <c r="Y27" s="131"/>
    </row>
    <row r="28" spans="1:25" ht="19" customHeight="1" x14ac:dyDescent="0.2">
      <c r="A28" s="140" t="s">
        <v>100</v>
      </c>
      <c r="B28" s="93"/>
      <c r="C28" s="140"/>
      <c r="D28" s="153"/>
      <c r="E28" s="92"/>
      <c r="F28" s="138"/>
      <c r="G28" s="200"/>
      <c r="H28" s="200"/>
      <c r="I28" s="201"/>
      <c r="J28" s="200"/>
      <c r="K28" s="200"/>
      <c r="L28" s="200"/>
      <c r="M28" s="200"/>
      <c r="N28" s="201"/>
      <c r="O28" s="200"/>
      <c r="P28" s="200"/>
      <c r="Q28" s="200"/>
      <c r="R28" s="201"/>
      <c r="S28" s="200"/>
      <c r="T28" s="200"/>
      <c r="U28" s="200"/>
      <c r="V28" s="127"/>
      <c r="W28" s="128"/>
      <c r="X28" s="129"/>
      <c r="Y28" s="128"/>
    </row>
    <row r="29" spans="1:25" ht="17" customHeight="1" x14ac:dyDescent="0.2">
      <c r="A29" s="141" t="s">
        <v>31</v>
      </c>
      <c r="B29" s="65" t="s">
        <v>145</v>
      </c>
      <c r="C29" s="147" t="s">
        <v>31</v>
      </c>
      <c r="D29" s="154" t="s">
        <v>101</v>
      </c>
      <c r="E29" s="51">
        <v>1</v>
      </c>
      <c r="F29" s="100"/>
      <c r="G29" s="202"/>
      <c r="H29" s="202"/>
      <c r="I29" s="203"/>
      <c r="J29" s="202"/>
      <c r="K29" s="202"/>
      <c r="L29" s="202"/>
      <c r="M29" s="202"/>
      <c r="N29" s="203"/>
      <c r="O29" s="202" cm="1">
        <f t="array" ref="O29">IFERROR(INDEX(Curriculum_Detail!H:H,MATCH(1,(Curriculum_Detail!D:D="6e")*(Curriculum_Detail!F:F="Français")*(Curriculum_Detail!E:E="Core"),0)),"")</f>
        <v>4.5</v>
      </c>
      <c r="P29" s="202" cm="1">
        <f t="array" ref="P29">IFERROR(INDEX(Curriculum_Detail!H:H,MATCH(1,(Curriculum_Detail!D:D="5e")*(Curriculum_Detail!F:F="Français")*(Curriculum_Detail!E:E="Core"),0)),"")</f>
        <v>4.5</v>
      </c>
      <c r="Q29" s="202" cm="1">
        <f t="array" ref="Q29">IFERROR(INDEX(Curriculum_Detail!H:H,MATCH(1,(Curriculum_Detail!D:D="4e")*(Curriculum_Detail!F:F="Français")*(Curriculum_Detail!E:E="Core"),0)),"")</f>
        <v>4.5</v>
      </c>
      <c r="R29" s="203" cm="1">
        <f t="array" ref="R29">IFERROR(INDEX(Curriculum_Detail!H:H,MATCH(1,(Curriculum_Detail!D:D="3e")*(Curriculum_Detail!F:F="Français")*(Curriculum_Detail!E:E="Core"),0)),"")</f>
        <v>4</v>
      </c>
      <c r="S29" s="202" cm="1">
        <f t="array" ref="S29">IFERROR(INDEX(Curriculum_Detail!H:H,MATCH(1,(Curriculum_Detail!D:D="Seconde")*(Curriculum_Detail!F:F="Français")*(Curriculum_Detail!E:E="Core"),0)),"")</f>
        <v>4</v>
      </c>
      <c r="T29" s="202" cm="1">
        <f t="array" ref="T29">IFERROR(INDEX(Curriculum_Detail!H:H,MATCH(1,(Curriculum_Detail!D:D="Première")*(Curriculum_Detail!F:F="Français")*(Curriculum_Detail!E:E="Core"),0)),"")</f>
        <v>4</v>
      </c>
      <c r="U29" s="202"/>
      <c r="V29" s="106" cm="1">
        <f t="array" ref="V29">SUMPRODUCT(IF(ISNUMBER(G29:U29),G29:U29,0),$G$10:$U$10)*E29</f>
        <v>132.5</v>
      </c>
      <c r="W29" s="66">
        <f>IF(ISNUMBER(SEARCH("PE",D29)),$D$6,$D$5)</f>
        <v>18</v>
      </c>
      <c r="X29" s="67">
        <f>IF(V29=0,"",V29/$H$6)</f>
        <v>7.3611111111111107</v>
      </c>
      <c r="Y29" s="69">
        <f>IF(X29="","",ROUNDUP(X29,0))</f>
        <v>8</v>
      </c>
    </row>
    <row r="30" spans="1:25" ht="17" customHeight="1" x14ac:dyDescent="0.2">
      <c r="A30" s="142" t="s">
        <v>31</v>
      </c>
      <c r="B30" s="82" t="s">
        <v>145</v>
      </c>
      <c r="C30" s="148" t="s">
        <v>59</v>
      </c>
      <c r="D30" s="155" t="s">
        <v>102</v>
      </c>
      <c r="E30" s="83">
        <v>1</v>
      </c>
      <c r="F30" s="101"/>
      <c r="G30" s="204"/>
      <c r="H30" s="204"/>
      <c r="I30" s="205"/>
      <c r="J30" s="204"/>
      <c r="K30" s="204"/>
      <c r="L30" s="204"/>
      <c r="M30" s="204"/>
      <c r="N30" s="205"/>
      <c r="O30" s="204"/>
      <c r="P30" s="204"/>
      <c r="Q30" s="204"/>
      <c r="R30" s="205"/>
      <c r="S30" s="204"/>
      <c r="T30" s="204"/>
      <c r="U30" s="204" cm="1">
        <f t="array" ref="U30">IFERROR(INDEX(Curriculum_Detail!H:H,MATCH(1,(Curriculum_Detail!D:D="Terminale")*(Curriculum_Detail!F:F="Philosophie")*(Curriculum_Detail!E:E="Core"),0)),"")</f>
        <v>4</v>
      </c>
      <c r="V30" s="107" cm="1">
        <f t="array" ref="V30">SUMPRODUCT(IF(ISNUMBER(G30:U30),G30:U30,0),$G$10:$U$10)*E30</f>
        <v>16</v>
      </c>
      <c r="W30" s="84">
        <f>IF(ISNUMBER(SEARCH("PE",D30)),$D$6,$D$5)</f>
        <v>18</v>
      </c>
      <c r="X30" s="85">
        <f>IF(V30=0,"",V30/$H$6)</f>
        <v>0.88888888888888884</v>
      </c>
      <c r="Y30" s="87">
        <f>IF(X30="","",ROUNDUP(X30,0))</f>
        <v>1</v>
      </c>
    </row>
    <row r="31" spans="1:25" ht="17" customHeight="1" x14ac:dyDescent="0.2">
      <c r="A31" s="145" t="s">
        <v>31</v>
      </c>
      <c r="B31" s="86" t="s">
        <v>186</v>
      </c>
      <c r="C31" s="151" t="s">
        <v>208</v>
      </c>
      <c r="D31" s="158" t="s">
        <v>101</v>
      </c>
      <c r="E31" s="83">
        <v>1</v>
      </c>
      <c r="F31" s="101"/>
      <c r="G31" s="224"/>
      <c r="H31" s="224"/>
      <c r="I31" s="225"/>
      <c r="J31" s="224"/>
      <c r="K31" s="224"/>
      <c r="L31" s="224"/>
      <c r="M31" s="224"/>
      <c r="N31" s="225"/>
      <c r="O31" s="224"/>
      <c r="P31" s="224"/>
      <c r="Q31" s="224"/>
      <c r="R31" s="225"/>
      <c r="S31" s="224"/>
      <c r="T31" s="218" cm="1">
        <f t="array" ref="T31">IFERROR(INDEX(Curriculum_Detail!H:H,MATCH(1,(Curriculum_Detail!D:D="Première")*(Curriculum_Detail!F:F="Humanités, littérature et philosophie")*(Curriculum_Detail!E:E="Specialty"),0)),0)</f>
        <v>4</v>
      </c>
      <c r="U31" s="218"/>
      <c r="V31" s="107">
        <f>T31*E31</f>
        <v>4</v>
      </c>
      <c r="W31" s="87">
        <f>$D$5</f>
        <v>18</v>
      </c>
      <c r="X31" s="88">
        <f>IF(V31=0,"",V31/$H$6)</f>
        <v>0.22222222222222221</v>
      </c>
      <c r="Y31" s="87">
        <f>IF(X31="","",ROUNDUP(X31,0))</f>
        <v>1</v>
      </c>
    </row>
    <row r="32" spans="1:25" ht="17" customHeight="1" x14ac:dyDescent="0.2">
      <c r="A32" s="229" t="s">
        <v>31</v>
      </c>
      <c r="B32" s="68" t="s">
        <v>186</v>
      </c>
      <c r="C32" s="230" t="s">
        <v>209</v>
      </c>
      <c r="D32" s="231" t="s">
        <v>102</v>
      </c>
      <c r="E32" s="51"/>
      <c r="F32" s="100">
        <v>1</v>
      </c>
      <c r="G32" s="232"/>
      <c r="H32" s="232"/>
      <c r="I32" s="233"/>
      <c r="J32" s="232"/>
      <c r="K32" s="232"/>
      <c r="L32" s="232"/>
      <c r="M32" s="232"/>
      <c r="N32" s="233"/>
      <c r="O32" s="232"/>
      <c r="P32" s="232"/>
      <c r="Q32" s="232"/>
      <c r="R32" s="233"/>
      <c r="S32" s="232"/>
      <c r="T32" s="234"/>
      <c r="U32" s="234" cm="1">
        <f t="array" ref="U32">IFERROR(INDEX(Curriculum_Detail!H:H,MATCH(1,(Curriculum_Detail!D:D="Terminale")*(Curriculum_Detail!F:F="Humanités, littérature et philosophie")*(Curriculum_Detail!E:E="Specialty"),0)),0)</f>
        <v>6</v>
      </c>
      <c r="V32" s="106">
        <f>U32*F32</f>
        <v>6</v>
      </c>
      <c r="W32" s="69">
        <f>$D$5</f>
        <v>18</v>
      </c>
      <c r="X32" s="70">
        <f>IF(V32=0,"",V32/$H$6)</f>
        <v>0.33333333333333331</v>
      </c>
      <c r="Y32" s="69">
        <f>IF(X32="","",ROUNDUP(X32,0))</f>
        <v>1</v>
      </c>
    </row>
    <row r="33" spans="1:25" ht="19" customHeight="1" x14ac:dyDescent="0.2">
      <c r="A33" s="140" t="s">
        <v>60</v>
      </c>
      <c r="B33" s="93"/>
      <c r="C33" s="140"/>
      <c r="D33" s="153"/>
      <c r="E33" s="92"/>
      <c r="F33" s="138"/>
      <c r="G33" s="200"/>
      <c r="H33" s="200"/>
      <c r="I33" s="201"/>
      <c r="J33" s="200"/>
      <c r="K33" s="200"/>
      <c r="L33" s="200"/>
      <c r="M33" s="200"/>
      <c r="N33" s="201"/>
      <c r="O33" s="200"/>
      <c r="P33" s="200"/>
      <c r="Q33" s="200"/>
      <c r="R33" s="201"/>
      <c r="S33" s="200"/>
      <c r="T33" s="200"/>
      <c r="U33" s="200"/>
      <c r="V33" s="127"/>
      <c r="W33" s="128"/>
      <c r="X33" s="129"/>
      <c r="Y33" s="128"/>
    </row>
    <row r="34" spans="1:25" ht="17" customHeight="1" x14ac:dyDescent="0.2">
      <c r="A34" s="141" t="s">
        <v>103</v>
      </c>
      <c r="B34" s="65" t="s">
        <v>145</v>
      </c>
      <c r="C34" s="147" t="s">
        <v>32</v>
      </c>
      <c r="D34" s="154" t="s">
        <v>104</v>
      </c>
      <c r="E34" s="51">
        <v>1</v>
      </c>
      <c r="F34" s="100"/>
      <c r="G34" s="202"/>
      <c r="H34" s="202"/>
      <c r="I34" s="203"/>
      <c r="J34" s="202"/>
      <c r="K34" s="202"/>
      <c r="L34" s="202"/>
      <c r="M34" s="202"/>
      <c r="N34" s="203"/>
      <c r="O34" s="202" cm="1">
        <f t="array" ref="O34">IFERROR(INDEX(Curriculum_Detail!H:H,MATCH(1,(Curriculum_Detail!D:D="6e")*(Curriculum_Detail!F:F="Mathématiques")*(Curriculum_Detail!E:E="Core"),0)),"")</f>
        <v>4.5</v>
      </c>
      <c r="P34" s="202" cm="1">
        <f t="array" ref="P34">IFERROR(INDEX(Curriculum_Detail!H:H,MATCH(1,(Curriculum_Detail!D:D="5e")*(Curriculum_Detail!F:F="Mathématiques")*(Curriculum_Detail!E:E="Core"),0)),"")</f>
        <v>3.5</v>
      </c>
      <c r="Q34" s="202" cm="1">
        <f t="array" ref="Q34">IFERROR(INDEX(Curriculum_Detail!H:H,MATCH(1,(Curriculum_Detail!D:D="4e")*(Curriculum_Detail!F:F="Mathématiques")*(Curriculum_Detail!E:E="Core"),0)),"")</f>
        <v>3.5</v>
      </c>
      <c r="R34" s="203" cm="1">
        <f t="array" ref="R34">IFERROR(INDEX(Curriculum_Detail!H:H,MATCH(1,(Curriculum_Detail!D:D="3e")*(Curriculum_Detail!F:F="Mathématiques")*(Curriculum_Detail!E:E="Core"),0)),"")</f>
        <v>3.5</v>
      </c>
      <c r="S34" s="202" cm="1">
        <f t="array" ref="S34">IFERROR(INDEX(Curriculum_Detail!H:H,MATCH(1,(Curriculum_Detail!D:D="Seconde")*(Curriculum_Detail!F:F="Mathématiques")*(Curriculum_Detail!E:E="Core"),0)),"")</f>
        <v>4</v>
      </c>
      <c r="T34" s="202"/>
      <c r="U34" s="202"/>
      <c r="V34" s="106" cm="1">
        <f t="array" ref="V34">SUMPRODUCT(IF(ISNUMBER(G34:U34),G34:U34,0),$G$10:$U$10)*E34</f>
        <v>99.5</v>
      </c>
      <c r="W34" s="66">
        <f>IF(ISNUMBER(SEARCH("PE",D34)),$D$6,$D$5)</f>
        <v>18</v>
      </c>
      <c r="X34" s="67">
        <f>IF(V34=0,"",V34/$H$6)</f>
        <v>5.5277777777777777</v>
      </c>
      <c r="Y34" s="69">
        <f>IF(X34="","",ROUNDUP(X34,0))</f>
        <v>6</v>
      </c>
    </row>
    <row r="35" spans="1:25" ht="17" customHeight="1" x14ac:dyDescent="0.2">
      <c r="A35" s="142" t="s">
        <v>103</v>
      </c>
      <c r="B35" s="82" t="s">
        <v>145</v>
      </c>
      <c r="C35" s="148" t="s">
        <v>205</v>
      </c>
      <c r="D35" s="155" t="s">
        <v>104</v>
      </c>
      <c r="E35" s="83">
        <v>1</v>
      </c>
      <c r="F35" s="101"/>
      <c r="G35" s="204"/>
      <c r="H35" s="204"/>
      <c r="I35" s="205"/>
      <c r="J35" s="204"/>
      <c r="K35" s="204"/>
      <c r="L35" s="204"/>
      <c r="M35" s="204"/>
      <c r="N35" s="205"/>
      <c r="O35" s="204" cm="1">
        <f t="array" ref="O35">IFERROR(INDEX(Curriculum_Detail!H:H,MATCH(1,(Curriculum_Detail!D:D="6e")*(Curriculum_Detail!F:F="Soutien / approfondissement en français ou mathématiques")*(Curriculum_Detail!E:E="Core"),0)),"")</f>
        <v>1</v>
      </c>
      <c r="P35" s="204"/>
      <c r="Q35" s="204"/>
      <c r="R35" s="205"/>
      <c r="S35" s="204"/>
      <c r="T35" s="204"/>
      <c r="U35" s="204"/>
      <c r="V35" s="107" cm="1">
        <f t="array" ref="V35">SUMPRODUCT(IF(ISNUMBER(G35:U35),G35:U35,0),$G$10:$U$10)*E35</f>
        <v>6</v>
      </c>
      <c r="W35" s="84">
        <f>IF(ISNUMBER(SEARCH("PE",D35)),$D$6,$D$5)</f>
        <v>18</v>
      </c>
      <c r="X35" s="85">
        <f>IF(V35=0,"",V35/$H$6)</f>
        <v>0.33333333333333331</v>
      </c>
      <c r="Y35" s="87">
        <f>IF(X35="","",ROUNDUP(X35,0))</f>
        <v>1</v>
      </c>
    </row>
    <row r="36" spans="1:25" ht="17" customHeight="1" x14ac:dyDescent="0.2">
      <c r="A36" s="145" t="s">
        <v>103</v>
      </c>
      <c r="B36" s="86" t="s">
        <v>186</v>
      </c>
      <c r="C36" s="151" t="s">
        <v>61</v>
      </c>
      <c r="D36" s="158" t="s">
        <v>104</v>
      </c>
      <c r="E36" s="83">
        <v>2</v>
      </c>
      <c r="F36" s="101">
        <v>2</v>
      </c>
      <c r="G36" s="224"/>
      <c r="H36" s="224"/>
      <c r="I36" s="225"/>
      <c r="J36" s="224"/>
      <c r="K36" s="224"/>
      <c r="L36" s="224"/>
      <c r="M36" s="224"/>
      <c r="N36" s="225"/>
      <c r="O36" s="224"/>
      <c r="P36" s="224"/>
      <c r="Q36" s="224"/>
      <c r="R36" s="225"/>
      <c r="S36" s="224"/>
      <c r="T36" s="218" cm="1">
        <f t="array" ref="T36">IFERROR(INDEX(Curriculum_Detail!H:H,MATCH(1,(Curriculum_Detail!D:D="Première")*(Curriculum_Detail!F:F="Mathématiques")*(Curriculum_Detail!E:E="Specialty"),0)),0)</f>
        <v>4</v>
      </c>
      <c r="U36" s="218" cm="1">
        <f t="array" ref="U36">IFERROR(INDEX(Curriculum_Detail!H:H,MATCH(1,(Curriculum_Detail!D:D="Terminale")*(Curriculum_Detail!F:F="Mathématiques")*(Curriculum_Detail!E:E="Specialty"),0)),0)</f>
        <v>6</v>
      </c>
      <c r="V36" s="107">
        <f>T36*E36+U36*F36</f>
        <v>20</v>
      </c>
      <c r="W36" s="87">
        <f>$D$5</f>
        <v>18</v>
      </c>
      <c r="X36" s="88">
        <f>IF(V36=0,"",V36/$H$6)</f>
        <v>1.1111111111111112</v>
      </c>
      <c r="Y36" s="87">
        <f>IF(X36="","",ROUNDUP(X36,0))</f>
        <v>2</v>
      </c>
    </row>
    <row r="37" spans="1:25" ht="17" customHeight="1" x14ac:dyDescent="0.2">
      <c r="A37" s="145" t="s">
        <v>103</v>
      </c>
      <c r="B37" s="86" t="s">
        <v>206</v>
      </c>
      <c r="C37" s="151" t="s">
        <v>105</v>
      </c>
      <c r="D37" s="158" t="s">
        <v>104</v>
      </c>
      <c r="E37" s="83">
        <v>0</v>
      </c>
      <c r="F37" s="101">
        <v>4</v>
      </c>
      <c r="G37" s="224"/>
      <c r="H37" s="224"/>
      <c r="I37" s="225"/>
      <c r="J37" s="224"/>
      <c r="K37" s="224"/>
      <c r="L37" s="224"/>
      <c r="M37" s="224"/>
      <c r="N37" s="225"/>
      <c r="O37" s="224"/>
      <c r="P37" s="224"/>
      <c r="Q37" s="224"/>
      <c r="R37" s="225"/>
      <c r="S37" s="224"/>
      <c r="T37" s="218">
        <v>0</v>
      </c>
      <c r="U37" s="218">
        <v>3</v>
      </c>
      <c r="V37" s="107">
        <f>T37*E37+U37*F37</f>
        <v>12</v>
      </c>
      <c r="W37" s="87">
        <f>$D$5</f>
        <v>18</v>
      </c>
      <c r="X37" s="88">
        <f>IF(V37=0,"",V37/$H$6)</f>
        <v>0.66666666666666663</v>
      </c>
      <c r="Y37" s="87">
        <f>IF(X37="","",ROUNDUP(X37,0))</f>
        <v>1</v>
      </c>
    </row>
    <row r="38" spans="1:25" ht="17" customHeight="1" x14ac:dyDescent="0.2">
      <c r="A38" s="145" t="s">
        <v>103</v>
      </c>
      <c r="B38" s="86" t="s">
        <v>206</v>
      </c>
      <c r="C38" s="151" t="s">
        <v>106</v>
      </c>
      <c r="D38" s="158" t="s">
        <v>104</v>
      </c>
      <c r="E38" s="83">
        <v>0</v>
      </c>
      <c r="F38" s="101">
        <v>2</v>
      </c>
      <c r="G38" s="224"/>
      <c r="H38" s="224"/>
      <c r="I38" s="225"/>
      <c r="J38" s="224"/>
      <c r="K38" s="224"/>
      <c r="L38" s="224"/>
      <c r="M38" s="224"/>
      <c r="N38" s="225"/>
      <c r="O38" s="224"/>
      <c r="P38" s="224"/>
      <c r="Q38" s="224"/>
      <c r="R38" s="225"/>
      <c r="S38" s="224"/>
      <c r="T38" s="218">
        <v>0</v>
      </c>
      <c r="U38" s="218">
        <v>3</v>
      </c>
      <c r="V38" s="107">
        <f>T38*E38+U38*F38</f>
        <v>6</v>
      </c>
      <c r="W38" s="87">
        <f>$D$5</f>
        <v>18</v>
      </c>
      <c r="X38" s="88">
        <f>IF(V38=0,"",V38/$H$6)</f>
        <v>0.33333333333333331</v>
      </c>
      <c r="Y38" s="87">
        <f>IF(X38="","",ROUNDUP(X38,0))</f>
        <v>1</v>
      </c>
    </row>
    <row r="39" spans="1:25" ht="19" customHeight="1" x14ac:dyDescent="0.2">
      <c r="A39" s="140" t="s">
        <v>78</v>
      </c>
      <c r="B39" s="93"/>
      <c r="C39" s="140"/>
      <c r="D39" s="153"/>
      <c r="E39" s="92"/>
      <c r="F39" s="138"/>
      <c r="G39" s="200"/>
      <c r="H39" s="200"/>
      <c r="I39" s="201"/>
      <c r="J39" s="200"/>
      <c r="K39" s="200"/>
      <c r="L39" s="200"/>
      <c r="M39" s="200"/>
      <c r="N39" s="201"/>
      <c r="O39" s="200"/>
      <c r="P39" s="200"/>
      <c r="Q39" s="200"/>
      <c r="R39" s="201"/>
      <c r="S39" s="200"/>
      <c r="T39" s="200"/>
      <c r="U39" s="200"/>
      <c r="V39" s="127"/>
      <c r="W39" s="128"/>
      <c r="X39" s="129"/>
      <c r="Y39" s="128"/>
    </row>
    <row r="40" spans="1:25" ht="17" customHeight="1" x14ac:dyDescent="0.2">
      <c r="A40" s="141" t="s">
        <v>112</v>
      </c>
      <c r="B40" s="65" t="s">
        <v>145</v>
      </c>
      <c r="C40" s="147" t="s">
        <v>39</v>
      </c>
      <c r="D40" s="154" t="s">
        <v>79</v>
      </c>
      <c r="E40" s="51">
        <v>1</v>
      </c>
      <c r="F40" s="100"/>
      <c r="G40" s="202"/>
      <c r="H40" s="202"/>
      <c r="I40" s="203"/>
      <c r="J40" s="202"/>
      <c r="K40" s="202"/>
      <c r="L40" s="202"/>
      <c r="M40" s="202"/>
      <c r="N40" s="203"/>
      <c r="O40" s="202" cm="1">
        <f t="array" ref="O40">IFERROR(INDEX(Curriculum_Detail!H:H,MATCH(1,(Curriculum_Detail!D:D="6e")*(Curriculum_Detail!F:F="Histoire-géographie")*(Curriculum_Detail!E:E="Core"),0)),"")</f>
        <v>2.5</v>
      </c>
      <c r="P40" s="202" cm="1">
        <f t="array" ref="P40">IFERROR(INDEX(Curriculum_Detail!H:H,MATCH(1,(Curriculum_Detail!D:D="5e")*(Curriculum_Detail!F:F="Histoire-géographie")*(Curriculum_Detail!E:E="Core"),0)),"")</f>
        <v>2.5</v>
      </c>
      <c r="Q40" s="202" cm="1">
        <f t="array" ref="Q40">IFERROR(INDEX(Curriculum_Detail!H:H,MATCH(1,(Curriculum_Detail!D:D="4e")*(Curriculum_Detail!F:F="Histoire-géographie")*(Curriculum_Detail!E:E="Core"),0)),"")</f>
        <v>2.5</v>
      </c>
      <c r="R40" s="203" cm="1">
        <f t="array" ref="R40">IFERROR(INDEX(Curriculum_Detail!H:H,MATCH(1,(Curriculum_Detail!D:D="3e")*(Curriculum_Detail!F:F="Histoire-géographie")*(Curriculum_Detail!E:E="Core"),0)),"")</f>
        <v>3</v>
      </c>
      <c r="S40" s="202" cm="1">
        <f t="array" ref="S40">IFERROR(INDEX(Curriculum_Detail!H:H,MATCH(1,(Curriculum_Detail!D:D="Seconde")*(Curriculum_Detail!F:F="Histoire-géographie")*(Curriculum_Detail!E:E="Core"),0)),"")</f>
        <v>3</v>
      </c>
      <c r="T40" s="202" cm="1">
        <f t="array" ref="T40">IFERROR(INDEX(Curriculum_Detail!H:H,MATCH(1,(Curriculum_Detail!D:D="Première")*(Curriculum_Detail!F:F="Histoire-géographie")*(Curriculum_Detail!E:E="Core"),0)),"")</f>
        <v>3</v>
      </c>
      <c r="U40" s="202" cm="1">
        <f t="array" ref="U40">IFERROR(INDEX(Curriculum_Detail!H:H,MATCH(1,(Curriculum_Detail!D:D="Terminale")*(Curriculum_Detail!F:F="Histoire-géographie")*(Curriculum_Detail!E:E="Core"),0)),"")</f>
        <v>3</v>
      </c>
      <c r="V40" s="106" cm="1">
        <f t="array" ref="V40">SUMPRODUCT(IF(ISNUMBER(G40:U40),G40:U40,0),$G$10:$U$10)*E40</f>
        <v>96.5</v>
      </c>
      <c r="W40" s="66">
        <f>IF(ISNUMBER(SEARCH("PE",D40)),$D$6,$D$5)</f>
        <v>18</v>
      </c>
      <c r="X40" s="67">
        <f>IF(V40=0,"",V40/$H$6)</f>
        <v>5.3611111111111107</v>
      </c>
      <c r="Y40" s="69">
        <f>IF(X40="","",ROUNDUP(X40,0))</f>
        <v>6</v>
      </c>
    </row>
    <row r="41" spans="1:25" ht="17" customHeight="1" x14ac:dyDescent="0.2">
      <c r="A41" s="142" t="s">
        <v>112</v>
      </c>
      <c r="B41" s="82" t="s">
        <v>145</v>
      </c>
      <c r="C41" s="148" t="s">
        <v>150</v>
      </c>
      <c r="D41" s="155" t="s">
        <v>837</v>
      </c>
      <c r="E41" s="83">
        <v>1</v>
      </c>
      <c r="F41" s="101"/>
      <c r="G41" s="204"/>
      <c r="H41" s="204"/>
      <c r="I41" s="205"/>
      <c r="J41" s="204"/>
      <c r="K41" s="204"/>
      <c r="L41" s="204"/>
      <c r="M41" s="204"/>
      <c r="N41" s="205"/>
      <c r="O41" s="204" cm="1">
        <f t="array" ref="O41">IFERROR(INDEX(Curriculum_Detail!H:H,MATCH(1,(Curriculum_Detail!D:D="6e")*(Curriculum_Detail!F:F="Enseignement moral et civique")*(Curriculum_Detail!E:E="Core"),0)),"")</f>
        <v>0.5</v>
      </c>
      <c r="P41" s="204" cm="1">
        <f t="array" ref="P41">IFERROR(INDEX(Curriculum_Detail!H:H,MATCH(1,(Curriculum_Detail!D:D="5e")*(Curriculum_Detail!F:F="Enseignement moral et civique")*(Curriculum_Detail!E:E="Core"),0)),"")</f>
        <v>0.5</v>
      </c>
      <c r="Q41" s="204" cm="1">
        <f t="array" ref="Q41">IFERROR(INDEX(Curriculum_Detail!H:H,MATCH(1,(Curriculum_Detail!D:D="4e")*(Curriculum_Detail!F:F="Enseignement moral et civique")*(Curriculum_Detail!E:E="Core"),0)),"")</f>
        <v>0.5</v>
      </c>
      <c r="R41" s="205" cm="1">
        <f t="array" ref="R41">IFERROR(INDEX(Curriculum_Detail!H:H,MATCH(1,(Curriculum_Detail!D:D="3e")*(Curriculum_Detail!F:F="Enseignement moral et civique")*(Curriculum_Detail!E:E="Core"),0)),"")</f>
        <v>0.5</v>
      </c>
      <c r="S41" s="204" cm="1">
        <f t="array" ref="S41">IFERROR(INDEX(Curriculum_Detail!H:H,MATCH(1,(Curriculum_Detail!D:D="Seconde")*(Curriculum_Detail!F:F="Enseignement moral et civique")*(Curriculum_Detail!E:E="Core"),0)),"")</f>
        <v>0.5</v>
      </c>
      <c r="T41" s="204" cm="1">
        <f t="array" ref="T41">IFERROR(INDEX(Curriculum_Detail!H:H,MATCH(1,(Curriculum_Detail!D:D="Première")*(Curriculum_Detail!F:F="Enseignement moral et civique")*(Curriculum_Detail!E:E="Core"),0)),"")</f>
        <v>0.5</v>
      </c>
      <c r="U41" s="204" cm="1">
        <f t="array" ref="U41">IFERROR(INDEX(Curriculum_Detail!H:H,MATCH(1,(Curriculum_Detail!D:D="Terminale")*(Curriculum_Detail!F:F="Enseignement moral et civique")*(Curriculum_Detail!E:E="Core"),0)),"")</f>
        <v>0.5</v>
      </c>
      <c r="V41" s="107" cm="1">
        <f t="array" ref="V41">SUMPRODUCT(IF(ISNUMBER(G41:U41),G41:U41,0),$G$10:$U$10)*E41</f>
        <v>17.5</v>
      </c>
      <c r="W41" s="84">
        <f>IF(ISNUMBER(SEARCH("PE",D41)),$D$6,$D$5)</f>
        <v>18</v>
      </c>
      <c r="X41" s="85">
        <f>IF(V41=0,"",V41/$H$6)</f>
        <v>0.97222222222222221</v>
      </c>
      <c r="Y41" s="87">
        <f>IF(X41="","",ROUNDUP(X41,0))</f>
        <v>1</v>
      </c>
    </row>
    <row r="42" spans="1:25" ht="17" customHeight="1" x14ac:dyDescent="0.2">
      <c r="A42" s="145" t="s">
        <v>112</v>
      </c>
      <c r="B42" s="86" t="s">
        <v>186</v>
      </c>
      <c r="C42" s="151" t="s">
        <v>80</v>
      </c>
      <c r="D42" s="158" t="s">
        <v>79</v>
      </c>
      <c r="E42" s="83">
        <v>2</v>
      </c>
      <c r="F42" s="101">
        <v>1</v>
      </c>
      <c r="G42" s="224"/>
      <c r="H42" s="224"/>
      <c r="I42" s="225"/>
      <c r="J42" s="224"/>
      <c r="K42" s="224"/>
      <c r="L42" s="224"/>
      <c r="M42" s="224"/>
      <c r="N42" s="225"/>
      <c r="O42" s="224"/>
      <c r="P42" s="224"/>
      <c r="Q42" s="224"/>
      <c r="R42" s="225"/>
      <c r="S42" s="224"/>
      <c r="T42" s="218" cm="1">
        <f t="array" ref="T42">IFERROR(INDEX(Curriculum_Detail!H:H,MATCH(1,(Curriculum_Detail!D:D="Première")*(Curriculum_Detail!F:F="Histoire-géographie, géopolitique et sciences politiques")*(Curriculum_Detail!E:E="Specialty"),0)),0)</f>
        <v>4</v>
      </c>
      <c r="U42" s="218" cm="1">
        <f t="array" ref="U42">IFERROR(INDEX(Curriculum_Detail!H:H,MATCH(1,(Curriculum_Detail!D:D="Terminale")*(Curriculum_Detail!F:F="Histoire-géographie, géopolitique et sciences politiques")*(Curriculum_Detail!E:E="Specialty"),0)),0)</f>
        <v>6</v>
      </c>
      <c r="V42" s="107">
        <f>T42*E42+U42*F42</f>
        <v>14</v>
      </c>
      <c r="W42" s="87">
        <f>$D$5</f>
        <v>18</v>
      </c>
      <c r="X42" s="88">
        <f>IF(V42=0,"",V42/$H$6)</f>
        <v>0.77777777777777779</v>
      </c>
      <c r="Y42" s="87">
        <f>IF(X42="","",ROUNDUP(X42,0))</f>
        <v>1</v>
      </c>
    </row>
    <row r="43" spans="1:25" ht="19" customHeight="1" x14ac:dyDescent="0.2">
      <c r="A43" s="238" t="s">
        <v>66</v>
      </c>
      <c r="B43" s="45"/>
      <c r="C43" s="43"/>
      <c r="D43" s="43"/>
      <c r="E43" s="44"/>
      <c r="F43" s="44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40"/>
      <c r="W43" s="241"/>
      <c r="X43" s="242"/>
      <c r="Y43" s="241"/>
    </row>
    <row r="44" spans="1:25" ht="17" customHeight="1" x14ac:dyDescent="0.2">
      <c r="A44" s="243" t="s">
        <v>214</v>
      </c>
      <c r="B44" s="46" t="s">
        <v>145</v>
      </c>
      <c r="C44" s="244" t="s">
        <v>215</v>
      </c>
      <c r="D44" s="244" t="s">
        <v>68</v>
      </c>
      <c r="E44" s="245">
        <v>1</v>
      </c>
      <c r="F44" s="246"/>
      <c r="G44" s="247"/>
      <c r="H44" s="247"/>
      <c r="I44" s="247"/>
      <c r="J44" s="247"/>
      <c r="K44" s="247"/>
      <c r="L44" s="247"/>
      <c r="M44" s="247"/>
      <c r="N44" s="247"/>
      <c r="O44" s="247" cm="1">
        <f t="array" ref="O44">IFERROR(INDEX(Curriculum_Detail!H:H,MATCH(1,(Curriculum_Detail!D:D="6e")*(Curriculum_Detail!F:F="Langue vivante 1")*(Curriculum_Detail!E:E="Core"),0)),"")</f>
        <v>4</v>
      </c>
      <c r="P44" s="247" cm="1">
        <f t="array" ref="P44">IFERROR(INDEX(Curriculum_Detail!H:H,MATCH(1,(Curriculum_Detail!D:D="5e")*(Curriculum_Detail!F:F="Langue vivante 1")*(Curriculum_Detail!E:E="Core"),0)),"")</f>
        <v>3</v>
      </c>
      <c r="Q44" s="247" cm="1">
        <f t="array" ref="Q44">IFERROR(INDEX(Curriculum_Detail!H:H,MATCH(1,(Curriculum_Detail!D:D="4e")*(Curriculum_Detail!F:F="Langue vivante 1")*(Curriculum_Detail!E:E="Core"),0)),"")</f>
        <v>3</v>
      </c>
      <c r="R44" s="247" cm="1">
        <f t="array" ref="R44">IFERROR(INDEX(Curriculum_Detail!H:H,MATCH(1,(Curriculum_Detail!D:D="3e")*(Curriculum_Detail!F:F="Langue vivante 1")*(Curriculum_Detail!E:E="Core"),0)),"")</f>
        <v>3</v>
      </c>
      <c r="S44" s="247"/>
      <c r="T44" s="247"/>
      <c r="U44" s="247"/>
      <c r="V44" s="57" cm="1">
        <f t="array" ref="V44">SUMPRODUCT(IF(ISNUMBER(G44:U44),G44:U44,0),$G$10:$U$10)*E44</f>
        <v>69</v>
      </c>
      <c r="W44" s="47">
        <f>IF(ISNUMBER(SEARCH("PE",D44)),$D$6,$D$5)</f>
        <v>18</v>
      </c>
      <c r="X44" s="48">
        <f>IF(V44=0,"",V44/$H$6)</f>
        <v>3.8333333333333335</v>
      </c>
      <c r="Y44" s="52">
        <f>IF(X44="","",ROUNDUP(X44,0))</f>
        <v>4</v>
      </c>
    </row>
    <row r="45" spans="1:25" ht="17" customHeight="1" x14ac:dyDescent="0.2">
      <c r="A45" s="248" t="s">
        <v>216</v>
      </c>
      <c r="B45" s="49" t="s">
        <v>145</v>
      </c>
      <c r="C45" s="249" t="s">
        <v>217</v>
      </c>
      <c r="D45" s="249" t="s">
        <v>68</v>
      </c>
      <c r="E45" s="245">
        <v>1</v>
      </c>
      <c r="F45" s="246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 cm="1">
        <f t="array" ref="S45">IFERROR(INDEX(Curriculum_Detail!H:H,MATCH(1,(Curriculum_Detail!D:D="Seconde")*(Curriculum_Detail!F:F="LVA + LVB")*(Curriculum_Detail!E:E="Core"),0)),"") - 2.5</f>
        <v>3</v>
      </c>
      <c r="T45" s="250" cm="1">
        <f t="array" ref="T45">IFERROR(INDEX(Curriculum_Detail!H:H,MATCH(1,(Curriculum_Detail!D:D="Première")*(Curriculum_Detail!F:F="LVA + LVB")*(Curriculum_Detail!E:E="Core"),0)),"") - 2.5</f>
        <v>2</v>
      </c>
      <c r="U45" s="250" cm="1">
        <f t="array" ref="U45">IFERROR(INDEX(Curriculum_Detail!H:H,MATCH(1,(Curriculum_Detail!D:D="Terminale")*(Curriculum_Detail!F:F="LVA + LVB")*(Curriculum_Detail!E:E="Core"),0)),"") - 2.5</f>
        <v>1.5</v>
      </c>
      <c r="V45" s="57" cm="1">
        <f t="array" ref="V45">SUMPRODUCT(IF(ISNUMBER(G45:U45),G45:U45,0),$G$10:$U$10)*E45</f>
        <v>31</v>
      </c>
      <c r="W45" s="47">
        <f>IF(ISNUMBER(SEARCH("PE",D45)),$D$6,$D$5)</f>
        <v>18</v>
      </c>
      <c r="X45" s="48">
        <f>IF(V45=0,"",V45/$H$6)</f>
        <v>1.7222222222222223</v>
      </c>
      <c r="Y45" s="52">
        <f>IF(X45="","",ROUNDUP(X45,0))</f>
        <v>2</v>
      </c>
    </row>
    <row r="46" spans="1:25" ht="17" customHeight="1" x14ac:dyDescent="0.2">
      <c r="A46" s="251" t="s">
        <v>216</v>
      </c>
      <c r="B46" s="50" t="s">
        <v>186</v>
      </c>
      <c r="C46" s="252" t="s">
        <v>69</v>
      </c>
      <c r="D46" s="252" t="s">
        <v>68</v>
      </c>
      <c r="E46" s="246">
        <v>0</v>
      </c>
      <c r="F46" s="246">
        <v>0</v>
      </c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4" cm="1">
        <f t="array" ref="T46">IFERROR(INDEX(Curriculum_Detail!H:H,MATCH(1,(Curriculum_Detail!D:D="Première")*(Curriculum_Detail!F:F="Langues, littératures et cultures étrangères et régionales")*(Curriculum_Detail!E:E="Specialty"),0)),0)</f>
        <v>4</v>
      </c>
      <c r="U46" s="254" cm="1">
        <f t="array" ref="U46">IFERROR(INDEX(Curriculum_Detail!H:H,MATCH(1,(Curriculum_Detail!D:D="Terminale")*(Curriculum_Detail!F:F="Langues, littératures et cultures étrangères et régionales")*(Curriculum_Detail!E:E="Specialty"),0)),0)</f>
        <v>6</v>
      </c>
      <c r="V46" s="57">
        <f>T46*E46+U46*F46</f>
        <v>0</v>
      </c>
      <c r="W46" s="52">
        <f>$D$5</f>
        <v>18</v>
      </c>
      <c r="X46" s="53" t="str">
        <f>IF(V46=0,"",V46/$H$6)</f>
        <v/>
      </c>
      <c r="Y46" s="52" t="str">
        <f>IF(X46="","",ROUNDUP(X46,0))</f>
        <v/>
      </c>
    </row>
    <row r="47" spans="1:25" ht="19" customHeight="1" x14ac:dyDescent="0.2">
      <c r="A47" s="255"/>
      <c r="B47" s="54"/>
      <c r="C47" s="256" t="s">
        <v>122</v>
      </c>
      <c r="D47" s="257"/>
      <c r="E47" s="258"/>
      <c r="F47" s="258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60">
        <f>V44+V45+V46</f>
        <v>100</v>
      </c>
      <c r="W47" s="55">
        <f>$D$5</f>
        <v>18</v>
      </c>
      <c r="X47" s="56">
        <f>IF(V47=0,"",V47/$H$6)</f>
        <v>5.5555555555555554</v>
      </c>
      <c r="Y47" s="55">
        <f>IF(X47="","",ROUNDUP(X47,0))</f>
        <v>6</v>
      </c>
    </row>
    <row r="48" spans="1:25" ht="17" customHeight="1" x14ac:dyDescent="0.2">
      <c r="A48" s="238" t="s">
        <v>62</v>
      </c>
      <c r="B48" s="45"/>
      <c r="C48" s="43"/>
      <c r="D48" s="43"/>
      <c r="E48" s="44"/>
      <c r="F48" s="44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40"/>
      <c r="W48" s="241"/>
      <c r="X48" s="242"/>
      <c r="Y48" s="241"/>
    </row>
    <row r="49" spans="1:25" ht="17" customHeight="1" x14ac:dyDescent="0.2">
      <c r="A49" s="243" t="s">
        <v>214</v>
      </c>
      <c r="B49" s="46" t="s">
        <v>145</v>
      </c>
      <c r="C49" s="244" t="s">
        <v>218</v>
      </c>
      <c r="D49" s="244" t="s">
        <v>65</v>
      </c>
      <c r="E49" s="261">
        <f>$D$7</f>
        <v>0.5</v>
      </c>
      <c r="F49" s="246"/>
      <c r="G49" s="247"/>
      <c r="H49" s="247"/>
      <c r="I49" s="247"/>
      <c r="J49" s="247"/>
      <c r="K49" s="247"/>
      <c r="L49" s="247"/>
      <c r="M49" s="247"/>
      <c r="N49" s="247"/>
      <c r="O49" s="247"/>
      <c r="P49" s="247" cm="1">
        <f t="array" ref="P49">IFERROR(INDEX(Curriculum_Detail!H:H,MATCH(1,(Curriculum_Detail!D:D="5e")*(Curriculum_Detail!F:F="Langue vivante 2")*(Curriculum_Detail!E:E="Core"),0)),"")</f>
        <v>2.5</v>
      </c>
      <c r="Q49" s="247" cm="1">
        <f t="array" ref="Q49">IFERROR(INDEX(Curriculum_Detail!H:H,MATCH(1,(Curriculum_Detail!D:D="4e")*(Curriculum_Detail!F:F="Langue vivante 2")*(Curriculum_Detail!E:E="Core"),0)),"")</f>
        <v>2.5</v>
      </c>
      <c r="R49" s="247" cm="1">
        <f t="array" ref="R49">IFERROR(INDEX(Curriculum_Detail!H:H,MATCH(1,(Curriculum_Detail!D:D="3e")*(Curriculum_Detail!F:F="Langue vivante 2")*(Curriculum_Detail!E:E="Core"),0)),"")</f>
        <v>2.5</v>
      </c>
      <c r="S49" s="247"/>
      <c r="T49" s="247"/>
      <c r="U49" s="247"/>
      <c r="V49" s="57" cm="1">
        <f t="array" ref="V49">SUMPRODUCT(IF(ISNUMBER(G49:U49),G49:U49,0),$G$10:$U$10)*E49</f>
        <v>18.75</v>
      </c>
      <c r="W49" s="47">
        <f>IF(ISNUMBER(SEARCH("PE",D49)),$D$6,$D$5)</f>
        <v>18</v>
      </c>
      <c r="X49" s="48">
        <f>IF(V49=0,"",V49/$H$6)</f>
        <v>1.0416666666666667</v>
      </c>
      <c r="Y49" s="52">
        <f>IF(X49="","",ROUNDUP(X49,0))</f>
        <v>2</v>
      </c>
    </row>
    <row r="50" spans="1:25" ht="17" customHeight="1" x14ac:dyDescent="0.2">
      <c r="A50" s="248" t="s">
        <v>216</v>
      </c>
      <c r="B50" s="49" t="s">
        <v>145</v>
      </c>
      <c r="C50" s="249" t="s">
        <v>219</v>
      </c>
      <c r="D50" s="249" t="s">
        <v>65</v>
      </c>
      <c r="E50" s="261">
        <f>$D$7</f>
        <v>0.5</v>
      </c>
      <c r="F50" s="246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>
        <v>2.5</v>
      </c>
      <c r="T50" s="250">
        <v>2.5</v>
      </c>
      <c r="U50" s="250">
        <v>2.5</v>
      </c>
      <c r="V50" s="57" cm="1">
        <f t="array" ref="V50">SUMPRODUCT(IF(ISNUMBER(G50:U50),G50:U50,0),$G$10:$U$10)*E50</f>
        <v>17.5</v>
      </c>
      <c r="W50" s="47">
        <f>IF(ISNUMBER(SEARCH("PE",D50)),$D$6,$D$5)</f>
        <v>18</v>
      </c>
      <c r="X50" s="48">
        <f>IF(V50=0,"",V50/$H$6)</f>
        <v>0.97222222222222221</v>
      </c>
      <c r="Y50" s="52">
        <f>IF(X50="","",ROUNDUP(X50,0))</f>
        <v>1</v>
      </c>
    </row>
    <row r="51" spans="1:25" ht="17" customHeight="1" x14ac:dyDescent="0.2">
      <c r="A51" s="255"/>
      <c r="B51" s="54"/>
      <c r="C51" s="262" t="s">
        <v>121</v>
      </c>
      <c r="D51" s="263"/>
      <c r="E51" s="264"/>
      <c r="F51" s="264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6">
        <f>V49+V50</f>
        <v>36.25</v>
      </c>
      <c r="W51" s="267">
        <f>$D$5</f>
        <v>18</v>
      </c>
      <c r="X51" s="268">
        <f>IF(V51=0,"",V51/$H$6)</f>
        <v>2.0138888888888888</v>
      </c>
      <c r="Y51" s="267">
        <f>IF(X51="","",ROUNDUP(X51,0))</f>
        <v>3</v>
      </c>
    </row>
    <row r="52" spans="1:25" ht="19" customHeight="1" x14ac:dyDescent="0.2">
      <c r="A52" s="238" t="s">
        <v>220</v>
      </c>
      <c r="B52" s="45"/>
      <c r="C52" s="43"/>
      <c r="D52" s="43"/>
      <c r="E52" s="44"/>
      <c r="F52" s="44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40"/>
      <c r="W52" s="241"/>
      <c r="X52" s="242"/>
      <c r="Y52" s="241"/>
    </row>
    <row r="53" spans="1:25" ht="19" customHeight="1" x14ac:dyDescent="0.2">
      <c r="A53" s="243" t="s">
        <v>214</v>
      </c>
      <c r="B53" s="46" t="s">
        <v>145</v>
      </c>
      <c r="C53" s="244" t="s">
        <v>221</v>
      </c>
      <c r="D53" s="244" t="s">
        <v>222</v>
      </c>
      <c r="E53" s="261">
        <f>$F$7</f>
        <v>0.1</v>
      </c>
      <c r="F53" s="246"/>
      <c r="G53" s="247"/>
      <c r="H53" s="247"/>
      <c r="I53" s="247"/>
      <c r="J53" s="247"/>
      <c r="K53" s="247"/>
      <c r="L53" s="247"/>
      <c r="M53" s="247"/>
      <c r="N53" s="247"/>
      <c r="O53" s="247"/>
      <c r="P53" s="247" cm="1">
        <f t="array" ref="P53">IFERROR(INDEX(Curriculum_Detail!H:H,MATCH(1,(Curriculum_Detail!D:D="5e")*(Curriculum_Detail!F:F="Langue vivante 2")*(Curriculum_Detail!E:E="Core"),0)),"")</f>
        <v>2.5</v>
      </c>
      <c r="Q53" s="247" cm="1">
        <f t="array" ref="Q53">IFERROR(INDEX(Curriculum_Detail!H:H,MATCH(1,(Curriculum_Detail!D:D="4e")*(Curriculum_Detail!F:F="Langue vivante 2")*(Curriculum_Detail!E:E="Core"),0)),"")</f>
        <v>2.5</v>
      </c>
      <c r="R53" s="247" cm="1">
        <f t="array" ref="R53">IFERROR(INDEX(Curriculum_Detail!H:H,MATCH(1,(Curriculum_Detail!D:D="3e")*(Curriculum_Detail!F:F="Langue vivante 2")*(Curriculum_Detail!E:E="Core"),0)),"")</f>
        <v>2.5</v>
      </c>
      <c r="S53" s="247"/>
      <c r="T53" s="247"/>
      <c r="U53" s="247"/>
      <c r="V53" s="57" cm="1">
        <f t="array" ref="V53">SUMPRODUCT(IF(ISNUMBER(G53:U53),G53:U53,0),$G$10:$U$10)*E53</f>
        <v>3.75</v>
      </c>
      <c r="W53" s="47">
        <f>IF(ISNUMBER(SEARCH("PE",D53)),$D$6,$D$5)</f>
        <v>18</v>
      </c>
      <c r="X53" s="48">
        <f>IF(V53=0,"",V53/$H$6)</f>
        <v>0.20833333333333334</v>
      </c>
      <c r="Y53" s="52">
        <f>IF(X53="","",ROUNDUP(X53,0))</f>
        <v>1</v>
      </c>
    </row>
    <row r="54" spans="1:25" ht="19" customHeight="1" x14ac:dyDescent="0.2">
      <c r="A54" s="248" t="s">
        <v>216</v>
      </c>
      <c r="B54" s="49" t="s">
        <v>145</v>
      </c>
      <c r="C54" s="249" t="s">
        <v>223</v>
      </c>
      <c r="D54" s="249" t="s">
        <v>222</v>
      </c>
      <c r="E54" s="261">
        <f>$F$7</f>
        <v>0.1</v>
      </c>
      <c r="F54" s="246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>
        <v>2.5</v>
      </c>
      <c r="T54" s="250">
        <v>2.5</v>
      </c>
      <c r="U54" s="250">
        <v>2.5</v>
      </c>
      <c r="V54" s="57" cm="1">
        <f t="array" ref="V54">SUMPRODUCT(IF(ISNUMBER(G54:U54),G54:U54,0),$G$10:$U$10)*E54</f>
        <v>3.5</v>
      </c>
      <c r="W54" s="47">
        <f>IF(ISNUMBER(SEARCH("PE",D54)),$D$6,$D$5)</f>
        <v>18</v>
      </c>
      <c r="X54" s="48">
        <f>IF(V54=0,"",V54/$H$6)</f>
        <v>0.19444444444444445</v>
      </c>
      <c r="Y54" s="52">
        <f>IF(X54="","",ROUNDUP(X54,0))</f>
        <v>1</v>
      </c>
    </row>
    <row r="55" spans="1:25" ht="19" customHeight="1" x14ac:dyDescent="0.2">
      <c r="A55" s="255"/>
      <c r="B55" s="54"/>
      <c r="C55" s="262" t="s">
        <v>224</v>
      </c>
      <c r="D55" s="263"/>
      <c r="E55" s="264"/>
      <c r="F55" s="264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6">
        <f>V53+V54</f>
        <v>7.25</v>
      </c>
      <c r="W55" s="267">
        <f>$D$5</f>
        <v>18</v>
      </c>
      <c r="X55" s="268">
        <f>IF(V55=0,"",V55/$H$6)</f>
        <v>0.40277777777777779</v>
      </c>
      <c r="Y55" s="267">
        <f>IF(X55="","",ROUNDUP(X55,0))</f>
        <v>1</v>
      </c>
    </row>
    <row r="56" spans="1:25" ht="19" customHeight="1" x14ac:dyDescent="0.2">
      <c r="A56" s="238" t="s">
        <v>225</v>
      </c>
      <c r="B56" s="45"/>
      <c r="C56" s="43"/>
      <c r="D56" s="43"/>
      <c r="E56" s="44"/>
      <c r="F56" s="44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40"/>
      <c r="W56" s="241"/>
      <c r="X56" s="242"/>
      <c r="Y56" s="241"/>
    </row>
    <row r="57" spans="1:25" ht="19" customHeight="1" x14ac:dyDescent="0.2">
      <c r="A57" s="243" t="s">
        <v>214</v>
      </c>
      <c r="B57" s="46" t="s">
        <v>145</v>
      </c>
      <c r="C57" s="244" t="s">
        <v>226</v>
      </c>
      <c r="D57" s="244" t="s">
        <v>227</v>
      </c>
      <c r="E57" s="261">
        <f>$H$7</f>
        <v>0.4</v>
      </c>
      <c r="F57" s="246"/>
      <c r="G57" s="247"/>
      <c r="H57" s="247"/>
      <c r="I57" s="247"/>
      <c r="J57" s="247"/>
      <c r="K57" s="247"/>
      <c r="L57" s="247"/>
      <c r="M57" s="247"/>
      <c r="N57" s="247"/>
      <c r="O57" s="247"/>
      <c r="P57" s="247" cm="1">
        <f t="array" ref="P57">IFERROR(INDEX(Curriculum_Detail!H:H,MATCH(1,(Curriculum_Detail!D:D="5e")*(Curriculum_Detail!F:F="Langue vivante 2")*(Curriculum_Detail!E:E="Core"),0)),"")</f>
        <v>2.5</v>
      </c>
      <c r="Q57" s="247" cm="1">
        <f t="array" ref="Q57">IFERROR(INDEX(Curriculum_Detail!H:H,MATCH(1,(Curriculum_Detail!D:D="4e")*(Curriculum_Detail!F:F="Langue vivante 2")*(Curriculum_Detail!E:E="Core"),0)),"")</f>
        <v>2.5</v>
      </c>
      <c r="R57" s="247" cm="1">
        <f t="array" ref="R57">IFERROR(INDEX(Curriculum_Detail!H:H,MATCH(1,(Curriculum_Detail!D:D="3e")*(Curriculum_Detail!F:F="Langue vivante 2")*(Curriculum_Detail!E:E="Core"),0)),"")</f>
        <v>2.5</v>
      </c>
      <c r="S57" s="247"/>
      <c r="T57" s="247"/>
      <c r="U57" s="247"/>
      <c r="V57" s="57" cm="1">
        <f t="array" ref="V57">SUMPRODUCT(IF(ISNUMBER(G57:U57),G57:U57,0),$G$10:$U$10)*E57</f>
        <v>15</v>
      </c>
      <c r="W57" s="47">
        <f>IF(ISNUMBER(SEARCH("PE",D57)),$D$6,$D$5)</f>
        <v>18</v>
      </c>
      <c r="X57" s="48">
        <f>IF(V57=0,"",V57/$H$6)</f>
        <v>0.83333333333333337</v>
      </c>
      <c r="Y57" s="52">
        <f>IF(X57="","",ROUNDUP(X57,0))</f>
        <v>1</v>
      </c>
    </row>
    <row r="58" spans="1:25" ht="19" customHeight="1" x14ac:dyDescent="0.2">
      <c r="A58" s="248" t="s">
        <v>216</v>
      </c>
      <c r="B58" s="49" t="s">
        <v>145</v>
      </c>
      <c r="C58" s="249" t="s">
        <v>228</v>
      </c>
      <c r="D58" s="249" t="s">
        <v>227</v>
      </c>
      <c r="E58" s="261">
        <f>$H$7</f>
        <v>0.4</v>
      </c>
      <c r="F58" s="246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>
        <v>2.5</v>
      </c>
      <c r="T58" s="250">
        <v>2.5</v>
      </c>
      <c r="U58" s="250">
        <v>2.5</v>
      </c>
      <c r="V58" s="57" cm="1">
        <f t="array" ref="V58">SUMPRODUCT(IF(ISNUMBER(G58:U58),G58:U58,0),$G$10:$U$10)*E58</f>
        <v>14</v>
      </c>
      <c r="W58" s="47">
        <f>IF(ISNUMBER(SEARCH("PE",D58)),$D$6,$D$5)</f>
        <v>18</v>
      </c>
      <c r="X58" s="48">
        <f>IF(V58=0,"",V58/$H$6)</f>
        <v>0.77777777777777779</v>
      </c>
      <c r="Y58" s="52">
        <f>IF(X58="","",ROUNDUP(X58,0))</f>
        <v>1</v>
      </c>
    </row>
    <row r="59" spans="1:25" ht="17" customHeight="1" x14ac:dyDescent="0.2">
      <c r="A59" s="255"/>
      <c r="B59" s="54"/>
      <c r="C59" s="262" t="s">
        <v>229</v>
      </c>
      <c r="D59" s="263"/>
      <c r="E59" s="264"/>
      <c r="F59" s="264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6">
        <f>V57+V58</f>
        <v>29</v>
      </c>
      <c r="W59" s="267">
        <f>$D$5</f>
        <v>18</v>
      </c>
      <c r="X59" s="268">
        <f>IF(V59=0,"",V59/$H$6)</f>
        <v>1.6111111111111112</v>
      </c>
      <c r="Y59" s="267">
        <f>IF(X59="","",ROUNDUP(X59,0))</f>
        <v>2</v>
      </c>
    </row>
    <row r="60" spans="1:25" ht="19" customHeight="1" x14ac:dyDescent="0.2">
      <c r="A60" s="140" t="s">
        <v>70</v>
      </c>
      <c r="B60" s="93"/>
      <c r="C60" s="140"/>
      <c r="D60" s="153"/>
      <c r="E60" s="92"/>
      <c r="F60" s="138"/>
      <c r="G60" s="200"/>
      <c r="H60" s="200"/>
      <c r="I60" s="201"/>
      <c r="J60" s="200"/>
      <c r="K60" s="200"/>
      <c r="L60" s="200"/>
      <c r="M60" s="200"/>
      <c r="N60" s="201"/>
      <c r="O60" s="200"/>
      <c r="P60" s="200"/>
      <c r="Q60" s="200"/>
      <c r="R60" s="201"/>
      <c r="S60" s="200"/>
      <c r="T60" s="200"/>
      <c r="U60" s="200"/>
      <c r="V60" s="127"/>
      <c r="W60" s="128"/>
      <c r="X60" s="129"/>
      <c r="Y60" s="128"/>
    </row>
    <row r="61" spans="1:25" ht="17" customHeight="1" x14ac:dyDescent="0.2">
      <c r="A61" s="142" t="s">
        <v>108</v>
      </c>
      <c r="B61" s="82" t="s">
        <v>145</v>
      </c>
      <c r="C61" s="148" t="s">
        <v>40</v>
      </c>
      <c r="D61" s="155" t="s">
        <v>71</v>
      </c>
      <c r="E61" s="269">
        <v>1</v>
      </c>
      <c r="F61" s="270"/>
      <c r="G61" s="204"/>
      <c r="H61" s="204"/>
      <c r="I61" s="205"/>
      <c r="J61" s="204"/>
      <c r="K61" s="204"/>
      <c r="L61" s="204"/>
      <c r="M61" s="204"/>
      <c r="N61" s="205"/>
      <c r="O61" s="204">
        <v>1.5</v>
      </c>
      <c r="P61" s="204" cm="1">
        <f t="array" ref="P61">IFERROR(INDEX(Curriculum_Detail!H:H,MATCH(1,(Curriculum_Detail!D:D="5e")*(Curriculum_Detail!F:F="Sciences de la vie et de la Terre")*(Curriculum_Detail!E:E="Core"),0)),"")</f>
        <v>1.5</v>
      </c>
      <c r="Q61" s="204" cm="1">
        <f t="array" ref="Q61">IFERROR(INDEX(Curriculum_Detail!H:H,MATCH(1,(Curriculum_Detail!D:D="4e")*(Curriculum_Detail!F:F="Sciences de la vie et de la Terre")*(Curriculum_Detail!E:E="Core"),0)),"")</f>
        <v>1.5</v>
      </c>
      <c r="R61" s="205" cm="1">
        <f t="array" ref="R61">IFERROR(INDEX(Curriculum_Detail!H:H,MATCH(1,(Curriculum_Detail!D:D="3e")*(Curriculum_Detail!F:F="Sciences de la vie et de la Terre")*(Curriculum_Detail!E:E="Core"),0)),"")</f>
        <v>1.5</v>
      </c>
      <c r="S61" s="204" cm="1">
        <f t="array" ref="S61">IFERROR(INDEX(Curriculum_Detail!H:H,MATCH(1,(Curriculum_Detail!D:D="Seconde")*(Curriculum_Detail!F:F="Sciences de la vie et de la Terre")*(Curriculum_Detail!E:E="Core"),0)),"")</f>
        <v>1.5</v>
      </c>
      <c r="T61" s="204"/>
      <c r="U61" s="204"/>
      <c r="V61" s="107" cm="1">
        <f t="array" ref="V61">SUMPRODUCT(IF(ISNUMBER(G61:U61),G61:U61,0),$G$10:$U$10)*E61</f>
        <v>39</v>
      </c>
      <c r="W61" s="87">
        <f>IF(ISNUMBER(SEARCH("PE",D61)),$D$6,$D$5)</f>
        <v>18</v>
      </c>
      <c r="X61" s="88">
        <f>IF(V61=0,"",V61/$H$6)</f>
        <v>2.1666666666666665</v>
      </c>
      <c r="Y61" s="87">
        <f>IF(X61="","",ROUNDUP(X61,0))</f>
        <v>3</v>
      </c>
    </row>
    <row r="62" spans="1:25" ht="17" customHeight="1" x14ac:dyDescent="0.2">
      <c r="A62" s="145" t="s">
        <v>108</v>
      </c>
      <c r="B62" s="86" t="s">
        <v>186</v>
      </c>
      <c r="C62" s="151" t="s">
        <v>72</v>
      </c>
      <c r="D62" s="158" t="s">
        <v>71</v>
      </c>
      <c r="E62" s="269">
        <v>1</v>
      </c>
      <c r="F62" s="270">
        <v>1</v>
      </c>
      <c r="G62" s="224"/>
      <c r="H62" s="224"/>
      <c r="I62" s="225"/>
      <c r="J62" s="224"/>
      <c r="K62" s="224"/>
      <c r="L62" s="224"/>
      <c r="M62" s="224"/>
      <c r="N62" s="225"/>
      <c r="O62" s="224"/>
      <c r="P62" s="224"/>
      <c r="Q62" s="224"/>
      <c r="R62" s="225"/>
      <c r="S62" s="224"/>
      <c r="T62" s="218" cm="1">
        <f t="array" ref="T62">IFERROR(INDEX(Curriculum_Detail!H:H,MATCH(1,(Curriculum_Detail!D:D="Première")*(Curriculum_Detail!F:F="Sciences de la vie et de la Terre")*(Curriculum_Detail!E:E="Specialty"),0)),0)</f>
        <v>4</v>
      </c>
      <c r="U62" s="218" cm="1">
        <f t="array" ref="U62">IFERROR(INDEX(Curriculum_Detail!H:H,MATCH(1,(Curriculum_Detail!D:D="Terminale")*(Curriculum_Detail!F:F="Sciences de la vie et de la Terre")*(Curriculum_Detail!E:E="Specialty"),0)),0)</f>
        <v>6</v>
      </c>
      <c r="V62" s="107">
        <f>T62*E62+U62*F62</f>
        <v>10</v>
      </c>
      <c r="W62" s="87">
        <f>$D$5</f>
        <v>18</v>
      </c>
      <c r="X62" s="88">
        <f>IF(V62=0,"",V62/$H$6)</f>
        <v>0.55555555555555558</v>
      </c>
      <c r="Y62" s="87">
        <f>IF(X62="","",ROUNDUP(X62,0))</f>
        <v>1</v>
      </c>
    </row>
    <row r="63" spans="1:25" ht="17" customHeight="1" x14ac:dyDescent="0.2">
      <c r="A63" s="144" t="s">
        <v>108</v>
      </c>
      <c r="B63" s="89" t="s">
        <v>145</v>
      </c>
      <c r="C63" s="150" t="s">
        <v>34</v>
      </c>
      <c r="D63" s="157" t="s">
        <v>73</v>
      </c>
      <c r="E63" s="269">
        <v>1</v>
      </c>
      <c r="F63" s="270"/>
      <c r="G63" s="208"/>
      <c r="H63" s="208"/>
      <c r="I63" s="209"/>
      <c r="J63" s="208"/>
      <c r="K63" s="208"/>
      <c r="L63" s="208"/>
      <c r="M63" s="208"/>
      <c r="N63" s="209"/>
      <c r="O63" s="208">
        <v>1.5</v>
      </c>
      <c r="P63" s="208" cm="1">
        <f t="array" ref="P63">IFERROR(INDEX(Curriculum_Detail!H:H,MATCH(1,(Curriculum_Detail!D:D="5e")*(Curriculum_Detail!F:F="Physique-chimie")*(Curriculum_Detail!E:E="Core"),0)),"")</f>
        <v>1.5</v>
      </c>
      <c r="Q63" s="208" cm="1">
        <f t="array" ref="Q63">IFERROR(INDEX(Curriculum_Detail!H:H,MATCH(1,(Curriculum_Detail!D:D="4e")*(Curriculum_Detail!F:F="Physique-chimie")*(Curriculum_Detail!E:E="Core"),0)),"")</f>
        <v>1.5</v>
      </c>
      <c r="R63" s="209" cm="1">
        <f t="array" ref="R63">IFERROR(INDEX(Curriculum_Detail!H:H,MATCH(1,(Curriculum_Detail!D:D="3e")*(Curriculum_Detail!F:F="Physique-chimie")*(Curriculum_Detail!E:E="Core"),0)),"")</f>
        <v>1.5</v>
      </c>
      <c r="S63" s="208" cm="1">
        <f t="array" ref="S63">IFERROR(INDEX(Curriculum_Detail!H:H,MATCH(1,(Curriculum_Detail!D:D="Seconde")*(Curriculum_Detail!F:F="Physique-chimie")*(Curriculum_Detail!E:E="Core"),0)),"")</f>
        <v>3</v>
      </c>
      <c r="T63" s="208"/>
      <c r="U63" s="208"/>
      <c r="V63" s="107" cm="1">
        <f t="array" ref="V63">SUMPRODUCT(IF(ISNUMBER(G63:U63),G63:U63,0),$G$10:$U$10)*E63</f>
        <v>46.5</v>
      </c>
      <c r="W63" s="87">
        <f>IF(ISNUMBER(SEARCH("PE",D63)),$D$6,$D$5)</f>
        <v>18</v>
      </c>
      <c r="X63" s="88">
        <f>IF(V63=0,"",V63/$H$6)</f>
        <v>2.5833333333333335</v>
      </c>
      <c r="Y63" s="87">
        <f>IF(X63="","",ROUNDUP(X63,0))</f>
        <v>3</v>
      </c>
    </row>
    <row r="64" spans="1:25" ht="17" customHeight="1" x14ac:dyDescent="0.2">
      <c r="A64" s="145" t="s">
        <v>108</v>
      </c>
      <c r="B64" s="86" t="s">
        <v>186</v>
      </c>
      <c r="C64" s="151" t="s">
        <v>74</v>
      </c>
      <c r="D64" s="158" t="s">
        <v>73</v>
      </c>
      <c r="E64" s="269">
        <v>1</v>
      </c>
      <c r="F64" s="270">
        <v>1</v>
      </c>
      <c r="G64" s="224"/>
      <c r="H64" s="224"/>
      <c r="I64" s="225"/>
      <c r="J64" s="224"/>
      <c r="K64" s="224"/>
      <c r="L64" s="224"/>
      <c r="M64" s="224"/>
      <c r="N64" s="225"/>
      <c r="O64" s="224"/>
      <c r="P64" s="224"/>
      <c r="Q64" s="224"/>
      <c r="R64" s="225"/>
      <c r="S64" s="224"/>
      <c r="T64" s="218" cm="1">
        <f t="array" ref="T64">IFERROR(INDEX(Curriculum_Detail!H:H,MATCH(1,(Curriculum_Detail!D:D="Première")*(Curriculum_Detail!F:F="Physique-chimie")*(Curriculum_Detail!E:E="Specialty"),0)),0)</f>
        <v>4</v>
      </c>
      <c r="U64" s="218" cm="1">
        <f t="array" ref="U64">IFERROR(INDEX(Curriculum_Detail!H:H,MATCH(1,(Curriculum_Detail!D:D="Terminale")*(Curriculum_Detail!F:F="Physique-chimie")*(Curriculum_Detail!E:E="Specialty"),0)),0)</f>
        <v>6</v>
      </c>
      <c r="V64" s="107">
        <f>T64*E64+U64*F64</f>
        <v>10</v>
      </c>
      <c r="W64" s="87">
        <f>$D$5</f>
        <v>18</v>
      </c>
      <c r="X64" s="88">
        <f>IF(V64=0,"",V64/$H$6)</f>
        <v>0.55555555555555558</v>
      </c>
      <c r="Y64" s="87">
        <f>IF(X64="","",ROUNDUP(X64,0))</f>
        <v>1</v>
      </c>
    </row>
    <row r="65" spans="1:25" ht="17" customHeight="1" x14ac:dyDescent="0.2">
      <c r="A65" s="142" t="s">
        <v>108</v>
      </c>
      <c r="B65" s="82" t="s">
        <v>145</v>
      </c>
      <c r="C65" s="148" t="s">
        <v>109</v>
      </c>
      <c r="D65" s="155" t="s">
        <v>75</v>
      </c>
      <c r="E65" s="269">
        <v>1</v>
      </c>
      <c r="F65" s="270"/>
      <c r="G65" s="204"/>
      <c r="H65" s="204"/>
      <c r="I65" s="205"/>
      <c r="J65" s="204"/>
      <c r="K65" s="204"/>
      <c r="L65" s="204"/>
      <c r="M65" s="204"/>
      <c r="N65" s="205"/>
      <c r="O65" s="204"/>
      <c r="P65" s="204" cm="1">
        <f t="array" ref="P65">IFERROR(INDEX(Curriculum_Detail!H:H,MATCH(1,(Curriculum_Detail!D:D="5e")*(Curriculum_Detail!F:F="Technologie")*(Curriculum_Detail!E:E="Core"),0)),"")</f>
        <v>1.5</v>
      </c>
      <c r="Q65" s="204" cm="1">
        <f t="array" ref="Q65">IFERROR(INDEX(Curriculum_Detail!H:H,MATCH(1,(Curriculum_Detail!D:D="4e")*(Curriculum_Detail!F:F="Technologie")*(Curriculum_Detail!E:E="Core"),0)),"")</f>
        <v>1.5</v>
      </c>
      <c r="R65" s="205" cm="1">
        <f t="array" ref="R65">IFERROR(INDEX(Curriculum_Detail!H:H,MATCH(1,(Curriculum_Detail!D:D="3e")*(Curriculum_Detail!F:F="Technologie")*(Curriculum_Detail!E:E="Core"),0)),"")</f>
        <v>1.5</v>
      </c>
      <c r="S65" s="204"/>
      <c r="T65" s="204"/>
      <c r="U65" s="204"/>
      <c r="V65" s="107" cm="1">
        <f t="array" ref="V65">SUMPRODUCT(IF(ISNUMBER(G65:U65),G65:U65,0),$G$10:$U$10)*E65</f>
        <v>22.5</v>
      </c>
      <c r="W65" s="87">
        <f>IF(ISNUMBER(SEARCH("PE",D65)),$D$6,$D$5)</f>
        <v>18</v>
      </c>
      <c r="X65" s="88">
        <f>IF(V65=0,"",V65/$H$6)</f>
        <v>1.25</v>
      </c>
      <c r="Y65" s="87">
        <f>IF(X65="","",ROUNDUP(X65,0))</f>
        <v>2</v>
      </c>
    </row>
    <row r="66" spans="1:25" ht="17" customHeight="1" x14ac:dyDescent="0.2">
      <c r="A66" s="144" t="s">
        <v>108</v>
      </c>
      <c r="B66" s="89" t="s">
        <v>145</v>
      </c>
      <c r="C66" s="150" t="s">
        <v>110</v>
      </c>
      <c r="D66" s="157" t="s">
        <v>75</v>
      </c>
      <c r="E66" s="269">
        <v>1</v>
      </c>
      <c r="F66" s="270"/>
      <c r="G66" s="208"/>
      <c r="H66" s="208"/>
      <c r="I66" s="209"/>
      <c r="J66" s="208"/>
      <c r="K66" s="208"/>
      <c r="L66" s="208"/>
      <c r="M66" s="208"/>
      <c r="N66" s="209"/>
      <c r="O66" s="208"/>
      <c r="P66" s="208"/>
      <c r="Q66" s="208"/>
      <c r="R66" s="209"/>
      <c r="S66" s="208" cm="1">
        <f t="array" ref="S66">IFERROR(INDEX(Curriculum_Detail!H:H,MATCH(1,(Curriculum_Detail!D:D="Seconde")*(Curriculum_Detail!F:F="Sciences numériques et technologie")*(Curriculum_Detail!E:E="Core"),0)),"")</f>
        <v>1.5</v>
      </c>
      <c r="T66" s="208"/>
      <c r="U66" s="208"/>
      <c r="V66" s="107" cm="1">
        <f t="array" ref="V66">SUMPRODUCT(IF(ISNUMBER(G66:U66),G66:U66,0),$G$10:$U$10)*E66</f>
        <v>7.5</v>
      </c>
      <c r="W66" s="87">
        <f>IF(ISNUMBER(SEARCH("PE",D66)),$D$6,$D$5)</f>
        <v>18</v>
      </c>
      <c r="X66" s="88">
        <f>IF(V66=0,"",V66/$H$6)</f>
        <v>0.41666666666666669</v>
      </c>
      <c r="Y66" s="87">
        <f>IF(X66="","",ROUNDUP(X66,0))</f>
        <v>1</v>
      </c>
    </row>
    <row r="67" spans="1:25" ht="17" customHeight="1" x14ac:dyDescent="0.2">
      <c r="A67" s="142" t="s">
        <v>108</v>
      </c>
      <c r="B67" s="82" t="s">
        <v>145</v>
      </c>
      <c r="C67" s="148" t="s">
        <v>41</v>
      </c>
      <c r="D67" s="155" t="s">
        <v>76</v>
      </c>
      <c r="E67" s="269">
        <v>1</v>
      </c>
      <c r="F67" s="270"/>
      <c r="G67" s="204"/>
      <c r="H67" s="204"/>
      <c r="I67" s="205"/>
      <c r="J67" s="204"/>
      <c r="K67" s="204"/>
      <c r="L67" s="204"/>
      <c r="M67" s="204"/>
      <c r="N67" s="205"/>
      <c r="O67" s="204"/>
      <c r="P67" s="204"/>
      <c r="Q67" s="204"/>
      <c r="R67" s="205"/>
      <c r="S67" s="204"/>
      <c r="T67" s="204" cm="1">
        <f t="array" ref="T67">IFERROR(INDEX(Curriculum_Detail!H:H,MATCH(1,(Curriculum_Detail!D:D="Première")*(Curriculum_Detail!F:F="Enseignement scientifique")*(Curriculum_Detail!E:E="Core"),0)),"")</f>
        <v>2</v>
      </c>
      <c r="U67" s="204" cm="1">
        <f t="array" ref="U67">IFERROR(INDEX(Curriculum_Detail!H:H,MATCH(1,(Curriculum_Detail!D:D="Terminale")*(Curriculum_Detail!F:F="Enseignement scientifique")*(Curriculum_Detail!E:E="Core"),0)),"")</f>
        <v>2</v>
      </c>
      <c r="V67" s="107" cm="1">
        <f t="array" ref="V67">SUMPRODUCT(IF(ISNUMBER(G67:U67),G67:U67,0),$G$10:$U$10)*E67</f>
        <v>18</v>
      </c>
      <c r="W67" s="87">
        <f>IF(ISNUMBER(SEARCH("PE",D67)),$D$6,$D$5)</f>
        <v>18</v>
      </c>
      <c r="X67" s="88">
        <f>IF(V67=0,"",V67/$H$6)</f>
        <v>1</v>
      </c>
      <c r="Y67" s="87">
        <f>IF(X67="","",ROUNDUP(X67,0))</f>
        <v>1</v>
      </c>
    </row>
    <row r="68" spans="1:25" ht="17" customHeight="1" x14ac:dyDescent="0.2">
      <c r="A68" s="144" t="s">
        <v>108</v>
      </c>
      <c r="B68" s="89" t="s">
        <v>145</v>
      </c>
      <c r="C68" s="150" t="s">
        <v>113</v>
      </c>
      <c r="D68" s="157" t="s">
        <v>81</v>
      </c>
      <c r="E68" s="269">
        <v>1</v>
      </c>
      <c r="F68" s="270"/>
      <c r="G68" s="208"/>
      <c r="H68" s="208"/>
      <c r="I68" s="209"/>
      <c r="J68" s="208"/>
      <c r="K68" s="208"/>
      <c r="L68" s="208"/>
      <c r="M68" s="208"/>
      <c r="N68" s="209"/>
      <c r="O68" s="208"/>
      <c r="P68" s="208"/>
      <c r="Q68" s="208"/>
      <c r="R68" s="209"/>
      <c r="S68" s="208" cm="1">
        <f t="array" ref="S68">IFERROR(INDEX(Curriculum_Detail!H:H,MATCH(1,(Curriculum_Detail!D:D="Seconde")*(Curriculum_Detail!F:F="Sciences économiques et sociales")*(Curriculum_Detail!E:E="Core"),0)),"")</f>
        <v>1.5</v>
      </c>
      <c r="T68" s="208"/>
      <c r="U68" s="208"/>
      <c r="V68" s="107" cm="1">
        <f t="array" ref="V68">SUMPRODUCT(IF(ISNUMBER(G68:U68),G68:U68,0),$G$10:$U$10)*E68</f>
        <v>7.5</v>
      </c>
      <c r="W68" s="87">
        <f>IF(ISNUMBER(SEARCH("PE",D68)),$D$6,$D$5)</f>
        <v>18</v>
      </c>
      <c r="X68" s="88">
        <f>IF(V68=0,"",V68/$H$6)</f>
        <v>0.41666666666666669</v>
      </c>
      <c r="Y68" s="87">
        <f>IF(X68="","",ROUNDUP(X68,0))</f>
        <v>1</v>
      </c>
    </row>
    <row r="69" spans="1:25" ht="17" customHeight="1" x14ac:dyDescent="0.2">
      <c r="A69" s="145" t="s">
        <v>108</v>
      </c>
      <c r="B69" s="86" t="s">
        <v>186</v>
      </c>
      <c r="C69" s="151" t="s">
        <v>82</v>
      </c>
      <c r="D69" s="158" t="s">
        <v>81</v>
      </c>
      <c r="E69" s="269">
        <v>1</v>
      </c>
      <c r="F69" s="270">
        <v>4</v>
      </c>
      <c r="G69" s="224"/>
      <c r="H69" s="224"/>
      <c r="I69" s="225"/>
      <c r="J69" s="224"/>
      <c r="K69" s="224"/>
      <c r="L69" s="224"/>
      <c r="M69" s="224"/>
      <c r="N69" s="225"/>
      <c r="O69" s="224"/>
      <c r="P69" s="224"/>
      <c r="Q69" s="224"/>
      <c r="R69" s="225"/>
      <c r="S69" s="224"/>
      <c r="T69" s="218" cm="1">
        <f t="array" ref="T69">IFERROR(INDEX(Curriculum_Detail!H:H,MATCH(1,(Curriculum_Detail!D:D="Première")*(Curriculum_Detail!F:F="Sciences économiques et sociales")*(Curriculum_Detail!E:E="Specialty"),0)),0)</f>
        <v>4</v>
      </c>
      <c r="U69" s="218" cm="1">
        <f t="array" ref="U69">IFERROR(INDEX(Curriculum_Detail!H:H,MATCH(1,(Curriculum_Detail!D:D="Terminale")*(Curriculum_Detail!F:F="Sciences économiques et sociales")*(Curriculum_Detail!E:E="Specialty"),0)),0)</f>
        <v>6</v>
      </c>
      <c r="V69" s="107">
        <f>T69*E69+U69*F69</f>
        <v>28</v>
      </c>
      <c r="W69" s="87">
        <f>$D$5</f>
        <v>18</v>
      </c>
      <c r="X69" s="88">
        <f>IF(V69=0,"",V69/$H$6)</f>
        <v>1.5555555555555556</v>
      </c>
      <c r="Y69" s="87">
        <f>IF(X69="","",ROUNDUP(X69,0))</f>
        <v>2</v>
      </c>
    </row>
    <row r="70" spans="1:25" ht="17" customHeight="1" x14ac:dyDescent="0.2">
      <c r="A70" s="146" t="s">
        <v>108</v>
      </c>
      <c r="B70" s="90" t="s">
        <v>186</v>
      </c>
      <c r="C70" s="152" t="s">
        <v>111</v>
      </c>
      <c r="D70" s="159" t="s">
        <v>77</v>
      </c>
      <c r="E70" s="91">
        <v>1</v>
      </c>
      <c r="F70" s="102">
        <v>1</v>
      </c>
      <c r="G70" s="226"/>
      <c r="H70" s="226"/>
      <c r="I70" s="227"/>
      <c r="J70" s="226"/>
      <c r="K70" s="226"/>
      <c r="L70" s="226"/>
      <c r="M70" s="226"/>
      <c r="N70" s="227"/>
      <c r="O70" s="226"/>
      <c r="P70" s="226"/>
      <c r="Q70" s="226"/>
      <c r="R70" s="227"/>
      <c r="S70" s="226"/>
      <c r="T70" s="219" cm="1">
        <f t="array" ref="T70">IFERROR(INDEX(Curriculum_Detail!H:H,MATCH(1,(Curriculum_Detail!D:D="Première")*(Curriculum_Detail!F:F="Numérique et sciences informatiques")*(Curriculum_Detail!E:E="Specialty"),0)),0)</f>
        <v>4</v>
      </c>
      <c r="U70" s="219" cm="1">
        <f t="array" ref="U70">IFERROR(INDEX(Curriculum_Detail!H:H,MATCH(1,(Curriculum_Detail!D:D="Terminale")*(Curriculum_Detail!F:F="Numérique et sciences informatiques")*(Curriculum_Detail!E:E="Specialty"),0)),0)</f>
        <v>6</v>
      </c>
      <c r="V70" s="107">
        <f>T70*E70+U70*F70</f>
        <v>10</v>
      </c>
      <c r="W70" s="87">
        <f>$D$5</f>
        <v>18</v>
      </c>
      <c r="X70" s="88">
        <f>IF(V70=0,"",V70/$H$6)</f>
        <v>0.55555555555555558</v>
      </c>
      <c r="Y70" s="87">
        <f>IF(X70="","",ROUNDUP(X70,0))</f>
        <v>1</v>
      </c>
    </row>
    <row r="71" spans="1:25" ht="17" customHeight="1" x14ac:dyDescent="0.2">
      <c r="A71" s="144" t="s">
        <v>114</v>
      </c>
      <c r="B71" s="89" t="s">
        <v>145</v>
      </c>
      <c r="C71" s="150" t="s">
        <v>36</v>
      </c>
      <c r="D71" s="157" t="s">
        <v>83</v>
      </c>
      <c r="E71" s="83">
        <v>1</v>
      </c>
      <c r="F71" s="101"/>
      <c r="G71" s="208"/>
      <c r="H71" s="208"/>
      <c r="I71" s="209"/>
      <c r="J71" s="208"/>
      <c r="K71" s="208"/>
      <c r="L71" s="208"/>
      <c r="M71" s="208"/>
      <c r="N71" s="209"/>
      <c r="O71" s="208" cm="1">
        <f t="array" ref="O71">IFERROR(INDEX(Curriculum_Detail!H:H,MATCH(1,(Curriculum_Detail!D:D="6e")*(Curriculum_Detail!F:F="Arts plastiques")*(Curriculum_Detail!E:E="Core"),0)),"")</f>
        <v>1</v>
      </c>
      <c r="P71" s="208" cm="1">
        <f t="array" ref="P71">IFERROR(INDEX(Curriculum_Detail!H:H,MATCH(1,(Curriculum_Detail!D:D="5e")*(Curriculum_Detail!F:F="Arts plastiques")*(Curriculum_Detail!E:E="Core"),0)),"")</f>
        <v>1</v>
      </c>
      <c r="Q71" s="208" cm="1">
        <f t="array" ref="Q71">IFERROR(INDEX(Curriculum_Detail!H:H,MATCH(1,(Curriculum_Detail!D:D="4e")*(Curriculum_Detail!F:F="Arts plastiques")*(Curriculum_Detail!E:E="Core"),0)),"")</f>
        <v>1</v>
      </c>
      <c r="R71" s="209" cm="1">
        <f t="array" ref="R71">IFERROR(INDEX(Curriculum_Detail!H:H,MATCH(1,(Curriculum_Detail!D:D="3e")*(Curriculum_Detail!F:F="Arts plastiques")*(Curriculum_Detail!E:E="Core"),0)),"")</f>
        <v>1</v>
      </c>
      <c r="S71" s="208"/>
      <c r="T71" s="208"/>
      <c r="U71" s="208"/>
      <c r="V71" s="107" cm="1">
        <f t="array" ref="V71">SUMPRODUCT(IF(ISNUMBER(G71:U71),G71:U71,0),$G$10:$U$10)*E71</f>
        <v>21</v>
      </c>
      <c r="W71" s="84">
        <f>IF(ISNUMBER(SEARCH("PE",D71)),$D$6,$D$5)</f>
        <v>18</v>
      </c>
      <c r="X71" s="85">
        <f>IF(V71=0,"",V71/$H$6)</f>
        <v>1.1666666666666667</v>
      </c>
      <c r="Y71" s="87">
        <f>IF(X71="","",ROUNDUP(X71,0))</f>
        <v>2</v>
      </c>
    </row>
    <row r="72" spans="1:25" ht="17" customHeight="1" x14ac:dyDescent="0.2">
      <c r="A72" s="142" t="s">
        <v>114</v>
      </c>
      <c r="B72" s="82" t="s">
        <v>145</v>
      </c>
      <c r="C72" s="148" t="s">
        <v>37</v>
      </c>
      <c r="D72" s="155" t="s">
        <v>84</v>
      </c>
      <c r="E72" s="83">
        <v>1</v>
      </c>
      <c r="F72" s="101"/>
      <c r="G72" s="204"/>
      <c r="H72" s="204"/>
      <c r="I72" s="205"/>
      <c r="J72" s="204"/>
      <c r="K72" s="204"/>
      <c r="L72" s="204"/>
      <c r="M72" s="204"/>
      <c r="N72" s="205"/>
      <c r="O72" s="204" cm="1">
        <f t="array" ref="O72">IFERROR(INDEX(Curriculum_Detail!H:H,MATCH(1,(Curriculum_Detail!D:D="6e")*(Curriculum_Detail!F:F="Éducation musicale")*(Curriculum_Detail!E:E="Core"),0)),"")</f>
        <v>1</v>
      </c>
      <c r="P72" s="204" cm="1">
        <f t="array" ref="P72">IFERROR(INDEX(Curriculum_Detail!H:H,MATCH(1,(Curriculum_Detail!D:D="5e")*(Curriculum_Detail!F:F="Éducation musicale")*(Curriculum_Detail!E:E="Core"),0)),"")</f>
        <v>1</v>
      </c>
      <c r="Q72" s="204" cm="1">
        <f t="array" ref="Q72">IFERROR(INDEX(Curriculum_Detail!H:H,MATCH(1,(Curriculum_Detail!D:D="4e")*(Curriculum_Detail!F:F="Éducation musicale")*(Curriculum_Detail!E:E="Core"),0)),"")</f>
        <v>1</v>
      </c>
      <c r="R72" s="205" cm="1">
        <f t="array" ref="R72">IFERROR(INDEX(Curriculum_Detail!H:H,MATCH(1,(Curriculum_Detail!D:D="3e")*(Curriculum_Detail!F:F="Éducation musicale")*(Curriculum_Detail!E:E="Core"),0)),"")</f>
        <v>1</v>
      </c>
      <c r="S72" s="204"/>
      <c r="T72" s="204"/>
      <c r="U72" s="204"/>
      <c r="V72" s="107" cm="1">
        <f t="array" ref="V72">SUMPRODUCT(IF(ISNUMBER(G72:U72),G72:U72,0),$G$10:$U$10)*E72</f>
        <v>21</v>
      </c>
      <c r="W72" s="84">
        <f>IF(ISNUMBER(SEARCH("PE",D72)),$D$6,$D$5)</f>
        <v>18</v>
      </c>
      <c r="X72" s="85">
        <f>IF(V72=0,"",V72/$H$6)</f>
        <v>1.1666666666666667</v>
      </c>
      <c r="Y72" s="87">
        <f>IF(X72="","",ROUNDUP(X72,0))</f>
        <v>2</v>
      </c>
    </row>
    <row r="73" spans="1:25" ht="19" customHeight="1" x14ac:dyDescent="0.2">
      <c r="A73" s="140" t="s">
        <v>42</v>
      </c>
      <c r="B73" s="93"/>
      <c r="C73" s="140"/>
      <c r="D73" s="153"/>
      <c r="E73" s="92"/>
      <c r="F73" s="138"/>
      <c r="G73" s="200"/>
      <c r="H73" s="200"/>
      <c r="I73" s="201"/>
      <c r="J73" s="200"/>
      <c r="K73" s="200"/>
      <c r="L73" s="200"/>
      <c r="M73" s="200"/>
      <c r="N73" s="201"/>
      <c r="O73" s="200"/>
      <c r="P73" s="200"/>
      <c r="Q73" s="200"/>
      <c r="R73" s="201"/>
      <c r="S73" s="200"/>
      <c r="T73" s="200"/>
      <c r="U73" s="200"/>
      <c r="V73" s="127"/>
      <c r="W73" s="128"/>
      <c r="X73" s="129"/>
      <c r="Y73" s="128"/>
    </row>
    <row r="74" spans="1:25" ht="17" customHeight="1" thickBot="1" x14ac:dyDescent="0.25">
      <c r="A74" s="141" t="s">
        <v>42</v>
      </c>
      <c r="B74" s="65" t="s">
        <v>145</v>
      </c>
      <c r="C74" s="147" t="s">
        <v>42</v>
      </c>
      <c r="D74" s="154" t="s">
        <v>85</v>
      </c>
      <c r="E74" s="51">
        <v>1</v>
      </c>
      <c r="F74" s="100"/>
      <c r="G74" s="202"/>
      <c r="H74" s="202"/>
      <c r="I74" s="203"/>
      <c r="J74" s="202"/>
      <c r="K74" s="202"/>
      <c r="L74" s="202"/>
      <c r="M74" s="202"/>
      <c r="N74" s="203"/>
      <c r="O74" s="202" cm="1">
        <f t="array" ref="O74">IFERROR(INDEX(Curriculum_Detail!H:H,MATCH(1,(Curriculum_Detail!D:D="6e")*(Curriculum_Detail!F:F="Éducation physique et sportive")*(Curriculum_Detail!E:E="Core"),0)),"")</f>
        <v>4</v>
      </c>
      <c r="P74" s="202" cm="1">
        <f t="array" ref="P74">IFERROR(INDEX(Curriculum_Detail!H:H,MATCH(1,(Curriculum_Detail!D:D="5e")*(Curriculum_Detail!F:F="Éducation physique et sportive")*(Curriculum_Detail!E:E="Core"),0)),"")</f>
        <v>3</v>
      </c>
      <c r="Q74" s="202" cm="1">
        <f t="array" ref="Q74">IFERROR(INDEX(Curriculum_Detail!H:H,MATCH(1,(Curriculum_Detail!D:D="4e")*(Curriculum_Detail!F:F="Éducation physique et sportive")*(Curriculum_Detail!E:E="Core"),0)),"")</f>
        <v>3</v>
      </c>
      <c r="R74" s="203" cm="1">
        <f t="array" ref="R74">IFERROR(INDEX(Curriculum_Detail!H:H,MATCH(1,(Curriculum_Detail!D:D="3e")*(Curriculum_Detail!F:F="Éducation physique et sportive")*(Curriculum_Detail!E:E="Core"),0)),"")</f>
        <v>3</v>
      </c>
      <c r="S74" s="202" cm="1">
        <f t="array" ref="S74">IFERROR(INDEX(Curriculum_Detail!H:H,MATCH(1,(Curriculum_Detail!D:D="Seconde")*(Curriculum_Detail!F:F="Éducation physique et sportive")*(Curriculum_Detail!E:E="Core"),0)),"")</f>
        <v>2</v>
      </c>
      <c r="T74" s="202" cm="1">
        <f t="array" ref="T74">IFERROR(INDEX(Curriculum_Detail!H:H,MATCH(1,(Curriculum_Detail!D:D="Première")*(Curriculum_Detail!F:F="Éducation physique et sportive")*(Curriculum_Detail!E:E="Core"),0)),"")</f>
        <v>2</v>
      </c>
      <c r="U74" s="202" cm="1">
        <f t="array" ref="U74">IFERROR(INDEX(Curriculum_Detail!H:H,MATCH(1,(Curriculum_Detail!D:D="Terminale")*(Curriculum_Detail!F:F="Éducation physique et sportive")*(Curriculum_Detail!E:E="Core"),0)),"")</f>
        <v>2</v>
      </c>
      <c r="V74" s="106" cm="1">
        <f t="array" ref="V74">SUMPRODUCT(IF(ISNUMBER(G74:U74),G74:U74,0),$G$10:$U$10)*E74</f>
        <v>97</v>
      </c>
      <c r="W74" s="66">
        <f>IF(ISNUMBER(SEARCH("PE",D74)),$D$6,$D$5)</f>
        <v>18</v>
      </c>
      <c r="X74" s="67">
        <f>IF(V74=0,"",V74/$H$6)</f>
        <v>5.3888888888888893</v>
      </c>
      <c r="Y74" s="69">
        <f>IF(X74="","",ROUNDUP(X74,0))</f>
        <v>6</v>
      </c>
    </row>
    <row r="75" spans="1:25" ht="22" customHeight="1" x14ac:dyDescent="0.2">
      <c r="A75" s="181" t="s">
        <v>207</v>
      </c>
      <c r="B75" s="182"/>
      <c r="C75" s="181"/>
      <c r="D75" s="183"/>
      <c r="E75" s="184"/>
      <c r="F75" s="185"/>
      <c r="G75" s="220"/>
      <c r="H75" s="220"/>
      <c r="I75" s="221"/>
      <c r="J75" s="220"/>
      <c r="K75" s="220"/>
      <c r="L75" s="220"/>
      <c r="M75" s="220"/>
      <c r="N75" s="221"/>
      <c r="O75" s="220"/>
      <c r="P75" s="220"/>
      <c r="Q75" s="220"/>
      <c r="R75" s="221"/>
      <c r="S75" s="220"/>
      <c r="T75" s="220"/>
      <c r="U75" s="220"/>
      <c r="V75" s="186">
        <f>V29+V30+V31+V34+V35+V36+V37+V38+V40+V41+V42+V44+V45+V48+V49+V50+V59+V61+V62+V63+V64+V65+V66+V67+V68+V69+V70+V71+V72+V74</f>
        <v>927.25</v>
      </c>
      <c r="W75" s="187">
        <f>$D$5</f>
        <v>18</v>
      </c>
      <c r="X75" s="188">
        <f>IF(V75=0,"",V75/$H$6)</f>
        <v>51.513888888888886</v>
      </c>
      <c r="Y75" s="187">
        <f>IF(X75="","",ROUNDUP(X75,0))</f>
        <v>52</v>
      </c>
    </row>
    <row r="76" spans="1:25" ht="8" customHeight="1" thickBot="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17" thickBot="1" x14ac:dyDescent="0.25">
      <c r="A77" s="379" t="s">
        <v>230</v>
      </c>
      <c r="B77" s="380" t="s">
        <v>50</v>
      </c>
      <c r="C77" s="381" t="s">
        <v>840</v>
      </c>
      <c r="D77" s="382" t="s">
        <v>96</v>
      </c>
      <c r="E77" s="383" t="s">
        <v>97</v>
      </c>
      <c r="F77" s="384" t="s">
        <v>98</v>
      </c>
      <c r="G77" s="385" t="s">
        <v>99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x14ac:dyDescent="0.2">
      <c r="A78" s="372">
        <v>1</v>
      </c>
      <c r="B78" s="373" t="s">
        <v>58</v>
      </c>
      <c r="C78" s="374" t="s">
        <v>289</v>
      </c>
      <c r="D78" s="375">
        <f>SUMIF($D$11:$D$74,B78,$V$11:$V$74)</f>
        <v>912</v>
      </c>
      <c r="E78" s="376">
        <f>$D$6</f>
        <v>24</v>
      </c>
      <c r="F78" s="377">
        <f>IF(D78=0,"",D78/E78)</f>
        <v>38</v>
      </c>
      <c r="G78" s="378">
        <f>IF(F78="","",ROUNDUP(F78,0))</f>
        <v>38</v>
      </c>
    </row>
    <row r="79" spans="1:25" x14ac:dyDescent="0.2">
      <c r="A79" s="369">
        <v>2</v>
      </c>
      <c r="B79" s="363" t="s">
        <v>120</v>
      </c>
      <c r="C79" s="364" t="s">
        <v>289</v>
      </c>
      <c r="D79" s="365">
        <f>SUMIF($D$11:$D$74,B79,$V$11:$V$74)</f>
        <v>264</v>
      </c>
      <c r="E79" s="366">
        <f>$D$6</f>
        <v>24</v>
      </c>
      <c r="F79" s="367">
        <f>IF(D79=0,"",D79/E79)</f>
        <v>11</v>
      </c>
      <c r="G79" s="371">
        <f>IF(F79="","",ROUNDUP(F79,0))</f>
        <v>11</v>
      </c>
    </row>
    <row r="80" spans="1:25" x14ac:dyDescent="0.2">
      <c r="A80" s="368">
        <v>3</v>
      </c>
      <c r="B80" s="358" t="s">
        <v>836</v>
      </c>
      <c r="C80" s="359" t="s">
        <v>289</v>
      </c>
      <c r="D80" s="360">
        <f>SUMIF($D$11:$D$74,B80,$V$11:$V$74)</f>
        <v>146.69999999999999</v>
      </c>
      <c r="E80" s="361">
        <f>$D$5</f>
        <v>18</v>
      </c>
      <c r="F80" s="362">
        <f>IF(D80=0,"",D80/E80)</f>
        <v>8.1499999999999986</v>
      </c>
      <c r="G80" s="370">
        <f>IF(F80="","",ROUNDUP(F80,0))</f>
        <v>9</v>
      </c>
    </row>
    <row r="81" spans="1:7" x14ac:dyDescent="0.2">
      <c r="A81" s="369">
        <v>4</v>
      </c>
      <c r="B81" s="363" t="s">
        <v>67</v>
      </c>
      <c r="C81" s="364" t="s">
        <v>289</v>
      </c>
      <c r="D81" s="365">
        <f>SUMIF($D$11:$D$74,B81,$V$11:$V$74)</f>
        <v>43.85</v>
      </c>
      <c r="E81" s="366">
        <f>$D$5</f>
        <v>18</v>
      </c>
      <c r="F81" s="367">
        <f>IF(D81=0,"",D81/E81)</f>
        <v>2.4361111111111113</v>
      </c>
      <c r="G81" s="371">
        <f>IF(F81="","",ROUNDUP(F81,0))</f>
        <v>3</v>
      </c>
    </row>
    <row r="82" spans="1:7" x14ac:dyDescent="0.2">
      <c r="A82" s="368">
        <v>5</v>
      </c>
      <c r="B82" s="358" t="s">
        <v>101</v>
      </c>
      <c r="C82" s="359" t="s">
        <v>841</v>
      </c>
      <c r="D82" s="360">
        <f>SUMIF($D$11:$D$74,B82,$V$11:$V$74)</f>
        <v>136.5</v>
      </c>
      <c r="E82" s="361">
        <f>$D$5</f>
        <v>18</v>
      </c>
      <c r="F82" s="362">
        <f>IF(D82=0,"",D82/E82)</f>
        <v>7.583333333333333</v>
      </c>
      <c r="G82" s="370">
        <f>IF(F82="","",ROUNDUP(F82,0))</f>
        <v>8</v>
      </c>
    </row>
    <row r="83" spans="1:7" x14ac:dyDescent="0.2">
      <c r="A83" s="369">
        <v>6</v>
      </c>
      <c r="B83" s="363" t="s">
        <v>102</v>
      </c>
      <c r="C83" s="364" t="s">
        <v>841</v>
      </c>
      <c r="D83" s="365">
        <f>SUMIF($D$11:$D$74,B83,$V$11:$V$74)</f>
        <v>22</v>
      </c>
      <c r="E83" s="366">
        <f>$D$5</f>
        <v>18</v>
      </c>
      <c r="F83" s="367">
        <f>IF(D83=0,"",D83/E83)</f>
        <v>1.2222222222222223</v>
      </c>
      <c r="G83" s="371">
        <f>IF(F83="","",ROUNDUP(F83,0))</f>
        <v>2</v>
      </c>
    </row>
    <row r="84" spans="1:7" x14ac:dyDescent="0.2">
      <c r="A84" s="368">
        <v>7</v>
      </c>
      <c r="B84" s="358" t="s">
        <v>104</v>
      </c>
      <c r="C84" s="359" t="s">
        <v>841</v>
      </c>
      <c r="D84" s="360">
        <f>SUMIF($D$11:$D$74,B84,$V$11:$V$74)</f>
        <v>143.5</v>
      </c>
      <c r="E84" s="361">
        <f>$D$5</f>
        <v>18</v>
      </c>
      <c r="F84" s="362">
        <f>IF(D84=0,"",D84/E84)</f>
        <v>7.9722222222222223</v>
      </c>
      <c r="G84" s="370">
        <f>IF(F84="","",ROUNDUP(F84,0))</f>
        <v>8</v>
      </c>
    </row>
    <row r="85" spans="1:7" x14ac:dyDescent="0.2">
      <c r="A85" s="369">
        <v>8</v>
      </c>
      <c r="B85" s="363" t="s">
        <v>79</v>
      </c>
      <c r="C85" s="364" t="s">
        <v>841</v>
      </c>
      <c r="D85" s="365">
        <f>SUMIF($D$11:$D$74,B85,$V$11:$V$74)</f>
        <v>110.5</v>
      </c>
      <c r="E85" s="366">
        <f>$D$5</f>
        <v>18</v>
      </c>
      <c r="F85" s="367">
        <f>IF(D85=0,"",D85/E85)</f>
        <v>6.1388888888888893</v>
      </c>
      <c r="G85" s="371">
        <f>IF(F85="","",ROUNDUP(F85,0))</f>
        <v>7</v>
      </c>
    </row>
    <row r="86" spans="1:7" x14ac:dyDescent="0.2">
      <c r="A86" s="368">
        <v>9</v>
      </c>
      <c r="B86" s="358" t="s">
        <v>837</v>
      </c>
      <c r="C86" s="359" t="s">
        <v>841</v>
      </c>
      <c r="D86" s="360">
        <f>SUMIF($D$11:$D$74,B86,$V$11:$V$74)</f>
        <v>17.5</v>
      </c>
      <c r="E86" s="361">
        <f>$D$5</f>
        <v>18</v>
      </c>
      <c r="F86" s="362">
        <f>IF(D86=0,"",D86/E86)</f>
        <v>0.97222222222222221</v>
      </c>
      <c r="G86" s="370">
        <f>IF(F86="","",ROUNDUP(F86,0))</f>
        <v>1</v>
      </c>
    </row>
    <row r="87" spans="1:7" x14ac:dyDescent="0.2">
      <c r="A87" s="369">
        <v>10</v>
      </c>
      <c r="B87" s="363" t="s">
        <v>68</v>
      </c>
      <c r="C87" s="364" t="s">
        <v>841</v>
      </c>
      <c r="D87" s="365">
        <f>SUMIF($D$11:$D$74,B87,$V$11:$V$74)</f>
        <v>100</v>
      </c>
      <c r="E87" s="366">
        <f>$D$5</f>
        <v>18</v>
      </c>
      <c r="F87" s="367">
        <f>IF(D87=0,"",D87/E87)</f>
        <v>5.5555555555555554</v>
      </c>
      <c r="G87" s="371">
        <f>IF(F87="","",ROUNDUP(F87,0))</f>
        <v>6</v>
      </c>
    </row>
    <row r="88" spans="1:7" x14ac:dyDescent="0.2">
      <c r="A88" s="368">
        <v>11</v>
      </c>
      <c r="B88" s="358" t="s">
        <v>65</v>
      </c>
      <c r="C88" s="359" t="s">
        <v>841</v>
      </c>
      <c r="D88" s="360">
        <f>SUMIF($D$11:$D$74,B88,$V$11:$V$74)</f>
        <v>36.25</v>
      </c>
      <c r="E88" s="361">
        <f>$D$5</f>
        <v>18</v>
      </c>
      <c r="F88" s="362">
        <f>IF(D88=0,"",D88/E88)</f>
        <v>2.0138888888888888</v>
      </c>
      <c r="G88" s="370">
        <f>IF(F88="","",ROUNDUP(F88,0))</f>
        <v>3</v>
      </c>
    </row>
    <row r="89" spans="1:7" x14ac:dyDescent="0.2">
      <c r="A89" s="369">
        <v>12</v>
      </c>
      <c r="B89" s="363" t="s">
        <v>222</v>
      </c>
      <c r="C89" s="364" t="s">
        <v>841</v>
      </c>
      <c r="D89" s="365">
        <f>SUMIF($D$11:$D$74,B89,$V$11:$V$74)</f>
        <v>7.25</v>
      </c>
      <c r="E89" s="366">
        <f>$D$5</f>
        <v>18</v>
      </c>
      <c r="F89" s="367">
        <f>IF(D89=0,"",D89/E89)</f>
        <v>0.40277777777777779</v>
      </c>
      <c r="G89" s="371">
        <f>IF(F89="","",ROUNDUP(F89,0))</f>
        <v>1</v>
      </c>
    </row>
    <row r="90" spans="1:7" x14ac:dyDescent="0.2">
      <c r="A90" s="368">
        <v>13</v>
      </c>
      <c r="B90" s="358" t="s">
        <v>227</v>
      </c>
      <c r="C90" s="359" t="s">
        <v>841</v>
      </c>
      <c r="D90" s="360">
        <f>SUMIF($D$11:$D$74,B90,$V$11:$V$74)</f>
        <v>29</v>
      </c>
      <c r="E90" s="361">
        <f>$D$5</f>
        <v>18</v>
      </c>
      <c r="F90" s="362">
        <f>IF(D90=0,"",D90/E90)</f>
        <v>1.6111111111111112</v>
      </c>
      <c r="G90" s="370">
        <f>IF(F90="","",ROUNDUP(F90,0))</f>
        <v>2</v>
      </c>
    </row>
    <row r="91" spans="1:7" x14ac:dyDescent="0.2">
      <c r="A91" s="369">
        <v>14</v>
      </c>
      <c r="B91" s="363" t="s">
        <v>71</v>
      </c>
      <c r="C91" s="364" t="s">
        <v>841</v>
      </c>
      <c r="D91" s="365">
        <f>SUMIF($D$11:$D$74,B91,$V$11:$V$74)</f>
        <v>49</v>
      </c>
      <c r="E91" s="366">
        <f>$D$5</f>
        <v>18</v>
      </c>
      <c r="F91" s="367">
        <f>IF(D91=0,"",D91/E91)</f>
        <v>2.7222222222222223</v>
      </c>
      <c r="G91" s="371">
        <f>IF(F91="","",ROUNDUP(F91,0))</f>
        <v>3</v>
      </c>
    </row>
    <row r="92" spans="1:7" x14ac:dyDescent="0.2">
      <c r="A92" s="368">
        <v>15</v>
      </c>
      <c r="B92" s="358" t="s">
        <v>73</v>
      </c>
      <c r="C92" s="359" t="s">
        <v>841</v>
      </c>
      <c r="D92" s="360">
        <f>SUMIF($D$11:$D$74,B92,$V$11:$V$74)</f>
        <v>56.5</v>
      </c>
      <c r="E92" s="361">
        <f>$D$5</f>
        <v>18</v>
      </c>
      <c r="F92" s="362">
        <f>IF(D92=0,"",D92/E92)</f>
        <v>3.1388888888888888</v>
      </c>
      <c r="G92" s="370">
        <f>IF(F92="","",ROUNDUP(F92,0))</f>
        <v>4</v>
      </c>
    </row>
    <row r="93" spans="1:7" x14ac:dyDescent="0.2">
      <c r="A93" s="369">
        <v>16</v>
      </c>
      <c r="B93" s="363" t="s">
        <v>75</v>
      </c>
      <c r="C93" s="364" t="s">
        <v>841</v>
      </c>
      <c r="D93" s="365">
        <f>SUMIF($D$11:$D$74,B93,$V$11:$V$74)</f>
        <v>30</v>
      </c>
      <c r="E93" s="366">
        <f>$D$5</f>
        <v>18</v>
      </c>
      <c r="F93" s="367">
        <f>IF(D93=0,"",D93/E93)</f>
        <v>1.6666666666666667</v>
      </c>
      <c r="G93" s="371">
        <f>IF(F93="","",ROUNDUP(F93,0))</f>
        <v>2</v>
      </c>
    </row>
    <row r="94" spans="1:7" x14ac:dyDescent="0.2">
      <c r="A94" s="368">
        <v>17</v>
      </c>
      <c r="B94" s="358" t="s">
        <v>76</v>
      </c>
      <c r="C94" s="359" t="s">
        <v>841</v>
      </c>
      <c r="D94" s="360">
        <f>SUMIF($D$11:$D$74,B94,$V$11:$V$74)</f>
        <v>18</v>
      </c>
      <c r="E94" s="361">
        <f>$D$5</f>
        <v>18</v>
      </c>
      <c r="F94" s="362">
        <f>IF(D94=0,"",D94/E94)</f>
        <v>1</v>
      </c>
      <c r="G94" s="370">
        <f>IF(F94="","",ROUNDUP(F94,0))</f>
        <v>1</v>
      </c>
    </row>
    <row r="95" spans="1:7" x14ac:dyDescent="0.2">
      <c r="A95" s="369">
        <v>18</v>
      </c>
      <c r="B95" s="363" t="s">
        <v>81</v>
      </c>
      <c r="C95" s="364" t="s">
        <v>841</v>
      </c>
      <c r="D95" s="365">
        <f>SUMIF($D$11:$D$74,B95,$V$11:$V$74)</f>
        <v>35.5</v>
      </c>
      <c r="E95" s="366">
        <f>$D$5</f>
        <v>18</v>
      </c>
      <c r="F95" s="367">
        <f>IF(D95=0,"",D95/E95)</f>
        <v>1.9722222222222223</v>
      </c>
      <c r="G95" s="371">
        <f>IF(F95="","",ROUNDUP(F95,0))</f>
        <v>2</v>
      </c>
    </row>
    <row r="96" spans="1:7" x14ac:dyDescent="0.2">
      <c r="A96" s="368">
        <v>19</v>
      </c>
      <c r="B96" s="358" t="s">
        <v>77</v>
      </c>
      <c r="C96" s="359" t="s">
        <v>841</v>
      </c>
      <c r="D96" s="360">
        <f>SUMIF($D$11:$D$74,B96,$V$11:$V$74)</f>
        <v>10</v>
      </c>
      <c r="E96" s="361">
        <f>$D$5</f>
        <v>18</v>
      </c>
      <c r="F96" s="362">
        <f>IF(D96=0,"",D96/E96)</f>
        <v>0.55555555555555558</v>
      </c>
      <c r="G96" s="370">
        <f>IF(F96="","",ROUNDUP(F96,0))</f>
        <v>1</v>
      </c>
    </row>
    <row r="97" spans="1:7" x14ac:dyDescent="0.2">
      <c r="A97" s="369">
        <v>20</v>
      </c>
      <c r="B97" s="363" t="s">
        <v>83</v>
      </c>
      <c r="C97" s="364" t="s">
        <v>841</v>
      </c>
      <c r="D97" s="365">
        <f>SUMIF($D$11:$D$74,B97,$V$11:$V$74)</f>
        <v>21</v>
      </c>
      <c r="E97" s="366">
        <f>$D$5</f>
        <v>18</v>
      </c>
      <c r="F97" s="367">
        <f>IF(D97=0,"",D97/E97)</f>
        <v>1.1666666666666667</v>
      </c>
      <c r="G97" s="371">
        <f>IF(F97="","",ROUNDUP(F97,0))</f>
        <v>2</v>
      </c>
    </row>
    <row r="98" spans="1:7" x14ac:dyDescent="0.2">
      <c r="A98" s="368">
        <v>21</v>
      </c>
      <c r="B98" s="358" t="s">
        <v>84</v>
      </c>
      <c r="C98" s="359" t="s">
        <v>841</v>
      </c>
      <c r="D98" s="360">
        <f>SUMIF($D$11:$D$74,B98,$V$11:$V$74)</f>
        <v>21</v>
      </c>
      <c r="E98" s="361">
        <f>$D$5</f>
        <v>18</v>
      </c>
      <c r="F98" s="362">
        <f>IF(D98=0,"",D98/E98)</f>
        <v>1.1666666666666667</v>
      </c>
      <c r="G98" s="370">
        <f>IF(F98="","",ROUNDUP(F98,0))</f>
        <v>2</v>
      </c>
    </row>
    <row r="99" spans="1:7" ht="17" thickBot="1" x14ac:dyDescent="0.25">
      <c r="A99" s="386">
        <v>22</v>
      </c>
      <c r="B99" s="387" t="s">
        <v>85</v>
      </c>
      <c r="C99" s="388" t="s">
        <v>841</v>
      </c>
      <c r="D99" s="389">
        <f>SUMIF($D$11:$D$74,B99,$V$11:$V$74)</f>
        <v>97</v>
      </c>
      <c r="E99" s="390">
        <f>$D$5</f>
        <v>18</v>
      </c>
      <c r="F99" s="391">
        <f>IF(D99=0,"",D99/E99)</f>
        <v>5.3888888888888893</v>
      </c>
      <c r="G99" s="392">
        <f>IF(F99="","",ROUNDUP(F99,0))</f>
        <v>6</v>
      </c>
    </row>
    <row r="100" spans="1:7" ht="17" thickBot="1" x14ac:dyDescent="0.25">
      <c r="A100" s="394"/>
      <c r="B100" s="393" t="s">
        <v>839</v>
      </c>
      <c r="C100" s="395"/>
      <c r="D100" s="382">
        <f>SUM(D78:D99)</f>
        <v>2307.0500000000002</v>
      </c>
      <c r="E100" s="395"/>
      <c r="F100" s="384">
        <f>SUM(F78:F99)</f>
        <v>111.83611111111114</v>
      </c>
      <c r="G100" s="385">
        <f>SUM(G78:G99)</f>
        <v>122</v>
      </c>
    </row>
  </sheetData>
  <mergeCells count="2">
    <mergeCell ref="A11:X11"/>
    <mergeCell ref="A26:Y2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0FBB-6B79-DE42-8E19-62AEF1886DA7}">
  <dimension ref="A1:Q96"/>
  <sheetViews>
    <sheetView showGridLines="0" topLeftCell="A36" workbookViewId="0">
      <selection activeCell="F70" sqref="F70"/>
    </sheetView>
  </sheetViews>
  <sheetFormatPr baseColWidth="10" defaultColWidth="8.83203125" defaultRowHeight="15" x14ac:dyDescent="0.2"/>
  <cols>
    <col min="1" max="2" width="11" style="31" customWidth="1"/>
    <col min="3" max="3" width="16" style="31" customWidth="1"/>
    <col min="4" max="4" width="10" style="31" customWidth="1"/>
    <col min="5" max="5" width="12" style="31" customWidth="1"/>
    <col min="6" max="6" width="46" style="31" customWidth="1"/>
    <col min="7" max="7" width="16" style="31" customWidth="1"/>
    <col min="8" max="9" width="12" style="31" customWidth="1"/>
    <col min="10" max="10" width="14" style="31" customWidth="1"/>
    <col min="11" max="11" width="16" style="31" customWidth="1"/>
    <col min="12" max="12" width="18" style="31" customWidth="1"/>
    <col min="13" max="13" width="12" style="31" customWidth="1"/>
    <col min="14" max="15" width="16" style="31" customWidth="1"/>
    <col min="16" max="16" width="54" style="31" customWidth="1"/>
    <col min="17" max="17" width="44" style="31" customWidth="1"/>
    <col min="18" max="16384" width="8.83203125" style="31"/>
  </cols>
  <sheetData>
    <row r="1" spans="1:17" ht="34" customHeight="1" x14ac:dyDescent="0.2">
      <c r="A1" s="30" t="s">
        <v>132</v>
      </c>
      <c r="B1" s="30" t="s">
        <v>1</v>
      </c>
      <c r="C1" s="30" t="s">
        <v>133</v>
      </c>
      <c r="D1" s="30" t="s">
        <v>2</v>
      </c>
      <c r="E1" s="30" t="s">
        <v>134</v>
      </c>
      <c r="F1" s="30" t="s">
        <v>135</v>
      </c>
      <c r="G1" s="30" t="s">
        <v>136</v>
      </c>
      <c r="H1" s="30" t="s">
        <v>137</v>
      </c>
      <c r="I1" s="30" t="s">
        <v>30</v>
      </c>
      <c r="J1" s="30" t="s">
        <v>138</v>
      </c>
      <c r="K1" s="30" t="s">
        <v>139</v>
      </c>
      <c r="L1" s="30" t="s">
        <v>140</v>
      </c>
      <c r="M1" s="30" t="s">
        <v>141</v>
      </c>
      <c r="N1" s="30" t="s">
        <v>142</v>
      </c>
      <c r="O1" s="30" t="s">
        <v>143</v>
      </c>
      <c r="P1" s="30" t="s">
        <v>144</v>
      </c>
      <c r="Q1" s="30" t="s">
        <v>38</v>
      </c>
    </row>
    <row r="2" spans="1:17" ht="22" customHeight="1" x14ac:dyDescent="0.2">
      <c r="A2" s="32">
        <v>300</v>
      </c>
      <c r="B2" s="33" t="s">
        <v>151</v>
      </c>
      <c r="C2" s="33" t="s">
        <v>14</v>
      </c>
      <c r="D2" s="33" t="s">
        <v>152</v>
      </c>
      <c r="E2" s="33" t="s">
        <v>145</v>
      </c>
      <c r="F2" s="33" t="s">
        <v>31</v>
      </c>
      <c r="G2" s="33" t="s">
        <v>146</v>
      </c>
      <c r="H2" s="34">
        <v>4.5</v>
      </c>
      <c r="I2" s="35">
        <v>162</v>
      </c>
      <c r="J2" s="36">
        <v>6</v>
      </c>
      <c r="K2" s="35">
        <v>27</v>
      </c>
      <c r="L2" s="35">
        <v>18</v>
      </c>
      <c r="M2" s="37">
        <v>1.5</v>
      </c>
      <c r="N2" s="38">
        <v>0</v>
      </c>
      <c r="O2" s="38">
        <v>0</v>
      </c>
      <c r="P2" s="33" t="s">
        <v>153</v>
      </c>
      <c r="Q2" s="33" t="s">
        <v>147</v>
      </c>
    </row>
    <row r="3" spans="1:17" ht="22" customHeight="1" x14ac:dyDescent="0.2">
      <c r="A3" s="32">
        <v>301</v>
      </c>
      <c r="B3" s="33" t="s">
        <v>151</v>
      </c>
      <c r="C3" s="33" t="s">
        <v>14</v>
      </c>
      <c r="D3" s="33" t="s">
        <v>152</v>
      </c>
      <c r="E3" s="33" t="s">
        <v>145</v>
      </c>
      <c r="F3" s="33" t="s">
        <v>32</v>
      </c>
      <c r="G3" s="33" t="s">
        <v>146</v>
      </c>
      <c r="H3" s="34">
        <v>4.5</v>
      </c>
      <c r="I3" s="35">
        <v>162</v>
      </c>
      <c r="J3" s="36">
        <v>6</v>
      </c>
      <c r="K3" s="35">
        <v>27</v>
      </c>
      <c r="L3" s="35">
        <v>18</v>
      </c>
      <c r="M3" s="37">
        <v>1.5</v>
      </c>
      <c r="N3" s="38">
        <v>0</v>
      </c>
      <c r="O3" s="38">
        <v>0</v>
      </c>
      <c r="P3" s="33" t="s">
        <v>153</v>
      </c>
      <c r="Q3" s="33" t="s">
        <v>147</v>
      </c>
    </row>
    <row r="4" spans="1:17" ht="22" customHeight="1" x14ac:dyDescent="0.2">
      <c r="A4" s="32">
        <v>302</v>
      </c>
      <c r="B4" s="33" t="s">
        <v>151</v>
      </c>
      <c r="C4" s="33" t="s">
        <v>14</v>
      </c>
      <c r="D4" s="33" t="s">
        <v>152</v>
      </c>
      <c r="E4" s="33" t="s">
        <v>145</v>
      </c>
      <c r="F4" s="33" t="s">
        <v>154</v>
      </c>
      <c r="G4" s="33" t="s">
        <v>149</v>
      </c>
      <c r="H4" s="34">
        <v>2.5</v>
      </c>
      <c r="I4" s="35">
        <v>90</v>
      </c>
      <c r="J4" s="36">
        <v>6</v>
      </c>
      <c r="K4" s="35">
        <v>15</v>
      </c>
      <c r="L4" s="35">
        <v>18</v>
      </c>
      <c r="M4" s="37">
        <v>0.83333333333333337</v>
      </c>
      <c r="N4" s="38">
        <v>0</v>
      </c>
      <c r="O4" s="38">
        <v>0</v>
      </c>
      <c r="P4" s="33" t="s">
        <v>153</v>
      </c>
      <c r="Q4" s="33" t="s">
        <v>155</v>
      </c>
    </row>
    <row r="5" spans="1:17" ht="22" customHeight="1" x14ac:dyDescent="0.2">
      <c r="A5" s="32">
        <v>303</v>
      </c>
      <c r="B5" s="33" t="s">
        <v>151</v>
      </c>
      <c r="C5" s="33" t="s">
        <v>14</v>
      </c>
      <c r="D5" s="33" t="s">
        <v>152</v>
      </c>
      <c r="E5" s="33" t="s">
        <v>145</v>
      </c>
      <c r="F5" s="33" t="s">
        <v>150</v>
      </c>
      <c r="G5" s="33" t="s">
        <v>149</v>
      </c>
      <c r="H5" s="34">
        <v>0.5</v>
      </c>
      <c r="I5" s="35">
        <v>18</v>
      </c>
      <c r="J5" s="36">
        <v>6</v>
      </c>
      <c r="K5" s="35">
        <v>3</v>
      </c>
      <c r="L5" s="35">
        <v>18</v>
      </c>
      <c r="M5" s="37">
        <v>0.16666666666666666</v>
      </c>
      <c r="N5" s="38">
        <v>0</v>
      </c>
      <c r="O5" s="38">
        <v>0</v>
      </c>
      <c r="P5" s="33" t="s">
        <v>153</v>
      </c>
      <c r="Q5" s="33" t="s">
        <v>155</v>
      </c>
    </row>
    <row r="6" spans="1:17" ht="22" customHeight="1" x14ac:dyDescent="0.2">
      <c r="A6" s="32">
        <v>304</v>
      </c>
      <c r="B6" s="33" t="s">
        <v>151</v>
      </c>
      <c r="C6" s="33" t="s">
        <v>14</v>
      </c>
      <c r="D6" s="33" t="s">
        <v>152</v>
      </c>
      <c r="E6" s="33" t="s">
        <v>145</v>
      </c>
      <c r="F6" s="33" t="s">
        <v>156</v>
      </c>
      <c r="G6" s="33" t="s">
        <v>146</v>
      </c>
      <c r="H6" s="34">
        <v>4</v>
      </c>
      <c r="I6" s="35">
        <v>144</v>
      </c>
      <c r="J6" s="36">
        <v>6</v>
      </c>
      <c r="K6" s="35">
        <v>24</v>
      </c>
      <c r="L6" s="35">
        <v>18</v>
      </c>
      <c r="M6" s="37">
        <v>1.3333333333333333</v>
      </c>
      <c r="N6" s="38">
        <v>0</v>
      </c>
      <c r="O6" s="38">
        <v>0</v>
      </c>
      <c r="P6" s="33" t="s">
        <v>153</v>
      </c>
      <c r="Q6" s="33" t="s">
        <v>147</v>
      </c>
    </row>
    <row r="7" spans="1:17" ht="22" customHeight="1" x14ac:dyDescent="0.2">
      <c r="A7" s="32">
        <v>305</v>
      </c>
      <c r="B7" s="33" t="s">
        <v>151</v>
      </c>
      <c r="C7" s="33" t="s">
        <v>14</v>
      </c>
      <c r="D7" s="33" t="s">
        <v>152</v>
      </c>
      <c r="E7" s="33" t="s">
        <v>145</v>
      </c>
      <c r="F7" s="33" t="s">
        <v>157</v>
      </c>
      <c r="G7" s="33" t="s">
        <v>158</v>
      </c>
      <c r="H7" s="34">
        <v>3</v>
      </c>
      <c r="I7" s="35">
        <v>108</v>
      </c>
      <c r="J7" s="36">
        <v>6</v>
      </c>
      <c r="K7" s="35">
        <v>18</v>
      </c>
      <c r="L7" s="35">
        <v>18</v>
      </c>
      <c r="M7" s="37">
        <v>1</v>
      </c>
      <c r="N7" s="38">
        <v>0</v>
      </c>
      <c r="O7" s="38">
        <v>0</v>
      </c>
      <c r="P7" s="33" t="s">
        <v>153</v>
      </c>
      <c r="Q7" s="33" t="s">
        <v>159</v>
      </c>
    </row>
    <row r="8" spans="1:17" ht="22" customHeight="1" x14ac:dyDescent="0.2">
      <c r="A8" s="32">
        <v>306</v>
      </c>
      <c r="B8" s="33" t="s">
        <v>151</v>
      </c>
      <c r="C8" s="33" t="s">
        <v>14</v>
      </c>
      <c r="D8" s="33" t="s">
        <v>152</v>
      </c>
      <c r="E8" s="33" t="s">
        <v>145</v>
      </c>
      <c r="F8" s="33" t="s">
        <v>148</v>
      </c>
      <c r="G8" s="33" t="s">
        <v>146</v>
      </c>
      <c r="H8" s="34">
        <v>4</v>
      </c>
      <c r="I8" s="35">
        <v>144</v>
      </c>
      <c r="J8" s="36">
        <v>6</v>
      </c>
      <c r="K8" s="35">
        <v>24</v>
      </c>
      <c r="L8" s="35">
        <v>18</v>
      </c>
      <c r="M8" s="37">
        <v>1.3333333333333333</v>
      </c>
      <c r="N8" s="38">
        <v>0</v>
      </c>
      <c r="O8" s="38">
        <v>0</v>
      </c>
      <c r="P8" s="33" t="s">
        <v>153</v>
      </c>
      <c r="Q8" s="33" t="s">
        <v>147</v>
      </c>
    </row>
    <row r="9" spans="1:17" ht="22" customHeight="1" x14ac:dyDescent="0.2">
      <c r="A9" s="32">
        <v>307</v>
      </c>
      <c r="B9" s="33" t="s">
        <v>151</v>
      </c>
      <c r="C9" s="33" t="s">
        <v>14</v>
      </c>
      <c r="D9" s="33" t="s">
        <v>152</v>
      </c>
      <c r="E9" s="33" t="s">
        <v>145</v>
      </c>
      <c r="F9" s="33" t="s">
        <v>160</v>
      </c>
      <c r="G9" s="33" t="s">
        <v>146</v>
      </c>
      <c r="H9" s="34">
        <v>1</v>
      </c>
      <c r="I9" s="35">
        <v>36</v>
      </c>
      <c r="J9" s="36">
        <v>6</v>
      </c>
      <c r="K9" s="35">
        <v>6</v>
      </c>
      <c r="L9" s="35">
        <v>18</v>
      </c>
      <c r="M9" s="37">
        <v>0.33333333333333331</v>
      </c>
      <c r="N9" s="38">
        <v>0</v>
      </c>
      <c r="O9" s="38">
        <v>0</v>
      </c>
      <c r="P9" s="33" t="s">
        <v>153</v>
      </c>
      <c r="Q9" s="33" t="s">
        <v>147</v>
      </c>
    </row>
    <row r="10" spans="1:17" ht="22" customHeight="1" x14ac:dyDescent="0.2">
      <c r="A10" s="32">
        <v>308</v>
      </c>
      <c r="B10" s="33" t="s">
        <v>151</v>
      </c>
      <c r="C10" s="33" t="s">
        <v>14</v>
      </c>
      <c r="D10" s="33" t="s">
        <v>152</v>
      </c>
      <c r="E10" s="33" t="s">
        <v>145</v>
      </c>
      <c r="F10" s="33" t="s">
        <v>161</v>
      </c>
      <c r="G10" s="33" t="s">
        <v>146</v>
      </c>
      <c r="H10" s="34">
        <v>1</v>
      </c>
      <c r="I10" s="35">
        <v>36</v>
      </c>
      <c r="J10" s="36">
        <v>6</v>
      </c>
      <c r="K10" s="35">
        <v>6</v>
      </c>
      <c r="L10" s="35">
        <v>18</v>
      </c>
      <c r="M10" s="37">
        <v>0.33333333333333331</v>
      </c>
      <c r="N10" s="38">
        <v>0</v>
      </c>
      <c r="O10" s="38">
        <v>0</v>
      </c>
      <c r="P10" s="33" t="s">
        <v>153</v>
      </c>
      <c r="Q10" s="33" t="s">
        <v>147</v>
      </c>
    </row>
    <row r="11" spans="1:17" ht="22" customHeight="1" x14ac:dyDescent="0.2">
      <c r="A11" s="32">
        <v>309</v>
      </c>
      <c r="B11" s="33" t="s">
        <v>151</v>
      </c>
      <c r="C11" s="33" t="s">
        <v>14</v>
      </c>
      <c r="D11" s="33" t="s">
        <v>152</v>
      </c>
      <c r="E11" s="33" t="s">
        <v>145</v>
      </c>
      <c r="F11" s="33" t="s">
        <v>162</v>
      </c>
      <c r="G11" s="33" t="s">
        <v>146</v>
      </c>
      <c r="H11" s="34">
        <v>1</v>
      </c>
      <c r="I11" s="35">
        <v>36</v>
      </c>
      <c r="J11" s="36">
        <v>6</v>
      </c>
      <c r="K11" s="35">
        <v>6</v>
      </c>
      <c r="L11" s="35">
        <v>18</v>
      </c>
      <c r="M11" s="37">
        <v>0.33333333333333331</v>
      </c>
      <c r="N11" s="38">
        <v>0</v>
      </c>
      <c r="O11" s="38">
        <v>0</v>
      </c>
      <c r="P11" s="33" t="s">
        <v>153</v>
      </c>
      <c r="Q11" s="33" t="s">
        <v>147</v>
      </c>
    </row>
    <row r="12" spans="1:17" ht="22" customHeight="1" x14ac:dyDescent="0.2">
      <c r="A12" s="32">
        <v>400</v>
      </c>
      <c r="B12" s="33" t="s">
        <v>163</v>
      </c>
      <c r="C12" s="33" t="s">
        <v>14</v>
      </c>
      <c r="D12" s="33" t="s">
        <v>164</v>
      </c>
      <c r="E12" s="33" t="s">
        <v>145</v>
      </c>
      <c r="F12" s="33" t="s">
        <v>31</v>
      </c>
      <c r="G12" s="33" t="s">
        <v>146</v>
      </c>
      <c r="H12" s="34">
        <v>4.5</v>
      </c>
      <c r="I12" s="35">
        <v>162</v>
      </c>
      <c r="J12" s="36">
        <v>6</v>
      </c>
      <c r="K12" s="35">
        <v>27</v>
      </c>
      <c r="L12" s="35">
        <v>18</v>
      </c>
      <c r="M12" s="37">
        <v>1.5</v>
      </c>
      <c r="N12" s="38">
        <v>0</v>
      </c>
      <c r="O12" s="38">
        <v>0</v>
      </c>
      <c r="P12" s="33" t="s">
        <v>153</v>
      </c>
      <c r="Q12" s="33" t="s">
        <v>147</v>
      </c>
    </row>
    <row r="13" spans="1:17" ht="22" customHeight="1" x14ac:dyDescent="0.2">
      <c r="A13" s="32">
        <v>401</v>
      </c>
      <c r="B13" s="33" t="s">
        <v>163</v>
      </c>
      <c r="C13" s="33" t="s">
        <v>14</v>
      </c>
      <c r="D13" s="33" t="s">
        <v>164</v>
      </c>
      <c r="E13" s="33" t="s">
        <v>145</v>
      </c>
      <c r="F13" s="33" t="s">
        <v>32</v>
      </c>
      <c r="G13" s="33" t="s">
        <v>146</v>
      </c>
      <c r="H13" s="34">
        <v>3.5</v>
      </c>
      <c r="I13" s="35">
        <v>126</v>
      </c>
      <c r="J13" s="36">
        <v>6</v>
      </c>
      <c r="K13" s="35">
        <v>21</v>
      </c>
      <c r="L13" s="35">
        <v>18</v>
      </c>
      <c r="M13" s="37">
        <v>1.1666666666666667</v>
      </c>
      <c r="N13" s="38">
        <v>0</v>
      </c>
      <c r="O13" s="38">
        <v>0</v>
      </c>
      <c r="P13" s="33" t="s">
        <v>153</v>
      </c>
      <c r="Q13" s="33" t="s">
        <v>147</v>
      </c>
    </row>
    <row r="14" spans="1:17" ht="22" customHeight="1" x14ac:dyDescent="0.2">
      <c r="A14" s="32">
        <v>402</v>
      </c>
      <c r="B14" s="33" t="s">
        <v>163</v>
      </c>
      <c r="C14" s="33" t="s">
        <v>14</v>
      </c>
      <c r="D14" s="33" t="s">
        <v>164</v>
      </c>
      <c r="E14" s="33" t="s">
        <v>145</v>
      </c>
      <c r="F14" s="33" t="s">
        <v>154</v>
      </c>
      <c r="G14" s="33" t="s">
        <v>149</v>
      </c>
      <c r="H14" s="34">
        <v>2.5</v>
      </c>
      <c r="I14" s="35">
        <v>90</v>
      </c>
      <c r="J14" s="36">
        <v>6</v>
      </c>
      <c r="K14" s="35">
        <v>15</v>
      </c>
      <c r="L14" s="35">
        <v>18</v>
      </c>
      <c r="M14" s="37">
        <v>0.83333333333333337</v>
      </c>
      <c r="N14" s="38">
        <v>0</v>
      </c>
      <c r="O14" s="38">
        <v>0</v>
      </c>
      <c r="P14" s="33" t="s">
        <v>153</v>
      </c>
      <c r="Q14" s="33" t="s">
        <v>165</v>
      </c>
    </row>
    <row r="15" spans="1:17" ht="22" customHeight="1" x14ac:dyDescent="0.2">
      <c r="A15" s="32">
        <v>403</v>
      </c>
      <c r="B15" s="33" t="s">
        <v>163</v>
      </c>
      <c r="C15" s="33" t="s">
        <v>14</v>
      </c>
      <c r="D15" s="33" t="s">
        <v>164</v>
      </c>
      <c r="E15" s="33" t="s">
        <v>145</v>
      </c>
      <c r="F15" s="33" t="s">
        <v>150</v>
      </c>
      <c r="G15" s="33" t="s">
        <v>149</v>
      </c>
      <c r="H15" s="34">
        <v>0.5</v>
      </c>
      <c r="I15" s="35">
        <v>18</v>
      </c>
      <c r="J15" s="36">
        <v>6</v>
      </c>
      <c r="K15" s="35">
        <v>3</v>
      </c>
      <c r="L15" s="35">
        <v>18</v>
      </c>
      <c r="M15" s="37">
        <v>0.16666666666666666</v>
      </c>
      <c r="N15" s="38">
        <v>0</v>
      </c>
      <c r="O15" s="38">
        <v>0</v>
      </c>
      <c r="P15" s="33" t="s">
        <v>153</v>
      </c>
      <c r="Q15" s="33" t="s">
        <v>165</v>
      </c>
    </row>
    <row r="16" spans="1:17" ht="22" customHeight="1" x14ac:dyDescent="0.2">
      <c r="A16" s="32">
        <v>404</v>
      </c>
      <c r="B16" s="33" t="s">
        <v>163</v>
      </c>
      <c r="C16" s="33" t="s">
        <v>14</v>
      </c>
      <c r="D16" s="33" t="s">
        <v>164</v>
      </c>
      <c r="E16" s="33" t="s">
        <v>145</v>
      </c>
      <c r="F16" s="33" t="s">
        <v>156</v>
      </c>
      <c r="G16" s="33" t="s">
        <v>146</v>
      </c>
      <c r="H16" s="34">
        <v>3</v>
      </c>
      <c r="I16" s="35">
        <v>108</v>
      </c>
      <c r="J16" s="36">
        <v>6</v>
      </c>
      <c r="K16" s="35">
        <v>18</v>
      </c>
      <c r="L16" s="35">
        <v>18</v>
      </c>
      <c r="M16" s="37">
        <v>1</v>
      </c>
      <c r="N16" s="38">
        <v>0</v>
      </c>
      <c r="O16" s="38">
        <v>0</v>
      </c>
      <c r="P16" s="33" t="s">
        <v>153</v>
      </c>
      <c r="Q16" s="33" t="s">
        <v>147</v>
      </c>
    </row>
    <row r="17" spans="1:17" ht="22" customHeight="1" x14ac:dyDescent="0.2">
      <c r="A17" s="32">
        <v>405</v>
      </c>
      <c r="B17" s="33" t="s">
        <v>163</v>
      </c>
      <c r="C17" s="33" t="s">
        <v>14</v>
      </c>
      <c r="D17" s="33" t="s">
        <v>164</v>
      </c>
      <c r="E17" s="33" t="s">
        <v>145</v>
      </c>
      <c r="F17" s="33" t="s">
        <v>166</v>
      </c>
      <c r="G17" s="33" t="s">
        <v>146</v>
      </c>
      <c r="H17" s="34">
        <v>2.5</v>
      </c>
      <c r="I17" s="35">
        <v>90</v>
      </c>
      <c r="J17" s="36">
        <v>6</v>
      </c>
      <c r="K17" s="35">
        <v>15</v>
      </c>
      <c r="L17" s="35">
        <v>18</v>
      </c>
      <c r="M17" s="37">
        <v>0.83333333333333337</v>
      </c>
      <c r="N17" s="38">
        <v>0</v>
      </c>
      <c r="O17" s="38">
        <v>0</v>
      </c>
      <c r="P17" s="33" t="s">
        <v>153</v>
      </c>
      <c r="Q17" s="33" t="s">
        <v>147</v>
      </c>
    </row>
    <row r="18" spans="1:17" ht="22" customHeight="1" x14ac:dyDescent="0.2">
      <c r="A18" s="32">
        <v>406</v>
      </c>
      <c r="B18" s="33" t="s">
        <v>163</v>
      </c>
      <c r="C18" s="33" t="s">
        <v>14</v>
      </c>
      <c r="D18" s="33" t="s">
        <v>164</v>
      </c>
      <c r="E18" s="33" t="s">
        <v>145</v>
      </c>
      <c r="F18" s="33" t="s">
        <v>167</v>
      </c>
      <c r="G18" s="33" t="s">
        <v>146</v>
      </c>
      <c r="H18" s="34">
        <v>1.5</v>
      </c>
      <c r="I18" s="35">
        <v>54</v>
      </c>
      <c r="J18" s="36">
        <v>6</v>
      </c>
      <c r="K18" s="35">
        <v>9</v>
      </c>
      <c r="L18" s="35">
        <v>18</v>
      </c>
      <c r="M18" s="37">
        <v>0.5</v>
      </c>
      <c r="N18" s="38">
        <v>0</v>
      </c>
      <c r="O18" s="38">
        <v>0</v>
      </c>
      <c r="P18" s="33" t="s">
        <v>153</v>
      </c>
      <c r="Q18" s="33" t="s">
        <v>147</v>
      </c>
    </row>
    <row r="19" spans="1:17" ht="22" customHeight="1" x14ac:dyDescent="0.2">
      <c r="A19" s="32">
        <v>407</v>
      </c>
      <c r="B19" s="33" t="s">
        <v>163</v>
      </c>
      <c r="C19" s="33" t="s">
        <v>14</v>
      </c>
      <c r="D19" s="33" t="s">
        <v>164</v>
      </c>
      <c r="E19" s="33" t="s">
        <v>145</v>
      </c>
      <c r="F19" s="33" t="s">
        <v>168</v>
      </c>
      <c r="G19" s="33" t="s">
        <v>146</v>
      </c>
      <c r="H19" s="34">
        <v>1.5</v>
      </c>
      <c r="I19" s="35">
        <v>54</v>
      </c>
      <c r="J19" s="36">
        <v>6</v>
      </c>
      <c r="K19" s="35">
        <v>9</v>
      </c>
      <c r="L19" s="35">
        <v>18</v>
      </c>
      <c r="M19" s="37">
        <v>0.5</v>
      </c>
      <c r="N19" s="38">
        <v>0</v>
      </c>
      <c r="O19" s="38">
        <v>0</v>
      </c>
      <c r="P19" s="33" t="s">
        <v>153</v>
      </c>
      <c r="Q19" s="33" t="s">
        <v>147</v>
      </c>
    </row>
    <row r="20" spans="1:17" ht="22" customHeight="1" x14ac:dyDescent="0.2">
      <c r="A20" s="32">
        <v>408</v>
      </c>
      <c r="B20" s="33" t="s">
        <v>163</v>
      </c>
      <c r="C20" s="33" t="s">
        <v>14</v>
      </c>
      <c r="D20" s="33" t="s">
        <v>164</v>
      </c>
      <c r="E20" s="33" t="s">
        <v>145</v>
      </c>
      <c r="F20" s="33" t="s">
        <v>35</v>
      </c>
      <c r="G20" s="33" t="s">
        <v>146</v>
      </c>
      <c r="H20" s="34">
        <v>1.5</v>
      </c>
      <c r="I20" s="35">
        <v>54</v>
      </c>
      <c r="J20" s="36">
        <v>6</v>
      </c>
      <c r="K20" s="35">
        <v>9</v>
      </c>
      <c r="L20" s="35">
        <v>18</v>
      </c>
      <c r="M20" s="37">
        <v>0.5</v>
      </c>
      <c r="N20" s="38">
        <v>0</v>
      </c>
      <c r="O20" s="38">
        <v>0</v>
      </c>
      <c r="P20" s="33" t="s">
        <v>153</v>
      </c>
      <c r="Q20" s="33" t="s">
        <v>147</v>
      </c>
    </row>
    <row r="21" spans="1:17" ht="22" customHeight="1" x14ac:dyDescent="0.2">
      <c r="A21" s="32">
        <v>409</v>
      </c>
      <c r="B21" s="33" t="s">
        <v>163</v>
      </c>
      <c r="C21" s="33" t="s">
        <v>14</v>
      </c>
      <c r="D21" s="33" t="s">
        <v>164</v>
      </c>
      <c r="E21" s="33" t="s">
        <v>145</v>
      </c>
      <c r="F21" s="33" t="s">
        <v>148</v>
      </c>
      <c r="G21" s="33" t="s">
        <v>146</v>
      </c>
      <c r="H21" s="34">
        <v>3</v>
      </c>
      <c r="I21" s="35">
        <v>108</v>
      </c>
      <c r="J21" s="36">
        <v>6</v>
      </c>
      <c r="K21" s="35">
        <v>18</v>
      </c>
      <c r="L21" s="35">
        <v>18</v>
      </c>
      <c r="M21" s="37">
        <v>1</v>
      </c>
      <c r="N21" s="38">
        <v>0</v>
      </c>
      <c r="O21" s="38">
        <v>0</v>
      </c>
      <c r="P21" s="33" t="s">
        <v>153</v>
      </c>
      <c r="Q21" s="33" t="s">
        <v>147</v>
      </c>
    </row>
    <row r="22" spans="1:17" ht="22" customHeight="1" x14ac:dyDescent="0.2">
      <c r="A22" s="32">
        <v>410</v>
      </c>
      <c r="B22" s="33" t="s">
        <v>163</v>
      </c>
      <c r="C22" s="33" t="s">
        <v>14</v>
      </c>
      <c r="D22" s="33" t="s">
        <v>164</v>
      </c>
      <c r="E22" s="33" t="s">
        <v>145</v>
      </c>
      <c r="F22" s="33" t="s">
        <v>160</v>
      </c>
      <c r="G22" s="33" t="s">
        <v>146</v>
      </c>
      <c r="H22" s="34">
        <v>1</v>
      </c>
      <c r="I22" s="35">
        <v>36</v>
      </c>
      <c r="J22" s="36">
        <v>6</v>
      </c>
      <c r="K22" s="35">
        <v>6</v>
      </c>
      <c r="L22" s="35">
        <v>18</v>
      </c>
      <c r="M22" s="37">
        <v>0.33333333333333331</v>
      </c>
      <c r="N22" s="38">
        <v>0</v>
      </c>
      <c r="O22" s="38">
        <v>0</v>
      </c>
      <c r="P22" s="33" t="s">
        <v>153</v>
      </c>
      <c r="Q22" s="33" t="s">
        <v>147</v>
      </c>
    </row>
    <row r="23" spans="1:17" ht="22" customHeight="1" x14ac:dyDescent="0.2">
      <c r="A23" s="32">
        <v>411</v>
      </c>
      <c r="B23" s="33" t="s">
        <v>163</v>
      </c>
      <c r="C23" s="33" t="s">
        <v>14</v>
      </c>
      <c r="D23" s="33" t="s">
        <v>164</v>
      </c>
      <c r="E23" s="33" t="s">
        <v>145</v>
      </c>
      <c r="F23" s="33" t="s">
        <v>161</v>
      </c>
      <c r="G23" s="33" t="s">
        <v>146</v>
      </c>
      <c r="H23" s="34">
        <v>1</v>
      </c>
      <c r="I23" s="35">
        <v>36</v>
      </c>
      <c r="J23" s="36">
        <v>6</v>
      </c>
      <c r="K23" s="35">
        <v>6</v>
      </c>
      <c r="L23" s="35">
        <v>18</v>
      </c>
      <c r="M23" s="37">
        <v>0.33333333333333331</v>
      </c>
      <c r="N23" s="38">
        <v>0</v>
      </c>
      <c r="O23" s="38">
        <v>0</v>
      </c>
      <c r="P23" s="33" t="s">
        <v>153</v>
      </c>
      <c r="Q23" s="33" t="s">
        <v>147</v>
      </c>
    </row>
    <row r="24" spans="1:17" ht="22" customHeight="1" x14ac:dyDescent="0.2">
      <c r="A24" s="32">
        <v>412</v>
      </c>
      <c r="B24" s="33" t="s">
        <v>163</v>
      </c>
      <c r="C24" s="33" t="s">
        <v>14</v>
      </c>
      <c r="D24" s="33" t="s">
        <v>169</v>
      </c>
      <c r="E24" s="33" t="s">
        <v>145</v>
      </c>
      <c r="F24" s="33" t="s">
        <v>31</v>
      </c>
      <c r="G24" s="33" t="s">
        <v>146</v>
      </c>
      <c r="H24" s="34">
        <v>4.5</v>
      </c>
      <c r="I24" s="35">
        <v>162</v>
      </c>
      <c r="J24" s="36">
        <v>5</v>
      </c>
      <c r="K24" s="35">
        <v>22.5</v>
      </c>
      <c r="L24" s="35">
        <v>18</v>
      </c>
      <c r="M24" s="37">
        <v>1.25</v>
      </c>
      <c r="N24" s="38">
        <v>0</v>
      </c>
      <c r="O24" s="38">
        <v>0</v>
      </c>
      <c r="P24" s="33" t="s">
        <v>153</v>
      </c>
      <c r="Q24" s="33" t="s">
        <v>147</v>
      </c>
    </row>
    <row r="25" spans="1:17" ht="22" customHeight="1" x14ac:dyDescent="0.2">
      <c r="A25" s="32">
        <v>413</v>
      </c>
      <c r="B25" s="33" t="s">
        <v>163</v>
      </c>
      <c r="C25" s="33" t="s">
        <v>14</v>
      </c>
      <c r="D25" s="33" t="s">
        <v>169</v>
      </c>
      <c r="E25" s="33" t="s">
        <v>145</v>
      </c>
      <c r="F25" s="33" t="s">
        <v>32</v>
      </c>
      <c r="G25" s="33" t="s">
        <v>146</v>
      </c>
      <c r="H25" s="34">
        <v>3.5</v>
      </c>
      <c r="I25" s="35">
        <v>126</v>
      </c>
      <c r="J25" s="36">
        <v>5</v>
      </c>
      <c r="K25" s="35">
        <v>17.5</v>
      </c>
      <c r="L25" s="35">
        <v>18</v>
      </c>
      <c r="M25" s="37">
        <v>0.97222222222222221</v>
      </c>
      <c r="N25" s="38">
        <v>0</v>
      </c>
      <c r="O25" s="38">
        <v>0</v>
      </c>
      <c r="P25" s="33" t="s">
        <v>153</v>
      </c>
      <c r="Q25" s="33" t="s">
        <v>147</v>
      </c>
    </row>
    <row r="26" spans="1:17" ht="22" customHeight="1" x14ac:dyDescent="0.2">
      <c r="A26" s="32">
        <v>414</v>
      </c>
      <c r="B26" s="33" t="s">
        <v>163</v>
      </c>
      <c r="C26" s="33" t="s">
        <v>14</v>
      </c>
      <c r="D26" s="33" t="s">
        <v>169</v>
      </c>
      <c r="E26" s="33" t="s">
        <v>145</v>
      </c>
      <c r="F26" s="33" t="s">
        <v>154</v>
      </c>
      <c r="G26" s="33" t="s">
        <v>149</v>
      </c>
      <c r="H26" s="34">
        <v>2.5</v>
      </c>
      <c r="I26" s="35">
        <v>90</v>
      </c>
      <c r="J26" s="36">
        <v>5</v>
      </c>
      <c r="K26" s="35">
        <v>12.5</v>
      </c>
      <c r="L26" s="35">
        <v>18</v>
      </c>
      <c r="M26" s="37">
        <v>0.69444444444444442</v>
      </c>
      <c r="N26" s="38">
        <v>0</v>
      </c>
      <c r="O26" s="38">
        <v>0</v>
      </c>
      <c r="P26" s="33" t="s">
        <v>153</v>
      </c>
      <c r="Q26" s="33" t="s">
        <v>165</v>
      </c>
    </row>
    <row r="27" spans="1:17" ht="22" customHeight="1" x14ac:dyDescent="0.2">
      <c r="A27" s="32">
        <v>415</v>
      </c>
      <c r="B27" s="33" t="s">
        <v>163</v>
      </c>
      <c r="C27" s="33" t="s">
        <v>14</v>
      </c>
      <c r="D27" s="33" t="s">
        <v>169</v>
      </c>
      <c r="E27" s="33" t="s">
        <v>145</v>
      </c>
      <c r="F27" s="33" t="s">
        <v>150</v>
      </c>
      <c r="G27" s="33" t="s">
        <v>149</v>
      </c>
      <c r="H27" s="34">
        <v>0.5</v>
      </c>
      <c r="I27" s="35">
        <v>18</v>
      </c>
      <c r="J27" s="36">
        <v>5</v>
      </c>
      <c r="K27" s="35">
        <v>2.5</v>
      </c>
      <c r="L27" s="35">
        <v>18</v>
      </c>
      <c r="M27" s="37">
        <v>0.1388888888888889</v>
      </c>
      <c r="N27" s="38">
        <v>0</v>
      </c>
      <c r="O27" s="38">
        <v>0</v>
      </c>
      <c r="P27" s="33" t="s">
        <v>153</v>
      </c>
      <c r="Q27" s="33" t="s">
        <v>165</v>
      </c>
    </row>
    <row r="28" spans="1:17" ht="22" customHeight="1" x14ac:dyDescent="0.2">
      <c r="A28" s="32">
        <v>416</v>
      </c>
      <c r="B28" s="33" t="s">
        <v>163</v>
      </c>
      <c r="C28" s="33" t="s">
        <v>14</v>
      </c>
      <c r="D28" s="33" t="s">
        <v>169</v>
      </c>
      <c r="E28" s="33" t="s">
        <v>145</v>
      </c>
      <c r="F28" s="33" t="s">
        <v>156</v>
      </c>
      <c r="G28" s="33" t="s">
        <v>146</v>
      </c>
      <c r="H28" s="34">
        <v>3</v>
      </c>
      <c r="I28" s="35">
        <v>108</v>
      </c>
      <c r="J28" s="36">
        <v>5</v>
      </c>
      <c r="K28" s="35">
        <v>15</v>
      </c>
      <c r="L28" s="35">
        <v>18</v>
      </c>
      <c r="M28" s="37">
        <v>0.83333333333333337</v>
      </c>
      <c r="N28" s="38">
        <v>0</v>
      </c>
      <c r="O28" s="38">
        <v>0</v>
      </c>
      <c r="P28" s="33" t="s">
        <v>153</v>
      </c>
      <c r="Q28" s="33" t="s">
        <v>147</v>
      </c>
    </row>
    <row r="29" spans="1:17" ht="22" customHeight="1" x14ac:dyDescent="0.2">
      <c r="A29" s="32">
        <v>417</v>
      </c>
      <c r="B29" s="33" t="s">
        <v>163</v>
      </c>
      <c r="C29" s="33" t="s">
        <v>14</v>
      </c>
      <c r="D29" s="33" t="s">
        <v>169</v>
      </c>
      <c r="E29" s="33" t="s">
        <v>145</v>
      </c>
      <c r="F29" s="33" t="s">
        <v>166</v>
      </c>
      <c r="G29" s="33" t="s">
        <v>146</v>
      </c>
      <c r="H29" s="34">
        <v>2.5</v>
      </c>
      <c r="I29" s="35">
        <v>90</v>
      </c>
      <c r="J29" s="36">
        <v>5</v>
      </c>
      <c r="K29" s="35">
        <v>12.5</v>
      </c>
      <c r="L29" s="35">
        <v>18</v>
      </c>
      <c r="M29" s="37">
        <v>0.69444444444444442</v>
      </c>
      <c r="N29" s="38">
        <v>0</v>
      </c>
      <c r="O29" s="38">
        <v>0</v>
      </c>
      <c r="P29" s="33" t="s">
        <v>153</v>
      </c>
      <c r="Q29" s="33" t="s">
        <v>147</v>
      </c>
    </row>
    <row r="30" spans="1:17" ht="22" customHeight="1" x14ac:dyDescent="0.2">
      <c r="A30" s="32">
        <v>418</v>
      </c>
      <c r="B30" s="33" t="s">
        <v>163</v>
      </c>
      <c r="C30" s="33" t="s">
        <v>14</v>
      </c>
      <c r="D30" s="33" t="s">
        <v>169</v>
      </c>
      <c r="E30" s="33" t="s">
        <v>145</v>
      </c>
      <c r="F30" s="33" t="s">
        <v>167</v>
      </c>
      <c r="G30" s="33" t="s">
        <v>146</v>
      </c>
      <c r="H30" s="34">
        <v>1.5</v>
      </c>
      <c r="I30" s="35">
        <v>54</v>
      </c>
      <c r="J30" s="36">
        <v>5</v>
      </c>
      <c r="K30" s="35">
        <v>7.5</v>
      </c>
      <c r="L30" s="35">
        <v>18</v>
      </c>
      <c r="M30" s="37">
        <v>0.41666666666666669</v>
      </c>
      <c r="N30" s="38">
        <v>0</v>
      </c>
      <c r="O30" s="38">
        <v>0</v>
      </c>
      <c r="P30" s="33" t="s">
        <v>153</v>
      </c>
      <c r="Q30" s="33" t="s">
        <v>147</v>
      </c>
    </row>
    <row r="31" spans="1:17" ht="22" customHeight="1" x14ac:dyDescent="0.2">
      <c r="A31" s="32">
        <v>419</v>
      </c>
      <c r="B31" s="33" t="s">
        <v>163</v>
      </c>
      <c r="C31" s="33" t="s">
        <v>14</v>
      </c>
      <c r="D31" s="33" t="s">
        <v>169</v>
      </c>
      <c r="E31" s="33" t="s">
        <v>145</v>
      </c>
      <c r="F31" s="33" t="s">
        <v>168</v>
      </c>
      <c r="G31" s="33" t="s">
        <v>146</v>
      </c>
      <c r="H31" s="34">
        <v>1.5</v>
      </c>
      <c r="I31" s="35">
        <v>54</v>
      </c>
      <c r="J31" s="36">
        <v>5</v>
      </c>
      <c r="K31" s="35">
        <v>7.5</v>
      </c>
      <c r="L31" s="35">
        <v>18</v>
      </c>
      <c r="M31" s="37">
        <v>0.41666666666666669</v>
      </c>
      <c r="N31" s="38">
        <v>0</v>
      </c>
      <c r="O31" s="38">
        <v>0</v>
      </c>
      <c r="P31" s="33" t="s">
        <v>153</v>
      </c>
      <c r="Q31" s="33" t="s">
        <v>147</v>
      </c>
    </row>
    <row r="32" spans="1:17" ht="22" customHeight="1" x14ac:dyDescent="0.2">
      <c r="A32" s="32">
        <v>420</v>
      </c>
      <c r="B32" s="33" t="s">
        <v>163</v>
      </c>
      <c r="C32" s="33" t="s">
        <v>14</v>
      </c>
      <c r="D32" s="33" t="s">
        <v>169</v>
      </c>
      <c r="E32" s="33" t="s">
        <v>145</v>
      </c>
      <c r="F32" s="33" t="s">
        <v>35</v>
      </c>
      <c r="G32" s="33" t="s">
        <v>146</v>
      </c>
      <c r="H32" s="34">
        <v>1.5</v>
      </c>
      <c r="I32" s="35">
        <v>54</v>
      </c>
      <c r="J32" s="36">
        <v>5</v>
      </c>
      <c r="K32" s="35">
        <v>7.5</v>
      </c>
      <c r="L32" s="35">
        <v>18</v>
      </c>
      <c r="M32" s="37">
        <v>0.41666666666666669</v>
      </c>
      <c r="N32" s="38">
        <v>0</v>
      </c>
      <c r="O32" s="38">
        <v>0</v>
      </c>
      <c r="P32" s="33" t="s">
        <v>153</v>
      </c>
      <c r="Q32" s="33" t="s">
        <v>147</v>
      </c>
    </row>
    <row r="33" spans="1:17" ht="22" customHeight="1" x14ac:dyDescent="0.2">
      <c r="A33" s="32">
        <v>421</v>
      </c>
      <c r="B33" s="33" t="s">
        <v>163</v>
      </c>
      <c r="C33" s="33" t="s">
        <v>14</v>
      </c>
      <c r="D33" s="33" t="s">
        <v>169</v>
      </c>
      <c r="E33" s="33" t="s">
        <v>145</v>
      </c>
      <c r="F33" s="33" t="s">
        <v>148</v>
      </c>
      <c r="G33" s="33" t="s">
        <v>146</v>
      </c>
      <c r="H33" s="34">
        <v>3</v>
      </c>
      <c r="I33" s="35">
        <v>108</v>
      </c>
      <c r="J33" s="36">
        <v>5</v>
      </c>
      <c r="K33" s="35">
        <v>15</v>
      </c>
      <c r="L33" s="35">
        <v>18</v>
      </c>
      <c r="M33" s="37">
        <v>0.83333333333333337</v>
      </c>
      <c r="N33" s="38">
        <v>0</v>
      </c>
      <c r="O33" s="38">
        <v>0</v>
      </c>
      <c r="P33" s="33" t="s">
        <v>153</v>
      </c>
      <c r="Q33" s="33" t="s">
        <v>147</v>
      </c>
    </row>
    <row r="34" spans="1:17" ht="22" customHeight="1" x14ac:dyDescent="0.2">
      <c r="A34" s="32">
        <v>422</v>
      </c>
      <c r="B34" s="33" t="s">
        <v>163</v>
      </c>
      <c r="C34" s="33" t="s">
        <v>14</v>
      </c>
      <c r="D34" s="33" t="s">
        <v>169</v>
      </c>
      <c r="E34" s="33" t="s">
        <v>145</v>
      </c>
      <c r="F34" s="33" t="s">
        <v>160</v>
      </c>
      <c r="G34" s="33" t="s">
        <v>146</v>
      </c>
      <c r="H34" s="34">
        <v>1</v>
      </c>
      <c r="I34" s="35">
        <v>36</v>
      </c>
      <c r="J34" s="36">
        <v>5</v>
      </c>
      <c r="K34" s="35">
        <v>5</v>
      </c>
      <c r="L34" s="35">
        <v>18</v>
      </c>
      <c r="M34" s="37">
        <v>0.27777777777777779</v>
      </c>
      <c r="N34" s="38">
        <v>0</v>
      </c>
      <c r="O34" s="38">
        <v>0</v>
      </c>
      <c r="P34" s="33" t="s">
        <v>153</v>
      </c>
      <c r="Q34" s="33" t="s">
        <v>147</v>
      </c>
    </row>
    <row r="35" spans="1:17" ht="22" customHeight="1" x14ac:dyDescent="0.2">
      <c r="A35" s="32">
        <v>423</v>
      </c>
      <c r="B35" s="33" t="s">
        <v>163</v>
      </c>
      <c r="C35" s="33" t="s">
        <v>14</v>
      </c>
      <c r="D35" s="33" t="s">
        <v>169</v>
      </c>
      <c r="E35" s="33" t="s">
        <v>145</v>
      </c>
      <c r="F35" s="33" t="s">
        <v>161</v>
      </c>
      <c r="G35" s="33" t="s">
        <v>146</v>
      </c>
      <c r="H35" s="34">
        <v>1</v>
      </c>
      <c r="I35" s="35">
        <v>36</v>
      </c>
      <c r="J35" s="36">
        <v>5</v>
      </c>
      <c r="K35" s="35">
        <v>5</v>
      </c>
      <c r="L35" s="35">
        <v>18</v>
      </c>
      <c r="M35" s="37">
        <v>0.27777777777777779</v>
      </c>
      <c r="N35" s="38">
        <v>0</v>
      </c>
      <c r="O35" s="38">
        <v>0</v>
      </c>
      <c r="P35" s="33" t="s">
        <v>153</v>
      </c>
      <c r="Q35" s="33" t="s">
        <v>147</v>
      </c>
    </row>
    <row r="36" spans="1:17" ht="22" customHeight="1" x14ac:dyDescent="0.2">
      <c r="A36" s="32">
        <v>424</v>
      </c>
      <c r="B36" s="33" t="s">
        <v>163</v>
      </c>
      <c r="C36" s="33" t="s">
        <v>14</v>
      </c>
      <c r="D36" s="33" t="s">
        <v>170</v>
      </c>
      <c r="E36" s="33" t="s">
        <v>145</v>
      </c>
      <c r="F36" s="33" t="s">
        <v>31</v>
      </c>
      <c r="G36" s="33" t="s">
        <v>146</v>
      </c>
      <c r="H36" s="34">
        <v>4</v>
      </c>
      <c r="I36" s="35">
        <v>144</v>
      </c>
      <c r="J36" s="36">
        <v>4</v>
      </c>
      <c r="K36" s="35">
        <v>16</v>
      </c>
      <c r="L36" s="35">
        <v>18</v>
      </c>
      <c r="M36" s="37">
        <v>0.88888888888888884</v>
      </c>
      <c r="N36" s="38">
        <v>0</v>
      </c>
      <c r="O36" s="38">
        <v>0</v>
      </c>
      <c r="P36" s="33" t="s">
        <v>153</v>
      </c>
      <c r="Q36" s="33" t="s">
        <v>147</v>
      </c>
    </row>
    <row r="37" spans="1:17" ht="22" customHeight="1" x14ac:dyDescent="0.2">
      <c r="A37" s="32">
        <v>425</v>
      </c>
      <c r="B37" s="33" t="s">
        <v>163</v>
      </c>
      <c r="C37" s="33" t="s">
        <v>14</v>
      </c>
      <c r="D37" s="33" t="s">
        <v>170</v>
      </c>
      <c r="E37" s="33" t="s">
        <v>145</v>
      </c>
      <c r="F37" s="33" t="s">
        <v>32</v>
      </c>
      <c r="G37" s="33" t="s">
        <v>146</v>
      </c>
      <c r="H37" s="34">
        <v>3.5</v>
      </c>
      <c r="I37" s="35">
        <v>126</v>
      </c>
      <c r="J37" s="36">
        <v>4</v>
      </c>
      <c r="K37" s="35">
        <v>14</v>
      </c>
      <c r="L37" s="35">
        <v>18</v>
      </c>
      <c r="M37" s="37">
        <v>0.77777777777777779</v>
      </c>
      <c r="N37" s="38">
        <v>0</v>
      </c>
      <c r="O37" s="38">
        <v>0</v>
      </c>
      <c r="P37" s="33" t="s">
        <v>153</v>
      </c>
      <c r="Q37" s="33" t="s">
        <v>147</v>
      </c>
    </row>
    <row r="38" spans="1:17" ht="22" customHeight="1" x14ac:dyDescent="0.2">
      <c r="A38" s="32">
        <v>426</v>
      </c>
      <c r="B38" s="33" t="s">
        <v>163</v>
      </c>
      <c r="C38" s="33" t="s">
        <v>14</v>
      </c>
      <c r="D38" s="33" t="s">
        <v>170</v>
      </c>
      <c r="E38" s="33" t="s">
        <v>145</v>
      </c>
      <c r="F38" s="33" t="s">
        <v>154</v>
      </c>
      <c r="G38" s="33" t="s">
        <v>149</v>
      </c>
      <c r="H38" s="34">
        <v>3</v>
      </c>
      <c r="I38" s="35">
        <v>108</v>
      </c>
      <c r="J38" s="36">
        <v>4</v>
      </c>
      <c r="K38" s="35">
        <v>12</v>
      </c>
      <c r="L38" s="35">
        <v>18</v>
      </c>
      <c r="M38" s="37">
        <v>0.66666666666666663</v>
      </c>
      <c r="N38" s="38">
        <v>0</v>
      </c>
      <c r="O38" s="38">
        <v>0</v>
      </c>
      <c r="P38" s="33" t="s">
        <v>153</v>
      </c>
      <c r="Q38" s="33" t="s">
        <v>165</v>
      </c>
    </row>
    <row r="39" spans="1:17" ht="22" customHeight="1" x14ac:dyDescent="0.2">
      <c r="A39" s="32">
        <v>427</v>
      </c>
      <c r="B39" s="33" t="s">
        <v>163</v>
      </c>
      <c r="C39" s="33" t="s">
        <v>14</v>
      </c>
      <c r="D39" s="33" t="s">
        <v>170</v>
      </c>
      <c r="E39" s="33" t="s">
        <v>145</v>
      </c>
      <c r="F39" s="33" t="s">
        <v>150</v>
      </c>
      <c r="G39" s="33" t="s">
        <v>149</v>
      </c>
      <c r="H39" s="34">
        <v>0.5</v>
      </c>
      <c r="I39" s="35">
        <v>18</v>
      </c>
      <c r="J39" s="36">
        <v>4</v>
      </c>
      <c r="K39" s="35">
        <v>2</v>
      </c>
      <c r="L39" s="35">
        <v>18</v>
      </c>
      <c r="M39" s="37">
        <v>0.1111111111111111</v>
      </c>
      <c r="N39" s="38">
        <v>0</v>
      </c>
      <c r="O39" s="38">
        <v>0</v>
      </c>
      <c r="P39" s="33" t="s">
        <v>153</v>
      </c>
      <c r="Q39" s="33" t="s">
        <v>165</v>
      </c>
    </row>
    <row r="40" spans="1:17" ht="22" customHeight="1" x14ac:dyDescent="0.2">
      <c r="A40" s="32">
        <v>428</v>
      </c>
      <c r="B40" s="33" t="s">
        <v>163</v>
      </c>
      <c r="C40" s="33" t="s">
        <v>14</v>
      </c>
      <c r="D40" s="33" t="s">
        <v>170</v>
      </c>
      <c r="E40" s="33" t="s">
        <v>145</v>
      </c>
      <c r="F40" s="33" t="s">
        <v>156</v>
      </c>
      <c r="G40" s="33" t="s">
        <v>146</v>
      </c>
      <c r="H40" s="34">
        <v>3</v>
      </c>
      <c r="I40" s="35">
        <v>108</v>
      </c>
      <c r="J40" s="36">
        <v>4</v>
      </c>
      <c r="K40" s="35">
        <v>12</v>
      </c>
      <c r="L40" s="35">
        <v>18</v>
      </c>
      <c r="M40" s="37">
        <v>0.66666666666666663</v>
      </c>
      <c r="N40" s="38">
        <v>0</v>
      </c>
      <c r="O40" s="38">
        <v>0</v>
      </c>
      <c r="P40" s="33" t="s">
        <v>153</v>
      </c>
      <c r="Q40" s="33" t="s">
        <v>147</v>
      </c>
    </row>
    <row r="41" spans="1:17" ht="22" customHeight="1" x14ac:dyDescent="0.2">
      <c r="A41" s="32">
        <v>429</v>
      </c>
      <c r="B41" s="33" t="s">
        <v>163</v>
      </c>
      <c r="C41" s="33" t="s">
        <v>14</v>
      </c>
      <c r="D41" s="33" t="s">
        <v>170</v>
      </c>
      <c r="E41" s="33" t="s">
        <v>145</v>
      </c>
      <c r="F41" s="33" t="s">
        <v>166</v>
      </c>
      <c r="G41" s="33" t="s">
        <v>146</v>
      </c>
      <c r="H41" s="34">
        <v>2.5</v>
      </c>
      <c r="I41" s="35">
        <v>90</v>
      </c>
      <c r="J41" s="36">
        <v>4</v>
      </c>
      <c r="K41" s="35">
        <v>10</v>
      </c>
      <c r="L41" s="35">
        <v>18</v>
      </c>
      <c r="M41" s="37">
        <v>0.55555555555555558</v>
      </c>
      <c r="N41" s="38">
        <v>0</v>
      </c>
      <c r="O41" s="38">
        <v>0</v>
      </c>
      <c r="P41" s="33" t="s">
        <v>153</v>
      </c>
      <c r="Q41" s="33" t="s">
        <v>147</v>
      </c>
    </row>
    <row r="42" spans="1:17" ht="22" customHeight="1" x14ac:dyDescent="0.2">
      <c r="A42" s="32">
        <v>430</v>
      </c>
      <c r="B42" s="33" t="s">
        <v>163</v>
      </c>
      <c r="C42" s="33" t="s">
        <v>14</v>
      </c>
      <c r="D42" s="33" t="s">
        <v>170</v>
      </c>
      <c r="E42" s="33" t="s">
        <v>145</v>
      </c>
      <c r="F42" s="33" t="s">
        <v>167</v>
      </c>
      <c r="G42" s="33" t="s">
        <v>146</v>
      </c>
      <c r="H42" s="34">
        <v>1.5</v>
      </c>
      <c r="I42" s="35">
        <v>54</v>
      </c>
      <c r="J42" s="36">
        <v>4</v>
      </c>
      <c r="K42" s="35">
        <v>6</v>
      </c>
      <c r="L42" s="35">
        <v>18</v>
      </c>
      <c r="M42" s="37">
        <v>0.33333333333333331</v>
      </c>
      <c r="N42" s="38">
        <v>0</v>
      </c>
      <c r="O42" s="38">
        <v>0</v>
      </c>
      <c r="P42" s="33" t="s">
        <v>153</v>
      </c>
      <c r="Q42" s="33" t="s">
        <v>147</v>
      </c>
    </row>
    <row r="43" spans="1:17" ht="22" customHeight="1" x14ac:dyDescent="0.2">
      <c r="A43" s="32">
        <v>431</v>
      </c>
      <c r="B43" s="33" t="s">
        <v>163</v>
      </c>
      <c r="C43" s="33" t="s">
        <v>14</v>
      </c>
      <c r="D43" s="33" t="s">
        <v>170</v>
      </c>
      <c r="E43" s="33" t="s">
        <v>145</v>
      </c>
      <c r="F43" s="33" t="s">
        <v>168</v>
      </c>
      <c r="G43" s="33" t="s">
        <v>146</v>
      </c>
      <c r="H43" s="34">
        <v>1.5</v>
      </c>
      <c r="I43" s="35">
        <v>54</v>
      </c>
      <c r="J43" s="36">
        <v>4</v>
      </c>
      <c r="K43" s="35">
        <v>6</v>
      </c>
      <c r="L43" s="35">
        <v>18</v>
      </c>
      <c r="M43" s="37">
        <v>0.33333333333333331</v>
      </c>
      <c r="N43" s="38">
        <v>0</v>
      </c>
      <c r="O43" s="38">
        <v>0</v>
      </c>
      <c r="P43" s="33" t="s">
        <v>153</v>
      </c>
      <c r="Q43" s="33" t="s">
        <v>147</v>
      </c>
    </row>
    <row r="44" spans="1:17" ht="22" customHeight="1" x14ac:dyDescent="0.2">
      <c r="A44" s="32">
        <v>432</v>
      </c>
      <c r="B44" s="33" t="s">
        <v>163</v>
      </c>
      <c r="C44" s="33" t="s">
        <v>14</v>
      </c>
      <c r="D44" s="33" t="s">
        <v>170</v>
      </c>
      <c r="E44" s="33" t="s">
        <v>145</v>
      </c>
      <c r="F44" s="33" t="s">
        <v>35</v>
      </c>
      <c r="G44" s="33" t="s">
        <v>146</v>
      </c>
      <c r="H44" s="34">
        <v>1.5</v>
      </c>
      <c r="I44" s="35">
        <v>54</v>
      </c>
      <c r="J44" s="36">
        <v>4</v>
      </c>
      <c r="K44" s="35">
        <v>6</v>
      </c>
      <c r="L44" s="35">
        <v>18</v>
      </c>
      <c r="M44" s="37">
        <v>0.33333333333333331</v>
      </c>
      <c r="N44" s="38">
        <v>0</v>
      </c>
      <c r="O44" s="38">
        <v>0</v>
      </c>
      <c r="P44" s="33" t="s">
        <v>153</v>
      </c>
      <c r="Q44" s="33" t="s">
        <v>147</v>
      </c>
    </row>
    <row r="45" spans="1:17" ht="22" customHeight="1" x14ac:dyDescent="0.2">
      <c r="A45" s="32">
        <v>433</v>
      </c>
      <c r="B45" s="33" t="s">
        <v>163</v>
      </c>
      <c r="C45" s="33" t="s">
        <v>14</v>
      </c>
      <c r="D45" s="33" t="s">
        <v>170</v>
      </c>
      <c r="E45" s="33" t="s">
        <v>145</v>
      </c>
      <c r="F45" s="33" t="s">
        <v>148</v>
      </c>
      <c r="G45" s="33" t="s">
        <v>146</v>
      </c>
      <c r="H45" s="34">
        <v>3</v>
      </c>
      <c r="I45" s="35">
        <v>108</v>
      </c>
      <c r="J45" s="36">
        <v>4</v>
      </c>
      <c r="K45" s="35">
        <v>12</v>
      </c>
      <c r="L45" s="35">
        <v>18</v>
      </c>
      <c r="M45" s="37">
        <v>0.66666666666666663</v>
      </c>
      <c r="N45" s="38">
        <v>0</v>
      </c>
      <c r="O45" s="38">
        <v>0</v>
      </c>
      <c r="P45" s="33" t="s">
        <v>153</v>
      </c>
      <c r="Q45" s="33" t="s">
        <v>147</v>
      </c>
    </row>
    <row r="46" spans="1:17" ht="22" customHeight="1" x14ac:dyDescent="0.2">
      <c r="A46" s="32">
        <v>434</v>
      </c>
      <c r="B46" s="33" t="s">
        <v>163</v>
      </c>
      <c r="C46" s="33" t="s">
        <v>14</v>
      </c>
      <c r="D46" s="33" t="s">
        <v>170</v>
      </c>
      <c r="E46" s="33" t="s">
        <v>145</v>
      </c>
      <c r="F46" s="33" t="s">
        <v>160</v>
      </c>
      <c r="G46" s="33" t="s">
        <v>146</v>
      </c>
      <c r="H46" s="34">
        <v>1</v>
      </c>
      <c r="I46" s="35">
        <v>36</v>
      </c>
      <c r="J46" s="36">
        <v>4</v>
      </c>
      <c r="K46" s="35">
        <v>4</v>
      </c>
      <c r="L46" s="35">
        <v>18</v>
      </c>
      <c r="M46" s="37">
        <v>0.22222222222222221</v>
      </c>
      <c r="N46" s="38">
        <v>0</v>
      </c>
      <c r="O46" s="38">
        <v>0</v>
      </c>
      <c r="P46" s="33" t="s">
        <v>153</v>
      </c>
      <c r="Q46" s="33" t="s">
        <v>147</v>
      </c>
    </row>
    <row r="47" spans="1:17" ht="22" customHeight="1" x14ac:dyDescent="0.2">
      <c r="A47" s="32">
        <v>435</v>
      </c>
      <c r="B47" s="33" t="s">
        <v>163</v>
      </c>
      <c r="C47" s="33" t="s">
        <v>14</v>
      </c>
      <c r="D47" s="33" t="s">
        <v>170</v>
      </c>
      <c r="E47" s="33" t="s">
        <v>145</v>
      </c>
      <c r="F47" s="33" t="s">
        <v>161</v>
      </c>
      <c r="G47" s="33" t="s">
        <v>146</v>
      </c>
      <c r="H47" s="34">
        <v>1</v>
      </c>
      <c r="I47" s="35">
        <v>36</v>
      </c>
      <c r="J47" s="36">
        <v>4</v>
      </c>
      <c r="K47" s="35">
        <v>4</v>
      </c>
      <c r="L47" s="35">
        <v>18</v>
      </c>
      <c r="M47" s="37">
        <v>0.22222222222222221</v>
      </c>
      <c r="N47" s="38">
        <v>0</v>
      </c>
      <c r="O47" s="38">
        <v>0</v>
      </c>
      <c r="P47" s="33" t="s">
        <v>153</v>
      </c>
      <c r="Q47" s="33" t="s">
        <v>147</v>
      </c>
    </row>
    <row r="48" spans="1:17" ht="22" customHeight="1" x14ac:dyDescent="0.2">
      <c r="A48" s="32">
        <v>500</v>
      </c>
      <c r="B48" s="33" t="s">
        <v>19</v>
      </c>
      <c r="C48" s="33" t="s">
        <v>19</v>
      </c>
      <c r="D48" s="33" t="s">
        <v>171</v>
      </c>
      <c r="E48" s="33" t="s">
        <v>145</v>
      </c>
      <c r="F48" s="33" t="s">
        <v>31</v>
      </c>
      <c r="G48" s="33" t="s">
        <v>146</v>
      </c>
      <c r="H48" s="34">
        <v>4</v>
      </c>
      <c r="I48" s="35">
        <v>144</v>
      </c>
      <c r="J48" s="36">
        <v>5</v>
      </c>
      <c r="K48" s="35">
        <v>20</v>
      </c>
      <c r="L48" s="35">
        <v>18</v>
      </c>
      <c r="M48" s="37">
        <v>1.1111111111111112</v>
      </c>
      <c r="N48" s="38">
        <v>0</v>
      </c>
      <c r="O48" s="38">
        <v>0</v>
      </c>
      <c r="P48" s="33" t="s">
        <v>172</v>
      </c>
      <c r="Q48" s="33" t="s">
        <v>147</v>
      </c>
    </row>
    <row r="49" spans="1:17" ht="22" customHeight="1" x14ac:dyDescent="0.2">
      <c r="A49" s="32">
        <v>501</v>
      </c>
      <c r="B49" s="33" t="s">
        <v>19</v>
      </c>
      <c r="C49" s="33" t="s">
        <v>19</v>
      </c>
      <c r="D49" s="33" t="s">
        <v>171</v>
      </c>
      <c r="E49" s="33" t="s">
        <v>145</v>
      </c>
      <c r="F49" s="33" t="s">
        <v>154</v>
      </c>
      <c r="G49" s="33" t="s">
        <v>146</v>
      </c>
      <c r="H49" s="34">
        <v>3</v>
      </c>
      <c r="I49" s="35">
        <v>108</v>
      </c>
      <c r="J49" s="36">
        <v>5</v>
      </c>
      <c r="K49" s="35">
        <v>15</v>
      </c>
      <c r="L49" s="35">
        <v>18</v>
      </c>
      <c r="M49" s="37">
        <v>0.83333333333333337</v>
      </c>
      <c r="N49" s="38">
        <v>0</v>
      </c>
      <c r="O49" s="38">
        <v>0</v>
      </c>
      <c r="P49" s="33" t="s">
        <v>172</v>
      </c>
      <c r="Q49" s="33" t="s">
        <v>147</v>
      </c>
    </row>
    <row r="50" spans="1:17" ht="22" customHeight="1" x14ac:dyDescent="0.2">
      <c r="A50" s="32">
        <v>502</v>
      </c>
      <c r="B50" s="33" t="s">
        <v>19</v>
      </c>
      <c r="C50" s="33" t="s">
        <v>19</v>
      </c>
      <c r="D50" s="33" t="s">
        <v>171</v>
      </c>
      <c r="E50" s="33" t="s">
        <v>145</v>
      </c>
      <c r="F50" s="33" t="s">
        <v>173</v>
      </c>
      <c r="G50" s="33" t="s">
        <v>146</v>
      </c>
      <c r="H50" s="34">
        <v>5.5</v>
      </c>
      <c r="I50" s="35">
        <v>198</v>
      </c>
      <c r="J50" s="36">
        <v>5</v>
      </c>
      <c r="K50" s="35">
        <v>27.5</v>
      </c>
      <c r="L50" s="35">
        <v>18</v>
      </c>
      <c r="M50" s="37">
        <v>1.5277777777777777</v>
      </c>
      <c r="N50" s="38">
        <v>0</v>
      </c>
      <c r="O50" s="38">
        <v>0</v>
      </c>
      <c r="P50" s="33" t="s">
        <v>172</v>
      </c>
      <c r="Q50" s="33" t="s">
        <v>147</v>
      </c>
    </row>
    <row r="51" spans="1:17" ht="22" customHeight="1" x14ac:dyDescent="0.2">
      <c r="A51" s="32">
        <v>503</v>
      </c>
      <c r="B51" s="33" t="s">
        <v>19</v>
      </c>
      <c r="C51" s="33" t="s">
        <v>19</v>
      </c>
      <c r="D51" s="33" t="s">
        <v>171</v>
      </c>
      <c r="E51" s="33" t="s">
        <v>145</v>
      </c>
      <c r="F51" s="33" t="s">
        <v>174</v>
      </c>
      <c r="G51" s="33" t="s">
        <v>146</v>
      </c>
      <c r="H51" s="34">
        <v>1.5</v>
      </c>
      <c r="I51" s="35">
        <v>54</v>
      </c>
      <c r="J51" s="36">
        <v>5</v>
      </c>
      <c r="K51" s="35">
        <v>7.5</v>
      </c>
      <c r="L51" s="35">
        <v>18</v>
      </c>
      <c r="M51" s="37">
        <v>0.41666666666666669</v>
      </c>
      <c r="N51" s="38">
        <v>0</v>
      </c>
      <c r="O51" s="38">
        <v>0</v>
      </c>
      <c r="P51" s="33" t="s">
        <v>172</v>
      </c>
      <c r="Q51" s="33" t="s">
        <v>147</v>
      </c>
    </row>
    <row r="52" spans="1:17" ht="22" customHeight="1" x14ac:dyDescent="0.2">
      <c r="A52" s="32">
        <v>504</v>
      </c>
      <c r="B52" s="33" t="s">
        <v>19</v>
      </c>
      <c r="C52" s="33" t="s">
        <v>19</v>
      </c>
      <c r="D52" s="33" t="s">
        <v>171</v>
      </c>
      <c r="E52" s="33" t="s">
        <v>145</v>
      </c>
      <c r="F52" s="33" t="s">
        <v>32</v>
      </c>
      <c r="G52" s="33" t="s">
        <v>146</v>
      </c>
      <c r="H52" s="34">
        <v>4</v>
      </c>
      <c r="I52" s="35">
        <v>144</v>
      </c>
      <c r="J52" s="36">
        <v>5</v>
      </c>
      <c r="K52" s="35">
        <v>20</v>
      </c>
      <c r="L52" s="35">
        <v>18</v>
      </c>
      <c r="M52" s="37">
        <v>1.1111111111111112</v>
      </c>
      <c r="N52" s="38">
        <v>0</v>
      </c>
      <c r="O52" s="38">
        <v>0</v>
      </c>
      <c r="P52" s="33" t="s">
        <v>172</v>
      </c>
      <c r="Q52" s="33" t="s">
        <v>147</v>
      </c>
    </row>
    <row r="53" spans="1:17" ht="22" customHeight="1" x14ac:dyDescent="0.2">
      <c r="A53" s="32">
        <v>505</v>
      </c>
      <c r="B53" s="33" t="s">
        <v>19</v>
      </c>
      <c r="C53" s="33" t="s">
        <v>19</v>
      </c>
      <c r="D53" s="33" t="s">
        <v>171</v>
      </c>
      <c r="E53" s="33" t="s">
        <v>145</v>
      </c>
      <c r="F53" s="33" t="s">
        <v>168</v>
      </c>
      <c r="G53" s="33" t="s">
        <v>146</v>
      </c>
      <c r="H53" s="34">
        <v>3</v>
      </c>
      <c r="I53" s="35">
        <v>108</v>
      </c>
      <c r="J53" s="36">
        <v>5</v>
      </c>
      <c r="K53" s="35">
        <v>15</v>
      </c>
      <c r="L53" s="35">
        <v>18</v>
      </c>
      <c r="M53" s="37">
        <v>0.83333333333333337</v>
      </c>
      <c r="N53" s="38">
        <v>0</v>
      </c>
      <c r="O53" s="38">
        <v>0</v>
      </c>
      <c r="P53" s="33" t="s">
        <v>172</v>
      </c>
      <c r="Q53" s="33" t="s">
        <v>147</v>
      </c>
    </row>
    <row r="54" spans="1:17" ht="22" customHeight="1" x14ac:dyDescent="0.2">
      <c r="A54" s="32">
        <v>506</v>
      </c>
      <c r="B54" s="33" t="s">
        <v>19</v>
      </c>
      <c r="C54" s="33" t="s">
        <v>19</v>
      </c>
      <c r="D54" s="33" t="s">
        <v>171</v>
      </c>
      <c r="E54" s="33" t="s">
        <v>145</v>
      </c>
      <c r="F54" s="33" t="s">
        <v>167</v>
      </c>
      <c r="G54" s="33" t="s">
        <v>146</v>
      </c>
      <c r="H54" s="34">
        <v>1.5</v>
      </c>
      <c r="I54" s="35">
        <v>54</v>
      </c>
      <c r="J54" s="36">
        <v>5</v>
      </c>
      <c r="K54" s="35">
        <v>7.5</v>
      </c>
      <c r="L54" s="35">
        <v>18</v>
      </c>
      <c r="M54" s="37">
        <v>0.41666666666666669</v>
      </c>
      <c r="N54" s="38">
        <v>0</v>
      </c>
      <c r="O54" s="38">
        <v>0</v>
      </c>
      <c r="P54" s="33" t="s">
        <v>172</v>
      </c>
      <c r="Q54" s="33" t="s">
        <v>147</v>
      </c>
    </row>
    <row r="55" spans="1:17" ht="22" customHeight="1" x14ac:dyDescent="0.2">
      <c r="A55" s="32">
        <v>507</v>
      </c>
      <c r="B55" s="33" t="s">
        <v>19</v>
      </c>
      <c r="C55" s="33" t="s">
        <v>19</v>
      </c>
      <c r="D55" s="33" t="s">
        <v>171</v>
      </c>
      <c r="E55" s="33" t="s">
        <v>145</v>
      </c>
      <c r="F55" s="33" t="s">
        <v>148</v>
      </c>
      <c r="G55" s="33" t="s">
        <v>146</v>
      </c>
      <c r="H55" s="34">
        <v>2</v>
      </c>
      <c r="I55" s="35">
        <v>72</v>
      </c>
      <c r="J55" s="36">
        <v>5</v>
      </c>
      <c r="K55" s="35">
        <v>10</v>
      </c>
      <c r="L55" s="35">
        <v>18</v>
      </c>
      <c r="M55" s="37">
        <v>0.55555555555555558</v>
      </c>
      <c r="N55" s="38">
        <v>0</v>
      </c>
      <c r="O55" s="38">
        <v>0</v>
      </c>
      <c r="P55" s="33" t="s">
        <v>172</v>
      </c>
      <c r="Q55" s="33" t="s">
        <v>147</v>
      </c>
    </row>
    <row r="56" spans="1:17" ht="22" customHeight="1" x14ac:dyDescent="0.2">
      <c r="A56" s="32">
        <v>508</v>
      </c>
      <c r="B56" s="33" t="s">
        <v>19</v>
      </c>
      <c r="C56" s="33" t="s">
        <v>19</v>
      </c>
      <c r="D56" s="33" t="s">
        <v>171</v>
      </c>
      <c r="E56" s="33" t="s">
        <v>145</v>
      </c>
      <c r="F56" s="33" t="s">
        <v>150</v>
      </c>
      <c r="G56" s="33" t="s">
        <v>146</v>
      </c>
      <c r="H56" s="34">
        <v>0.5</v>
      </c>
      <c r="I56" s="35">
        <v>18</v>
      </c>
      <c r="J56" s="36">
        <v>5</v>
      </c>
      <c r="K56" s="35">
        <v>2.5</v>
      </c>
      <c r="L56" s="35">
        <v>18</v>
      </c>
      <c r="M56" s="37">
        <v>0.1388888888888889</v>
      </c>
      <c r="N56" s="38">
        <v>0</v>
      </c>
      <c r="O56" s="38">
        <v>0</v>
      </c>
      <c r="P56" s="33" t="s">
        <v>172</v>
      </c>
      <c r="Q56" s="33" t="s">
        <v>147</v>
      </c>
    </row>
    <row r="57" spans="1:17" ht="22" customHeight="1" x14ac:dyDescent="0.2">
      <c r="A57" s="32">
        <v>509</v>
      </c>
      <c r="B57" s="33" t="s">
        <v>19</v>
      </c>
      <c r="C57" s="33" t="s">
        <v>19</v>
      </c>
      <c r="D57" s="33" t="s">
        <v>171</v>
      </c>
      <c r="E57" s="33" t="s">
        <v>145</v>
      </c>
      <c r="F57" s="33" t="s">
        <v>175</v>
      </c>
      <c r="G57" s="33" t="s">
        <v>146</v>
      </c>
      <c r="H57" s="34">
        <v>1.5</v>
      </c>
      <c r="I57" s="35">
        <v>54</v>
      </c>
      <c r="J57" s="36">
        <v>5</v>
      </c>
      <c r="K57" s="35">
        <v>7.5</v>
      </c>
      <c r="L57" s="35">
        <v>18</v>
      </c>
      <c r="M57" s="37">
        <v>0.41666666666666669</v>
      </c>
      <c r="N57" s="38">
        <v>0</v>
      </c>
      <c r="O57" s="38">
        <v>0</v>
      </c>
      <c r="P57" s="33" t="s">
        <v>172</v>
      </c>
      <c r="Q57" s="33" t="s">
        <v>147</v>
      </c>
    </row>
    <row r="58" spans="1:17" ht="22" customHeight="1" x14ac:dyDescent="0.2">
      <c r="A58" s="32">
        <v>600</v>
      </c>
      <c r="B58" s="33" t="s">
        <v>19</v>
      </c>
      <c r="C58" s="33" t="s">
        <v>19</v>
      </c>
      <c r="D58" s="33" t="s">
        <v>176</v>
      </c>
      <c r="E58" s="33" t="s">
        <v>145</v>
      </c>
      <c r="F58" s="33" t="s">
        <v>31</v>
      </c>
      <c r="G58" s="33" t="s">
        <v>146</v>
      </c>
      <c r="H58" s="34">
        <v>4</v>
      </c>
      <c r="I58" s="35">
        <v>144</v>
      </c>
      <c r="J58" s="36">
        <v>5</v>
      </c>
      <c r="K58" s="35">
        <v>20</v>
      </c>
      <c r="L58" s="35">
        <v>18</v>
      </c>
      <c r="M58" s="37">
        <v>1.1111111111111112</v>
      </c>
      <c r="N58" s="38">
        <v>0</v>
      </c>
      <c r="O58" s="38">
        <v>0</v>
      </c>
      <c r="P58" s="33" t="s">
        <v>177</v>
      </c>
      <c r="Q58" s="33" t="s">
        <v>147</v>
      </c>
    </row>
    <row r="59" spans="1:17" ht="22" customHeight="1" x14ac:dyDescent="0.2">
      <c r="A59" s="32">
        <v>601</v>
      </c>
      <c r="B59" s="33" t="s">
        <v>19</v>
      </c>
      <c r="C59" s="33" t="s">
        <v>19</v>
      </c>
      <c r="D59" s="33" t="s">
        <v>176</v>
      </c>
      <c r="E59" s="33" t="s">
        <v>145</v>
      </c>
      <c r="F59" s="33" t="s">
        <v>154</v>
      </c>
      <c r="G59" s="33" t="s">
        <v>146</v>
      </c>
      <c r="H59" s="34">
        <v>3</v>
      </c>
      <c r="I59" s="35">
        <v>108</v>
      </c>
      <c r="J59" s="36">
        <v>5</v>
      </c>
      <c r="K59" s="35">
        <v>15</v>
      </c>
      <c r="L59" s="35">
        <v>18</v>
      </c>
      <c r="M59" s="37">
        <v>0.83333333333333337</v>
      </c>
      <c r="N59" s="38">
        <v>0</v>
      </c>
      <c r="O59" s="38">
        <v>0</v>
      </c>
      <c r="P59" s="33" t="s">
        <v>177</v>
      </c>
      <c r="Q59" s="33" t="s">
        <v>147</v>
      </c>
    </row>
    <row r="60" spans="1:17" ht="22" customHeight="1" x14ac:dyDescent="0.2">
      <c r="A60" s="32">
        <v>602</v>
      </c>
      <c r="B60" s="33" t="s">
        <v>19</v>
      </c>
      <c r="C60" s="33" t="s">
        <v>19</v>
      </c>
      <c r="D60" s="33" t="s">
        <v>176</v>
      </c>
      <c r="E60" s="33" t="s">
        <v>145</v>
      </c>
      <c r="F60" s="33" t="s">
        <v>173</v>
      </c>
      <c r="G60" s="33" t="s">
        <v>146</v>
      </c>
      <c r="H60" s="34">
        <v>4.5</v>
      </c>
      <c r="I60" s="35">
        <v>162</v>
      </c>
      <c r="J60" s="36">
        <v>5</v>
      </c>
      <c r="K60" s="35">
        <v>22.5</v>
      </c>
      <c r="L60" s="35">
        <v>18</v>
      </c>
      <c r="M60" s="37">
        <v>1.25</v>
      </c>
      <c r="N60" s="38">
        <v>0</v>
      </c>
      <c r="O60" s="38">
        <v>0</v>
      </c>
      <c r="P60" s="33" t="s">
        <v>177</v>
      </c>
      <c r="Q60" s="33" t="s">
        <v>147</v>
      </c>
    </row>
    <row r="61" spans="1:17" ht="22" customHeight="1" x14ac:dyDescent="0.2">
      <c r="A61" s="32">
        <v>603</v>
      </c>
      <c r="B61" s="33" t="s">
        <v>19</v>
      </c>
      <c r="C61" s="33" t="s">
        <v>19</v>
      </c>
      <c r="D61" s="33" t="s">
        <v>176</v>
      </c>
      <c r="E61" s="33" t="s">
        <v>145</v>
      </c>
      <c r="F61" s="33" t="s">
        <v>178</v>
      </c>
      <c r="G61" s="33" t="s">
        <v>146</v>
      </c>
      <c r="H61" s="34">
        <v>2</v>
      </c>
      <c r="I61" s="35">
        <v>72</v>
      </c>
      <c r="J61" s="36">
        <v>5</v>
      </c>
      <c r="K61" s="35">
        <v>10</v>
      </c>
      <c r="L61" s="35">
        <v>18</v>
      </c>
      <c r="M61" s="37">
        <v>0.55555555555555558</v>
      </c>
      <c r="N61" s="38">
        <v>0</v>
      </c>
      <c r="O61" s="38">
        <v>0</v>
      </c>
      <c r="P61" s="33" t="s">
        <v>177</v>
      </c>
      <c r="Q61" s="33" t="s">
        <v>179</v>
      </c>
    </row>
    <row r="62" spans="1:17" ht="22" customHeight="1" x14ac:dyDescent="0.2">
      <c r="A62" s="39">
        <v>604</v>
      </c>
      <c r="B62" s="40" t="s">
        <v>19</v>
      </c>
      <c r="C62" s="40" t="s">
        <v>19</v>
      </c>
      <c r="D62" s="40" t="s">
        <v>176</v>
      </c>
      <c r="E62" s="40" t="s">
        <v>180</v>
      </c>
      <c r="F62" s="40" t="s">
        <v>181</v>
      </c>
      <c r="G62" s="40" t="s">
        <v>180</v>
      </c>
      <c r="H62" s="34">
        <v>1.5</v>
      </c>
      <c r="I62" s="35">
        <v>54</v>
      </c>
      <c r="J62" s="36">
        <v>0</v>
      </c>
      <c r="K62" s="35">
        <v>0</v>
      </c>
      <c r="L62" s="35">
        <v>18</v>
      </c>
      <c r="M62" s="37">
        <v>0</v>
      </c>
      <c r="N62" s="38">
        <v>0</v>
      </c>
      <c r="O62" s="38">
        <v>0</v>
      </c>
      <c r="P62" s="40" t="s">
        <v>182</v>
      </c>
      <c r="Q62" s="40" t="s">
        <v>183</v>
      </c>
    </row>
    <row r="63" spans="1:17" ht="22" customHeight="1" x14ac:dyDescent="0.2">
      <c r="A63" s="32">
        <v>605</v>
      </c>
      <c r="B63" s="33" t="s">
        <v>19</v>
      </c>
      <c r="C63" s="33" t="s">
        <v>19</v>
      </c>
      <c r="D63" s="33" t="s">
        <v>176</v>
      </c>
      <c r="E63" s="33" t="s">
        <v>145</v>
      </c>
      <c r="F63" s="33" t="s">
        <v>148</v>
      </c>
      <c r="G63" s="33" t="s">
        <v>146</v>
      </c>
      <c r="H63" s="34">
        <v>2</v>
      </c>
      <c r="I63" s="35">
        <v>72</v>
      </c>
      <c r="J63" s="36">
        <v>5</v>
      </c>
      <c r="K63" s="35">
        <v>10</v>
      </c>
      <c r="L63" s="35">
        <v>18</v>
      </c>
      <c r="M63" s="37">
        <v>0.55555555555555558</v>
      </c>
      <c r="N63" s="38">
        <v>0</v>
      </c>
      <c r="O63" s="38">
        <v>0</v>
      </c>
      <c r="P63" s="33" t="s">
        <v>177</v>
      </c>
      <c r="Q63" s="33" t="s">
        <v>147</v>
      </c>
    </row>
    <row r="64" spans="1:17" ht="22" customHeight="1" x14ac:dyDescent="0.2">
      <c r="A64" s="32">
        <v>606</v>
      </c>
      <c r="B64" s="33" t="s">
        <v>19</v>
      </c>
      <c r="C64" s="33" t="s">
        <v>19</v>
      </c>
      <c r="D64" s="33" t="s">
        <v>176</v>
      </c>
      <c r="E64" s="33" t="s">
        <v>145</v>
      </c>
      <c r="F64" s="33" t="s">
        <v>150</v>
      </c>
      <c r="G64" s="33" t="s">
        <v>184</v>
      </c>
      <c r="H64" s="34">
        <v>0.5</v>
      </c>
      <c r="I64" s="35">
        <v>18</v>
      </c>
      <c r="J64" s="36">
        <v>5</v>
      </c>
      <c r="K64" s="35">
        <v>2.5</v>
      </c>
      <c r="L64" s="35">
        <v>18</v>
      </c>
      <c r="M64" s="37">
        <v>0.1388888888888889</v>
      </c>
      <c r="N64" s="38">
        <v>0</v>
      </c>
      <c r="O64" s="38">
        <v>0</v>
      </c>
      <c r="P64" s="33" t="s">
        <v>177</v>
      </c>
      <c r="Q64" s="33" t="s">
        <v>185</v>
      </c>
    </row>
    <row r="65" spans="1:17" ht="22" customHeight="1" x14ac:dyDescent="0.2">
      <c r="A65" s="32">
        <v>650</v>
      </c>
      <c r="B65" s="33" t="s">
        <v>19</v>
      </c>
      <c r="C65" s="33" t="s">
        <v>19</v>
      </c>
      <c r="D65" s="33" t="s">
        <v>22</v>
      </c>
      <c r="E65" s="33" t="s">
        <v>145</v>
      </c>
      <c r="F65" s="33" t="s">
        <v>59</v>
      </c>
      <c r="G65" s="33" t="s">
        <v>146</v>
      </c>
      <c r="H65" s="34">
        <v>4</v>
      </c>
      <c r="I65" s="35">
        <v>144</v>
      </c>
      <c r="J65" s="36">
        <v>4</v>
      </c>
      <c r="K65" s="35">
        <v>16</v>
      </c>
      <c r="L65" s="35">
        <v>18</v>
      </c>
      <c r="M65" s="37">
        <v>0.88888888888888884</v>
      </c>
      <c r="N65" s="38">
        <v>0</v>
      </c>
      <c r="O65" s="38">
        <v>0</v>
      </c>
      <c r="P65" s="33" t="s">
        <v>177</v>
      </c>
      <c r="Q65" s="33" t="s">
        <v>147</v>
      </c>
    </row>
    <row r="66" spans="1:17" ht="22" customHeight="1" x14ac:dyDescent="0.2">
      <c r="A66" s="32">
        <v>651</v>
      </c>
      <c r="B66" s="33" t="s">
        <v>19</v>
      </c>
      <c r="C66" s="33" t="s">
        <v>19</v>
      </c>
      <c r="D66" s="33" t="s">
        <v>22</v>
      </c>
      <c r="E66" s="33" t="s">
        <v>145</v>
      </c>
      <c r="F66" s="33" t="s">
        <v>154</v>
      </c>
      <c r="G66" s="33" t="s">
        <v>146</v>
      </c>
      <c r="H66" s="34">
        <v>3</v>
      </c>
      <c r="I66" s="35">
        <v>108</v>
      </c>
      <c r="J66" s="36">
        <v>4</v>
      </c>
      <c r="K66" s="35">
        <v>12</v>
      </c>
      <c r="L66" s="35">
        <v>18</v>
      </c>
      <c r="M66" s="37">
        <v>0.66666666666666663</v>
      </c>
      <c r="N66" s="38">
        <v>0</v>
      </c>
      <c r="O66" s="38">
        <v>0</v>
      </c>
      <c r="P66" s="33" t="s">
        <v>177</v>
      </c>
      <c r="Q66" s="33" t="s">
        <v>147</v>
      </c>
    </row>
    <row r="67" spans="1:17" ht="22" customHeight="1" x14ac:dyDescent="0.2">
      <c r="A67" s="32">
        <v>652</v>
      </c>
      <c r="B67" s="33" t="s">
        <v>19</v>
      </c>
      <c r="C67" s="33" t="s">
        <v>19</v>
      </c>
      <c r="D67" s="33" t="s">
        <v>22</v>
      </c>
      <c r="E67" s="33" t="s">
        <v>145</v>
      </c>
      <c r="F67" s="33" t="s">
        <v>173</v>
      </c>
      <c r="G67" s="33" t="s">
        <v>146</v>
      </c>
      <c r="H67" s="34">
        <v>4</v>
      </c>
      <c r="I67" s="35">
        <v>144</v>
      </c>
      <c r="J67" s="36">
        <v>4</v>
      </c>
      <c r="K67" s="35">
        <v>16</v>
      </c>
      <c r="L67" s="35">
        <v>18</v>
      </c>
      <c r="M67" s="37">
        <v>0.88888888888888884</v>
      </c>
      <c r="N67" s="38">
        <v>0</v>
      </c>
      <c r="O67" s="38">
        <v>0</v>
      </c>
      <c r="P67" s="33" t="s">
        <v>177</v>
      </c>
      <c r="Q67" s="33" t="s">
        <v>147</v>
      </c>
    </row>
    <row r="68" spans="1:17" ht="22" customHeight="1" x14ac:dyDescent="0.2">
      <c r="A68" s="32">
        <v>653</v>
      </c>
      <c r="B68" s="33" t="s">
        <v>19</v>
      </c>
      <c r="C68" s="33" t="s">
        <v>19</v>
      </c>
      <c r="D68" s="33" t="s">
        <v>22</v>
      </c>
      <c r="E68" s="33" t="s">
        <v>145</v>
      </c>
      <c r="F68" s="33" t="s">
        <v>178</v>
      </c>
      <c r="G68" s="33" t="s">
        <v>146</v>
      </c>
      <c r="H68" s="34">
        <v>2</v>
      </c>
      <c r="I68" s="35">
        <v>72</v>
      </c>
      <c r="J68" s="36">
        <v>4</v>
      </c>
      <c r="K68" s="35">
        <v>8</v>
      </c>
      <c r="L68" s="35">
        <v>18</v>
      </c>
      <c r="M68" s="37">
        <v>0.44444444444444442</v>
      </c>
      <c r="N68" s="38">
        <v>0</v>
      </c>
      <c r="O68" s="38">
        <v>0</v>
      </c>
      <c r="P68" s="33" t="s">
        <v>177</v>
      </c>
      <c r="Q68" s="33" t="s">
        <v>147</v>
      </c>
    </row>
    <row r="69" spans="1:17" ht="22" customHeight="1" x14ac:dyDescent="0.2">
      <c r="A69" s="32">
        <v>654</v>
      </c>
      <c r="B69" s="33" t="s">
        <v>19</v>
      </c>
      <c r="C69" s="33" t="s">
        <v>19</v>
      </c>
      <c r="D69" s="33" t="s">
        <v>22</v>
      </c>
      <c r="E69" s="33" t="s">
        <v>145</v>
      </c>
      <c r="F69" s="33" t="s">
        <v>148</v>
      </c>
      <c r="G69" s="33" t="s">
        <v>146</v>
      </c>
      <c r="H69" s="34">
        <v>2</v>
      </c>
      <c r="I69" s="35">
        <v>72</v>
      </c>
      <c r="J69" s="36">
        <v>4</v>
      </c>
      <c r="K69" s="35">
        <v>8</v>
      </c>
      <c r="L69" s="35">
        <v>18</v>
      </c>
      <c r="M69" s="37">
        <v>0.44444444444444442</v>
      </c>
      <c r="N69" s="38">
        <v>0</v>
      </c>
      <c r="O69" s="38">
        <v>0</v>
      </c>
      <c r="P69" s="33" t="s">
        <v>177</v>
      </c>
      <c r="Q69" s="33" t="s">
        <v>147</v>
      </c>
    </row>
    <row r="70" spans="1:17" ht="22" customHeight="1" x14ac:dyDescent="0.2">
      <c r="A70" s="32">
        <v>655</v>
      </c>
      <c r="B70" s="33" t="s">
        <v>19</v>
      </c>
      <c r="C70" s="33" t="s">
        <v>19</v>
      </c>
      <c r="D70" s="33" t="s">
        <v>22</v>
      </c>
      <c r="E70" s="33" t="s">
        <v>145</v>
      </c>
      <c r="F70" s="33" t="s">
        <v>150</v>
      </c>
      <c r="G70" s="33" t="s">
        <v>184</v>
      </c>
      <c r="H70" s="34">
        <v>0.5</v>
      </c>
      <c r="I70" s="35">
        <v>18</v>
      </c>
      <c r="J70" s="36">
        <v>4</v>
      </c>
      <c r="K70" s="35">
        <v>2</v>
      </c>
      <c r="L70" s="35">
        <v>18</v>
      </c>
      <c r="M70" s="37">
        <v>0.1111111111111111</v>
      </c>
      <c r="N70" s="38">
        <v>0</v>
      </c>
      <c r="O70" s="38">
        <v>0</v>
      </c>
      <c r="P70" s="33" t="s">
        <v>177</v>
      </c>
      <c r="Q70" s="33" t="s">
        <v>185</v>
      </c>
    </row>
    <row r="71" spans="1:17" ht="22" customHeight="1" x14ac:dyDescent="0.2">
      <c r="A71" s="41">
        <v>700</v>
      </c>
      <c r="B71" s="42" t="s">
        <v>19</v>
      </c>
      <c r="C71" s="42" t="s">
        <v>19</v>
      </c>
      <c r="D71" s="42" t="s">
        <v>176</v>
      </c>
      <c r="E71" s="42" t="s">
        <v>186</v>
      </c>
      <c r="F71" s="42" t="s">
        <v>114</v>
      </c>
      <c r="G71" s="42" t="s">
        <v>187</v>
      </c>
      <c r="H71" s="34">
        <v>4</v>
      </c>
      <c r="I71" s="35">
        <v>144</v>
      </c>
      <c r="J71" s="36">
        <v>0</v>
      </c>
      <c r="K71" s="35">
        <v>0</v>
      </c>
      <c r="L71" s="35">
        <v>18</v>
      </c>
      <c r="M71" s="37">
        <v>0</v>
      </c>
      <c r="N71" s="38">
        <v>0</v>
      </c>
      <c r="O71" s="38">
        <v>0</v>
      </c>
      <c r="P71" s="42" t="s">
        <v>177</v>
      </c>
      <c r="Q71" s="42" t="s">
        <v>188</v>
      </c>
    </row>
    <row r="72" spans="1:17" ht="22" customHeight="1" x14ac:dyDescent="0.2">
      <c r="A72" s="41">
        <v>701</v>
      </c>
      <c r="B72" s="42" t="s">
        <v>19</v>
      </c>
      <c r="C72" s="42" t="s">
        <v>19</v>
      </c>
      <c r="D72" s="42" t="s">
        <v>176</v>
      </c>
      <c r="E72" s="42" t="s">
        <v>186</v>
      </c>
      <c r="F72" s="42" t="s">
        <v>189</v>
      </c>
      <c r="G72" s="42" t="s">
        <v>187</v>
      </c>
      <c r="H72" s="34">
        <v>4</v>
      </c>
      <c r="I72" s="35">
        <v>144</v>
      </c>
      <c r="J72" s="36">
        <v>0</v>
      </c>
      <c r="K72" s="35">
        <v>0</v>
      </c>
      <c r="L72" s="35">
        <v>18</v>
      </c>
      <c r="M72" s="37">
        <v>0</v>
      </c>
      <c r="N72" s="38">
        <v>0</v>
      </c>
      <c r="O72" s="38">
        <v>0</v>
      </c>
      <c r="P72" s="42" t="s">
        <v>177</v>
      </c>
      <c r="Q72" s="42" t="s">
        <v>190</v>
      </c>
    </row>
    <row r="73" spans="1:17" ht="22" customHeight="1" x14ac:dyDescent="0.2">
      <c r="A73" s="41">
        <v>702</v>
      </c>
      <c r="B73" s="42" t="s">
        <v>19</v>
      </c>
      <c r="C73" s="42" t="s">
        <v>19</v>
      </c>
      <c r="D73" s="42" t="s">
        <v>176</v>
      </c>
      <c r="E73" s="42" t="s">
        <v>186</v>
      </c>
      <c r="F73" s="42" t="s">
        <v>191</v>
      </c>
      <c r="G73" s="42" t="s">
        <v>187</v>
      </c>
      <c r="H73" s="34">
        <v>4</v>
      </c>
      <c r="I73" s="35">
        <v>144</v>
      </c>
      <c r="J73" s="36">
        <v>0</v>
      </c>
      <c r="K73" s="35">
        <v>0</v>
      </c>
      <c r="L73" s="35">
        <v>18</v>
      </c>
      <c r="M73" s="37">
        <v>0</v>
      </c>
      <c r="N73" s="38">
        <v>0</v>
      </c>
      <c r="O73" s="38">
        <v>0</v>
      </c>
      <c r="P73" s="42" t="s">
        <v>177</v>
      </c>
      <c r="Q73" s="42" t="s">
        <v>192</v>
      </c>
    </row>
    <row r="74" spans="1:17" ht="22" customHeight="1" x14ac:dyDescent="0.2">
      <c r="A74" s="41">
        <v>703</v>
      </c>
      <c r="B74" s="42" t="s">
        <v>19</v>
      </c>
      <c r="C74" s="42" t="s">
        <v>19</v>
      </c>
      <c r="D74" s="42" t="s">
        <v>176</v>
      </c>
      <c r="E74" s="42" t="s">
        <v>186</v>
      </c>
      <c r="F74" s="42" t="s">
        <v>193</v>
      </c>
      <c r="G74" s="42" t="s">
        <v>187</v>
      </c>
      <c r="H74" s="34">
        <v>4</v>
      </c>
      <c r="I74" s="35">
        <v>144</v>
      </c>
      <c r="J74" s="36">
        <v>0</v>
      </c>
      <c r="K74" s="35">
        <v>0</v>
      </c>
      <c r="L74" s="35">
        <v>18</v>
      </c>
      <c r="M74" s="37">
        <v>0</v>
      </c>
      <c r="N74" s="38">
        <v>0</v>
      </c>
      <c r="O74" s="38">
        <v>0</v>
      </c>
      <c r="P74" s="42" t="s">
        <v>177</v>
      </c>
      <c r="Q74" s="42" t="s">
        <v>194</v>
      </c>
    </row>
    <row r="75" spans="1:17" ht="22" customHeight="1" x14ac:dyDescent="0.2">
      <c r="A75" s="41">
        <v>704</v>
      </c>
      <c r="B75" s="42" t="s">
        <v>19</v>
      </c>
      <c r="C75" s="42" t="s">
        <v>19</v>
      </c>
      <c r="D75" s="42" t="s">
        <v>176</v>
      </c>
      <c r="E75" s="42" t="s">
        <v>186</v>
      </c>
      <c r="F75" s="42" t="s">
        <v>195</v>
      </c>
      <c r="G75" s="42" t="s">
        <v>187</v>
      </c>
      <c r="H75" s="34">
        <v>4</v>
      </c>
      <c r="I75" s="35">
        <v>144</v>
      </c>
      <c r="J75" s="36">
        <v>0</v>
      </c>
      <c r="K75" s="35">
        <v>0</v>
      </c>
      <c r="L75" s="35">
        <v>18</v>
      </c>
      <c r="M75" s="37">
        <v>0</v>
      </c>
      <c r="N75" s="38">
        <v>0</v>
      </c>
      <c r="O75" s="38">
        <v>0</v>
      </c>
      <c r="P75" s="42" t="s">
        <v>177</v>
      </c>
      <c r="Q75" s="42" t="s">
        <v>194</v>
      </c>
    </row>
    <row r="76" spans="1:17" ht="22" customHeight="1" x14ac:dyDescent="0.2">
      <c r="A76" s="41">
        <v>705</v>
      </c>
      <c r="B76" s="42" t="s">
        <v>19</v>
      </c>
      <c r="C76" s="42" t="s">
        <v>19</v>
      </c>
      <c r="D76" s="42" t="s">
        <v>176</v>
      </c>
      <c r="E76" s="42" t="s">
        <v>186</v>
      </c>
      <c r="F76" s="42" t="s">
        <v>196</v>
      </c>
      <c r="G76" s="42" t="s">
        <v>187</v>
      </c>
      <c r="H76" s="34">
        <v>4</v>
      </c>
      <c r="I76" s="35">
        <v>144</v>
      </c>
      <c r="J76" s="36">
        <v>0</v>
      </c>
      <c r="K76" s="35">
        <v>0</v>
      </c>
      <c r="L76" s="35">
        <v>18</v>
      </c>
      <c r="M76" s="37">
        <v>0</v>
      </c>
      <c r="N76" s="38">
        <v>0</v>
      </c>
      <c r="O76" s="38">
        <v>0</v>
      </c>
      <c r="P76" s="42" t="s">
        <v>177</v>
      </c>
      <c r="Q76" s="42" t="s">
        <v>194</v>
      </c>
    </row>
    <row r="77" spans="1:17" ht="22" customHeight="1" x14ac:dyDescent="0.2">
      <c r="A77" s="41">
        <v>706</v>
      </c>
      <c r="B77" s="42" t="s">
        <v>19</v>
      </c>
      <c r="C77" s="42" t="s">
        <v>19</v>
      </c>
      <c r="D77" s="42" t="s">
        <v>176</v>
      </c>
      <c r="E77" s="42" t="s">
        <v>186</v>
      </c>
      <c r="F77" s="42" t="s">
        <v>197</v>
      </c>
      <c r="G77" s="42" t="s">
        <v>187</v>
      </c>
      <c r="H77" s="34">
        <v>4</v>
      </c>
      <c r="I77" s="35">
        <v>144</v>
      </c>
      <c r="J77" s="36">
        <v>0</v>
      </c>
      <c r="K77" s="35">
        <v>0</v>
      </c>
      <c r="L77" s="35">
        <v>18</v>
      </c>
      <c r="M77" s="37">
        <v>0</v>
      </c>
      <c r="N77" s="38">
        <v>0</v>
      </c>
      <c r="O77" s="38">
        <v>0</v>
      </c>
      <c r="P77" s="42" t="s">
        <v>177</v>
      </c>
      <c r="Q77" s="42" t="s">
        <v>194</v>
      </c>
    </row>
    <row r="78" spans="1:17" ht="22" customHeight="1" x14ac:dyDescent="0.2">
      <c r="A78" s="41">
        <v>707</v>
      </c>
      <c r="B78" s="42" t="s">
        <v>19</v>
      </c>
      <c r="C78" s="42" t="s">
        <v>19</v>
      </c>
      <c r="D78" s="42" t="s">
        <v>176</v>
      </c>
      <c r="E78" s="42" t="s">
        <v>186</v>
      </c>
      <c r="F78" s="42" t="s">
        <v>32</v>
      </c>
      <c r="G78" s="42" t="s">
        <v>187</v>
      </c>
      <c r="H78" s="34">
        <v>4</v>
      </c>
      <c r="I78" s="35">
        <v>144</v>
      </c>
      <c r="J78" s="36">
        <v>0</v>
      </c>
      <c r="K78" s="35">
        <v>0</v>
      </c>
      <c r="L78" s="35">
        <v>18</v>
      </c>
      <c r="M78" s="37">
        <v>0</v>
      </c>
      <c r="N78" s="38">
        <v>0</v>
      </c>
      <c r="O78" s="38">
        <v>0</v>
      </c>
      <c r="P78" s="42" t="s">
        <v>177</v>
      </c>
      <c r="Q78" s="42" t="s">
        <v>194</v>
      </c>
    </row>
    <row r="79" spans="1:17" ht="22" customHeight="1" x14ac:dyDescent="0.2">
      <c r="A79" s="41">
        <v>708</v>
      </c>
      <c r="B79" s="42" t="s">
        <v>19</v>
      </c>
      <c r="C79" s="42" t="s">
        <v>19</v>
      </c>
      <c r="D79" s="42" t="s">
        <v>176</v>
      </c>
      <c r="E79" s="42" t="s">
        <v>186</v>
      </c>
      <c r="F79" s="42" t="s">
        <v>198</v>
      </c>
      <c r="G79" s="42" t="s">
        <v>187</v>
      </c>
      <c r="H79" s="34">
        <v>4</v>
      </c>
      <c r="I79" s="35">
        <v>144</v>
      </c>
      <c r="J79" s="36">
        <v>0</v>
      </c>
      <c r="K79" s="35">
        <v>0</v>
      </c>
      <c r="L79" s="35">
        <v>18</v>
      </c>
      <c r="M79" s="37">
        <v>0</v>
      </c>
      <c r="N79" s="38">
        <v>0</v>
      </c>
      <c r="O79" s="38">
        <v>0</v>
      </c>
      <c r="P79" s="42" t="s">
        <v>177</v>
      </c>
      <c r="Q79" s="42" t="s">
        <v>194</v>
      </c>
    </row>
    <row r="80" spans="1:17" ht="22" customHeight="1" x14ac:dyDescent="0.2">
      <c r="A80" s="41">
        <v>709</v>
      </c>
      <c r="B80" s="42" t="s">
        <v>19</v>
      </c>
      <c r="C80" s="42" t="s">
        <v>19</v>
      </c>
      <c r="D80" s="42" t="s">
        <v>176</v>
      </c>
      <c r="E80" s="42" t="s">
        <v>186</v>
      </c>
      <c r="F80" s="42" t="s">
        <v>168</v>
      </c>
      <c r="G80" s="42" t="s">
        <v>187</v>
      </c>
      <c r="H80" s="34">
        <v>4</v>
      </c>
      <c r="I80" s="35">
        <v>144</v>
      </c>
      <c r="J80" s="36">
        <v>0</v>
      </c>
      <c r="K80" s="35">
        <v>0</v>
      </c>
      <c r="L80" s="35">
        <v>18</v>
      </c>
      <c r="M80" s="37">
        <v>0</v>
      </c>
      <c r="N80" s="38">
        <v>0</v>
      </c>
      <c r="O80" s="38">
        <v>0</v>
      </c>
      <c r="P80" s="42" t="s">
        <v>177</v>
      </c>
      <c r="Q80" s="42" t="s">
        <v>194</v>
      </c>
    </row>
    <row r="81" spans="1:17" ht="22" customHeight="1" x14ac:dyDescent="0.2">
      <c r="A81" s="41">
        <v>710</v>
      </c>
      <c r="B81" s="42" t="s">
        <v>19</v>
      </c>
      <c r="C81" s="42" t="s">
        <v>19</v>
      </c>
      <c r="D81" s="42" t="s">
        <v>176</v>
      </c>
      <c r="E81" s="42" t="s">
        <v>186</v>
      </c>
      <c r="F81" s="42" t="s">
        <v>167</v>
      </c>
      <c r="G81" s="42" t="s">
        <v>187</v>
      </c>
      <c r="H81" s="34">
        <v>4</v>
      </c>
      <c r="I81" s="35">
        <v>144</v>
      </c>
      <c r="J81" s="36">
        <v>0</v>
      </c>
      <c r="K81" s="35">
        <v>0</v>
      </c>
      <c r="L81" s="35">
        <v>18</v>
      </c>
      <c r="M81" s="37">
        <v>0</v>
      </c>
      <c r="N81" s="38">
        <v>0</v>
      </c>
      <c r="O81" s="38">
        <v>0</v>
      </c>
      <c r="P81" s="42" t="s">
        <v>177</v>
      </c>
      <c r="Q81" s="42" t="s">
        <v>194</v>
      </c>
    </row>
    <row r="82" spans="1:17" ht="22" customHeight="1" x14ac:dyDescent="0.2">
      <c r="A82" s="41">
        <v>711</v>
      </c>
      <c r="B82" s="42" t="s">
        <v>19</v>
      </c>
      <c r="C82" s="42" t="s">
        <v>19</v>
      </c>
      <c r="D82" s="42" t="s">
        <v>176</v>
      </c>
      <c r="E82" s="42" t="s">
        <v>186</v>
      </c>
      <c r="F82" s="42" t="s">
        <v>199</v>
      </c>
      <c r="G82" s="42" t="s">
        <v>187</v>
      </c>
      <c r="H82" s="34">
        <v>4</v>
      </c>
      <c r="I82" s="35">
        <v>144</v>
      </c>
      <c r="J82" s="36">
        <v>0</v>
      </c>
      <c r="K82" s="35">
        <v>0</v>
      </c>
      <c r="L82" s="35">
        <v>18</v>
      </c>
      <c r="M82" s="37">
        <v>0</v>
      </c>
      <c r="N82" s="38">
        <v>0</v>
      </c>
      <c r="O82" s="38">
        <v>0</v>
      </c>
      <c r="P82" s="42" t="s">
        <v>177</v>
      </c>
      <c r="Q82" s="42" t="s">
        <v>194</v>
      </c>
    </row>
    <row r="83" spans="1:17" ht="22" customHeight="1" x14ac:dyDescent="0.2">
      <c r="A83" s="41">
        <v>712</v>
      </c>
      <c r="B83" s="42" t="s">
        <v>19</v>
      </c>
      <c r="C83" s="42" t="s">
        <v>19</v>
      </c>
      <c r="D83" s="42" t="s">
        <v>176</v>
      </c>
      <c r="E83" s="42" t="s">
        <v>186</v>
      </c>
      <c r="F83" s="42" t="s">
        <v>174</v>
      </c>
      <c r="G83" s="42" t="s">
        <v>187</v>
      </c>
      <c r="H83" s="34">
        <v>4</v>
      </c>
      <c r="I83" s="35">
        <v>144</v>
      </c>
      <c r="J83" s="36">
        <v>0</v>
      </c>
      <c r="K83" s="35">
        <v>0</v>
      </c>
      <c r="L83" s="35">
        <v>18</v>
      </c>
      <c r="M83" s="37">
        <v>0</v>
      </c>
      <c r="N83" s="38">
        <v>0</v>
      </c>
      <c r="O83" s="38">
        <v>0</v>
      </c>
      <c r="P83" s="42" t="s">
        <v>177</v>
      </c>
      <c r="Q83" s="42" t="s">
        <v>194</v>
      </c>
    </row>
    <row r="84" spans="1:17" ht="22" customHeight="1" x14ac:dyDescent="0.2">
      <c r="A84" s="41">
        <v>713</v>
      </c>
      <c r="B84" s="42" t="s">
        <v>19</v>
      </c>
      <c r="C84" s="42" t="s">
        <v>19</v>
      </c>
      <c r="D84" s="42" t="s">
        <v>22</v>
      </c>
      <c r="E84" s="42" t="s">
        <v>186</v>
      </c>
      <c r="F84" s="42" t="s">
        <v>114</v>
      </c>
      <c r="G84" s="42" t="s">
        <v>187</v>
      </c>
      <c r="H84" s="34">
        <v>6</v>
      </c>
      <c r="I84" s="35">
        <v>216</v>
      </c>
      <c r="J84" s="36">
        <v>0</v>
      </c>
      <c r="K84" s="35">
        <v>0</v>
      </c>
      <c r="L84" s="35">
        <v>18</v>
      </c>
      <c r="M84" s="37">
        <v>0</v>
      </c>
      <c r="N84" s="38">
        <v>0</v>
      </c>
      <c r="O84" s="38">
        <v>0</v>
      </c>
      <c r="P84" s="42" t="s">
        <v>177</v>
      </c>
      <c r="Q84" s="42" t="s">
        <v>200</v>
      </c>
    </row>
    <row r="85" spans="1:17" ht="22" customHeight="1" x14ac:dyDescent="0.2">
      <c r="A85" s="41">
        <v>714</v>
      </c>
      <c r="B85" s="42" t="s">
        <v>19</v>
      </c>
      <c r="C85" s="42" t="s">
        <v>19</v>
      </c>
      <c r="D85" s="42" t="s">
        <v>22</v>
      </c>
      <c r="E85" s="42" t="s">
        <v>186</v>
      </c>
      <c r="F85" s="42" t="s">
        <v>189</v>
      </c>
      <c r="G85" s="42" t="s">
        <v>187</v>
      </c>
      <c r="H85" s="34">
        <v>6</v>
      </c>
      <c r="I85" s="35">
        <v>216</v>
      </c>
      <c r="J85" s="36">
        <v>0</v>
      </c>
      <c r="K85" s="35">
        <v>0</v>
      </c>
      <c r="L85" s="35">
        <v>18</v>
      </c>
      <c r="M85" s="37">
        <v>0</v>
      </c>
      <c r="N85" s="38">
        <v>0</v>
      </c>
      <c r="O85" s="38">
        <v>0</v>
      </c>
      <c r="P85" s="42" t="s">
        <v>177</v>
      </c>
      <c r="Q85" s="42" t="s">
        <v>201</v>
      </c>
    </row>
    <row r="86" spans="1:17" ht="22" customHeight="1" x14ac:dyDescent="0.2">
      <c r="A86" s="41">
        <v>715</v>
      </c>
      <c r="B86" s="42" t="s">
        <v>19</v>
      </c>
      <c r="C86" s="42" t="s">
        <v>19</v>
      </c>
      <c r="D86" s="42" t="s">
        <v>22</v>
      </c>
      <c r="E86" s="42" t="s">
        <v>186</v>
      </c>
      <c r="F86" s="42" t="s">
        <v>191</v>
      </c>
      <c r="G86" s="42" t="s">
        <v>187</v>
      </c>
      <c r="H86" s="34">
        <v>6</v>
      </c>
      <c r="I86" s="35">
        <v>216</v>
      </c>
      <c r="J86" s="36">
        <v>0</v>
      </c>
      <c r="K86" s="35">
        <v>0</v>
      </c>
      <c r="L86" s="35">
        <v>18</v>
      </c>
      <c r="M86" s="37">
        <v>0</v>
      </c>
      <c r="N86" s="38">
        <v>0</v>
      </c>
      <c r="O86" s="38">
        <v>0</v>
      </c>
      <c r="P86" s="42" t="s">
        <v>177</v>
      </c>
      <c r="Q86" s="42" t="s">
        <v>202</v>
      </c>
    </row>
    <row r="87" spans="1:17" ht="22" customHeight="1" x14ac:dyDescent="0.2">
      <c r="A87" s="41">
        <v>716</v>
      </c>
      <c r="B87" s="42" t="s">
        <v>19</v>
      </c>
      <c r="C87" s="42" t="s">
        <v>19</v>
      </c>
      <c r="D87" s="42" t="s">
        <v>22</v>
      </c>
      <c r="E87" s="42" t="s">
        <v>186</v>
      </c>
      <c r="F87" s="42" t="s">
        <v>193</v>
      </c>
      <c r="G87" s="42" t="s">
        <v>187</v>
      </c>
      <c r="H87" s="34">
        <v>6</v>
      </c>
      <c r="I87" s="35">
        <v>216</v>
      </c>
      <c r="J87" s="36">
        <v>0</v>
      </c>
      <c r="K87" s="35">
        <v>0</v>
      </c>
      <c r="L87" s="35">
        <v>18</v>
      </c>
      <c r="M87" s="37">
        <v>0</v>
      </c>
      <c r="N87" s="38">
        <v>0</v>
      </c>
      <c r="O87" s="38">
        <v>0</v>
      </c>
      <c r="P87" s="42" t="s">
        <v>177</v>
      </c>
      <c r="Q87" s="42" t="s">
        <v>203</v>
      </c>
    </row>
    <row r="88" spans="1:17" ht="22" customHeight="1" x14ac:dyDescent="0.2">
      <c r="A88" s="41">
        <v>717</v>
      </c>
      <c r="B88" s="42" t="s">
        <v>19</v>
      </c>
      <c r="C88" s="42" t="s">
        <v>19</v>
      </c>
      <c r="D88" s="42" t="s">
        <v>22</v>
      </c>
      <c r="E88" s="42" t="s">
        <v>186</v>
      </c>
      <c r="F88" s="42" t="s">
        <v>195</v>
      </c>
      <c r="G88" s="42" t="s">
        <v>187</v>
      </c>
      <c r="H88" s="34">
        <v>6</v>
      </c>
      <c r="I88" s="35">
        <v>216</v>
      </c>
      <c r="J88" s="36">
        <v>0</v>
      </c>
      <c r="K88" s="35">
        <v>0</v>
      </c>
      <c r="L88" s="35">
        <v>18</v>
      </c>
      <c r="M88" s="37">
        <v>0</v>
      </c>
      <c r="N88" s="38">
        <v>0</v>
      </c>
      <c r="O88" s="38">
        <v>0</v>
      </c>
      <c r="P88" s="42" t="s">
        <v>177</v>
      </c>
      <c r="Q88" s="42" t="s">
        <v>203</v>
      </c>
    </row>
    <row r="89" spans="1:17" ht="22" customHeight="1" x14ac:dyDescent="0.2">
      <c r="A89" s="41">
        <v>718</v>
      </c>
      <c r="B89" s="42" t="s">
        <v>19</v>
      </c>
      <c r="C89" s="42" t="s">
        <v>19</v>
      </c>
      <c r="D89" s="42" t="s">
        <v>22</v>
      </c>
      <c r="E89" s="42" t="s">
        <v>186</v>
      </c>
      <c r="F89" s="42" t="s">
        <v>196</v>
      </c>
      <c r="G89" s="42" t="s">
        <v>187</v>
      </c>
      <c r="H89" s="34">
        <v>6</v>
      </c>
      <c r="I89" s="35">
        <v>216</v>
      </c>
      <c r="J89" s="36">
        <v>0</v>
      </c>
      <c r="K89" s="35">
        <v>0</v>
      </c>
      <c r="L89" s="35">
        <v>18</v>
      </c>
      <c r="M89" s="37">
        <v>0</v>
      </c>
      <c r="N89" s="38">
        <v>0</v>
      </c>
      <c r="O89" s="38">
        <v>0</v>
      </c>
      <c r="P89" s="42" t="s">
        <v>177</v>
      </c>
      <c r="Q89" s="42" t="s">
        <v>203</v>
      </c>
    </row>
    <row r="90" spans="1:17" ht="22" customHeight="1" x14ac:dyDescent="0.2">
      <c r="A90" s="41">
        <v>719</v>
      </c>
      <c r="B90" s="42" t="s">
        <v>19</v>
      </c>
      <c r="C90" s="42" t="s">
        <v>19</v>
      </c>
      <c r="D90" s="42" t="s">
        <v>22</v>
      </c>
      <c r="E90" s="42" t="s">
        <v>186</v>
      </c>
      <c r="F90" s="42" t="s">
        <v>197</v>
      </c>
      <c r="G90" s="42" t="s">
        <v>187</v>
      </c>
      <c r="H90" s="34">
        <v>6</v>
      </c>
      <c r="I90" s="35">
        <v>216</v>
      </c>
      <c r="J90" s="36">
        <v>0</v>
      </c>
      <c r="K90" s="35">
        <v>0</v>
      </c>
      <c r="L90" s="35">
        <v>18</v>
      </c>
      <c r="M90" s="37">
        <v>0</v>
      </c>
      <c r="N90" s="38">
        <v>0</v>
      </c>
      <c r="O90" s="38">
        <v>0</v>
      </c>
      <c r="P90" s="42" t="s">
        <v>177</v>
      </c>
      <c r="Q90" s="42" t="s">
        <v>203</v>
      </c>
    </row>
    <row r="91" spans="1:17" ht="22" customHeight="1" x14ac:dyDescent="0.2">
      <c r="A91" s="41">
        <v>720</v>
      </c>
      <c r="B91" s="42" t="s">
        <v>19</v>
      </c>
      <c r="C91" s="42" t="s">
        <v>19</v>
      </c>
      <c r="D91" s="42" t="s">
        <v>22</v>
      </c>
      <c r="E91" s="42" t="s">
        <v>186</v>
      </c>
      <c r="F91" s="42" t="s">
        <v>32</v>
      </c>
      <c r="G91" s="42" t="s">
        <v>187</v>
      </c>
      <c r="H91" s="34">
        <v>6</v>
      </c>
      <c r="I91" s="35">
        <v>216</v>
      </c>
      <c r="J91" s="36">
        <v>0</v>
      </c>
      <c r="K91" s="35">
        <v>0</v>
      </c>
      <c r="L91" s="35">
        <v>18</v>
      </c>
      <c r="M91" s="37">
        <v>0</v>
      </c>
      <c r="N91" s="38">
        <v>0</v>
      </c>
      <c r="O91" s="38">
        <v>0</v>
      </c>
      <c r="P91" s="42" t="s">
        <v>177</v>
      </c>
      <c r="Q91" s="42" t="s">
        <v>203</v>
      </c>
    </row>
    <row r="92" spans="1:17" ht="22" customHeight="1" x14ac:dyDescent="0.2">
      <c r="A92" s="41">
        <v>721</v>
      </c>
      <c r="B92" s="42" t="s">
        <v>19</v>
      </c>
      <c r="C92" s="42" t="s">
        <v>19</v>
      </c>
      <c r="D92" s="42" t="s">
        <v>22</v>
      </c>
      <c r="E92" s="42" t="s">
        <v>186</v>
      </c>
      <c r="F92" s="42" t="s">
        <v>198</v>
      </c>
      <c r="G92" s="42" t="s">
        <v>187</v>
      </c>
      <c r="H92" s="34">
        <v>6</v>
      </c>
      <c r="I92" s="35">
        <v>216</v>
      </c>
      <c r="J92" s="36">
        <v>0</v>
      </c>
      <c r="K92" s="35">
        <v>0</v>
      </c>
      <c r="L92" s="35">
        <v>18</v>
      </c>
      <c r="M92" s="37">
        <v>0</v>
      </c>
      <c r="N92" s="38">
        <v>0</v>
      </c>
      <c r="O92" s="38">
        <v>0</v>
      </c>
      <c r="P92" s="42" t="s">
        <v>177</v>
      </c>
      <c r="Q92" s="42" t="s">
        <v>203</v>
      </c>
    </row>
    <row r="93" spans="1:17" ht="22" customHeight="1" x14ac:dyDescent="0.2">
      <c r="A93" s="41">
        <v>722</v>
      </c>
      <c r="B93" s="42" t="s">
        <v>19</v>
      </c>
      <c r="C93" s="42" t="s">
        <v>19</v>
      </c>
      <c r="D93" s="42" t="s">
        <v>22</v>
      </c>
      <c r="E93" s="42" t="s">
        <v>186</v>
      </c>
      <c r="F93" s="42" t="s">
        <v>168</v>
      </c>
      <c r="G93" s="42" t="s">
        <v>187</v>
      </c>
      <c r="H93" s="34">
        <v>6</v>
      </c>
      <c r="I93" s="35">
        <v>216</v>
      </c>
      <c r="J93" s="36">
        <v>0</v>
      </c>
      <c r="K93" s="35">
        <v>0</v>
      </c>
      <c r="L93" s="35">
        <v>18</v>
      </c>
      <c r="M93" s="37">
        <v>0</v>
      </c>
      <c r="N93" s="38">
        <v>0</v>
      </c>
      <c r="O93" s="38">
        <v>0</v>
      </c>
      <c r="P93" s="42" t="s">
        <v>177</v>
      </c>
      <c r="Q93" s="42" t="s">
        <v>203</v>
      </c>
    </row>
    <row r="94" spans="1:17" ht="22" customHeight="1" x14ac:dyDescent="0.2">
      <c r="A94" s="41">
        <v>723</v>
      </c>
      <c r="B94" s="42" t="s">
        <v>19</v>
      </c>
      <c r="C94" s="42" t="s">
        <v>19</v>
      </c>
      <c r="D94" s="42" t="s">
        <v>22</v>
      </c>
      <c r="E94" s="42" t="s">
        <v>186</v>
      </c>
      <c r="F94" s="42" t="s">
        <v>167</v>
      </c>
      <c r="G94" s="42" t="s">
        <v>187</v>
      </c>
      <c r="H94" s="34">
        <v>6</v>
      </c>
      <c r="I94" s="35">
        <v>216</v>
      </c>
      <c r="J94" s="36">
        <v>0</v>
      </c>
      <c r="K94" s="35">
        <v>0</v>
      </c>
      <c r="L94" s="35">
        <v>18</v>
      </c>
      <c r="M94" s="37">
        <v>0</v>
      </c>
      <c r="N94" s="38">
        <v>0</v>
      </c>
      <c r="O94" s="38">
        <v>0</v>
      </c>
      <c r="P94" s="42" t="s">
        <v>177</v>
      </c>
      <c r="Q94" s="42" t="s">
        <v>203</v>
      </c>
    </row>
    <row r="95" spans="1:17" ht="22" customHeight="1" x14ac:dyDescent="0.2">
      <c r="A95" s="41">
        <v>724</v>
      </c>
      <c r="B95" s="42" t="s">
        <v>19</v>
      </c>
      <c r="C95" s="42" t="s">
        <v>19</v>
      </c>
      <c r="D95" s="42" t="s">
        <v>22</v>
      </c>
      <c r="E95" s="42" t="s">
        <v>186</v>
      </c>
      <c r="F95" s="42" t="s">
        <v>199</v>
      </c>
      <c r="G95" s="42" t="s">
        <v>187</v>
      </c>
      <c r="H95" s="34">
        <v>6</v>
      </c>
      <c r="I95" s="35">
        <v>216</v>
      </c>
      <c r="J95" s="36">
        <v>0</v>
      </c>
      <c r="K95" s="35">
        <v>0</v>
      </c>
      <c r="L95" s="35">
        <v>18</v>
      </c>
      <c r="M95" s="37">
        <v>0</v>
      </c>
      <c r="N95" s="38">
        <v>0</v>
      </c>
      <c r="O95" s="38">
        <v>0</v>
      </c>
      <c r="P95" s="42" t="s">
        <v>177</v>
      </c>
      <c r="Q95" s="42" t="s">
        <v>203</v>
      </c>
    </row>
    <row r="96" spans="1:17" ht="22" customHeight="1" x14ac:dyDescent="0.2">
      <c r="A96" s="41">
        <v>725</v>
      </c>
      <c r="B96" s="42" t="s">
        <v>19</v>
      </c>
      <c r="C96" s="42" t="s">
        <v>19</v>
      </c>
      <c r="D96" s="42" t="s">
        <v>22</v>
      </c>
      <c r="E96" s="42" t="s">
        <v>186</v>
      </c>
      <c r="F96" s="42" t="s">
        <v>174</v>
      </c>
      <c r="G96" s="42" t="s">
        <v>187</v>
      </c>
      <c r="H96" s="34">
        <v>6</v>
      </c>
      <c r="I96" s="35">
        <v>216</v>
      </c>
      <c r="J96" s="36">
        <v>0</v>
      </c>
      <c r="K96" s="35">
        <v>0</v>
      </c>
      <c r="L96" s="35">
        <v>18</v>
      </c>
      <c r="M96" s="37">
        <v>0</v>
      </c>
      <c r="N96" s="38">
        <v>0</v>
      </c>
      <c r="O96" s="38">
        <v>0</v>
      </c>
      <c r="P96" s="42" t="s">
        <v>177</v>
      </c>
      <c r="Q96" s="42" t="s">
        <v>203</v>
      </c>
    </row>
  </sheetData>
  <autoFilter ref="A1:Q96" xr:uid="{3E0C0FBB-6B79-DE42-8E19-62AEF1886DA7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A9FE-796C-444A-9862-E78DDAC054C8}">
  <dimension ref="A1:X252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43" sqref="E43"/>
    </sheetView>
  </sheetViews>
  <sheetFormatPr baseColWidth="10" defaultRowHeight="16" x14ac:dyDescent="0.2"/>
  <cols>
    <col min="1" max="1" width="5.83203125" customWidth="1"/>
    <col min="2" max="2" width="25.6640625" customWidth="1"/>
    <col min="3" max="3" width="21" customWidth="1"/>
    <col min="4" max="4" width="16.33203125" customWidth="1"/>
    <col min="5" max="5" width="40.83203125" customWidth="1"/>
    <col min="6" max="6" width="25.6640625" customWidth="1"/>
    <col min="7" max="7" width="32.6640625" customWidth="1"/>
    <col min="8" max="8" width="21" customWidth="1"/>
    <col min="9" max="9" width="32.6640625" customWidth="1"/>
    <col min="10" max="10" width="25.6640625" customWidth="1"/>
    <col min="11" max="11" width="23.33203125" customWidth="1"/>
    <col min="12" max="12" width="14" customWidth="1"/>
    <col min="13" max="13" width="16.33203125" customWidth="1"/>
    <col min="14" max="14" width="9.33203125" customWidth="1"/>
    <col min="15" max="15" width="16.33203125" customWidth="1"/>
    <col min="16" max="17" width="14" customWidth="1"/>
    <col min="18" max="18" width="15.1640625" customWidth="1"/>
    <col min="19" max="19" width="11.6640625" customWidth="1"/>
    <col min="20" max="20" width="18.6640625" customWidth="1"/>
    <col min="21" max="21" width="11.6640625" customWidth="1"/>
    <col min="22" max="22" width="16.33203125" customWidth="1"/>
    <col min="23" max="23" width="18.6640625" customWidth="1"/>
    <col min="24" max="24" width="58.33203125" customWidth="1"/>
  </cols>
  <sheetData>
    <row r="1" spans="1:24" x14ac:dyDescent="0.2">
      <c r="A1" s="22" t="s">
        <v>783</v>
      </c>
    </row>
    <row r="2" spans="1:24" x14ac:dyDescent="0.2">
      <c r="A2" s="271" t="s">
        <v>835</v>
      </c>
    </row>
    <row r="4" spans="1:24" x14ac:dyDescent="0.2">
      <c r="A4" s="272" t="s">
        <v>230</v>
      </c>
      <c r="B4" s="273" t="s">
        <v>231</v>
      </c>
      <c r="C4" s="273" t="s">
        <v>232</v>
      </c>
      <c r="D4" s="273" t="s">
        <v>233</v>
      </c>
      <c r="E4" s="273" t="s">
        <v>234</v>
      </c>
      <c r="F4" s="273" t="s">
        <v>235</v>
      </c>
      <c r="G4" s="273" t="s">
        <v>236</v>
      </c>
      <c r="H4" s="356" t="s">
        <v>784</v>
      </c>
      <c r="I4" s="356" t="s">
        <v>50</v>
      </c>
      <c r="J4" s="273" t="s">
        <v>237</v>
      </c>
      <c r="K4" s="273" t="s">
        <v>2</v>
      </c>
      <c r="L4" s="273" t="s">
        <v>238</v>
      </c>
      <c r="M4" s="273" t="s">
        <v>239</v>
      </c>
      <c r="N4" s="273" t="s">
        <v>240</v>
      </c>
      <c r="O4" s="273" t="s">
        <v>241</v>
      </c>
      <c r="P4" s="273" t="s">
        <v>242</v>
      </c>
      <c r="Q4" s="273" t="s">
        <v>243</v>
      </c>
      <c r="R4" s="273" t="s">
        <v>244</v>
      </c>
      <c r="S4" s="273" t="s">
        <v>245</v>
      </c>
      <c r="T4" s="273" t="s">
        <v>246</v>
      </c>
      <c r="U4" s="273" t="s">
        <v>247</v>
      </c>
      <c r="V4" s="273" t="s">
        <v>248</v>
      </c>
      <c r="W4" s="273" t="s">
        <v>249</v>
      </c>
      <c r="X4" s="274" t="s">
        <v>250</v>
      </c>
    </row>
    <row r="5" spans="1:24" x14ac:dyDescent="0.2">
      <c r="A5" s="275">
        <v>1</v>
      </c>
      <c r="B5" s="276" t="s">
        <v>251</v>
      </c>
      <c r="C5" s="276" t="s">
        <v>252</v>
      </c>
      <c r="D5" s="276" t="s">
        <v>253</v>
      </c>
      <c r="E5" s="276" t="s">
        <v>254</v>
      </c>
      <c r="F5" s="276" t="s">
        <v>255</v>
      </c>
      <c r="G5" s="276" t="s">
        <v>256</v>
      </c>
      <c r="H5" s="324" t="s">
        <v>785</v>
      </c>
      <c r="I5" s="276"/>
      <c r="J5" s="276" t="s">
        <v>257</v>
      </c>
      <c r="K5" s="276" t="s">
        <v>255</v>
      </c>
      <c r="L5" s="276" t="s">
        <v>258</v>
      </c>
      <c r="M5" s="277">
        <v>45170</v>
      </c>
      <c r="N5" s="278">
        <v>3.3</v>
      </c>
      <c r="O5" s="279">
        <v>7400</v>
      </c>
      <c r="P5" s="279">
        <v>2500</v>
      </c>
      <c r="Q5" s="279">
        <v>500</v>
      </c>
      <c r="R5" s="279"/>
      <c r="S5" s="279"/>
      <c r="T5" s="279">
        <v>10400</v>
      </c>
      <c r="U5" s="280">
        <v>1</v>
      </c>
      <c r="V5" s="276" t="s">
        <v>259</v>
      </c>
      <c r="W5" s="276">
        <v>200</v>
      </c>
      <c r="X5" s="281" t="s">
        <v>260</v>
      </c>
    </row>
    <row r="6" spans="1:24" x14ac:dyDescent="0.2">
      <c r="A6" s="275">
        <v>2</v>
      </c>
      <c r="B6" s="276" t="s">
        <v>261</v>
      </c>
      <c r="C6" s="276" t="s">
        <v>262</v>
      </c>
      <c r="D6" s="276" t="s">
        <v>253</v>
      </c>
      <c r="E6" s="276" t="s">
        <v>254</v>
      </c>
      <c r="F6" s="276" t="s">
        <v>255</v>
      </c>
      <c r="G6" s="276" t="s">
        <v>256</v>
      </c>
      <c r="H6" s="324" t="s">
        <v>785</v>
      </c>
      <c r="I6" s="276"/>
      <c r="J6" s="276" t="s">
        <v>257</v>
      </c>
      <c r="K6" s="276" t="s">
        <v>255</v>
      </c>
      <c r="L6" s="276" t="s">
        <v>258</v>
      </c>
      <c r="M6" s="277">
        <v>42614</v>
      </c>
      <c r="N6" s="278">
        <v>10.3</v>
      </c>
      <c r="O6" s="279">
        <v>9000</v>
      </c>
      <c r="P6" s="279">
        <v>2500</v>
      </c>
      <c r="Q6" s="279">
        <v>500</v>
      </c>
      <c r="R6" s="279"/>
      <c r="S6" s="279"/>
      <c r="T6" s="279">
        <v>12000</v>
      </c>
      <c r="U6" s="280">
        <v>1</v>
      </c>
      <c r="V6" s="276" t="s">
        <v>263</v>
      </c>
      <c r="W6" s="276">
        <v>400</v>
      </c>
      <c r="X6" s="281" t="s">
        <v>260</v>
      </c>
    </row>
    <row r="7" spans="1:24" x14ac:dyDescent="0.2">
      <c r="A7" s="275">
        <v>3</v>
      </c>
      <c r="B7" s="276" t="s">
        <v>264</v>
      </c>
      <c r="C7" s="276" t="s">
        <v>265</v>
      </c>
      <c r="D7" s="276" t="s">
        <v>253</v>
      </c>
      <c r="E7" s="276" t="s">
        <v>254</v>
      </c>
      <c r="F7" s="276" t="s">
        <v>255</v>
      </c>
      <c r="G7" s="276" t="s">
        <v>256</v>
      </c>
      <c r="H7" s="324" t="s">
        <v>785</v>
      </c>
      <c r="I7" s="276"/>
      <c r="J7" s="276" t="s">
        <v>257</v>
      </c>
      <c r="K7" s="276" t="s">
        <v>255</v>
      </c>
      <c r="L7" s="276" t="s">
        <v>258</v>
      </c>
      <c r="M7" s="277">
        <v>45536</v>
      </c>
      <c r="N7" s="278">
        <v>2.2999999999999998</v>
      </c>
      <c r="O7" s="279">
        <v>7200</v>
      </c>
      <c r="P7" s="279">
        <v>2500</v>
      </c>
      <c r="Q7" s="279">
        <v>500</v>
      </c>
      <c r="R7" s="279"/>
      <c r="S7" s="279"/>
      <c r="T7" s="279">
        <v>10200</v>
      </c>
      <c r="U7" s="280">
        <v>1</v>
      </c>
      <c r="V7" s="276" t="s">
        <v>263</v>
      </c>
      <c r="W7" s="276">
        <v>200</v>
      </c>
      <c r="X7" s="281" t="s">
        <v>260</v>
      </c>
    </row>
    <row r="8" spans="1:24" x14ac:dyDescent="0.2">
      <c r="A8" s="282">
        <v>4</v>
      </c>
      <c r="B8" s="283" t="s">
        <v>266</v>
      </c>
      <c r="C8" s="283" t="s">
        <v>267</v>
      </c>
      <c r="D8" s="283" t="s">
        <v>253</v>
      </c>
      <c r="E8" s="283" t="s">
        <v>268</v>
      </c>
      <c r="F8" s="283" t="s">
        <v>8</v>
      </c>
      <c r="G8" s="283" t="s">
        <v>269</v>
      </c>
      <c r="H8" s="325" t="s">
        <v>786</v>
      </c>
      <c r="I8" s="283" t="s">
        <v>58</v>
      </c>
      <c r="J8" s="283" t="s">
        <v>270</v>
      </c>
      <c r="K8" s="283" t="s">
        <v>4</v>
      </c>
      <c r="L8" s="283" t="s">
        <v>258</v>
      </c>
      <c r="M8" s="284">
        <v>44440</v>
      </c>
      <c r="N8" s="285">
        <v>5.3</v>
      </c>
      <c r="O8" s="286">
        <v>9000</v>
      </c>
      <c r="P8" s="286">
        <v>2500</v>
      </c>
      <c r="Q8" s="286">
        <v>500</v>
      </c>
      <c r="R8" s="286"/>
      <c r="S8" s="286"/>
      <c r="T8" s="286">
        <v>12000</v>
      </c>
      <c r="U8" s="287">
        <v>1</v>
      </c>
      <c r="V8" s="283" t="s">
        <v>263</v>
      </c>
      <c r="W8" s="283">
        <v>250</v>
      </c>
      <c r="X8" s="288" t="s">
        <v>260</v>
      </c>
    </row>
    <row r="9" spans="1:24" x14ac:dyDescent="0.2">
      <c r="A9" s="289">
        <v>5</v>
      </c>
      <c r="B9" s="290" t="s">
        <v>271</v>
      </c>
      <c r="C9" s="290" t="s">
        <v>272</v>
      </c>
      <c r="D9" s="290" t="s">
        <v>253</v>
      </c>
      <c r="E9" s="290" t="s">
        <v>268</v>
      </c>
      <c r="F9" s="290" t="s">
        <v>8</v>
      </c>
      <c r="G9" s="290" t="s">
        <v>269</v>
      </c>
      <c r="H9" s="326" t="s">
        <v>786</v>
      </c>
      <c r="I9" s="290" t="s">
        <v>58</v>
      </c>
      <c r="J9" s="290" t="s">
        <v>787</v>
      </c>
      <c r="K9" s="290" t="s">
        <v>8</v>
      </c>
      <c r="L9" s="290" t="s">
        <v>258</v>
      </c>
      <c r="M9" s="291">
        <v>45901</v>
      </c>
      <c r="N9" s="292">
        <v>1.3</v>
      </c>
      <c r="O9" s="293">
        <v>10500</v>
      </c>
      <c r="P9" s="293">
        <v>2500</v>
      </c>
      <c r="Q9" s="293">
        <v>500</v>
      </c>
      <c r="R9" s="293"/>
      <c r="S9" s="293"/>
      <c r="T9" s="293">
        <v>13500</v>
      </c>
      <c r="U9" s="294">
        <v>1</v>
      </c>
      <c r="V9" s="290" t="s">
        <v>259</v>
      </c>
      <c r="W9" s="290" t="s">
        <v>273</v>
      </c>
      <c r="X9" s="295" t="s">
        <v>260</v>
      </c>
    </row>
    <row r="10" spans="1:24" x14ac:dyDescent="0.2">
      <c r="A10" s="296">
        <v>6</v>
      </c>
      <c r="B10" s="297" t="s">
        <v>274</v>
      </c>
      <c r="C10" s="297" t="s">
        <v>275</v>
      </c>
      <c r="D10" s="297" t="s">
        <v>253</v>
      </c>
      <c r="E10" s="297" t="s">
        <v>276</v>
      </c>
      <c r="F10" s="297" t="s">
        <v>277</v>
      </c>
      <c r="G10" s="297" t="s">
        <v>278</v>
      </c>
      <c r="H10" s="327" t="s">
        <v>785</v>
      </c>
      <c r="I10" s="297"/>
      <c r="J10" s="297" t="s">
        <v>277</v>
      </c>
      <c r="K10" s="297" t="s">
        <v>277</v>
      </c>
      <c r="L10" s="297" t="s">
        <v>258</v>
      </c>
      <c r="M10" s="298">
        <v>42614</v>
      </c>
      <c r="N10" s="299">
        <v>10.3</v>
      </c>
      <c r="O10" s="300">
        <v>12250</v>
      </c>
      <c r="P10" s="300">
        <v>2500</v>
      </c>
      <c r="Q10" s="300">
        <v>500</v>
      </c>
      <c r="R10" s="300">
        <v>1000</v>
      </c>
      <c r="S10" s="300"/>
      <c r="T10" s="300">
        <v>16250</v>
      </c>
      <c r="U10" s="301">
        <v>1</v>
      </c>
      <c r="V10" s="297" t="s">
        <v>279</v>
      </c>
      <c r="W10" s="297">
        <v>250</v>
      </c>
      <c r="X10" s="302" t="s">
        <v>260</v>
      </c>
    </row>
    <row r="11" spans="1:24" x14ac:dyDescent="0.2">
      <c r="A11" s="289">
        <v>7</v>
      </c>
      <c r="B11" s="290" t="s">
        <v>280</v>
      </c>
      <c r="C11" s="290" t="s">
        <v>281</v>
      </c>
      <c r="D11" s="290" t="s">
        <v>253</v>
      </c>
      <c r="E11" s="290" t="s">
        <v>268</v>
      </c>
      <c r="F11" s="290" t="s">
        <v>8</v>
      </c>
      <c r="G11" s="290" t="s">
        <v>269</v>
      </c>
      <c r="H11" s="326" t="s">
        <v>786</v>
      </c>
      <c r="I11" s="290" t="s">
        <v>58</v>
      </c>
      <c r="J11" s="290" t="s">
        <v>787</v>
      </c>
      <c r="K11" s="290" t="s">
        <v>8</v>
      </c>
      <c r="L11" s="290" t="s">
        <v>258</v>
      </c>
      <c r="M11" s="291">
        <v>45901</v>
      </c>
      <c r="N11" s="292">
        <v>1.3</v>
      </c>
      <c r="O11" s="293">
        <v>8250</v>
      </c>
      <c r="P11" s="293">
        <v>2500</v>
      </c>
      <c r="Q11" s="293">
        <v>500</v>
      </c>
      <c r="R11" s="293"/>
      <c r="S11" s="293"/>
      <c r="T11" s="293">
        <v>11250</v>
      </c>
      <c r="U11" s="294">
        <v>1</v>
      </c>
      <c r="V11" s="290" t="s">
        <v>259</v>
      </c>
      <c r="W11" s="290" t="s">
        <v>273</v>
      </c>
      <c r="X11" s="295" t="s">
        <v>260</v>
      </c>
    </row>
    <row r="12" spans="1:24" x14ac:dyDescent="0.2">
      <c r="A12" s="282">
        <v>8</v>
      </c>
      <c r="B12" s="283" t="s">
        <v>282</v>
      </c>
      <c r="C12" s="283" t="s">
        <v>283</v>
      </c>
      <c r="D12" s="283" t="s">
        <v>253</v>
      </c>
      <c r="E12" s="283" t="s">
        <v>268</v>
      </c>
      <c r="F12" s="283" t="s">
        <v>8</v>
      </c>
      <c r="G12" s="283" t="s">
        <v>269</v>
      </c>
      <c r="H12" s="325" t="s">
        <v>786</v>
      </c>
      <c r="I12" s="283" t="s">
        <v>58</v>
      </c>
      <c r="J12" s="283" t="s">
        <v>284</v>
      </c>
      <c r="K12" s="283" t="s">
        <v>4</v>
      </c>
      <c r="L12" s="283" t="s">
        <v>258</v>
      </c>
      <c r="M12" s="284">
        <v>42614</v>
      </c>
      <c r="N12" s="285">
        <v>10.3</v>
      </c>
      <c r="O12" s="286">
        <v>10250</v>
      </c>
      <c r="P12" s="286">
        <v>2500</v>
      </c>
      <c r="Q12" s="286">
        <v>500</v>
      </c>
      <c r="R12" s="286"/>
      <c r="S12" s="286"/>
      <c r="T12" s="286">
        <v>13250</v>
      </c>
      <c r="U12" s="287">
        <v>1</v>
      </c>
      <c r="V12" s="283" t="s">
        <v>263</v>
      </c>
      <c r="W12" s="283">
        <v>250</v>
      </c>
      <c r="X12" s="288" t="s">
        <v>260</v>
      </c>
    </row>
    <row r="13" spans="1:24" x14ac:dyDescent="0.2">
      <c r="A13" s="289">
        <v>9</v>
      </c>
      <c r="B13" s="290" t="s">
        <v>285</v>
      </c>
      <c r="C13" s="290" t="s">
        <v>286</v>
      </c>
      <c r="D13" s="290" t="s">
        <v>253</v>
      </c>
      <c r="E13" s="290" t="s">
        <v>287</v>
      </c>
      <c r="F13" s="290" t="s">
        <v>8</v>
      </c>
      <c r="G13" s="290" t="s">
        <v>43</v>
      </c>
      <c r="H13" s="326" t="s">
        <v>786</v>
      </c>
      <c r="I13" s="328" t="s">
        <v>836</v>
      </c>
      <c r="J13" s="290" t="s">
        <v>288</v>
      </c>
      <c r="K13" s="290" t="s">
        <v>289</v>
      </c>
      <c r="L13" s="290" t="s">
        <v>258</v>
      </c>
      <c r="M13" s="291">
        <v>35309</v>
      </c>
      <c r="N13" s="292">
        <v>30.3</v>
      </c>
      <c r="O13" s="293">
        <v>9750</v>
      </c>
      <c r="P13" s="293">
        <v>2500</v>
      </c>
      <c r="Q13" s="293">
        <v>500</v>
      </c>
      <c r="R13" s="293"/>
      <c r="S13" s="293">
        <v>1140</v>
      </c>
      <c r="T13" s="293">
        <v>13890</v>
      </c>
      <c r="U13" s="294">
        <v>1</v>
      </c>
      <c r="V13" s="290" t="s">
        <v>263</v>
      </c>
      <c r="W13" s="290">
        <v>250</v>
      </c>
      <c r="X13" s="295" t="s">
        <v>260</v>
      </c>
    </row>
    <row r="14" spans="1:24" x14ac:dyDescent="0.2">
      <c r="A14" s="289">
        <v>10</v>
      </c>
      <c r="B14" s="290" t="s">
        <v>290</v>
      </c>
      <c r="C14" s="290" t="s">
        <v>291</v>
      </c>
      <c r="D14" s="290" t="s">
        <v>253</v>
      </c>
      <c r="E14" s="290" t="s">
        <v>268</v>
      </c>
      <c r="F14" s="290" t="s">
        <v>8</v>
      </c>
      <c r="G14" s="290" t="s">
        <v>269</v>
      </c>
      <c r="H14" s="326" t="s">
        <v>786</v>
      </c>
      <c r="I14" s="290" t="s">
        <v>58</v>
      </c>
      <c r="J14" s="290" t="s">
        <v>292</v>
      </c>
      <c r="K14" s="290" t="s">
        <v>8</v>
      </c>
      <c r="L14" s="290" t="s">
        <v>258</v>
      </c>
      <c r="M14" s="291">
        <v>45536</v>
      </c>
      <c r="N14" s="292">
        <v>2.2999999999999998</v>
      </c>
      <c r="O14" s="293">
        <v>8750</v>
      </c>
      <c r="P14" s="293">
        <v>2500</v>
      </c>
      <c r="Q14" s="293">
        <v>500</v>
      </c>
      <c r="R14" s="293"/>
      <c r="S14" s="293"/>
      <c r="T14" s="293">
        <v>11750</v>
      </c>
      <c r="U14" s="294">
        <v>1</v>
      </c>
      <c r="V14" s="290" t="s">
        <v>263</v>
      </c>
      <c r="W14" s="290">
        <v>250</v>
      </c>
      <c r="X14" s="295" t="s">
        <v>260</v>
      </c>
    </row>
    <row r="15" spans="1:24" x14ac:dyDescent="0.2">
      <c r="A15" s="296">
        <v>11</v>
      </c>
      <c r="B15" s="297" t="s">
        <v>293</v>
      </c>
      <c r="C15" s="297" t="s">
        <v>294</v>
      </c>
      <c r="D15" s="297" t="s">
        <v>253</v>
      </c>
      <c r="E15" s="297" t="s">
        <v>295</v>
      </c>
      <c r="F15" s="297" t="s">
        <v>277</v>
      </c>
      <c r="G15" s="297" t="s">
        <v>296</v>
      </c>
      <c r="H15" s="327" t="s">
        <v>785</v>
      </c>
      <c r="I15" s="297"/>
      <c r="J15" s="297" t="s">
        <v>277</v>
      </c>
      <c r="K15" s="297" t="s">
        <v>277</v>
      </c>
      <c r="L15" s="297" t="s">
        <v>258</v>
      </c>
      <c r="M15" s="298"/>
      <c r="N15" s="299"/>
      <c r="O15" s="300">
        <v>2000</v>
      </c>
      <c r="P15" s="300">
        <v>2500</v>
      </c>
      <c r="Q15" s="300">
        <v>500</v>
      </c>
      <c r="R15" s="300"/>
      <c r="S15" s="300"/>
      <c r="T15" s="300">
        <v>5000</v>
      </c>
      <c r="U15" s="301">
        <v>1</v>
      </c>
      <c r="V15" s="297" t="s">
        <v>263</v>
      </c>
      <c r="W15" s="297" t="s">
        <v>273</v>
      </c>
      <c r="X15" s="302" t="s">
        <v>297</v>
      </c>
    </row>
    <row r="16" spans="1:24" x14ac:dyDescent="0.2">
      <c r="A16" s="296">
        <v>12</v>
      </c>
      <c r="B16" s="297" t="s">
        <v>298</v>
      </c>
      <c r="C16" s="297" t="s">
        <v>299</v>
      </c>
      <c r="D16" s="297" t="s">
        <v>253</v>
      </c>
      <c r="E16" s="297" t="s">
        <v>300</v>
      </c>
      <c r="F16" s="297" t="s">
        <v>277</v>
      </c>
      <c r="G16" s="297" t="s">
        <v>301</v>
      </c>
      <c r="H16" s="327" t="s">
        <v>785</v>
      </c>
      <c r="I16" s="297"/>
      <c r="J16" s="297" t="s">
        <v>277</v>
      </c>
      <c r="K16" s="297" t="s">
        <v>277</v>
      </c>
      <c r="L16" s="297" t="s">
        <v>258</v>
      </c>
      <c r="M16" s="298">
        <v>42283</v>
      </c>
      <c r="N16" s="299">
        <v>11.2</v>
      </c>
      <c r="O16" s="300">
        <v>9500</v>
      </c>
      <c r="P16" s="300">
        <v>2500</v>
      </c>
      <c r="Q16" s="300">
        <v>500</v>
      </c>
      <c r="R16" s="300"/>
      <c r="S16" s="300"/>
      <c r="T16" s="300">
        <v>12500</v>
      </c>
      <c r="U16" s="301">
        <v>1</v>
      </c>
      <c r="V16" s="297" t="s">
        <v>279</v>
      </c>
      <c r="W16" s="297">
        <v>250</v>
      </c>
      <c r="X16" s="302" t="s">
        <v>260</v>
      </c>
    </row>
    <row r="17" spans="1:24" x14ac:dyDescent="0.2">
      <c r="A17" s="296">
        <v>13</v>
      </c>
      <c r="B17" s="297" t="s">
        <v>302</v>
      </c>
      <c r="C17" s="297" t="s">
        <v>303</v>
      </c>
      <c r="D17" s="297" t="s">
        <v>253</v>
      </c>
      <c r="E17" s="297" t="s">
        <v>304</v>
      </c>
      <c r="F17" s="297" t="s">
        <v>277</v>
      </c>
      <c r="G17" s="297" t="s">
        <v>296</v>
      </c>
      <c r="H17" s="327" t="s">
        <v>785</v>
      </c>
      <c r="I17" s="297"/>
      <c r="J17" s="297" t="s">
        <v>277</v>
      </c>
      <c r="K17" s="297" t="s">
        <v>277</v>
      </c>
      <c r="L17" s="297" t="s">
        <v>258</v>
      </c>
      <c r="M17" s="298">
        <v>44867</v>
      </c>
      <c r="N17" s="299">
        <v>4.2</v>
      </c>
      <c r="O17" s="300">
        <v>12250</v>
      </c>
      <c r="P17" s="300">
        <v>2500</v>
      </c>
      <c r="Q17" s="300">
        <v>500</v>
      </c>
      <c r="R17" s="300">
        <v>1000</v>
      </c>
      <c r="S17" s="300"/>
      <c r="T17" s="300">
        <v>16250</v>
      </c>
      <c r="U17" s="301">
        <v>1</v>
      </c>
      <c r="V17" s="297" t="s">
        <v>279</v>
      </c>
      <c r="W17" s="297">
        <v>250</v>
      </c>
      <c r="X17" s="302" t="s">
        <v>260</v>
      </c>
    </row>
    <row r="18" spans="1:24" x14ac:dyDescent="0.2">
      <c r="A18" s="275">
        <v>14</v>
      </c>
      <c r="B18" s="276" t="s">
        <v>305</v>
      </c>
      <c r="C18" s="276" t="s">
        <v>306</v>
      </c>
      <c r="D18" s="276" t="s">
        <v>253</v>
      </c>
      <c r="E18" s="276" t="s">
        <v>254</v>
      </c>
      <c r="F18" s="276" t="s">
        <v>255</v>
      </c>
      <c r="G18" s="276" t="s">
        <v>256</v>
      </c>
      <c r="H18" s="324" t="s">
        <v>785</v>
      </c>
      <c r="I18" s="276"/>
      <c r="J18" s="276" t="s">
        <v>289</v>
      </c>
      <c r="K18" s="276" t="s">
        <v>255</v>
      </c>
      <c r="L18" s="276" t="s">
        <v>258</v>
      </c>
      <c r="M18" s="277">
        <v>45901</v>
      </c>
      <c r="N18" s="278">
        <v>1.3</v>
      </c>
      <c r="O18" s="279">
        <v>7000</v>
      </c>
      <c r="P18" s="279">
        <v>2500</v>
      </c>
      <c r="Q18" s="279">
        <v>500</v>
      </c>
      <c r="R18" s="279"/>
      <c r="S18" s="279"/>
      <c r="T18" s="279">
        <v>10000</v>
      </c>
      <c r="U18" s="280">
        <v>1</v>
      </c>
      <c r="V18" s="276" t="s">
        <v>263</v>
      </c>
      <c r="W18" s="276" t="s">
        <v>273</v>
      </c>
      <c r="X18" s="281" t="s">
        <v>260</v>
      </c>
    </row>
    <row r="19" spans="1:24" x14ac:dyDescent="0.2">
      <c r="A19" s="282">
        <v>15</v>
      </c>
      <c r="B19" s="283" t="s">
        <v>307</v>
      </c>
      <c r="C19" s="283" t="s">
        <v>308</v>
      </c>
      <c r="D19" s="283" t="s">
        <v>253</v>
      </c>
      <c r="E19" s="283" t="s">
        <v>268</v>
      </c>
      <c r="F19" s="283" t="s">
        <v>8</v>
      </c>
      <c r="G19" s="283" t="s">
        <v>269</v>
      </c>
      <c r="H19" s="325" t="s">
        <v>786</v>
      </c>
      <c r="I19" s="283" t="s">
        <v>58</v>
      </c>
      <c r="J19" s="283" t="s">
        <v>309</v>
      </c>
      <c r="K19" s="283" t="s">
        <v>4</v>
      </c>
      <c r="L19" s="283" t="s">
        <v>258</v>
      </c>
      <c r="M19" s="284">
        <v>45536</v>
      </c>
      <c r="N19" s="285">
        <v>2.2999999999999998</v>
      </c>
      <c r="O19" s="286">
        <v>8250</v>
      </c>
      <c r="P19" s="286">
        <v>2500</v>
      </c>
      <c r="Q19" s="286">
        <v>500</v>
      </c>
      <c r="R19" s="286"/>
      <c r="S19" s="286"/>
      <c r="T19" s="286">
        <v>11250</v>
      </c>
      <c r="U19" s="287">
        <v>1</v>
      </c>
      <c r="V19" s="283" t="s">
        <v>259</v>
      </c>
      <c r="W19" s="283">
        <v>250</v>
      </c>
      <c r="X19" s="288" t="s">
        <v>260</v>
      </c>
    </row>
    <row r="20" spans="1:24" x14ac:dyDescent="0.2">
      <c r="A20" s="303">
        <v>16</v>
      </c>
      <c r="B20" s="304" t="s">
        <v>310</v>
      </c>
      <c r="C20" s="304" t="s">
        <v>311</v>
      </c>
      <c r="D20" s="304" t="s">
        <v>253</v>
      </c>
      <c r="E20" s="304" t="s">
        <v>312</v>
      </c>
      <c r="F20" s="304" t="s">
        <v>313</v>
      </c>
      <c r="G20" s="304" t="s">
        <v>314</v>
      </c>
      <c r="H20" s="329" t="s">
        <v>786</v>
      </c>
      <c r="I20" s="304" t="s">
        <v>101</v>
      </c>
      <c r="J20" s="304" t="s">
        <v>315</v>
      </c>
      <c r="K20" s="304" t="s">
        <v>257</v>
      </c>
      <c r="L20" s="304" t="s">
        <v>258</v>
      </c>
      <c r="M20" s="305">
        <v>40787</v>
      </c>
      <c r="N20" s="306">
        <v>15.3</v>
      </c>
      <c r="O20" s="307">
        <v>12000</v>
      </c>
      <c r="P20" s="307">
        <v>2500</v>
      </c>
      <c r="Q20" s="307">
        <v>500</v>
      </c>
      <c r="R20" s="307"/>
      <c r="S20" s="307">
        <v>900</v>
      </c>
      <c r="T20" s="307">
        <v>15900</v>
      </c>
      <c r="U20" s="308">
        <v>1</v>
      </c>
      <c r="V20" s="304" t="s">
        <v>263</v>
      </c>
      <c r="W20" s="304">
        <v>250</v>
      </c>
      <c r="X20" s="309" t="s">
        <v>260</v>
      </c>
    </row>
    <row r="21" spans="1:24" x14ac:dyDescent="0.2">
      <c r="A21" s="303">
        <v>17</v>
      </c>
      <c r="B21" s="304" t="s">
        <v>316</v>
      </c>
      <c r="C21" s="304" t="s">
        <v>317</v>
      </c>
      <c r="D21" s="304" t="s">
        <v>253</v>
      </c>
      <c r="E21" s="304" t="s">
        <v>312</v>
      </c>
      <c r="F21" s="304" t="s">
        <v>313</v>
      </c>
      <c r="G21" s="357" t="s">
        <v>42</v>
      </c>
      <c r="H21" s="329" t="s">
        <v>786</v>
      </c>
      <c r="I21" s="357" t="s">
        <v>85</v>
      </c>
      <c r="J21" s="357" t="s">
        <v>788</v>
      </c>
      <c r="K21" s="304" t="s">
        <v>257</v>
      </c>
      <c r="L21" s="304" t="s">
        <v>258</v>
      </c>
      <c r="M21" s="305">
        <v>45901</v>
      </c>
      <c r="N21" s="306">
        <v>1.3</v>
      </c>
      <c r="O21" s="307">
        <v>8750</v>
      </c>
      <c r="P21" s="307">
        <v>2500</v>
      </c>
      <c r="Q21" s="307">
        <v>500</v>
      </c>
      <c r="R21" s="307"/>
      <c r="S21" s="307">
        <v>700</v>
      </c>
      <c r="T21" s="307">
        <v>12450</v>
      </c>
      <c r="U21" s="308">
        <v>1</v>
      </c>
      <c r="V21" s="304" t="s">
        <v>259</v>
      </c>
      <c r="W21" s="304" t="s">
        <v>273</v>
      </c>
      <c r="X21" s="309" t="s">
        <v>260</v>
      </c>
    </row>
    <row r="22" spans="1:24" x14ac:dyDescent="0.2">
      <c r="A22" s="282">
        <v>18</v>
      </c>
      <c r="B22" s="283" t="s">
        <v>320</v>
      </c>
      <c r="C22" s="283" t="s">
        <v>321</v>
      </c>
      <c r="D22" s="283" t="s">
        <v>253</v>
      </c>
      <c r="E22" s="283" t="s">
        <v>268</v>
      </c>
      <c r="F22" s="283" t="s">
        <v>8</v>
      </c>
      <c r="G22" s="283" t="s">
        <v>269</v>
      </c>
      <c r="H22" s="325" t="s">
        <v>786</v>
      </c>
      <c r="I22" s="283" t="s">
        <v>58</v>
      </c>
      <c r="J22" s="283" t="s">
        <v>322</v>
      </c>
      <c r="K22" s="283" t="s">
        <v>4</v>
      </c>
      <c r="L22" s="283" t="s">
        <v>258</v>
      </c>
      <c r="M22" s="284">
        <v>45536</v>
      </c>
      <c r="N22" s="285">
        <v>2.2999999999999998</v>
      </c>
      <c r="O22" s="286">
        <v>9000</v>
      </c>
      <c r="P22" s="286">
        <v>2500</v>
      </c>
      <c r="Q22" s="286">
        <v>500</v>
      </c>
      <c r="R22" s="286"/>
      <c r="S22" s="286"/>
      <c r="T22" s="286">
        <v>12000</v>
      </c>
      <c r="U22" s="287">
        <v>1</v>
      </c>
      <c r="V22" s="283" t="s">
        <v>263</v>
      </c>
      <c r="W22" s="283">
        <v>250</v>
      </c>
      <c r="X22" s="288" t="s">
        <v>260</v>
      </c>
    </row>
    <row r="23" spans="1:24" x14ac:dyDescent="0.2">
      <c r="A23" s="289">
        <v>19</v>
      </c>
      <c r="B23" s="290" t="s">
        <v>323</v>
      </c>
      <c r="C23" s="290" t="s">
        <v>324</v>
      </c>
      <c r="D23" s="290" t="s">
        <v>253</v>
      </c>
      <c r="E23" s="290" t="s">
        <v>287</v>
      </c>
      <c r="F23" s="290" t="s">
        <v>8</v>
      </c>
      <c r="G23" s="290" t="s">
        <v>43</v>
      </c>
      <c r="H23" s="326" t="s">
        <v>786</v>
      </c>
      <c r="I23" s="328" t="s">
        <v>836</v>
      </c>
      <c r="J23" s="290" t="s">
        <v>288</v>
      </c>
      <c r="K23" s="290" t="s">
        <v>289</v>
      </c>
      <c r="L23" s="290" t="s">
        <v>258</v>
      </c>
      <c r="M23" s="291">
        <v>36404</v>
      </c>
      <c r="N23" s="292">
        <v>27.3</v>
      </c>
      <c r="O23" s="293">
        <v>13250</v>
      </c>
      <c r="P23" s="293">
        <v>2500</v>
      </c>
      <c r="Q23" s="293">
        <v>500</v>
      </c>
      <c r="R23" s="293"/>
      <c r="S23" s="293">
        <v>1140</v>
      </c>
      <c r="T23" s="293">
        <v>17390</v>
      </c>
      <c r="U23" s="294">
        <v>1</v>
      </c>
      <c r="V23" s="290" t="s">
        <v>263</v>
      </c>
      <c r="W23" s="290">
        <v>250</v>
      </c>
      <c r="X23" s="295" t="s">
        <v>260</v>
      </c>
    </row>
    <row r="24" spans="1:24" x14ac:dyDescent="0.2">
      <c r="A24" s="289">
        <v>20</v>
      </c>
      <c r="B24" s="290" t="s">
        <v>294</v>
      </c>
      <c r="C24" s="290" t="s">
        <v>325</v>
      </c>
      <c r="D24" s="290" t="s">
        <v>253</v>
      </c>
      <c r="E24" s="290" t="s">
        <v>287</v>
      </c>
      <c r="F24" s="290" t="s">
        <v>8</v>
      </c>
      <c r="G24" s="290" t="s">
        <v>43</v>
      </c>
      <c r="H24" s="326" t="s">
        <v>786</v>
      </c>
      <c r="I24" s="328" t="s">
        <v>836</v>
      </c>
      <c r="J24" s="290" t="s">
        <v>288</v>
      </c>
      <c r="K24" s="290" t="s">
        <v>289</v>
      </c>
      <c r="L24" s="290" t="s">
        <v>258</v>
      </c>
      <c r="M24" s="291">
        <v>40787</v>
      </c>
      <c r="N24" s="292">
        <v>15.3</v>
      </c>
      <c r="O24" s="293">
        <v>10250</v>
      </c>
      <c r="P24" s="293">
        <v>2500</v>
      </c>
      <c r="Q24" s="293">
        <v>500</v>
      </c>
      <c r="R24" s="293"/>
      <c r="S24" s="293">
        <v>70</v>
      </c>
      <c r="T24" s="293">
        <v>13320</v>
      </c>
      <c r="U24" s="294">
        <v>1</v>
      </c>
      <c r="V24" s="290" t="s">
        <v>263</v>
      </c>
      <c r="W24" s="290">
        <v>250</v>
      </c>
      <c r="X24" s="295" t="s">
        <v>260</v>
      </c>
    </row>
    <row r="25" spans="1:24" x14ac:dyDescent="0.2">
      <c r="A25" s="303">
        <v>21</v>
      </c>
      <c r="B25" s="304" t="s">
        <v>326</v>
      </c>
      <c r="C25" s="304" t="s">
        <v>327</v>
      </c>
      <c r="D25" s="304" t="s">
        <v>253</v>
      </c>
      <c r="E25" s="304" t="s">
        <v>328</v>
      </c>
      <c r="F25" s="304" t="s">
        <v>313</v>
      </c>
      <c r="G25" s="304" t="s">
        <v>43</v>
      </c>
      <c r="H25" s="329" t="s">
        <v>786</v>
      </c>
      <c r="I25" s="304" t="s">
        <v>65</v>
      </c>
      <c r="J25" s="304" t="s">
        <v>788</v>
      </c>
      <c r="K25" s="304" t="s">
        <v>257</v>
      </c>
      <c r="L25" s="304" t="s">
        <v>258</v>
      </c>
      <c r="M25" s="305">
        <v>44805</v>
      </c>
      <c r="N25" s="306">
        <v>4.3</v>
      </c>
      <c r="O25" s="307">
        <v>8750</v>
      </c>
      <c r="P25" s="307">
        <v>2500</v>
      </c>
      <c r="Q25" s="307">
        <v>500</v>
      </c>
      <c r="R25" s="307"/>
      <c r="S25" s="307">
        <v>1300</v>
      </c>
      <c r="T25" s="307">
        <v>13050</v>
      </c>
      <c r="U25" s="308">
        <v>1</v>
      </c>
      <c r="V25" s="304" t="s">
        <v>263</v>
      </c>
      <c r="W25" s="304">
        <v>250</v>
      </c>
      <c r="X25" s="309" t="s">
        <v>260</v>
      </c>
    </row>
    <row r="26" spans="1:24" x14ac:dyDescent="0.2">
      <c r="A26" s="303">
        <v>22</v>
      </c>
      <c r="B26" s="304" t="s">
        <v>329</v>
      </c>
      <c r="C26" s="304" t="s">
        <v>330</v>
      </c>
      <c r="D26" s="304" t="s">
        <v>253</v>
      </c>
      <c r="E26" s="304" t="s">
        <v>328</v>
      </c>
      <c r="F26" s="304" t="s">
        <v>313</v>
      </c>
      <c r="G26" s="304" t="s">
        <v>331</v>
      </c>
      <c r="H26" s="329" t="s">
        <v>786</v>
      </c>
      <c r="I26" s="304" t="s">
        <v>65</v>
      </c>
      <c r="J26" s="304" t="s">
        <v>788</v>
      </c>
      <c r="K26" s="304" t="s">
        <v>257</v>
      </c>
      <c r="L26" s="304" t="s">
        <v>258</v>
      </c>
      <c r="M26" s="305">
        <v>36770</v>
      </c>
      <c r="N26" s="306">
        <v>26.3</v>
      </c>
      <c r="O26" s="307">
        <v>9500</v>
      </c>
      <c r="P26" s="307">
        <v>2500</v>
      </c>
      <c r="Q26" s="307">
        <v>500</v>
      </c>
      <c r="R26" s="307"/>
      <c r="S26" s="307">
        <v>400</v>
      </c>
      <c r="T26" s="307">
        <v>12900</v>
      </c>
      <c r="U26" s="308">
        <v>1</v>
      </c>
      <c r="V26" s="304" t="s">
        <v>259</v>
      </c>
      <c r="W26" s="304" t="s">
        <v>332</v>
      </c>
      <c r="X26" s="309" t="s">
        <v>260</v>
      </c>
    </row>
    <row r="27" spans="1:24" x14ac:dyDescent="0.2">
      <c r="A27" s="296">
        <v>23</v>
      </c>
      <c r="B27" s="297" t="s">
        <v>333</v>
      </c>
      <c r="C27" s="297" t="s">
        <v>334</v>
      </c>
      <c r="D27" s="297" t="s">
        <v>253</v>
      </c>
      <c r="E27" s="297" t="s">
        <v>335</v>
      </c>
      <c r="F27" s="297" t="s">
        <v>277</v>
      </c>
      <c r="G27" s="297" t="s">
        <v>336</v>
      </c>
      <c r="H27" s="327" t="s">
        <v>785</v>
      </c>
      <c r="I27" s="297"/>
      <c r="J27" s="297" t="s">
        <v>277</v>
      </c>
      <c r="K27" s="297" t="s">
        <v>277</v>
      </c>
      <c r="L27" s="297" t="s">
        <v>258</v>
      </c>
      <c r="M27" s="298">
        <v>45902</v>
      </c>
      <c r="N27" s="299">
        <v>1.3</v>
      </c>
      <c r="O27" s="300">
        <v>7400</v>
      </c>
      <c r="P27" s="300">
        <v>2500</v>
      </c>
      <c r="Q27" s="300">
        <v>500</v>
      </c>
      <c r="R27" s="300"/>
      <c r="S27" s="300"/>
      <c r="T27" s="300">
        <v>10400</v>
      </c>
      <c r="U27" s="301">
        <v>1</v>
      </c>
      <c r="V27" s="297" t="s">
        <v>263</v>
      </c>
      <c r="W27" s="297" t="s">
        <v>273</v>
      </c>
      <c r="X27" s="302" t="s">
        <v>260</v>
      </c>
    </row>
    <row r="28" spans="1:24" x14ac:dyDescent="0.2">
      <c r="A28" s="303">
        <v>24</v>
      </c>
      <c r="B28" s="304" t="s">
        <v>337</v>
      </c>
      <c r="C28" s="304" t="s">
        <v>338</v>
      </c>
      <c r="D28" s="304" t="s">
        <v>253</v>
      </c>
      <c r="E28" s="304" t="s">
        <v>312</v>
      </c>
      <c r="F28" s="304" t="s">
        <v>313</v>
      </c>
      <c r="G28" s="304" t="s">
        <v>40</v>
      </c>
      <c r="H28" s="329" t="s">
        <v>786</v>
      </c>
      <c r="I28" s="304" t="s">
        <v>71</v>
      </c>
      <c r="J28" s="304" t="s">
        <v>339</v>
      </c>
      <c r="K28" s="304" t="s">
        <v>257</v>
      </c>
      <c r="L28" s="304" t="s">
        <v>258</v>
      </c>
      <c r="M28" s="305">
        <v>45170</v>
      </c>
      <c r="N28" s="306">
        <v>3.3</v>
      </c>
      <c r="O28" s="307">
        <v>9500</v>
      </c>
      <c r="P28" s="307">
        <v>2500</v>
      </c>
      <c r="Q28" s="307">
        <v>500</v>
      </c>
      <c r="R28" s="307"/>
      <c r="S28" s="307">
        <v>880</v>
      </c>
      <c r="T28" s="307">
        <v>13380</v>
      </c>
      <c r="U28" s="308">
        <v>1</v>
      </c>
      <c r="V28" s="304" t="s">
        <v>259</v>
      </c>
      <c r="W28" s="304">
        <v>250</v>
      </c>
      <c r="X28" s="309" t="s">
        <v>260</v>
      </c>
    </row>
    <row r="29" spans="1:24" x14ac:dyDescent="0.2">
      <c r="A29" s="289">
        <v>25</v>
      </c>
      <c r="B29" s="290" t="s">
        <v>340</v>
      </c>
      <c r="C29" s="290" t="s">
        <v>341</v>
      </c>
      <c r="D29" s="290" t="s">
        <v>253</v>
      </c>
      <c r="E29" s="290" t="s">
        <v>268</v>
      </c>
      <c r="F29" s="290" t="s">
        <v>8</v>
      </c>
      <c r="G29" s="290" t="s">
        <v>269</v>
      </c>
      <c r="H29" s="326" t="s">
        <v>786</v>
      </c>
      <c r="I29" s="290" t="s">
        <v>58</v>
      </c>
      <c r="J29" s="290" t="s">
        <v>342</v>
      </c>
      <c r="K29" s="290" t="s">
        <v>8</v>
      </c>
      <c r="L29" s="290" t="s">
        <v>258</v>
      </c>
      <c r="M29" s="291">
        <v>45536</v>
      </c>
      <c r="N29" s="292">
        <v>2.2999999999999998</v>
      </c>
      <c r="O29" s="293">
        <v>9000</v>
      </c>
      <c r="P29" s="293">
        <v>2500</v>
      </c>
      <c r="Q29" s="293">
        <v>500</v>
      </c>
      <c r="R29" s="293"/>
      <c r="S29" s="293"/>
      <c r="T29" s="293">
        <v>12000</v>
      </c>
      <c r="U29" s="294">
        <v>1</v>
      </c>
      <c r="V29" s="290" t="s">
        <v>259</v>
      </c>
      <c r="W29" s="290">
        <v>250</v>
      </c>
      <c r="X29" s="295" t="s">
        <v>260</v>
      </c>
    </row>
    <row r="30" spans="1:24" x14ac:dyDescent="0.2">
      <c r="A30" s="289">
        <v>26</v>
      </c>
      <c r="B30" s="290" t="s">
        <v>343</v>
      </c>
      <c r="C30" s="290" t="s">
        <v>344</v>
      </c>
      <c r="D30" s="290" t="s">
        <v>253</v>
      </c>
      <c r="E30" s="290" t="s">
        <v>268</v>
      </c>
      <c r="F30" s="290" t="s">
        <v>8</v>
      </c>
      <c r="G30" s="290" t="s">
        <v>269</v>
      </c>
      <c r="H30" s="326" t="s">
        <v>786</v>
      </c>
      <c r="I30" s="290" t="s">
        <v>58</v>
      </c>
      <c r="J30" s="290" t="s">
        <v>345</v>
      </c>
      <c r="K30" s="290" t="s">
        <v>8</v>
      </c>
      <c r="L30" s="290" t="s">
        <v>258</v>
      </c>
      <c r="M30" s="291">
        <v>45170</v>
      </c>
      <c r="N30" s="292">
        <v>3.3</v>
      </c>
      <c r="O30" s="293">
        <v>11000</v>
      </c>
      <c r="P30" s="293">
        <v>2500</v>
      </c>
      <c r="Q30" s="293">
        <v>500</v>
      </c>
      <c r="R30" s="293"/>
      <c r="S30" s="293"/>
      <c r="T30" s="293">
        <v>14000</v>
      </c>
      <c r="U30" s="294">
        <v>1</v>
      </c>
      <c r="V30" s="290" t="s">
        <v>263</v>
      </c>
      <c r="W30" s="290">
        <v>250</v>
      </c>
      <c r="X30" s="295" t="s">
        <v>260</v>
      </c>
    </row>
    <row r="31" spans="1:24" x14ac:dyDescent="0.2">
      <c r="A31" s="303">
        <v>27</v>
      </c>
      <c r="B31" s="304" t="s">
        <v>346</v>
      </c>
      <c r="C31" s="304" t="s">
        <v>347</v>
      </c>
      <c r="D31" s="304" t="s">
        <v>253</v>
      </c>
      <c r="E31" s="304" t="s">
        <v>348</v>
      </c>
      <c r="F31" s="304" t="s">
        <v>313</v>
      </c>
      <c r="G31" s="304" t="s">
        <v>42</v>
      </c>
      <c r="H31" s="329" t="s">
        <v>786</v>
      </c>
      <c r="I31" s="304" t="s">
        <v>85</v>
      </c>
      <c r="J31" s="304" t="s">
        <v>788</v>
      </c>
      <c r="K31" s="304" t="s">
        <v>257</v>
      </c>
      <c r="L31" s="304" t="s">
        <v>258</v>
      </c>
      <c r="M31" s="305">
        <v>44805</v>
      </c>
      <c r="N31" s="306">
        <v>4.3</v>
      </c>
      <c r="O31" s="307">
        <v>8750</v>
      </c>
      <c r="P31" s="307">
        <v>2500</v>
      </c>
      <c r="Q31" s="307">
        <v>500</v>
      </c>
      <c r="R31" s="307"/>
      <c r="S31" s="307">
        <v>500</v>
      </c>
      <c r="T31" s="307">
        <v>12250</v>
      </c>
      <c r="U31" s="308">
        <v>1</v>
      </c>
      <c r="V31" s="304" t="s">
        <v>259</v>
      </c>
      <c r="W31" s="304">
        <v>250</v>
      </c>
      <c r="X31" s="309" t="s">
        <v>260</v>
      </c>
    </row>
    <row r="32" spans="1:24" x14ac:dyDescent="0.2">
      <c r="A32" s="303">
        <v>28</v>
      </c>
      <c r="B32" s="304" t="s">
        <v>349</v>
      </c>
      <c r="C32" s="304" t="s">
        <v>350</v>
      </c>
      <c r="D32" s="304" t="s">
        <v>253</v>
      </c>
      <c r="E32" s="304" t="s">
        <v>312</v>
      </c>
      <c r="F32" s="304" t="s">
        <v>313</v>
      </c>
      <c r="G32" s="304" t="s">
        <v>838</v>
      </c>
      <c r="H32" s="329" t="s">
        <v>786</v>
      </c>
      <c r="I32" s="357" t="s">
        <v>837</v>
      </c>
      <c r="J32" s="304" t="s">
        <v>319</v>
      </c>
      <c r="K32" s="304" t="s">
        <v>257</v>
      </c>
      <c r="L32" s="304" t="s">
        <v>258</v>
      </c>
      <c r="M32" s="305">
        <v>45901</v>
      </c>
      <c r="N32" s="306">
        <v>1.3</v>
      </c>
      <c r="O32" s="307">
        <v>7200</v>
      </c>
      <c r="P32" s="307">
        <v>2250</v>
      </c>
      <c r="Q32" s="307">
        <v>450</v>
      </c>
      <c r="R32" s="307"/>
      <c r="S32" s="307"/>
      <c r="T32" s="307">
        <v>9900</v>
      </c>
      <c r="U32" s="308">
        <v>0.9</v>
      </c>
      <c r="V32" s="304" t="s">
        <v>259</v>
      </c>
      <c r="W32" s="304" t="s">
        <v>273</v>
      </c>
      <c r="X32" s="309" t="s">
        <v>260</v>
      </c>
    </row>
    <row r="33" spans="1:24" x14ac:dyDescent="0.2">
      <c r="A33" s="275">
        <v>29</v>
      </c>
      <c r="B33" s="276" t="s">
        <v>351</v>
      </c>
      <c r="C33" s="276" t="s">
        <v>352</v>
      </c>
      <c r="D33" s="276" t="s">
        <v>253</v>
      </c>
      <c r="E33" s="276" t="s">
        <v>353</v>
      </c>
      <c r="F33" s="276" t="s">
        <v>255</v>
      </c>
      <c r="G33" s="276" t="s">
        <v>354</v>
      </c>
      <c r="H33" s="324" t="s">
        <v>785</v>
      </c>
      <c r="I33" s="276"/>
      <c r="J33" s="276" t="s">
        <v>355</v>
      </c>
      <c r="K33" s="276" t="s">
        <v>255</v>
      </c>
      <c r="L33" s="276" t="s">
        <v>258</v>
      </c>
      <c r="M33" s="277">
        <v>45908</v>
      </c>
      <c r="N33" s="278">
        <v>1.3</v>
      </c>
      <c r="O33" s="279">
        <v>13000</v>
      </c>
      <c r="P33" s="279">
        <v>2500</v>
      </c>
      <c r="Q33" s="279">
        <v>500</v>
      </c>
      <c r="R33" s="279"/>
      <c r="S33" s="279"/>
      <c r="T33" s="279">
        <v>16000</v>
      </c>
      <c r="U33" s="280">
        <v>1</v>
      </c>
      <c r="V33" s="276" t="s">
        <v>259</v>
      </c>
      <c r="W33" s="276" t="s">
        <v>273</v>
      </c>
      <c r="X33" s="281" t="s">
        <v>260</v>
      </c>
    </row>
    <row r="34" spans="1:24" x14ac:dyDescent="0.2">
      <c r="A34" s="303">
        <v>30</v>
      </c>
      <c r="B34" s="304" t="s">
        <v>356</v>
      </c>
      <c r="C34" s="304" t="s">
        <v>357</v>
      </c>
      <c r="D34" s="304" t="s">
        <v>253</v>
      </c>
      <c r="E34" s="304" t="s">
        <v>312</v>
      </c>
      <c r="F34" s="304" t="s">
        <v>313</v>
      </c>
      <c r="G34" s="304" t="s">
        <v>358</v>
      </c>
      <c r="H34" s="329" t="s">
        <v>786</v>
      </c>
      <c r="I34" s="304" t="s">
        <v>81</v>
      </c>
      <c r="J34" s="304" t="s">
        <v>788</v>
      </c>
      <c r="K34" s="304" t="s">
        <v>257</v>
      </c>
      <c r="L34" s="304" t="s">
        <v>258</v>
      </c>
      <c r="M34" s="305">
        <v>44075</v>
      </c>
      <c r="N34" s="306">
        <v>6.3</v>
      </c>
      <c r="O34" s="307">
        <v>9250</v>
      </c>
      <c r="P34" s="307">
        <v>2500</v>
      </c>
      <c r="Q34" s="307">
        <v>500</v>
      </c>
      <c r="R34" s="307"/>
      <c r="S34" s="307"/>
      <c r="T34" s="307">
        <v>12250</v>
      </c>
      <c r="U34" s="308">
        <v>1</v>
      </c>
      <c r="V34" s="304" t="s">
        <v>263</v>
      </c>
      <c r="W34" s="304">
        <v>250</v>
      </c>
      <c r="X34" s="309" t="s">
        <v>260</v>
      </c>
    </row>
    <row r="35" spans="1:24" x14ac:dyDescent="0.2">
      <c r="A35" s="303">
        <v>31</v>
      </c>
      <c r="B35" s="304" t="s">
        <v>359</v>
      </c>
      <c r="C35" s="304" t="s">
        <v>360</v>
      </c>
      <c r="D35" s="304" t="s">
        <v>253</v>
      </c>
      <c r="E35" s="304" t="s">
        <v>312</v>
      </c>
      <c r="F35" s="304" t="s">
        <v>313</v>
      </c>
      <c r="G35" s="304" t="s">
        <v>361</v>
      </c>
      <c r="H35" s="329" t="s">
        <v>786</v>
      </c>
      <c r="I35" s="304" t="s">
        <v>104</v>
      </c>
      <c r="J35" s="304" t="s">
        <v>362</v>
      </c>
      <c r="K35" s="304" t="s">
        <v>257</v>
      </c>
      <c r="L35" s="304" t="s">
        <v>258</v>
      </c>
      <c r="M35" s="305">
        <v>44440</v>
      </c>
      <c r="N35" s="306">
        <v>5.3</v>
      </c>
      <c r="O35" s="307">
        <v>9000</v>
      </c>
      <c r="P35" s="307">
        <v>2500</v>
      </c>
      <c r="Q35" s="307">
        <v>500</v>
      </c>
      <c r="R35" s="307"/>
      <c r="S35" s="307">
        <v>1080</v>
      </c>
      <c r="T35" s="307">
        <v>13080</v>
      </c>
      <c r="U35" s="308">
        <v>1</v>
      </c>
      <c r="V35" s="304" t="s">
        <v>259</v>
      </c>
      <c r="W35" s="304">
        <v>250</v>
      </c>
      <c r="X35" s="309" t="s">
        <v>260</v>
      </c>
    </row>
    <row r="36" spans="1:24" x14ac:dyDescent="0.2">
      <c r="A36" s="282">
        <v>32</v>
      </c>
      <c r="B36" s="283" t="s">
        <v>363</v>
      </c>
      <c r="C36" s="283" t="s">
        <v>364</v>
      </c>
      <c r="D36" s="283" t="s">
        <v>253</v>
      </c>
      <c r="E36" s="283" t="s">
        <v>365</v>
      </c>
      <c r="F36" s="283" t="s">
        <v>4</v>
      </c>
      <c r="G36" s="283" t="s">
        <v>120</v>
      </c>
      <c r="H36" s="330" t="s">
        <v>785</v>
      </c>
      <c r="I36" s="283"/>
      <c r="J36" s="283" t="s">
        <v>366</v>
      </c>
      <c r="K36" s="283" t="s">
        <v>4</v>
      </c>
      <c r="L36" s="283" t="s">
        <v>258</v>
      </c>
      <c r="M36" s="284">
        <v>42979</v>
      </c>
      <c r="N36" s="285">
        <v>9.3000000000000007</v>
      </c>
      <c r="O36" s="286">
        <v>7200</v>
      </c>
      <c r="P36" s="286">
        <v>2500</v>
      </c>
      <c r="Q36" s="286">
        <v>500</v>
      </c>
      <c r="R36" s="286"/>
      <c r="S36" s="286"/>
      <c r="T36" s="286">
        <v>10200</v>
      </c>
      <c r="U36" s="287">
        <v>1</v>
      </c>
      <c r="V36" s="283" t="s">
        <v>263</v>
      </c>
      <c r="W36" s="283">
        <v>200</v>
      </c>
      <c r="X36" s="288" t="s">
        <v>260</v>
      </c>
    </row>
    <row r="37" spans="1:24" x14ac:dyDescent="0.2">
      <c r="A37" s="303">
        <v>33</v>
      </c>
      <c r="B37" s="304" t="s">
        <v>367</v>
      </c>
      <c r="C37" s="304" t="s">
        <v>368</v>
      </c>
      <c r="D37" s="304" t="s">
        <v>253</v>
      </c>
      <c r="E37" s="304" t="s">
        <v>312</v>
      </c>
      <c r="F37" s="304" t="s">
        <v>313</v>
      </c>
      <c r="G37" s="304" t="s">
        <v>318</v>
      </c>
      <c r="H37" s="329" t="s">
        <v>786</v>
      </c>
      <c r="I37" s="328" t="s">
        <v>318</v>
      </c>
      <c r="J37" s="304" t="s">
        <v>319</v>
      </c>
      <c r="K37" s="304" t="s">
        <v>257</v>
      </c>
      <c r="L37" s="304" t="s">
        <v>258</v>
      </c>
      <c r="M37" s="305">
        <v>45901</v>
      </c>
      <c r="N37" s="306">
        <v>1.3</v>
      </c>
      <c r="O37" s="307">
        <v>8250</v>
      </c>
      <c r="P37" s="307">
        <v>2500</v>
      </c>
      <c r="Q37" s="307">
        <v>500</v>
      </c>
      <c r="R37" s="307"/>
      <c r="S37" s="307"/>
      <c r="T37" s="307">
        <v>11250</v>
      </c>
      <c r="U37" s="308">
        <v>1</v>
      </c>
      <c r="V37" s="304" t="s">
        <v>263</v>
      </c>
      <c r="W37" s="304" t="s">
        <v>273</v>
      </c>
      <c r="X37" s="309" t="s">
        <v>260</v>
      </c>
    </row>
    <row r="38" spans="1:24" x14ac:dyDescent="0.2">
      <c r="A38" s="303">
        <v>34</v>
      </c>
      <c r="B38" s="304" t="s">
        <v>369</v>
      </c>
      <c r="C38" s="304" t="s">
        <v>370</v>
      </c>
      <c r="D38" s="304" t="s">
        <v>253</v>
      </c>
      <c r="E38" s="304" t="s">
        <v>312</v>
      </c>
      <c r="F38" s="304" t="s">
        <v>313</v>
      </c>
      <c r="G38" s="304" t="s">
        <v>371</v>
      </c>
      <c r="H38" s="329" t="s">
        <v>786</v>
      </c>
      <c r="I38" s="304" t="s">
        <v>73</v>
      </c>
      <c r="J38" s="304" t="s">
        <v>788</v>
      </c>
      <c r="K38" s="304" t="s">
        <v>257</v>
      </c>
      <c r="L38" s="304" t="s">
        <v>258</v>
      </c>
      <c r="M38" s="305">
        <v>43344</v>
      </c>
      <c r="N38" s="306">
        <v>8.3000000000000007</v>
      </c>
      <c r="O38" s="307">
        <v>10000</v>
      </c>
      <c r="P38" s="307">
        <v>2500</v>
      </c>
      <c r="Q38" s="307">
        <v>500</v>
      </c>
      <c r="R38" s="307"/>
      <c r="S38" s="307">
        <v>1300</v>
      </c>
      <c r="T38" s="307">
        <v>14300</v>
      </c>
      <c r="U38" s="308">
        <v>1</v>
      </c>
      <c r="V38" s="304" t="s">
        <v>263</v>
      </c>
      <c r="W38" s="304">
        <v>250</v>
      </c>
      <c r="X38" s="309" t="s">
        <v>260</v>
      </c>
    </row>
    <row r="39" spans="1:24" x14ac:dyDescent="0.2">
      <c r="A39" s="275">
        <v>35</v>
      </c>
      <c r="B39" s="276" t="s">
        <v>372</v>
      </c>
      <c r="C39" s="276" t="s">
        <v>373</v>
      </c>
      <c r="D39" s="276" t="s">
        <v>253</v>
      </c>
      <c r="E39" s="276" t="s">
        <v>374</v>
      </c>
      <c r="F39" s="276" t="s">
        <v>255</v>
      </c>
      <c r="G39" s="276" t="s">
        <v>375</v>
      </c>
      <c r="H39" s="324" t="s">
        <v>785</v>
      </c>
      <c r="I39" s="276"/>
      <c r="J39" s="276" t="s">
        <v>355</v>
      </c>
      <c r="K39" s="276" t="s">
        <v>255</v>
      </c>
      <c r="L39" s="276" t="s">
        <v>258</v>
      </c>
      <c r="M39" s="277">
        <v>44805</v>
      </c>
      <c r="N39" s="278">
        <v>4.3</v>
      </c>
      <c r="O39" s="279">
        <v>11750</v>
      </c>
      <c r="P39" s="279">
        <v>2500</v>
      </c>
      <c r="Q39" s="279">
        <v>500</v>
      </c>
      <c r="R39" s="279"/>
      <c r="S39" s="279"/>
      <c r="T39" s="279">
        <v>14750</v>
      </c>
      <c r="U39" s="280">
        <v>1</v>
      </c>
      <c r="V39" s="276" t="s">
        <v>263</v>
      </c>
      <c r="W39" s="276">
        <v>250</v>
      </c>
      <c r="X39" s="281" t="s">
        <v>260</v>
      </c>
    </row>
    <row r="40" spans="1:24" x14ac:dyDescent="0.2">
      <c r="A40" s="275">
        <v>36</v>
      </c>
      <c r="B40" s="276" t="s">
        <v>376</v>
      </c>
      <c r="C40" s="276" t="s">
        <v>377</v>
      </c>
      <c r="D40" s="276" t="s">
        <v>253</v>
      </c>
      <c r="E40" s="276" t="s">
        <v>254</v>
      </c>
      <c r="F40" s="276" t="s">
        <v>255</v>
      </c>
      <c r="G40" s="276" t="s">
        <v>256</v>
      </c>
      <c r="H40" s="324" t="s">
        <v>785</v>
      </c>
      <c r="I40" s="276"/>
      <c r="J40" s="276" t="s">
        <v>257</v>
      </c>
      <c r="K40" s="276" t="s">
        <v>255</v>
      </c>
      <c r="L40" s="276" t="s">
        <v>258</v>
      </c>
      <c r="M40" s="277">
        <v>45536</v>
      </c>
      <c r="N40" s="278">
        <v>2.2999999999999998</v>
      </c>
      <c r="O40" s="279">
        <v>7600</v>
      </c>
      <c r="P40" s="279">
        <v>2500</v>
      </c>
      <c r="Q40" s="279">
        <v>500</v>
      </c>
      <c r="R40" s="279"/>
      <c r="S40" s="279"/>
      <c r="T40" s="279">
        <v>10600</v>
      </c>
      <c r="U40" s="280">
        <v>1</v>
      </c>
      <c r="V40" s="276" t="s">
        <v>263</v>
      </c>
      <c r="W40" s="276">
        <v>200</v>
      </c>
      <c r="X40" s="281" t="s">
        <v>260</v>
      </c>
    </row>
    <row r="41" spans="1:24" x14ac:dyDescent="0.2">
      <c r="A41" s="303">
        <v>37</v>
      </c>
      <c r="B41" s="304" t="s">
        <v>378</v>
      </c>
      <c r="C41" s="304" t="s">
        <v>379</v>
      </c>
      <c r="D41" s="304" t="s">
        <v>253</v>
      </c>
      <c r="E41" s="304" t="s">
        <v>312</v>
      </c>
      <c r="F41" s="304" t="s">
        <v>313</v>
      </c>
      <c r="G41" s="304" t="s">
        <v>361</v>
      </c>
      <c r="H41" s="329" t="s">
        <v>786</v>
      </c>
      <c r="I41" s="304" t="s">
        <v>104</v>
      </c>
      <c r="J41" s="304" t="s">
        <v>788</v>
      </c>
      <c r="K41" s="304" t="s">
        <v>257</v>
      </c>
      <c r="L41" s="304" t="s">
        <v>258</v>
      </c>
      <c r="M41" s="305">
        <v>45536</v>
      </c>
      <c r="N41" s="306">
        <v>2.2999999999999998</v>
      </c>
      <c r="O41" s="307">
        <v>10000</v>
      </c>
      <c r="P41" s="307">
        <v>2500</v>
      </c>
      <c r="Q41" s="307">
        <v>500</v>
      </c>
      <c r="R41" s="307"/>
      <c r="S41" s="307">
        <v>900</v>
      </c>
      <c r="T41" s="307">
        <v>13900</v>
      </c>
      <c r="U41" s="308">
        <v>1</v>
      </c>
      <c r="V41" s="304" t="s">
        <v>263</v>
      </c>
      <c r="W41" s="304">
        <v>250</v>
      </c>
      <c r="X41" s="309" t="s">
        <v>260</v>
      </c>
    </row>
    <row r="42" spans="1:24" x14ac:dyDescent="0.2">
      <c r="A42" s="289">
        <v>38</v>
      </c>
      <c r="B42" s="290" t="s">
        <v>380</v>
      </c>
      <c r="C42" s="290" t="s">
        <v>344</v>
      </c>
      <c r="D42" s="290" t="s">
        <v>253</v>
      </c>
      <c r="E42" s="290" t="s">
        <v>268</v>
      </c>
      <c r="F42" s="290" t="s">
        <v>8</v>
      </c>
      <c r="G42" s="290" t="s">
        <v>269</v>
      </c>
      <c r="H42" s="326" t="s">
        <v>786</v>
      </c>
      <c r="I42" s="290" t="s">
        <v>58</v>
      </c>
      <c r="J42" s="290" t="s">
        <v>787</v>
      </c>
      <c r="K42" s="290" t="s">
        <v>8</v>
      </c>
      <c r="L42" s="290" t="s">
        <v>258</v>
      </c>
      <c r="M42" s="291">
        <v>43709</v>
      </c>
      <c r="N42" s="292">
        <v>7.3</v>
      </c>
      <c r="O42" s="293">
        <v>9500</v>
      </c>
      <c r="P42" s="293">
        <v>2500</v>
      </c>
      <c r="Q42" s="293">
        <v>500</v>
      </c>
      <c r="R42" s="293"/>
      <c r="S42" s="293"/>
      <c r="T42" s="293">
        <v>12500</v>
      </c>
      <c r="U42" s="294">
        <v>1</v>
      </c>
      <c r="V42" s="290" t="s">
        <v>263</v>
      </c>
      <c r="W42" s="290">
        <v>250</v>
      </c>
      <c r="X42" s="295" t="s">
        <v>260</v>
      </c>
    </row>
    <row r="43" spans="1:24" x14ac:dyDescent="0.2">
      <c r="A43" s="282">
        <v>39</v>
      </c>
      <c r="B43" s="283" t="s">
        <v>381</v>
      </c>
      <c r="C43" s="283" t="s">
        <v>382</v>
      </c>
      <c r="D43" s="283" t="s">
        <v>253</v>
      </c>
      <c r="E43" s="283" t="s">
        <v>365</v>
      </c>
      <c r="F43" s="283" t="s">
        <v>4</v>
      </c>
      <c r="G43" s="283" t="s">
        <v>120</v>
      </c>
      <c r="H43" s="330" t="s">
        <v>785</v>
      </c>
      <c r="I43" s="283"/>
      <c r="J43" s="283" t="s">
        <v>284</v>
      </c>
      <c r="K43" s="283" t="s">
        <v>4</v>
      </c>
      <c r="L43" s="283" t="s">
        <v>258</v>
      </c>
      <c r="M43" s="284">
        <v>45170</v>
      </c>
      <c r="N43" s="285">
        <v>3.3</v>
      </c>
      <c r="O43" s="286">
        <v>6200</v>
      </c>
      <c r="P43" s="286">
        <v>2500</v>
      </c>
      <c r="Q43" s="286">
        <v>500</v>
      </c>
      <c r="R43" s="286"/>
      <c r="S43" s="286"/>
      <c r="T43" s="286">
        <v>9200</v>
      </c>
      <c r="U43" s="287">
        <v>1</v>
      </c>
      <c r="V43" s="283" t="s">
        <v>259</v>
      </c>
      <c r="W43" s="283">
        <v>200</v>
      </c>
      <c r="X43" s="288" t="s">
        <v>260</v>
      </c>
    </row>
    <row r="44" spans="1:24" x14ac:dyDescent="0.2">
      <c r="A44" s="282">
        <v>40</v>
      </c>
      <c r="B44" s="283" t="s">
        <v>383</v>
      </c>
      <c r="C44" s="283" t="s">
        <v>384</v>
      </c>
      <c r="D44" s="283" t="s">
        <v>253</v>
      </c>
      <c r="E44" s="283" t="s">
        <v>365</v>
      </c>
      <c r="F44" s="283" t="s">
        <v>4</v>
      </c>
      <c r="G44" s="283" t="s">
        <v>120</v>
      </c>
      <c r="H44" s="330" t="s">
        <v>785</v>
      </c>
      <c r="I44" s="283"/>
      <c r="J44" s="283" t="s">
        <v>385</v>
      </c>
      <c r="K44" s="283" t="s">
        <v>4</v>
      </c>
      <c r="L44" s="283" t="s">
        <v>258</v>
      </c>
      <c r="M44" s="284">
        <v>42614</v>
      </c>
      <c r="N44" s="285">
        <v>10.3</v>
      </c>
      <c r="O44" s="286">
        <v>8500</v>
      </c>
      <c r="P44" s="286">
        <v>2500</v>
      </c>
      <c r="Q44" s="286">
        <v>500</v>
      </c>
      <c r="R44" s="286"/>
      <c r="S44" s="286"/>
      <c r="T44" s="286">
        <v>11500</v>
      </c>
      <c r="U44" s="287">
        <v>1</v>
      </c>
      <c r="V44" s="283" t="s">
        <v>259</v>
      </c>
      <c r="W44" s="283">
        <v>250</v>
      </c>
      <c r="X44" s="288" t="s">
        <v>260</v>
      </c>
    </row>
    <row r="45" spans="1:24" x14ac:dyDescent="0.2">
      <c r="A45" s="282">
        <v>41</v>
      </c>
      <c r="B45" s="283" t="s">
        <v>386</v>
      </c>
      <c r="C45" s="283" t="s">
        <v>387</v>
      </c>
      <c r="D45" s="283" t="s">
        <v>253</v>
      </c>
      <c r="E45" s="283" t="s">
        <v>268</v>
      </c>
      <c r="F45" s="283" t="s">
        <v>8</v>
      </c>
      <c r="G45" s="283" t="s">
        <v>269</v>
      </c>
      <c r="H45" s="325" t="s">
        <v>786</v>
      </c>
      <c r="I45" s="283" t="s">
        <v>58</v>
      </c>
      <c r="J45" s="283" t="s">
        <v>388</v>
      </c>
      <c r="K45" s="283" t="s">
        <v>4</v>
      </c>
      <c r="L45" s="283" t="s">
        <v>258</v>
      </c>
      <c r="M45" s="284">
        <v>44805</v>
      </c>
      <c r="N45" s="285">
        <v>4.3</v>
      </c>
      <c r="O45" s="286">
        <v>9000</v>
      </c>
      <c r="P45" s="286">
        <v>2500</v>
      </c>
      <c r="Q45" s="286">
        <v>500</v>
      </c>
      <c r="R45" s="286"/>
      <c r="S45" s="286"/>
      <c r="T45" s="286">
        <v>12000</v>
      </c>
      <c r="U45" s="287">
        <v>1</v>
      </c>
      <c r="V45" s="283" t="s">
        <v>263</v>
      </c>
      <c r="W45" s="283">
        <v>250</v>
      </c>
      <c r="X45" s="288" t="s">
        <v>260</v>
      </c>
    </row>
    <row r="46" spans="1:24" x14ac:dyDescent="0.2">
      <c r="A46" s="296">
        <v>42</v>
      </c>
      <c r="B46" s="297" t="s">
        <v>389</v>
      </c>
      <c r="C46" s="297" t="s">
        <v>390</v>
      </c>
      <c r="D46" s="297" t="s">
        <v>253</v>
      </c>
      <c r="E46" s="297" t="s">
        <v>391</v>
      </c>
      <c r="F46" s="297" t="s">
        <v>277</v>
      </c>
      <c r="G46" s="297" t="s">
        <v>392</v>
      </c>
      <c r="H46" s="327" t="s">
        <v>785</v>
      </c>
      <c r="I46" s="297"/>
      <c r="J46" s="297" t="s">
        <v>277</v>
      </c>
      <c r="K46" s="297" t="s">
        <v>277</v>
      </c>
      <c r="L46" s="297" t="s">
        <v>258</v>
      </c>
      <c r="M46" s="298">
        <v>45908</v>
      </c>
      <c r="N46" s="299">
        <v>1.3</v>
      </c>
      <c r="O46" s="300">
        <v>7400</v>
      </c>
      <c r="P46" s="300">
        <v>2500</v>
      </c>
      <c r="Q46" s="300">
        <v>500</v>
      </c>
      <c r="R46" s="300"/>
      <c r="S46" s="300"/>
      <c r="T46" s="300">
        <v>10400</v>
      </c>
      <c r="U46" s="301">
        <v>1</v>
      </c>
      <c r="V46" s="297" t="s">
        <v>259</v>
      </c>
      <c r="W46" s="297" t="s">
        <v>273</v>
      </c>
      <c r="X46" s="302" t="s">
        <v>260</v>
      </c>
    </row>
    <row r="47" spans="1:24" x14ac:dyDescent="0.2">
      <c r="A47" s="303">
        <v>43</v>
      </c>
      <c r="B47" s="304" t="s">
        <v>393</v>
      </c>
      <c r="C47" s="304" t="s">
        <v>394</v>
      </c>
      <c r="D47" s="304" t="s">
        <v>253</v>
      </c>
      <c r="E47" s="304" t="s">
        <v>328</v>
      </c>
      <c r="F47" s="304" t="s">
        <v>313</v>
      </c>
      <c r="G47" s="304" t="s">
        <v>395</v>
      </c>
      <c r="H47" s="329" t="s">
        <v>786</v>
      </c>
      <c r="I47" s="304" t="s">
        <v>227</v>
      </c>
      <c r="J47" s="304" t="s">
        <v>788</v>
      </c>
      <c r="K47" s="304" t="s">
        <v>257</v>
      </c>
      <c r="L47" s="304" t="s">
        <v>258</v>
      </c>
      <c r="M47" s="305">
        <v>44805</v>
      </c>
      <c r="N47" s="306">
        <v>4.3</v>
      </c>
      <c r="O47" s="307">
        <v>8000</v>
      </c>
      <c r="P47" s="307">
        <v>2500</v>
      </c>
      <c r="Q47" s="307">
        <v>500</v>
      </c>
      <c r="R47" s="307"/>
      <c r="S47" s="307">
        <v>900</v>
      </c>
      <c r="T47" s="307">
        <v>11900</v>
      </c>
      <c r="U47" s="308">
        <v>1</v>
      </c>
      <c r="V47" s="304" t="s">
        <v>263</v>
      </c>
      <c r="W47" s="304">
        <v>200</v>
      </c>
      <c r="X47" s="309" t="s">
        <v>260</v>
      </c>
    </row>
    <row r="48" spans="1:24" x14ac:dyDescent="0.2">
      <c r="A48" s="303">
        <v>44</v>
      </c>
      <c r="B48" s="304" t="s">
        <v>396</v>
      </c>
      <c r="C48" s="304" t="s">
        <v>397</v>
      </c>
      <c r="D48" s="304" t="s">
        <v>253</v>
      </c>
      <c r="E48" s="304" t="s">
        <v>348</v>
      </c>
      <c r="F48" s="304" t="s">
        <v>313</v>
      </c>
      <c r="G48" s="304" t="s">
        <v>42</v>
      </c>
      <c r="H48" s="329" t="s">
        <v>786</v>
      </c>
      <c r="I48" s="304" t="s">
        <v>85</v>
      </c>
      <c r="J48" s="304" t="s">
        <v>398</v>
      </c>
      <c r="K48" s="304" t="s">
        <v>257</v>
      </c>
      <c r="L48" s="304" t="s">
        <v>258</v>
      </c>
      <c r="M48" s="305">
        <v>42979</v>
      </c>
      <c r="N48" s="306">
        <v>9.3000000000000007</v>
      </c>
      <c r="O48" s="307">
        <v>12250</v>
      </c>
      <c r="P48" s="307">
        <v>2500</v>
      </c>
      <c r="Q48" s="307">
        <v>500</v>
      </c>
      <c r="R48" s="307"/>
      <c r="S48" s="307"/>
      <c r="T48" s="307">
        <v>15250</v>
      </c>
      <c r="U48" s="308">
        <v>1</v>
      </c>
      <c r="V48" s="304" t="s">
        <v>263</v>
      </c>
      <c r="W48" s="304">
        <v>250</v>
      </c>
      <c r="X48" s="309" t="s">
        <v>260</v>
      </c>
    </row>
    <row r="49" spans="1:24" x14ac:dyDescent="0.2">
      <c r="A49" s="303">
        <v>45</v>
      </c>
      <c r="B49" s="304" t="s">
        <v>399</v>
      </c>
      <c r="C49" s="304" t="s">
        <v>400</v>
      </c>
      <c r="D49" s="304" t="s">
        <v>253</v>
      </c>
      <c r="E49" s="304" t="s">
        <v>328</v>
      </c>
      <c r="F49" s="304" t="s">
        <v>313</v>
      </c>
      <c r="G49" s="304" t="s">
        <v>44</v>
      </c>
      <c r="H49" s="329" t="s">
        <v>786</v>
      </c>
      <c r="I49" s="304" t="s">
        <v>68</v>
      </c>
      <c r="J49" s="304" t="s">
        <v>788</v>
      </c>
      <c r="K49" s="304" t="s">
        <v>257</v>
      </c>
      <c r="L49" s="304" t="s">
        <v>258</v>
      </c>
      <c r="M49" s="305">
        <v>45194</v>
      </c>
      <c r="N49" s="306">
        <v>3.3</v>
      </c>
      <c r="O49" s="307">
        <v>7400</v>
      </c>
      <c r="P49" s="307">
        <v>2500</v>
      </c>
      <c r="Q49" s="307">
        <v>500</v>
      </c>
      <c r="R49" s="307"/>
      <c r="S49" s="307"/>
      <c r="T49" s="307">
        <v>10400</v>
      </c>
      <c r="U49" s="308">
        <v>1</v>
      </c>
      <c r="V49" s="304" t="s">
        <v>259</v>
      </c>
      <c r="W49" s="304">
        <v>200</v>
      </c>
      <c r="X49" s="309" t="s">
        <v>260</v>
      </c>
    </row>
    <row r="50" spans="1:24" x14ac:dyDescent="0.2">
      <c r="A50" s="289">
        <v>46</v>
      </c>
      <c r="B50" s="290" t="s">
        <v>401</v>
      </c>
      <c r="C50" s="290" t="s">
        <v>402</v>
      </c>
      <c r="D50" s="290" t="s">
        <v>253</v>
      </c>
      <c r="E50" s="290" t="s">
        <v>268</v>
      </c>
      <c r="F50" s="290" t="s">
        <v>8</v>
      </c>
      <c r="G50" s="290" t="s">
        <v>269</v>
      </c>
      <c r="H50" s="326" t="s">
        <v>786</v>
      </c>
      <c r="I50" s="290" t="s">
        <v>58</v>
      </c>
      <c r="J50" s="290" t="s">
        <v>403</v>
      </c>
      <c r="K50" s="290" t="s">
        <v>8</v>
      </c>
      <c r="L50" s="290" t="s">
        <v>258</v>
      </c>
      <c r="M50" s="291">
        <v>45170</v>
      </c>
      <c r="N50" s="292">
        <v>3.3</v>
      </c>
      <c r="O50" s="293">
        <v>9000</v>
      </c>
      <c r="P50" s="293">
        <v>2500</v>
      </c>
      <c r="Q50" s="293">
        <v>500</v>
      </c>
      <c r="R50" s="293"/>
      <c r="S50" s="293"/>
      <c r="T50" s="293">
        <v>12000</v>
      </c>
      <c r="U50" s="294">
        <v>1</v>
      </c>
      <c r="V50" s="290" t="s">
        <v>259</v>
      </c>
      <c r="W50" s="290">
        <v>250</v>
      </c>
      <c r="X50" s="295" t="s">
        <v>260</v>
      </c>
    </row>
    <row r="51" spans="1:24" x14ac:dyDescent="0.2">
      <c r="A51" s="303">
        <v>47</v>
      </c>
      <c r="B51" s="304" t="s">
        <v>404</v>
      </c>
      <c r="C51" s="304" t="s">
        <v>405</v>
      </c>
      <c r="D51" s="304" t="s">
        <v>253</v>
      </c>
      <c r="E51" s="304" t="s">
        <v>312</v>
      </c>
      <c r="F51" s="304" t="s">
        <v>313</v>
      </c>
      <c r="G51" s="304" t="s">
        <v>371</v>
      </c>
      <c r="H51" s="329" t="s">
        <v>786</v>
      </c>
      <c r="I51" s="304" t="s">
        <v>73</v>
      </c>
      <c r="J51" s="304" t="s">
        <v>788</v>
      </c>
      <c r="K51" s="304" t="s">
        <v>257</v>
      </c>
      <c r="L51" s="304" t="s">
        <v>258</v>
      </c>
      <c r="M51" s="305">
        <v>44440</v>
      </c>
      <c r="N51" s="306">
        <v>5.3</v>
      </c>
      <c r="O51" s="307">
        <v>9000</v>
      </c>
      <c r="P51" s="307">
        <v>2500</v>
      </c>
      <c r="Q51" s="307">
        <v>500</v>
      </c>
      <c r="R51" s="307"/>
      <c r="S51" s="307">
        <v>1860</v>
      </c>
      <c r="T51" s="307">
        <v>13860</v>
      </c>
      <c r="U51" s="308">
        <v>1</v>
      </c>
      <c r="V51" s="304" t="s">
        <v>259</v>
      </c>
      <c r="W51" s="304">
        <v>250</v>
      </c>
      <c r="X51" s="309" t="s">
        <v>260</v>
      </c>
    </row>
    <row r="52" spans="1:24" x14ac:dyDescent="0.2">
      <c r="A52" s="275">
        <v>48</v>
      </c>
      <c r="B52" s="276" t="s">
        <v>406</v>
      </c>
      <c r="C52" s="276" t="s">
        <v>407</v>
      </c>
      <c r="D52" s="276" t="s">
        <v>253</v>
      </c>
      <c r="E52" s="276" t="s">
        <v>254</v>
      </c>
      <c r="F52" s="276" t="s">
        <v>255</v>
      </c>
      <c r="G52" s="276" t="s">
        <v>256</v>
      </c>
      <c r="H52" s="324" t="s">
        <v>785</v>
      </c>
      <c r="I52" s="276"/>
      <c r="J52" s="276" t="s">
        <v>257</v>
      </c>
      <c r="K52" s="276" t="s">
        <v>255</v>
      </c>
      <c r="L52" s="276" t="s">
        <v>258</v>
      </c>
      <c r="M52" s="277">
        <v>45536</v>
      </c>
      <c r="N52" s="278">
        <v>2.2999999999999998</v>
      </c>
      <c r="O52" s="279">
        <v>7200</v>
      </c>
      <c r="P52" s="279">
        <v>2500</v>
      </c>
      <c r="Q52" s="279">
        <v>500</v>
      </c>
      <c r="R52" s="279"/>
      <c r="S52" s="279"/>
      <c r="T52" s="279">
        <v>10200</v>
      </c>
      <c r="U52" s="280">
        <v>1</v>
      </c>
      <c r="V52" s="276" t="s">
        <v>263</v>
      </c>
      <c r="W52" s="276">
        <v>200</v>
      </c>
      <c r="X52" s="281" t="s">
        <v>260</v>
      </c>
    </row>
    <row r="53" spans="1:24" x14ac:dyDescent="0.2">
      <c r="A53" s="289">
        <v>49</v>
      </c>
      <c r="B53" s="290" t="s">
        <v>408</v>
      </c>
      <c r="C53" s="290" t="s">
        <v>409</v>
      </c>
      <c r="D53" s="290" t="s">
        <v>253</v>
      </c>
      <c r="E53" s="290" t="s">
        <v>312</v>
      </c>
      <c r="F53" s="290" t="s">
        <v>8</v>
      </c>
      <c r="G53" s="290" t="s">
        <v>269</v>
      </c>
      <c r="H53" s="326" t="s">
        <v>786</v>
      </c>
      <c r="I53" s="290" t="s">
        <v>58</v>
      </c>
      <c r="J53" s="290" t="s">
        <v>410</v>
      </c>
      <c r="K53" s="290" t="s">
        <v>8</v>
      </c>
      <c r="L53" s="290" t="s">
        <v>258</v>
      </c>
      <c r="M53" s="291">
        <v>44805</v>
      </c>
      <c r="N53" s="292">
        <v>4.3</v>
      </c>
      <c r="O53" s="293">
        <v>8750</v>
      </c>
      <c r="P53" s="293">
        <v>2500</v>
      </c>
      <c r="Q53" s="293">
        <v>500</v>
      </c>
      <c r="R53" s="293"/>
      <c r="S53" s="293"/>
      <c r="T53" s="293">
        <v>11750</v>
      </c>
      <c r="U53" s="294">
        <v>1</v>
      </c>
      <c r="V53" s="290" t="s">
        <v>263</v>
      </c>
      <c r="W53" s="290">
        <v>250</v>
      </c>
      <c r="X53" s="295" t="s">
        <v>260</v>
      </c>
    </row>
    <row r="54" spans="1:24" x14ac:dyDescent="0.2">
      <c r="A54" s="303">
        <v>50</v>
      </c>
      <c r="B54" s="304" t="s">
        <v>411</v>
      </c>
      <c r="C54" s="304" t="s">
        <v>412</v>
      </c>
      <c r="D54" s="304" t="s">
        <v>253</v>
      </c>
      <c r="E54" s="304" t="s">
        <v>328</v>
      </c>
      <c r="F54" s="304" t="s">
        <v>313</v>
      </c>
      <c r="G54" s="304" t="s">
        <v>395</v>
      </c>
      <c r="H54" s="329" t="s">
        <v>786</v>
      </c>
      <c r="I54" s="304" t="s">
        <v>227</v>
      </c>
      <c r="J54" s="304" t="s">
        <v>788</v>
      </c>
      <c r="K54" s="304" t="s">
        <v>257</v>
      </c>
      <c r="L54" s="304" t="s">
        <v>258</v>
      </c>
      <c r="M54" s="305">
        <v>43054</v>
      </c>
      <c r="N54" s="306">
        <v>9.1</v>
      </c>
      <c r="O54" s="307">
        <v>9250</v>
      </c>
      <c r="P54" s="307">
        <v>2500</v>
      </c>
      <c r="Q54" s="307">
        <v>500</v>
      </c>
      <c r="R54" s="307"/>
      <c r="S54" s="307">
        <v>1100</v>
      </c>
      <c r="T54" s="307">
        <v>13350</v>
      </c>
      <c r="U54" s="308">
        <v>1</v>
      </c>
      <c r="V54" s="304" t="s">
        <v>263</v>
      </c>
      <c r="W54" s="304">
        <v>250</v>
      </c>
      <c r="X54" s="309" t="s">
        <v>260</v>
      </c>
    </row>
    <row r="55" spans="1:24" x14ac:dyDescent="0.2">
      <c r="A55" s="289">
        <v>51</v>
      </c>
      <c r="B55" s="290" t="s">
        <v>413</v>
      </c>
      <c r="C55" s="290" t="s">
        <v>414</v>
      </c>
      <c r="D55" s="290" t="s">
        <v>253</v>
      </c>
      <c r="E55" s="290" t="s">
        <v>268</v>
      </c>
      <c r="F55" s="290" t="s">
        <v>8</v>
      </c>
      <c r="G55" s="290" t="s">
        <v>269</v>
      </c>
      <c r="H55" s="326" t="s">
        <v>786</v>
      </c>
      <c r="I55" s="290" t="s">
        <v>58</v>
      </c>
      <c r="J55" s="290" t="s">
        <v>415</v>
      </c>
      <c r="K55" s="290" t="s">
        <v>8</v>
      </c>
      <c r="L55" s="290" t="s">
        <v>258</v>
      </c>
      <c r="M55" s="291">
        <v>44805</v>
      </c>
      <c r="N55" s="292">
        <v>4.3</v>
      </c>
      <c r="O55" s="293">
        <v>8750</v>
      </c>
      <c r="P55" s="293">
        <v>2500</v>
      </c>
      <c r="Q55" s="293">
        <v>500</v>
      </c>
      <c r="R55" s="293"/>
      <c r="S55" s="293"/>
      <c r="T55" s="293">
        <v>11750</v>
      </c>
      <c r="U55" s="294">
        <v>1</v>
      </c>
      <c r="V55" s="290" t="s">
        <v>263</v>
      </c>
      <c r="W55" s="290">
        <v>250</v>
      </c>
      <c r="X55" s="295" t="s">
        <v>260</v>
      </c>
    </row>
    <row r="56" spans="1:24" x14ac:dyDescent="0.2">
      <c r="A56" s="303">
        <v>52</v>
      </c>
      <c r="B56" s="304" t="s">
        <v>416</v>
      </c>
      <c r="C56" s="304" t="s">
        <v>417</v>
      </c>
      <c r="D56" s="304" t="s">
        <v>253</v>
      </c>
      <c r="E56" s="304" t="s">
        <v>328</v>
      </c>
      <c r="F56" s="304" t="s">
        <v>313</v>
      </c>
      <c r="G56" s="304" t="s">
        <v>44</v>
      </c>
      <c r="H56" s="329" t="s">
        <v>786</v>
      </c>
      <c r="I56" s="304" t="s">
        <v>68</v>
      </c>
      <c r="J56" s="304" t="s">
        <v>418</v>
      </c>
      <c r="K56" s="304" t="s">
        <v>257</v>
      </c>
      <c r="L56" s="304" t="s">
        <v>258</v>
      </c>
      <c r="M56" s="305">
        <v>41153</v>
      </c>
      <c r="N56" s="306">
        <v>14.3</v>
      </c>
      <c r="O56" s="307">
        <v>10250</v>
      </c>
      <c r="P56" s="307">
        <v>2500</v>
      </c>
      <c r="Q56" s="307">
        <v>500</v>
      </c>
      <c r="R56" s="307"/>
      <c r="S56" s="307"/>
      <c r="T56" s="307">
        <v>13250</v>
      </c>
      <c r="U56" s="308">
        <v>1</v>
      </c>
      <c r="V56" s="304" t="s">
        <v>263</v>
      </c>
      <c r="W56" s="304">
        <v>250</v>
      </c>
      <c r="X56" s="309" t="s">
        <v>260</v>
      </c>
    </row>
    <row r="57" spans="1:24" x14ac:dyDescent="0.2">
      <c r="A57" s="296">
        <v>53</v>
      </c>
      <c r="B57" s="297" t="s">
        <v>419</v>
      </c>
      <c r="C57" s="297" t="s">
        <v>420</v>
      </c>
      <c r="D57" s="297" t="s">
        <v>253</v>
      </c>
      <c r="E57" s="297" t="s">
        <v>421</v>
      </c>
      <c r="F57" s="297" t="s">
        <v>277</v>
      </c>
      <c r="G57" s="297" t="s">
        <v>392</v>
      </c>
      <c r="H57" s="327" t="s">
        <v>785</v>
      </c>
      <c r="I57" s="297"/>
      <c r="J57" s="297" t="s">
        <v>277</v>
      </c>
      <c r="K57" s="297" t="s">
        <v>277</v>
      </c>
      <c r="L57" s="297" t="s">
        <v>258</v>
      </c>
      <c r="M57" s="298">
        <v>44440</v>
      </c>
      <c r="N57" s="299">
        <v>5.3</v>
      </c>
      <c r="O57" s="300">
        <v>13250</v>
      </c>
      <c r="P57" s="300">
        <v>2500</v>
      </c>
      <c r="Q57" s="300">
        <v>500</v>
      </c>
      <c r="R57" s="300">
        <v>500</v>
      </c>
      <c r="S57" s="300"/>
      <c r="T57" s="300">
        <v>16750</v>
      </c>
      <c r="U57" s="301">
        <v>1</v>
      </c>
      <c r="V57" s="297" t="s">
        <v>259</v>
      </c>
      <c r="W57" s="297">
        <v>250</v>
      </c>
      <c r="X57" s="302" t="s">
        <v>260</v>
      </c>
    </row>
    <row r="58" spans="1:24" x14ac:dyDescent="0.2">
      <c r="A58" s="289">
        <v>54</v>
      </c>
      <c r="B58" s="290" t="s">
        <v>422</v>
      </c>
      <c r="C58" s="290" t="s">
        <v>423</v>
      </c>
      <c r="D58" s="290" t="s">
        <v>253</v>
      </c>
      <c r="E58" s="290" t="s">
        <v>312</v>
      </c>
      <c r="F58" s="290" t="s">
        <v>8</v>
      </c>
      <c r="G58" s="290" t="s">
        <v>424</v>
      </c>
      <c r="H58" s="326" t="s">
        <v>786</v>
      </c>
      <c r="I58" s="290" t="s">
        <v>58</v>
      </c>
      <c r="J58" s="290" t="s">
        <v>424</v>
      </c>
      <c r="K58" s="290" t="s">
        <v>8</v>
      </c>
      <c r="L58" s="290" t="s">
        <v>258</v>
      </c>
      <c r="M58" s="291">
        <v>45170</v>
      </c>
      <c r="N58" s="292">
        <v>3.3</v>
      </c>
      <c r="O58" s="293">
        <v>10250</v>
      </c>
      <c r="P58" s="293">
        <v>2500</v>
      </c>
      <c r="Q58" s="293">
        <v>500</v>
      </c>
      <c r="R58" s="293"/>
      <c r="S58" s="293"/>
      <c r="T58" s="293">
        <v>13250</v>
      </c>
      <c r="U58" s="294">
        <v>1</v>
      </c>
      <c r="V58" s="290" t="s">
        <v>263</v>
      </c>
      <c r="W58" s="290">
        <v>1250</v>
      </c>
      <c r="X58" s="295" t="s">
        <v>260</v>
      </c>
    </row>
    <row r="59" spans="1:24" x14ac:dyDescent="0.2">
      <c r="A59" s="303">
        <v>55</v>
      </c>
      <c r="B59" s="304" t="s">
        <v>425</v>
      </c>
      <c r="C59" s="304" t="s">
        <v>426</v>
      </c>
      <c r="D59" s="304" t="s">
        <v>253</v>
      </c>
      <c r="E59" s="304" t="s">
        <v>312</v>
      </c>
      <c r="F59" s="304" t="s">
        <v>313</v>
      </c>
      <c r="G59" s="304" t="s">
        <v>361</v>
      </c>
      <c r="H59" s="329" t="s">
        <v>786</v>
      </c>
      <c r="I59" s="304" t="s">
        <v>104</v>
      </c>
      <c r="J59" s="304" t="s">
        <v>788</v>
      </c>
      <c r="K59" s="304" t="s">
        <v>257</v>
      </c>
      <c r="L59" s="304" t="s">
        <v>258</v>
      </c>
      <c r="M59" s="305">
        <v>44440</v>
      </c>
      <c r="N59" s="306">
        <v>5.3</v>
      </c>
      <c r="O59" s="307">
        <v>8250</v>
      </c>
      <c r="P59" s="307">
        <v>2292</v>
      </c>
      <c r="Q59" s="307">
        <v>458</v>
      </c>
      <c r="R59" s="307"/>
      <c r="S59" s="307"/>
      <c r="T59" s="307">
        <v>11000</v>
      </c>
      <c r="U59" s="308">
        <v>0.91666666666666696</v>
      </c>
      <c r="V59" s="304" t="s">
        <v>259</v>
      </c>
      <c r="W59" s="304">
        <v>250</v>
      </c>
      <c r="X59" s="309" t="s">
        <v>260</v>
      </c>
    </row>
    <row r="60" spans="1:24" x14ac:dyDescent="0.2">
      <c r="A60" s="303">
        <v>56</v>
      </c>
      <c r="B60" s="304" t="s">
        <v>427</v>
      </c>
      <c r="C60" s="304" t="s">
        <v>428</v>
      </c>
      <c r="D60" s="304" t="s">
        <v>253</v>
      </c>
      <c r="E60" s="304" t="s">
        <v>312</v>
      </c>
      <c r="F60" s="304" t="s">
        <v>313</v>
      </c>
      <c r="G60" s="304" t="s">
        <v>314</v>
      </c>
      <c r="H60" s="329" t="s">
        <v>786</v>
      </c>
      <c r="I60" s="304" t="s">
        <v>101</v>
      </c>
      <c r="J60" s="304" t="s">
        <v>429</v>
      </c>
      <c r="K60" s="304" t="s">
        <v>257</v>
      </c>
      <c r="L60" s="304" t="s">
        <v>258</v>
      </c>
      <c r="M60" s="305">
        <v>44440</v>
      </c>
      <c r="N60" s="306">
        <v>5.3</v>
      </c>
      <c r="O60" s="307">
        <v>10750</v>
      </c>
      <c r="P60" s="307">
        <v>2500</v>
      </c>
      <c r="Q60" s="307">
        <v>500</v>
      </c>
      <c r="R60" s="307"/>
      <c r="S60" s="307">
        <v>900</v>
      </c>
      <c r="T60" s="307">
        <v>14650</v>
      </c>
      <c r="U60" s="308">
        <v>1</v>
      </c>
      <c r="V60" s="304" t="s">
        <v>259</v>
      </c>
      <c r="W60" s="304">
        <v>250</v>
      </c>
      <c r="X60" s="309" t="s">
        <v>260</v>
      </c>
    </row>
    <row r="61" spans="1:24" x14ac:dyDescent="0.2">
      <c r="A61" s="282">
        <v>57</v>
      </c>
      <c r="B61" s="283" t="s">
        <v>430</v>
      </c>
      <c r="C61" s="283" t="s">
        <v>431</v>
      </c>
      <c r="D61" s="283" t="s">
        <v>253</v>
      </c>
      <c r="E61" s="283" t="s">
        <v>268</v>
      </c>
      <c r="F61" s="283" t="s">
        <v>8</v>
      </c>
      <c r="G61" s="283" t="s">
        <v>269</v>
      </c>
      <c r="H61" s="325" t="s">
        <v>786</v>
      </c>
      <c r="I61" s="283" t="s">
        <v>58</v>
      </c>
      <c r="J61" s="283" t="s">
        <v>432</v>
      </c>
      <c r="K61" s="283" t="s">
        <v>4</v>
      </c>
      <c r="L61" s="283" t="s">
        <v>258</v>
      </c>
      <c r="M61" s="284">
        <v>42248</v>
      </c>
      <c r="N61" s="285">
        <v>11.3</v>
      </c>
      <c r="O61" s="286">
        <v>12000</v>
      </c>
      <c r="P61" s="286">
        <v>2500</v>
      </c>
      <c r="Q61" s="286">
        <v>500</v>
      </c>
      <c r="R61" s="286"/>
      <c r="S61" s="286"/>
      <c r="T61" s="286">
        <v>15000</v>
      </c>
      <c r="U61" s="287">
        <v>1</v>
      </c>
      <c r="V61" s="283" t="s">
        <v>263</v>
      </c>
      <c r="W61" s="283">
        <v>250</v>
      </c>
      <c r="X61" s="288" t="s">
        <v>260</v>
      </c>
    </row>
    <row r="62" spans="1:24" x14ac:dyDescent="0.2">
      <c r="A62" s="282">
        <v>58</v>
      </c>
      <c r="B62" s="283" t="s">
        <v>433</v>
      </c>
      <c r="C62" s="283" t="s">
        <v>434</v>
      </c>
      <c r="D62" s="283" t="s">
        <v>253</v>
      </c>
      <c r="E62" s="283" t="s">
        <v>268</v>
      </c>
      <c r="F62" s="283" t="s">
        <v>8</v>
      </c>
      <c r="G62" s="283" t="s">
        <v>269</v>
      </c>
      <c r="H62" s="325" t="s">
        <v>786</v>
      </c>
      <c r="I62" s="283" t="s">
        <v>58</v>
      </c>
      <c r="J62" s="283" t="s">
        <v>435</v>
      </c>
      <c r="K62" s="283" t="s">
        <v>4</v>
      </c>
      <c r="L62" s="283" t="s">
        <v>258</v>
      </c>
      <c r="M62" s="284">
        <v>45901</v>
      </c>
      <c r="N62" s="285">
        <v>1.3</v>
      </c>
      <c r="O62" s="286">
        <v>8250</v>
      </c>
      <c r="P62" s="286">
        <v>2500</v>
      </c>
      <c r="Q62" s="286">
        <v>500</v>
      </c>
      <c r="R62" s="286"/>
      <c r="S62" s="286"/>
      <c r="T62" s="286">
        <v>11250</v>
      </c>
      <c r="U62" s="287">
        <v>1</v>
      </c>
      <c r="V62" s="283" t="s">
        <v>259</v>
      </c>
      <c r="W62" s="283" t="s">
        <v>273</v>
      </c>
      <c r="X62" s="288" t="s">
        <v>260</v>
      </c>
    </row>
    <row r="63" spans="1:24" x14ac:dyDescent="0.2">
      <c r="A63" s="303">
        <v>59</v>
      </c>
      <c r="B63" s="304" t="s">
        <v>436</v>
      </c>
      <c r="C63" s="304" t="s">
        <v>437</v>
      </c>
      <c r="D63" s="304" t="s">
        <v>253</v>
      </c>
      <c r="E63" s="304" t="s">
        <v>328</v>
      </c>
      <c r="F63" s="304" t="s">
        <v>313</v>
      </c>
      <c r="G63" s="357" t="s">
        <v>44</v>
      </c>
      <c r="H63" s="329" t="s">
        <v>786</v>
      </c>
      <c r="I63" s="357" t="s">
        <v>68</v>
      </c>
      <c r="J63" s="357" t="s">
        <v>788</v>
      </c>
      <c r="K63" s="304" t="s">
        <v>257</v>
      </c>
      <c r="L63" s="304" t="s">
        <v>258</v>
      </c>
      <c r="M63" s="305">
        <v>45901</v>
      </c>
      <c r="N63" s="306">
        <v>1.3</v>
      </c>
      <c r="O63" s="307">
        <v>8750</v>
      </c>
      <c r="P63" s="307">
        <v>2500</v>
      </c>
      <c r="Q63" s="307">
        <v>500</v>
      </c>
      <c r="R63" s="307"/>
      <c r="S63" s="307"/>
      <c r="T63" s="307">
        <v>11750</v>
      </c>
      <c r="U63" s="308">
        <v>1</v>
      </c>
      <c r="V63" s="304" t="s">
        <v>259</v>
      </c>
      <c r="W63" s="304" t="s">
        <v>273</v>
      </c>
      <c r="X63" s="309" t="s">
        <v>260</v>
      </c>
    </row>
    <row r="64" spans="1:24" x14ac:dyDescent="0.2">
      <c r="A64" s="289">
        <v>60</v>
      </c>
      <c r="B64" s="290" t="s">
        <v>438</v>
      </c>
      <c r="C64" s="290" t="s">
        <v>439</v>
      </c>
      <c r="D64" s="290" t="s">
        <v>253</v>
      </c>
      <c r="E64" s="290" t="s">
        <v>268</v>
      </c>
      <c r="F64" s="290" t="s">
        <v>8</v>
      </c>
      <c r="G64" s="290" t="s">
        <v>269</v>
      </c>
      <c r="H64" s="326" t="s">
        <v>786</v>
      </c>
      <c r="I64" s="290" t="s">
        <v>58</v>
      </c>
      <c r="J64" s="290" t="s">
        <v>787</v>
      </c>
      <c r="K64" s="290" t="s">
        <v>8</v>
      </c>
      <c r="L64" s="290" t="s">
        <v>258</v>
      </c>
      <c r="M64" s="291">
        <v>45901</v>
      </c>
      <c r="N64" s="292">
        <v>1.3</v>
      </c>
      <c r="O64" s="293">
        <v>8750</v>
      </c>
      <c r="P64" s="293">
        <v>2500</v>
      </c>
      <c r="Q64" s="293">
        <v>500</v>
      </c>
      <c r="R64" s="293"/>
      <c r="S64" s="293"/>
      <c r="T64" s="293">
        <v>11750</v>
      </c>
      <c r="U64" s="294">
        <v>1</v>
      </c>
      <c r="V64" s="290" t="s">
        <v>263</v>
      </c>
      <c r="W64" s="290" t="s">
        <v>273</v>
      </c>
      <c r="X64" s="295" t="s">
        <v>260</v>
      </c>
    </row>
    <row r="65" spans="1:24" x14ac:dyDescent="0.2">
      <c r="A65" s="282">
        <v>61</v>
      </c>
      <c r="B65" s="283" t="s">
        <v>440</v>
      </c>
      <c r="C65" s="283" t="s">
        <v>341</v>
      </c>
      <c r="D65" s="283" t="s">
        <v>253</v>
      </c>
      <c r="E65" s="283" t="s">
        <v>365</v>
      </c>
      <c r="F65" s="283" t="s">
        <v>4</v>
      </c>
      <c r="G65" s="283" t="s">
        <v>120</v>
      </c>
      <c r="H65" s="330" t="s">
        <v>785</v>
      </c>
      <c r="I65" s="283"/>
      <c r="J65" s="283" t="s">
        <v>309</v>
      </c>
      <c r="K65" s="283" t="s">
        <v>4</v>
      </c>
      <c r="L65" s="283" t="s">
        <v>258</v>
      </c>
      <c r="M65" s="284">
        <v>44440</v>
      </c>
      <c r="N65" s="285">
        <v>5.3</v>
      </c>
      <c r="O65" s="286">
        <v>6800</v>
      </c>
      <c r="P65" s="286">
        <v>2500</v>
      </c>
      <c r="Q65" s="286">
        <v>500</v>
      </c>
      <c r="R65" s="286"/>
      <c r="S65" s="286"/>
      <c r="T65" s="286">
        <v>9800</v>
      </c>
      <c r="U65" s="287">
        <v>1</v>
      </c>
      <c r="V65" s="283" t="s">
        <v>263</v>
      </c>
      <c r="W65" s="283">
        <v>200</v>
      </c>
      <c r="X65" s="288" t="s">
        <v>260</v>
      </c>
    </row>
    <row r="66" spans="1:24" x14ac:dyDescent="0.2">
      <c r="A66" s="275">
        <v>62</v>
      </c>
      <c r="B66" s="276" t="s">
        <v>441</v>
      </c>
      <c r="C66" s="276" t="s">
        <v>442</v>
      </c>
      <c r="D66" s="276" t="s">
        <v>253</v>
      </c>
      <c r="E66" s="276" t="s">
        <v>443</v>
      </c>
      <c r="F66" s="276" t="s">
        <v>313</v>
      </c>
      <c r="G66" s="276" t="s">
        <v>256</v>
      </c>
      <c r="H66" s="324" t="s">
        <v>785</v>
      </c>
      <c r="I66" s="276"/>
      <c r="J66" s="276" t="s">
        <v>257</v>
      </c>
      <c r="K66" s="276" t="s">
        <v>255</v>
      </c>
      <c r="L66" s="276" t="s">
        <v>258</v>
      </c>
      <c r="M66" s="277">
        <v>40057</v>
      </c>
      <c r="N66" s="278">
        <v>17.3</v>
      </c>
      <c r="O66" s="279">
        <v>11000</v>
      </c>
      <c r="P66" s="279">
        <v>2500</v>
      </c>
      <c r="Q66" s="279">
        <v>500</v>
      </c>
      <c r="R66" s="279">
        <v>2500</v>
      </c>
      <c r="S66" s="279"/>
      <c r="T66" s="279">
        <v>16500</v>
      </c>
      <c r="U66" s="280">
        <v>1</v>
      </c>
      <c r="V66" s="276" t="s">
        <v>263</v>
      </c>
      <c r="W66" s="276" t="s">
        <v>444</v>
      </c>
      <c r="X66" s="281" t="s">
        <v>260</v>
      </c>
    </row>
    <row r="67" spans="1:24" x14ac:dyDescent="0.2">
      <c r="A67" s="296">
        <v>63</v>
      </c>
      <c r="B67" s="297" t="s">
        <v>445</v>
      </c>
      <c r="C67" s="297" t="s">
        <v>446</v>
      </c>
      <c r="D67" s="297" t="s">
        <v>253</v>
      </c>
      <c r="E67" s="297" t="s">
        <v>447</v>
      </c>
      <c r="F67" s="297" t="s">
        <v>277</v>
      </c>
      <c r="G67" s="297" t="s">
        <v>448</v>
      </c>
      <c r="H67" s="327" t="s">
        <v>785</v>
      </c>
      <c r="I67" s="297"/>
      <c r="J67" s="297" t="s">
        <v>277</v>
      </c>
      <c r="K67" s="297" t="s">
        <v>277</v>
      </c>
      <c r="L67" s="297" t="s">
        <v>258</v>
      </c>
      <c r="M67" s="298">
        <v>44440</v>
      </c>
      <c r="N67" s="299">
        <v>5.3</v>
      </c>
      <c r="O67" s="300">
        <v>12500</v>
      </c>
      <c r="P67" s="300">
        <v>2500</v>
      </c>
      <c r="Q67" s="300">
        <v>500</v>
      </c>
      <c r="R67" s="300">
        <v>500</v>
      </c>
      <c r="S67" s="300"/>
      <c r="T67" s="300">
        <v>16000</v>
      </c>
      <c r="U67" s="301">
        <v>1</v>
      </c>
      <c r="V67" s="297" t="s">
        <v>259</v>
      </c>
      <c r="W67" s="297" t="s">
        <v>449</v>
      </c>
      <c r="X67" s="302" t="s">
        <v>260</v>
      </c>
    </row>
    <row r="68" spans="1:24" x14ac:dyDescent="0.2">
      <c r="A68" s="303">
        <v>64</v>
      </c>
      <c r="B68" s="304" t="s">
        <v>450</v>
      </c>
      <c r="C68" s="304" t="s">
        <v>451</v>
      </c>
      <c r="D68" s="304" t="s">
        <v>253</v>
      </c>
      <c r="E68" s="304" t="s">
        <v>312</v>
      </c>
      <c r="F68" s="304" t="s">
        <v>313</v>
      </c>
      <c r="G68" s="304" t="s">
        <v>314</v>
      </c>
      <c r="H68" s="329" t="s">
        <v>786</v>
      </c>
      <c r="I68" s="304" t="s">
        <v>101</v>
      </c>
      <c r="J68" s="304" t="s">
        <v>452</v>
      </c>
      <c r="K68" s="304" t="s">
        <v>257</v>
      </c>
      <c r="L68" s="304" t="s">
        <v>258</v>
      </c>
      <c r="M68" s="305">
        <v>44075</v>
      </c>
      <c r="N68" s="306">
        <v>6.3</v>
      </c>
      <c r="O68" s="307">
        <v>12000</v>
      </c>
      <c r="P68" s="307">
        <v>2500</v>
      </c>
      <c r="Q68" s="307">
        <v>500</v>
      </c>
      <c r="R68" s="307"/>
      <c r="S68" s="307">
        <v>1300</v>
      </c>
      <c r="T68" s="307">
        <v>16300</v>
      </c>
      <c r="U68" s="308">
        <v>1</v>
      </c>
      <c r="V68" s="304" t="s">
        <v>259</v>
      </c>
      <c r="W68" s="304">
        <v>250</v>
      </c>
      <c r="X68" s="309" t="s">
        <v>260</v>
      </c>
    </row>
    <row r="69" spans="1:24" x14ac:dyDescent="0.2">
      <c r="A69" s="289">
        <v>65</v>
      </c>
      <c r="B69" s="290" t="s">
        <v>453</v>
      </c>
      <c r="C69" s="290" t="s">
        <v>454</v>
      </c>
      <c r="D69" s="290" t="s">
        <v>253</v>
      </c>
      <c r="E69" s="290" t="s">
        <v>268</v>
      </c>
      <c r="F69" s="290" t="s">
        <v>8</v>
      </c>
      <c r="G69" s="290" t="s">
        <v>269</v>
      </c>
      <c r="H69" s="326" t="s">
        <v>786</v>
      </c>
      <c r="I69" s="290" t="s">
        <v>58</v>
      </c>
      <c r="J69" s="290" t="s">
        <v>455</v>
      </c>
      <c r="K69" s="290" t="s">
        <v>8</v>
      </c>
      <c r="L69" s="290" t="s">
        <v>258</v>
      </c>
      <c r="M69" s="291">
        <v>45170</v>
      </c>
      <c r="N69" s="292">
        <v>3.3</v>
      </c>
      <c r="O69" s="293">
        <v>9500</v>
      </c>
      <c r="P69" s="293">
        <v>2500</v>
      </c>
      <c r="Q69" s="293">
        <v>500</v>
      </c>
      <c r="R69" s="293"/>
      <c r="S69" s="293"/>
      <c r="T69" s="293">
        <v>12500</v>
      </c>
      <c r="U69" s="294">
        <v>1</v>
      </c>
      <c r="V69" s="290" t="s">
        <v>259</v>
      </c>
      <c r="W69" s="290">
        <v>250</v>
      </c>
      <c r="X69" s="295" t="s">
        <v>260</v>
      </c>
    </row>
    <row r="70" spans="1:24" x14ac:dyDescent="0.2">
      <c r="A70" s="282">
        <v>66</v>
      </c>
      <c r="B70" s="283" t="s">
        <v>456</v>
      </c>
      <c r="C70" s="283" t="s">
        <v>457</v>
      </c>
      <c r="D70" s="283" t="s">
        <v>253</v>
      </c>
      <c r="E70" s="283" t="s">
        <v>365</v>
      </c>
      <c r="F70" s="283" t="s">
        <v>4</v>
      </c>
      <c r="G70" s="283" t="s">
        <v>120</v>
      </c>
      <c r="H70" s="330" t="s">
        <v>785</v>
      </c>
      <c r="I70" s="283"/>
      <c r="J70" s="283" t="s">
        <v>432</v>
      </c>
      <c r="K70" s="283" t="s">
        <v>4</v>
      </c>
      <c r="L70" s="283" t="s">
        <v>258</v>
      </c>
      <c r="M70" s="284">
        <v>42979</v>
      </c>
      <c r="N70" s="285">
        <v>9.3000000000000007</v>
      </c>
      <c r="O70" s="286">
        <v>7200</v>
      </c>
      <c r="P70" s="286">
        <v>2500</v>
      </c>
      <c r="Q70" s="286">
        <v>500</v>
      </c>
      <c r="R70" s="286"/>
      <c r="S70" s="286"/>
      <c r="T70" s="286">
        <v>10200</v>
      </c>
      <c r="U70" s="287">
        <v>1</v>
      </c>
      <c r="V70" s="283" t="s">
        <v>263</v>
      </c>
      <c r="W70" s="283">
        <v>200</v>
      </c>
      <c r="X70" s="288" t="s">
        <v>260</v>
      </c>
    </row>
    <row r="71" spans="1:24" x14ac:dyDescent="0.2">
      <c r="A71" s="275">
        <v>67</v>
      </c>
      <c r="B71" s="276" t="s">
        <v>458</v>
      </c>
      <c r="C71" s="276" t="s">
        <v>459</v>
      </c>
      <c r="D71" s="276" t="s">
        <v>253</v>
      </c>
      <c r="E71" s="276" t="s">
        <v>460</v>
      </c>
      <c r="F71" s="276" t="s">
        <v>255</v>
      </c>
      <c r="G71" s="276" t="s">
        <v>461</v>
      </c>
      <c r="H71" s="324" t="s">
        <v>785</v>
      </c>
      <c r="I71" s="276"/>
      <c r="J71" s="276" t="s">
        <v>355</v>
      </c>
      <c r="K71" s="276" t="s">
        <v>255</v>
      </c>
      <c r="L71" s="276" t="s">
        <v>258</v>
      </c>
      <c r="M71" s="277">
        <v>44805</v>
      </c>
      <c r="N71" s="278">
        <v>4.3</v>
      </c>
      <c r="O71" s="279">
        <v>9500</v>
      </c>
      <c r="P71" s="279">
        <v>2500</v>
      </c>
      <c r="Q71" s="279">
        <v>500</v>
      </c>
      <c r="R71" s="279"/>
      <c r="S71" s="279"/>
      <c r="T71" s="279">
        <v>12500</v>
      </c>
      <c r="U71" s="280">
        <v>1</v>
      </c>
      <c r="V71" s="276" t="s">
        <v>263</v>
      </c>
      <c r="W71" s="276">
        <v>250</v>
      </c>
      <c r="X71" s="281" t="s">
        <v>260</v>
      </c>
    </row>
    <row r="72" spans="1:24" x14ac:dyDescent="0.2">
      <c r="A72" s="289">
        <v>68</v>
      </c>
      <c r="B72" s="290" t="s">
        <v>462</v>
      </c>
      <c r="C72" s="290" t="s">
        <v>463</v>
      </c>
      <c r="D72" s="290" t="s">
        <v>253</v>
      </c>
      <c r="E72" s="290" t="s">
        <v>287</v>
      </c>
      <c r="F72" s="290" t="s">
        <v>8</v>
      </c>
      <c r="G72" s="290" t="s">
        <v>44</v>
      </c>
      <c r="H72" s="326" t="s">
        <v>786</v>
      </c>
      <c r="I72" s="290" t="s">
        <v>67</v>
      </c>
      <c r="J72" s="290" t="s">
        <v>288</v>
      </c>
      <c r="K72" s="290" t="s">
        <v>289</v>
      </c>
      <c r="L72" s="290" t="s">
        <v>258</v>
      </c>
      <c r="M72" s="291">
        <v>40787</v>
      </c>
      <c r="N72" s="292">
        <v>15.3</v>
      </c>
      <c r="O72" s="293">
        <v>10500</v>
      </c>
      <c r="P72" s="293">
        <v>2500</v>
      </c>
      <c r="Q72" s="293">
        <v>500</v>
      </c>
      <c r="R72" s="293"/>
      <c r="S72" s="293">
        <v>1952</v>
      </c>
      <c r="T72" s="293">
        <v>15452</v>
      </c>
      <c r="U72" s="294">
        <v>1</v>
      </c>
      <c r="V72" s="290" t="s">
        <v>259</v>
      </c>
      <c r="W72" s="290">
        <v>250</v>
      </c>
      <c r="X72" s="295" t="s">
        <v>260</v>
      </c>
    </row>
    <row r="73" spans="1:24" x14ac:dyDescent="0.2">
      <c r="A73" s="303">
        <v>69</v>
      </c>
      <c r="B73" s="304" t="s">
        <v>464</v>
      </c>
      <c r="C73" s="304" t="s">
        <v>465</v>
      </c>
      <c r="D73" s="304" t="s">
        <v>253</v>
      </c>
      <c r="E73" s="304" t="s">
        <v>312</v>
      </c>
      <c r="F73" s="304" t="s">
        <v>313</v>
      </c>
      <c r="G73" s="304" t="s">
        <v>361</v>
      </c>
      <c r="H73" s="329" t="s">
        <v>786</v>
      </c>
      <c r="I73" s="304" t="s">
        <v>104</v>
      </c>
      <c r="J73" s="304" t="s">
        <v>788</v>
      </c>
      <c r="K73" s="304" t="s">
        <v>257</v>
      </c>
      <c r="L73" s="304" t="s">
        <v>258</v>
      </c>
      <c r="M73" s="305">
        <v>44805</v>
      </c>
      <c r="N73" s="306">
        <v>4.3</v>
      </c>
      <c r="O73" s="307">
        <v>9750</v>
      </c>
      <c r="P73" s="307">
        <v>2500</v>
      </c>
      <c r="Q73" s="307">
        <v>500</v>
      </c>
      <c r="R73" s="307"/>
      <c r="S73" s="307">
        <v>1100</v>
      </c>
      <c r="T73" s="307">
        <v>13850</v>
      </c>
      <c r="U73" s="308">
        <v>1</v>
      </c>
      <c r="V73" s="304" t="s">
        <v>259</v>
      </c>
      <c r="W73" s="304">
        <v>250</v>
      </c>
      <c r="X73" s="309" t="s">
        <v>260</v>
      </c>
    </row>
    <row r="74" spans="1:24" x14ac:dyDescent="0.2">
      <c r="A74" s="303">
        <v>70</v>
      </c>
      <c r="B74" s="304" t="s">
        <v>466</v>
      </c>
      <c r="C74" s="304" t="s">
        <v>467</v>
      </c>
      <c r="D74" s="304" t="s">
        <v>253</v>
      </c>
      <c r="E74" s="304" t="s">
        <v>312</v>
      </c>
      <c r="F74" s="304" t="s">
        <v>313</v>
      </c>
      <c r="G74" s="304" t="s">
        <v>318</v>
      </c>
      <c r="H74" s="329" t="s">
        <v>786</v>
      </c>
      <c r="I74" s="328" t="s">
        <v>318</v>
      </c>
      <c r="J74" s="304" t="s">
        <v>319</v>
      </c>
      <c r="K74" s="304" t="s">
        <v>257</v>
      </c>
      <c r="L74" s="304" t="s">
        <v>258</v>
      </c>
      <c r="M74" s="305">
        <v>45536</v>
      </c>
      <c r="N74" s="306">
        <v>2.2999999999999998</v>
      </c>
      <c r="O74" s="307">
        <v>9250</v>
      </c>
      <c r="P74" s="307">
        <v>2500</v>
      </c>
      <c r="Q74" s="307">
        <v>500</v>
      </c>
      <c r="R74" s="307"/>
      <c r="S74" s="307"/>
      <c r="T74" s="307">
        <v>12250</v>
      </c>
      <c r="U74" s="308">
        <v>1</v>
      </c>
      <c r="V74" s="304" t="s">
        <v>263</v>
      </c>
      <c r="W74" s="304" t="s">
        <v>273</v>
      </c>
      <c r="X74" s="309" t="s">
        <v>260</v>
      </c>
    </row>
    <row r="75" spans="1:24" x14ac:dyDescent="0.2">
      <c r="A75" s="282">
        <v>71</v>
      </c>
      <c r="B75" s="283" t="s">
        <v>468</v>
      </c>
      <c r="C75" s="283" t="s">
        <v>414</v>
      </c>
      <c r="D75" s="283" t="s">
        <v>253</v>
      </c>
      <c r="E75" s="283" t="s">
        <v>365</v>
      </c>
      <c r="F75" s="283" t="s">
        <v>4</v>
      </c>
      <c r="G75" s="283" t="s">
        <v>120</v>
      </c>
      <c r="H75" s="330" t="s">
        <v>785</v>
      </c>
      <c r="I75" s="283"/>
      <c r="J75" s="283" t="s">
        <v>469</v>
      </c>
      <c r="K75" s="283" t="s">
        <v>4</v>
      </c>
      <c r="L75" s="283" t="s">
        <v>258</v>
      </c>
      <c r="M75" s="284">
        <v>43709</v>
      </c>
      <c r="N75" s="285">
        <v>7.3</v>
      </c>
      <c r="O75" s="286">
        <v>7400</v>
      </c>
      <c r="P75" s="286">
        <v>2500</v>
      </c>
      <c r="Q75" s="286">
        <v>500</v>
      </c>
      <c r="R75" s="286"/>
      <c r="S75" s="286"/>
      <c r="T75" s="286">
        <v>10400</v>
      </c>
      <c r="U75" s="287">
        <v>1</v>
      </c>
      <c r="V75" s="283" t="s">
        <v>263</v>
      </c>
      <c r="W75" s="283">
        <v>200</v>
      </c>
      <c r="X75" s="288" t="s">
        <v>260</v>
      </c>
    </row>
    <row r="76" spans="1:24" x14ac:dyDescent="0.2">
      <c r="A76" s="275">
        <v>72</v>
      </c>
      <c r="B76" s="276" t="s">
        <v>470</v>
      </c>
      <c r="C76" s="276" t="s">
        <v>471</v>
      </c>
      <c r="D76" s="276" t="s">
        <v>253</v>
      </c>
      <c r="E76" s="276" t="s">
        <v>254</v>
      </c>
      <c r="F76" s="276" t="s">
        <v>255</v>
      </c>
      <c r="G76" s="276" t="s">
        <v>256</v>
      </c>
      <c r="H76" s="324" t="s">
        <v>785</v>
      </c>
      <c r="I76" s="276"/>
      <c r="J76" s="276" t="s">
        <v>257</v>
      </c>
      <c r="K76" s="276" t="s">
        <v>255</v>
      </c>
      <c r="L76" s="276" t="s">
        <v>258</v>
      </c>
      <c r="M76" s="277">
        <v>45536</v>
      </c>
      <c r="N76" s="278">
        <v>2.2999999999999998</v>
      </c>
      <c r="O76" s="279">
        <v>7200</v>
      </c>
      <c r="P76" s="279">
        <v>2500</v>
      </c>
      <c r="Q76" s="279">
        <v>500</v>
      </c>
      <c r="R76" s="279"/>
      <c r="S76" s="279"/>
      <c r="T76" s="279">
        <v>10200</v>
      </c>
      <c r="U76" s="280">
        <v>1</v>
      </c>
      <c r="V76" s="276" t="s">
        <v>263</v>
      </c>
      <c r="W76" s="276">
        <v>200</v>
      </c>
      <c r="X76" s="281" t="s">
        <v>260</v>
      </c>
    </row>
    <row r="77" spans="1:24" x14ac:dyDescent="0.2">
      <c r="A77" s="289">
        <v>73</v>
      </c>
      <c r="B77" s="290" t="s">
        <v>472</v>
      </c>
      <c r="C77" s="290" t="s">
        <v>473</v>
      </c>
      <c r="D77" s="290" t="s">
        <v>253</v>
      </c>
      <c r="E77" s="290" t="s">
        <v>268</v>
      </c>
      <c r="F77" s="290" t="s">
        <v>8</v>
      </c>
      <c r="G77" s="290" t="s">
        <v>269</v>
      </c>
      <c r="H77" s="326" t="s">
        <v>786</v>
      </c>
      <c r="I77" s="290" t="s">
        <v>58</v>
      </c>
      <c r="J77" s="290" t="s">
        <v>474</v>
      </c>
      <c r="K77" s="290" t="s">
        <v>8</v>
      </c>
      <c r="L77" s="290" t="s">
        <v>258</v>
      </c>
      <c r="M77" s="291">
        <v>44440</v>
      </c>
      <c r="N77" s="292">
        <v>5.3</v>
      </c>
      <c r="O77" s="293">
        <v>10500</v>
      </c>
      <c r="P77" s="293">
        <v>2500</v>
      </c>
      <c r="Q77" s="293">
        <v>500</v>
      </c>
      <c r="R77" s="293"/>
      <c r="S77" s="293"/>
      <c r="T77" s="293">
        <v>13500</v>
      </c>
      <c r="U77" s="294">
        <v>1</v>
      </c>
      <c r="V77" s="290" t="s">
        <v>263</v>
      </c>
      <c r="W77" s="290">
        <v>250</v>
      </c>
      <c r="X77" s="295" t="s">
        <v>260</v>
      </c>
    </row>
    <row r="78" spans="1:24" x14ac:dyDescent="0.2">
      <c r="A78" s="282">
        <v>74</v>
      </c>
      <c r="B78" s="283" t="s">
        <v>475</v>
      </c>
      <c r="C78" s="283" t="s">
        <v>476</v>
      </c>
      <c r="D78" s="283" t="s">
        <v>253</v>
      </c>
      <c r="E78" s="283" t="s">
        <v>365</v>
      </c>
      <c r="F78" s="283" t="s">
        <v>4</v>
      </c>
      <c r="G78" s="283" t="s">
        <v>120</v>
      </c>
      <c r="H78" s="330" t="s">
        <v>785</v>
      </c>
      <c r="I78" s="283"/>
      <c r="J78" s="283" t="s">
        <v>270</v>
      </c>
      <c r="K78" s="283" t="s">
        <v>4</v>
      </c>
      <c r="L78" s="283" t="s">
        <v>258</v>
      </c>
      <c r="M78" s="284">
        <v>44805</v>
      </c>
      <c r="N78" s="285">
        <v>4.3</v>
      </c>
      <c r="O78" s="286">
        <v>6600</v>
      </c>
      <c r="P78" s="286">
        <v>2500</v>
      </c>
      <c r="Q78" s="286">
        <v>500</v>
      </c>
      <c r="R78" s="286"/>
      <c r="S78" s="286"/>
      <c r="T78" s="286">
        <v>9600</v>
      </c>
      <c r="U78" s="287">
        <v>1</v>
      </c>
      <c r="V78" s="283" t="s">
        <v>263</v>
      </c>
      <c r="W78" s="283">
        <v>200</v>
      </c>
      <c r="X78" s="288" t="s">
        <v>260</v>
      </c>
    </row>
    <row r="79" spans="1:24" x14ac:dyDescent="0.2">
      <c r="A79" s="296">
        <v>75</v>
      </c>
      <c r="B79" s="297" t="s">
        <v>477</v>
      </c>
      <c r="C79" s="297" t="s">
        <v>478</v>
      </c>
      <c r="D79" s="297" t="s">
        <v>253</v>
      </c>
      <c r="E79" s="297" t="s">
        <v>479</v>
      </c>
      <c r="F79" s="297" t="s">
        <v>277</v>
      </c>
      <c r="G79" s="297" t="s">
        <v>480</v>
      </c>
      <c r="H79" s="327" t="s">
        <v>785</v>
      </c>
      <c r="I79" s="297"/>
      <c r="J79" s="297" t="s">
        <v>277</v>
      </c>
      <c r="K79" s="297" t="s">
        <v>277</v>
      </c>
      <c r="L79" s="297" t="s">
        <v>258</v>
      </c>
      <c r="M79" s="298">
        <v>45901</v>
      </c>
      <c r="N79" s="299">
        <v>1.3</v>
      </c>
      <c r="O79" s="300">
        <v>5000</v>
      </c>
      <c r="P79" s="300">
        <v>2500</v>
      </c>
      <c r="Q79" s="300">
        <v>500</v>
      </c>
      <c r="R79" s="300"/>
      <c r="S79" s="300"/>
      <c r="T79" s="300">
        <v>8000</v>
      </c>
      <c r="U79" s="301">
        <v>1</v>
      </c>
      <c r="V79" s="297" t="s">
        <v>259</v>
      </c>
      <c r="W79" s="297" t="s">
        <v>273</v>
      </c>
      <c r="X79" s="302" t="s">
        <v>260</v>
      </c>
    </row>
    <row r="80" spans="1:24" x14ac:dyDescent="0.2">
      <c r="A80" s="303">
        <v>76</v>
      </c>
      <c r="B80" s="304" t="s">
        <v>481</v>
      </c>
      <c r="C80" s="304" t="s">
        <v>482</v>
      </c>
      <c r="D80" s="304" t="s">
        <v>253</v>
      </c>
      <c r="E80" s="304" t="s">
        <v>312</v>
      </c>
      <c r="F80" s="304" t="s">
        <v>313</v>
      </c>
      <c r="G80" s="304" t="s">
        <v>361</v>
      </c>
      <c r="H80" s="329" t="s">
        <v>786</v>
      </c>
      <c r="I80" s="304" t="s">
        <v>104</v>
      </c>
      <c r="J80" s="304" t="s">
        <v>483</v>
      </c>
      <c r="K80" s="304" t="s">
        <v>257</v>
      </c>
      <c r="L80" s="304" t="s">
        <v>258</v>
      </c>
      <c r="M80" s="305">
        <v>36770</v>
      </c>
      <c r="N80" s="306">
        <v>26.3</v>
      </c>
      <c r="O80" s="307">
        <v>10750</v>
      </c>
      <c r="P80" s="307">
        <v>2500</v>
      </c>
      <c r="Q80" s="307">
        <v>500</v>
      </c>
      <c r="R80" s="307"/>
      <c r="S80" s="307">
        <v>1900</v>
      </c>
      <c r="T80" s="307">
        <v>15650</v>
      </c>
      <c r="U80" s="308">
        <v>1</v>
      </c>
      <c r="V80" s="304" t="s">
        <v>263</v>
      </c>
      <c r="W80" s="304">
        <v>250</v>
      </c>
      <c r="X80" s="309" t="s">
        <v>260</v>
      </c>
    </row>
    <row r="81" spans="1:24" x14ac:dyDescent="0.2">
      <c r="A81" s="275">
        <v>77</v>
      </c>
      <c r="B81" s="276" t="s">
        <v>484</v>
      </c>
      <c r="C81" s="276" t="s">
        <v>485</v>
      </c>
      <c r="D81" s="276" t="s">
        <v>253</v>
      </c>
      <c r="E81" s="276" t="s">
        <v>486</v>
      </c>
      <c r="F81" s="276" t="s">
        <v>313</v>
      </c>
      <c r="G81" s="276" t="s">
        <v>487</v>
      </c>
      <c r="H81" s="324" t="s">
        <v>785</v>
      </c>
      <c r="I81" s="276"/>
      <c r="J81" s="276" t="s">
        <v>8</v>
      </c>
      <c r="K81" s="276" t="s">
        <v>255</v>
      </c>
      <c r="L81" s="276" t="s">
        <v>258</v>
      </c>
      <c r="M81" s="277">
        <v>45936</v>
      </c>
      <c r="N81" s="278">
        <v>1.2</v>
      </c>
      <c r="O81" s="279">
        <v>7000</v>
      </c>
      <c r="P81" s="279">
        <v>2500</v>
      </c>
      <c r="Q81" s="279">
        <v>500</v>
      </c>
      <c r="R81" s="279"/>
      <c r="S81" s="279"/>
      <c r="T81" s="279">
        <v>10000</v>
      </c>
      <c r="U81" s="280">
        <v>1</v>
      </c>
      <c r="V81" s="276" t="s">
        <v>263</v>
      </c>
      <c r="W81" s="276" t="s">
        <v>273</v>
      </c>
      <c r="X81" s="281" t="s">
        <v>260</v>
      </c>
    </row>
    <row r="82" spans="1:24" x14ac:dyDescent="0.2">
      <c r="A82" s="275">
        <v>78</v>
      </c>
      <c r="B82" s="276" t="s">
        <v>488</v>
      </c>
      <c r="C82" s="276" t="s">
        <v>489</v>
      </c>
      <c r="D82" s="276" t="s">
        <v>253</v>
      </c>
      <c r="E82" s="276" t="s">
        <v>254</v>
      </c>
      <c r="F82" s="276" t="s">
        <v>255</v>
      </c>
      <c r="G82" s="276" t="s">
        <v>256</v>
      </c>
      <c r="H82" s="324" t="s">
        <v>785</v>
      </c>
      <c r="I82" s="276"/>
      <c r="J82" s="276" t="s">
        <v>257</v>
      </c>
      <c r="K82" s="276" t="s">
        <v>255</v>
      </c>
      <c r="L82" s="276" t="s">
        <v>258</v>
      </c>
      <c r="M82" s="277">
        <v>44440</v>
      </c>
      <c r="N82" s="278">
        <v>5.3</v>
      </c>
      <c r="O82" s="279">
        <v>7800</v>
      </c>
      <c r="P82" s="279">
        <v>2500</v>
      </c>
      <c r="Q82" s="279">
        <v>500</v>
      </c>
      <c r="R82" s="279"/>
      <c r="S82" s="279"/>
      <c r="T82" s="279">
        <v>10800</v>
      </c>
      <c r="U82" s="280">
        <v>1</v>
      </c>
      <c r="V82" s="276" t="s">
        <v>263</v>
      </c>
      <c r="W82" s="276">
        <v>200</v>
      </c>
      <c r="X82" s="281" t="s">
        <v>260</v>
      </c>
    </row>
    <row r="83" spans="1:24" x14ac:dyDescent="0.2">
      <c r="A83" s="303">
        <v>79</v>
      </c>
      <c r="B83" s="304" t="s">
        <v>490</v>
      </c>
      <c r="C83" s="304" t="s">
        <v>491</v>
      </c>
      <c r="D83" s="304" t="s">
        <v>253</v>
      </c>
      <c r="E83" s="304" t="s">
        <v>348</v>
      </c>
      <c r="F83" s="304" t="s">
        <v>313</v>
      </c>
      <c r="G83" s="304" t="s">
        <v>42</v>
      </c>
      <c r="H83" s="329" t="s">
        <v>786</v>
      </c>
      <c r="I83" s="304" t="s">
        <v>85</v>
      </c>
      <c r="J83" s="304" t="s">
        <v>788</v>
      </c>
      <c r="K83" s="304" t="s">
        <v>257</v>
      </c>
      <c r="L83" s="304" t="s">
        <v>258</v>
      </c>
      <c r="M83" s="305">
        <v>45170</v>
      </c>
      <c r="N83" s="306">
        <v>3.3</v>
      </c>
      <c r="O83" s="307">
        <v>9750</v>
      </c>
      <c r="P83" s="307">
        <v>2500</v>
      </c>
      <c r="Q83" s="307">
        <v>500</v>
      </c>
      <c r="R83" s="307"/>
      <c r="S83" s="307">
        <v>500</v>
      </c>
      <c r="T83" s="307">
        <v>13250</v>
      </c>
      <c r="U83" s="308">
        <v>1</v>
      </c>
      <c r="V83" s="304" t="s">
        <v>263</v>
      </c>
      <c r="W83" s="304">
        <v>250</v>
      </c>
      <c r="X83" s="309" t="s">
        <v>260</v>
      </c>
    </row>
    <row r="84" spans="1:24" x14ac:dyDescent="0.2">
      <c r="A84" s="275">
        <v>80</v>
      </c>
      <c r="B84" s="276" t="s">
        <v>492</v>
      </c>
      <c r="C84" s="276" t="s">
        <v>493</v>
      </c>
      <c r="D84" s="276" t="s">
        <v>253</v>
      </c>
      <c r="E84" s="276" t="s">
        <v>494</v>
      </c>
      <c r="F84" s="276" t="s">
        <v>255</v>
      </c>
      <c r="G84" s="276" t="s">
        <v>495</v>
      </c>
      <c r="H84" s="324" t="s">
        <v>785</v>
      </c>
      <c r="I84" s="276"/>
      <c r="J84" s="276" t="s">
        <v>289</v>
      </c>
      <c r="K84" s="276" t="s">
        <v>255</v>
      </c>
      <c r="L84" s="276" t="s">
        <v>258</v>
      </c>
      <c r="M84" s="277">
        <v>40422</v>
      </c>
      <c r="N84" s="278">
        <v>16.3</v>
      </c>
      <c r="O84" s="279">
        <v>11000</v>
      </c>
      <c r="P84" s="279">
        <v>2500</v>
      </c>
      <c r="Q84" s="279">
        <v>500</v>
      </c>
      <c r="R84" s="279"/>
      <c r="S84" s="279"/>
      <c r="T84" s="279">
        <v>14000</v>
      </c>
      <c r="U84" s="280">
        <v>1</v>
      </c>
      <c r="V84" s="276" t="s">
        <v>263</v>
      </c>
      <c r="W84" s="276">
        <v>250</v>
      </c>
      <c r="X84" s="281" t="s">
        <v>496</v>
      </c>
    </row>
    <row r="85" spans="1:24" x14ac:dyDescent="0.2">
      <c r="A85" s="282">
        <v>81</v>
      </c>
      <c r="B85" s="283" t="s">
        <v>497</v>
      </c>
      <c r="C85" s="283" t="s">
        <v>498</v>
      </c>
      <c r="D85" s="283" t="s">
        <v>253</v>
      </c>
      <c r="E85" s="283" t="s">
        <v>365</v>
      </c>
      <c r="F85" s="283" t="s">
        <v>4</v>
      </c>
      <c r="G85" s="283" t="s">
        <v>120</v>
      </c>
      <c r="H85" s="330" t="s">
        <v>785</v>
      </c>
      <c r="I85" s="283"/>
      <c r="J85" s="283" t="s">
        <v>499</v>
      </c>
      <c r="K85" s="283" t="s">
        <v>4</v>
      </c>
      <c r="L85" s="283" t="s">
        <v>258</v>
      </c>
      <c r="M85" s="284">
        <v>45536</v>
      </c>
      <c r="N85" s="285">
        <v>2.2999999999999998</v>
      </c>
      <c r="O85" s="286">
        <v>5800</v>
      </c>
      <c r="P85" s="286">
        <v>2500</v>
      </c>
      <c r="Q85" s="286">
        <v>500</v>
      </c>
      <c r="R85" s="286"/>
      <c r="S85" s="286"/>
      <c r="T85" s="286">
        <v>8800</v>
      </c>
      <c r="U85" s="287">
        <v>1</v>
      </c>
      <c r="V85" s="283" t="s">
        <v>259</v>
      </c>
      <c r="W85" s="283">
        <v>200</v>
      </c>
      <c r="X85" s="288" t="s">
        <v>260</v>
      </c>
    </row>
    <row r="86" spans="1:24" x14ac:dyDescent="0.2">
      <c r="A86" s="303">
        <v>82</v>
      </c>
      <c r="B86" s="304" t="s">
        <v>500</v>
      </c>
      <c r="C86" s="304" t="s">
        <v>501</v>
      </c>
      <c r="D86" s="304" t="s">
        <v>253</v>
      </c>
      <c r="E86" s="304" t="s">
        <v>502</v>
      </c>
      <c r="F86" s="304" t="s">
        <v>503</v>
      </c>
      <c r="G86" s="304" t="s">
        <v>504</v>
      </c>
      <c r="H86" s="329" t="s">
        <v>786</v>
      </c>
      <c r="I86" s="304" t="s">
        <v>75</v>
      </c>
      <c r="J86" s="304" t="s">
        <v>788</v>
      </c>
      <c r="K86" s="304" t="s">
        <v>257</v>
      </c>
      <c r="L86" s="304" t="s">
        <v>258</v>
      </c>
      <c r="M86" s="305">
        <v>45189</v>
      </c>
      <c r="N86" s="306">
        <v>3.3</v>
      </c>
      <c r="O86" s="307">
        <v>7796</v>
      </c>
      <c r="P86" s="307">
        <v>2460</v>
      </c>
      <c r="Q86" s="307">
        <v>492</v>
      </c>
      <c r="R86" s="307"/>
      <c r="S86" s="307"/>
      <c r="T86" s="307">
        <v>10748</v>
      </c>
      <c r="U86" s="308">
        <v>0.98409999999999997</v>
      </c>
      <c r="V86" s="304" t="s">
        <v>263</v>
      </c>
      <c r="W86" s="304" t="s">
        <v>505</v>
      </c>
      <c r="X86" s="309" t="s">
        <v>506</v>
      </c>
    </row>
    <row r="87" spans="1:24" x14ac:dyDescent="0.2">
      <c r="A87" s="296">
        <v>83</v>
      </c>
      <c r="B87" s="297" t="s">
        <v>507</v>
      </c>
      <c r="C87" s="297" t="s">
        <v>508</v>
      </c>
      <c r="D87" s="297" t="s">
        <v>253</v>
      </c>
      <c r="E87" s="297" t="s">
        <v>509</v>
      </c>
      <c r="F87" s="297" t="s">
        <v>277</v>
      </c>
      <c r="G87" s="297" t="s">
        <v>510</v>
      </c>
      <c r="H87" s="327" t="s">
        <v>785</v>
      </c>
      <c r="I87" s="297"/>
      <c r="J87" s="297" t="s">
        <v>277</v>
      </c>
      <c r="K87" s="297" t="s">
        <v>277</v>
      </c>
      <c r="L87" s="297" t="s">
        <v>258</v>
      </c>
      <c r="M87" s="298">
        <v>44440</v>
      </c>
      <c r="N87" s="299">
        <v>5.3</v>
      </c>
      <c r="O87" s="300">
        <v>7800</v>
      </c>
      <c r="P87" s="300">
        <v>2500</v>
      </c>
      <c r="Q87" s="300">
        <v>500</v>
      </c>
      <c r="R87" s="300"/>
      <c r="S87" s="300"/>
      <c r="T87" s="300">
        <v>10800</v>
      </c>
      <c r="U87" s="301">
        <v>1</v>
      </c>
      <c r="V87" s="297" t="s">
        <v>263</v>
      </c>
      <c r="W87" s="297" t="s">
        <v>511</v>
      </c>
      <c r="X87" s="302" t="s">
        <v>260</v>
      </c>
    </row>
    <row r="88" spans="1:24" x14ac:dyDescent="0.2">
      <c r="A88" s="289">
        <v>84</v>
      </c>
      <c r="B88" s="290" t="s">
        <v>512</v>
      </c>
      <c r="C88" s="290" t="s">
        <v>513</v>
      </c>
      <c r="D88" s="290" t="s">
        <v>253</v>
      </c>
      <c r="E88" s="290" t="s">
        <v>287</v>
      </c>
      <c r="F88" s="290" t="s">
        <v>8</v>
      </c>
      <c r="G88" s="290" t="s">
        <v>44</v>
      </c>
      <c r="H88" s="326" t="s">
        <v>786</v>
      </c>
      <c r="I88" s="290" t="s">
        <v>67</v>
      </c>
      <c r="J88" s="290" t="s">
        <v>288</v>
      </c>
      <c r="K88" s="290" t="s">
        <v>289</v>
      </c>
      <c r="L88" s="290" t="s">
        <v>258</v>
      </c>
      <c r="M88" s="291">
        <v>41153</v>
      </c>
      <c r="N88" s="292">
        <v>14.3</v>
      </c>
      <c r="O88" s="293">
        <v>10750</v>
      </c>
      <c r="P88" s="293">
        <v>2500</v>
      </c>
      <c r="Q88" s="293">
        <v>500</v>
      </c>
      <c r="R88" s="293"/>
      <c r="S88" s="293">
        <v>1940</v>
      </c>
      <c r="T88" s="293">
        <v>15690</v>
      </c>
      <c r="U88" s="294">
        <v>1</v>
      </c>
      <c r="V88" s="290" t="s">
        <v>263</v>
      </c>
      <c r="W88" s="290">
        <v>250</v>
      </c>
      <c r="X88" s="295" t="s">
        <v>260</v>
      </c>
    </row>
    <row r="89" spans="1:24" x14ac:dyDescent="0.2">
      <c r="A89" s="289">
        <v>85</v>
      </c>
      <c r="B89" s="290" t="s">
        <v>514</v>
      </c>
      <c r="C89" s="290" t="s">
        <v>515</v>
      </c>
      <c r="D89" s="290" t="s">
        <v>253</v>
      </c>
      <c r="E89" s="290" t="s">
        <v>375</v>
      </c>
      <c r="F89" s="290" t="s">
        <v>8</v>
      </c>
      <c r="G89" s="290" t="s">
        <v>269</v>
      </c>
      <c r="H89" s="331" t="s">
        <v>785</v>
      </c>
      <c r="I89" s="328"/>
      <c r="J89" s="290" t="s">
        <v>516</v>
      </c>
      <c r="K89" s="290" t="s">
        <v>8</v>
      </c>
      <c r="L89" s="290" t="s">
        <v>258</v>
      </c>
      <c r="M89" s="291">
        <v>44805</v>
      </c>
      <c r="N89" s="292">
        <v>4.3</v>
      </c>
      <c r="O89" s="293">
        <v>8500</v>
      </c>
      <c r="P89" s="293">
        <v>2500</v>
      </c>
      <c r="Q89" s="293">
        <v>500</v>
      </c>
      <c r="R89" s="293"/>
      <c r="S89" s="293"/>
      <c r="T89" s="293">
        <v>11500</v>
      </c>
      <c r="U89" s="294">
        <v>1</v>
      </c>
      <c r="V89" s="290" t="s">
        <v>259</v>
      </c>
      <c r="W89" s="290" t="s">
        <v>273</v>
      </c>
      <c r="X89" s="295" t="s">
        <v>260</v>
      </c>
    </row>
    <row r="90" spans="1:24" x14ac:dyDescent="0.2">
      <c r="A90" s="303">
        <v>86</v>
      </c>
      <c r="B90" s="304" t="s">
        <v>517</v>
      </c>
      <c r="C90" s="304" t="s">
        <v>518</v>
      </c>
      <c r="D90" s="304" t="s">
        <v>253</v>
      </c>
      <c r="E90" s="304" t="s">
        <v>312</v>
      </c>
      <c r="F90" s="304" t="s">
        <v>313</v>
      </c>
      <c r="G90" s="357" t="s">
        <v>314</v>
      </c>
      <c r="H90" s="329" t="s">
        <v>786</v>
      </c>
      <c r="I90" s="357" t="s">
        <v>101</v>
      </c>
      <c r="J90" s="357" t="s">
        <v>788</v>
      </c>
      <c r="K90" s="304" t="s">
        <v>257</v>
      </c>
      <c r="L90" s="304" t="s">
        <v>258</v>
      </c>
      <c r="M90" s="305">
        <v>45901</v>
      </c>
      <c r="N90" s="306">
        <v>1.3</v>
      </c>
      <c r="O90" s="307">
        <v>4000</v>
      </c>
      <c r="P90" s="307">
        <v>1250</v>
      </c>
      <c r="Q90" s="307">
        <v>250</v>
      </c>
      <c r="R90" s="307"/>
      <c r="S90" s="307"/>
      <c r="T90" s="307">
        <v>5500</v>
      </c>
      <c r="U90" s="308">
        <v>0.5</v>
      </c>
      <c r="V90" s="304" t="s">
        <v>263</v>
      </c>
      <c r="W90" s="304" t="s">
        <v>273</v>
      </c>
      <c r="X90" s="309" t="s">
        <v>260</v>
      </c>
    </row>
    <row r="91" spans="1:24" x14ac:dyDescent="0.2">
      <c r="A91" s="289">
        <v>87</v>
      </c>
      <c r="B91" s="290" t="s">
        <v>519</v>
      </c>
      <c r="C91" s="290" t="s">
        <v>520</v>
      </c>
      <c r="D91" s="290" t="s">
        <v>253</v>
      </c>
      <c r="E91" s="290" t="s">
        <v>268</v>
      </c>
      <c r="F91" s="290" t="s">
        <v>8</v>
      </c>
      <c r="G91" s="290" t="s">
        <v>269</v>
      </c>
      <c r="H91" s="326" t="s">
        <v>786</v>
      </c>
      <c r="I91" s="290" t="s">
        <v>58</v>
      </c>
      <c r="J91" s="290" t="s">
        <v>521</v>
      </c>
      <c r="K91" s="290" t="s">
        <v>8</v>
      </c>
      <c r="L91" s="290" t="s">
        <v>258</v>
      </c>
      <c r="M91" s="291">
        <v>44805</v>
      </c>
      <c r="N91" s="292">
        <v>4.3</v>
      </c>
      <c r="O91" s="293">
        <v>9250</v>
      </c>
      <c r="P91" s="293">
        <v>2500</v>
      </c>
      <c r="Q91" s="293">
        <v>500</v>
      </c>
      <c r="R91" s="293"/>
      <c r="S91" s="293"/>
      <c r="T91" s="293">
        <v>12250</v>
      </c>
      <c r="U91" s="294">
        <v>1</v>
      </c>
      <c r="V91" s="290" t="s">
        <v>259</v>
      </c>
      <c r="W91" s="290">
        <v>250</v>
      </c>
      <c r="X91" s="295" t="s">
        <v>260</v>
      </c>
    </row>
    <row r="92" spans="1:24" x14ac:dyDescent="0.2">
      <c r="A92" s="289">
        <v>88</v>
      </c>
      <c r="B92" s="290" t="s">
        <v>522</v>
      </c>
      <c r="C92" s="290" t="s">
        <v>523</v>
      </c>
      <c r="D92" s="290" t="s">
        <v>253</v>
      </c>
      <c r="E92" s="290" t="s">
        <v>268</v>
      </c>
      <c r="F92" s="290" t="s">
        <v>8</v>
      </c>
      <c r="G92" s="290" t="s">
        <v>269</v>
      </c>
      <c r="H92" s="326" t="s">
        <v>786</v>
      </c>
      <c r="I92" s="290" t="s">
        <v>58</v>
      </c>
      <c r="J92" s="290" t="s">
        <v>524</v>
      </c>
      <c r="K92" s="290" t="s">
        <v>8</v>
      </c>
      <c r="L92" s="290" t="s">
        <v>258</v>
      </c>
      <c r="M92" s="291">
        <v>41883</v>
      </c>
      <c r="N92" s="292">
        <v>12.3</v>
      </c>
      <c r="O92" s="293">
        <v>11500</v>
      </c>
      <c r="P92" s="293">
        <v>2500</v>
      </c>
      <c r="Q92" s="293">
        <v>500</v>
      </c>
      <c r="R92" s="293"/>
      <c r="S92" s="293"/>
      <c r="T92" s="293">
        <v>14500</v>
      </c>
      <c r="U92" s="294">
        <v>1</v>
      </c>
      <c r="V92" s="290" t="s">
        <v>263</v>
      </c>
      <c r="W92" s="290">
        <v>250</v>
      </c>
      <c r="X92" s="295" t="s">
        <v>260</v>
      </c>
    </row>
    <row r="93" spans="1:24" x14ac:dyDescent="0.2">
      <c r="A93" s="289">
        <v>89</v>
      </c>
      <c r="B93" s="290" t="s">
        <v>525</v>
      </c>
      <c r="C93" s="290" t="s">
        <v>526</v>
      </c>
      <c r="D93" s="290" t="s">
        <v>253</v>
      </c>
      <c r="E93" s="290" t="s">
        <v>527</v>
      </c>
      <c r="F93" s="290" t="s">
        <v>255</v>
      </c>
      <c r="G93" s="290" t="s">
        <v>528</v>
      </c>
      <c r="H93" s="326" t="s">
        <v>786</v>
      </c>
      <c r="I93" s="290" t="s">
        <v>84</v>
      </c>
      <c r="J93" s="290" t="s">
        <v>289</v>
      </c>
      <c r="K93" s="290" t="s">
        <v>289</v>
      </c>
      <c r="L93" s="290" t="s">
        <v>258</v>
      </c>
      <c r="M93" s="291">
        <v>45901</v>
      </c>
      <c r="N93" s="292">
        <v>1.3</v>
      </c>
      <c r="O93" s="293">
        <v>4000</v>
      </c>
      <c r="P93" s="293">
        <v>1250</v>
      </c>
      <c r="Q93" s="293">
        <v>250</v>
      </c>
      <c r="R93" s="293"/>
      <c r="S93" s="293"/>
      <c r="T93" s="293">
        <v>5500</v>
      </c>
      <c r="U93" s="294">
        <v>0.5</v>
      </c>
      <c r="V93" s="290" t="s">
        <v>263</v>
      </c>
      <c r="W93" s="290" t="s">
        <v>273</v>
      </c>
      <c r="X93" s="295" t="s">
        <v>260</v>
      </c>
    </row>
    <row r="94" spans="1:24" x14ac:dyDescent="0.2">
      <c r="A94" s="289">
        <v>90</v>
      </c>
      <c r="B94" s="290" t="s">
        <v>529</v>
      </c>
      <c r="C94" s="290" t="s">
        <v>530</v>
      </c>
      <c r="D94" s="290" t="s">
        <v>253</v>
      </c>
      <c r="E94" s="290" t="s">
        <v>287</v>
      </c>
      <c r="F94" s="290" t="s">
        <v>8</v>
      </c>
      <c r="G94" s="290" t="s">
        <v>43</v>
      </c>
      <c r="H94" s="326" t="s">
        <v>786</v>
      </c>
      <c r="I94" s="328" t="s">
        <v>836</v>
      </c>
      <c r="J94" s="290" t="s">
        <v>288</v>
      </c>
      <c r="K94" s="290" t="s">
        <v>289</v>
      </c>
      <c r="L94" s="290" t="s">
        <v>258</v>
      </c>
      <c r="M94" s="291">
        <v>45170</v>
      </c>
      <c r="N94" s="292">
        <v>3.3</v>
      </c>
      <c r="O94" s="293">
        <v>7800</v>
      </c>
      <c r="P94" s="293">
        <v>2500</v>
      </c>
      <c r="Q94" s="293">
        <v>500</v>
      </c>
      <c r="R94" s="293"/>
      <c r="S94" s="293">
        <v>90</v>
      </c>
      <c r="T94" s="293">
        <v>10890</v>
      </c>
      <c r="U94" s="294">
        <v>1</v>
      </c>
      <c r="V94" s="290" t="s">
        <v>259</v>
      </c>
      <c r="W94" s="290">
        <v>200</v>
      </c>
      <c r="X94" s="295" t="s">
        <v>260</v>
      </c>
    </row>
    <row r="95" spans="1:24" x14ac:dyDescent="0.2">
      <c r="A95" s="303">
        <v>91</v>
      </c>
      <c r="B95" s="304" t="s">
        <v>531</v>
      </c>
      <c r="C95" s="304" t="s">
        <v>532</v>
      </c>
      <c r="D95" s="304" t="s">
        <v>253</v>
      </c>
      <c r="E95" s="304" t="s">
        <v>348</v>
      </c>
      <c r="F95" s="304" t="s">
        <v>313</v>
      </c>
      <c r="G95" s="304" t="s">
        <v>42</v>
      </c>
      <c r="H95" s="329" t="s">
        <v>786</v>
      </c>
      <c r="I95" s="304" t="s">
        <v>85</v>
      </c>
      <c r="J95" s="304" t="s">
        <v>788</v>
      </c>
      <c r="K95" s="304" t="s">
        <v>257</v>
      </c>
      <c r="L95" s="304" t="s">
        <v>258</v>
      </c>
      <c r="M95" s="305">
        <v>45536</v>
      </c>
      <c r="N95" s="306">
        <v>2.2999999999999998</v>
      </c>
      <c r="O95" s="307">
        <v>8500</v>
      </c>
      <c r="P95" s="307">
        <v>2500</v>
      </c>
      <c r="Q95" s="307">
        <v>500</v>
      </c>
      <c r="R95" s="307"/>
      <c r="S95" s="307"/>
      <c r="T95" s="307">
        <v>11500</v>
      </c>
      <c r="U95" s="308">
        <v>1</v>
      </c>
      <c r="V95" s="304" t="s">
        <v>263</v>
      </c>
      <c r="W95" s="304">
        <v>250</v>
      </c>
      <c r="X95" s="309" t="s">
        <v>260</v>
      </c>
    </row>
    <row r="96" spans="1:24" x14ac:dyDescent="0.2">
      <c r="A96" s="303">
        <v>92</v>
      </c>
      <c r="B96" s="304" t="s">
        <v>533</v>
      </c>
      <c r="C96" s="304" t="s">
        <v>534</v>
      </c>
      <c r="D96" s="304" t="s">
        <v>253</v>
      </c>
      <c r="E96" s="304" t="s">
        <v>312</v>
      </c>
      <c r="F96" s="304" t="s">
        <v>313</v>
      </c>
      <c r="G96" s="304" t="s">
        <v>528</v>
      </c>
      <c r="H96" s="329" t="s">
        <v>786</v>
      </c>
      <c r="I96" s="304" t="s">
        <v>84</v>
      </c>
      <c r="J96" s="304" t="s">
        <v>788</v>
      </c>
      <c r="K96" s="304" t="s">
        <v>257</v>
      </c>
      <c r="L96" s="304" t="s">
        <v>258</v>
      </c>
      <c r="M96" s="305">
        <v>41216</v>
      </c>
      <c r="N96" s="306">
        <v>14.2</v>
      </c>
      <c r="O96" s="307">
        <v>7333</v>
      </c>
      <c r="P96" s="307">
        <v>1667</v>
      </c>
      <c r="Q96" s="307">
        <v>333</v>
      </c>
      <c r="R96" s="307"/>
      <c r="S96" s="307"/>
      <c r="T96" s="307">
        <v>9333</v>
      </c>
      <c r="U96" s="308">
        <v>0.66666666666666696</v>
      </c>
      <c r="V96" s="304" t="s">
        <v>259</v>
      </c>
      <c r="W96" s="304">
        <v>250</v>
      </c>
      <c r="X96" s="309" t="s">
        <v>260</v>
      </c>
    </row>
    <row r="97" spans="1:24" x14ac:dyDescent="0.2">
      <c r="A97" s="289">
        <v>93</v>
      </c>
      <c r="B97" s="290" t="s">
        <v>535</v>
      </c>
      <c r="C97" s="290" t="s">
        <v>536</v>
      </c>
      <c r="D97" s="290" t="s">
        <v>253</v>
      </c>
      <c r="E97" s="290" t="s">
        <v>268</v>
      </c>
      <c r="F97" s="290" t="s">
        <v>8</v>
      </c>
      <c r="G97" s="290" t="s">
        <v>269</v>
      </c>
      <c r="H97" s="326" t="s">
        <v>786</v>
      </c>
      <c r="I97" s="290" t="s">
        <v>58</v>
      </c>
      <c r="J97" s="290" t="s">
        <v>537</v>
      </c>
      <c r="K97" s="290" t="s">
        <v>8</v>
      </c>
      <c r="L97" s="290" t="s">
        <v>258</v>
      </c>
      <c r="M97" s="291">
        <v>45170</v>
      </c>
      <c r="N97" s="292">
        <v>3.3</v>
      </c>
      <c r="O97" s="293">
        <v>8750</v>
      </c>
      <c r="P97" s="293">
        <v>2500</v>
      </c>
      <c r="Q97" s="293">
        <v>500</v>
      </c>
      <c r="R97" s="293"/>
      <c r="S97" s="293"/>
      <c r="T97" s="293">
        <v>11750</v>
      </c>
      <c r="U97" s="294">
        <v>1</v>
      </c>
      <c r="V97" s="290" t="s">
        <v>263</v>
      </c>
      <c r="W97" s="290">
        <v>250</v>
      </c>
      <c r="X97" s="295" t="s">
        <v>260</v>
      </c>
    </row>
    <row r="98" spans="1:24" x14ac:dyDescent="0.2">
      <c r="A98" s="303">
        <v>94</v>
      </c>
      <c r="B98" s="304" t="s">
        <v>538</v>
      </c>
      <c r="C98" s="304" t="s">
        <v>539</v>
      </c>
      <c r="D98" s="304" t="s">
        <v>253</v>
      </c>
      <c r="E98" s="304" t="s">
        <v>312</v>
      </c>
      <c r="F98" s="304" t="s">
        <v>313</v>
      </c>
      <c r="G98" s="304" t="s">
        <v>40</v>
      </c>
      <c r="H98" s="329" t="s">
        <v>786</v>
      </c>
      <c r="I98" s="304" t="s">
        <v>71</v>
      </c>
      <c r="J98" s="304" t="s">
        <v>540</v>
      </c>
      <c r="K98" s="304" t="s">
        <v>257</v>
      </c>
      <c r="L98" s="304" t="s">
        <v>258</v>
      </c>
      <c r="M98" s="305">
        <v>44440</v>
      </c>
      <c r="N98" s="306">
        <v>5.3</v>
      </c>
      <c r="O98" s="307">
        <v>9000</v>
      </c>
      <c r="P98" s="307">
        <v>2500</v>
      </c>
      <c r="Q98" s="307">
        <v>500</v>
      </c>
      <c r="R98" s="307"/>
      <c r="S98" s="307">
        <v>1640</v>
      </c>
      <c r="T98" s="307">
        <v>13640</v>
      </c>
      <c r="U98" s="308">
        <v>1</v>
      </c>
      <c r="V98" s="304" t="s">
        <v>259</v>
      </c>
      <c r="W98" s="304">
        <v>250</v>
      </c>
      <c r="X98" s="309" t="s">
        <v>260</v>
      </c>
    </row>
    <row r="99" spans="1:24" x14ac:dyDescent="0.2">
      <c r="A99" s="289">
        <v>95</v>
      </c>
      <c r="B99" s="290" t="s">
        <v>541</v>
      </c>
      <c r="C99" s="290" t="s">
        <v>306</v>
      </c>
      <c r="D99" s="290" t="s">
        <v>253</v>
      </c>
      <c r="E99" s="290" t="s">
        <v>287</v>
      </c>
      <c r="F99" s="290" t="s">
        <v>8</v>
      </c>
      <c r="G99" s="290" t="s">
        <v>44</v>
      </c>
      <c r="H99" s="326" t="s">
        <v>786</v>
      </c>
      <c r="I99" s="290" t="s">
        <v>67</v>
      </c>
      <c r="J99" s="290" t="s">
        <v>288</v>
      </c>
      <c r="K99" s="290" t="s">
        <v>289</v>
      </c>
      <c r="L99" s="290" t="s">
        <v>258</v>
      </c>
      <c r="M99" s="291">
        <v>45170</v>
      </c>
      <c r="N99" s="292">
        <v>3.3</v>
      </c>
      <c r="O99" s="293">
        <v>8250</v>
      </c>
      <c r="P99" s="293">
        <v>2500</v>
      </c>
      <c r="Q99" s="293">
        <v>500</v>
      </c>
      <c r="R99" s="293"/>
      <c r="S99" s="293">
        <v>1940</v>
      </c>
      <c r="T99" s="293">
        <v>13190</v>
      </c>
      <c r="U99" s="294">
        <v>1</v>
      </c>
      <c r="V99" s="290" t="s">
        <v>259</v>
      </c>
      <c r="W99" s="290">
        <v>250</v>
      </c>
      <c r="X99" s="295" t="s">
        <v>260</v>
      </c>
    </row>
    <row r="100" spans="1:24" x14ac:dyDescent="0.2">
      <c r="A100" s="296">
        <v>96</v>
      </c>
      <c r="B100" s="297" t="s">
        <v>542</v>
      </c>
      <c r="C100" s="297" t="s">
        <v>543</v>
      </c>
      <c r="D100" s="297" t="s">
        <v>253</v>
      </c>
      <c r="E100" s="297" t="s">
        <v>544</v>
      </c>
      <c r="F100" s="297" t="s">
        <v>277</v>
      </c>
      <c r="G100" s="297" t="s">
        <v>545</v>
      </c>
      <c r="H100" s="327" t="s">
        <v>785</v>
      </c>
      <c r="I100" s="297"/>
      <c r="J100" s="297" t="s">
        <v>277</v>
      </c>
      <c r="K100" s="297" t="s">
        <v>277</v>
      </c>
      <c r="L100" s="297" t="s">
        <v>258</v>
      </c>
      <c r="M100" s="298">
        <v>44805</v>
      </c>
      <c r="N100" s="299">
        <v>4.3</v>
      </c>
      <c r="O100" s="300">
        <v>12750</v>
      </c>
      <c r="P100" s="300">
        <v>2500</v>
      </c>
      <c r="Q100" s="300">
        <v>500</v>
      </c>
      <c r="R100" s="300">
        <v>1000</v>
      </c>
      <c r="S100" s="300"/>
      <c r="T100" s="300">
        <v>16750</v>
      </c>
      <c r="U100" s="301">
        <v>1</v>
      </c>
      <c r="V100" s="297" t="s">
        <v>259</v>
      </c>
      <c r="W100" s="297">
        <v>250</v>
      </c>
      <c r="X100" s="302" t="s">
        <v>260</v>
      </c>
    </row>
    <row r="101" spans="1:24" x14ac:dyDescent="0.2">
      <c r="A101" s="296">
        <v>97</v>
      </c>
      <c r="B101" s="297" t="s">
        <v>546</v>
      </c>
      <c r="C101" s="297" t="s">
        <v>547</v>
      </c>
      <c r="D101" s="297" t="s">
        <v>253</v>
      </c>
      <c r="E101" s="297" t="s">
        <v>548</v>
      </c>
      <c r="F101" s="297" t="s">
        <v>277</v>
      </c>
      <c r="G101" s="297" t="s">
        <v>549</v>
      </c>
      <c r="H101" s="327" t="s">
        <v>785</v>
      </c>
      <c r="I101" s="297"/>
      <c r="J101" s="297" t="s">
        <v>277</v>
      </c>
      <c r="K101" s="297" t="s">
        <v>277</v>
      </c>
      <c r="L101" s="297" t="s">
        <v>258</v>
      </c>
      <c r="M101" s="298">
        <v>44805</v>
      </c>
      <c r="N101" s="299">
        <v>4.3</v>
      </c>
      <c r="O101" s="300">
        <v>8750</v>
      </c>
      <c r="P101" s="300">
        <v>2500</v>
      </c>
      <c r="Q101" s="300">
        <v>500</v>
      </c>
      <c r="R101" s="300"/>
      <c r="S101" s="300"/>
      <c r="T101" s="300">
        <v>11750</v>
      </c>
      <c r="U101" s="301">
        <v>1</v>
      </c>
      <c r="V101" s="297" t="s">
        <v>263</v>
      </c>
      <c r="W101" s="297">
        <v>250</v>
      </c>
      <c r="X101" s="302" t="s">
        <v>260</v>
      </c>
    </row>
    <row r="102" spans="1:24" x14ac:dyDescent="0.2">
      <c r="A102" s="289">
        <v>98</v>
      </c>
      <c r="B102" s="290" t="s">
        <v>550</v>
      </c>
      <c r="C102" s="290" t="s">
        <v>551</v>
      </c>
      <c r="D102" s="290" t="s">
        <v>253</v>
      </c>
      <c r="E102" s="290" t="s">
        <v>268</v>
      </c>
      <c r="F102" s="290" t="s">
        <v>8</v>
      </c>
      <c r="G102" s="290" t="s">
        <v>269</v>
      </c>
      <c r="H102" s="326" t="s">
        <v>786</v>
      </c>
      <c r="I102" s="290" t="s">
        <v>58</v>
      </c>
      <c r="J102" s="290" t="s">
        <v>787</v>
      </c>
      <c r="K102" s="290" t="s">
        <v>8</v>
      </c>
      <c r="L102" s="290" t="s">
        <v>258</v>
      </c>
      <c r="M102" s="291">
        <v>43344</v>
      </c>
      <c r="N102" s="292">
        <v>8.3000000000000007</v>
      </c>
      <c r="O102" s="293">
        <v>9750</v>
      </c>
      <c r="P102" s="293">
        <v>2500</v>
      </c>
      <c r="Q102" s="293">
        <v>500</v>
      </c>
      <c r="R102" s="293"/>
      <c r="S102" s="293"/>
      <c r="T102" s="293">
        <v>12750</v>
      </c>
      <c r="U102" s="294">
        <v>1</v>
      </c>
      <c r="V102" s="290" t="s">
        <v>259</v>
      </c>
      <c r="W102" s="290">
        <v>250</v>
      </c>
      <c r="X102" s="295" t="s">
        <v>260</v>
      </c>
    </row>
    <row r="103" spans="1:24" x14ac:dyDescent="0.2">
      <c r="A103" s="282">
        <v>99</v>
      </c>
      <c r="B103" s="283" t="s">
        <v>552</v>
      </c>
      <c r="C103" s="283" t="s">
        <v>553</v>
      </c>
      <c r="D103" s="283" t="s">
        <v>253</v>
      </c>
      <c r="E103" s="283" t="s">
        <v>268</v>
      </c>
      <c r="F103" s="283" t="s">
        <v>8</v>
      </c>
      <c r="G103" s="283" t="s">
        <v>269</v>
      </c>
      <c r="H103" s="325" t="s">
        <v>786</v>
      </c>
      <c r="I103" s="283" t="s">
        <v>58</v>
      </c>
      <c r="J103" s="283" t="s">
        <v>554</v>
      </c>
      <c r="K103" s="283" t="s">
        <v>4</v>
      </c>
      <c r="L103" s="283" t="s">
        <v>258</v>
      </c>
      <c r="M103" s="284">
        <v>44805</v>
      </c>
      <c r="N103" s="285">
        <v>4.3</v>
      </c>
      <c r="O103" s="286">
        <v>10000</v>
      </c>
      <c r="P103" s="286">
        <v>2500</v>
      </c>
      <c r="Q103" s="286">
        <v>500</v>
      </c>
      <c r="R103" s="286"/>
      <c r="S103" s="286"/>
      <c r="T103" s="286">
        <v>13000</v>
      </c>
      <c r="U103" s="287">
        <v>1</v>
      </c>
      <c r="V103" s="283" t="s">
        <v>259</v>
      </c>
      <c r="W103" s="283">
        <v>250</v>
      </c>
      <c r="X103" s="288" t="s">
        <v>260</v>
      </c>
    </row>
    <row r="104" spans="1:24" x14ac:dyDescent="0.2">
      <c r="A104" s="303">
        <v>100</v>
      </c>
      <c r="B104" s="304" t="s">
        <v>555</v>
      </c>
      <c r="C104" s="304" t="s">
        <v>556</v>
      </c>
      <c r="D104" s="304" t="s">
        <v>253</v>
      </c>
      <c r="E104" s="304" t="s">
        <v>312</v>
      </c>
      <c r="F104" s="304" t="s">
        <v>313</v>
      </c>
      <c r="G104" s="304" t="s">
        <v>314</v>
      </c>
      <c r="H104" s="329" t="s">
        <v>786</v>
      </c>
      <c r="I104" s="304" t="s">
        <v>101</v>
      </c>
      <c r="J104" s="304" t="s">
        <v>557</v>
      </c>
      <c r="K104" s="304" t="s">
        <v>257</v>
      </c>
      <c r="L104" s="304" t="s">
        <v>258</v>
      </c>
      <c r="M104" s="305">
        <v>44440</v>
      </c>
      <c r="N104" s="306">
        <v>5.3</v>
      </c>
      <c r="O104" s="307">
        <v>10500</v>
      </c>
      <c r="P104" s="307">
        <v>2500</v>
      </c>
      <c r="Q104" s="307">
        <v>500</v>
      </c>
      <c r="R104" s="307"/>
      <c r="S104" s="307">
        <v>900</v>
      </c>
      <c r="T104" s="307">
        <v>14400</v>
      </c>
      <c r="U104" s="308">
        <v>1</v>
      </c>
      <c r="V104" s="304" t="s">
        <v>263</v>
      </c>
      <c r="W104" s="304">
        <v>250</v>
      </c>
      <c r="X104" s="309" t="s">
        <v>260</v>
      </c>
    </row>
    <row r="105" spans="1:24" x14ac:dyDescent="0.2">
      <c r="A105" s="275">
        <v>101</v>
      </c>
      <c r="B105" s="276" t="s">
        <v>558</v>
      </c>
      <c r="C105" s="276" t="s">
        <v>559</v>
      </c>
      <c r="D105" s="276" t="s">
        <v>253</v>
      </c>
      <c r="E105" s="276" t="s">
        <v>254</v>
      </c>
      <c r="F105" s="276" t="s">
        <v>255</v>
      </c>
      <c r="G105" s="276" t="s">
        <v>256</v>
      </c>
      <c r="H105" s="324" t="s">
        <v>785</v>
      </c>
      <c r="I105" s="276"/>
      <c r="J105" s="276" t="s">
        <v>257</v>
      </c>
      <c r="K105" s="276" t="s">
        <v>255</v>
      </c>
      <c r="L105" s="276" t="s">
        <v>258</v>
      </c>
      <c r="M105" s="277">
        <v>45901</v>
      </c>
      <c r="N105" s="278">
        <v>1.3</v>
      </c>
      <c r="O105" s="279">
        <v>7000</v>
      </c>
      <c r="P105" s="279">
        <v>2500</v>
      </c>
      <c r="Q105" s="279">
        <v>500</v>
      </c>
      <c r="R105" s="279"/>
      <c r="S105" s="279"/>
      <c r="T105" s="279">
        <v>10000</v>
      </c>
      <c r="U105" s="280">
        <v>1</v>
      </c>
      <c r="V105" s="276" t="s">
        <v>263</v>
      </c>
      <c r="W105" s="276" t="s">
        <v>273</v>
      </c>
      <c r="X105" s="281" t="s">
        <v>260</v>
      </c>
    </row>
    <row r="106" spans="1:24" x14ac:dyDescent="0.2">
      <c r="A106" s="289">
        <v>102</v>
      </c>
      <c r="B106" s="290" t="s">
        <v>560</v>
      </c>
      <c r="C106" s="290" t="s">
        <v>518</v>
      </c>
      <c r="D106" s="290" t="s">
        <v>253</v>
      </c>
      <c r="E106" s="290" t="s">
        <v>268</v>
      </c>
      <c r="F106" s="290" t="s">
        <v>8</v>
      </c>
      <c r="G106" s="290" t="s">
        <v>269</v>
      </c>
      <c r="H106" s="326" t="s">
        <v>786</v>
      </c>
      <c r="I106" s="290" t="s">
        <v>58</v>
      </c>
      <c r="J106" s="290" t="s">
        <v>787</v>
      </c>
      <c r="K106" s="290" t="s">
        <v>8</v>
      </c>
      <c r="L106" s="290" t="s">
        <v>258</v>
      </c>
      <c r="M106" s="291">
        <v>45901</v>
      </c>
      <c r="N106" s="292">
        <v>1.3</v>
      </c>
      <c r="O106" s="293">
        <v>8000</v>
      </c>
      <c r="P106" s="293">
        <v>2500</v>
      </c>
      <c r="Q106" s="293">
        <v>500</v>
      </c>
      <c r="R106" s="293"/>
      <c r="S106" s="293"/>
      <c r="T106" s="293">
        <v>11000</v>
      </c>
      <c r="U106" s="294">
        <v>1</v>
      </c>
      <c r="V106" s="290" t="s">
        <v>259</v>
      </c>
      <c r="W106" s="290" t="s">
        <v>273</v>
      </c>
      <c r="X106" s="295" t="s">
        <v>260</v>
      </c>
    </row>
    <row r="107" spans="1:24" x14ac:dyDescent="0.2">
      <c r="A107" s="282">
        <v>103</v>
      </c>
      <c r="B107" s="283" t="s">
        <v>561</v>
      </c>
      <c r="C107" s="283" t="s">
        <v>562</v>
      </c>
      <c r="D107" s="283" t="s">
        <v>253</v>
      </c>
      <c r="E107" s="283" t="s">
        <v>268</v>
      </c>
      <c r="F107" s="283" t="s">
        <v>8</v>
      </c>
      <c r="G107" s="283" t="s">
        <v>269</v>
      </c>
      <c r="H107" s="325" t="s">
        <v>786</v>
      </c>
      <c r="I107" s="283" t="s">
        <v>58</v>
      </c>
      <c r="J107" s="283" t="s">
        <v>366</v>
      </c>
      <c r="K107" s="283" t="s">
        <v>4</v>
      </c>
      <c r="L107" s="283" t="s">
        <v>258</v>
      </c>
      <c r="M107" s="284">
        <v>45536</v>
      </c>
      <c r="N107" s="285">
        <v>2.2999999999999998</v>
      </c>
      <c r="O107" s="286">
        <v>8250</v>
      </c>
      <c r="P107" s="286">
        <v>2500</v>
      </c>
      <c r="Q107" s="286">
        <v>500</v>
      </c>
      <c r="R107" s="286"/>
      <c r="S107" s="286"/>
      <c r="T107" s="286">
        <v>11250</v>
      </c>
      <c r="U107" s="287">
        <v>1</v>
      </c>
      <c r="V107" s="283" t="s">
        <v>263</v>
      </c>
      <c r="W107" s="283">
        <v>250</v>
      </c>
      <c r="X107" s="288" t="s">
        <v>260</v>
      </c>
    </row>
    <row r="108" spans="1:24" x14ac:dyDescent="0.2">
      <c r="A108" s="282">
        <v>104</v>
      </c>
      <c r="B108" s="283" t="s">
        <v>563</v>
      </c>
      <c r="C108" s="283" t="s">
        <v>564</v>
      </c>
      <c r="D108" s="283" t="s">
        <v>253</v>
      </c>
      <c r="E108" s="283" t="s">
        <v>365</v>
      </c>
      <c r="F108" s="283" t="s">
        <v>4</v>
      </c>
      <c r="G108" s="283" t="s">
        <v>120</v>
      </c>
      <c r="H108" s="330" t="s">
        <v>785</v>
      </c>
      <c r="I108" s="283"/>
      <c r="J108" s="283" t="s">
        <v>435</v>
      </c>
      <c r="K108" s="283" t="s">
        <v>4</v>
      </c>
      <c r="L108" s="283" t="s">
        <v>258</v>
      </c>
      <c r="M108" s="284">
        <v>44805</v>
      </c>
      <c r="N108" s="285">
        <v>4.3</v>
      </c>
      <c r="O108" s="286">
        <v>6200</v>
      </c>
      <c r="P108" s="286">
        <v>2500</v>
      </c>
      <c r="Q108" s="286">
        <v>500</v>
      </c>
      <c r="R108" s="286"/>
      <c r="S108" s="286"/>
      <c r="T108" s="286">
        <v>9200</v>
      </c>
      <c r="U108" s="287">
        <v>1</v>
      </c>
      <c r="V108" s="283" t="s">
        <v>259</v>
      </c>
      <c r="W108" s="283">
        <v>200</v>
      </c>
      <c r="X108" s="288" t="s">
        <v>260</v>
      </c>
    </row>
    <row r="109" spans="1:24" x14ac:dyDescent="0.2">
      <c r="A109" s="275">
        <v>105</v>
      </c>
      <c r="B109" s="276" t="s">
        <v>565</v>
      </c>
      <c r="C109" s="276" t="s">
        <v>543</v>
      </c>
      <c r="D109" s="276" t="s">
        <v>253</v>
      </c>
      <c r="E109" s="276" t="s">
        <v>254</v>
      </c>
      <c r="F109" s="276" t="s">
        <v>255</v>
      </c>
      <c r="G109" s="276" t="s">
        <v>256</v>
      </c>
      <c r="H109" s="324" t="s">
        <v>785</v>
      </c>
      <c r="I109" s="276"/>
      <c r="J109" s="276" t="s">
        <v>257</v>
      </c>
      <c r="K109" s="276" t="s">
        <v>255</v>
      </c>
      <c r="L109" s="276" t="s">
        <v>258</v>
      </c>
      <c r="M109" s="277">
        <v>45901</v>
      </c>
      <c r="N109" s="278">
        <v>1.3</v>
      </c>
      <c r="O109" s="279">
        <v>8250</v>
      </c>
      <c r="P109" s="279">
        <v>2500</v>
      </c>
      <c r="Q109" s="279">
        <v>500</v>
      </c>
      <c r="R109" s="279"/>
      <c r="S109" s="279"/>
      <c r="T109" s="279">
        <v>11250</v>
      </c>
      <c r="U109" s="280">
        <v>1</v>
      </c>
      <c r="V109" s="276" t="s">
        <v>259</v>
      </c>
      <c r="W109" s="276" t="s">
        <v>273</v>
      </c>
      <c r="X109" s="281" t="s">
        <v>260</v>
      </c>
    </row>
    <row r="110" spans="1:24" x14ac:dyDescent="0.2">
      <c r="A110" s="303">
        <v>106</v>
      </c>
      <c r="B110" s="304" t="s">
        <v>566</v>
      </c>
      <c r="C110" s="304" t="s">
        <v>457</v>
      </c>
      <c r="D110" s="304" t="s">
        <v>253</v>
      </c>
      <c r="E110" s="304" t="s">
        <v>312</v>
      </c>
      <c r="F110" s="304" t="s">
        <v>313</v>
      </c>
      <c r="G110" s="304" t="s">
        <v>567</v>
      </c>
      <c r="H110" s="329" t="s">
        <v>786</v>
      </c>
      <c r="I110" s="304" t="s">
        <v>104</v>
      </c>
      <c r="J110" s="304" t="s">
        <v>568</v>
      </c>
      <c r="K110" s="304" t="s">
        <v>257</v>
      </c>
      <c r="L110" s="304" t="s">
        <v>258</v>
      </c>
      <c r="M110" s="305">
        <v>38961</v>
      </c>
      <c r="N110" s="306">
        <v>20.3</v>
      </c>
      <c r="O110" s="307">
        <v>10750</v>
      </c>
      <c r="P110" s="307">
        <v>2500</v>
      </c>
      <c r="Q110" s="307">
        <v>500</v>
      </c>
      <c r="R110" s="307"/>
      <c r="S110" s="307">
        <v>1700</v>
      </c>
      <c r="T110" s="307">
        <v>15450</v>
      </c>
      <c r="U110" s="308">
        <v>1</v>
      </c>
      <c r="V110" s="304" t="s">
        <v>263</v>
      </c>
      <c r="W110" s="304">
        <v>250</v>
      </c>
      <c r="X110" s="309" t="s">
        <v>260</v>
      </c>
    </row>
    <row r="111" spans="1:24" x14ac:dyDescent="0.2">
      <c r="A111" s="303">
        <v>107</v>
      </c>
      <c r="B111" s="304" t="s">
        <v>569</v>
      </c>
      <c r="C111" s="304" t="s">
        <v>431</v>
      </c>
      <c r="D111" s="304" t="s">
        <v>253</v>
      </c>
      <c r="E111" s="304" t="s">
        <v>328</v>
      </c>
      <c r="F111" s="304" t="s">
        <v>313</v>
      </c>
      <c r="G111" s="304" t="s">
        <v>43</v>
      </c>
      <c r="H111" s="329" t="s">
        <v>786</v>
      </c>
      <c r="I111" s="304" t="s">
        <v>65</v>
      </c>
      <c r="J111" s="304" t="s">
        <v>570</v>
      </c>
      <c r="K111" s="304" t="s">
        <v>257</v>
      </c>
      <c r="L111" s="304" t="s">
        <v>258</v>
      </c>
      <c r="M111" s="305">
        <v>40422</v>
      </c>
      <c r="N111" s="306">
        <v>16.3</v>
      </c>
      <c r="O111" s="307">
        <v>10500</v>
      </c>
      <c r="P111" s="307">
        <v>2500</v>
      </c>
      <c r="Q111" s="307">
        <v>500</v>
      </c>
      <c r="R111" s="307"/>
      <c r="S111" s="307">
        <v>1740</v>
      </c>
      <c r="T111" s="307">
        <v>15240</v>
      </c>
      <c r="U111" s="308">
        <v>1</v>
      </c>
      <c r="V111" s="304" t="s">
        <v>263</v>
      </c>
      <c r="W111" s="304">
        <v>250</v>
      </c>
      <c r="X111" s="309" t="s">
        <v>260</v>
      </c>
    </row>
    <row r="112" spans="1:24" x14ac:dyDescent="0.2">
      <c r="A112" s="296">
        <v>108</v>
      </c>
      <c r="B112" s="297" t="s">
        <v>571</v>
      </c>
      <c r="C112" s="297" t="s">
        <v>572</v>
      </c>
      <c r="D112" s="297" t="s">
        <v>253</v>
      </c>
      <c r="E112" s="297" t="s">
        <v>573</v>
      </c>
      <c r="F112" s="297" t="s">
        <v>277</v>
      </c>
      <c r="G112" s="297" t="s">
        <v>549</v>
      </c>
      <c r="H112" s="327" t="s">
        <v>785</v>
      </c>
      <c r="I112" s="297"/>
      <c r="J112" s="297" t="s">
        <v>277</v>
      </c>
      <c r="K112" s="297" t="s">
        <v>277</v>
      </c>
      <c r="L112" s="297" t="s">
        <v>258</v>
      </c>
      <c r="M112" s="298">
        <v>38376</v>
      </c>
      <c r="N112" s="299">
        <v>21.9</v>
      </c>
      <c r="O112" s="300">
        <v>13750</v>
      </c>
      <c r="P112" s="300">
        <v>2500</v>
      </c>
      <c r="Q112" s="300">
        <v>500</v>
      </c>
      <c r="R112" s="300">
        <v>500</v>
      </c>
      <c r="S112" s="300"/>
      <c r="T112" s="300">
        <v>17250</v>
      </c>
      <c r="U112" s="301">
        <v>1</v>
      </c>
      <c r="V112" s="297" t="s">
        <v>263</v>
      </c>
      <c r="W112" s="297">
        <v>250</v>
      </c>
      <c r="X112" s="302" t="s">
        <v>260</v>
      </c>
    </row>
    <row r="113" spans="1:24" x14ac:dyDescent="0.2">
      <c r="A113" s="303">
        <v>109</v>
      </c>
      <c r="B113" s="304" t="s">
        <v>574</v>
      </c>
      <c r="C113" s="304" t="s">
        <v>575</v>
      </c>
      <c r="D113" s="304" t="s">
        <v>253</v>
      </c>
      <c r="E113" s="304" t="s">
        <v>312</v>
      </c>
      <c r="F113" s="304" t="s">
        <v>313</v>
      </c>
      <c r="G113" s="304" t="s">
        <v>576</v>
      </c>
      <c r="H113" s="329" t="s">
        <v>786</v>
      </c>
      <c r="I113" s="304" t="s">
        <v>83</v>
      </c>
      <c r="J113" s="304" t="s">
        <v>577</v>
      </c>
      <c r="K113" s="304" t="s">
        <v>257</v>
      </c>
      <c r="L113" s="304" t="s">
        <v>258</v>
      </c>
      <c r="M113" s="305">
        <v>44440</v>
      </c>
      <c r="N113" s="306">
        <v>5.3</v>
      </c>
      <c r="O113" s="307">
        <v>10000</v>
      </c>
      <c r="P113" s="307">
        <v>2500</v>
      </c>
      <c r="Q113" s="307">
        <v>500</v>
      </c>
      <c r="R113" s="307"/>
      <c r="S113" s="307">
        <v>300</v>
      </c>
      <c r="T113" s="307">
        <v>13300</v>
      </c>
      <c r="U113" s="308">
        <v>1</v>
      </c>
      <c r="V113" s="304" t="s">
        <v>259</v>
      </c>
      <c r="W113" s="304">
        <v>250</v>
      </c>
      <c r="X113" s="309" t="s">
        <v>260</v>
      </c>
    </row>
    <row r="114" spans="1:24" x14ac:dyDescent="0.2">
      <c r="A114" s="303">
        <v>110</v>
      </c>
      <c r="B114" s="304" t="s">
        <v>578</v>
      </c>
      <c r="C114" s="304" t="s">
        <v>579</v>
      </c>
      <c r="D114" s="304" t="s">
        <v>253</v>
      </c>
      <c r="E114" s="304" t="s">
        <v>312</v>
      </c>
      <c r="F114" s="304" t="s">
        <v>313</v>
      </c>
      <c r="G114" s="304" t="s">
        <v>314</v>
      </c>
      <c r="H114" s="329" t="s">
        <v>786</v>
      </c>
      <c r="I114" s="304" t="s">
        <v>101</v>
      </c>
      <c r="J114" s="304" t="s">
        <v>580</v>
      </c>
      <c r="K114" s="304" t="s">
        <v>257</v>
      </c>
      <c r="L114" s="304" t="s">
        <v>258</v>
      </c>
      <c r="M114" s="305">
        <v>44075</v>
      </c>
      <c r="N114" s="306">
        <v>6.3</v>
      </c>
      <c r="O114" s="307">
        <v>9500</v>
      </c>
      <c r="P114" s="307">
        <v>2500</v>
      </c>
      <c r="Q114" s="307">
        <v>500</v>
      </c>
      <c r="R114" s="307"/>
      <c r="S114" s="307">
        <v>1500</v>
      </c>
      <c r="T114" s="307">
        <v>14000</v>
      </c>
      <c r="U114" s="308">
        <v>1</v>
      </c>
      <c r="V114" s="304" t="s">
        <v>259</v>
      </c>
      <c r="W114" s="304">
        <v>250</v>
      </c>
      <c r="X114" s="309" t="s">
        <v>260</v>
      </c>
    </row>
    <row r="115" spans="1:24" x14ac:dyDescent="0.2">
      <c r="A115" s="296">
        <v>111</v>
      </c>
      <c r="B115" s="297" t="s">
        <v>581</v>
      </c>
      <c r="C115" s="297" t="s">
        <v>582</v>
      </c>
      <c r="D115" s="297" t="s">
        <v>253</v>
      </c>
      <c r="E115" s="297" t="s">
        <v>335</v>
      </c>
      <c r="F115" s="297" t="s">
        <v>277</v>
      </c>
      <c r="G115" s="297" t="s">
        <v>336</v>
      </c>
      <c r="H115" s="327" t="s">
        <v>785</v>
      </c>
      <c r="I115" s="297"/>
      <c r="J115" s="297" t="s">
        <v>277</v>
      </c>
      <c r="K115" s="297" t="s">
        <v>277</v>
      </c>
      <c r="L115" s="297" t="s">
        <v>258</v>
      </c>
      <c r="M115" s="298">
        <v>45901</v>
      </c>
      <c r="N115" s="299">
        <v>1.3</v>
      </c>
      <c r="O115" s="300">
        <v>8500</v>
      </c>
      <c r="P115" s="300">
        <v>2500</v>
      </c>
      <c r="Q115" s="300">
        <v>500</v>
      </c>
      <c r="R115" s="300"/>
      <c r="S115" s="300"/>
      <c r="T115" s="300">
        <v>11500</v>
      </c>
      <c r="U115" s="301">
        <v>1</v>
      </c>
      <c r="V115" s="297" t="s">
        <v>259</v>
      </c>
      <c r="W115" s="297" t="s">
        <v>273</v>
      </c>
      <c r="X115" s="302" t="s">
        <v>260</v>
      </c>
    </row>
    <row r="116" spans="1:24" x14ac:dyDescent="0.2">
      <c r="A116" s="303">
        <v>112</v>
      </c>
      <c r="B116" s="304" t="s">
        <v>583</v>
      </c>
      <c r="C116" s="304" t="s">
        <v>584</v>
      </c>
      <c r="D116" s="304" t="s">
        <v>253</v>
      </c>
      <c r="E116" s="304" t="s">
        <v>312</v>
      </c>
      <c r="F116" s="304" t="s">
        <v>313</v>
      </c>
      <c r="G116" s="304" t="s">
        <v>358</v>
      </c>
      <c r="H116" s="329" t="s">
        <v>786</v>
      </c>
      <c r="I116" s="304" t="s">
        <v>81</v>
      </c>
      <c r="J116" s="304" t="s">
        <v>788</v>
      </c>
      <c r="K116" s="304" t="s">
        <v>257</v>
      </c>
      <c r="L116" s="304" t="s">
        <v>258</v>
      </c>
      <c r="M116" s="305">
        <v>44990</v>
      </c>
      <c r="N116" s="306">
        <v>3.8</v>
      </c>
      <c r="O116" s="307">
        <v>8750</v>
      </c>
      <c r="P116" s="307">
        <v>2500</v>
      </c>
      <c r="Q116" s="307">
        <v>500</v>
      </c>
      <c r="R116" s="307"/>
      <c r="S116" s="307">
        <v>500</v>
      </c>
      <c r="T116" s="307">
        <v>12250</v>
      </c>
      <c r="U116" s="308">
        <v>1</v>
      </c>
      <c r="V116" s="304" t="s">
        <v>259</v>
      </c>
      <c r="W116" s="304">
        <v>250</v>
      </c>
      <c r="X116" s="309" t="s">
        <v>260</v>
      </c>
    </row>
    <row r="117" spans="1:24" x14ac:dyDescent="0.2">
      <c r="A117" s="303">
        <v>113</v>
      </c>
      <c r="B117" s="304" t="s">
        <v>585</v>
      </c>
      <c r="C117" s="304" t="s">
        <v>586</v>
      </c>
      <c r="D117" s="304" t="s">
        <v>253</v>
      </c>
      <c r="E117" s="304" t="s">
        <v>328</v>
      </c>
      <c r="F117" s="304" t="s">
        <v>313</v>
      </c>
      <c r="G117" s="357" t="s">
        <v>44</v>
      </c>
      <c r="H117" s="329" t="s">
        <v>786</v>
      </c>
      <c r="I117" s="357" t="s">
        <v>68</v>
      </c>
      <c r="J117" s="357" t="s">
        <v>788</v>
      </c>
      <c r="K117" s="304" t="s">
        <v>257</v>
      </c>
      <c r="L117" s="304" t="s">
        <v>258</v>
      </c>
      <c r="M117" s="305">
        <v>45901</v>
      </c>
      <c r="N117" s="306">
        <v>1.3</v>
      </c>
      <c r="O117" s="307">
        <v>3700</v>
      </c>
      <c r="P117" s="307">
        <v>1250</v>
      </c>
      <c r="Q117" s="307">
        <v>250</v>
      </c>
      <c r="R117" s="307"/>
      <c r="S117" s="307"/>
      <c r="T117" s="307">
        <v>5200</v>
      </c>
      <c r="U117" s="308">
        <v>0.5</v>
      </c>
      <c r="V117" s="304" t="s">
        <v>259</v>
      </c>
      <c r="W117" s="304" t="s">
        <v>273</v>
      </c>
      <c r="X117" s="309" t="s">
        <v>260</v>
      </c>
    </row>
    <row r="118" spans="1:24" x14ac:dyDescent="0.2">
      <c r="A118" s="303">
        <v>114</v>
      </c>
      <c r="B118" s="304" t="s">
        <v>587</v>
      </c>
      <c r="C118" s="304" t="s">
        <v>588</v>
      </c>
      <c r="D118" s="304" t="s">
        <v>253</v>
      </c>
      <c r="E118" s="304" t="s">
        <v>312</v>
      </c>
      <c r="F118" s="304" t="s">
        <v>313</v>
      </c>
      <c r="G118" s="304" t="s">
        <v>371</v>
      </c>
      <c r="H118" s="329" t="s">
        <v>786</v>
      </c>
      <c r="I118" s="304" t="s">
        <v>73</v>
      </c>
      <c r="J118" s="304" t="s">
        <v>589</v>
      </c>
      <c r="K118" s="304" t="s">
        <v>257</v>
      </c>
      <c r="L118" s="304" t="s">
        <v>258</v>
      </c>
      <c r="M118" s="305">
        <v>43344</v>
      </c>
      <c r="N118" s="306">
        <v>8.3000000000000007</v>
      </c>
      <c r="O118" s="307">
        <v>9750</v>
      </c>
      <c r="P118" s="307">
        <v>2500</v>
      </c>
      <c r="Q118" s="307">
        <v>500</v>
      </c>
      <c r="R118" s="307"/>
      <c r="S118" s="307">
        <v>2100</v>
      </c>
      <c r="T118" s="307">
        <v>14850</v>
      </c>
      <c r="U118" s="308">
        <v>1</v>
      </c>
      <c r="V118" s="304" t="s">
        <v>263</v>
      </c>
      <c r="W118" s="304">
        <v>250</v>
      </c>
      <c r="X118" s="309" t="s">
        <v>260</v>
      </c>
    </row>
    <row r="119" spans="1:24" x14ac:dyDescent="0.2">
      <c r="A119" s="296">
        <v>115</v>
      </c>
      <c r="B119" s="297" t="s">
        <v>590</v>
      </c>
      <c r="C119" s="297" t="s">
        <v>360</v>
      </c>
      <c r="D119" s="297" t="s">
        <v>253</v>
      </c>
      <c r="E119" s="297" t="s">
        <v>591</v>
      </c>
      <c r="F119" s="297" t="s">
        <v>277</v>
      </c>
      <c r="G119" s="297" t="s">
        <v>545</v>
      </c>
      <c r="H119" s="327" t="s">
        <v>785</v>
      </c>
      <c r="I119" s="297"/>
      <c r="J119" s="297" t="s">
        <v>277</v>
      </c>
      <c r="K119" s="297" t="s">
        <v>277</v>
      </c>
      <c r="L119" s="297" t="s">
        <v>258</v>
      </c>
      <c r="M119" s="298">
        <v>45907</v>
      </c>
      <c r="N119" s="299">
        <v>1.3</v>
      </c>
      <c r="O119" s="300">
        <v>9750</v>
      </c>
      <c r="P119" s="300">
        <v>2500</v>
      </c>
      <c r="Q119" s="300">
        <v>500</v>
      </c>
      <c r="R119" s="300"/>
      <c r="S119" s="300"/>
      <c r="T119" s="300">
        <v>12750</v>
      </c>
      <c r="U119" s="301">
        <v>1</v>
      </c>
      <c r="V119" s="297" t="s">
        <v>263</v>
      </c>
      <c r="W119" s="297" t="s">
        <v>273</v>
      </c>
      <c r="X119" s="302" t="s">
        <v>260</v>
      </c>
    </row>
    <row r="120" spans="1:24" x14ac:dyDescent="0.2">
      <c r="A120" s="275">
        <v>116</v>
      </c>
      <c r="B120" s="276" t="s">
        <v>592</v>
      </c>
      <c r="C120" s="276" t="s">
        <v>325</v>
      </c>
      <c r="D120" s="276" t="s">
        <v>253</v>
      </c>
      <c r="E120" s="276" t="s">
        <v>593</v>
      </c>
      <c r="F120" s="276" t="s">
        <v>255</v>
      </c>
      <c r="G120" s="276" t="s">
        <v>594</v>
      </c>
      <c r="H120" s="324" t="s">
        <v>785</v>
      </c>
      <c r="I120" s="276"/>
      <c r="J120" s="276" t="s">
        <v>257</v>
      </c>
      <c r="K120" s="276" t="s">
        <v>255</v>
      </c>
      <c r="L120" s="276" t="s">
        <v>258</v>
      </c>
      <c r="M120" s="277">
        <v>44805</v>
      </c>
      <c r="N120" s="278">
        <v>4.3</v>
      </c>
      <c r="O120" s="279">
        <v>6600</v>
      </c>
      <c r="P120" s="279">
        <v>2500</v>
      </c>
      <c r="Q120" s="279">
        <v>500</v>
      </c>
      <c r="R120" s="279"/>
      <c r="S120" s="279"/>
      <c r="T120" s="279">
        <v>9600</v>
      </c>
      <c r="U120" s="280">
        <v>1</v>
      </c>
      <c r="V120" s="276" t="s">
        <v>259</v>
      </c>
      <c r="W120" s="276">
        <v>200</v>
      </c>
      <c r="X120" s="281" t="s">
        <v>260</v>
      </c>
    </row>
    <row r="121" spans="1:24" x14ac:dyDescent="0.2">
      <c r="A121" s="296">
        <v>117</v>
      </c>
      <c r="B121" s="297" t="s">
        <v>595</v>
      </c>
      <c r="C121" s="297" t="s">
        <v>596</v>
      </c>
      <c r="D121" s="297" t="s">
        <v>253</v>
      </c>
      <c r="E121" s="297" t="s">
        <v>597</v>
      </c>
      <c r="F121" s="297" t="s">
        <v>277</v>
      </c>
      <c r="G121" s="297" t="s">
        <v>510</v>
      </c>
      <c r="H121" s="327" t="s">
        <v>785</v>
      </c>
      <c r="I121" s="297"/>
      <c r="J121" s="297" t="s">
        <v>277</v>
      </c>
      <c r="K121" s="297" t="s">
        <v>277</v>
      </c>
      <c r="L121" s="297" t="s">
        <v>258</v>
      </c>
      <c r="M121" s="298">
        <v>45170</v>
      </c>
      <c r="N121" s="299">
        <v>3.3</v>
      </c>
      <c r="O121" s="300">
        <v>20000</v>
      </c>
      <c r="P121" s="300">
        <v>2500</v>
      </c>
      <c r="Q121" s="300">
        <v>500</v>
      </c>
      <c r="R121" s="300">
        <v>2500</v>
      </c>
      <c r="S121" s="300"/>
      <c r="T121" s="300">
        <v>25500</v>
      </c>
      <c r="U121" s="301">
        <v>1</v>
      </c>
      <c r="V121" s="297" t="s">
        <v>263</v>
      </c>
      <c r="W121" s="297">
        <v>250</v>
      </c>
      <c r="X121" s="302" t="s">
        <v>260</v>
      </c>
    </row>
    <row r="122" spans="1:24" x14ac:dyDescent="0.2">
      <c r="A122" s="282">
        <v>118</v>
      </c>
      <c r="B122" s="283" t="s">
        <v>595</v>
      </c>
      <c r="C122" s="283" t="s">
        <v>379</v>
      </c>
      <c r="D122" s="283" t="s">
        <v>253</v>
      </c>
      <c r="E122" s="283" t="s">
        <v>365</v>
      </c>
      <c r="F122" s="283" t="s">
        <v>4</v>
      </c>
      <c r="G122" s="283" t="s">
        <v>120</v>
      </c>
      <c r="H122" s="330" t="s">
        <v>785</v>
      </c>
      <c r="I122" s="283"/>
      <c r="J122" s="283" t="s">
        <v>388</v>
      </c>
      <c r="K122" s="283" t="s">
        <v>4</v>
      </c>
      <c r="L122" s="283" t="s">
        <v>258</v>
      </c>
      <c r="M122" s="284">
        <v>45170</v>
      </c>
      <c r="N122" s="285">
        <v>3.3</v>
      </c>
      <c r="O122" s="286">
        <v>6800</v>
      </c>
      <c r="P122" s="286">
        <v>2500</v>
      </c>
      <c r="Q122" s="286">
        <v>500</v>
      </c>
      <c r="R122" s="286"/>
      <c r="S122" s="286"/>
      <c r="T122" s="286">
        <v>9800</v>
      </c>
      <c r="U122" s="287">
        <v>1</v>
      </c>
      <c r="V122" s="283" t="s">
        <v>263</v>
      </c>
      <c r="W122" s="283">
        <v>200</v>
      </c>
      <c r="X122" s="288" t="s">
        <v>260</v>
      </c>
    </row>
    <row r="123" spans="1:24" x14ac:dyDescent="0.2">
      <c r="A123" s="275">
        <v>119</v>
      </c>
      <c r="B123" s="276" t="s">
        <v>598</v>
      </c>
      <c r="C123" s="276" t="s">
        <v>523</v>
      </c>
      <c r="D123" s="276" t="s">
        <v>253</v>
      </c>
      <c r="E123" s="276" t="s">
        <v>599</v>
      </c>
      <c r="F123" s="276" t="s">
        <v>255</v>
      </c>
      <c r="G123" s="276" t="s">
        <v>600</v>
      </c>
      <c r="H123" s="324" t="s">
        <v>785</v>
      </c>
      <c r="I123" s="276"/>
      <c r="J123" s="276" t="s">
        <v>355</v>
      </c>
      <c r="K123" s="276" t="s">
        <v>255</v>
      </c>
      <c r="L123" s="276" t="s">
        <v>258</v>
      </c>
      <c r="M123" s="277">
        <v>44075</v>
      </c>
      <c r="N123" s="278">
        <v>6.3</v>
      </c>
      <c r="O123" s="279">
        <v>10500</v>
      </c>
      <c r="P123" s="279">
        <v>2500</v>
      </c>
      <c r="Q123" s="279">
        <v>500</v>
      </c>
      <c r="R123" s="279"/>
      <c r="S123" s="279"/>
      <c r="T123" s="279">
        <v>13500</v>
      </c>
      <c r="U123" s="280">
        <v>1</v>
      </c>
      <c r="V123" s="276" t="s">
        <v>259</v>
      </c>
      <c r="W123" s="276">
        <v>250</v>
      </c>
      <c r="X123" s="281" t="s">
        <v>260</v>
      </c>
    </row>
    <row r="124" spans="1:24" x14ac:dyDescent="0.2">
      <c r="A124" s="303">
        <v>120</v>
      </c>
      <c r="B124" s="304" t="s">
        <v>601</v>
      </c>
      <c r="C124" s="304" t="s">
        <v>602</v>
      </c>
      <c r="D124" s="304" t="s">
        <v>253</v>
      </c>
      <c r="E124" s="304" t="s">
        <v>312</v>
      </c>
      <c r="F124" s="304" t="s">
        <v>313</v>
      </c>
      <c r="G124" s="357" t="s">
        <v>42</v>
      </c>
      <c r="H124" s="329" t="s">
        <v>786</v>
      </c>
      <c r="I124" s="357" t="s">
        <v>85</v>
      </c>
      <c r="J124" s="304" t="s">
        <v>319</v>
      </c>
      <c r="K124" s="304" t="s">
        <v>257</v>
      </c>
      <c r="L124" s="304" t="s">
        <v>258</v>
      </c>
      <c r="M124" s="305">
        <v>45298</v>
      </c>
      <c r="N124" s="306">
        <v>3</v>
      </c>
      <c r="O124" s="307">
        <v>9000</v>
      </c>
      <c r="P124" s="307">
        <v>2500</v>
      </c>
      <c r="Q124" s="307">
        <v>500</v>
      </c>
      <c r="R124" s="307"/>
      <c r="S124" s="307"/>
      <c r="T124" s="307">
        <v>12000</v>
      </c>
      <c r="U124" s="308">
        <v>1</v>
      </c>
      <c r="V124" s="304" t="s">
        <v>263</v>
      </c>
      <c r="W124" s="304" t="s">
        <v>273</v>
      </c>
      <c r="X124" s="309" t="s">
        <v>260</v>
      </c>
    </row>
    <row r="125" spans="1:24" x14ac:dyDescent="0.2">
      <c r="A125" s="282">
        <v>121</v>
      </c>
      <c r="B125" s="283" t="s">
        <v>603</v>
      </c>
      <c r="C125" s="283" t="s">
        <v>604</v>
      </c>
      <c r="D125" s="283" t="s">
        <v>253</v>
      </c>
      <c r="E125" s="283" t="s">
        <v>365</v>
      </c>
      <c r="F125" s="283" t="s">
        <v>4</v>
      </c>
      <c r="G125" s="283" t="s">
        <v>120</v>
      </c>
      <c r="H125" s="330" t="s">
        <v>785</v>
      </c>
      <c r="I125" s="283"/>
      <c r="J125" s="283" t="s">
        <v>605</v>
      </c>
      <c r="K125" s="283" t="s">
        <v>4</v>
      </c>
      <c r="L125" s="283" t="s">
        <v>258</v>
      </c>
      <c r="M125" s="284">
        <v>44875</v>
      </c>
      <c r="N125" s="285">
        <v>4.0999999999999996</v>
      </c>
      <c r="O125" s="286">
        <v>6600</v>
      </c>
      <c r="P125" s="286">
        <v>2500</v>
      </c>
      <c r="Q125" s="286">
        <v>500</v>
      </c>
      <c r="R125" s="286"/>
      <c r="S125" s="286"/>
      <c r="T125" s="286">
        <v>9600</v>
      </c>
      <c r="U125" s="287">
        <v>1</v>
      </c>
      <c r="V125" s="283" t="s">
        <v>263</v>
      </c>
      <c r="W125" s="283">
        <v>200</v>
      </c>
      <c r="X125" s="288" t="s">
        <v>260</v>
      </c>
    </row>
    <row r="126" spans="1:24" x14ac:dyDescent="0.2">
      <c r="A126" s="296">
        <v>122</v>
      </c>
      <c r="B126" s="297" t="s">
        <v>606</v>
      </c>
      <c r="C126" s="297" t="s">
        <v>465</v>
      </c>
      <c r="D126" s="297" t="s">
        <v>253</v>
      </c>
      <c r="E126" s="297" t="s">
        <v>607</v>
      </c>
      <c r="F126" s="297" t="s">
        <v>277</v>
      </c>
      <c r="G126" s="297" t="s">
        <v>608</v>
      </c>
      <c r="H126" s="327" t="s">
        <v>785</v>
      </c>
      <c r="I126" s="297"/>
      <c r="J126" s="297" t="s">
        <v>277</v>
      </c>
      <c r="K126" s="297" t="s">
        <v>277</v>
      </c>
      <c r="L126" s="297" t="s">
        <v>258</v>
      </c>
      <c r="M126" s="298">
        <v>44440</v>
      </c>
      <c r="N126" s="299">
        <v>5.3</v>
      </c>
      <c r="O126" s="300">
        <v>12500</v>
      </c>
      <c r="P126" s="300">
        <v>2500</v>
      </c>
      <c r="Q126" s="300">
        <v>500</v>
      </c>
      <c r="R126" s="300">
        <v>500</v>
      </c>
      <c r="S126" s="300"/>
      <c r="T126" s="300">
        <v>16000</v>
      </c>
      <c r="U126" s="301">
        <v>1</v>
      </c>
      <c r="V126" s="297" t="s">
        <v>259</v>
      </c>
      <c r="W126" s="297" t="s">
        <v>609</v>
      </c>
      <c r="X126" s="302" t="s">
        <v>260</v>
      </c>
    </row>
    <row r="127" spans="1:24" x14ac:dyDescent="0.2">
      <c r="A127" s="303">
        <v>123</v>
      </c>
      <c r="B127" s="304" t="s">
        <v>610</v>
      </c>
      <c r="C127" s="304" t="s">
        <v>611</v>
      </c>
      <c r="D127" s="304" t="s">
        <v>253</v>
      </c>
      <c r="E127" s="304" t="s">
        <v>328</v>
      </c>
      <c r="F127" s="304" t="s">
        <v>313</v>
      </c>
      <c r="G127" s="304" t="s">
        <v>43</v>
      </c>
      <c r="H127" s="329" t="s">
        <v>786</v>
      </c>
      <c r="I127" s="304" t="s">
        <v>65</v>
      </c>
      <c r="J127" s="304" t="s">
        <v>788</v>
      </c>
      <c r="K127" s="304" t="s">
        <v>257</v>
      </c>
      <c r="L127" s="304" t="s">
        <v>258</v>
      </c>
      <c r="M127" s="305">
        <v>44440</v>
      </c>
      <c r="N127" s="306">
        <v>5.3</v>
      </c>
      <c r="O127" s="307">
        <v>8250</v>
      </c>
      <c r="P127" s="307">
        <v>2500</v>
      </c>
      <c r="Q127" s="307">
        <v>500</v>
      </c>
      <c r="R127" s="307"/>
      <c r="S127" s="307">
        <v>1100</v>
      </c>
      <c r="T127" s="307">
        <v>12350</v>
      </c>
      <c r="U127" s="308">
        <v>1</v>
      </c>
      <c r="V127" s="304" t="s">
        <v>263</v>
      </c>
      <c r="W127" s="304">
        <v>250</v>
      </c>
      <c r="X127" s="309" t="s">
        <v>260</v>
      </c>
    </row>
    <row r="128" spans="1:24" x14ac:dyDescent="0.2">
      <c r="A128" s="275">
        <v>124</v>
      </c>
      <c r="B128" s="276" t="s">
        <v>612</v>
      </c>
      <c r="C128" s="276" t="s">
        <v>613</v>
      </c>
      <c r="D128" s="276" t="s">
        <v>253</v>
      </c>
      <c r="E128" s="276" t="s">
        <v>460</v>
      </c>
      <c r="F128" s="276" t="s">
        <v>255</v>
      </c>
      <c r="G128" s="276" t="s">
        <v>461</v>
      </c>
      <c r="H128" s="324" t="s">
        <v>785</v>
      </c>
      <c r="I128" s="276"/>
      <c r="J128" s="276" t="s">
        <v>355</v>
      </c>
      <c r="K128" s="276" t="s">
        <v>255</v>
      </c>
      <c r="L128" s="276" t="s">
        <v>258</v>
      </c>
      <c r="M128" s="277">
        <v>44440</v>
      </c>
      <c r="N128" s="278">
        <v>5.3</v>
      </c>
      <c r="O128" s="279">
        <v>9500</v>
      </c>
      <c r="P128" s="279">
        <v>2500</v>
      </c>
      <c r="Q128" s="279">
        <v>500</v>
      </c>
      <c r="R128" s="279"/>
      <c r="S128" s="279"/>
      <c r="T128" s="279">
        <v>12500</v>
      </c>
      <c r="U128" s="280">
        <v>1</v>
      </c>
      <c r="V128" s="276" t="s">
        <v>259</v>
      </c>
      <c r="W128" s="276">
        <v>250</v>
      </c>
      <c r="X128" s="281" t="s">
        <v>260</v>
      </c>
    </row>
    <row r="129" spans="1:24" x14ac:dyDescent="0.2">
      <c r="A129" s="303">
        <v>126</v>
      </c>
      <c r="B129" s="304" t="s">
        <v>614</v>
      </c>
      <c r="C129" s="304" t="s">
        <v>615</v>
      </c>
      <c r="D129" s="304" t="s">
        <v>253</v>
      </c>
      <c r="E129" s="304" t="s">
        <v>616</v>
      </c>
      <c r="F129" s="304" t="s">
        <v>617</v>
      </c>
      <c r="G129" s="304" t="s">
        <v>618</v>
      </c>
      <c r="H129" s="329" t="s">
        <v>786</v>
      </c>
      <c r="I129" s="304" t="s">
        <v>79</v>
      </c>
      <c r="J129" s="304" t="s">
        <v>788</v>
      </c>
      <c r="K129" s="304" t="s">
        <v>257</v>
      </c>
      <c r="L129" s="304" t="s">
        <v>258</v>
      </c>
      <c r="M129" s="305">
        <v>43709</v>
      </c>
      <c r="N129" s="306">
        <v>7.3</v>
      </c>
      <c r="O129" s="307">
        <v>8750</v>
      </c>
      <c r="P129" s="307">
        <v>2500</v>
      </c>
      <c r="Q129" s="307">
        <v>500</v>
      </c>
      <c r="R129" s="307"/>
      <c r="S129" s="307"/>
      <c r="T129" s="307">
        <v>11750</v>
      </c>
      <c r="U129" s="308">
        <v>1</v>
      </c>
      <c r="V129" s="304" t="s">
        <v>263</v>
      </c>
      <c r="W129" s="304">
        <v>250</v>
      </c>
      <c r="X129" s="309" t="s">
        <v>619</v>
      </c>
    </row>
    <row r="130" spans="1:24" x14ac:dyDescent="0.2">
      <c r="A130" s="275">
        <v>127</v>
      </c>
      <c r="B130" s="276" t="s">
        <v>620</v>
      </c>
      <c r="C130" s="276" t="s">
        <v>621</v>
      </c>
      <c r="D130" s="276" t="s">
        <v>253</v>
      </c>
      <c r="E130" s="276" t="s">
        <v>443</v>
      </c>
      <c r="F130" s="276" t="s">
        <v>313</v>
      </c>
      <c r="G130" s="276" t="s">
        <v>256</v>
      </c>
      <c r="H130" s="324" t="s">
        <v>785</v>
      </c>
      <c r="I130" s="276"/>
      <c r="J130" s="276" t="s">
        <v>289</v>
      </c>
      <c r="K130" s="276" t="s">
        <v>255</v>
      </c>
      <c r="L130" s="276" t="s">
        <v>258</v>
      </c>
      <c r="M130" s="277">
        <v>45170</v>
      </c>
      <c r="N130" s="278">
        <v>3.3</v>
      </c>
      <c r="O130" s="279">
        <v>10500</v>
      </c>
      <c r="P130" s="279">
        <v>2500</v>
      </c>
      <c r="Q130" s="279">
        <v>500</v>
      </c>
      <c r="R130" s="279">
        <v>2500</v>
      </c>
      <c r="S130" s="279"/>
      <c r="T130" s="279">
        <v>16000</v>
      </c>
      <c r="U130" s="280">
        <v>1</v>
      </c>
      <c r="V130" s="276" t="s">
        <v>263</v>
      </c>
      <c r="W130" s="276" t="s">
        <v>622</v>
      </c>
      <c r="X130" s="281" t="s">
        <v>260</v>
      </c>
    </row>
    <row r="131" spans="1:24" x14ac:dyDescent="0.2">
      <c r="A131" s="303">
        <v>128</v>
      </c>
      <c r="B131" s="304" t="s">
        <v>623</v>
      </c>
      <c r="C131" s="304" t="s">
        <v>562</v>
      </c>
      <c r="D131" s="304" t="s">
        <v>253</v>
      </c>
      <c r="E131" s="304" t="s">
        <v>624</v>
      </c>
      <c r="F131" s="304" t="s">
        <v>255</v>
      </c>
      <c r="G131" s="304" t="s">
        <v>625</v>
      </c>
      <c r="H131" s="332" t="s">
        <v>785</v>
      </c>
      <c r="I131" s="304"/>
      <c r="J131" s="304" t="s">
        <v>788</v>
      </c>
      <c r="K131" s="304" t="s">
        <v>257</v>
      </c>
      <c r="L131" s="304" t="s">
        <v>258</v>
      </c>
      <c r="M131" s="305">
        <v>41885</v>
      </c>
      <c r="N131" s="306">
        <v>12.3</v>
      </c>
      <c r="O131" s="307">
        <v>7935</v>
      </c>
      <c r="P131" s="307">
        <v>2035</v>
      </c>
      <c r="Q131" s="307">
        <v>407</v>
      </c>
      <c r="R131" s="307"/>
      <c r="S131" s="307"/>
      <c r="T131" s="307">
        <v>10377</v>
      </c>
      <c r="U131" s="308">
        <v>0.81388888888888899</v>
      </c>
      <c r="V131" s="304" t="s">
        <v>263</v>
      </c>
      <c r="W131" s="304">
        <v>250</v>
      </c>
      <c r="X131" s="309" t="s">
        <v>260</v>
      </c>
    </row>
    <row r="132" spans="1:24" x14ac:dyDescent="0.2">
      <c r="A132" s="303">
        <v>129</v>
      </c>
      <c r="B132" s="304" t="s">
        <v>626</v>
      </c>
      <c r="C132" s="304" t="s">
        <v>384</v>
      </c>
      <c r="D132" s="304" t="s">
        <v>253</v>
      </c>
      <c r="E132" s="304" t="s">
        <v>312</v>
      </c>
      <c r="F132" s="304" t="s">
        <v>313</v>
      </c>
      <c r="G132" s="357" t="s">
        <v>314</v>
      </c>
      <c r="H132" s="329" t="s">
        <v>786</v>
      </c>
      <c r="I132" s="357" t="s">
        <v>101</v>
      </c>
      <c r="J132" s="357" t="s">
        <v>788</v>
      </c>
      <c r="K132" s="304" t="s">
        <v>257</v>
      </c>
      <c r="L132" s="304" t="s">
        <v>258</v>
      </c>
      <c r="M132" s="305">
        <v>45901</v>
      </c>
      <c r="N132" s="306">
        <v>1.3</v>
      </c>
      <c r="O132" s="307">
        <v>10000</v>
      </c>
      <c r="P132" s="307">
        <v>2500</v>
      </c>
      <c r="Q132" s="307">
        <v>500</v>
      </c>
      <c r="R132" s="307"/>
      <c r="S132" s="307"/>
      <c r="T132" s="307">
        <v>13000</v>
      </c>
      <c r="U132" s="308">
        <v>1</v>
      </c>
      <c r="V132" s="304" t="s">
        <v>263</v>
      </c>
      <c r="W132" s="304" t="s">
        <v>273</v>
      </c>
      <c r="X132" s="309" t="s">
        <v>260</v>
      </c>
    </row>
    <row r="133" spans="1:24" x14ac:dyDescent="0.2">
      <c r="A133" s="303">
        <v>130</v>
      </c>
      <c r="B133" s="304" t="s">
        <v>627</v>
      </c>
      <c r="C133" s="304" t="s">
        <v>628</v>
      </c>
      <c r="D133" s="304" t="s">
        <v>253</v>
      </c>
      <c r="E133" s="304" t="s">
        <v>312</v>
      </c>
      <c r="F133" s="304" t="s">
        <v>313</v>
      </c>
      <c r="G133" s="304" t="s">
        <v>318</v>
      </c>
      <c r="H133" s="329" t="s">
        <v>786</v>
      </c>
      <c r="I133" s="328" t="s">
        <v>318</v>
      </c>
      <c r="J133" s="304" t="s">
        <v>319</v>
      </c>
      <c r="K133" s="304" t="s">
        <v>257</v>
      </c>
      <c r="L133" s="304" t="s">
        <v>258</v>
      </c>
      <c r="M133" s="305">
        <v>45921</v>
      </c>
      <c r="N133" s="306">
        <v>1.3</v>
      </c>
      <c r="O133" s="307">
        <v>4000</v>
      </c>
      <c r="P133" s="307">
        <v>1250</v>
      </c>
      <c r="Q133" s="307">
        <v>250</v>
      </c>
      <c r="R133" s="307"/>
      <c r="S133" s="307"/>
      <c r="T133" s="307">
        <v>5500</v>
      </c>
      <c r="U133" s="308">
        <v>0.5</v>
      </c>
      <c r="V133" s="304" t="s">
        <v>259</v>
      </c>
      <c r="W133" s="304" t="s">
        <v>273</v>
      </c>
      <c r="X133" s="309" t="s">
        <v>260</v>
      </c>
    </row>
    <row r="134" spans="1:24" x14ac:dyDescent="0.2">
      <c r="A134" s="282">
        <v>131</v>
      </c>
      <c r="B134" s="283" t="s">
        <v>629</v>
      </c>
      <c r="C134" s="283" t="s">
        <v>630</v>
      </c>
      <c r="D134" s="283" t="s">
        <v>253</v>
      </c>
      <c r="E134" s="283" t="s">
        <v>268</v>
      </c>
      <c r="F134" s="283" t="s">
        <v>8</v>
      </c>
      <c r="G134" s="283" t="s">
        <v>269</v>
      </c>
      <c r="H134" s="325" t="s">
        <v>786</v>
      </c>
      <c r="I134" s="283" t="s">
        <v>58</v>
      </c>
      <c r="J134" s="283" t="s">
        <v>605</v>
      </c>
      <c r="K134" s="283" t="s">
        <v>4</v>
      </c>
      <c r="L134" s="283" t="s">
        <v>258</v>
      </c>
      <c r="M134" s="284">
        <v>44805</v>
      </c>
      <c r="N134" s="285">
        <v>4.3</v>
      </c>
      <c r="O134" s="286">
        <v>10500</v>
      </c>
      <c r="P134" s="286">
        <v>2500</v>
      </c>
      <c r="Q134" s="286">
        <v>500</v>
      </c>
      <c r="R134" s="286"/>
      <c r="S134" s="286"/>
      <c r="T134" s="286">
        <v>13500</v>
      </c>
      <c r="U134" s="287">
        <v>1</v>
      </c>
      <c r="V134" s="283" t="s">
        <v>259</v>
      </c>
      <c r="W134" s="283">
        <v>250</v>
      </c>
      <c r="X134" s="288" t="s">
        <v>260</v>
      </c>
    </row>
    <row r="135" spans="1:24" x14ac:dyDescent="0.2">
      <c r="A135" s="296">
        <v>132</v>
      </c>
      <c r="B135" s="297" t="s">
        <v>631</v>
      </c>
      <c r="C135" s="297" t="s">
        <v>632</v>
      </c>
      <c r="D135" s="297" t="s">
        <v>253</v>
      </c>
      <c r="E135" s="297" t="s">
        <v>633</v>
      </c>
      <c r="F135" s="297" t="s">
        <v>277</v>
      </c>
      <c r="G135" s="297" t="s">
        <v>278</v>
      </c>
      <c r="H135" s="327" t="s">
        <v>785</v>
      </c>
      <c r="I135" s="297"/>
      <c r="J135" s="297" t="s">
        <v>277</v>
      </c>
      <c r="K135" s="297" t="s">
        <v>277</v>
      </c>
      <c r="L135" s="297" t="s">
        <v>258</v>
      </c>
      <c r="M135" s="298">
        <v>44836</v>
      </c>
      <c r="N135" s="299">
        <v>4.2</v>
      </c>
      <c r="O135" s="300">
        <v>9000</v>
      </c>
      <c r="P135" s="300">
        <v>2500</v>
      </c>
      <c r="Q135" s="300">
        <v>500</v>
      </c>
      <c r="R135" s="300"/>
      <c r="S135" s="300"/>
      <c r="T135" s="300">
        <v>12000</v>
      </c>
      <c r="U135" s="301">
        <v>1</v>
      </c>
      <c r="V135" s="297" t="s">
        <v>259</v>
      </c>
      <c r="W135" s="297">
        <v>250</v>
      </c>
      <c r="X135" s="302" t="s">
        <v>260</v>
      </c>
    </row>
    <row r="136" spans="1:24" x14ac:dyDescent="0.2">
      <c r="A136" s="303">
        <v>133</v>
      </c>
      <c r="B136" s="304" t="s">
        <v>634</v>
      </c>
      <c r="C136" s="304" t="s">
        <v>604</v>
      </c>
      <c r="D136" s="304" t="s">
        <v>253</v>
      </c>
      <c r="E136" s="304" t="s">
        <v>312</v>
      </c>
      <c r="F136" s="304" t="s">
        <v>313</v>
      </c>
      <c r="G136" s="304" t="s">
        <v>318</v>
      </c>
      <c r="H136" s="329" t="s">
        <v>786</v>
      </c>
      <c r="I136" s="328" t="s">
        <v>318</v>
      </c>
      <c r="J136" s="304" t="s">
        <v>319</v>
      </c>
      <c r="K136" s="304" t="s">
        <v>257</v>
      </c>
      <c r="L136" s="304" t="s">
        <v>258</v>
      </c>
      <c r="M136" s="305">
        <v>45901</v>
      </c>
      <c r="N136" s="306">
        <v>1.3</v>
      </c>
      <c r="O136" s="307">
        <v>9000</v>
      </c>
      <c r="P136" s="307">
        <v>2500</v>
      </c>
      <c r="Q136" s="307">
        <v>500</v>
      </c>
      <c r="R136" s="307"/>
      <c r="S136" s="307">
        <v>700</v>
      </c>
      <c r="T136" s="307">
        <v>12700</v>
      </c>
      <c r="U136" s="308">
        <v>1</v>
      </c>
      <c r="V136" s="304" t="s">
        <v>263</v>
      </c>
      <c r="W136" s="304" t="s">
        <v>273</v>
      </c>
      <c r="X136" s="309" t="s">
        <v>260</v>
      </c>
    </row>
    <row r="137" spans="1:24" x14ac:dyDescent="0.2">
      <c r="A137" s="303">
        <v>134</v>
      </c>
      <c r="B137" s="304" t="s">
        <v>635</v>
      </c>
      <c r="C137" s="304" t="s">
        <v>632</v>
      </c>
      <c r="D137" s="304" t="s">
        <v>253</v>
      </c>
      <c r="E137" s="304" t="s">
        <v>312</v>
      </c>
      <c r="F137" s="304" t="s">
        <v>313</v>
      </c>
      <c r="G137" s="304" t="s">
        <v>371</v>
      </c>
      <c r="H137" s="329" t="s">
        <v>786</v>
      </c>
      <c r="I137" s="304" t="s">
        <v>73</v>
      </c>
      <c r="J137" s="304" t="s">
        <v>788</v>
      </c>
      <c r="K137" s="304" t="s">
        <v>257</v>
      </c>
      <c r="L137" s="304" t="s">
        <v>258</v>
      </c>
      <c r="M137" s="305">
        <v>45536</v>
      </c>
      <c r="N137" s="306">
        <v>2.2999999999999998</v>
      </c>
      <c r="O137" s="307">
        <v>8250</v>
      </c>
      <c r="P137" s="307">
        <v>2500</v>
      </c>
      <c r="Q137" s="307">
        <v>500</v>
      </c>
      <c r="R137" s="307"/>
      <c r="S137" s="307">
        <v>1300</v>
      </c>
      <c r="T137" s="307">
        <v>12550</v>
      </c>
      <c r="U137" s="308">
        <v>1</v>
      </c>
      <c r="V137" s="304" t="s">
        <v>259</v>
      </c>
      <c r="W137" s="304">
        <v>250</v>
      </c>
      <c r="X137" s="309" t="s">
        <v>260</v>
      </c>
    </row>
    <row r="138" spans="1:24" x14ac:dyDescent="0.2">
      <c r="A138" s="289">
        <v>135</v>
      </c>
      <c r="B138" s="290" t="s">
        <v>636</v>
      </c>
      <c r="C138" s="290" t="s">
        <v>637</v>
      </c>
      <c r="D138" s="290" t="s">
        <v>253</v>
      </c>
      <c r="E138" s="290" t="s">
        <v>268</v>
      </c>
      <c r="F138" s="290" t="s">
        <v>8</v>
      </c>
      <c r="G138" s="290" t="s">
        <v>269</v>
      </c>
      <c r="H138" s="326" t="s">
        <v>786</v>
      </c>
      <c r="I138" s="290" t="s">
        <v>58</v>
      </c>
      <c r="J138" s="290" t="s">
        <v>638</v>
      </c>
      <c r="K138" s="290" t="s">
        <v>8</v>
      </c>
      <c r="L138" s="290" t="s">
        <v>258</v>
      </c>
      <c r="M138" s="291">
        <v>45170</v>
      </c>
      <c r="N138" s="292">
        <v>3.3</v>
      </c>
      <c r="O138" s="293">
        <v>9250</v>
      </c>
      <c r="P138" s="293">
        <v>2500</v>
      </c>
      <c r="Q138" s="293">
        <v>500</v>
      </c>
      <c r="R138" s="293"/>
      <c r="S138" s="293"/>
      <c r="T138" s="293">
        <v>12250</v>
      </c>
      <c r="U138" s="294">
        <v>1</v>
      </c>
      <c r="V138" s="290" t="s">
        <v>263</v>
      </c>
      <c r="W138" s="290">
        <v>250</v>
      </c>
      <c r="X138" s="295" t="s">
        <v>260</v>
      </c>
    </row>
    <row r="139" spans="1:24" x14ac:dyDescent="0.2">
      <c r="A139" s="289">
        <v>136</v>
      </c>
      <c r="B139" s="290" t="s">
        <v>639</v>
      </c>
      <c r="C139" s="290" t="s">
        <v>640</v>
      </c>
      <c r="D139" s="290" t="s">
        <v>253</v>
      </c>
      <c r="E139" s="290" t="s">
        <v>268</v>
      </c>
      <c r="F139" s="290" t="s">
        <v>8</v>
      </c>
      <c r="G139" s="290" t="s">
        <v>269</v>
      </c>
      <c r="H139" s="326" t="s">
        <v>786</v>
      </c>
      <c r="I139" s="290" t="s">
        <v>58</v>
      </c>
      <c r="J139" s="290" t="s">
        <v>641</v>
      </c>
      <c r="K139" s="290" t="s">
        <v>8</v>
      </c>
      <c r="L139" s="290" t="s">
        <v>258</v>
      </c>
      <c r="M139" s="291">
        <v>45536</v>
      </c>
      <c r="N139" s="292">
        <v>2.2999999999999998</v>
      </c>
      <c r="O139" s="293">
        <v>8250</v>
      </c>
      <c r="P139" s="293">
        <v>2500</v>
      </c>
      <c r="Q139" s="293">
        <v>500</v>
      </c>
      <c r="R139" s="293"/>
      <c r="S139" s="293"/>
      <c r="T139" s="293">
        <v>11250</v>
      </c>
      <c r="U139" s="294">
        <v>1</v>
      </c>
      <c r="V139" s="290" t="s">
        <v>259</v>
      </c>
      <c r="W139" s="290">
        <v>250</v>
      </c>
      <c r="X139" s="295" t="s">
        <v>260</v>
      </c>
    </row>
    <row r="140" spans="1:24" x14ac:dyDescent="0.2">
      <c r="A140" s="303">
        <v>137</v>
      </c>
      <c r="B140" s="304" t="s">
        <v>642</v>
      </c>
      <c r="C140" s="304" t="s">
        <v>613</v>
      </c>
      <c r="D140" s="304" t="s">
        <v>253</v>
      </c>
      <c r="E140" s="304" t="s">
        <v>312</v>
      </c>
      <c r="F140" s="304" t="s">
        <v>313</v>
      </c>
      <c r="G140" s="304" t="s">
        <v>40</v>
      </c>
      <c r="H140" s="329" t="s">
        <v>786</v>
      </c>
      <c r="I140" s="304" t="s">
        <v>71</v>
      </c>
      <c r="J140" s="304" t="s">
        <v>788</v>
      </c>
      <c r="K140" s="304" t="s">
        <v>257</v>
      </c>
      <c r="L140" s="304" t="s">
        <v>258</v>
      </c>
      <c r="M140" s="305">
        <v>43344</v>
      </c>
      <c r="N140" s="306">
        <v>8.3000000000000007</v>
      </c>
      <c r="O140" s="307">
        <v>9750</v>
      </c>
      <c r="P140" s="307">
        <v>2500</v>
      </c>
      <c r="Q140" s="307">
        <v>500</v>
      </c>
      <c r="R140" s="307"/>
      <c r="S140" s="307">
        <v>1300</v>
      </c>
      <c r="T140" s="307">
        <v>14050</v>
      </c>
      <c r="U140" s="308">
        <v>1</v>
      </c>
      <c r="V140" s="304" t="s">
        <v>263</v>
      </c>
      <c r="W140" s="304">
        <v>250</v>
      </c>
      <c r="X140" s="309" t="s">
        <v>260</v>
      </c>
    </row>
    <row r="141" spans="1:24" x14ac:dyDescent="0.2">
      <c r="A141" s="303">
        <v>138</v>
      </c>
      <c r="B141" s="304" t="s">
        <v>643</v>
      </c>
      <c r="C141" s="304" t="s">
        <v>644</v>
      </c>
      <c r="D141" s="304" t="s">
        <v>253</v>
      </c>
      <c r="E141" s="304" t="s">
        <v>312</v>
      </c>
      <c r="F141" s="304" t="s">
        <v>313</v>
      </c>
      <c r="G141" s="304" t="s">
        <v>504</v>
      </c>
      <c r="H141" s="329" t="s">
        <v>786</v>
      </c>
      <c r="I141" s="304" t="s">
        <v>75</v>
      </c>
      <c r="J141" s="304" t="s">
        <v>788</v>
      </c>
      <c r="K141" s="304" t="s">
        <v>257</v>
      </c>
      <c r="L141" s="304" t="s">
        <v>258</v>
      </c>
      <c r="M141" s="305">
        <v>42979</v>
      </c>
      <c r="N141" s="306">
        <v>9.3000000000000007</v>
      </c>
      <c r="O141" s="307">
        <v>10500</v>
      </c>
      <c r="P141" s="307">
        <v>2500</v>
      </c>
      <c r="Q141" s="307">
        <v>500</v>
      </c>
      <c r="R141" s="307"/>
      <c r="S141" s="307">
        <v>1900</v>
      </c>
      <c r="T141" s="307">
        <v>15400</v>
      </c>
      <c r="U141" s="308">
        <v>1</v>
      </c>
      <c r="V141" s="304" t="s">
        <v>259</v>
      </c>
      <c r="W141" s="304">
        <v>250</v>
      </c>
      <c r="X141" s="309" t="s">
        <v>260</v>
      </c>
    </row>
    <row r="142" spans="1:24" x14ac:dyDescent="0.2">
      <c r="A142" s="275">
        <v>139</v>
      </c>
      <c r="B142" s="276" t="s">
        <v>645</v>
      </c>
      <c r="C142" s="276" t="s">
        <v>485</v>
      </c>
      <c r="D142" s="276" t="s">
        <v>253</v>
      </c>
      <c r="E142" s="276" t="s">
        <v>254</v>
      </c>
      <c r="F142" s="276" t="s">
        <v>255</v>
      </c>
      <c r="G142" s="276" t="s">
        <v>256</v>
      </c>
      <c r="H142" s="324" t="s">
        <v>785</v>
      </c>
      <c r="I142" s="276"/>
      <c r="J142" s="276" t="s">
        <v>257</v>
      </c>
      <c r="K142" s="276" t="s">
        <v>255</v>
      </c>
      <c r="L142" s="276" t="s">
        <v>258</v>
      </c>
      <c r="M142" s="277">
        <v>45901</v>
      </c>
      <c r="N142" s="278">
        <v>1.3</v>
      </c>
      <c r="O142" s="279">
        <v>7000</v>
      </c>
      <c r="P142" s="279">
        <v>2500</v>
      </c>
      <c r="Q142" s="279">
        <v>500</v>
      </c>
      <c r="R142" s="279"/>
      <c r="S142" s="279"/>
      <c r="T142" s="279">
        <v>10000</v>
      </c>
      <c r="U142" s="280">
        <v>1</v>
      </c>
      <c r="V142" s="276" t="s">
        <v>263</v>
      </c>
      <c r="W142" s="276" t="s">
        <v>273</v>
      </c>
      <c r="X142" s="281" t="s">
        <v>260</v>
      </c>
    </row>
    <row r="143" spans="1:24" x14ac:dyDescent="0.2">
      <c r="A143" s="289">
        <v>140</v>
      </c>
      <c r="B143" s="290" t="s">
        <v>646</v>
      </c>
      <c r="C143" s="290" t="s">
        <v>647</v>
      </c>
      <c r="D143" s="290" t="s">
        <v>253</v>
      </c>
      <c r="E143" s="290" t="s">
        <v>287</v>
      </c>
      <c r="F143" s="290" t="s">
        <v>8</v>
      </c>
      <c r="G143" s="290" t="s">
        <v>43</v>
      </c>
      <c r="H143" s="326" t="s">
        <v>786</v>
      </c>
      <c r="I143" s="328" t="s">
        <v>836</v>
      </c>
      <c r="J143" s="290" t="s">
        <v>288</v>
      </c>
      <c r="K143" s="290" t="s">
        <v>289</v>
      </c>
      <c r="L143" s="290" t="s">
        <v>258</v>
      </c>
      <c r="M143" s="291">
        <v>42248</v>
      </c>
      <c r="N143" s="292">
        <v>11.3</v>
      </c>
      <c r="O143" s="293">
        <v>9750</v>
      </c>
      <c r="P143" s="293">
        <v>2500</v>
      </c>
      <c r="Q143" s="293">
        <v>500</v>
      </c>
      <c r="R143" s="293"/>
      <c r="S143" s="293">
        <v>796</v>
      </c>
      <c r="T143" s="293">
        <v>13546</v>
      </c>
      <c r="U143" s="294">
        <v>1</v>
      </c>
      <c r="V143" s="290" t="s">
        <v>263</v>
      </c>
      <c r="W143" s="290">
        <v>250</v>
      </c>
      <c r="X143" s="295" t="s">
        <v>260</v>
      </c>
    </row>
    <row r="144" spans="1:24" x14ac:dyDescent="0.2">
      <c r="A144" s="303">
        <v>141</v>
      </c>
      <c r="B144" s="304" t="s">
        <v>648</v>
      </c>
      <c r="C144" s="304" t="s">
        <v>649</v>
      </c>
      <c r="D144" s="304" t="s">
        <v>253</v>
      </c>
      <c r="E144" s="304" t="s">
        <v>312</v>
      </c>
      <c r="F144" s="304" t="s">
        <v>313</v>
      </c>
      <c r="G144" s="304" t="s">
        <v>650</v>
      </c>
      <c r="H144" s="329" t="s">
        <v>786</v>
      </c>
      <c r="I144" s="304" t="s">
        <v>79</v>
      </c>
      <c r="J144" s="304" t="s">
        <v>788</v>
      </c>
      <c r="K144" s="304" t="s">
        <v>257</v>
      </c>
      <c r="L144" s="304" t="s">
        <v>258</v>
      </c>
      <c r="M144" s="305">
        <v>45194</v>
      </c>
      <c r="N144" s="306">
        <v>3.3</v>
      </c>
      <c r="O144" s="307">
        <v>8250</v>
      </c>
      <c r="P144" s="307">
        <v>2500</v>
      </c>
      <c r="Q144" s="307">
        <v>500</v>
      </c>
      <c r="R144" s="307"/>
      <c r="S144" s="307">
        <v>1700</v>
      </c>
      <c r="T144" s="307">
        <v>12950</v>
      </c>
      <c r="U144" s="308">
        <v>1</v>
      </c>
      <c r="V144" s="304" t="s">
        <v>263</v>
      </c>
      <c r="W144" s="304">
        <v>250</v>
      </c>
      <c r="X144" s="309" t="s">
        <v>260</v>
      </c>
    </row>
    <row r="145" spans="1:24" x14ac:dyDescent="0.2">
      <c r="A145" s="303">
        <v>142</v>
      </c>
      <c r="B145" s="304" t="s">
        <v>651</v>
      </c>
      <c r="C145" s="304" t="s">
        <v>652</v>
      </c>
      <c r="D145" s="304" t="s">
        <v>253</v>
      </c>
      <c r="E145" s="304" t="s">
        <v>328</v>
      </c>
      <c r="F145" s="304" t="s">
        <v>313</v>
      </c>
      <c r="G145" s="304" t="s">
        <v>653</v>
      </c>
      <c r="H145" s="329" t="s">
        <v>786</v>
      </c>
      <c r="I145" s="304" t="s">
        <v>222</v>
      </c>
      <c r="J145" s="304" t="s">
        <v>788</v>
      </c>
      <c r="K145" s="304" t="s">
        <v>257</v>
      </c>
      <c r="L145" s="304" t="s">
        <v>258</v>
      </c>
      <c r="M145" s="305">
        <v>43023</v>
      </c>
      <c r="N145" s="306">
        <v>9.1999999999999993</v>
      </c>
      <c r="O145" s="307">
        <v>9500</v>
      </c>
      <c r="P145" s="307">
        <v>2500</v>
      </c>
      <c r="Q145" s="307">
        <v>500</v>
      </c>
      <c r="R145" s="307"/>
      <c r="S145" s="307">
        <v>580</v>
      </c>
      <c r="T145" s="307">
        <v>13080</v>
      </c>
      <c r="U145" s="308">
        <v>1</v>
      </c>
      <c r="V145" s="304" t="s">
        <v>259</v>
      </c>
      <c r="W145" s="304">
        <v>250</v>
      </c>
      <c r="X145" s="309" t="s">
        <v>260</v>
      </c>
    </row>
    <row r="146" spans="1:24" x14ac:dyDescent="0.2">
      <c r="A146" s="303">
        <v>143</v>
      </c>
      <c r="B146" s="304" t="s">
        <v>654</v>
      </c>
      <c r="C146" s="304" t="s">
        <v>644</v>
      </c>
      <c r="D146" s="304" t="s">
        <v>253</v>
      </c>
      <c r="E146" s="304" t="s">
        <v>312</v>
      </c>
      <c r="F146" s="304" t="s">
        <v>313</v>
      </c>
      <c r="G146" s="304" t="s">
        <v>160</v>
      </c>
      <c r="H146" s="329" t="s">
        <v>786</v>
      </c>
      <c r="I146" s="304" t="s">
        <v>83</v>
      </c>
      <c r="J146" s="304" t="s">
        <v>788</v>
      </c>
      <c r="K146" s="304" t="s">
        <v>257</v>
      </c>
      <c r="L146" s="304" t="s">
        <v>258</v>
      </c>
      <c r="M146" s="305">
        <v>45194</v>
      </c>
      <c r="N146" s="306">
        <v>3.3</v>
      </c>
      <c r="O146" s="307">
        <v>5667</v>
      </c>
      <c r="P146" s="307">
        <v>1667</v>
      </c>
      <c r="Q146" s="307">
        <v>333</v>
      </c>
      <c r="R146" s="307"/>
      <c r="S146" s="307"/>
      <c r="T146" s="307">
        <v>7667</v>
      </c>
      <c r="U146" s="308">
        <v>0.66666666666666696</v>
      </c>
      <c r="V146" s="304" t="s">
        <v>259</v>
      </c>
      <c r="W146" s="304">
        <v>250</v>
      </c>
      <c r="X146" s="309" t="s">
        <v>260</v>
      </c>
    </row>
    <row r="147" spans="1:24" x14ac:dyDescent="0.2">
      <c r="A147" s="275">
        <v>144</v>
      </c>
      <c r="B147" s="276" t="s">
        <v>655</v>
      </c>
      <c r="C147" s="276" t="s">
        <v>656</v>
      </c>
      <c r="D147" s="276" t="s">
        <v>253</v>
      </c>
      <c r="E147" s="276" t="s">
        <v>254</v>
      </c>
      <c r="F147" s="276" t="s">
        <v>255</v>
      </c>
      <c r="G147" s="276" t="s">
        <v>256</v>
      </c>
      <c r="H147" s="324" t="s">
        <v>785</v>
      </c>
      <c r="I147" s="276"/>
      <c r="J147" s="276" t="s">
        <v>257</v>
      </c>
      <c r="K147" s="276" t="s">
        <v>255</v>
      </c>
      <c r="L147" s="276" t="s">
        <v>258</v>
      </c>
      <c r="M147" s="277">
        <v>45536</v>
      </c>
      <c r="N147" s="278">
        <v>2.2999999999999998</v>
      </c>
      <c r="O147" s="279">
        <v>8250</v>
      </c>
      <c r="P147" s="279">
        <v>2500</v>
      </c>
      <c r="Q147" s="279">
        <v>500</v>
      </c>
      <c r="R147" s="279"/>
      <c r="S147" s="279"/>
      <c r="T147" s="279">
        <v>11250</v>
      </c>
      <c r="U147" s="280">
        <v>1</v>
      </c>
      <c r="V147" s="276" t="s">
        <v>263</v>
      </c>
      <c r="W147" s="276">
        <v>250</v>
      </c>
      <c r="X147" s="281" t="s">
        <v>260</v>
      </c>
    </row>
    <row r="148" spans="1:24" x14ac:dyDescent="0.2">
      <c r="A148" s="303">
        <v>145</v>
      </c>
      <c r="B148" s="304" t="s">
        <v>657</v>
      </c>
      <c r="C148" s="304" t="s">
        <v>658</v>
      </c>
      <c r="D148" s="304" t="s">
        <v>253</v>
      </c>
      <c r="E148" s="304" t="s">
        <v>312</v>
      </c>
      <c r="F148" s="304" t="s">
        <v>313</v>
      </c>
      <c r="G148" s="304" t="s">
        <v>40</v>
      </c>
      <c r="H148" s="329" t="s">
        <v>786</v>
      </c>
      <c r="I148" s="304" t="s">
        <v>71</v>
      </c>
      <c r="J148" s="304" t="s">
        <v>659</v>
      </c>
      <c r="K148" s="304" t="s">
        <v>257</v>
      </c>
      <c r="L148" s="304" t="s">
        <v>258</v>
      </c>
      <c r="M148" s="305">
        <v>42248</v>
      </c>
      <c r="N148" s="306">
        <v>11.3</v>
      </c>
      <c r="O148" s="307">
        <v>10500</v>
      </c>
      <c r="P148" s="307">
        <v>2500</v>
      </c>
      <c r="Q148" s="307">
        <v>500</v>
      </c>
      <c r="R148" s="307"/>
      <c r="S148" s="307">
        <v>1300</v>
      </c>
      <c r="T148" s="307">
        <v>14800</v>
      </c>
      <c r="U148" s="308">
        <v>1</v>
      </c>
      <c r="V148" s="304" t="s">
        <v>263</v>
      </c>
      <c r="W148" s="304">
        <v>250</v>
      </c>
      <c r="X148" s="309" t="s">
        <v>260</v>
      </c>
    </row>
    <row r="149" spans="1:24" x14ac:dyDescent="0.2">
      <c r="A149" s="289">
        <v>146</v>
      </c>
      <c r="B149" s="290" t="s">
        <v>660</v>
      </c>
      <c r="C149" s="290" t="s">
        <v>661</v>
      </c>
      <c r="D149" s="290" t="s">
        <v>253</v>
      </c>
      <c r="E149" s="290" t="s">
        <v>287</v>
      </c>
      <c r="F149" s="290" t="s">
        <v>8</v>
      </c>
      <c r="G149" s="290" t="s">
        <v>331</v>
      </c>
      <c r="H149" s="326" t="s">
        <v>786</v>
      </c>
      <c r="I149" s="328" t="s">
        <v>836</v>
      </c>
      <c r="J149" s="290" t="s">
        <v>288</v>
      </c>
      <c r="K149" s="290" t="s">
        <v>289</v>
      </c>
      <c r="L149" s="290" t="s">
        <v>258</v>
      </c>
      <c r="M149" s="291">
        <v>34943</v>
      </c>
      <c r="N149" s="292">
        <v>31.3</v>
      </c>
      <c r="O149" s="293">
        <v>14250</v>
      </c>
      <c r="P149" s="293">
        <v>2500</v>
      </c>
      <c r="Q149" s="293">
        <v>500</v>
      </c>
      <c r="R149" s="293"/>
      <c r="S149" s="293">
        <v>1576</v>
      </c>
      <c r="T149" s="293">
        <v>18826</v>
      </c>
      <c r="U149" s="294">
        <v>1</v>
      </c>
      <c r="V149" s="290" t="s">
        <v>263</v>
      </c>
      <c r="W149" s="290">
        <v>250</v>
      </c>
      <c r="X149" s="295" t="s">
        <v>260</v>
      </c>
    </row>
    <row r="150" spans="1:24" x14ac:dyDescent="0.2">
      <c r="A150" s="303">
        <v>147</v>
      </c>
      <c r="B150" s="304" t="s">
        <v>662</v>
      </c>
      <c r="C150" s="304" t="s">
        <v>663</v>
      </c>
      <c r="D150" s="304" t="s">
        <v>253</v>
      </c>
      <c r="E150" s="304" t="s">
        <v>312</v>
      </c>
      <c r="F150" s="304" t="s">
        <v>313</v>
      </c>
      <c r="G150" s="304" t="s">
        <v>40</v>
      </c>
      <c r="H150" s="329" t="s">
        <v>786</v>
      </c>
      <c r="I150" s="304" t="s">
        <v>71</v>
      </c>
      <c r="J150" s="304" t="s">
        <v>788</v>
      </c>
      <c r="K150" s="304" t="s">
        <v>257</v>
      </c>
      <c r="L150" s="304" t="s">
        <v>258</v>
      </c>
      <c r="M150" s="305">
        <v>41153</v>
      </c>
      <c r="N150" s="306">
        <v>14.3</v>
      </c>
      <c r="O150" s="307">
        <v>11250</v>
      </c>
      <c r="P150" s="307">
        <v>2500</v>
      </c>
      <c r="Q150" s="307">
        <v>500</v>
      </c>
      <c r="R150" s="307"/>
      <c r="S150" s="307">
        <v>350</v>
      </c>
      <c r="T150" s="307">
        <v>14600</v>
      </c>
      <c r="U150" s="308">
        <v>1</v>
      </c>
      <c r="V150" s="304" t="s">
        <v>263</v>
      </c>
      <c r="W150" s="304">
        <v>250</v>
      </c>
      <c r="X150" s="309" t="s">
        <v>260</v>
      </c>
    </row>
    <row r="151" spans="1:24" x14ac:dyDescent="0.2">
      <c r="A151" s="289">
        <v>148</v>
      </c>
      <c r="B151" s="290" t="s">
        <v>664</v>
      </c>
      <c r="C151" s="290" t="s">
        <v>665</v>
      </c>
      <c r="D151" s="290" t="s">
        <v>253</v>
      </c>
      <c r="E151" s="290" t="s">
        <v>287</v>
      </c>
      <c r="F151" s="290" t="s">
        <v>8</v>
      </c>
      <c r="G151" s="290" t="s">
        <v>666</v>
      </c>
      <c r="H151" s="326" t="s">
        <v>786</v>
      </c>
      <c r="I151" s="290" t="s">
        <v>67</v>
      </c>
      <c r="J151" s="290" t="s">
        <v>288</v>
      </c>
      <c r="K151" s="290" t="s">
        <v>289</v>
      </c>
      <c r="L151" s="290" t="s">
        <v>258</v>
      </c>
      <c r="M151" s="291">
        <v>39692</v>
      </c>
      <c r="N151" s="292">
        <v>18.3</v>
      </c>
      <c r="O151" s="293">
        <v>11250</v>
      </c>
      <c r="P151" s="293">
        <v>2500</v>
      </c>
      <c r="Q151" s="293">
        <v>500</v>
      </c>
      <c r="R151" s="293"/>
      <c r="S151" s="293">
        <v>2380</v>
      </c>
      <c r="T151" s="293">
        <v>16630</v>
      </c>
      <c r="U151" s="294">
        <v>1</v>
      </c>
      <c r="V151" s="290" t="s">
        <v>263</v>
      </c>
      <c r="W151" s="290">
        <v>250</v>
      </c>
      <c r="X151" s="295" t="s">
        <v>260</v>
      </c>
    </row>
    <row r="152" spans="1:24" x14ac:dyDescent="0.2">
      <c r="A152" s="275">
        <v>149</v>
      </c>
      <c r="B152" s="276" t="s">
        <v>667</v>
      </c>
      <c r="C152" s="276" t="s">
        <v>668</v>
      </c>
      <c r="D152" s="276" t="s">
        <v>253</v>
      </c>
      <c r="E152" s="276" t="s">
        <v>669</v>
      </c>
      <c r="F152" s="276" t="s">
        <v>255</v>
      </c>
      <c r="G152" s="276" t="s">
        <v>625</v>
      </c>
      <c r="H152" s="324" t="s">
        <v>785</v>
      </c>
      <c r="I152" s="276"/>
      <c r="J152" s="276" t="s">
        <v>289</v>
      </c>
      <c r="K152" s="276" t="s">
        <v>255</v>
      </c>
      <c r="L152" s="276" t="s">
        <v>258</v>
      </c>
      <c r="M152" s="277">
        <v>45901</v>
      </c>
      <c r="N152" s="278">
        <v>1.3</v>
      </c>
      <c r="O152" s="279">
        <v>7000</v>
      </c>
      <c r="P152" s="279">
        <v>2500</v>
      </c>
      <c r="Q152" s="279">
        <v>500</v>
      </c>
      <c r="R152" s="279"/>
      <c r="S152" s="279"/>
      <c r="T152" s="279">
        <v>10000</v>
      </c>
      <c r="U152" s="280">
        <v>1</v>
      </c>
      <c r="V152" s="276" t="s">
        <v>259</v>
      </c>
      <c r="W152" s="276" t="s">
        <v>273</v>
      </c>
      <c r="X152" s="281" t="s">
        <v>260</v>
      </c>
    </row>
    <row r="153" spans="1:24" x14ac:dyDescent="0.2">
      <c r="A153" s="303">
        <v>150</v>
      </c>
      <c r="B153" s="304" t="s">
        <v>670</v>
      </c>
      <c r="C153" s="304" t="s">
        <v>671</v>
      </c>
      <c r="D153" s="304" t="s">
        <v>253</v>
      </c>
      <c r="E153" s="304" t="s">
        <v>312</v>
      </c>
      <c r="F153" s="304" t="s">
        <v>313</v>
      </c>
      <c r="G153" s="304" t="s">
        <v>371</v>
      </c>
      <c r="H153" s="329" t="s">
        <v>786</v>
      </c>
      <c r="I153" s="304" t="s">
        <v>73</v>
      </c>
      <c r="J153" s="304" t="s">
        <v>788</v>
      </c>
      <c r="K153" s="304" t="s">
        <v>257</v>
      </c>
      <c r="L153" s="304" t="s">
        <v>258</v>
      </c>
      <c r="M153" s="305">
        <v>43709</v>
      </c>
      <c r="N153" s="306">
        <v>7.3</v>
      </c>
      <c r="O153" s="307">
        <v>9500</v>
      </c>
      <c r="P153" s="307">
        <v>2500</v>
      </c>
      <c r="Q153" s="307">
        <v>500</v>
      </c>
      <c r="R153" s="307"/>
      <c r="S153" s="307">
        <v>1300</v>
      </c>
      <c r="T153" s="307">
        <v>13800</v>
      </c>
      <c r="U153" s="308">
        <v>1</v>
      </c>
      <c r="V153" s="304" t="s">
        <v>259</v>
      </c>
      <c r="W153" s="304">
        <v>250</v>
      </c>
      <c r="X153" s="309" t="s">
        <v>260</v>
      </c>
    </row>
    <row r="154" spans="1:24" x14ac:dyDescent="0.2">
      <c r="A154" s="275">
        <v>151</v>
      </c>
      <c r="B154" s="276" t="s">
        <v>672</v>
      </c>
      <c r="C154" s="276" t="s">
        <v>665</v>
      </c>
      <c r="D154" s="276" t="s">
        <v>253</v>
      </c>
      <c r="E154" s="276" t="s">
        <v>673</v>
      </c>
      <c r="F154" s="276" t="s">
        <v>8</v>
      </c>
      <c r="G154" s="276" t="s">
        <v>487</v>
      </c>
      <c r="H154" s="324" t="s">
        <v>785</v>
      </c>
      <c r="I154" s="276"/>
      <c r="J154" s="276" t="s">
        <v>8</v>
      </c>
      <c r="K154" s="276" t="s">
        <v>255</v>
      </c>
      <c r="L154" s="276" t="s">
        <v>258</v>
      </c>
      <c r="M154" s="277">
        <v>45901</v>
      </c>
      <c r="N154" s="278">
        <v>1.3</v>
      </c>
      <c r="O154" s="279">
        <v>4929</v>
      </c>
      <c r="P154" s="279">
        <v>2054</v>
      </c>
      <c r="Q154" s="279">
        <v>411</v>
      </c>
      <c r="R154" s="279"/>
      <c r="S154" s="279"/>
      <c r="T154" s="279">
        <v>7394</v>
      </c>
      <c r="U154" s="280">
        <v>0.82142857142857095</v>
      </c>
      <c r="V154" s="276" t="s">
        <v>263</v>
      </c>
      <c r="W154" s="276" t="s">
        <v>273</v>
      </c>
      <c r="X154" s="281" t="s">
        <v>260</v>
      </c>
    </row>
    <row r="155" spans="1:24" x14ac:dyDescent="0.2">
      <c r="A155" s="289">
        <v>152</v>
      </c>
      <c r="B155" s="290" t="s">
        <v>674</v>
      </c>
      <c r="C155" s="290" t="s">
        <v>675</v>
      </c>
      <c r="D155" s="290" t="s">
        <v>253</v>
      </c>
      <c r="E155" s="290" t="s">
        <v>268</v>
      </c>
      <c r="F155" s="290" t="s">
        <v>8</v>
      </c>
      <c r="G155" s="290" t="s">
        <v>676</v>
      </c>
      <c r="H155" s="326" t="s">
        <v>786</v>
      </c>
      <c r="I155" s="290" t="s">
        <v>58</v>
      </c>
      <c r="J155" s="290" t="s">
        <v>677</v>
      </c>
      <c r="K155" s="290" t="s">
        <v>8</v>
      </c>
      <c r="L155" s="290" t="s">
        <v>258</v>
      </c>
      <c r="M155" s="291">
        <v>43709</v>
      </c>
      <c r="N155" s="292">
        <v>7.3</v>
      </c>
      <c r="O155" s="293">
        <v>9500</v>
      </c>
      <c r="P155" s="293">
        <v>2500</v>
      </c>
      <c r="Q155" s="293">
        <v>500</v>
      </c>
      <c r="R155" s="293"/>
      <c r="S155" s="293"/>
      <c r="T155" s="293">
        <v>12500</v>
      </c>
      <c r="U155" s="294">
        <v>1</v>
      </c>
      <c r="V155" s="290" t="s">
        <v>263</v>
      </c>
      <c r="W155" s="290">
        <v>250</v>
      </c>
      <c r="X155" s="295" t="s">
        <v>260</v>
      </c>
    </row>
    <row r="156" spans="1:24" x14ac:dyDescent="0.2">
      <c r="A156" s="282">
        <v>153</v>
      </c>
      <c r="B156" s="283" t="s">
        <v>678</v>
      </c>
      <c r="C156" s="283" t="s">
        <v>679</v>
      </c>
      <c r="D156" s="283" t="s">
        <v>253</v>
      </c>
      <c r="E156" s="283" t="s">
        <v>365</v>
      </c>
      <c r="F156" s="283" t="s">
        <v>4</v>
      </c>
      <c r="G156" s="283" t="s">
        <v>120</v>
      </c>
      <c r="H156" s="330" t="s">
        <v>785</v>
      </c>
      <c r="I156" s="283"/>
      <c r="J156" s="283" t="s">
        <v>554</v>
      </c>
      <c r="K156" s="283" t="s">
        <v>4</v>
      </c>
      <c r="L156" s="283" t="s">
        <v>258</v>
      </c>
      <c r="M156" s="284">
        <v>44440</v>
      </c>
      <c r="N156" s="285">
        <v>5.3</v>
      </c>
      <c r="O156" s="286">
        <v>6800</v>
      </c>
      <c r="P156" s="286">
        <v>2500</v>
      </c>
      <c r="Q156" s="286">
        <v>500</v>
      </c>
      <c r="R156" s="286"/>
      <c r="S156" s="286"/>
      <c r="T156" s="286">
        <v>9800</v>
      </c>
      <c r="U156" s="287">
        <v>1</v>
      </c>
      <c r="V156" s="283" t="s">
        <v>259</v>
      </c>
      <c r="W156" s="283">
        <v>200</v>
      </c>
      <c r="X156" s="288" t="s">
        <v>260</v>
      </c>
    </row>
    <row r="157" spans="1:24" x14ac:dyDescent="0.2">
      <c r="A157" s="303">
        <v>154</v>
      </c>
      <c r="B157" s="304" t="s">
        <v>680</v>
      </c>
      <c r="C157" s="304" t="s">
        <v>681</v>
      </c>
      <c r="D157" s="304" t="s">
        <v>253</v>
      </c>
      <c r="E157" s="304" t="s">
        <v>312</v>
      </c>
      <c r="F157" s="304" t="s">
        <v>313</v>
      </c>
      <c r="G157" s="304" t="s">
        <v>650</v>
      </c>
      <c r="H157" s="329" t="s">
        <v>786</v>
      </c>
      <c r="I157" s="304" t="s">
        <v>79</v>
      </c>
      <c r="J157" s="304" t="s">
        <v>788</v>
      </c>
      <c r="K157" s="304" t="s">
        <v>257</v>
      </c>
      <c r="L157" s="304" t="s">
        <v>258</v>
      </c>
      <c r="M157" s="305">
        <v>43344</v>
      </c>
      <c r="N157" s="306">
        <v>8.3000000000000007</v>
      </c>
      <c r="O157" s="307">
        <v>9750</v>
      </c>
      <c r="P157" s="307">
        <v>2500</v>
      </c>
      <c r="Q157" s="307">
        <v>500</v>
      </c>
      <c r="R157" s="307"/>
      <c r="S157" s="307">
        <v>1700</v>
      </c>
      <c r="T157" s="307">
        <v>14450</v>
      </c>
      <c r="U157" s="308">
        <v>1</v>
      </c>
      <c r="V157" s="304" t="s">
        <v>263</v>
      </c>
      <c r="W157" s="304">
        <v>250</v>
      </c>
      <c r="X157" s="309" t="s">
        <v>260</v>
      </c>
    </row>
    <row r="158" spans="1:24" x14ac:dyDescent="0.2">
      <c r="A158" s="303">
        <v>155</v>
      </c>
      <c r="B158" s="304" t="s">
        <v>682</v>
      </c>
      <c r="C158" s="304" t="s">
        <v>683</v>
      </c>
      <c r="D158" s="304" t="s">
        <v>253</v>
      </c>
      <c r="E158" s="304" t="s">
        <v>328</v>
      </c>
      <c r="F158" s="304" t="s">
        <v>313</v>
      </c>
      <c r="G158" s="304" t="s">
        <v>43</v>
      </c>
      <c r="H158" s="329" t="s">
        <v>786</v>
      </c>
      <c r="I158" s="304" t="s">
        <v>65</v>
      </c>
      <c r="J158" s="304" t="s">
        <v>788</v>
      </c>
      <c r="K158" s="304" t="s">
        <v>257</v>
      </c>
      <c r="L158" s="304" t="s">
        <v>258</v>
      </c>
      <c r="M158" s="305">
        <v>44440</v>
      </c>
      <c r="N158" s="306">
        <v>5.3</v>
      </c>
      <c r="O158" s="307">
        <v>7800</v>
      </c>
      <c r="P158" s="307">
        <v>2500</v>
      </c>
      <c r="Q158" s="307">
        <v>500</v>
      </c>
      <c r="R158" s="307"/>
      <c r="S158" s="307">
        <v>1300</v>
      </c>
      <c r="T158" s="307">
        <v>12100</v>
      </c>
      <c r="U158" s="308">
        <v>1</v>
      </c>
      <c r="V158" s="304" t="s">
        <v>259</v>
      </c>
      <c r="W158" s="304">
        <v>200</v>
      </c>
      <c r="X158" s="309" t="s">
        <v>260</v>
      </c>
    </row>
    <row r="159" spans="1:24" x14ac:dyDescent="0.2">
      <c r="A159" s="303">
        <v>156</v>
      </c>
      <c r="B159" s="304" t="s">
        <v>684</v>
      </c>
      <c r="C159" s="304" t="s">
        <v>685</v>
      </c>
      <c r="D159" s="304" t="s">
        <v>253</v>
      </c>
      <c r="E159" s="304" t="s">
        <v>328</v>
      </c>
      <c r="F159" s="304" t="s">
        <v>313</v>
      </c>
      <c r="G159" s="304" t="s">
        <v>44</v>
      </c>
      <c r="H159" s="329" t="s">
        <v>786</v>
      </c>
      <c r="I159" s="304" t="s">
        <v>68</v>
      </c>
      <c r="J159" s="304" t="s">
        <v>686</v>
      </c>
      <c r="K159" s="304" t="s">
        <v>257</v>
      </c>
      <c r="L159" s="304" t="s">
        <v>258</v>
      </c>
      <c r="M159" s="305">
        <v>38248</v>
      </c>
      <c r="N159" s="306">
        <v>22.3</v>
      </c>
      <c r="O159" s="307">
        <v>12000</v>
      </c>
      <c r="P159" s="307">
        <v>2500</v>
      </c>
      <c r="Q159" s="307">
        <v>500</v>
      </c>
      <c r="R159" s="307"/>
      <c r="S159" s="307">
        <v>1100</v>
      </c>
      <c r="T159" s="307">
        <v>16100</v>
      </c>
      <c r="U159" s="308">
        <v>1</v>
      </c>
      <c r="V159" s="304" t="s">
        <v>259</v>
      </c>
      <c r="W159" s="304">
        <v>250</v>
      </c>
      <c r="X159" s="309" t="s">
        <v>260</v>
      </c>
    </row>
    <row r="160" spans="1:24" x14ac:dyDescent="0.2">
      <c r="A160" s="275">
        <v>157</v>
      </c>
      <c r="B160" s="276" t="s">
        <v>687</v>
      </c>
      <c r="C160" s="276" t="s">
        <v>688</v>
      </c>
      <c r="D160" s="276" t="s">
        <v>253</v>
      </c>
      <c r="E160" s="276" t="s">
        <v>689</v>
      </c>
      <c r="F160" s="276" t="s">
        <v>255</v>
      </c>
      <c r="G160" s="276" t="s">
        <v>690</v>
      </c>
      <c r="H160" s="324" t="s">
        <v>785</v>
      </c>
      <c r="I160" s="276"/>
      <c r="J160" s="276" t="s">
        <v>355</v>
      </c>
      <c r="K160" s="276" t="s">
        <v>255</v>
      </c>
      <c r="L160" s="276" t="s">
        <v>258</v>
      </c>
      <c r="M160" s="277">
        <v>42817</v>
      </c>
      <c r="N160" s="278">
        <v>9.8000000000000007</v>
      </c>
      <c r="O160" s="279">
        <v>3300</v>
      </c>
      <c r="P160" s="279">
        <v>1875</v>
      </c>
      <c r="Q160" s="279">
        <v>375</v>
      </c>
      <c r="R160" s="279"/>
      <c r="S160" s="279"/>
      <c r="T160" s="279">
        <v>5550</v>
      </c>
      <c r="U160" s="280">
        <v>0.75</v>
      </c>
      <c r="V160" s="276" t="s">
        <v>259</v>
      </c>
      <c r="W160" s="276">
        <v>200</v>
      </c>
      <c r="X160" s="281" t="s">
        <v>260</v>
      </c>
    </row>
    <row r="161" spans="1:24" x14ac:dyDescent="0.2">
      <c r="A161" s="303">
        <v>158</v>
      </c>
      <c r="B161" s="304" t="s">
        <v>691</v>
      </c>
      <c r="C161" s="304" t="s">
        <v>299</v>
      </c>
      <c r="D161" s="304" t="s">
        <v>253</v>
      </c>
      <c r="E161" s="304" t="s">
        <v>312</v>
      </c>
      <c r="F161" s="304" t="s">
        <v>313</v>
      </c>
      <c r="G161" s="304" t="s">
        <v>371</v>
      </c>
      <c r="H161" s="329" t="s">
        <v>786</v>
      </c>
      <c r="I161" s="304" t="s">
        <v>73</v>
      </c>
      <c r="J161" s="304" t="s">
        <v>692</v>
      </c>
      <c r="K161" s="304" t="s">
        <v>257</v>
      </c>
      <c r="L161" s="304" t="s">
        <v>258</v>
      </c>
      <c r="M161" s="305">
        <v>45170</v>
      </c>
      <c r="N161" s="306">
        <v>3.3</v>
      </c>
      <c r="O161" s="307">
        <v>10500</v>
      </c>
      <c r="P161" s="307">
        <v>2500</v>
      </c>
      <c r="Q161" s="307">
        <v>500</v>
      </c>
      <c r="R161" s="307"/>
      <c r="S161" s="307">
        <v>780</v>
      </c>
      <c r="T161" s="307">
        <v>14280</v>
      </c>
      <c r="U161" s="308">
        <v>1</v>
      </c>
      <c r="V161" s="304" t="s">
        <v>263</v>
      </c>
      <c r="W161" s="304">
        <v>250</v>
      </c>
      <c r="X161" s="309" t="s">
        <v>260</v>
      </c>
    </row>
    <row r="162" spans="1:24" x14ac:dyDescent="0.2">
      <c r="A162" s="289">
        <v>159</v>
      </c>
      <c r="B162" s="290" t="s">
        <v>693</v>
      </c>
      <c r="C162" s="290" t="s">
        <v>694</v>
      </c>
      <c r="D162" s="290" t="s">
        <v>253</v>
      </c>
      <c r="E162" s="290" t="s">
        <v>287</v>
      </c>
      <c r="F162" s="290" t="s">
        <v>8</v>
      </c>
      <c r="G162" s="290" t="s">
        <v>43</v>
      </c>
      <c r="H162" s="326" t="s">
        <v>786</v>
      </c>
      <c r="I162" s="328" t="s">
        <v>836</v>
      </c>
      <c r="J162" s="290" t="s">
        <v>288</v>
      </c>
      <c r="K162" s="290" t="s">
        <v>289</v>
      </c>
      <c r="L162" s="290" t="s">
        <v>258</v>
      </c>
      <c r="M162" s="291">
        <v>45536</v>
      </c>
      <c r="N162" s="292">
        <v>2.2999999999999998</v>
      </c>
      <c r="O162" s="293">
        <v>8500</v>
      </c>
      <c r="P162" s="293">
        <v>2500</v>
      </c>
      <c r="Q162" s="293">
        <v>500</v>
      </c>
      <c r="R162" s="293"/>
      <c r="S162" s="293">
        <v>90</v>
      </c>
      <c r="T162" s="293">
        <v>11590</v>
      </c>
      <c r="U162" s="294">
        <v>1</v>
      </c>
      <c r="V162" s="290" t="s">
        <v>263</v>
      </c>
      <c r="W162" s="290">
        <v>250</v>
      </c>
      <c r="X162" s="295" t="s">
        <v>260</v>
      </c>
    </row>
    <row r="163" spans="1:24" x14ac:dyDescent="0.2">
      <c r="A163" s="289">
        <v>160</v>
      </c>
      <c r="B163" s="290" t="s">
        <v>695</v>
      </c>
      <c r="C163" s="290" t="s">
        <v>696</v>
      </c>
      <c r="D163" s="290" t="s">
        <v>253</v>
      </c>
      <c r="E163" s="290" t="s">
        <v>268</v>
      </c>
      <c r="F163" s="290" t="s">
        <v>8</v>
      </c>
      <c r="G163" s="290" t="s">
        <v>269</v>
      </c>
      <c r="H163" s="326" t="s">
        <v>786</v>
      </c>
      <c r="I163" s="290" t="s">
        <v>58</v>
      </c>
      <c r="J163" s="290" t="s">
        <v>697</v>
      </c>
      <c r="K163" s="290" t="s">
        <v>8</v>
      </c>
      <c r="L163" s="290" t="s">
        <v>258</v>
      </c>
      <c r="M163" s="291">
        <v>45170</v>
      </c>
      <c r="N163" s="292">
        <v>3.3</v>
      </c>
      <c r="O163" s="293">
        <v>12750</v>
      </c>
      <c r="P163" s="293">
        <v>2500</v>
      </c>
      <c r="Q163" s="293">
        <v>500</v>
      </c>
      <c r="R163" s="293"/>
      <c r="S163" s="293"/>
      <c r="T163" s="293">
        <v>15750</v>
      </c>
      <c r="U163" s="294">
        <v>1</v>
      </c>
      <c r="V163" s="290" t="s">
        <v>263</v>
      </c>
      <c r="W163" s="290">
        <v>250</v>
      </c>
      <c r="X163" s="295" t="s">
        <v>260</v>
      </c>
    </row>
    <row r="164" spans="1:24" x14ac:dyDescent="0.2">
      <c r="A164" s="310">
        <v>161</v>
      </c>
      <c r="B164" s="311" t="s">
        <v>698</v>
      </c>
      <c r="C164" s="311" t="s">
        <v>699</v>
      </c>
      <c r="D164" s="311" t="s">
        <v>700</v>
      </c>
      <c r="E164" s="311" t="s">
        <v>701</v>
      </c>
      <c r="F164" s="311" t="s">
        <v>702</v>
      </c>
      <c r="G164" s="311" t="s">
        <v>703</v>
      </c>
      <c r="H164" s="333" t="s">
        <v>785</v>
      </c>
      <c r="I164" s="311"/>
      <c r="J164" s="311" t="s">
        <v>704</v>
      </c>
      <c r="K164" s="311" t="s">
        <v>702</v>
      </c>
      <c r="L164" s="311" t="s">
        <v>700</v>
      </c>
      <c r="M164" s="312"/>
      <c r="N164" s="313"/>
      <c r="O164" s="314"/>
      <c r="P164" s="314"/>
      <c r="Q164" s="314"/>
      <c r="R164" s="314"/>
      <c r="S164" s="314"/>
      <c r="T164" s="314"/>
      <c r="U164" s="315"/>
      <c r="V164" s="311" t="s">
        <v>705</v>
      </c>
      <c r="W164" s="311" t="s">
        <v>705</v>
      </c>
      <c r="X164" s="316" t="s">
        <v>706</v>
      </c>
    </row>
    <row r="165" spans="1:24" x14ac:dyDescent="0.2">
      <c r="A165" s="310">
        <v>162</v>
      </c>
      <c r="B165" s="311" t="s">
        <v>707</v>
      </c>
      <c r="C165" s="311" t="s">
        <v>708</v>
      </c>
      <c r="D165" s="311" t="s">
        <v>700</v>
      </c>
      <c r="E165" s="311" t="s">
        <v>709</v>
      </c>
      <c r="F165" s="311" t="s">
        <v>702</v>
      </c>
      <c r="G165" s="311" t="s">
        <v>710</v>
      </c>
      <c r="H165" s="333" t="s">
        <v>785</v>
      </c>
      <c r="I165" s="311"/>
      <c r="J165" s="311" t="s">
        <v>277</v>
      </c>
      <c r="K165" s="311" t="s">
        <v>702</v>
      </c>
      <c r="L165" s="311" t="s">
        <v>700</v>
      </c>
      <c r="M165" s="312"/>
      <c r="N165" s="313"/>
      <c r="O165" s="314"/>
      <c r="P165" s="314"/>
      <c r="Q165" s="314"/>
      <c r="R165" s="314"/>
      <c r="S165" s="314"/>
      <c r="T165" s="314"/>
      <c r="U165" s="315"/>
      <c r="V165" s="311" t="s">
        <v>705</v>
      </c>
      <c r="W165" s="311" t="s">
        <v>705</v>
      </c>
      <c r="X165" s="316" t="s">
        <v>706</v>
      </c>
    </row>
    <row r="166" spans="1:24" x14ac:dyDescent="0.2">
      <c r="A166" s="310">
        <v>163</v>
      </c>
      <c r="B166" s="311" t="s">
        <v>372</v>
      </c>
      <c r="C166" s="311" t="s">
        <v>711</v>
      </c>
      <c r="D166" s="311" t="s">
        <v>700</v>
      </c>
      <c r="E166" s="311" t="s">
        <v>712</v>
      </c>
      <c r="F166" s="311" t="s">
        <v>702</v>
      </c>
      <c r="G166" s="311" t="s">
        <v>703</v>
      </c>
      <c r="H166" s="333" t="s">
        <v>785</v>
      </c>
      <c r="I166" s="311"/>
      <c r="J166" s="311" t="s">
        <v>257</v>
      </c>
      <c r="K166" s="311" t="s">
        <v>702</v>
      </c>
      <c r="L166" s="311" t="s">
        <v>700</v>
      </c>
      <c r="M166" s="312"/>
      <c r="N166" s="313"/>
      <c r="O166" s="314"/>
      <c r="P166" s="314"/>
      <c r="Q166" s="314"/>
      <c r="R166" s="314"/>
      <c r="S166" s="314"/>
      <c r="T166" s="314"/>
      <c r="U166" s="315"/>
      <c r="V166" s="311" t="s">
        <v>705</v>
      </c>
      <c r="W166" s="311" t="s">
        <v>705</v>
      </c>
      <c r="X166" s="316" t="s">
        <v>706</v>
      </c>
    </row>
    <row r="167" spans="1:24" x14ac:dyDescent="0.2">
      <c r="A167" s="310">
        <v>164</v>
      </c>
      <c r="B167" s="311" t="s">
        <v>713</v>
      </c>
      <c r="C167" s="311" t="s">
        <v>714</v>
      </c>
      <c r="D167" s="311" t="s">
        <v>700</v>
      </c>
      <c r="E167" s="311" t="s">
        <v>715</v>
      </c>
      <c r="F167" s="311" t="s">
        <v>702</v>
      </c>
      <c r="G167" s="311" t="s">
        <v>716</v>
      </c>
      <c r="H167" s="333" t="s">
        <v>785</v>
      </c>
      <c r="I167" s="311"/>
      <c r="J167" s="311" t="s">
        <v>8</v>
      </c>
      <c r="K167" s="311" t="s">
        <v>702</v>
      </c>
      <c r="L167" s="311" t="s">
        <v>700</v>
      </c>
      <c r="M167" s="312"/>
      <c r="N167" s="313"/>
      <c r="O167" s="314"/>
      <c r="P167" s="314"/>
      <c r="Q167" s="314"/>
      <c r="R167" s="314"/>
      <c r="S167" s="314"/>
      <c r="T167" s="314"/>
      <c r="U167" s="315"/>
      <c r="V167" s="311" t="s">
        <v>705</v>
      </c>
      <c r="W167" s="311" t="s">
        <v>705</v>
      </c>
      <c r="X167" s="316" t="s">
        <v>706</v>
      </c>
    </row>
    <row r="168" spans="1:24" x14ac:dyDescent="0.2">
      <c r="A168" s="310">
        <v>165</v>
      </c>
      <c r="B168" s="311" t="s">
        <v>717</v>
      </c>
      <c r="C168" s="311" t="s">
        <v>718</v>
      </c>
      <c r="D168" s="311" t="s">
        <v>700</v>
      </c>
      <c r="E168" s="311" t="s">
        <v>719</v>
      </c>
      <c r="F168" s="311" t="s">
        <v>702</v>
      </c>
      <c r="G168" s="311" t="s">
        <v>716</v>
      </c>
      <c r="H168" s="333" t="s">
        <v>785</v>
      </c>
      <c r="I168" s="311"/>
      <c r="J168" s="311" t="s">
        <v>4</v>
      </c>
      <c r="K168" s="311" t="s">
        <v>702</v>
      </c>
      <c r="L168" s="311" t="s">
        <v>700</v>
      </c>
      <c r="M168" s="312"/>
      <c r="N168" s="313"/>
      <c r="O168" s="314"/>
      <c r="P168" s="314"/>
      <c r="Q168" s="314"/>
      <c r="R168" s="314"/>
      <c r="S168" s="314"/>
      <c r="T168" s="314"/>
      <c r="U168" s="315"/>
      <c r="V168" s="311" t="s">
        <v>705</v>
      </c>
      <c r="W168" s="311" t="s">
        <v>705</v>
      </c>
      <c r="X168" s="316" t="s">
        <v>706</v>
      </c>
    </row>
    <row r="169" spans="1:24" x14ac:dyDescent="0.2">
      <c r="A169" s="310">
        <v>166</v>
      </c>
      <c r="B169" s="311" t="s">
        <v>720</v>
      </c>
      <c r="C169" s="311" t="s">
        <v>721</v>
      </c>
      <c r="D169" s="311" t="s">
        <v>700</v>
      </c>
      <c r="E169" s="311" t="s">
        <v>722</v>
      </c>
      <c r="F169" s="311" t="s">
        <v>8</v>
      </c>
      <c r="G169" s="311" t="s">
        <v>269</v>
      </c>
      <c r="H169" s="334" t="s">
        <v>786</v>
      </c>
      <c r="I169" s="311" t="s">
        <v>58</v>
      </c>
      <c r="J169" s="311" t="s">
        <v>723</v>
      </c>
      <c r="K169" s="311" t="s">
        <v>4</v>
      </c>
      <c r="L169" s="311" t="s">
        <v>700</v>
      </c>
      <c r="M169" s="312"/>
      <c r="N169" s="313"/>
      <c r="O169" s="314"/>
      <c r="P169" s="314"/>
      <c r="Q169" s="314"/>
      <c r="R169" s="314"/>
      <c r="S169" s="314"/>
      <c r="T169" s="314"/>
      <c r="U169" s="315"/>
      <c r="V169" s="311" t="s">
        <v>705</v>
      </c>
      <c r="W169" s="311" t="s">
        <v>705</v>
      </c>
      <c r="X169" s="316" t="s">
        <v>706</v>
      </c>
    </row>
    <row r="170" spans="1:24" x14ac:dyDescent="0.2">
      <c r="A170" s="310">
        <v>167</v>
      </c>
      <c r="B170" s="311" t="s">
        <v>724</v>
      </c>
      <c r="C170" s="311" t="s">
        <v>721</v>
      </c>
      <c r="D170" s="311" t="s">
        <v>700</v>
      </c>
      <c r="E170" s="311" t="s">
        <v>722</v>
      </c>
      <c r="F170" s="311" t="s">
        <v>8</v>
      </c>
      <c r="G170" s="311" t="s">
        <v>269</v>
      </c>
      <c r="H170" s="334" t="s">
        <v>786</v>
      </c>
      <c r="I170" s="311" t="s">
        <v>58</v>
      </c>
      <c r="J170" s="311" t="s">
        <v>725</v>
      </c>
      <c r="K170" s="311" t="s">
        <v>4</v>
      </c>
      <c r="L170" s="311" t="s">
        <v>700</v>
      </c>
      <c r="M170" s="312"/>
      <c r="N170" s="313"/>
      <c r="O170" s="314"/>
      <c r="P170" s="314"/>
      <c r="Q170" s="314"/>
      <c r="R170" s="314"/>
      <c r="S170" s="314"/>
      <c r="T170" s="314"/>
      <c r="U170" s="315"/>
      <c r="V170" s="311" t="s">
        <v>705</v>
      </c>
      <c r="W170" s="311" t="s">
        <v>705</v>
      </c>
      <c r="X170" s="316" t="s">
        <v>706</v>
      </c>
    </row>
    <row r="171" spans="1:24" x14ac:dyDescent="0.2">
      <c r="A171" s="310">
        <v>168</v>
      </c>
      <c r="B171" s="311" t="s">
        <v>726</v>
      </c>
      <c r="C171" s="311" t="s">
        <v>291</v>
      </c>
      <c r="D171" s="311" t="s">
        <v>700</v>
      </c>
      <c r="E171" s="311" t="s">
        <v>722</v>
      </c>
      <c r="F171" s="311" t="s">
        <v>8</v>
      </c>
      <c r="G171" s="311" t="s">
        <v>269</v>
      </c>
      <c r="H171" s="334" t="s">
        <v>786</v>
      </c>
      <c r="I171" s="311" t="s">
        <v>58</v>
      </c>
      <c r="J171" s="311" t="s">
        <v>727</v>
      </c>
      <c r="K171" s="311" t="s">
        <v>8</v>
      </c>
      <c r="L171" s="311" t="s">
        <v>700</v>
      </c>
      <c r="M171" s="312"/>
      <c r="N171" s="313"/>
      <c r="O171" s="314"/>
      <c r="P171" s="314"/>
      <c r="Q171" s="314"/>
      <c r="R171" s="314"/>
      <c r="S171" s="314"/>
      <c r="T171" s="314"/>
      <c r="U171" s="315"/>
      <c r="V171" s="311" t="s">
        <v>705</v>
      </c>
      <c r="W171" s="311" t="s">
        <v>705</v>
      </c>
      <c r="X171" s="316" t="s">
        <v>706</v>
      </c>
    </row>
    <row r="172" spans="1:24" x14ac:dyDescent="0.2">
      <c r="A172" s="310">
        <v>169</v>
      </c>
      <c r="B172" s="311" t="s">
        <v>726</v>
      </c>
      <c r="C172" s="311" t="s">
        <v>728</v>
      </c>
      <c r="D172" s="311" t="s">
        <v>700</v>
      </c>
      <c r="E172" s="311" t="s">
        <v>722</v>
      </c>
      <c r="F172" s="311" t="s">
        <v>8</v>
      </c>
      <c r="G172" s="311" t="s">
        <v>269</v>
      </c>
      <c r="H172" s="334" t="s">
        <v>786</v>
      </c>
      <c r="I172" s="311" t="s">
        <v>58</v>
      </c>
      <c r="J172" s="311" t="s">
        <v>729</v>
      </c>
      <c r="K172" s="311" t="s">
        <v>8</v>
      </c>
      <c r="L172" s="311" t="s">
        <v>700</v>
      </c>
      <c r="M172" s="312"/>
      <c r="N172" s="313"/>
      <c r="O172" s="314"/>
      <c r="P172" s="314"/>
      <c r="Q172" s="314"/>
      <c r="R172" s="314"/>
      <c r="S172" s="314"/>
      <c r="T172" s="314"/>
      <c r="U172" s="315"/>
      <c r="V172" s="311" t="s">
        <v>705</v>
      </c>
      <c r="W172" s="311" t="s">
        <v>705</v>
      </c>
      <c r="X172" s="316" t="s">
        <v>706</v>
      </c>
    </row>
    <row r="173" spans="1:24" x14ac:dyDescent="0.2">
      <c r="A173" s="310">
        <v>170</v>
      </c>
      <c r="B173" s="311" t="s">
        <v>730</v>
      </c>
      <c r="C173" s="311" t="s">
        <v>731</v>
      </c>
      <c r="D173" s="311" t="s">
        <v>700</v>
      </c>
      <c r="E173" s="311" t="s">
        <v>722</v>
      </c>
      <c r="F173" s="311" t="s">
        <v>8</v>
      </c>
      <c r="G173" s="311" t="s">
        <v>269</v>
      </c>
      <c r="H173" s="334" t="s">
        <v>786</v>
      </c>
      <c r="I173" s="311" t="s">
        <v>58</v>
      </c>
      <c r="J173" s="311" t="s">
        <v>732</v>
      </c>
      <c r="K173" s="311" t="s">
        <v>8</v>
      </c>
      <c r="L173" s="311" t="s">
        <v>700</v>
      </c>
      <c r="M173" s="312"/>
      <c r="N173" s="313"/>
      <c r="O173" s="314"/>
      <c r="P173" s="314"/>
      <c r="Q173" s="314"/>
      <c r="R173" s="314"/>
      <c r="S173" s="314"/>
      <c r="T173" s="314"/>
      <c r="U173" s="315"/>
      <c r="V173" s="311" t="s">
        <v>705</v>
      </c>
      <c r="W173" s="311" t="s">
        <v>705</v>
      </c>
      <c r="X173" s="316" t="s">
        <v>706</v>
      </c>
    </row>
    <row r="174" spans="1:24" x14ac:dyDescent="0.2">
      <c r="A174" s="310">
        <v>171</v>
      </c>
      <c r="B174" s="311" t="s">
        <v>733</v>
      </c>
      <c r="C174" s="311" t="s">
        <v>663</v>
      </c>
      <c r="D174" s="311" t="s">
        <v>700</v>
      </c>
      <c r="E174" s="311" t="s">
        <v>722</v>
      </c>
      <c r="F174" s="311" t="s">
        <v>8</v>
      </c>
      <c r="G174" s="311" t="s">
        <v>269</v>
      </c>
      <c r="H174" s="334" t="s">
        <v>786</v>
      </c>
      <c r="I174" s="311" t="s">
        <v>58</v>
      </c>
      <c r="J174" s="311" t="s">
        <v>734</v>
      </c>
      <c r="K174" s="311" t="s">
        <v>8</v>
      </c>
      <c r="L174" s="311" t="s">
        <v>700</v>
      </c>
      <c r="M174" s="312"/>
      <c r="N174" s="313"/>
      <c r="O174" s="314"/>
      <c r="P174" s="314"/>
      <c r="Q174" s="314"/>
      <c r="R174" s="314"/>
      <c r="S174" s="314"/>
      <c r="T174" s="314"/>
      <c r="U174" s="315"/>
      <c r="V174" s="311" t="s">
        <v>705</v>
      </c>
      <c r="W174" s="311" t="s">
        <v>705</v>
      </c>
      <c r="X174" s="316" t="s">
        <v>706</v>
      </c>
    </row>
    <row r="175" spans="1:24" x14ac:dyDescent="0.2">
      <c r="A175" s="310">
        <v>172</v>
      </c>
      <c r="B175" s="311" t="s">
        <v>735</v>
      </c>
      <c r="C175" s="311" t="s">
        <v>736</v>
      </c>
      <c r="D175" s="311" t="s">
        <v>700</v>
      </c>
      <c r="E175" s="311" t="s">
        <v>722</v>
      </c>
      <c r="F175" s="311" t="s">
        <v>8</v>
      </c>
      <c r="G175" s="311" t="s">
        <v>269</v>
      </c>
      <c r="H175" s="334" t="s">
        <v>786</v>
      </c>
      <c r="I175" s="311" t="s">
        <v>58</v>
      </c>
      <c r="J175" s="311" t="s">
        <v>737</v>
      </c>
      <c r="K175" s="311" t="s">
        <v>8</v>
      </c>
      <c r="L175" s="311" t="s">
        <v>700</v>
      </c>
      <c r="M175" s="312"/>
      <c r="N175" s="313"/>
      <c r="O175" s="314"/>
      <c r="P175" s="314"/>
      <c r="Q175" s="314"/>
      <c r="R175" s="314"/>
      <c r="S175" s="314"/>
      <c r="T175" s="314"/>
      <c r="U175" s="315"/>
      <c r="V175" s="311" t="s">
        <v>705</v>
      </c>
      <c r="W175" s="311" t="s">
        <v>705</v>
      </c>
      <c r="X175" s="316" t="s">
        <v>706</v>
      </c>
    </row>
    <row r="176" spans="1:24" x14ac:dyDescent="0.2">
      <c r="A176" s="310">
        <v>173</v>
      </c>
      <c r="B176" s="311" t="s">
        <v>389</v>
      </c>
      <c r="C176" s="311" t="s">
        <v>738</v>
      </c>
      <c r="D176" s="311" t="s">
        <v>700</v>
      </c>
      <c r="E176" s="311" t="s">
        <v>739</v>
      </c>
      <c r="F176" s="311" t="s">
        <v>313</v>
      </c>
      <c r="G176" s="311" t="s">
        <v>361</v>
      </c>
      <c r="H176" s="334" t="s">
        <v>786</v>
      </c>
      <c r="I176" s="311" t="s">
        <v>104</v>
      </c>
      <c r="J176" s="311" t="s">
        <v>788</v>
      </c>
      <c r="K176" s="311" t="s">
        <v>257</v>
      </c>
      <c r="L176" s="311" t="s">
        <v>700</v>
      </c>
      <c r="M176" s="312"/>
      <c r="N176" s="313"/>
      <c r="O176" s="314"/>
      <c r="P176" s="314"/>
      <c r="Q176" s="314"/>
      <c r="R176" s="314"/>
      <c r="S176" s="314"/>
      <c r="T176" s="314"/>
      <c r="U176" s="315"/>
      <c r="V176" s="311" t="s">
        <v>705</v>
      </c>
      <c r="W176" s="311" t="s">
        <v>705</v>
      </c>
      <c r="X176" s="316" t="s">
        <v>706</v>
      </c>
    </row>
    <row r="177" spans="1:24" x14ac:dyDescent="0.2">
      <c r="A177" s="310">
        <v>174</v>
      </c>
      <c r="B177" s="311" t="s">
        <v>740</v>
      </c>
      <c r="C177" s="311" t="s">
        <v>741</v>
      </c>
      <c r="D177" s="311" t="s">
        <v>700</v>
      </c>
      <c r="E177" s="311" t="s">
        <v>739</v>
      </c>
      <c r="F177" s="311" t="s">
        <v>313</v>
      </c>
      <c r="G177" s="311" t="s">
        <v>314</v>
      </c>
      <c r="H177" s="334" t="s">
        <v>786</v>
      </c>
      <c r="I177" s="311" t="s">
        <v>101</v>
      </c>
      <c r="J177" s="311" t="s">
        <v>742</v>
      </c>
      <c r="K177" s="311" t="s">
        <v>257</v>
      </c>
      <c r="L177" s="311" t="s">
        <v>700</v>
      </c>
      <c r="M177" s="312"/>
      <c r="N177" s="313"/>
      <c r="O177" s="314"/>
      <c r="P177" s="314"/>
      <c r="Q177" s="314"/>
      <c r="R177" s="314"/>
      <c r="S177" s="314"/>
      <c r="T177" s="314"/>
      <c r="U177" s="315"/>
      <c r="V177" s="311" t="s">
        <v>705</v>
      </c>
      <c r="W177" s="311" t="s">
        <v>705</v>
      </c>
      <c r="X177" s="316" t="s">
        <v>706</v>
      </c>
    </row>
    <row r="178" spans="1:24" x14ac:dyDescent="0.2">
      <c r="A178" s="310">
        <v>175</v>
      </c>
      <c r="B178" s="311" t="s">
        <v>743</v>
      </c>
      <c r="C178" s="311" t="s">
        <v>744</v>
      </c>
      <c r="D178" s="311" t="s">
        <v>700</v>
      </c>
      <c r="E178" s="311" t="s">
        <v>739</v>
      </c>
      <c r="F178" s="311" t="s">
        <v>313</v>
      </c>
      <c r="G178" s="311" t="s">
        <v>314</v>
      </c>
      <c r="H178" s="334" t="s">
        <v>786</v>
      </c>
      <c r="I178" s="311" t="s">
        <v>101</v>
      </c>
      <c r="J178" s="311" t="s">
        <v>745</v>
      </c>
      <c r="K178" s="311" t="s">
        <v>257</v>
      </c>
      <c r="L178" s="311" t="s">
        <v>700</v>
      </c>
      <c r="M178" s="312"/>
      <c r="N178" s="313"/>
      <c r="O178" s="314"/>
      <c r="P178" s="314"/>
      <c r="Q178" s="314"/>
      <c r="R178" s="314"/>
      <c r="S178" s="314"/>
      <c r="T178" s="314"/>
      <c r="U178" s="315"/>
      <c r="V178" s="311" t="s">
        <v>705</v>
      </c>
      <c r="W178" s="311" t="s">
        <v>705</v>
      </c>
      <c r="X178" s="316" t="s">
        <v>706</v>
      </c>
    </row>
    <row r="179" spans="1:24" x14ac:dyDescent="0.2">
      <c r="A179" s="310">
        <v>176</v>
      </c>
      <c r="B179" s="311" t="s">
        <v>445</v>
      </c>
      <c r="C179" s="311" t="s">
        <v>746</v>
      </c>
      <c r="D179" s="311" t="s">
        <v>700</v>
      </c>
      <c r="E179" s="311" t="s">
        <v>739</v>
      </c>
      <c r="F179" s="311" t="s">
        <v>313</v>
      </c>
      <c r="G179" s="311" t="s">
        <v>747</v>
      </c>
      <c r="H179" s="334" t="s">
        <v>786</v>
      </c>
      <c r="I179" s="311" t="s">
        <v>101</v>
      </c>
      <c r="J179" s="311" t="s">
        <v>748</v>
      </c>
      <c r="K179" s="311" t="s">
        <v>257</v>
      </c>
      <c r="L179" s="311" t="s">
        <v>700</v>
      </c>
      <c r="M179" s="312"/>
      <c r="N179" s="313"/>
      <c r="O179" s="314"/>
      <c r="P179" s="314"/>
      <c r="Q179" s="314"/>
      <c r="R179" s="314"/>
      <c r="S179" s="314"/>
      <c r="T179" s="314"/>
      <c r="U179" s="315"/>
      <c r="V179" s="311" t="s">
        <v>705</v>
      </c>
      <c r="W179" s="311" t="s">
        <v>705</v>
      </c>
      <c r="X179" s="316" t="s">
        <v>706</v>
      </c>
    </row>
    <row r="180" spans="1:24" x14ac:dyDescent="0.2">
      <c r="A180" s="310">
        <v>177</v>
      </c>
      <c r="B180" s="311" t="s">
        <v>456</v>
      </c>
      <c r="C180" s="311" t="s">
        <v>508</v>
      </c>
      <c r="D180" s="311" t="s">
        <v>700</v>
      </c>
      <c r="E180" s="311" t="s">
        <v>739</v>
      </c>
      <c r="F180" s="311" t="s">
        <v>313</v>
      </c>
      <c r="G180" s="311" t="s">
        <v>749</v>
      </c>
      <c r="H180" s="334" t="s">
        <v>786</v>
      </c>
      <c r="I180" s="311" t="s">
        <v>73</v>
      </c>
      <c r="J180" s="311" t="s">
        <v>750</v>
      </c>
      <c r="K180" s="311" t="s">
        <v>257</v>
      </c>
      <c r="L180" s="311" t="s">
        <v>700</v>
      </c>
      <c r="M180" s="312"/>
      <c r="N180" s="313"/>
      <c r="O180" s="314"/>
      <c r="P180" s="314"/>
      <c r="Q180" s="314"/>
      <c r="R180" s="314"/>
      <c r="S180" s="314"/>
      <c r="T180" s="314"/>
      <c r="U180" s="315"/>
      <c r="V180" s="311" t="s">
        <v>705</v>
      </c>
      <c r="W180" s="311" t="s">
        <v>705</v>
      </c>
      <c r="X180" s="316" t="s">
        <v>706</v>
      </c>
    </row>
    <row r="181" spans="1:24" x14ac:dyDescent="0.2">
      <c r="A181" s="310">
        <v>178</v>
      </c>
      <c r="B181" s="311" t="s">
        <v>733</v>
      </c>
      <c r="C181" s="311" t="s">
        <v>751</v>
      </c>
      <c r="D181" s="311" t="s">
        <v>700</v>
      </c>
      <c r="E181" s="311" t="s">
        <v>739</v>
      </c>
      <c r="F181" s="311" t="s">
        <v>313</v>
      </c>
      <c r="G181" s="311" t="s">
        <v>752</v>
      </c>
      <c r="H181" s="334" t="s">
        <v>786</v>
      </c>
      <c r="I181" s="311" t="s">
        <v>75</v>
      </c>
      <c r="J181" s="311" t="s">
        <v>753</v>
      </c>
      <c r="K181" s="311" t="s">
        <v>257</v>
      </c>
      <c r="L181" s="311" t="s">
        <v>700</v>
      </c>
      <c r="M181" s="312"/>
      <c r="N181" s="313"/>
      <c r="O181" s="314"/>
      <c r="P181" s="314"/>
      <c r="Q181" s="314"/>
      <c r="R181" s="314"/>
      <c r="S181" s="314"/>
      <c r="T181" s="314"/>
      <c r="U181" s="315"/>
      <c r="V181" s="311" t="s">
        <v>705</v>
      </c>
      <c r="W181" s="311" t="s">
        <v>705</v>
      </c>
      <c r="X181" s="316" t="s">
        <v>706</v>
      </c>
    </row>
    <row r="182" spans="1:24" x14ac:dyDescent="0.2">
      <c r="A182" s="310">
        <v>179</v>
      </c>
      <c r="B182" s="311" t="s">
        <v>754</v>
      </c>
      <c r="C182" s="311" t="s">
        <v>755</v>
      </c>
      <c r="D182" s="311" t="s">
        <v>700</v>
      </c>
      <c r="E182" s="311" t="s">
        <v>739</v>
      </c>
      <c r="F182" s="311" t="s">
        <v>313</v>
      </c>
      <c r="G182" s="311" t="s">
        <v>44</v>
      </c>
      <c r="H182" s="334" t="s">
        <v>786</v>
      </c>
      <c r="I182" s="311" t="s">
        <v>68</v>
      </c>
      <c r="J182" s="311" t="s">
        <v>756</v>
      </c>
      <c r="K182" s="311" t="s">
        <v>257</v>
      </c>
      <c r="L182" s="311" t="s">
        <v>700</v>
      </c>
      <c r="M182" s="312"/>
      <c r="N182" s="313"/>
      <c r="O182" s="314"/>
      <c r="P182" s="314"/>
      <c r="Q182" s="314"/>
      <c r="R182" s="314"/>
      <c r="S182" s="314"/>
      <c r="T182" s="314"/>
      <c r="U182" s="315"/>
      <c r="V182" s="311" t="s">
        <v>705</v>
      </c>
      <c r="W182" s="311" t="s">
        <v>705</v>
      </c>
      <c r="X182" s="316" t="s">
        <v>706</v>
      </c>
    </row>
    <row r="183" spans="1:24" x14ac:dyDescent="0.2">
      <c r="A183" s="310">
        <v>180</v>
      </c>
      <c r="B183" s="311" t="s">
        <v>757</v>
      </c>
      <c r="C183" s="311" t="s">
        <v>758</v>
      </c>
      <c r="D183" s="311" t="s">
        <v>700</v>
      </c>
      <c r="E183" s="311" t="s">
        <v>739</v>
      </c>
      <c r="F183" s="311" t="s">
        <v>313</v>
      </c>
      <c r="G183" s="311" t="s">
        <v>666</v>
      </c>
      <c r="H183" s="334" t="s">
        <v>786</v>
      </c>
      <c r="I183" s="311" t="s">
        <v>68</v>
      </c>
      <c r="J183" s="311" t="s">
        <v>759</v>
      </c>
      <c r="K183" s="311" t="s">
        <v>257</v>
      </c>
      <c r="L183" s="311" t="s">
        <v>700</v>
      </c>
      <c r="M183" s="312"/>
      <c r="N183" s="313"/>
      <c r="O183" s="314"/>
      <c r="P183" s="314"/>
      <c r="Q183" s="314"/>
      <c r="R183" s="314"/>
      <c r="S183" s="314"/>
      <c r="T183" s="314"/>
      <c r="U183" s="315"/>
      <c r="V183" s="311" t="s">
        <v>705</v>
      </c>
      <c r="W183" s="311" t="s">
        <v>705</v>
      </c>
      <c r="X183" s="316" t="s">
        <v>706</v>
      </c>
    </row>
    <row r="184" spans="1:24" x14ac:dyDescent="0.2">
      <c r="A184" s="310">
        <v>181</v>
      </c>
      <c r="B184" s="311" t="s">
        <v>760</v>
      </c>
      <c r="C184" s="311" t="s">
        <v>508</v>
      </c>
      <c r="D184" s="311" t="s">
        <v>700</v>
      </c>
      <c r="E184" s="311" t="s">
        <v>761</v>
      </c>
      <c r="F184" s="311" t="s">
        <v>313</v>
      </c>
      <c r="G184" s="311" t="s">
        <v>762</v>
      </c>
      <c r="H184" s="334" t="s">
        <v>786</v>
      </c>
      <c r="I184" s="311" t="s">
        <v>227</v>
      </c>
      <c r="J184" s="311" t="s">
        <v>788</v>
      </c>
      <c r="K184" s="311" t="s">
        <v>257</v>
      </c>
      <c r="L184" s="311" t="s">
        <v>700</v>
      </c>
      <c r="M184" s="312"/>
      <c r="N184" s="313"/>
      <c r="O184" s="314"/>
      <c r="P184" s="314"/>
      <c r="Q184" s="314"/>
      <c r="R184" s="314"/>
      <c r="S184" s="314"/>
      <c r="T184" s="314"/>
      <c r="U184" s="315"/>
      <c r="V184" s="311" t="s">
        <v>705</v>
      </c>
      <c r="W184" s="311" t="s">
        <v>705</v>
      </c>
      <c r="X184" s="316" t="s">
        <v>706</v>
      </c>
    </row>
    <row r="185" spans="1:24" x14ac:dyDescent="0.2">
      <c r="A185" s="310">
        <v>182</v>
      </c>
      <c r="B185" s="311" t="s">
        <v>763</v>
      </c>
      <c r="C185" s="311" t="s">
        <v>764</v>
      </c>
      <c r="D185" s="311" t="s">
        <v>700</v>
      </c>
      <c r="E185" s="311" t="s">
        <v>739</v>
      </c>
      <c r="F185" s="311" t="s">
        <v>313</v>
      </c>
      <c r="G185" s="311" t="s">
        <v>765</v>
      </c>
      <c r="H185" s="334" t="s">
        <v>786</v>
      </c>
      <c r="I185" s="311" t="s">
        <v>81</v>
      </c>
      <c r="J185" s="311" t="s">
        <v>766</v>
      </c>
      <c r="K185" s="311" t="s">
        <v>257</v>
      </c>
      <c r="L185" s="311" t="s">
        <v>700</v>
      </c>
      <c r="M185" s="312"/>
      <c r="N185" s="313"/>
      <c r="O185" s="314"/>
      <c r="P185" s="314"/>
      <c r="Q185" s="314"/>
      <c r="R185" s="314"/>
      <c r="S185" s="314"/>
      <c r="T185" s="314"/>
      <c r="U185" s="315"/>
      <c r="V185" s="311" t="s">
        <v>705</v>
      </c>
      <c r="W185" s="311" t="s">
        <v>705</v>
      </c>
      <c r="X185" s="316" t="s">
        <v>706</v>
      </c>
    </row>
    <row r="186" spans="1:24" x14ac:dyDescent="0.2">
      <c r="A186" s="310">
        <v>183</v>
      </c>
      <c r="B186" s="311" t="s">
        <v>767</v>
      </c>
      <c r="C186" s="311" t="s">
        <v>768</v>
      </c>
      <c r="D186" s="311" t="s">
        <v>700</v>
      </c>
      <c r="E186" s="311" t="s">
        <v>739</v>
      </c>
      <c r="F186" s="311" t="s">
        <v>313</v>
      </c>
      <c r="G186" s="311" t="s">
        <v>769</v>
      </c>
      <c r="H186" s="334" t="s">
        <v>786</v>
      </c>
      <c r="I186" s="311" t="s">
        <v>104</v>
      </c>
      <c r="J186" s="311" t="s">
        <v>788</v>
      </c>
      <c r="K186" s="311" t="s">
        <v>257</v>
      </c>
      <c r="L186" s="311" t="s">
        <v>700</v>
      </c>
      <c r="M186" s="312"/>
      <c r="N186" s="313"/>
      <c r="O186" s="314"/>
      <c r="P186" s="314"/>
      <c r="Q186" s="314"/>
      <c r="R186" s="314"/>
      <c r="S186" s="314"/>
      <c r="T186" s="314"/>
      <c r="U186" s="315"/>
      <c r="V186" s="311" t="s">
        <v>705</v>
      </c>
      <c r="W186" s="311" t="s">
        <v>705</v>
      </c>
      <c r="X186" s="316" t="s">
        <v>706</v>
      </c>
    </row>
    <row r="187" spans="1:24" x14ac:dyDescent="0.2">
      <c r="A187" s="310">
        <v>184</v>
      </c>
      <c r="B187" s="311" t="s">
        <v>770</v>
      </c>
      <c r="C187" s="311" t="s">
        <v>771</v>
      </c>
      <c r="D187" s="311" t="s">
        <v>700</v>
      </c>
      <c r="E187" s="311" t="s">
        <v>739</v>
      </c>
      <c r="F187" s="311" t="s">
        <v>313</v>
      </c>
      <c r="G187" s="311" t="s">
        <v>772</v>
      </c>
      <c r="H187" s="334" t="s">
        <v>786</v>
      </c>
      <c r="I187" s="311" t="s">
        <v>71</v>
      </c>
      <c r="J187" s="311" t="s">
        <v>788</v>
      </c>
      <c r="K187" s="311" t="s">
        <v>257</v>
      </c>
      <c r="L187" s="311" t="s">
        <v>700</v>
      </c>
      <c r="M187" s="312"/>
      <c r="N187" s="313"/>
      <c r="O187" s="314"/>
      <c r="P187" s="314"/>
      <c r="Q187" s="314"/>
      <c r="R187" s="314"/>
      <c r="S187" s="314"/>
      <c r="T187" s="314"/>
      <c r="U187" s="315"/>
      <c r="V187" s="311" t="s">
        <v>705</v>
      </c>
      <c r="W187" s="311" t="s">
        <v>705</v>
      </c>
      <c r="X187" s="316" t="s">
        <v>706</v>
      </c>
    </row>
    <row r="188" spans="1:24" x14ac:dyDescent="0.2">
      <c r="A188" s="317">
        <v>185</v>
      </c>
      <c r="B188" s="318" t="s">
        <v>773</v>
      </c>
      <c r="C188" s="318" t="s">
        <v>738</v>
      </c>
      <c r="D188" s="318" t="s">
        <v>700</v>
      </c>
      <c r="E188" s="318" t="s">
        <v>739</v>
      </c>
      <c r="F188" s="318" t="s">
        <v>313</v>
      </c>
      <c r="G188" s="318" t="s">
        <v>650</v>
      </c>
      <c r="H188" s="335" t="s">
        <v>786</v>
      </c>
      <c r="I188" s="318" t="s">
        <v>79</v>
      </c>
      <c r="J188" s="318" t="s">
        <v>774</v>
      </c>
      <c r="K188" s="318" t="s">
        <v>257</v>
      </c>
      <c r="L188" s="318" t="s">
        <v>700</v>
      </c>
      <c r="M188" s="319"/>
      <c r="N188" s="320"/>
      <c r="O188" s="321"/>
      <c r="P188" s="321"/>
      <c r="Q188" s="321"/>
      <c r="R188" s="321"/>
      <c r="S188" s="321"/>
      <c r="T188" s="321"/>
      <c r="U188" s="322"/>
      <c r="V188" s="318" t="s">
        <v>705</v>
      </c>
      <c r="W188" s="318" t="s">
        <v>705</v>
      </c>
      <c r="X188" s="323" t="s">
        <v>706</v>
      </c>
    </row>
    <row r="189" spans="1:24" x14ac:dyDescent="0.2">
      <c r="A189" s="352">
        <v>186</v>
      </c>
      <c r="B189" s="353" t="s">
        <v>682</v>
      </c>
      <c r="C189" s="353" t="s">
        <v>775</v>
      </c>
      <c r="D189" s="353" t="s">
        <v>700</v>
      </c>
      <c r="E189" s="353" t="s">
        <v>739</v>
      </c>
      <c r="F189" s="353" t="s">
        <v>313</v>
      </c>
      <c r="G189" s="353" t="s">
        <v>776</v>
      </c>
      <c r="H189" s="354" t="s">
        <v>786</v>
      </c>
      <c r="I189" s="353" t="s">
        <v>79</v>
      </c>
      <c r="J189" s="353" t="s">
        <v>777</v>
      </c>
      <c r="K189" s="353" t="s">
        <v>257</v>
      </c>
      <c r="L189" s="353" t="s">
        <v>700</v>
      </c>
      <c r="M189" s="353"/>
      <c r="N189" s="353"/>
      <c r="O189" s="353"/>
      <c r="P189" s="353"/>
      <c r="Q189" s="353"/>
      <c r="R189" s="353"/>
      <c r="S189" s="353"/>
      <c r="T189" s="353"/>
      <c r="U189" s="353"/>
      <c r="V189" s="353" t="s">
        <v>705</v>
      </c>
      <c r="W189" s="353" t="s">
        <v>705</v>
      </c>
      <c r="X189" s="355" t="s">
        <v>706</v>
      </c>
    </row>
    <row r="191" spans="1:24" ht="17" thickBot="1" x14ac:dyDescent="0.25">
      <c r="A191" s="337" t="s">
        <v>779</v>
      </c>
    </row>
    <row r="192" spans="1:24" x14ac:dyDescent="0.2">
      <c r="A192" s="339" t="s">
        <v>94</v>
      </c>
      <c r="C192" s="21" t="s">
        <v>789</v>
      </c>
    </row>
    <row r="193" spans="1:3" x14ac:dyDescent="0.2">
      <c r="A193" s="339" t="s">
        <v>790</v>
      </c>
      <c r="C193" s="340">
        <f>COUNTIF(L5:L189,"&lt;&gt;DEPARTED")</f>
        <v>185</v>
      </c>
    </row>
    <row r="194" spans="1:3" x14ac:dyDescent="0.2">
      <c r="A194" s="338"/>
      <c r="C194" s="21"/>
    </row>
    <row r="195" spans="1:3" x14ac:dyDescent="0.2">
      <c r="A195" s="339" t="s">
        <v>253</v>
      </c>
      <c r="C195" s="21">
        <f>COUNTIFS(D5:D189,"Contrat Local",L5:L189,"&lt;&gt;DEPARTED")</f>
        <v>159</v>
      </c>
    </row>
    <row r="196" spans="1:3" x14ac:dyDescent="0.2">
      <c r="A196" s="338" t="s">
        <v>833</v>
      </c>
      <c r="C196" s="21">
        <f>COUNTIFS(D5:D189,"Contrat Local",L5:L189,"&lt;&gt;DEPARTED",W5:W189,"&lt;&gt;Nouveau Contrat")</f>
        <v>127</v>
      </c>
    </row>
    <row r="197" spans="1:3" x14ac:dyDescent="0.2">
      <c r="A197" s="338" t="s">
        <v>834</v>
      </c>
      <c r="C197" s="21">
        <f>COUNTIFS(D5:D189,"Contrat Local",W5:W189,"Nouveau Contrat")</f>
        <v>32</v>
      </c>
    </row>
    <row r="198" spans="1:3" x14ac:dyDescent="0.2">
      <c r="A198" s="338" t="s">
        <v>780</v>
      </c>
      <c r="C198" s="21">
        <f>COUNTIF(L5:L189,"DEPARTED")</f>
        <v>0</v>
      </c>
    </row>
    <row r="199" spans="1:3" x14ac:dyDescent="0.2">
      <c r="A199" s="338"/>
      <c r="C199" s="21"/>
    </row>
    <row r="200" spans="1:3" x14ac:dyDescent="0.2">
      <c r="A200" s="339" t="s">
        <v>791</v>
      </c>
      <c r="C200" s="21">
        <f>COUNTIF(D5:D189,"Titulaire EN")</f>
        <v>26</v>
      </c>
    </row>
    <row r="201" spans="1:3" x14ac:dyDescent="0.2">
      <c r="A201" s="338" t="s">
        <v>781</v>
      </c>
      <c r="C201" s="21">
        <f>COUNTIFS(D5:D189,"Titulaire EN",F5:F189,"Direction")</f>
        <v>5</v>
      </c>
    </row>
    <row r="202" spans="1:3" x14ac:dyDescent="0.2">
      <c r="A202" s="338" t="s">
        <v>792</v>
      </c>
      <c r="C202" s="21">
        <f>COUNTIFS(D5:D189,"Titulaire EN",H5:H189,"Teacher")</f>
        <v>21</v>
      </c>
    </row>
    <row r="203" spans="1:3" x14ac:dyDescent="0.2">
      <c r="A203" s="338"/>
      <c r="C203" s="21"/>
    </row>
    <row r="204" spans="1:3" x14ac:dyDescent="0.2">
      <c r="A204" s="339" t="s">
        <v>793</v>
      </c>
      <c r="C204" s="21">
        <f>COUNTIF(H5:H189,"Teacher")</f>
        <v>123</v>
      </c>
    </row>
    <row r="205" spans="1:3" x14ac:dyDescent="0.2">
      <c r="A205" s="339" t="s">
        <v>794</v>
      </c>
      <c r="C205" s="21">
        <f>COUNTIF(H5:H189,"Non-Teacher")</f>
        <v>62</v>
      </c>
    </row>
    <row r="206" spans="1:3" x14ac:dyDescent="0.2">
      <c r="A206" s="338"/>
      <c r="C206" s="21"/>
    </row>
    <row r="207" spans="1:3" x14ac:dyDescent="0.2">
      <c r="A207" s="339" t="s">
        <v>795</v>
      </c>
      <c r="C207" s="21"/>
    </row>
    <row r="208" spans="1:3" x14ac:dyDescent="0.2">
      <c r="A208" s="338" t="s">
        <v>796</v>
      </c>
      <c r="C208" s="21">
        <f>COUNTIF(I5:I189,"Professeur des écoles (PE)")</f>
        <v>39</v>
      </c>
    </row>
    <row r="209" spans="1:3" x14ac:dyDescent="0.2">
      <c r="A209" s="338" t="s">
        <v>797</v>
      </c>
      <c r="C209" s="21">
        <f>COUNTIF(I5:I189,"Certifié Lettres")</f>
        <v>10</v>
      </c>
    </row>
    <row r="210" spans="1:3" x14ac:dyDescent="0.2">
      <c r="A210" s="338" t="s">
        <v>798</v>
      </c>
      <c r="C210" s="21">
        <f>COUNTIF(I5:I189,"Certifié Maths")</f>
        <v>8</v>
      </c>
    </row>
    <row r="211" spans="1:3" x14ac:dyDescent="0.2">
      <c r="A211" s="338" t="s">
        <v>799</v>
      </c>
      <c r="C211" s="21">
        <f>COUNTIF(I5:I189,"Certifié Hist-Géo")</f>
        <v>5</v>
      </c>
    </row>
    <row r="212" spans="1:3" x14ac:dyDescent="0.2">
      <c r="A212" s="338" t="s">
        <v>800</v>
      </c>
      <c r="C212" s="21">
        <f>COUNTIF(I5:I189,"Certifié SVT")</f>
        <v>6</v>
      </c>
    </row>
    <row r="213" spans="1:3" x14ac:dyDescent="0.2">
      <c r="A213" s="338" t="s">
        <v>801</v>
      </c>
      <c r="C213" s="21">
        <f>COUNTIF(I5:I189,"Certifié Physique-Chimie")</f>
        <v>7</v>
      </c>
    </row>
    <row r="214" spans="1:3" x14ac:dyDescent="0.2">
      <c r="A214" s="338" t="s">
        <v>802</v>
      </c>
      <c r="C214" s="21">
        <f>COUNTIF(I5:I189,"Certifié Info/Techno")</f>
        <v>0</v>
      </c>
    </row>
    <row r="215" spans="1:3" x14ac:dyDescent="0.2">
      <c r="A215" s="338" t="s">
        <v>803</v>
      </c>
      <c r="C215" s="21">
        <f>COUNTIF(I5:I189,"Certifié SES")</f>
        <v>3</v>
      </c>
    </row>
    <row r="216" spans="1:3" x14ac:dyDescent="0.2">
      <c r="A216" s="338" t="s">
        <v>804</v>
      </c>
      <c r="C216" s="21">
        <f>COUNTIF(I5:I189,"Certifié Arts Plastiques")</f>
        <v>2</v>
      </c>
    </row>
    <row r="217" spans="1:3" x14ac:dyDescent="0.2">
      <c r="A217" s="338" t="s">
        <v>805</v>
      </c>
      <c r="C217" s="21">
        <f>COUNTIF(I5:I189,"Certifié Éducation Musicale")</f>
        <v>2</v>
      </c>
    </row>
    <row r="218" spans="1:3" x14ac:dyDescent="0.2">
      <c r="A218" s="338" t="s">
        <v>806</v>
      </c>
      <c r="C218" s="21">
        <f>COUNTIF(I5:I189,"Certifié EPS")</f>
        <v>6</v>
      </c>
    </row>
    <row r="219" spans="1:3" x14ac:dyDescent="0.2">
      <c r="A219" s="338" t="s">
        <v>807</v>
      </c>
      <c r="C219" s="21">
        <f>COUNTIF(I5:I189,"Certifié Anglais")</f>
        <v>7</v>
      </c>
    </row>
    <row r="220" spans="1:3" x14ac:dyDescent="0.2">
      <c r="A220" s="338" t="s">
        <v>808</v>
      </c>
      <c r="C220" s="21">
        <f>COUNTIF(I5:I189,"Certifié Arabe")</f>
        <v>5</v>
      </c>
    </row>
    <row r="221" spans="1:3" x14ac:dyDescent="0.2">
      <c r="A221" s="338" t="s">
        <v>809</v>
      </c>
      <c r="C221" s="21">
        <f>COUNTIF(I5:I189,"Certifié Espagnol")</f>
        <v>3</v>
      </c>
    </row>
    <row r="222" spans="1:3" x14ac:dyDescent="0.2">
      <c r="A222" s="338" t="s">
        <v>810</v>
      </c>
      <c r="C222" s="21">
        <f>COUNTIF(I5:I189,"Certifié Allemand")</f>
        <v>1</v>
      </c>
    </row>
    <row r="223" spans="1:3" x14ac:dyDescent="0.2">
      <c r="A223" s="338" t="s">
        <v>811</v>
      </c>
      <c r="C223" s="21">
        <f>COUNTIF(I5:I189,"Enseignant Anglais Primaire")</f>
        <v>4</v>
      </c>
    </row>
    <row r="224" spans="1:3" x14ac:dyDescent="0.2">
      <c r="A224" s="338" t="s">
        <v>812</v>
      </c>
      <c r="C224" s="21">
        <f>COUNTIF(I5:I189,"TBD — Enseignant Arabe")</f>
        <v>0</v>
      </c>
    </row>
    <row r="225" spans="1:3" x14ac:dyDescent="0.2">
      <c r="A225" s="338" t="s">
        <v>813</v>
      </c>
      <c r="C225" s="21">
        <f>COUNTIF(I5:I189,"TBD")</f>
        <v>4</v>
      </c>
    </row>
    <row r="227" spans="1:3" ht="17" thickBot="1" x14ac:dyDescent="0.25">
      <c r="A227" s="341" t="s">
        <v>782</v>
      </c>
    </row>
    <row r="228" spans="1:3" x14ac:dyDescent="0.2">
      <c r="A228" s="342" t="s">
        <v>814</v>
      </c>
    </row>
    <row r="229" spans="1:3" x14ac:dyDescent="0.2">
      <c r="A229" s="342" t="s">
        <v>815</v>
      </c>
    </row>
    <row r="230" spans="1:3" x14ac:dyDescent="0.2">
      <c r="A230" s="342" t="s">
        <v>816</v>
      </c>
    </row>
    <row r="231" spans="1:3" x14ac:dyDescent="0.2">
      <c r="A231" s="342" t="s">
        <v>817</v>
      </c>
    </row>
    <row r="232" spans="1:3" x14ac:dyDescent="0.2">
      <c r="A232" s="342" t="s">
        <v>818</v>
      </c>
    </row>
    <row r="233" spans="1:3" x14ac:dyDescent="0.2">
      <c r="A233" s="342" t="s">
        <v>819</v>
      </c>
    </row>
    <row r="234" spans="1:3" x14ac:dyDescent="0.2">
      <c r="A234" s="342" t="s">
        <v>820</v>
      </c>
    </row>
    <row r="235" spans="1:3" x14ac:dyDescent="0.2">
      <c r="A235" s="342" t="s">
        <v>821</v>
      </c>
    </row>
    <row r="236" spans="1:3" x14ac:dyDescent="0.2">
      <c r="A236" s="342" t="s">
        <v>822</v>
      </c>
    </row>
    <row r="237" spans="1:3" x14ac:dyDescent="0.2">
      <c r="A237" s="342"/>
    </row>
    <row r="238" spans="1:3" x14ac:dyDescent="0.2">
      <c r="A238" s="343" t="s">
        <v>823</v>
      </c>
    </row>
    <row r="239" spans="1:3" x14ac:dyDescent="0.2">
      <c r="A239" s="342" t="s">
        <v>824</v>
      </c>
    </row>
    <row r="240" spans="1:3" x14ac:dyDescent="0.2">
      <c r="A240" s="342" t="s">
        <v>825</v>
      </c>
    </row>
    <row r="241" spans="1:2" x14ac:dyDescent="0.2">
      <c r="A241" s="342" t="s">
        <v>826</v>
      </c>
    </row>
    <row r="242" spans="1:2" x14ac:dyDescent="0.2">
      <c r="A242" s="342" t="s">
        <v>827</v>
      </c>
    </row>
    <row r="244" spans="1:2" x14ac:dyDescent="0.2">
      <c r="A244" s="336" t="s">
        <v>828</v>
      </c>
    </row>
    <row r="245" spans="1:2" x14ac:dyDescent="0.2">
      <c r="A245" s="344" t="s">
        <v>778</v>
      </c>
      <c r="B245" s="20" t="s">
        <v>4</v>
      </c>
    </row>
    <row r="246" spans="1:2" x14ac:dyDescent="0.2">
      <c r="A246" s="345" t="s">
        <v>778</v>
      </c>
      <c r="B246" s="20" t="s">
        <v>829</v>
      </c>
    </row>
    <row r="247" spans="1:2" x14ac:dyDescent="0.2">
      <c r="A247" s="346" t="s">
        <v>778</v>
      </c>
      <c r="B247" s="20" t="s">
        <v>830</v>
      </c>
    </row>
    <row r="248" spans="1:2" x14ac:dyDescent="0.2">
      <c r="A248" s="347" t="s">
        <v>778</v>
      </c>
      <c r="B248" s="20" t="s">
        <v>277</v>
      </c>
    </row>
    <row r="249" spans="1:2" x14ac:dyDescent="0.2">
      <c r="A249" s="348" t="s">
        <v>778</v>
      </c>
      <c r="B249" s="20" t="s">
        <v>702</v>
      </c>
    </row>
    <row r="250" spans="1:2" x14ac:dyDescent="0.2">
      <c r="A250" s="349" t="s">
        <v>778</v>
      </c>
      <c r="B250" s="20" t="s">
        <v>255</v>
      </c>
    </row>
    <row r="251" spans="1:2" x14ac:dyDescent="0.2">
      <c r="A251" s="351" t="s">
        <v>778</v>
      </c>
      <c r="B251" s="20" t="s">
        <v>831</v>
      </c>
    </row>
    <row r="252" spans="1:2" x14ac:dyDescent="0.2">
      <c r="A252" s="350" t="s">
        <v>778</v>
      </c>
      <c r="B252" s="20" t="s">
        <v>832</v>
      </c>
    </row>
  </sheetData>
  <autoFilter ref="A4:X189" xr:uid="{EE8DA9FE-796C-444A-9862-E78DDAC054C8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Number of class 2025-26</vt:lpstr>
      <vt:lpstr>Teacher Requirements</vt:lpstr>
      <vt:lpstr>Curriculum_Detail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Faker Helali</dc:creator>
  <cp:lastModifiedBy>Faker Helali</cp:lastModifiedBy>
  <dcterms:created xsi:type="dcterms:W3CDTF">2026-03-22T10:57:41Z</dcterms:created>
  <dcterms:modified xsi:type="dcterms:W3CDTF">2026-03-23T04:27:25Z</dcterms:modified>
</cp:coreProperties>
</file>