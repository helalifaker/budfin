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filterPrivacy="1"/>
  <xr:revisionPtr revIDLastSave="0" documentId="8_{5D0C12A0-8D10-E146-B492-6CB2D2685637}" xr6:coauthVersionLast="47" xr6:coauthVersionMax="47" xr10:uidLastSave="{00000000-0000-0000-0000-000000000000}"/>
  <bookViews>
    <workbookView xWindow="0" yWindow="0" windowWidth="51200" windowHeight="28800" xr2:uid="{D2CE046B-A403-4E45-B291-7F85EDE9061F}"/>
  </bookViews>
  <sheets>
    <sheet name="Droits de scolarite 2026-20 v2" sheetId="4" r:id="rId1"/>
    <sheet name="Droits de scolarite 2026-2027" sheetId="3" state="hidden" r:id="rId2"/>
  </sheets>
  <definedNames>
    <definedName name="_xlnm._FilterDatabase" localSheetId="0" hidden="1">'Droits de scolarite 2026-20 v2'!$A$3:$U$3</definedName>
    <definedName name="_xlnm._FilterDatabase" localSheetId="1" hidden="1">'Droits de scolarite 2026-2027'!$A$3:$U$3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K10" i="4"/>
  <c r="D132" i="4"/>
  <c r="I94" i="4"/>
  <c r="T94" i="4" s="1"/>
  <c r="H94" i="4"/>
  <c r="G94" i="4"/>
  <c r="F94" i="4"/>
  <c r="E94" i="4"/>
  <c r="S94" i="4" s="1"/>
  <c r="D94" i="4"/>
  <c r="I93" i="4"/>
  <c r="T93" i="4" s="1"/>
  <c r="H93" i="4"/>
  <c r="G93" i="4"/>
  <c r="F93" i="4"/>
  <c r="E93" i="4"/>
  <c r="S93" i="4" s="1"/>
  <c r="D93" i="4"/>
  <c r="I92" i="4"/>
  <c r="T92" i="4" s="1"/>
  <c r="H92" i="4"/>
  <c r="G92" i="4"/>
  <c r="F92" i="4"/>
  <c r="E92" i="4"/>
  <c r="S92" i="4" s="1"/>
  <c r="D92" i="4"/>
  <c r="I91" i="4"/>
  <c r="T91" i="4" s="1"/>
  <c r="H91" i="4"/>
  <c r="G91" i="4"/>
  <c r="F91" i="4"/>
  <c r="E91" i="4"/>
  <c r="S91" i="4" s="1"/>
  <c r="D91" i="4"/>
  <c r="I90" i="4"/>
  <c r="T90" i="4" s="1"/>
  <c r="H90" i="4"/>
  <c r="G90" i="4"/>
  <c r="F90" i="4"/>
  <c r="E90" i="4"/>
  <c r="S90" i="4" s="1"/>
  <c r="D90" i="4"/>
  <c r="I89" i="4"/>
  <c r="T89" i="4" s="1"/>
  <c r="H89" i="4"/>
  <c r="G89" i="4"/>
  <c r="F89" i="4"/>
  <c r="E89" i="4"/>
  <c r="D89" i="4"/>
  <c r="I88" i="4"/>
  <c r="T88" i="4" s="1"/>
  <c r="H88" i="4"/>
  <c r="G88" i="4"/>
  <c r="F88" i="4"/>
  <c r="E88" i="4"/>
  <c r="D88" i="4"/>
  <c r="I87" i="4"/>
  <c r="T87" i="4" s="1"/>
  <c r="H87" i="4"/>
  <c r="G87" i="4"/>
  <c r="F87" i="4"/>
  <c r="E87" i="4"/>
  <c r="D87" i="4"/>
  <c r="I86" i="4"/>
  <c r="T86" i="4" s="1"/>
  <c r="H86" i="4"/>
  <c r="G86" i="4"/>
  <c r="F86" i="4"/>
  <c r="E86" i="4"/>
  <c r="D86" i="4"/>
  <c r="I85" i="4"/>
  <c r="T85" i="4" s="1"/>
  <c r="H85" i="4"/>
  <c r="G85" i="4"/>
  <c r="F85" i="4"/>
  <c r="E85" i="4"/>
  <c r="D85" i="4"/>
  <c r="I84" i="4"/>
  <c r="T84" i="4" s="1"/>
  <c r="H84" i="4"/>
  <c r="G84" i="4"/>
  <c r="F84" i="4"/>
  <c r="E84" i="4"/>
  <c r="D84" i="4"/>
  <c r="I83" i="4"/>
  <c r="T83" i="4" s="1"/>
  <c r="H83" i="4"/>
  <c r="G83" i="4"/>
  <c r="F83" i="4"/>
  <c r="E83" i="4"/>
  <c r="D83" i="4"/>
  <c r="I82" i="4"/>
  <c r="T82" i="4" s="1"/>
  <c r="H82" i="4"/>
  <c r="G82" i="4"/>
  <c r="F82" i="4"/>
  <c r="E82" i="4"/>
  <c r="D82" i="4"/>
  <c r="T81" i="4"/>
  <c r="S81" i="4"/>
  <c r="I81" i="4"/>
  <c r="H81" i="4"/>
  <c r="G81" i="4"/>
  <c r="F81" i="4"/>
  <c r="E81" i="4"/>
  <c r="D81" i="4"/>
  <c r="I80" i="4"/>
  <c r="T80" i="4" s="1"/>
  <c r="H80" i="4"/>
  <c r="G80" i="4"/>
  <c r="F80" i="4"/>
  <c r="E80" i="4"/>
  <c r="S80" i="4" s="1"/>
  <c r="D80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56" i="4"/>
  <c r="D113" i="4" s="1"/>
  <c r="D55" i="4"/>
  <c r="D112" i="4" s="1"/>
  <c r="D54" i="4"/>
  <c r="D111" i="4" s="1"/>
  <c r="D53" i="4"/>
  <c r="D110" i="4" s="1"/>
  <c r="D52" i="4"/>
  <c r="D109" i="4" s="1"/>
  <c r="D51" i="4"/>
  <c r="D108" i="4" s="1"/>
  <c r="D50" i="4"/>
  <c r="D107" i="4" s="1"/>
  <c r="D49" i="4"/>
  <c r="D106" i="4" s="1"/>
  <c r="D48" i="4"/>
  <c r="D105" i="4" s="1"/>
  <c r="D47" i="4"/>
  <c r="D104" i="4" s="1"/>
  <c r="D46" i="4"/>
  <c r="D103" i="4" s="1"/>
  <c r="I45" i="4"/>
  <c r="E45" i="4"/>
  <c r="D45" i="4"/>
  <c r="D102" i="4" s="1"/>
  <c r="I44" i="4"/>
  <c r="E44" i="4"/>
  <c r="D44" i="4"/>
  <c r="D101" i="4" s="1"/>
  <c r="I43" i="4"/>
  <c r="E43" i="4"/>
  <c r="D43" i="4"/>
  <c r="D100" i="4" s="1"/>
  <c r="I42" i="4"/>
  <c r="E42" i="4"/>
  <c r="D42" i="4"/>
  <c r="D99" i="4" s="1"/>
  <c r="T37" i="4"/>
  <c r="S37" i="4"/>
  <c r="T36" i="4"/>
  <c r="S36" i="4"/>
  <c r="T35" i="4"/>
  <c r="S35" i="4"/>
  <c r="T34" i="4"/>
  <c r="S34" i="4"/>
  <c r="T33" i="4"/>
  <c r="S33" i="4"/>
  <c r="T32" i="4"/>
  <c r="S32" i="4"/>
  <c r="T31" i="4"/>
  <c r="S31" i="4"/>
  <c r="T30" i="4"/>
  <c r="S30" i="4"/>
  <c r="T29" i="4"/>
  <c r="S29" i="4"/>
  <c r="T28" i="4"/>
  <c r="S28" i="4"/>
  <c r="T27" i="4"/>
  <c r="S27" i="4"/>
  <c r="T26" i="4"/>
  <c r="S26" i="4"/>
  <c r="T25" i="4"/>
  <c r="S25" i="4"/>
  <c r="T24" i="4"/>
  <c r="S24" i="4"/>
  <c r="T23" i="4"/>
  <c r="S23" i="4"/>
  <c r="O18" i="4"/>
  <c r="I18" i="4"/>
  <c r="O17" i="4"/>
  <c r="I17" i="4"/>
  <c r="E17" i="4"/>
  <c r="O16" i="4"/>
  <c r="I16" i="4"/>
  <c r="E16" i="4"/>
  <c r="O15" i="4"/>
  <c r="I15" i="4"/>
  <c r="E15" i="4"/>
  <c r="O14" i="4"/>
  <c r="I14" i="4"/>
  <c r="I8" i="4"/>
  <c r="I7" i="4"/>
  <c r="E7" i="4"/>
  <c r="I6" i="4"/>
  <c r="E6" i="4"/>
  <c r="O5" i="4"/>
  <c r="I5" i="4"/>
  <c r="E5" i="4"/>
  <c r="O4" i="4"/>
  <c r="I4" i="4"/>
  <c r="E4" i="4"/>
  <c r="H13" i="3"/>
  <c r="H12" i="3"/>
  <c r="H11" i="3"/>
  <c r="H10" i="3"/>
  <c r="H9" i="3"/>
  <c r="G13" i="3"/>
  <c r="G12" i="3"/>
  <c r="G11" i="3"/>
  <c r="G10" i="3"/>
  <c r="G9" i="3"/>
  <c r="F9" i="3"/>
  <c r="F13" i="3"/>
  <c r="F12" i="3"/>
  <c r="F11" i="3"/>
  <c r="F10" i="3"/>
  <c r="E9" i="3"/>
  <c r="E13" i="3"/>
  <c r="E12" i="3"/>
  <c r="E11" i="3"/>
  <c r="E10" i="3"/>
  <c r="I18" i="3"/>
  <c r="I17" i="3"/>
  <c r="I16" i="3"/>
  <c r="I15" i="3"/>
  <c r="I53" i="3" s="1"/>
  <c r="I110" i="3" s="1"/>
  <c r="I14" i="3"/>
  <c r="L14" i="3" s="1"/>
  <c r="I8" i="3"/>
  <c r="L8" i="3" s="1"/>
  <c r="I7" i="3"/>
  <c r="L7" i="3" s="1"/>
  <c r="I6" i="3"/>
  <c r="L6" i="3" s="1"/>
  <c r="I5" i="3"/>
  <c r="I43" i="3" s="1"/>
  <c r="I100" i="3" s="1"/>
  <c r="I4" i="3"/>
  <c r="T37" i="3"/>
  <c r="S37" i="3"/>
  <c r="T36" i="3"/>
  <c r="S36" i="3"/>
  <c r="T35" i="3"/>
  <c r="S35" i="3"/>
  <c r="T34" i="3"/>
  <c r="S34" i="3"/>
  <c r="T33" i="3"/>
  <c r="S33" i="3"/>
  <c r="T32" i="3"/>
  <c r="S32" i="3"/>
  <c r="T31" i="3"/>
  <c r="S31" i="3"/>
  <c r="T30" i="3"/>
  <c r="S30" i="3"/>
  <c r="T29" i="3"/>
  <c r="S29" i="3"/>
  <c r="T28" i="3"/>
  <c r="S28" i="3"/>
  <c r="T27" i="3"/>
  <c r="S27" i="3"/>
  <c r="T26" i="3"/>
  <c r="S26" i="3"/>
  <c r="T25" i="3"/>
  <c r="S25" i="3"/>
  <c r="T24" i="3"/>
  <c r="S24" i="3"/>
  <c r="T23" i="3"/>
  <c r="S23" i="3"/>
  <c r="I56" i="3"/>
  <c r="L17" i="3"/>
  <c r="L16" i="3"/>
  <c r="I94" i="3"/>
  <c r="H94" i="3"/>
  <c r="G94" i="3"/>
  <c r="F94" i="3"/>
  <c r="E94" i="3"/>
  <c r="O18" i="3" s="1"/>
  <c r="D94" i="3"/>
  <c r="I93" i="3"/>
  <c r="H93" i="3"/>
  <c r="G93" i="3"/>
  <c r="F93" i="3"/>
  <c r="E93" i="3"/>
  <c r="O17" i="3" s="1"/>
  <c r="D93" i="3"/>
  <c r="I92" i="3"/>
  <c r="H92" i="3"/>
  <c r="G92" i="3"/>
  <c r="F92" i="3"/>
  <c r="E92" i="3"/>
  <c r="O16" i="3" s="1"/>
  <c r="D92" i="3"/>
  <c r="I91" i="3"/>
  <c r="H91" i="3"/>
  <c r="G91" i="3"/>
  <c r="F91" i="3"/>
  <c r="E91" i="3"/>
  <c r="O15" i="3" s="1"/>
  <c r="D91" i="3"/>
  <c r="I90" i="3"/>
  <c r="H90" i="3"/>
  <c r="G90" i="3"/>
  <c r="F90" i="3"/>
  <c r="E90" i="3"/>
  <c r="O14" i="3" s="1"/>
  <c r="D90" i="3"/>
  <c r="I89" i="3"/>
  <c r="H89" i="3"/>
  <c r="G89" i="3"/>
  <c r="F89" i="3"/>
  <c r="E89" i="3"/>
  <c r="O13" i="3" s="1"/>
  <c r="D89" i="3"/>
  <c r="I88" i="3"/>
  <c r="H88" i="3"/>
  <c r="G88" i="3"/>
  <c r="F88" i="3"/>
  <c r="E88" i="3"/>
  <c r="O12" i="3" s="1"/>
  <c r="D88" i="3"/>
  <c r="I87" i="3"/>
  <c r="H87" i="3"/>
  <c r="G87" i="3"/>
  <c r="F87" i="3"/>
  <c r="E87" i="3"/>
  <c r="O11" i="3" s="1"/>
  <c r="D87" i="3"/>
  <c r="I86" i="3"/>
  <c r="H86" i="3"/>
  <c r="G86" i="3"/>
  <c r="F86" i="3"/>
  <c r="E86" i="3"/>
  <c r="O10" i="3" s="1"/>
  <c r="D86" i="3"/>
  <c r="I85" i="3"/>
  <c r="H85" i="3"/>
  <c r="G85" i="3"/>
  <c r="F85" i="3"/>
  <c r="E85" i="3"/>
  <c r="O9" i="3" s="1"/>
  <c r="D85" i="3"/>
  <c r="I84" i="3"/>
  <c r="H84" i="3"/>
  <c r="G84" i="3"/>
  <c r="F84" i="3"/>
  <c r="E84" i="3"/>
  <c r="O8" i="3" s="1"/>
  <c r="D84" i="3"/>
  <c r="I83" i="3"/>
  <c r="H83" i="3"/>
  <c r="G83" i="3"/>
  <c r="F83" i="3"/>
  <c r="E83" i="3"/>
  <c r="O7" i="3" s="1"/>
  <c r="D83" i="3"/>
  <c r="I82" i="3"/>
  <c r="H82" i="3"/>
  <c r="G82" i="3"/>
  <c r="F82" i="3"/>
  <c r="E82" i="3"/>
  <c r="O6" i="3" s="1"/>
  <c r="D82" i="3"/>
  <c r="I81" i="3"/>
  <c r="H81" i="3"/>
  <c r="G81" i="3"/>
  <c r="F81" i="3"/>
  <c r="E81" i="3"/>
  <c r="O5" i="3" s="1"/>
  <c r="D81" i="3"/>
  <c r="I80" i="3"/>
  <c r="H80" i="3"/>
  <c r="G80" i="3"/>
  <c r="F80" i="3"/>
  <c r="E80" i="3"/>
  <c r="O4" i="3" s="1"/>
  <c r="D80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56" i="3"/>
  <c r="D113" i="3" s="1"/>
  <c r="D55" i="3"/>
  <c r="D112" i="3" s="1"/>
  <c r="D54" i="3"/>
  <c r="D111" i="3" s="1"/>
  <c r="D53" i="3"/>
  <c r="D110" i="3" s="1"/>
  <c r="D52" i="3"/>
  <c r="D109" i="3" s="1"/>
  <c r="D51" i="3"/>
  <c r="D108" i="3" s="1"/>
  <c r="D50" i="3"/>
  <c r="D107" i="3" s="1"/>
  <c r="D49" i="3"/>
  <c r="D106" i="3" s="1"/>
  <c r="D48" i="3"/>
  <c r="D105" i="3" s="1"/>
  <c r="D47" i="3"/>
  <c r="D104" i="3" s="1"/>
  <c r="D46" i="3"/>
  <c r="D103" i="3" s="1"/>
  <c r="D45" i="3"/>
  <c r="D102" i="3" s="1"/>
  <c r="D44" i="3"/>
  <c r="D101" i="3" s="1"/>
  <c r="D43" i="3"/>
  <c r="D100" i="3" s="1"/>
  <c r="D42" i="3"/>
  <c r="D99" i="3" s="1"/>
  <c r="I55" i="3"/>
  <c r="I112" i="3" s="1"/>
  <c r="D132" i="3"/>
  <c r="I46" i="4" l="1"/>
  <c r="I103" i="4" s="1"/>
  <c r="E8" i="4"/>
  <c r="F8" i="4" s="1"/>
  <c r="S89" i="4"/>
  <c r="O13" i="4"/>
  <c r="O12" i="4"/>
  <c r="S88" i="4"/>
  <c r="O11" i="4"/>
  <c r="S87" i="4"/>
  <c r="O10" i="4"/>
  <c r="S86" i="4"/>
  <c r="O9" i="4"/>
  <c r="S85" i="4"/>
  <c r="O8" i="4"/>
  <c r="S84" i="4"/>
  <c r="O7" i="4"/>
  <c r="S83" i="4"/>
  <c r="S82" i="4"/>
  <c r="O6" i="4"/>
  <c r="O19" i="4" s="1"/>
  <c r="I102" i="4"/>
  <c r="T45" i="4"/>
  <c r="E102" i="4"/>
  <c r="T44" i="4"/>
  <c r="I101" i="4"/>
  <c r="E101" i="4"/>
  <c r="I100" i="4"/>
  <c r="T43" i="4"/>
  <c r="E100" i="4"/>
  <c r="T42" i="4"/>
  <c r="I99" i="4"/>
  <c r="E99" i="4"/>
  <c r="I75" i="4"/>
  <c r="E18" i="4"/>
  <c r="T18" i="4" s="1"/>
  <c r="I56" i="4"/>
  <c r="L18" i="4"/>
  <c r="I74" i="4"/>
  <c r="I55" i="4"/>
  <c r="T17" i="4"/>
  <c r="L17" i="4"/>
  <c r="E74" i="4"/>
  <c r="F17" i="4"/>
  <c r="S17" i="4" s="1"/>
  <c r="E55" i="4"/>
  <c r="H17" i="4"/>
  <c r="G17" i="4"/>
  <c r="I73" i="4"/>
  <c r="T73" i="4" s="1"/>
  <c r="I54" i="4"/>
  <c r="L16" i="4"/>
  <c r="T16" i="4"/>
  <c r="F16" i="4"/>
  <c r="S16" i="4" s="1"/>
  <c r="E73" i="4"/>
  <c r="E54" i="4"/>
  <c r="H16" i="4"/>
  <c r="G16" i="4"/>
  <c r="I72" i="4"/>
  <c r="I53" i="4"/>
  <c r="L15" i="4"/>
  <c r="T15" i="4"/>
  <c r="E72" i="4"/>
  <c r="H15" i="4"/>
  <c r="G15" i="4"/>
  <c r="F15" i="4"/>
  <c r="S15" i="4"/>
  <c r="E53" i="4"/>
  <c r="L14" i="4"/>
  <c r="T14" i="4"/>
  <c r="I71" i="4"/>
  <c r="E14" i="4"/>
  <c r="I52" i="4"/>
  <c r="L8" i="4"/>
  <c r="I65" i="4"/>
  <c r="I64" i="4"/>
  <c r="T7" i="4"/>
  <c r="L7" i="4"/>
  <c r="H7" i="4"/>
  <c r="G7" i="4"/>
  <c r="F7" i="4"/>
  <c r="S7" i="4" s="1"/>
  <c r="E64" i="4"/>
  <c r="T6" i="4"/>
  <c r="I63" i="4"/>
  <c r="L6" i="4"/>
  <c r="F6" i="4"/>
  <c r="E63" i="4"/>
  <c r="H6" i="4"/>
  <c r="G6" i="4"/>
  <c r="S6" i="4" s="1"/>
  <c r="T5" i="4"/>
  <c r="L5" i="4"/>
  <c r="I62" i="4"/>
  <c r="G5" i="4"/>
  <c r="F5" i="4"/>
  <c r="S5" i="4" s="1"/>
  <c r="H5" i="4"/>
  <c r="E62" i="4"/>
  <c r="I61" i="4"/>
  <c r="T61" i="4" s="1"/>
  <c r="T4" i="4"/>
  <c r="L4" i="4"/>
  <c r="H4" i="4"/>
  <c r="G4" i="4"/>
  <c r="F4" i="4"/>
  <c r="S4" i="4" s="1"/>
  <c r="E61" i="4"/>
  <c r="O19" i="3"/>
  <c r="L18" i="3"/>
  <c r="L15" i="3"/>
  <c r="L5" i="3"/>
  <c r="S82" i="3"/>
  <c r="S92" i="3"/>
  <c r="S84" i="3"/>
  <c r="S87" i="3"/>
  <c r="T82" i="3"/>
  <c r="T90" i="3"/>
  <c r="S86" i="3"/>
  <c r="S94" i="3"/>
  <c r="S90" i="3"/>
  <c r="S88" i="3"/>
  <c r="S83" i="3"/>
  <c r="S91" i="3"/>
  <c r="T81" i="3"/>
  <c r="T89" i="3"/>
  <c r="S81" i="3"/>
  <c r="S89" i="3"/>
  <c r="T87" i="3"/>
  <c r="T86" i="3"/>
  <c r="S85" i="3"/>
  <c r="S93" i="3"/>
  <c r="S80" i="3"/>
  <c r="T94" i="3"/>
  <c r="I113" i="3"/>
  <c r="T80" i="3"/>
  <c r="T88" i="3"/>
  <c r="T83" i="3"/>
  <c r="T91" i="3"/>
  <c r="T84" i="3"/>
  <c r="T92" i="3"/>
  <c r="T85" i="3"/>
  <c r="T93" i="3"/>
  <c r="I71" i="3"/>
  <c r="I63" i="3"/>
  <c r="I74" i="3"/>
  <c r="I64" i="3"/>
  <c r="I75" i="3"/>
  <c r="I62" i="3"/>
  <c r="I72" i="3"/>
  <c r="I65" i="3"/>
  <c r="I73" i="3"/>
  <c r="I54" i="3"/>
  <c r="I45" i="3"/>
  <c r="E8" i="3"/>
  <c r="E65" i="3" s="1"/>
  <c r="N8" i="3" s="1"/>
  <c r="P8" i="3" s="1"/>
  <c r="I46" i="3"/>
  <c r="I52" i="3"/>
  <c r="E6" i="3"/>
  <c r="E63" i="3" s="1"/>
  <c r="N6" i="3" s="1"/>
  <c r="P6" i="3" s="1"/>
  <c r="I44" i="3"/>
  <c r="E17" i="3"/>
  <c r="E14" i="3"/>
  <c r="E71" i="3" s="1"/>
  <c r="N14" i="3" s="1"/>
  <c r="P14" i="3" s="1"/>
  <c r="E5" i="3"/>
  <c r="E18" i="3"/>
  <c r="E75" i="3" s="1"/>
  <c r="N18" i="3" s="1"/>
  <c r="P18" i="3" s="1"/>
  <c r="E7" i="3"/>
  <c r="E16" i="3"/>
  <c r="E15" i="3"/>
  <c r="E72" i="3" s="1"/>
  <c r="N15" i="3" s="1"/>
  <c r="P15" i="3" s="1"/>
  <c r="E46" i="4" l="1"/>
  <c r="H8" i="4"/>
  <c r="T8" i="4"/>
  <c r="G8" i="4"/>
  <c r="E65" i="4"/>
  <c r="G18" i="4"/>
  <c r="E56" i="4"/>
  <c r="T56" i="4" s="1"/>
  <c r="E75" i="4"/>
  <c r="F18" i="4"/>
  <c r="H18" i="4"/>
  <c r="I113" i="4"/>
  <c r="T55" i="4"/>
  <c r="I112" i="4"/>
  <c r="N17" i="4"/>
  <c r="P17" i="4" s="1"/>
  <c r="F55" i="4"/>
  <c r="F112" i="4" s="1"/>
  <c r="F74" i="4"/>
  <c r="S74" i="4" s="1"/>
  <c r="E112" i="4"/>
  <c r="H55" i="4"/>
  <c r="H112" i="4" s="1"/>
  <c r="H74" i="4"/>
  <c r="G55" i="4"/>
  <c r="G74" i="4"/>
  <c r="T54" i="4"/>
  <c r="I111" i="4"/>
  <c r="F54" i="4"/>
  <c r="F111" i="4" s="1"/>
  <c r="F73" i="4"/>
  <c r="N16" i="4"/>
  <c r="P16" i="4" s="1"/>
  <c r="E111" i="4"/>
  <c r="H54" i="4"/>
  <c r="H111" i="4" s="1"/>
  <c r="H73" i="4"/>
  <c r="G54" i="4"/>
  <c r="G73" i="4"/>
  <c r="S73" i="4" s="1"/>
  <c r="T53" i="4"/>
  <c r="I110" i="4"/>
  <c r="N15" i="4"/>
  <c r="P15" i="4" s="1"/>
  <c r="H53" i="4"/>
  <c r="H110" i="4" s="1"/>
  <c r="H72" i="4"/>
  <c r="G53" i="4"/>
  <c r="G110" i="4" s="1"/>
  <c r="G72" i="4"/>
  <c r="F53" i="4"/>
  <c r="F110" i="4" s="1"/>
  <c r="F72" i="4"/>
  <c r="S72" i="4" s="1"/>
  <c r="S53" i="4"/>
  <c r="E110" i="4"/>
  <c r="S110" i="4" s="1"/>
  <c r="E52" i="4"/>
  <c r="E71" i="4"/>
  <c r="G14" i="4"/>
  <c r="F14" i="4"/>
  <c r="S14" i="4" s="1"/>
  <c r="H14" i="4"/>
  <c r="T52" i="4"/>
  <c r="I109" i="4"/>
  <c r="F46" i="4"/>
  <c r="F65" i="4"/>
  <c r="H45" i="4"/>
  <c r="H102" i="4" s="1"/>
  <c r="H64" i="4"/>
  <c r="G45" i="4"/>
  <c r="G102" i="4" s="1"/>
  <c r="G64" i="4"/>
  <c r="F45" i="4"/>
  <c r="F64" i="4"/>
  <c r="S64" i="4"/>
  <c r="N7" i="4"/>
  <c r="P7" i="4" s="1"/>
  <c r="F44" i="4"/>
  <c r="F63" i="4"/>
  <c r="N6" i="4"/>
  <c r="P6" i="4" s="1"/>
  <c r="H44" i="4"/>
  <c r="H101" i="4" s="1"/>
  <c r="H63" i="4"/>
  <c r="G44" i="4"/>
  <c r="G101" i="4" s="1"/>
  <c r="G63" i="4"/>
  <c r="S63" i="4" s="1"/>
  <c r="G43" i="4"/>
  <c r="G100" i="4" s="1"/>
  <c r="G62" i="4"/>
  <c r="F43" i="4"/>
  <c r="F62" i="4"/>
  <c r="H43" i="4"/>
  <c r="H100" i="4" s="1"/>
  <c r="H62" i="4"/>
  <c r="S62" i="4"/>
  <c r="N5" i="4"/>
  <c r="P5" i="4" s="1"/>
  <c r="H42" i="4"/>
  <c r="H99" i="4" s="1"/>
  <c r="H61" i="4"/>
  <c r="G42" i="4"/>
  <c r="G99" i="4" s="1"/>
  <c r="G61" i="4"/>
  <c r="F42" i="4"/>
  <c r="F61" i="4"/>
  <c r="S61" i="4"/>
  <c r="N4" i="4"/>
  <c r="T64" i="4"/>
  <c r="T63" i="4"/>
  <c r="T62" i="4"/>
  <c r="T102" i="4"/>
  <c r="T101" i="4"/>
  <c r="T100" i="4"/>
  <c r="T99" i="4"/>
  <c r="T74" i="4"/>
  <c r="T72" i="4"/>
  <c r="I102" i="3"/>
  <c r="T75" i="3"/>
  <c r="I111" i="3"/>
  <c r="I103" i="3"/>
  <c r="T72" i="3"/>
  <c r="T65" i="3"/>
  <c r="I101" i="3"/>
  <c r="T63" i="3"/>
  <c r="T71" i="3"/>
  <c r="I109" i="3"/>
  <c r="E64" i="3"/>
  <c r="N7" i="3" s="1"/>
  <c r="P7" i="3" s="1"/>
  <c r="E62" i="3"/>
  <c r="T17" i="3"/>
  <c r="E74" i="3"/>
  <c r="E54" i="3"/>
  <c r="E111" i="3" s="1"/>
  <c r="E73" i="3"/>
  <c r="E46" i="3"/>
  <c r="E103" i="3" s="1"/>
  <c r="E44" i="3"/>
  <c r="E101" i="3" s="1"/>
  <c r="T8" i="3"/>
  <c r="F8" i="3"/>
  <c r="F65" i="3" s="1"/>
  <c r="G8" i="3"/>
  <c r="G65" i="3" s="1"/>
  <c r="H8" i="3"/>
  <c r="H65" i="3" s="1"/>
  <c r="F6" i="3"/>
  <c r="F63" i="3" s="1"/>
  <c r="G6" i="3"/>
  <c r="G63" i="3" s="1"/>
  <c r="T6" i="3"/>
  <c r="H6" i="3"/>
  <c r="H63" i="3" s="1"/>
  <c r="T15" i="3"/>
  <c r="E53" i="3"/>
  <c r="H17" i="3"/>
  <c r="E55" i="3"/>
  <c r="T7" i="3"/>
  <c r="E45" i="3"/>
  <c r="E102" i="3" s="1"/>
  <c r="E52" i="3"/>
  <c r="E109" i="3" s="1"/>
  <c r="G17" i="3"/>
  <c r="F17" i="3"/>
  <c r="T18" i="3"/>
  <c r="E56" i="3"/>
  <c r="T5" i="3"/>
  <c r="E43" i="3"/>
  <c r="H14" i="3"/>
  <c r="H71" i="3" s="1"/>
  <c r="G14" i="3"/>
  <c r="G71" i="3" s="1"/>
  <c r="F14" i="3"/>
  <c r="F71" i="3" s="1"/>
  <c r="T14" i="3"/>
  <c r="H5" i="3"/>
  <c r="H62" i="3" s="1"/>
  <c r="G5" i="3"/>
  <c r="G62" i="3" s="1"/>
  <c r="F5" i="3"/>
  <c r="F62" i="3" s="1"/>
  <c r="G16" i="3"/>
  <c r="G73" i="3" s="1"/>
  <c r="F16" i="3"/>
  <c r="F73" i="3" s="1"/>
  <c r="H16" i="3"/>
  <c r="H73" i="3" s="1"/>
  <c r="T16" i="3"/>
  <c r="F15" i="3"/>
  <c r="H15" i="3"/>
  <c r="H72" i="3" s="1"/>
  <c r="G15" i="3"/>
  <c r="G72" i="3" s="1"/>
  <c r="H18" i="3"/>
  <c r="H75" i="3" s="1"/>
  <c r="G18" i="3"/>
  <c r="G75" i="3" s="1"/>
  <c r="F18" i="3"/>
  <c r="F75" i="3" s="1"/>
  <c r="S75" i="3" s="1"/>
  <c r="H7" i="3"/>
  <c r="H64" i="3" s="1"/>
  <c r="G7" i="3"/>
  <c r="G64" i="3" s="1"/>
  <c r="F7" i="3"/>
  <c r="E103" i="4" l="1"/>
  <c r="T103" i="4" s="1"/>
  <c r="T46" i="4"/>
  <c r="H46" i="4"/>
  <c r="H103" i="4" s="1"/>
  <c r="H65" i="4"/>
  <c r="S8" i="4"/>
  <c r="G46" i="4"/>
  <c r="G103" i="4" s="1"/>
  <c r="G65" i="4"/>
  <c r="N8" i="4"/>
  <c r="P8" i="4" s="1"/>
  <c r="T65" i="4"/>
  <c r="S18" i="4"/>
  <c r="G56" i="4"/>
  <c r="G113" i="4" s="1"/>
  <c r="G75" i="4"/>
  <c r="E113" i="4"/>
  <c r="T75" i="4"/>
  <c r="N18" i="4"/>
  <c r="P18" i="4" s="1"/>
  <c r="F56" i="4"/>
  <c r="F75" i="4"/>
  <c r="S75" i="4" s="1"/>
  <c r="H56" i="4"/>
  <c r="H113" i="4" s="1"/>
  <c r="H75" i="4"/>
  <c r="E109" i="4"/>
  <c r="T71" i="4"/>
  <c r="N14" i="4"/>
  <c r="G52" i="4"/>
  <c r="G109" i="4" s="1"/>
  <c r="G71" i="4"/>
  <c r="F52" i="4"/>
  <c r="F71" i="4"/>
  <c r="S71" i="4" s="1"/>
  <c r="H52" i="4"/>
  <c r="H109" i="4" s="1"/>
  <c r="H71" i="4"/>
  <c r="S46" i="4"/>
  <c r="F103" i="4"/>
  <c r="S103" i="4" s="1"/>
  <c r="S45" i="4"/>
  <c r="F102" i="4"/>
  <c r="S102" i="4" s="1"/>
  <c r="S44" i="4"/>
  <c r="F101" i="4"/>
  <c r="S101" i="4" s="1"/>
  <c r="S43" i="4"/>
  <c r="F100" i="4"/>
  <c r="S100" i="4" s="1"/>
  <c r="S42" i="4"/>
  <c r="F99" i="4"/>
  <c r="S99" i="4" s="1"/>
  <c r="P4" i="4"/>
  <c r="Q4" i="4"/>
  <c r="T111" i="4"/>
  <c r="T112" i="4"/>
  <c r="T110" i="4"/>
  <c r="G112" i="4"/>
  <c r="S112" i="4" s="1"/>
  <c r="S55" i="4"/>
  <c r="G111" i="4"/>
  <c r="S111" i="4" s="1"/>
  <c r="S54" i="4"/>
  <c r="T74" i="3"/>
  <c r="N17" i="3"/>
  <c r="P17" i="3" s="1"/>
  <c r="T62" i="3"/>
  <c r="N5" i="3"/>
  <c r="P5" i="3" s="1"/>
  <c r="T64" i="3"/>
  <c r="T73" i="3"/>
  <c r="N16" i="3"/>
  <c r="S71" i="3"/>
  <c r="E66" i="3"/>
  <c r="N9" i="3" s="1"/>
  <c r="P9" i="3" s="1"/>
  <c r="K9" i="3"/>
  <c r="E69" i="3"/>
  <c r="N12" i="3" s="1"/>
  <c r="P12" i="3" s="1"/>
  <c r="K12" i="3"/>
  <c r="E68" i="3"/>
  <c r="N11" i="3" s="1"/>
  <c r="P11" i="3" s="1"/>
  <c r="K11" i="3"/>
  <c r="E70" i="3"/>
  <c r="N13" i="3" s="1"/>
  <c r="P13" i="3" s="1"/>
  <c r="K13" i="3"/>
  <c r="E67" i="3"/>
  <c r="N10" i="3" s="1"/>
  <c r="P10" i="3" s="1"/>
  <c r="K10" i="3"/>
  <c r="T52" i="3"/>
  <c r="T109" i="3"/>
  <c r="T46" i="3"/>
  <c r="T103" i="3"/>
  <c r="T44" i="3"/>
  <c r="T54" i="3"/>
  <c r="T111" i="3"/>
  <c r="S63" i="3"/>
  <c r="S65" i="3"/>
  <c r="E113" i="3"/>
  <c r="T113" i="3" s="1"/>
  <c r="T56" i="3"/>
  <c r="T101" i="3"/>
  <c r="E100" i="3"/>
  <c r="T100" i="3" s="1"/>
  <c r="T43" i="3"/>
  <c r="E110" i="3"/>
  <c r="T110" i="3" s="1"/>
  <c r="T53" i="3"/>
  <c r="S73" i="3"/>
  <c r="T45" i="3"/>
  <c r="S62" i="3"/>
  <c r="E112" i="3"/>
  <c r="T112" i="3" s="1"/>
  <c r="T55" i="3"/>
  <c r="T102" i="3"/>
  <c r="G55" i="3"/>
  <c r="G112" i="3" s="1"/>
  <c r="G74" i="3"/>
  <c r="F72" i="3"/>
  <c r="S72" i="3" s="1"/>
  <c r="H55" i="3"/>
  <c r="H112" i="3" s="1"/>
  <c r="H74" i="3"/>
  <c r="F64" i="3"/>
  <c r="S64" i="3" s="1"/>
  <c r="F55" i="3"/>
  <c r="F74" i="3"/>
  <c r="S74" i="3" s="1"/>
  <c r="F46" i="3"/>
  <c r="G45" i="3"/>
  <c r="G102" i="3" s="1"/>
  <c r="H45" i="3"/>
  <c r="H102" i="3" s="1"/>
  <c r="F43" i="3"/>
  <c r="H44" i="3"/>
  <c r="H101" i="3" s="1"/>
  <c r="F44" i="3"/>
  <c r="G46" i="3"/>
  <c r="G103" i="3" s="1"/>
  <c r="H52" i="3"/>
  <c r="H109" i="3" s="1"/>
  <c r="G44" i="3"/>
  <c r="G101" i="3" s="1"/>
  <c r="H46" i="3"/>
  <c r="H103" i="3" s="1"/>
  <c r="S8" i="3"/>
  <c r="E50" i="3"/>
  <c r="E107" i="3" s="1"/>
  <c r="I12" i="3"/>
  <c r="E51" i="3"/>
  <c r="E108" i="3" s="1"/>
  <c r="I13" i="3"/>
  <c r="L13" i="3" s="1"/>
  <c r="H69" i="3"/>
  <c r="E48" i="3"/>
  <c r="E105" i="3" s="1"/>
  <c r="I10" i="3"/>
  <c r="L10" i="3" s="1"/>
  <c r="H66" i="3"/>
  <c r="I9" i="3"/>
  <c r="L9" i="3" s="1"/>
  <c r="E49" i="3"/>
  <c r="E106" i="3" s="1"/>
  <c r="I11" i="3"/>
  <c r="L11" i="3" s="1"/>
  <c r="F69" i="3"/>
  <c r="G69" i="3"/>
  <c r="S6" i="3"/>
  <c r="F66" i="3"/>
  <c r="S17" i="3"/>
  <c r="G66" i="3"/>
  <c r="H43" i="3"/>
  <c r="F56" i="3"/>
  <c r="F53" i="3"/>
  <c r="E47" i="3"/>
  <c r="E104" i="3" s="1"/>
  <c r="H56" i="3"/>
  <c r="H113" i="3" s="1"/>
  <c r="G53" i="3"/>
  <c r="G110" i="3" s="1"/>
  <c r="G43" i="3"/>
  <c r="G100" i="3" s="1"/>
  <c r="F52" i="3"/>
  <c r="G52" i="3"/>
  <c r="G109" i="3" s="1"/>
  <c r="G56" i="3"/>
  <c r="G113" i="3" s="1"/>
  <c r="H54" i="3"/>
  <c r="H111" i="3" s="1"/>
  <c r="F54" i="3"/>
  <c r="F45" i="3"/>
  <c r="H53" i="3"/>
  <c r="H110" i="3" s="1"/>
  <c r="G54" i="3"/>
  <c r="G111" i="3" s="1"/>
  <c r="S14" i="3"/>
  <c r="S5" i="3"/>
  <c r="S15" i="3"/>
  <c r="H67" i="3"/>
  <c r="G67" i="3"/>
  <c r="F67" i="3"/>
  <c r="S18" i="3"/>
  <c r="G70" i="3"/>
  <c r="F70" i="3"/>
  <c r="H70" i="3"/>
  <c r="S16" i="3"/>
  <c r="G68" i="3"/>
  <c r="H68" i="3"/>
  <c r="F68" i="3"/>
  <c r="S7" i="3"/>
  <c r="S65" i="4" l="1"/>
  <c r="T113" i="4"/>
  <c r="S113" i="4"/>
  <c r="T109" i="4"/>
  <c r="S109" i="4"/>
  <c r="P14" i="4"/>
  <c r="Q14" i="4"/>
  <c r="F113" i="4"/>
  <c r="S56" i="4"/>
  <c r="F109" i="4"/>
  <c r="S52" i="4"/>
  <c r="Q14" i="3"/>
  <c r="P16" i="3"/>
  <c r="Q9" i="3"/>
  <c r="S67" i="3"/>
  <c r="L12" i="3"/>
  <c r="S45" i="3"/>
  <c r="S68" i="3"/>
  <c r="S70" i="3"/>
  <c r="F110" i="3"/>
  <c r="S110" i="3" s="1"/>
  <c r="S53" i="3"/>
  <c r="S69" i="3"/>
  <c r="F100" i="3"/>
  <c r="S100" i="3" s="1"/>
  <c r="S43" i="3"/>
  <c r="F112" i="3"/>
  <c r="S112" i="3" s="1"/>
  <c r="S55" i="3"/>
  <c r="F111" i="3"/>
  <c r="S111" i="3" s="1"/>
  <c r="S54" i="3"/>
  <c r="F101" i="3"/>
  <c r="S101" i="3" s="1"/>
  <c r="S44" i="3"/>
  <c r="F113" i="3"/>
  <c r="S113" i="3" s="1"/>
  <c r="S56" i="3"/>
  <c r="F109" i="3"/>
  <c r="S109" i="3" s="1"/>
  <c r="S52" i="3"/>
  <c r="F103" i="3"/>
  <c r="S103" i="3" s="1"/>
  <c r="S46" i="3"/>
  <c r="S66" i="3"/>
  <c r="I69" i="3"/>
  <c r="I68" i="3"/>
  <c r="I70" i="3"/>
  <c r="I66" i="3"/>
  <c r="I67" i="3"/>
  <c r="H47" i="3"/>
  <c r="H104" i="3" s="1"/>
  <c r="F50" i="3"/>
  <c r="F47" i="3"/>
  <c r="F51" i="3"/>
  <c r="F49" i="3"/>
  <c r="F48" i="3"/>
  <c r="F102" i="3"/>
  <c r="S102" i="3" s="1"/>
  <c r="H100" i="3"/>
  <c r="H50" i="3"/>
  <c r="H107" i="3" s="1"/>
  <c r="S12" i="3"/>
  <c r="G50" i="3"/>
  <c r="G107" i="3" s="1"/>
  <c r="G47" i="3"/>
  <c r="S9" i="3"/>
  <c r="G48" i="3"/>
  <c r="G105" i="3" s="1"/>
  <c r="H49" i="3"/>
  <c r="H106" i="3" s="1"/>
  <c r="H48" i="3"/>
  <c r="H105" i="3" s="1"/>
  <c r="G49" i="3"/>
  <c r="G106" i="3" s="1"/>
  <c r="H51" i="3"/>
  <c r="H108" i="3" s="1"/>
  <c r="G51" i="3"/>
  <c r="G108" i="3" s="1"/>
  <c r="S10" i="3"/>
  <c r="S13" i="3"/>
  <c r="S11" i="3"/>
  <c r="F108" i="3" l="1"/>
  <c r="S108" i="3" s="1"/>
  <c r="S51" i="3"/>
  <c r="F104" i="3"/>
  <c r="S47" i="3"/>
  <c r="T67" i="3"/>
  <c r="F105" i="3"/>
  <c r="S105" i="3" s="1"/>
  <c r="S48" i="3"/>
  <c r="F106" i="3"/>
  <c r="S106" i="3" s="1"/>
  <c r="S49" i="3"/>
  <c r="F107" i="3"/>
  <c r="S107" i="3" s="1"/>
  <c r="S50" i="3"/>
  <c r="T66" i="3"/>
  <c r="T70" i="3"/>
  <c r="T68" i="3"/>
  <c r="T69" i="3"/>
  <c r="G104" i="3"/>
  <c r="S104" i="3" l="1"/>
  <c r="I47" i="3" l="1"/>
  <c r="T9" i="3"/>
  <c r="I50" i="3"/>
  <c r="I51" i="3"/>
  <c r="I48" i="3"/>
  <c r="T11" i="3"/>
  <c r="I49" i="3"/>
  <c r="T13" i="3"/>
  <c r="T10" i="3"/>
  <c r="T12" i="3"/>
  <c r="I106" i="3" l="1"/>
  <c r="T106" i="3" s="1"/>
  <c r="T49" i="3"/>
  <c r="I105" i="3"/>
  <c r="T105" i="3" s="1"/>
  <c r="T48" i="3"/>
  <c r="I108" i="3"/>
  <c r="T108" i="3" s="1"/>
  <c r="T51" i="3"/>
  <c r="I107" i="3"/>
  <c r="T107" i="3" s="1"/>
  <c r="T50" i="3"/>
  <c r="I104" i="3"/>
  <c r="T104" i="3" s="1"/>
  <c r="T47" i="3"/>
  <c r="I42" i="3"/>
  <c r="I61" i="3"/>
  <c r="E4" i="3"/>
  <c r="F4" i="3" s="1"/>
  <c r="L4" i="3"/>
  <c r="T4" i="3" l="1"/>
  <c r="I99" i="3"/>
  <c r="G4" i="3"/>
  <c r="G61" i="3" s="1"/>
  <c r="F61" i="3"/>
  <c r="F42" i="3"/>
  <c r="E61" i="3"/>
  <c r="H4" i="3"/>
  <c r="E42" i="3"/>
  <c r="T42" i="3" s="1"/>
  <c r="G42" i="3"/>
  <c r="G99" i="3" s="1"/>
  <c r="T61" i="3" l="1"/>
  <c r="N4" i="3"/>
  <c r="P4" i="3" s="1"/>
  <c r="H42" i="3"/>
  <c r="H99" i="3" s="1"/>
  <c r="H61" i="3"/>
  <c r="S61" i="3" s="1"/>
  <c r="E99" i="3"/>
  <c r="T99" i="3" s="1"/>
  <c r="S4" i="3"/>
  <c r="F99" i="3"/>
  <c r="S99" i="3" s="1"/>
  <c r="N19" i="3" l="1"/>
  <c r="Q4" i="3"/>
  <c r="S42" i="3"/>
  <c r="P19" i="3" l="1"/>
  <c r="I13" i="4"/>
  <c r="I12" i="4"/>
  <c r="L12" i="4" s="1"/>
  <c r="E12" i="4"/>
  <c r="I50" i="4"/>
  <c r="I107" i="4" s="1"/>
  <c r="I11" i="4"/>
  <c r="E11" i="4"/>
  <c r="F11" i="4" s="1"/>
  <c r="I49" i="4"/>
  <c r="I106" i="4"/>
  <c r="I10" i="4"/>
  <c r="E10" i="4"/>
  <c r="I48" i="4"/>
  <c r="I105" i="4" s="1"/>
  <c r="I9" i="4"/>
  <c r="L9" i="4" s="1"/>
  <c r="E9" i="4"/>
  <c r="E47" i="4" s="1"/>
  <c r="F9" i="4"/>
  <c r="S9" i="4" s="1"/>
  <c r="F47" i="4"/>
  <c r="F104" i="4"/>
  <c r="G9" i="4"/>
  <c r="G66" i="4" s="1"/>
  <c r="G47" i="4"/>
  <c r="G104" i="4"/>
  <c r="H9" i="4"/>
  <c r="H66" i="4" s="1"/>
  <c r="H47" i="4"/>
  <c r="H104" i="4"/>
  <c r="T9" i="4"/>
  <c r="I47" i="4"/>
  <c r="I66" i="4"/>
  <c r="F66" i="4"/>
  <c r="I104" i="4"/>
  <c r="E66" i="4"/>
  <c r="T66" i="4" s="1"/>
  <c r="N9" i="4"/>
  <c r="P9" i="4"/>
  <c r="G11" i="4"/>
  <c r="E49" i="4"/>
  <c r="E106" i="4" s="1"/>
  <c r="T106" i="4" s="1"/>
  <c r="E68" i="4"/>
  <c r="N11" i="4" s="1"/>
  <c r="P11" i="4" s="1"/>
  <c r="E48" i="4"/>
  <c r="E105" i="4" s="1"/>
  <c r="E67" i="4"/>
  <c r="N10" i="4" s="1"/>
  <c r="I69" i="4"/>
  <c r="I51" i="4" l="1"/>
  <c r="I108" i="4" s="1"/>
  <c r="E13" i="4"/>
  <c r="I70" i="4"/>
  <c r="F12" i="4"/>
  <c r="G12" i="4"/>
  <c r="E50" i="4"/>
  <c r="E69" i="4"/>
  <c r="T12" i="4"/>
  <c r="F50" i="4"/>
  <c r="F107" i="4" s="1"/>
  <c r="T49" i="4"/>
  <c r="H11" i="4"/>
  <c r="T48" i="4"/>
  <c r="T105" i="4"/>
  <c r="F10" i="4"/>
  <c r="G10" i="4"/>
  <c r="L13" i="4"/>
  <c r="T11" i="4"/>
  <c r="I68" i="4"/>
  <c r="T68" i="4" s="1"/>
  <c r="L11" i="4"/>
  <c r="T10" i="4"/>
  <c r="I67" i="4"/>
  <c r="T67" i="4" s="1"/>
  <c r="L10" i="4"/>
  <c r="T47" i="4"/>
  <c r="S47" i="4"/>
  <c r="E104" i="4"/>
  <c r="F68" i="4"/>
  <c r="F49" i="4"/>
  <c r="G68" i="4"/>
  <c r="G49" i="4"/>
  <c r="G106" i="4" s="1"/>
  <c r="P10" i="4"/>
  <c r="S66" i="4"/>
  <c r="E70" i="4" l="1"/>
  <c r="F13" i="4"/>
  <c r="G13" i="4"/>
  <c r="E51" i="4"/>
  <c r="T13" i="4"/>
  <c r="N12" i="4"/>
  <c r="T69" i="4"/>
  <c r="F69" i="4"/>
  <c r="H12" i="4"/>
  <c r="S12" i="4"/>
  <c r="G50" i="4"/>
  <c r="G107" i="4" s="1"/>
  <c r="G69" i="4"/>
  <c r="E107" i="4"/>
  <c r="T107" i="4" s="1"/>
  <c r="T50" i="4"/>
  <c r="H13" i="4"/>
  <c r="G51" i="4"/>
  <c r="G108" i="4" s="1"/>
  <c r="G70" i="4"/>
  <c r="E108" i="4"/>
  <c r="T108" i="4" s="1"/>
  <c r="T51" i="4"/>
  <c r="H68" i="4"/>
  <c r="S68" i="4" s="1"/>
  <c r="H49" i="4"/>
  <c r="S11" i="4"/>
  <c r="H10" i="4"/>
  <c r="S10" i="4" s="1"/>
  <c r="F67" i="4"/>
  <c r="F48" i="4"/>
  <c r="G67" i="4"/>
  <c r="G48" i="4"/>
  <c r="G105" i="4" s="1"/>
  <c r="T104" i="4"/>
  <c r="S104" i="4"/>
  <c r="F106" i="4"/>
  <c r="N13" i="4" l="1"/>
  <c r="P13" i="4" s="1"/>
  <c r="T70" i="4"/>
  <c r="F70" i="4"/>
  <c r="F51" i="4"/>
  <c r="F108" i="4" s="1"/>
  <c r="N19" i="4"/>
  <c r="P19" i="4" s="1"/>
  <c r="P21" i="4" s="1"/>
  <c r="Q9" i="4"/>
  <c r="P12" i="4"/>
  <c r="H69" i="4"/>
  <c r="S69" i="4" s="1"/>
  <c r="H50" i="4"/>
  <c r="S13" i="4"/>
  <c r="H70" i="4"/>
  <c r="S70" i="4" s="1"/>
  <c r="H51" i="4"/>
  <c r="H106" i="4"/>
  <c r="S106" i="4" s="1"/>
  <c r="S49" i="4"/>
  <c r="H48" i="4"/>
  <c r="H105" i="4" s="1"/>
  <c r="H67" i="4"/>
  <c r="S67" i="4"/>
  <c r="S48" i="4"/>
  <c r="F105" i="4"/>
  <c r="S105" i="4" s="1"/>
  <c r="S50" i="4" l="1"/>
  <c r="H107" i="4"/>
  <c r="S107" i="4" s="1"/>
  <c r="H108" i="4"/>
  <c r="S108" i="4" s="1"/>
  <c r="S51" i="4"/>
</calcChain>
</file>

<file path=xl/sharedStrings.xml><?xml version="1.0" encoding="utf-8"?>
<sst xmlns="http://schemas.openxmlformats.org/spreadsheetml/2006/main" count="402" uniqueCount="34">
  <si>
    <t>Français</t>
  </si>
  <si>
    <t>Maternelle (PS)</t>
  </si>
  <si>
    <t>Maternelle (MS - GS)</t>
  </si>
  <si>
    <t>Élémentaire (CP-CE1-CE2-CM1-CM2)</t>
  </si>
  <si>
    <t>Collège (6ème - 5ème - 4ème -3ème)</t>
  </si>
  <si>
    <t>Nationaux (KSA)</t>
  </si>
  <si>
    <t>Autres Nationalités</t>
  </si>
  <si>
    <r>
      <t xml:space="preserve">DROITS DE SCOLARITE PAR NIVEAU ET PAR NATIONALITE
</t>
    </r>
    <r>
      <rPr>
        <b/>
        <sz val="11"/>
        <color rgb="FFC00000"/>
        <rFont val="Calibri"/>
        <family val="2"/>
      </rPr>
      <t>Année Scolaire 2025-2026</t>
    </r>
  </si>
  <si>
    <t>Lycée (Seconde - 1ère - Terminale)</t>
  </si>
  <si>
    <r>
      <t xml:space="preserve">DROITS DE SCOLARITE PAR NIVEAU ET PAR NATIONALITE
</t>
    </r>
    <r>
      <rPr>
        <b/>
        <sz val="11"/>
        <color rgb="FFC00000"/>
        <rFont val="Calibri"/>
        <family val="2"/>
      </rPr>
      <t>Année Scolaire 2026-2027</t>
    </r>
  </si>
  <si>
    <r>
      <t xml:space="preserve">Droit Annuel
d'Inscription (DAI)
</t>
    </r>
    <r>
      <rPr>
        <b/>
        <sz val="11"/>
        <color rgb="FFC00000"/>
        <rFont val="Calibri"/>
        <family val="2"/>
      </rPr>
      <t>(TTC)</t>
    </r>
  </si>
  <si>
    <r>
      <t xml:space="preserve">Frais de Scolarité Annuels
</t>
    </r>
    <r>
      <rPr>
        <b/>
        <sz val="11"/>
        <color rgb="FFC00000"/>
        <rFont val="Calibri"/>
        <family val="2"/>
      </rPr>
      <t>(TTC)</t>
    </r>
  </si>
  <si>
    <r>
      <t xml:space="preserve">TOTAL SAR
</t>
    </r>
    <r>
      <rPr>
        <b/>
        <sz val="11"/>
        <color rgb="FFC00000"/>
        <rFont val="Calibri"/>
        <family val="2"/>
      </rPr>
      <t>(TTC)</t>
    </r>
  </si>
  <si>
    <t>Total</t>
  </si>
  <si>
    <t>Effectifs par niveau - Année Scolaire 2025-2026</t>
  </si>
  <si>
    <t>TOTAL SAR</t>
  </si>
  <si>
    <t>Frais de Scolarité</t>
  </si>
  <si>
    <t>Input:
Hausse</t>
  </si>
  <si>
    <t>Hausse par niveau</t>
  </si>
  <si>
    <t>Hausse par nationalité</t>
  </si>
  <si>
    <t>2026-2027</t>
  </si>
  <si>
    <t>2025-2026</t>
  </si>
  <si>
    <t>Hausse annuelle
(effectifs constants)</t>
  </si>
  <si>
    <r>
      <t xml:space="preserve">1er Trimestre
</t>
    </r>
    <r>
      <rPr>
        <b/>
        <sz val="11"/>
        <color rgb="FFC00000"/>
        <rFont val="Calibri"/>
        <family val="2"/>
      </rPr>
      <t>(TTC)</t>
    </r>
  </si>
  <si>
    <r>
      <t xml:space="preserve">2ème Trimestre
</t>
    </r>
    <r>
      <rPr>
        <b/>
        <sz val="11"/>
        <color rgb="FFC00000"/>
        <rFont val="Calibri"/>
        <family val="2"/>
      </rPr>
      <t>(TTC)</t>
    </r>
  </si>
  <si>
    <r>
      <t xml:space="preserve">3ème Trimestre
</t>
    </r>
    <r>
      <rPr>
        <b/>
        <sz val="11"/>
        <color rgb="FFC00000"/>
        <rFont val="Calibri"/>
        <family val="2"/>
      </rPr>
      <t>(TTC)</t>
    </r>
  </si>
  <si>
    <t>Nouvelle grille - Droits de scolarité - Année Scolaire 2026-2027</t>
  </si>
  <si>
    <t>Grille actuelle - Droits de scolarité - Année Scolaire 2025-2026</t>
  </si>
  <si>
    <t>Droits de scolarité - Hausse sur la nouvelle grille</t>
  </si>
  <si>
    <t>Droits de scolarité - Recettes SAR TTC 2026-2027 (effectifs constants)</t>
  </si>
  <si>
    <t>Droits de scolarité - Recettes SAR TTC 2025-2026 (effectifs constants)</t>
  </si>
  <si>
    <t xml:space="preserve">Droits de scolarité - Impact financier de la nouvelle grille </t>
  </si>
  <si>
    <r>
      <t xml:space="preserve">Recettes - Frais de Scolarité Annuels </t>
    </r>
    <r>
      <rPr>
        <b/>
        <sz val="12"/>
        <color rgb="FFC00000"/>
        <rFont val="Calibri"/>
        <family val="2"/>
        <scheme val="minor"/>
      </rPr>
      <t>(TTC)</t>
    </r>
    <r>
      <rPr>
        <b/>
        <sz val="12"/>
        <color theme="1"/>
        <rFont val="Calibri"/>
        <family val="2"/>
        <scheme val="minor"/>
      </rPr>
      <t xml:space="preserve"> hors DAI</t>
    </r>
  </si>
  <si>
    <t>Contrôle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</si>
</sst>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15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thin">
        <color rgb="FF000000"/>
      </right>
      <top style="thick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theme="1"/>
      </top>
      <bottom style="thin">
        <color rgb="FF000000"/>
      </bottom>
      <diagonal/>
    </border>
    <border>
      <left style="thin">
        <color rgb="FF000000"/>
      </left>
      <right style="thick">
        <color theme="1"/>
      </right>
      <top style="thick">
        <color theme="1"/>
      </top>
      <bottom style="thin">
        <color rgb="FF000000"/>
      </bottom>
      <diagonal/>
    </border>
    <border>
      <left style="thick">
        <color theme="1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/>
      </right>
      <top style="thin">
        <color rgb="FF000000"/>
      </top>
      <bottom style="thin">
        <color rgb="FF000000"/>
      </bottom>
      <diagonal/>
    </border>
    <border>
      <left style="thick">
        <color theme="1"/>
      </left>
      <right style="thin">
        <color rgb="FF000000"/>
      </right>
      <top/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/>
      </bottom>
      <diagonal/>
    </border>
    <border>
      <left style="thin">
        <color rgb="FF000000"/>
      </left>
      <right style="thick">
        <color theme="1"/>
      </right>
      <top style="thin">
        <color rgb="FF000000"/>
      </top>
      <bottom style="thick">
        <color theme="1"/>
      </bottom>
      <diagonal/>
    </border>
    <border>
      <left style="thick">
        <color theme="1"/>
      </left>
      <right style="thin">
        <color rgb="FF000000"/>
      </right>
      <top style="thick">
        <color theme="1"/>
      </top>
      <bottom style="thick">
        <color theme="1"/>
      </bottom>
      <diagonal/>
    </border>
    <border>
      <left/>
      <right style="thin">
        <color rgb="FF000000"/>
      </right>
      <top style="thick">
        <color theme="1"/>
      </top>
      <bottom style="thick">
        <color theme="1"/>
      </bottom>
      <diagonal/>
    </border>
    <border>
      <left style="thin">
        <color rgb="FF000000"/>
      </left>
      <right style="thin">
        <color rgb="FF000000"/>
      </right>
      <top style="thick">
        <color theme="1"/>
      </top>
      <bottom style="thick">
        <color theme="1"/>
      </bottom>
      <diagonal/>
    </border>
    <border>
      <left style="thin">
        <color rgb="FF00000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/>
      <diagonal/>
    </border>
    <border>
      <left style="thin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n">
        <color theme="1"/>
      </left>
      <right style="thick">
        <color theme="1"/>
      </right>
      <top/>
      <bottom/>
      <diagonal/>
    </border>
    <border>
      <left style="thick">
        <color theme="1"/>
      </left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 style="thin">
        <color theme="1"/>
      </bottom>
      <diagonal/>
    </border>
    <border>
      <left style="thick">
        <color auto="1"/>
      </left>
      <right style="thin">
        <color theme="1"/>
      </right>
      <top/>
      <bottom style="thick">
        <color auto="1"/>
      </bottom>
      <diagonal/>
    </border>
    <border>
      <left style="thin">
        <color theme="1"/>
      </left>
      <right style="thin">
        <color theme="1"/>
      </right>
      <top/>
      <bottom style="thick">
        <color auto="1"/>
      </bottom>
      <diagonal/>
    </border>
    <border>
      <left style="thin">
        <color theme="1"/>
      </left>
      <right style="thick">
        <color auto="1"/>
      </right>
      <top/>
      <bottom style="thick">
        <color auto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ck">
        <color theme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auto="1"/>
      </left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 style="thick">
        <color auto="1"/>
      </right>
      <top/>
      <bottom style="thick">
        <color theme="1"/>
      </bottom>
      <diagonal/>
    </border>
    <border>
      <left style="thick">
        <color auto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ck">
        <color auto="1"/>
      </right>
      <top style="thick">
        <color theme="1"/>
      </top>
      <bottom style="thin">
        <color theme="1"/>
      </bottom>
      <diagonal/>
    </border>
    <border>
      <left style="thick">
        <color auto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auto="1"/>
      </right>
      <top style="thin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4" fontId="2" fillId="3" borderId="3" xfId="1" applyNumberFormat="1" applyFont="1" applyFill="1" applyBorder="1" applyAlignment="1">
      <alignment horizontal="right" vertical="center" wrapText="1"/>
    </xf>
    <xf numFmtId="4" fontId="0" fillId="3" borderId="3" xfId="1" applyNumberFormat="1" applyFont="1" applyFill="1" applyBorder="1" applyAlignment="1">
      <alignment horizontal="right" vertical="center" wrapText="1"/>
    </xf>
    <xf numFmtId="4" fontId="3" fillId="3" borderId="4" xfId="1" applyNumberFormat="1" applyFont="1" applyFill="1" applyBorder="1" applyAlignment="1">
      <alignment horizontal="right" vertical="center" wrapText="1"/>
    </xf>
    <xf numFmtId="4" fontId="2" fillId="3" borderId="1" xfId="1" applyNumberFormat="1" applyFont="1" applyFill="1" applyBorder="1" applyAlignment="1">
      <alignment horizontal="right" vertical="center" wrapText="1"/>
    </xf>
    <xf numFmtId="4" fontId="2" fillId="4" borderId="1" xfId="1" applyNumberFormat="1" applyFont="1" applyFill="1" applyBorder="1" applyAlignment="1">
      <alignment horizontal="right" vertical="center" wrapText="1"/>
    </xf>
    <xf numFmtId="4" fontId="0" fillId="4" borderId="1" xfId="1" applyNumberFormat="1" applyFont="1" applyFill="1" applyBorder="1" applyAlignment="1">
      <alignment horizontal="right" vertical="center" wrapText="1"/>
    </xf>
    <xf numFmtId="4" fontId="3" fillId="4" borderId="6" xfId="1" applyNumberFormat="1" applyFont="1" applyFill="1" applyBorder="1" applyAlignment="1">
      <alignment horizontal="right" vertical="center" wrapText="1"/>
    </xf>
    <xf numFmtId="4" fontId="2" fillId="3" borderId="8" xfId="1" applyNumberFormat="1" applyFont="1" applyFill="1" applyBorder="1" applyAlignment="1">
      <alignment horizontal="right" vertical="center" wrapText="1"/>
    </xf>
    <xf numFmtId="4" fontId="2" fillId="4" borderId="8" xfId="1" applyNumberFormat="1" applyFont="1" applyFill="1" applyBorder="1" applyAlignment="1">
      <alignment horizontal="right" vertical="center" wrapText="1"/>
    </xf>
    <xf numFmtId="4" fontId="0" fillId="4" borderId="8" xfId="1" applyNumberFormat="1" applyFont="1" applyFill="1" applyBorder="1" applyAlignment="1">
      <alignment horizontal="right" vertical="center" wrapText="1"/>
    </xf>
    <xf numFmtId="4" fontId="3" fillId="4" borderId="9" xfId="1" applyNumberFormat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3" borderId="18" xfId="1" applyNumberFormat="1" applyFont="1" applyFill="1" applyBorder="1" applyAlignment="1">
      <alignment vertical="center" wrapText="1"/>
    </xf>
    <xf numFmtId="4" fontId="0" fillId="6" borderId="19" xfId="1" applyNumberFormat="1" applyFont="1" applyFill="1" applyBorder="1" applyAlignment="1">
      <alignment vertical="center" wrapText="1"/>
    </xf>
    <xf numFmtId="4" fontId="0" fillId="6" borderId="20" xfId="1" applyNumberFormat="1" applyFont="1" applyFill="1" applyBorder="1" applyAlignment="1">
      <alignment vertical="center" wrapText="1"/>
    </xf>
    <xf numFmtId="4" fontId="0" fillId="6" borderId="21" xfId="1" applyNumberFormat="1" applyFont="1" applyFill="1" applyBorder="1" applyAlignment="1">
      <alignment vertical="center" wrapText="1"/>
    </xf>
    <xf numFmtId="4" fontId="0" fillId="3" borderId="19" xfId="1" applyNumberFormat="1" applyFont="1" applyFill="1" applyBorder="1" applyAlignment="1">
      <alignment vertical="center" wrapText="1"/>
    </xf>
    <xf numFmtId="4" fontId="0" fillId="3" borderId="20" xfId="1" applyNumberFormat="1" applyFont="1" applyFill="1" applyBorder="1" applyAlignment="1">
      <alignment vertical="center" wrapText="1"/>
    </xf>
    <xf numFmtId="164" fontId="0" fillId="3" borderId="18" xfId="1" applyNumberFormat="1" applyFont="1" applyFill="1" applyBorder="1" applyAlignment="1">
      <alignment vertical="center" wrapText="1"/>
    </xf>
    <xf numFmtId="164" fontId="0" fillId="3" borderId="19" xfId="1" applyNumberFormat="1" applyFont="1" applyFill="1" applyBorder="1" applyAlignment="1">
      <alignment vertical="center" wrapText="1"/>
    </xf>
    <xf numFmtId="164" fontId="0" fillId="3" borderId="20" xfId="1" applyNumberFormat="1" applyFont="1" applyFill="1" applyBorder="1" applyAlignment="1">
      <alignment vertical="center" wrapText="1"/>
    </xf>
    <xf numFmtId="0" fontId="2" fillId="4" borderId="17" xfId="0" applyFont="1" applyFill="1" applyBorder="1" applyAlignment="1">
      <alignment horizontal="center" vertical="center" wrapText="1"/>
    </xf>
    <xf numFmtId="164" fontId="0" fillId="4" borderId="19" xfId="1" applyNumberFormat="1" applyFont="1" applyFill="1" applyBorder="1" applyAlignment="1">
      <alignment vertical="center" wrapText="1"/>
    </xf>
    <xf numFmtId="164" fontId="0" fillId="4" borderId="20" xfId="1" applyNumberFormat="1" applyFont="1" applyFill="1" applyBorder="1" applyAlignment="1">
      <alignment vertical="center" wrapText="1"/>
    </xf>
    <xf numFmtId="164" fontId="0" fillId="4" borderId="21" xfId="1" applyNumberFormat="1" applyFont="1" applyFill="1" applyBorder="1" applyAlignment="1">
      <alignment vertical="center" wrapText="1"/>
    </xf>
    <xf numFmtId="164" fontId="2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4" fontId="0" fillId="3" borderId="30" xfId="1" applyNumberFormat="1" applyFont="1" applyFill="1" applyBorder="1" applyAlignment="1">
      <alignment vertical="center" wrapText="1"/>
    </xf>
    <xf numFmtId="4" fontId="0" fillId="3" borderId="31" xfId="1" applyNumberFormat="1" applyFont="1" applyFill="1" applyBorder="1" applyAlignment="1">
      <alignment vertical="center" wrapText="1"/>
    </xf>
    <xf numFmtId="4" fontId="0" fillId="3" borderId="36" xfId="1" applyNumberFormat="1" applyFont="1" applyFill="1" applyBorder="1" applyAlignment="1">
      <alignment vertical="center" wrapText="1"/>
    </xf>
    <xf numFmtId="4" fontId="0" fillId="3" borderId="37" xfId="1" applyNumberFormat="1" applyFont="1" applyFill="1" applyBorder="1" applyAlignment="1">
      <alignment vertical="center" wrapText="1"/>
    </xf>
    <xf numFmtId="4" fontId="2" fillId="0" borderId="33" xfId="0" applyNumberFormat="1" applyFont="1" applyBorder="1" applyAlignment="1">
      <alignment vertical="center" wrapText="1"/>
    </xf>
    <xf numFmtId="4" fontId="2" fillId="0" borderId="34" xfId="0" applyNumberFormat="1" applyFont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wrapText="1"/>
    </xf>
    <xf numFmtId="164" fontId="2" fillId="4" borderId="16" xfId="0" applyNumberFormat="1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4" fontId="0" fillId="3" borderId="47" xfId="1" applyNumberFormat="1" applyFont="1" applyFill="1" applyBorder="1" applyAlignment="1">
      <alignment vertical="center" wrapText="1"/>
    </xf>
    <xf numFmtId="4" fontId="0" fillId="3" borderId="48" xfId="1" applyNumberFormat="1" applyFont="1" applyFill="1" applyBorder="1" applyAlignment="1">
      <alignment vertical="center" wrapText="1"/>
    </xf>
    <xf numFmtId="4" fontId="0" fillId="3" borderId="32" xfId="1" applyNumberFormat="1" applyFont="1" applyFill="1" applyBorder="1" applyAlignment="1">
      <alignment vertical="center" wrapText="1"/>
    </xf>
    <xf numFmtId="4" fontId="0" fillId="3" borderId="49" xfId="1" applyNumberFormat="1" applyFont="1" applyFill="1" applyBorder="1" applyAlignment="1">
      <alignment vertical="center" wrapText="1"/>
    </xf>
    <xf numFmtId="4" fontId="0" fillId="3" borderId="50" xfId="1" applyNumberFormat="1" applyFont="1" applyFill="1" applyBorder="1" applyAlignment="1">
      <alignment vertical="center" wrapText="1"/>
    </xf>
    <xf numFmtId="4" fontId="2" fillId="0" borderId="35" xfId="0" applyNumberFormat="1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37" fontId="2" fillId="0" borderId="4" xfId="1" applyNumberFormat="1" applyFont="1" applyBorder="1" applyAlignment="1">
      <alignment horizontal="right" vertical="center" wrapText="1"/>
    </xf>
    <xf numFmtId="37" fontId="2" fillId="0" borderId="6" xfId="1" applyNumberFormat="1" applyFont="1" applyBorder="1" applyAlignment="1">
      <alignment horizontal="right" vertical="center" wrapText="1"/>
    </xf>
    <xf numFmtId="0" fontId="0" fillId="0" borderId="8" xfId="0" applyBorder="1" applyAlignment="1">
      <alignment horizontal="left" vertical="center" wrapText="1"/>
    </xf>
    <xf numFmtId="37" fontId="2" fillId="0" borderId="9" xfId="1" applyNumberFormat="1" applyFont="1" applyBorder="1" applyAlignment="1">
      <alignment horizontal="right" vertical="center" wrapText="1"/>
    </xf>
    <xf numFmtId="0" fontId="2" fillId="0" borderId="14" xfId="0" applyFont="1" applyBorder="1" applyAlignment="1">
      <alignment vertical="center" wrapText="1"/>
    </xf>
    <xf numFmtId="37" fontId="2" fillId="0" borderId="51" xfId="0" applyNumberFormat="1" applyFont="1" applyBorder="1" applyAlignment="1">
      <alignment horizontal="right" vertical="center" wrapText="1"/>
    </xf>
    <xf numFmtId="165" fontId="0" fillId="0" borderId="0" xfId="0" applyNumberFormat="1" applyAlignment="1">
      <alignment vertical="center" wrapText="1"/>
    </xf>
    <xf numFmtId="165" fontId="2" fillId="8" borderId="28" xfId="0" applyNumberFormat="1" applyFont="1" applyFill="1" applyBorder="1" applyAlignment="1">
      <alignment horizontal="center" vertical="center" wrapText="1"/>
    </xf>
    <xf numFmtId="165" fontId="2" fillId="8" borderId="29" xfId="0" applyNumberFormat="1" applyFont="1" applyFill="1" applyBorder="1" applyAlignment="1">
      <alignment horizontal="center" vertical="center" wrapText="1"/>
    </xf>
    <xf numFmtId="165" fontId="0" fillId="9" borderId="22" xfId="1" applyNumberFormat="1" applyFont="1" applyFill="1" applyBorder="1" applyAlignment="1">
      <alignment vertical="center" wrapText="1"/>
    </xf>
    <xf numFmtId="165" fontId="0" fillId="9" borderId="23" xfId="1" applyNumberFormat="1" applyFont="1" applyFill="1" applyBorder="1" applyAlignment="1">
      <alignment vertical="center" wrapText="1"/>
    </xf>
    <xf numFmtId="165" fontId="0" fillId="9" borderId="24" xfId="1" applyNumberFormat="1" applyFont="1" applyFill="1" applyBorder="1" applyAlignment="1">
      <alignment vertical="center" wrapText="1"/>
    </xf>
    <xf numFmtId="165" fontId="0" fillId="9" borderId="25" xfId="1" applyNumberFormat="1" applyFont="1" applyFill="1" applyBorder="1" applyAlignment="1">
      <alignment vertical="center" wrapText="1"/>
    </xf>
    <xf numFmtId="165" fontId="0" fillId="9" borderId="26" xfId="1" applyNumberFormat="1" applyFont="1" applyFill="1" applyBorder="1" applyAlignment="1">
      <alignment vertical="center" wrapText="1"/>
    </xf>
    <xf numFmtId="165" fontId="0" fillId="9" borderId="27" xfId="1" applyNumberFormat="1" applyFont="1" applyFill="1" applyBorder="1" applyAlignment="1">
      <alignment vertical="center" wrapText="1"/>
    </xf>
    <xf numFmtId="164" fontId="0" fillId="4" borderId="21" xfId="2" applyNumberFormat="1" applyFont="1" applyFill="1" applyBorder="1" applyAlignment="1">
      <alignment vertical="center" wrapText="1"/>
    </xf>
    <xf numFmtId="165" fontId="6" fillId="7" borderId="14" xfId="0" applyNumberFormat="1" applyFont="1" applyFill="1" applyBorder="1" applyAlignment="1">
      <alignment horizontal="center" vertical="center" wrapText="1"/>
    </xf>
    <xf numFmtId="165" fontId="6" fillId="7" borderId="16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5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 wrapText="1"/>
    </xf>
    <xf numFmtId="0" fontId="6" fillId="11" borderId="39" xfId="0" applyFont="1" applyFill="1" applyBorder="1" applyAlignment="1">
      <alignment horizontal="center" vertical="center" wrapText="1"/>
    </xf>
    <xf numFmtId="0" fontId="6" fillId="11" borderId="40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9" fontId="0" fillId="4" borderId="42" xfId="2" applyFont="1" applyFill="1" applyBorder="1" applyAlignment="1">
      <alignment vertical="center" wrapText="1"/>
    </xf>
    <xf numFmtId="9" fontId="0" fillId="4" borderId="43" xfId="2" applyFont="1" applyFill="1" applyBorder="1" applyAlignment="1">
      <alignment vertical="center" wrapText="1"/>
    </xf>
    <xf numFmtId="9" fontId="0" fillId="4" borderId="44" xfId="2" applyFont="1" applyFill="1" applyBorder="1" applyAlignment="1">
      <alignment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164" fontId="0" fillId="4" borderId="42" xfId="2" applyNumberFormat="1" applyFont="1" applyFill="1" applyBorder="1" applyAlignment="1">
      <alignment vertical="center" wrapText="1"/>
    </xf>
    <xf numFmtId="164" fontId="0" fillId="4" borderId="43" xfId="2" applyNumberFormat="1" applyFont="1" applyFill="1" applyBorder="1" applyAlignment="1">
      <alignment vertical="center" wrapText="1"/>
    </xf>
    <xf numFmtId="164" fontId="0" fillId="4" borderId="44" xfId="2" applyNumberFormat="1" applyFont="1" applyFill="1" applyBorder="1" applyAlignment="1">
      <alignment vertical="center" wrapText="1"/>
    </xf>
    <xf numFmtId="164" fontId="0" fillId="4" borderId="42" xfId="1" applyNumberFormat="1" applyFont="1" applyFill="1" applyBorder="1" applyAlignment="1">
      <alignment vertical="center" wrapText="1"/>
    </xf>
    <xf numFmtId="164" fontId="0" fillId="4" borderId="43" xfId="0" applyNumberFormat="1" applyFill="1" applyBorder="1" applyAlignment="1">
      <alignment vertical="center" wrapText="1"/>
    </xf>
    <xf numFmtId="164" fontId="0" fillId="4" borderId="44" xfId="0" applyNumberFormat="1" applyFill="1" applyBorder="1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031F-ED43-4C05-BAFA-DD4859CA70A8}">
  <dimension ref="A1:U133"/>
  <sheetViews>
    <sheetView showGridLines="0" tabSelected="1" zoomScale="85" zoomScaleNormal="85" workbookViewId="0">
      <selection activeCell="E9" sqref="E9"/>
    </sheetView>
  </sheetViews>
  <sheetFormatPr baseColWidth="10" defaultColWidth="9.1640625" defaultRowHeight="15" x14ac:dyDescent="0.2"/>
  <cols>
    <col min="1" max="1" width="3.6640625" style="21" customWidth="1"/>
    <col min="2" max="2" width="16.5" style="21" bestFit="1" customWidth="1"/>
    <col min="3" max="3" width="33.1640625" style="21" bestFit="1" customWidth="1"/>
    <col min="4" max="4" width="20.33203125" style="21" bestFit="1" customWidth="1"/>
    <col min="5" max="5" width="26.6640625" style="21" bestFit="1" customWidth="1"/>
    <col min="6" max="6" width="16.6640625" style="21" bestFit="1" customWidth="1"/>
    <col min="7" max="8" width="18.6640625" style="21" bestFit="1" customWidth="1"/>
    <col min="9" max="9" width="14.83203125" style="21" bestFit="1" customWidth="1"/>
    <col min="10" max="10" width="3.6640625" style="21" customWidth="1"/>
    <col min="11" max="11" width="11.83203125" style="2" bestFit="1" customWidth="1"/>
    <col min="12" max="12" width="11.5" style="2" customWidth="1"/>
    <col min="13" max="13" width="3.6640625" style="21" customWidth="1"/>
    <col min="14" max="15" width="14.33203125" style="2" customWidth="1"/>
    <col min="16" max="16" width="22.1640625" style="2" customWidth="1"/>
    <col min="17" max="17" width="15.1640625" style="36" customWidth="1"/>
    <col min="18" max="18" width="3.6640625" style="21" customWidth="1"/>
    <col min="19" max="19" width="19.6640625" style="61" bestFit="1" customWidth="1"/>
    <col min="20" max="20" width="14.83203125" style="61" bestFit="1" customWidth="1"/>
    <col min="21" max="21" width="3.6640625" style="21" customWidth="1"/>
    <col min="22" max="16384" width="9.1640625" style="21"/>
  </cols>
  <sheetData>
    <row r="1" spans="1:21" ht="16" thickBot="1" x14ac:dyDescent="0.25"/>
    <row r="2" spans="1:21" ht="22" thickTop="1" thickBot="1" x14ac:dyDescent="0.25">
      <c r="B2" s="73" t="s">
        <v>26</v>
      </c>
      <c r="C2" s="74"/>
      <c r="D2" s="74"/>
      <c r="E2" s="74"/>
      <c r="F2" s="74"/>
      <c r="G2" s="74"/>
      <c r="H2" s="74"/>
      <c r="I2" s="75"/>
      <c r="K2" s="21"/>
      <c r="L2" s="21"/>
      <c r="N2" s="76" t="s">
        <v>32</v>
      </c>
      <c r="O2" s="77"/>
      <c r="P2" s="78"/>
      <c r="Q2" s="37"/>
      <c r="S2" s="71" t="s">
        <v>33</v>
      </c>
      <c r="T2" s="72"/>
    </row>
    <row r="3" spans="1:21" ht="50" thickTop="1" thickBot="1" x14ac:dyDescent="0.25">
      <c r="B3" s="79" t="s">
        <v>9</v>
      </c>
      <c r="C3" s="80"/>
      <c r="D3" s="6" t="s">
        <v>10</v>
      </c>
      <c r="E3" s="6" t="s">
        <v>11</v>
      </c>
      <c r="F3" s="6" t="s">
        <v>23</v>
      </c>
      <c r="G3" s="6" t="s">
        <v>24</v>
      </c>
      <c r="H3" s="6" t="s">
        <v>25</v>
      </c>
      <c r="I3" s="7" t="s">
        <v>12</v>
      </c>
      <c r="K3" s="8" t="s">
        <v>17</v>
      </c>
      <c r="L3" s="32" t="s">
        <v>18</v>
      </c>
      <c r="N3" s="46" t="s">
        <v>20</v>
      </c>
      <c r="O3" s="44" t="s">
        <v>21</v>
      </c>
      <c r="P3" s="47" t="s">
        <v>22</v>
      </c>
      <c r="Q3" s="45" t="s">
        <v>19</v>
      </c>
      <c r="S3" s="62" t="s">
        <v>16</v>
      </c>
      <c r="T3" s="63" t="s">
        <v>15</v>
      </c>
    </row>
    <row r="4" spans="1:21" ht="17" thickTop="1" x14ac:dyDescent="0.2">
      <c r="A4" s="22"/>
      <c r="B4" s="81" t="s">
        <v>0</v>
      </c>
      <c r="C4" s="5" t="s">
        <v>1</v>
      </c>
      <c r="D4" s="9">
        <v>5000</v>
      </c>
      <c r="E4" s="9">
        <f>I4-D4</f>
        <v>30000</v>
      </c>
      <c r="F4" s="10">
        <f>E4*40%</f>
        <v>12000</v>
      </c>
      <c r="G4" s="10">
        <f>E4*30%</f>
        <v>9000</v>
      </c>
      <c r="H4" s="10">
        <f>E4*30%</f>
        <v>9000</v>
      </c>
      <c r="I4" s="11">
        <f t="shared" ref="I4:I18" si="0">I23+K4</f>
        <v>35000</v>
      </c>
      <c r="J4" s="22"/>
      <c r="K4" s="23">
        <v>0</v>
      </c>
      <c r="L4" s="29">
        <f t="shared" ref="L4:L18" si="1">I4/I23-1</f>
        <v>0</v>
      </c>
      <c r="M4" s="22"/>
      <c r="N4" s="48">
        <f>E61</f>
        <v>690000</v>
      </c>
      <c r="O4" s="40">
        <f t="shared" ref="O4:O18" si="2">E80</f>
        <v>690000</v>
      </c>
      <c r="P4" s="49">
        <f>N4-O4</f>
        <v>0</v>
      </c>
      <c r="Q4" s="84">
        <f>SUM(N4:N8)/SUM(O4:O8)-1</f>
        <v>4.7825978621084841E-2</v>
      </c>
      <c r="R4" s="22"/>
      <c r="S4" s="64">
        <f t="shared" ref="S4:S18" si="3">SUM(F4:H4)-E4</f>
        <v>0</v>
      </c>
      <c r="T4" s="65">
        <f t="shared" ref="T4:T18" si="4">I4-(E4+D4)</f>
        <v>0</v>
      </c>
      <c r="U4" s="22"/>
    </row>
    <row r="5" spans="1:21" ht="16" x14ac:dyDescent="0.2">
      <c r="A5" s="22"/>
      <c r="B5" s="82"/>
      <c r="C5" s="3" t="s">
        <v>2</v>
      </c>
      <c r="D5" s="12">
        <v>5000</v>
      </c>
      <c r="E5" s="13">
        <f t="shared" ref="E5:E18" si="5">I5-D5</f>
        <v>35500</v>
      </c>
      <c r="F5" s="14">
        <f t="shared" ref="F5:F18" si="6">E5*40%</f>
        <v>14200</v>
      </c>
      <c r="G5" s="14">
        <f t="shared" ref="G5:G18" si="7">E5*30%</f>
        <v>10650</v>
      </c>
      <c r="H5" s="14">
        <f t="shared" ref="H5:H18" si="8">E5*30%</f>
        <v>10650</v>
      </c>
      <c r="I5" s="15">
        <f t="shared" si="0"/>
        <v>40500</v>
      </c>
      <c r="J5" s="22"/>
      <c r="K5" s="24">
        <v>1000</v>
      </c>
      <c r="L5" s="33">
        <f t="shared" si="1"/>
        <v>2.5316455696202445E-2</v>
      </c>
      <c r="M5" s="22"/>
      <c r="N5" s="38">
        <f t="shared" ref="N5:N18" si="9">E62</f>
        <v>2414000</v>
      </c>
      <c r="O5" s="39">
        <f t="shared" si="2"/>
        <v>2346000</v>
      </c>
      <c r="P5" s="50">
        <f t="shared" ref="P5:P19" si="10">N5-O5</f>
        <v>68000</v>
      </c>
      <c r="Q5" s="85"/>
      <c r="R5" s="22"/>
      <c r="S5" s="66">
        <f t="shared" si="3"/>
        <v>0</v>
      </c>
      <c r="T5" s="67">
        <f t="shared" si="4"/>
        <v>0</v>
      </c>
      <c r="U5" s="22"/>
    </row>
    <row r="6" spans="1:21" ht="16" x14ac:dyDescent="0.2">
      <c r="A6" s="22"/>
      <c r="B6" s="82"/>
      <c r="C6" s="3" t="s">
        <v>3</v>
      </c>
      <c r="D6" s="12">
        <v>5000</v>
      </c>
      <c r="E6" s="13">
        <f t="shared" si="5"/>
        <v>36000</v>
      </c>
      <c r="F6" s="14">
        <f t="shared" si="6"/>
        <v>14400</v>
      </c>
      <c r="G6" s="14">
        <f t="shared" si="7"/>
        <v>10800</v>
      </c>
      <c r="H6" s="14">
        <f t="shared" si="8"/>
        <v>10800</v>
      </c>
      <c r="I6" s="15">
        <f t="shared" si="0"/>
        <v>41000</v>
      </c>
      <c r="J6" s="22"/>
      <c r="K6" s="24">
        <v>1500</v>
      </c>
      <c r="L6" s="33">
        <f t="shared" si="1"/>
        <v>3.7974683544303778E-2</v>
      </c>
      <c r="M6" s="22"/>
      <c r="N6" s="38">
        <f t="shared" si="9"/>
        <v>7416000</v>
      </c>
      <c r="O6" s="39">
        <f t="shared" si="2"/>
        <v>7107000</v>
      </c>
      <c r="P6" s="50">
        <f t="shared" si="10"/>
        <v>309000</v>
      </c>
      <c r="Q6" s="85"/>
      <c r="R6" s="22"/>
      <c r="S6" s="66">
        <f t="shared" si="3"/>
        <v>0</v>
      </c>
      <c r="T6" s="67">
        <f t="shared" si="4"/>
        <v>0</v>
      </c>
      <c r="U6" s="22"/>
    </row>
    <row r="7" spans="1:21" ht="16" x14ac:dyDescent="0.2">
      <c r="A7" s="22"/>
      <c r="B7" s="82"/>
      <c r="C7" s="3" t="s">
        <v>4</v>
      </c>
      <c r="D7" s="12">
        <v>5000</v>
      </c>
      <c r="E7" s="13">
        <f t="shared" si="5"/>
        <v>36500</v>
      </c>
      <c r="F7" s="14">
        <f t="shared" si="6"/>
        <v>14600</v>
      </c>
      <c r="G7" s="14">
        <f t="shared" si="7"/>
        <v>10950</v>
      </c>
      <c r="H7" s="14">
        <f t="shared" si="8"/>
        <v>10950</v>
      </c>
      <c r="I7" s="15">
        <f t="shared" si="0"/>
        <v>41500</v>
      </c>
      <c r="J7" s="22"/>
      <c r="K7" s="24">
        <v>2000</v>
      </c>
      <c r="L7" s="33">
        <f t="shared" si="1"/>
        <v>5.0632911392405111E-2</v>
      </c>
      <c r="M7" s="22"/>
      <c r="N7" s="38">
        <f t="shared" si="9"/>
        <v>6059000</v>
      </c>
      <c r="O7" s="39">
        <f t="shared" si="2"/>
        <v>5727000</v>
      </c>
      <c r="P7" s="50">
        <f t="shared" si="10"/>
        <v>332000</v>
      </c>
      <c r="Q7" s="85"/>
      <c r="R7" s="22"/>
      <c r="S7" s="66">
        <f t="shared" si="3"/>
        <v>0</v>
      </c>
      <c r="T7" s="67">
        <f t="shared" si="4"/>
        <v>0</v>
      </c>
      <c r="U7" s="22"/>
    </row>
    <row r="8" spans="1:21" ht="17" thickBot="1" x14ac:dyDescent="0.25">
      <c r="A8" s="22"/>
      <c r="B8" s="83"/>
      <c r="C8" s="4" t="s">
        <v>8</v>
      </c>
      <c r="D8" s="16">
        <v>5000</v>
      </c>
      <c r="E8" s="17">
        <f t="shared" si="5"/>
        <v>40800</v>
      </c>
      <c r="F8" s="18">
        <f t="shared" si="6"/>
        <v>16320</v>
      </c>
      <c r="G8" s="18">
        <f t="shared" si="7"/>
        <v>12240</v>
      </c>
      <c r="H8" s="18">
        <f t="shared" si="8"/>
        <v>12240</v>
      </c>
      <c r="I8" s="19">
        <f t="shared" si="0"/>
        <v>45800</v>
      </c>
      <c r="J8" s="22"/>
      <c r="K8" s="25">
        <v>2300</v>
      </c>
      <c r="L8" s="34">
        <f t="shared" si="1"/>
        <v>5.2873563218390762E-2</v>
      </c>
      <c r="M8" s="22"/>
      <c r="N8" s="51">
        <f t="shared" si="9"/>
        <v>4447200</v>
      </c>
      <c r="O8" s="41">
        <f t="shared" si="2"/>
        <v>4196500</v>
      </c>
      <c r="P8" s="52">
        <f t="shared" si="10"/>
        <v>250700</v>
      </c>
      <c r="Q8" s="86"/>
      <c r="R8" s="22"/>
      <c r="S8" s="68">
        <f t="shared" si="3"/>
        <v>0</v>
      </c>
      <c r="T8" s="69">
        <f t="shared" si="4"/>
        <v>0</v>
      </c>
      <c r="U8" s="22"/>
    </row>
    <row r="9" spans="1:21" ht="17" thickTop="1" x14ac:dyDescent="0.2">
      <c r="A9" s="22"/>
      <c r="B9" s="81" t="s">
        <v>5</v>
      </c>
      <c r="C9" s="5" t="s">
        <v>1</v>
      </c>
      <c r="D9" s="9">
        <v>4350</v>
      </c>
      <c r="E9" s="9">
        <f>I9-D9</f>
        <v>34783</v>
      </c>
      <c r="F9" s="10">
        <f>ROUNDDOWN(E9*40%,0)</f>
        <v>13913</v>
      </c>
      <c r="G9" s="10">
        <f>ROUNDUP(E9*30%,0)</f>
        <v>10435</v>
      </c>
      <c r="H9" s="10">
        <f>E9-SUM(F9:G9)</f>
        <v>10435</v>
      </c>
      <c r="I9" s="11">
        <f t="shared" si="0"/>
        <v>39133</v>
      </c>
      <c r="J9" s="22"/>
      <c r="K9" s="23">
        <v>0</v>
      </c>
      <c r="L9" s="29">
        <f t="shared" ref="L9:L13" si="11">I9/I28-1</f>
        <v>0</v>
      </c>
      <c r="M9" s="22"/>
      <c r="N9" s="48">
        <f t="shared" si="9"/>
        <v>69566</v>
      </c>
      <c r="O9" s="40">
        <f t="shared" si="2"/>
        <v>69566</v>
      </c>
      <c r="P9" s="49">
        <f t="shared" si="10"/>
        <v>0</v>
      </c>
      <c r="Q9" s="84">
        <f>SUM(N9:N13)/SUM(O9:O13)-1</f>
        <v>2.6010765979899819E-2</v>
      </c>
      <c r="R9" s="22"/>
      <c r="S9" s="64">
        <f t="shared" si="3"/>
        <v>0</v>
      </c>
      <c r="T9" s="65">
        <f t="shared" si="4"/>
        <v>0</v>
      </c>
      <c r="U9" s="22"/>
    </row>
    <row r="10" spans="1:21" ht="16" x14ac:dyDescent="0.2">
      <c r="A10" s="22"/>
      <c r="B10" s="82"/>
      <c r="C10" s="3" t="s">
        <v>2</v>
      </c>
      <c r="D10" s="12">
        <v>4350</v>
      </c>
      <c r="E10" s="13">
        <f t="shared" si="5"/>
        <v>36650</v>
      </c>
      <c r="F10" s="14">
        <f t="shared" ref="F10:F13" si="12">ROUNDDOWN(E10*40%,0)</f>
        <v>14660</v>
      </c>
      <c r="G10" s="14">
        <f t="shared" ref="G10:G13" si="13">ROUNDUP(E10*30%,0)</f>
        <v>10995</v>
      </c>
      <c r="H10" s="14">
        <f t="shared" ref="H10:H13" si="14">E10-SUM(F10:G10)</f>
        <v>10995</v>
      </c>
      <c r="I10" s="15">
        <f t="shared" si="0"/>
        <v>41000</v>
      </c>
      <c r="J10" s="22"/>
      <c r="K10" s="24">
        <f>K15</f>
        <v>1000</v>
      </c>
      <c r="L10" s="33">
        <f t="shared" si="11"/>
        <v>2.4999999999999911E-2</v>
      </c>
      <c r="M10" s="22"/>
      <c r="N10" s="38">
        <f t="shared" si="9"/>
        <v>183250</v>
      </c>
      <c r="O10" s="39">
        <f t="shared" si="2"/>
        <v>178250</v>
      </c>
      <c r="P10" s="50">
        <f t="shared" si="10"/>
        <v>5000</v>
      </c>
      <c r="Q10" s="85"/>
      <c r="R10" s="22"/>
      <c r="S10" s="66">
        <f t="shared" si="3"/>
        <v>0</v>
      </c>
      <c r="T10" s="67">
        <f t="shared" si="4"/>
        <v>0</v>
      </c>
      <c r="U10" s="22"/>
    </row>
    <row r="11" spans="1:21" ht="16" x14ac:dyDescent="0.2">
      <c r="A11" s="22"/>
      <c r="B11" s="82"/>
      <c r="C11" s="3" t="s">
        <v>3</v>
      </c>
      <c r="D11" s="12">
        <v>4350</v>
      </c>
      <c r="E11" s="13">
        <f t="shared" si="5"/>
        <v>36650</v>
      </c>
      <c r="F11" s="14">
        <f t="shared" si="12"/>
        <v>14660</v>
      </c>
      <c r="G11" s="14">
        <f t="shared" si="13"/>
        <v>10995</v>
      </c>
      <c r="H11" s="14">
        <f t="shared" si="14"/>
        <v>10995</v>
      </c>
      <c r="I11" s="15">
        <f t="shared" si="0"/>
        <v>41000</v>
      </c>
      <c r="J11" s="22"/>
      <c r="K11" s="24">
        <f>K16</f>
        <v>1000</v>
      </c>
      <c r="L11" s="33">
        <f t="shared" si="11"/>
        <v>2.4999999999999911E-2</v>
      </c>
      <c r="M11" s="22"/>
      <c r="N11" s="38">
        <f t="shared" si="9"/>
        <v>549750</v>
      </c>
      <c r="O11" s="39">
        <f t="shared" si="2"/>
        <v>534750</v>
      </c>
      <c r="P11" s="50">
        <f t="shared" si="10"/>
        <v>15000</v>
      </c>
      <c r="Q11" s="85"/>
      <c r="R11" s="22"/>
      <c r="S11" s="66">
        <f t="shared" si="3"/>
        <v>0</v>
      </c>
      <c r="T11" s="67">
        <f t="shared" si="4"/>
        <v>0</v>
      </c>
      <c r="U11" s="22"/>
    </row>
    <row r="12" spans="1:21" ht="16" x14ac:dyDescent="0.2">
      <c r="A12" s="22"/>
      <c r="B12" s="82"/>
      <c r="C12" s="3" t="s">
        <v>4</v>
      </c>
      <c r="D12" s="12">
        <v>4350</v>
      </c>
      <c r="E12" s="13">
        <f t="shared" si="5"/>
        <v>36650</v>
      </c>
      <c r="F12" s="14">
        <f t="shared" si="12"/>
        <v>14660</v>
      </c>
      <c r="G12" s="14">
        <f t="shared" si="13"/>
        <v>10995</v>
      </c>
      <c r="H12" s="14">
        <f t="shared" si="14"/>
        <v>10995</v>
      </c>
      <c r="I12" s="15">
        <f t="shared" si="0"/>
        <v>41000</v>
      </c>
      <c r="J12" s="22"/>
      <c r="K12" s="24">
        <v>1000</v>
      </c>
      <c r="L12" s="33">
        <f t="shared" si="11"/>
        <v>2.4999999999999911E-2</v>
      </c>
      <c r="M12" s="22"/>
      <c r="N12" s="38">
        <f t="shared" si="9"/>
        <v>403150</v>
      </c>
      <c r="O12" s="39">
        <f t="shared" si="2"/>
        <v>392150</v>
      </c>
      <c r="P12" s="50">
        <f t="shared" si="10"/>
        <v>11000</v>
      </c>
      <c r="Q12" s="85"/>
      <c r="R12" s="22"/>
      <c r="S12" s="66">
        <f t="shared" si="3"/>
        <v>0</v>
      </c>
      <c r="T12" s="67">
        <f t="shared" si="4"/>
        <v>0</v>
      </c>
      <c r="U12" s="22"/>
    </row>
    <row r="13" spans="1:21" ht="17" thickBot="1" x14ac:dyDescent="0.25">
      <c r="A13" s="22"/>
      <c r="B13" s="83"/>
      <c r="C13" s="4" t="s">
        <v>8</v>
      </c>
      <c r="D13" s="16">
        <v>4350</v>
      </c>
      <c r="E13" s="17">
        <f t="shared" si="5"/>
        <v>41000</v>
      </c>
      <c r="F13" s="18">
        <f t="shared" si="12"/>
        <v>16400</v>
      </c>
      <c r="G13" s="18">
        <f t="shared" si="13"/>
        <v>12300</v>
      </c>
      <c r="H13" s="18">
        <f t="shared" si="14"/>
        <v>12300</v>
      </c>
      <c r="I13" s="19">
        <f t="shared" si="0"/>
        <v>45350</v>
      </c>
      <c r="J13" s="22"/>
      <c r="K13" s="25">
        <v>1000</v>
      </c>
      <c r="L13" s="34">
        <f t="shared" si="11"/>
        <v>2.2547914317925688E-2</v>
      </c>
      <c r="M13" s="22"/>
      <c r="N13" s="51">
        <f t="shared" si="9"/>
        <v>451000</v>
      </c>
      <c r="O13" s="41">
        <f t="shared" si="2"/>
        <v>440000</v>
      </c>
      <c r="P13" s="52">
        <f t="shared" si="10"/>
        <v>11000</v>
      </c>
      <c r="Q13" s="86"/>
      <c r="R13" s="22"/>
      <c r="S13" s="68">
        <f t="shared" si="3"/>
        <v>0</v>
      </c>
      <c r="T13" s="69">
        <f t="shared" si="4"/>
        <v>0</v>
      </c>
      <c r="U13" s="22"/>
    </row>
    <row r="14" spans="1:21" ht="17" thickTop="1" x14ac:dyDescent="0.2">
      <c r="A14" s="22"/>
      <c r="B14" s="81" t="s">
        <v>6</v>
      </c>
      <c r="C14" s="5" t="s">
        <v>1</v>
      </c>
      <c r="D14" s="9">
        <v>5000</v>
      </c>
      <c r="E14" s="9">
        <f t="shared" si="5"/>
        <v>40000</v>
      </c>
      <c r="F14" s="10">
        <f t="shared" si="6"/>
        <v>16000</v>
      </c>
      <c r="G14" s="10">
        <f t="shared" si="7"/>
        <v>12000</v>
      </c>
      <c r="H14" s="10">
        <f t="shared" si="8"/>
        <v>12000</v>
      </c>
      <c r="I14" s="11">
        <f t="shared" si="0"/>
        <v>45000</v>
      </c>
      <c r="J14" s="22"/>
      <c r="K14" s="23">
        <v>0</v>
      </c>
      <c r="L14" s="29">
        <f t="shared" si="1"/>
        <v>0</v>
      </c>
      <c r="M14" s="22"/>
      <c r="N14" s="48">
        <f t="shared" si="9"/>
        <v>1600000</v>
      </c>
      <c r="O14" s="40">
        <f t="shared" si="2"/>
        <v>1600000</v>
      </c>
      <c r="P14" s="49">
        <f t="shared" si="10"/>
        <v>0</v>
      </c>
      <c r="Q14" s="84">
        <f>SUM(N14:N18)/SUM(O14:O18)-1</f>
        <v>2.8982761886720887E-2</v>
      </c>
      <c r="R14" s="22"/>
      <c r="S14" s="64">
        <f t="shared" si="3"/>
        <v>0</v>
      </c>
      <c r="T14" s="65">
        <f t="shared" si="4"/>
        <v>0</v>
      </c>
      <c r="U14" s="22"/>
    </row>
    <row r="15" spans="1:21" ht="16" x14ac:dyDescent="0.2">
      <c r="A15" s="22"/>
      <c r="B15" s="82"/>
      <c r="C15" s="3" t="s">
        <v>2</v>
      </c>
      <c r="D15" s="12">
        <v>5000</v>
      </c>
      <c r="E15" s="13">
        <f t="shared" si="5"/>
        <v>42000</v>
      </c>
      <c r="F15" s="14">
        <f t="shared" si="6"/>
        <v>16800</v>
      </c>
      <c r="G15" s="14">
        <f t="shared" si="7"/>
        <v>12600</v>
      </c>
      <c r="H15" s="14">
        <f t="shared" si="8"/>
        <v>12600</v>
      </c>
      <c r="I15" s="15">
        <f t="shared" si="0"/>
        <v>47000</v>
      </c>
      <c r="J15" s="22"/>
      <c r="K15" s="24">
        <v>1000</v>
      </c>
      <c r="L15" s="33">
        <f t="shared" si="1"/>
        <v>2.1739130434782705E-2</v>
      </c>
      <c r="M15" s="22"/>
      <c r="N15" s="38">
        <f t="shared" si="9"/>
        <v>5124000</v>
      </c>
      <c r="O15" s="39">
        <f t="shared" si="2"/>
        <v>5002000</v>
      </c>
      <c r="P15" s="50">
        <f t="shared" si="10"/>
        <v>122000</v>
      </c>
      <c r="Q15" s="85"/>
      <c r="R15" s="22"/>
      <c r="S15" s="66">
        <f t="shared" si="3"/>
        <v>0</v>
      </c>
      <c r="T15" s="67">
        <f t="shared" si="4"/>
        <v>0</v>
      </c>
      <c r="U15" s="22"/>
    </row>
    <row r="16" spans="1:21" ht="16" x14ac:dyDescent="0.2">
      <c r="A16" s="22"/>
      <c r="B16" s="82"/>
      <c r="C16" s="3" t="s">
        <v>3</v>
      </c>
      <c r="D16" s="12">
        <v>5000</v>
      </c>
      <c r="E16" s="13">
        <f t="shared" si="5"/>
        <v>42000</v>
      </c>
      <c r="F16" s="14">
        <f t="shared" si="6"/>
        <v>16800</v>
      </c>
      <c r="G16" s="14">
        <f t="shared" si="7"/>
        <v>12600</v>
      </c>
      <c r="H16" s="14">
        <f t="shared" si="8"/>
        <v>12600</v>
      </c>
      <c r="I16" s="15">
        <f t="shared" si="0"/>
        <v>47000</v>
      </c>
      <c r="J16" s="22"/>
      <c r="K16" s="24">
        <v>1000</v>
      </c>
      <c r="L16" s="33">
        <f t="shared" si="1"/>
        <v>2.1739130434782705E-2</v>
      </c>
      <c r="M16" s="22"/>
      <c r="N16" s="38">
        <f t="shared" si="9"/>
        <v>16674000</v>
      </c>
      <c r="O16" s="39">
        <f t="shared" si="2"/>
        <v>16277000</v>
      </c>
      <c r="P16" s="50">
        <f t="shared" si="10"/>
        <v>397000</v>
      </c>
      <c r="Q16" s="85"/>
      <c r="R16" s="22"/>
      <c r="S16" s="66">
        <f t="shared" si="3"/>
        <v>0</v>
      </c>
      <c r="T16" s="67">
        <f t="shared" si="4"/>
        <v>0</v>
      </c>
      <c r="U16" s="22"/>
    </row>
    <row r="17" spans="1:21" ht="16" x14ac:dyDescent="0.2">
      <c r="A17" s="22"/>
      <c r="B17" s="82"/>
      <c r="C17" s="3" t="s">
        <v>4</v>
      </c>
      <c r="D17" s="12">
        <v>5000</v>
      </c>
      <c r="E17" s="13">
        <f t="shared" si="5"/>
        <v>42500</v>
      </c>
      <c r="F17" s="14">
        <f t="shared" si="6"/>
        <v>17000</v>
      </c>
      <c r="G17" s="14">
        <f t="shared" si="7"/>
        <v>12750</v>
      </c>
      <c r="H17" s="14">
        <f t="shared" si="8"/>
        <v>12750</v>
      </c>
      <c r="I17" s="15">
        <f t="shared" si="0"/>
        <v>47500</v>
      </c>
      <c r="J17" s="22"/>
      <c r="K17" s="24">
        <v>1500</v>
      </c>
      <c r="L17" s="33">
        <f t="shared" si="1"/>
        <v>3.2608695652173836E-2</v>
      </c>
      <c r="M17" s="22"/>
      <c r="N17" s="38">
        <f t="shared" si="9"/>
        <v>14280000</v>
      </c>
      <c r="O17" s="39">
        <f t="shared" si="2"/>
        <v>13776000</v>
      </c>
      <c r="P17" s="50">
        <f t="shared" si="10"/>
        <v>504000</v>
      </c>
      <c r="Q17" s="85"/>
      <c r="R17" s="22"/>
      <c r="S17" s="66">
        <f t="shared" si="3"/>
        <v>0</v>
      </c>
      <c r="T17" s="67">
        <f t="shared" si="4"/>
        <v>0</v>
      </c>
      <c r="U17" s="22"/>
    </row>
    <row r="18" spans="1:21" ht="17" thickBot="1" x14ac:dyDescent="0.25">
      <c r="A18" s="22"/>
      <c r="B18" s="83"/>
      <c r="C18" s="4" t="s">
        <v>8</v>
      </c>
      <c r="D18" s="16">
        <v>5000</v>
      </c>
      <c r="E18" s="17">
        <f t="shared" si="5"/>
        <v>47500</v>
      </c>
      <c r="F18" s="18">
        <f t="shared" si="6"/>
        <v>19000</v>
      </c>
      <c r="G18" s="18">
        <f t="shared" si="7"/>
        <v>14250</v>
      </c>
      <c r="H18" s="18">
        <f t="shared" si="8"/>
        <v>14250</v>
      </c>
      <c r="I18" s="19">
        <f t="shared" si="0"/>
        <v>52500</v>
      </c>
      <c r="J18" s="22"/>
      <c r="K18" s="26">
        <v>1500</v>
      </c>
      <c r="L18" s="70">
        <f t="shared" si="1"/>
        <v>2.9411764705882248E-2</v>
      </c>
      <c r="M18" s="22"/>
      <c r="N18" s="51">
        <f t="shared" si="9"/>
        <v>11210000</v>
      </c>
      <c r="O18" s="41">
        <f t="shared" si="2"/>
        <v>10856000</v>
      </c>
      <c r="P18" s="52">
        <f t="shared" si="10"/>
        <v>354000</v>
      </c>
      <c r="Q18" s="86"/>
      <c r="R18" s="22"/>
      <c r="S18" s="68">
        <f t="shared" si="3"/>
        <v>0</v>
      </c>
      <c r="T18" s="69">
        <f t="shared" si="4"/>
        <v>0</v>
      </c>
      <c r="U18" s="22"/>
    </row>
    <row r="19" spans="1:21" ht="17" thickTop="1" thickBot="1" x14ac:dyDescent="0.25">
      <c r="K19" s="21"/>
      <c r="L19" s="21"/>
      <c r="N19" s="42">
        <f>SUM(N4:N18)</f>
        <v>71570916</v>
      </c>
      <c r="O19" s="43">
        <f>SUM(O4:O18)</f>
        <v>69192216</v>
      </c>
      <c r="P19" s="53">
        <f t="shared" si="10"/>
        <v>2378700</v>
      </c>
      <c r="Q19" s="37"/>
    </row>
    <row r="20" spans="1:21" ht="17" thickTop="1" thickBot="1" x14ac:dyDescent="0.25">
      <c r="K20" s="21"/>
      <c r="L20" s="21"/>
      <c r="N20" s="21"/>
      <c r="O20" s="21"/>
      <c r="P20" s="21"/>
      <c r="Q20" s="37"/>
    </row>
    <row r="21" spans="1:21" ht="22" thickTop="1" thickBot="1" x14ac:dyDescent="0.25">
      <c r="B21" s="87" t="s">
        <v>27</v>
      </c>
      <c r="C21" s="88"/>
      <c r="D21" s="88"/>
      <c r="E21" s="88"/>
      <c r="F21" s="88"/>
      <c r="G21" s="88"/>
      <c r="H21" s="88"/>
      <c r="I21" s="89"/>
      <c r="K21" s="21"/>
      <c r="L21" s="21"/>
      <c r="N21" s="21"/>
      <c r="O21" s="21"/>
      <c r="P21" s="22">
        <f>P19-'Droits de scolarite 2026-2027'!P19</f>
        <v>-148713</v>
      </c>
      <c r="Q21" s="37"/>
      <c r="S21" s="71" t="s">
        <v>33</v>
      </c>
      <c r="T21" s="72"/>
    </row>
    <row r="22" spans="1:21" ht="50" thickTop="1" thickBot="1" x14ac:dyDescent="0.25">
      <c r="B22" s="79" t="s">
        <v>7</v>
      </c>
      <c r="C22" s="80"/>
      <c r="D22" s="6" t="s">
        <v>10</v>
      </c>
      <c r="E22" s="6" t="s">
        <v>11</v>
      </c>
      <c r="F22" s="6" t="s">
        <v>23</v>
      </c>
      <c r="G22" s="6" t="s">
        <v>24</v>
      </c>
      <c r="H22" s="6" t="s">
        <v>25</v>
      </c>
      <c r="I22" s="7" t="s">
        <v>12</v>
      </c>
      <c r="S22" s="62" t="s">
        <v>16</v>
      </c>
      <c r="T22" s="63" t="s">
        <v>15</v>
      </c>
    </row>
    <row r="23" spans="1:21" ht="17" thickTop="1" x14ac:dyDescent="0.2">
      <c r="A23" s="22"/>
      <c r="B23" s="81" t="s">
        <v>0</v>
      </c>
      <c r="C23" s="5" t="s">
        <v>1</v>
      </c>
      <c r="D23" s="9">
        <v>5000</v>
      </c>
      <c r="E23" s="9">
        <v>30000</v>
      </c>
      <c r="F23" s="10">
        <v>12000</v>
      </c>
      <c r="G23" s="10">
        <v>9000</v>
      </c>
      <c r="H23" s="10">
        <v>9000</v>
      </c>
      <c r="I23" s="11">
        <v>35000</v>
      </c>
      <c r="J23" s="22"/>
      <c r="K23" s="20"/>
      <c r="L23" s="20"/>
      <c r="M23" s="22"/>
      <c r="N23" s="20"/>
      <c r="O23" s="20"/>
      <c r="P23" s="20"/>
      <c r="R23" s="22"/>
      <c r="S23" s="64">
        <f t="shared" ref="S23:S37" si="15">SUM(F23:H23)-E23</f>
        <v>0</v>
      </c>
      <c r="T23" s="65">
        <f t="shared" ref="T23:T37" si="16">I23-(E23+D23)</f>
        <v>0</v>
      </c>
      <c r="U23" s="22"/>
    </row>
    <row r="24" spans="1:21" ht="16" x14ac:dyDescent="0.2">
      <c r="A24" s="22"/>
      <c r="B24" s="82"/>
      <c r="C24" s="3" t="s">
        <v>2</v>
      </c>
      <c r="D24" s="12">
        <v>5000</v>
      </c>
      <c r="E24" s="13">
        <v>34500</v>
      </c>
      <c r="F24" s="14">
        <v>13800</v>
      </c>
      <c r="G24" s="14">
        <v>10350</v>
      </c>
      <c r="H24" s="14">
        <v>10350</v>
      </c>
      <c r="I24" s="15">
        <v>39500</v>
      </c>
      <c r="J24" s="22"/>
      <c r="K24" s="20"/>
      <c r="L24" s="20"/>
      <c r="M24" s="22"/>
      <c r="N24" s="20"/>
      <c r="O24" s="20"/>
      <c r="P24" s="20"/>
      <c r="R24" s="22"/>
      <c r="S24" s="66">
        <f t="shared" si="15"/>
        <v>0</v>
      </c>
      <c r="T24" s="67">
        <f t="shared" si="16"/>
        <v>0</v>
      </c>
      <c r="U24" s="22"/>
    </row>
    <row r="25" spans="1:21" ht="16" x14ac:dyDescent="0.2">
      <c r="A25" s="22"/>
      <c r="B25" s="82"/>
      <c r="C25" s="3" t="s">
        <v>3</v>
      </c>
      <c r="D25" s="12">
        <v>5000</v>
      </c>
      <c r="E25" s="13">
        <v>34500</v>
      </c>
      <c r="F25" s="14">
        <v>13800</v>
      </c>
      <c r="G25" s="14">
        <v>10350</v>
      </c>
      <c r="H25" s="14">
        <v>10350</v>
      </c>
      <c r="I25" s="15">
        <v>39500</v>
      </c>
      <c r="J25" s="22"/>
      <c r="K25" s="20"/>
      <c r="L25" s="20"/>
      <c r="M25" s="22"/>
      <c r="N25" s="20"/>
      <c r="O25" s="20"/>
      <c r="P25" s="20"/>
      <c r="R25" s="22"/>
      <c r="S25" s="66">
        <f t="shared" si="15"/>
        <v>0</v>
      </c>
      <c r="T25" s="67">
        <f t="shared" si="16"/>
        <v>0</v>
      </c>
      <c r="U25" s="22"/>
    </row>
    <row r="26" spans="1:21" ht="16" x14ac:dyDescent="0.2">
      <c r="A26" s="22"/>
      <c r="B26" s="82"/>
      <c r="C26" s="3" t="s">
        <v>4</v>
      </c>
      <c r="D26" s="12">
        <v>5000</v>
      </c>
      <c r="E26" s="13">
        <v>34500</v>
      </c>
      <c r="F26" s="14">
        <v>13800</v>
      </c>
      <c r="G26" s="14">
        <v>10350</v>
      </c>
      <c r="H26" s="14">
        <v>10350</v>
      </c>
      <c r="I26" s="15">
        <v>39500</v>
      </c>
      <c r="J26" s="22"/>
      <c r="K26" s="20"/>
      <c r="L26" s="20"/>
      <c r="M26" s="22"/>
      <c r="N26" s="20"/>
      <c r="O26" s="20"/>
      <c r="P26" s="20"/>
      <c r="R26" s="22"/>
      <c r="S26" s="66">
        <f t="shared" si="15"/>
        <v>0</v>
      </c>
      <c r="T26" s="67">
        <f t="shared" si="16"/>
        <v>0</v>
      </c>
      <c r="U26" s="22"/>
    </row>
    <row r="27" spans="1:21" ht="17" thickBot="1" x14ac:dyDescent="0.25">
      <c r="A27" s="22"/>
      <c r="B27" s="83"/>
      <c r="C27" s="4" t="s">
        <v>8</v>
      </c>
      <c r="D27" s="16">
        <v>5000</v>
      </c>
      <c r="E27" s="17">
        <v>38500</v>
      </c>
      <c r="F27" s="18">
        <v>15400</v>
      </c>
      <c r="G27" s="18">
        <v>11550</v>
      </c>
      <c r="H27" s="18">
        <v>11550</v>
      </c>
      <c r="I27" s="19">
        <v>43500</v>
      </c>
      <c r="J27" s="22"/>
      <c r="K27" s="20"/>
      <c r="L27" s="20"/>
      <c r="M27" s="22"/>
      <c r="N27" s="20"/>
      <c r="O27" s="20"/>
      <c r="P27" s="20"/>
      <c r="R27" s="22"/>
      <c r="S27" s="68">
        <f t="shared" si="15"/>
        <v>0</v>
      </c>
      <c r="T27" s="69">
        <f t="shared" si="16"/>
        <v>0</v>
      </c>
      <c r="U27" s="22"/>
    </row>
    <row r="28" spans="1:21" ht="17" thickTop="1" x14ac:dyDescent="0.2">
      <c r="A28" s="22"/>
      <c r="B28" s="81" t="s">
        <v>5</v>
      </c>
      <c r="C28" s="5" t="s">
        <v>1</v>
      </c>
      <c r="D28" s="9">
        <v>4350</v>
      </c>
      <c r="E28" s="9">
        <v>34783</v>
      </c>
      <c r="F28" s="10">
        <v>13913.2</v>
      </c>
      <c r="G28" s="10">
        <v>10434.9</v>
      </c>
      <c r="H28" s="10">
        <v>10434.9</v>
      </c>
      <c r="I28" s="11">
        <v>39133</v>
      </c>
      <c r="J28" s="22"/>
      <c r="K28" s="20"/>
      <c r="L28" s="20"/>
      <c r="M28" s="22"/>
      <c r="N28" s="20"/>
      <c r="O28" s="20"/>
      <c r="P28" s="20"/>
      <c r="R28" s="22"/>
      <c r="S28" s="64">
        <f t="shared" si="15"/>
        <v>0</v>
      </c>
      <c r="T28" s="65">
        <f t="shared" si="16"/>
        <v>0</v>
      </c>
      <c r="U28" s="22"/>
    </row>
    <row r="29" spans="1:21" ht="16" x14ac:dyDescent="0.2">
      <c r="A29" s="22"/>
      <c r="B29" s="82"/>
      <c r="C29" s="3" t="s">
        <v>2</v>
      </c>
      <c r="D29" s="12">
        <v>4350</v>
      </c>
      <c r="E29" s="13">
        <v>35650</v>
      </c>
      <c r="F29" s="14">
        <v>14260</v>
      </c>
      <c r="G29" s="14">
        <v>10695</v>
      </c>
      <c r="H29" s="14">
        <v>10695</v>
      </c>
      <c r="I29" s="15">
        <v>40000</v>
      </c>
      <c r="J29" s="22"/>
      <c r="K29" s="20"/>
      <c r="L29" s="20"/>
      <c r="M29" s="22"/>
      <c r="N29" s="20"/>
      <c r="O29" s="20"/>
      <c r="P29" s="20"/>
      <c r="R29" s="22"/>
      <c r="S29" s="66">
        <f t="shared" si="15"/>
        <v>0</v>
      </c>
      <c r="T29" s="67">
        <f t="shared" si="16"/>
        <v>0</v>
      </c>
      <c r="U29" s="22"/>
    </row>
    <row r="30" spans="1:21" ht="16" x14ac:dyDescent="0.2">
      <c r="A30" s="22"/>
      <c r="B30" s="82"/>
      <c r="C30" s="3" t="s">
        <v>3</v>
      </c>
      <c r="D30" s="12">
        <v>4350</v>
      </c>
      <c r="E30" s="13">
        <v>35650</v>
      </c>
      <c r="F30" s="14">
        <v>14260</v>
      </c>
      <c r="G30" s="14">
        <v>10695</v>
      </c>
      <c r="H30" s="14">
        <v>10695</v>
      </c>
      <c r="I30" s="15">
        <v>40000</v>
      </c>
      <c r="J30" s="22"/>
      <c r="K30" s="20"/>
      <c r="L30" s="20"/>
      <c r="M30" s="22"/>
      <c r="N30" s="20"/>
      <c r="O30" s="20"/>
      <c r="P30" s="20"/>
      <c r="R30" s="22"/>
      <c r="S30" s="66">
        <f t="shared" si="15"/>
        <v>0</v>
      </c>
      <c r="T30" s="67">
        <f t="shared" si="16"/>
        <v>0</v>
      </c>
      <c r="U30" s="22"/>
    </row>
    <row r="31" spans="1:21" ht="16" x14ac:dyDescent="0.2">
      <c r="A31" s="22"/>
      <c r="B31" s="82"/>
      <c r="C31" s="3" t="s">
        <v>4</v>
      </c>
      <c r="D31" s="12">
        <v>4350</v>
      </c>
      <c r="E31" s="13">
        <v>35650</v>
      </c>
      <c r="F31" s="14">
        <v>14260</v>
      </c>
      <c r="G31" s="14">
        <v>10695</v>
      </c>
      <c r="H31" s="14">
        <v>10695</v>
      </c>
      <c r="I31" s="15">
        <v>40000</v>
      </c>
      <c r="J31" s="22"/>
      <c r="K31" s="20"/>
      <c r="L31" s="20"/>
      <c r="M31" s="22"/>
      <c r="N31" s="20"/>
      <c r="O31" s="20"/>
      <c r="P31" s="20"/>
      <c r="R31" s="22"/>
      <c r="S31" s="66">
        <f t="shared" si="15"/>
        <v>0</v>
      </c>
      <c r="T31" s="67">
        <f t="shared" si="16"/>
        <v>0</v>
      </c>
      <c r="U31" s="22"/>
    </row>
    <row r="32" spans="1:21" ht="17" thickBot="1" x14ac:dyDescent="0.25">
      <c r="A32" s="22"/>
      <c r="B32" s="83"/>
      <c r="C32" s="4" t="s">
        <v>8</v>
      </c>
      <c r="D32" s="16">
        <v>4350</v>
      </c>
      <c r="E32" s="17">
        <v>40000</v>
      </c>
      <c r="F32" s="18">
        <v>16000</v>
      </c>
      <c r="G32" s="18">
        <v>12000</v>
      </c>
      <c r="H32" s="18">
        <v>12000</v>
      </c>
      <c r="I32" s="19">
        <v>44350</v>
      </c>
      <c r="J32" s="22"/>
      <c r="K32" s="20"/>
      <c r="L32" s="20"/>
      <c r="M32" s="22"/>
      <c r="N32" s="20"/>
      <c r="O32" s="20"/>
      <c r="P32" s="20"/>
      <c r="R32" s="22"/>
      <c r="S32" s="68">
        <f t="shared" si="15"/>
        <v>0</v>
      </c>
      <c r="T32" s="69">
        <f t="shared" si="16"/>
        <v>0</v>
      </c>
      <c r="U32" s="22"/>
    </row>
    <row r="33" spans="1:21" ht="17" thickTop="1" x14ac:dyDescent="0.2">
      <c r="A33" s="22"/>
      <c r="B33" s="81" t="s">
        <v>6</v>
      </c>
      <c r="C33" s="5" t="s">
        <v>1</v>
      </c>
      <c r="D33" s="9">
        <v>5000</v>
      </c>
      <c r="E33" s="9">
        <v>40000</v>
      </c>
      <c r="F33" s="10">
        <v>16000</v>
      </c>
      <c r="G33" s="10">
        <v>12000</v>
      </c>
      <c r="H33" s="10">
        <v>12000</v>
      </c>
      <c r="I33" s="11">
        <v>45000</v>
      </c>
      <c r="J33" s="22"/>
      <c r="K33" s="20"/>
      <c r="L33" s="20"/>
      <c r="M33" s="22"/>
      <c r="N33" s="20"/>
      <c r="O33" s="20"/>
      <c r="P33" s="20"/>
      <c r="R33" s="22"/>
      <c r="S33" s="64">
        <f t="shared" si="15"/>
        <v>0</v>
      </c>
      <c r="T33" s="65">
        <f t="shared" si="16"/>
        <v>0</v>
      </c>
      <c r="U33" s="22"/>
    </row>
    <row r="34" spans="1:21" ht="16" x14ac:dyDescent="0.2">
      <c r="A34" s="22"/>
      <c r="B34" s="82"/>
      <c r="C34" s="3" t="s">
        <v>2</v>
      </c>
      <c r="D34" s="12">
        <v>5000</v>
      </c>
      <c r="E34" s="13">
        <v>41000</v>
      </c>
      <c r="F34" s="14">
        <v>16400</v>
      </c>
      <c r="G34" s="14">
        <v>12300</v>
      </c>
      <c r="H34" s="14">
        <v>12300</v>
      </c>
      <c r="I34" s="15">
        <v>46000</v>
      </c>
      <c r="J34" s="22"/>
      <c r="K34" s="20"/>
      <c r="L34" s="20"/>
      <c r="M34" s="22"/>
      <c r="N34" s="20"/>
      <c r="O34" s="20"/>
      <c r="P34" s="20"/>
      <c r="R34" s="22"/>
      <c r="S34" s="66">
        <f t="shared" si="15"/>
        <v>0</v>
      </c>
      <c r="T34" s="67">
        <f t="shared" si="16"/>
        <v>0</v>
      </c>
      <c r="U34" s="22"/>
    </row>
    <row r="35" spans="1:21" ht="16" x14ac:dyDescent="0.2">
      <c r="A35" s="22"/>
      <c r="B35" s="82"/>
      <c r="C35" s="3" t="s">
        <v>3</v>
      </c>
      <c r="D35" s="12">
        <v>5000</v>
      </c>
      <c r="E35" s="13">
        <v>41000</v>
      </c>
      <c r="F35" s="14">
        <v>16400</v>
      </c>
      <c r="G35" s="14">
        <v>12300</v>
      </c>
      <c r="H35" s="14">
        <v>12300</v>
      </c>
      <c r="I35" s="15">
        <v>46000</v>
      </c>
      <c r="J35" s="22"/>
      <c r="K35" s="20"/>
      <c r="L35" s="20"/>
      <c r="M35" s="22"/>
      <c r="N35" s="20"/>
      <c r="O35" s="20"/>
      <c r="P35" s="20"/>
      <c r="R35" s="22"/>
      <c r="S35" s="66">
        <f t="shared" si="15"/>
        <v>0</v>
      </c>
      <c r="T35" s="67">
        <f t="shared" si="16"/>
        <v>0</v>
      </c>
      <c r="U35" s="22"/>
    </row>
    <row r="36" spans="1:21" ht="16" x14ac:dyDescent="0.2">
      <c r="A36" s="22"/>
      <c r="B36" s="82"/>
      <c r="C36" s="3" t="s">
        <v>4</v>
      </c>
      <c r="D36" s="12">
        <v>5000</v>
      </c>
      <c r="E36" s="13">
        <v>41000</v>
      </c>
      <c r="F36" s="14">
        <v>16400</v>
      </c>
      <c r="G36" s="14">
        <v>12300</v>
      </c>
      <c r="H36" s="14">
        <v>12300</v>
      </c>
      <c r="I36" s="15">
        <v>46000</v>
      </c>
      <c r="J36" s="22"/>
      <c r="K36" s="20"/>
      <c r="L36" s="20"/>
      <c r="M36" s="22"/>
      <c r="N36" s="20"/>
      <c r="O36" s="20"/>
      <c r="P36" s="20"/>
      <c r="R36" s="22"/>
      <c r="S36" s="66">
        <f t="shared" si="15"/>
        <v>0</v>
      </c>
      <c r="T36" s="67">
        <f t="shared" si="16"/>
        <v>0</v>
      </c>
      <c r="U36" s="22"/>
    </row>
    <row r="37" spans="1:21" ht="17" thickBot="1" x14ac:dyDescent="0.25">
      <c r="A37" s="22"/>
      <c r="B37" s="83"/>
      <c r="C37" s="4" t="s">
        <v>8</v>
      </c>
      <c r="D37" s="16">
        <v>5000</v>
      </c>
      <c r="E37" s="17">
        <v>46000</v>
      </c>
      <c r="F37" s="18">
        <v>18400</v>
      </c>
      <c r="G37" s="18">
        <v>13800</v>
      </c>
      <c r="H37" s="18">
        <v>13800</v>
      </c>
      <c r="I37" s="19">
        <v>51000</v>
      </c>
      <c r="J37" s="22"/>
      <c r="K37" s="20"/>
      <c r="L37" s="20"/>
      <c r="M37" s="22"/>
      <c r="N37" s="20"/>
      <c r="O37" s="20"/>
      <c r="P37" s="20"/>
      <c r="R37" s="22"/>
      <c r="S37" s="68">
        <f t="shared" si="15"/>
        <v>0</v>
      </c>
      <c r="T37" s="69">
        <f t="shared" si="16"/>
        <v>0</v>
      </c>
      <c r="U37" s="22"/>
    </row>
    <row r="38" spans="1:21" ht="16" thickTop="1" x14ac:dyDescent="0.2"/>
    <row r="39" spans="1:21" ht="16" thickBot="1" x14ac:dyDescent="0.25"/>
    <row r="40" spans="1:21" ht="22" thickTop="1" thickBot="1" x14ac:dyDescent="0.25">
      <c r="B40" s="87" t="s">
        <v>28</v>
      </c>
      <c r="C40" s="88"/>
      <c r="D40" s="88"/>
      <c r="E40" s="88"/>
      <c r="F40" s="88"/>
      <c r="G40" s="88"/>
      <c r="H40" s="88"/>
      <c r="I40" s="89"/>
      <c r="S40" s="71" t="s">
        <v>33</v>
      </c>
      <c r="T40" s="72"/>
    </row>
    <row r="41" spans="1:21" ht="50" thickTop="1" thickBot="1" x14ac:dyDescent="0.25">
      <c r="B41" s="79" t="s">
        <v>9</v>
      </c>
      <c r="C41" s="80"/>
      <c r="D41" s="6" t="s">
        <v>10</v>
      </c>
      <c r="E41" s="6" t="s">
        <v>11</v>
      </c>
      <c r="F41" s="6" t="s">
        <v>23</v>
      </c>
      <c r="G41" s="6" t="s">
        <v>24</v>
      </c>
      <c r="H41" s="6" t="s">
        <v>25</v>
      </c>
      <c r="I41" s="7" t="s">
        <v>12</v>
      </c>
      <c r="S41" s="62" t="s">
        <v>16</v>
      </c>
      <c r="T41" s="63" t="s">
        <v>15</v>
      </c>
    </row>
    <row r="42" spans="1:21" ht="17" thickTop="1" x14ac:dyDescent="0.2">
      <c r="A42" s="22"/>
      <c r="B42" s="81" t="s">
        <v>0</v>
      </c>
      <c r="C42" s="5" t="s">
        <v>1</v>
      </c>
      <c r="D42" s="9">
        <f>D4-D23</f>
        <v>0</v>
      </c>
      <c r="E42" s="9">
        <f t="shared" ref="E42:I42" si="17">E4-E23</f>
        <v>0</v>
      </c>
      <c r="F42" s="10">
        <f t="shared" si="17"/>
        <v>0</v>
      </c>
      <c r="G42" s="10">
        <f t="shared" si="17"/>
        <v>0</v>
      </c>
      <c r="H42" s="10">
        <f t="shared" si="17"/>
        <v>0</v>
      </c>
      <c r="I42" s="11">
        <f t="shared" si="17"/>
        <v>0</v>
      </c>
      <c r="J42" s="22"/>
      <c r="K42" s="20"/>
      <c r="L42" s="20"/>
      <c r="M42" s="22"/>
      <c r="N42" s="20"/>
      <c r="O42" s="20"/>
      <c r="P42" s="20"/>
      <c r="R42" s="22"/>
      <c r="S42" s="64">
        <f t="shared" ref="S42:S56" si="18">SUM(F42:H42)-E42</f>
        <v>0</v>
      </c>
      <c r="T42" s="65">
        <f t="shared" ref="T42:T56" si="19">I42-(E42+D42)</f>
        <v>0</v>
      </c>
      <c r="U42" s="22"/>
    </row>
    <row r="43" spans="1:21" ht="16" x14ac:dyDescent="0.2">
      <c r="A43" s="22"/>
      <c r="B43" s="82"/>
      <c r="C43" s="3" t="s">
        <v>2</v>
      </c>
      <c r="D43" s="12">
        <f t="shared" ref="D43:I56" si="20">D5-D24</f>
        <v>0</v>
      </c>
      <c r="E43" s="13">
        <f t="shared" si="20"/>
        <v>1000</v>
      </c>
      <c r="F43" s="14">
        <f t="shared" si="20"/>
        <v>400</v>
      </c>
      <c r="G43" s="14">
        <f t="shared" si="20"/>
        <v>300</v>
      </c>
      <c r="H43" s="14">
        <f t="shared" si="20"/>
        <v>300</v>
      </c>
      <c r="I43" s="15">
        <f t="shared" si="20"/>
        <v>1000</v>
      </c>
      <c r="J43" s="22"/>
      <c r="K43" s="20"/>
      <c r="L43" s="20"/>
      <c r="M43" s="22"/>
      <c r="N43" s="20"/>
      <c r="O43" s="20"/>
      <c r="P43" s="20"/>
      <c r="R43" s="22"/>
      <c r="S43" s="66">
        <f t="shared" si="18"/>
        <v>0</v>
      </c>
      <c r="T43" s="67">
        <f t="shared" si="19"/>
        <v>0</v>
      </c>
      <c r="U43" s="22"/>
    </row>
    <row r="44" spans="1:21" ht="16" x14ac:dyDescent="0.2">
      <c r="A44" s="22"/>
      <c r="B44" s="82"/>
      <c r="C44" s="3" t="s">
        <v>3</v>
      </c>
      <c r="D44" s="12">
        <f t="shared" si="20"/>
        <v>0</v>
      </c>
      <c r="E44" s="13">
        <f t="shared" si="20"/>
        <v>1500</v>
      </c>
      <c r="F44" s="14">
        <f t="shared" si="20"/>
        <v>600</v>
      </c>
      <c r="G44" s="14">
        <f t="shared" si="20"/>
        <v>450</v>
      </c>
      <c r="H44" s="14">
        <f t="shared" si="20"/>
        <v>450</v>
      </c>
      <c r="I44" s="15">
        <f t="shared" si="20"/>
        <v>1500</v>
      </c>
      <c r="J44" s="22"/>
      <c r="K44" s="20"/>
      <c r="L44" s="20"/>
      <c r="M44" s="22"/>
      <c r="N44" s="20"/>
      <c r="O44" s="20"/>
      <c r="P44" s="20"/>
      <c r="R44" s="22"/>
      <c r="S44" s="66">
        <f t="shared" si="18"/>
        <v>0</v>
      </c>
      <c r="T44" s="67">
        <f t="shared" si="19"/>
        <v>0</v>
      </c>
      <c r="U44" s="22"/>
    </row>
    <row r="45" spans="1:21" ht="16" x14ac:dyDescent="0.2">
      <c r="A45" s="22"/>
      <c r="B45" s="82"/>
      <c r="C45" s="3" t="s">
        <v>4</v>
      </c>
      <c r="D45" s="12">
        <f t="shared" si="20"/>
        <v>0</v>
      </c>
      <c r="E45" s="13">
        <f t="shared" si="20"/>
        <v>2000</v>
      </c>
      <c r="F45" s="14">
        <f t="shared" si="20"/>
        <v>800</v>
      </c>
      <c r="G45" s="14">
        <f t="shared" si="20"/>
        <v>600</v>
      </c>
      <c r="H45" s="14">
        <f t="shared" si="20"/>
        <v>600</v>
      </c>
      <c r="I45" s="15">
        <f t="shared" si="20"/>
        <v>2000</v>
      </c>
      <c r="J45" s="22"/>
      <c r="K45" s="20"/>
      <c r="L45" s="20"/>
      <c r="M45" s="22"/>
      <c r="N45" s="20"/>
      <c r="O45" s="20"/>
      <c r="P45" s="20"/>
      <c r="R45" s="22"/>
      <c r="S45" s="66">
        <f t="shared" si="18"/>
        <v>0</v>
      </c>
      <c r="T45" s="67">
        <f t="shared" si="19"/>
        <v>0</v>
      </c>
      <c r="U45" s="22"/>
    </row>
    <row r="46" spans="1:21" ht="17" thickBot="1" x14ac:dyDescent="0.25">
      <c r="A46" s="22"/>
      <c r="B46" s="83"/>
      <c r="C46" s="4" t="s">
        <v>8</v>
      </c>
      <c r="D46" s="16">
        <f t="shared" si="20"/>
        <v>0</v>
      </c>
      <c r="E46" s="17">
        <f t="shared" si="20"/>
        <v>2300</v>
      </c>
      <c r="F46" s="18">
        <f t="shared" si="20"/>
        <v>920</v>
      </c>
      <c r="G46" s="18">
        <f t="shared" si="20"/>
        <v>690</v>
      </c>
      <c r="H46" s="18">
        <f t="shared" si="20"/>
        <v>690</v>
      </c>
      <c r="I46" s="19">
        <f t="shared" si="20"/>
        <v>2300</v>
      </c>
      <c r="J46" s="22"/>
      <c r="K46" s="20"/>
      <c r="L46" s="20"/>
      <c r="M46" s="22"/>
      <c r="N46" s="20"/>
      <c r="O46" s="20"/>
      <c r="P46" s="20"/>
      <c r="R46" s="22"/>
      <c r="S46" s="68">
        <f t="shared" si="18"/>
        <v>0</v>
      </c>
      <c r="T46" s="69">
        <f t="shared" si="19"/>
        <v>0</v>
      </c>
      <c r="U46" s="22"/>
    </row>
    <row r="47" spans="1:21" ht="17" thickTop="1" x14ac:dyDescent="0.2">
      <c r="A47" s="22"/>
      <c r="B47" s="81" t="s">
        <v>5</v>
      </c>
      <c r="C47" s="5" t="s">
        <v>1</v>
      </c>
      <c r="D47" s="9">
        <f t="shared" si="20"/>
        <v>0</v>
      </c>
      <c r="E47" s="9">
        <f t="shared" si="20"/>
        <v>0</v>
      </c>
      <c r="F47" s="10">
        <f t="shared" si="20"/>
        <v>-0.2000000000007276</v>
      </c>
      <c r="G47" s="10">
        <f t="shared" si="20"/>
        <v>0.1000000000003638</v>
      </c>
      <c r="H47" s="10">
        <f t="shared" si="20"/>
        <v>0.1000000000003638</v>
      </c>
      <c r="I47" s="11">
        <f t="shared" si="20"/>
        <v>0</v>
      </c>
      <c r="J47" s="22"/>
      <c r="K47" s="20"/>
      <c r="L47" s="20"/>
      <c r="M47" s="22"/>
      <c r="N47" s="20"/>
      <c r="O47" s="20"/>
      <c r="P47" s="20"/>
      <c r="R47" s="22"/>
      <c r="S47" s="64">
        <f t="shared" si="18"/>
        <v>0</v>
      </c>
      <c r="T47" s="65">
        <f t="shared" si="19"/>
        <v>0</v>
      </c>
      <c r="U47" s="22"/>
    </row>
    <row r="48" spans="1:21" ht="16" x14ac:dyDescent="0.2">
      <c r="A48" s="22"/>
      <c r="B48" s="82"/>
      <c r="C48" s="3" t="s">
        <v>2</v>
      </c>
      <c r="D48" s="12">
        <f t="shared" si="20"/>
        <v>0</v>
      </c>
      <c r="E48" s="13">
        <f t="shared" si="20"/>
        <v>1000</v>
      </c>
      <c r="F48" s="14">
        <f t="shared" si="20"/>
        <v>400</v>
      </c>
      <c r="G48" s="14">
        <f t="shared" si="20"/>
        <v>300</v>
      </c>
      <c r="H48" s="14">
        <f t="shared" si="20"/>
        <v>300</v>
      </c>
      <c r="I48" s="15">
        <f t="shared" si="20"/>
        <v>1000</v>
      </c>
      <c r="J48" s="22"/>
      <c r="K48" s="20"/>
      <c r="L48" s="20"/>
      <c r="M48" s="22"/>
      <c r="N48" s="20"/>
      <c r="O48" s="20"/>
      <c r="P48" s="20"/>
      <c r="R48" s="22"/>
      <c r="S48" s="66">
        <f t="shared" si="18"/>
        <v>0</v>
      </c>
      <c r="T48" s="67">
        <f t="shared" si="19"/>
        <v>0</v>
      </c>
      <c r="U48" s="22"/>
    </row>
    <row r="49" spans="1:21" ht="16" x14ac:dyDescent="0.2">
      <c r="A49" s="22"/>
      <c r="B49" s="82"/>
      <c r="C49" s="3" t="s">
        <v>3</v>
      </c>
      <c r="D49" s="12">
        <f t="shared" si="20"/>
        <v>0</v>
      </c>
      <c r="E49" s="13">
        <f t="shared" si="20"/>
        <v>1000</v>
      </c>
      <c r="F49" s="14">
        <f t="shared" si="20"/>
        <v>400</v>
      </c>
      <c r="G49" s="14">
        <f t="shared" si="20"/>
        <v>300</v>
      </c>
      <c r="H49" s="14">
        <f t="shared" si="20"/>
        <v>300</v>
      </c>
      <c r="I49" s="15">
        <f t="shared" si="20"/>
        <v>1000</v>
      </c>
      <c r="J49" s="22"/>
      <c r="K49" s="20"/>
      <c r="L49" s="20"/>
      <c r="M49" s="22"/>
      <c r="N49" s="20"/>
      <c r="O49" s="20"/>
      <c r="P49" s="20"/>
      <c r="R49" s="22"/>
      <c r="S49" s="66">
        <f t="shared" si="18"/>
        <v>0</v>
      </c>
      <c r="T49" s="67">
        <f t="shared" si="19"/>
        <v>0</v>
      </c>
      <c r="U49" s="22"/>
    </row>
    <row r="50" spans="1:21" ht="16" x14ac:dyDescent="0.2">
      <c r="A50" s="22"/>
      <c r="B50" s="82"/>
      <c r="C50" s="3" t="s">
        <v>4</v>
      </c>
      <c r="D50" s="12">
        <f t="shared" si="20"/>
        <v>0</v>
      </c>
      <c r="E50" s="13">
        <f t="shared" si="20"/>
        <v>1000</v>
      </c>
      <c r="F50" s="14">
        <f t="shared" si="20"/>
        <v>400</v>
      </c>
      <c r="G50" s="14">
        <f t="shared" si="20"/>
        <v>300</v>
      </c>
      <c r="H50" s="14">
        <f t="shared" si="20"/>
        <v>300</v>
      </c>
      <c r="I50" s="15">
        <f t="shared" si="20"/>
        <v>1000</v>
      </c>
      <c r="J50" s="22"/>
      <c r="K50" s="20"/>
      <c r="L50" s="20"/>
      <c r="M50" s="22"/>
      <c r="N50" s="20"/>
      <c r="O50" s="20"/>
      <c r="P50" s="20"/>
      <c r="R50" s="22"/>
      <c r="S50" s="66">
        <f t="shared" si="18"/>
        <v>0</v>
      </c>
      <c r="T50" s="67">
        <f t="shared" si="19"/>
        <v>0</v>
      </c>
      <c r="U50" s="22"/>
    </row>
    <row r="51" spans="1:21" ht="17" thickBot="1" x14ac:dyDescent="0.25">
      <c r="A51" s="22"/>
      <c r="B51" s="83"/>
      <c r="C51" s="4" t="s">
        <v>8</v>
      </c>
      <c r="D51" s="16">
        <f t="shared" si="20"/>
        <v>0</v>
      </c>
      <c r="E51" s="17">
        <f t="shared" si="20"/>
        <v>1000</v>
      </c>
      <c r="F51" s="18">
        <f t="shared" si="20"/>
        <v>400</v>
      </c>
      <c r="G51" s="18">
        <f t="shared" si="20"/>
        <v>300</v>
      </c>
      <c r="H51" s="18">
        <f t="shared" si="20"/>
        <v>300</v>
      </c>
      <c r="I51" s="19">
        <f t="shared" si="20"/>
        <v>1000</v>
      </c>
      <c r="J51" s="22"/>
      <c r="K51" s="20"/>
      <c r="L51" s="20"/>
      <c r="M51" s="22"/>
      <c r="N51" s="20"/>
      <c r="O51" s="20"/>
      <c r="P51" s="20"/>
      <c r="R51" s="22"/>
      <c r="S51" s="68">
        <f t="shared" si="18"/>
        <v>0</v>
      </c>
      <c r="T51" s="69">
        <f t="shared" si="19"/>
        <v>0</v>
      </c>
      <c r="U51" s="22"/>
    </row>
    <row r="52" spans="1:21" ht="17" thickTop="1" x14ac:dyDescent="0.2">
      <c r="A52" s="22"/>
      <c r="B52" s="81" t="s">
        <v>6</v>
      </c>
      <c r="C52" s="5" t="s">
        <v>1</v>
      </c>
      <c r="D52" s="9">
        <f t="shared" si="20"/>
        <v>0</v>
      </c>
      <c r="E52" s="9">
        <f t="shared" si="20"/>
        <v>0</v>
      </c>
      <c r="F52" s="10">
        <f t="shared" si="20"/>
        <v>0</v>
      </c>
      <c r="G52" s="10">
        <f t="shared" si="20"/>
        <v>0</v>
      </c>
      <c r="H52" s="10">
        <f t="shared" si="20"/>
        <v>0</v>
      </c>
      <c r="I52" s="11">
        <f t="shared" si="20"/>
        <v>0</v>
      </c>
      <c r="J52" s="22"/>
      <c r="K52" s="20"/>
      <c r="L52" s="20"/>
      <c r="M52" s="22"/>
      <c r="N52" s="20"/>
      <c r="O52" s="20"/>
      <c r="P52" s="20"/>
      <c r="R52" s="22"/>
      <c r="S52" s="64">
        <f t="shared" si="18"/>
        <v>0</v>
      </c>
      <c r="T52" s="65">
        <f t="shared" si="19"/>
        <v>0</v>
      </c>
      <c r="U52" s="22"/>
    </row>
    <row r="53" spans="1:21" ht="16" x14ac:dyDescent="0.2">
      <c r="A53" s="22"/>
      <c r="B53" s="82"/>
      <c r="C53" s="3" t="s">
        <v>2</v>
      </c>
      <c r="D53" s="12">
        <f t="shared" si="20"/>
        <v>0</v>
      </c>
      <c r="E53" s="13">
        <f t="shared" si="20"/>
        <v>1000</v>
      </c>
      <c r="F53" s="14">
        <f t="shared" si="20"/>
        <v>400</v>
      </c>
      <c r="G53" s="14">
        <f t="shared" si="20"/>
        <v>300</v>
      </c>
      <c r="H53" s="14">
        <f t="shared" si="20"/>
        <v>300</v>
      </c>
      <c r="I53" s="15">
        <f t="shared" si="20"/>
        <v>1000</v>
      </c>
      <c r="J53" s="22"/>
      <c r="K53" s="20"/>
      <c r="L53" s="20"/>
      <c r="M53" s="22"/>
      <c r="N53" s="20"/>
      <c r="O53" s="20"/>
      <c r="P53" s="20"/>
      <c r="R53" s="22"/>
      <c r="S53" s="66">
        <f t="shared" si="18"/>
        <v>0</v>
      </c>
      <c r="T53" s="67">
        <f t="shared" si="19"/>
        <v>0</v>
      </c>
      <c r="U53" s="22"/>
    </row>
    <row r="54" spans="1:21" ht="16" x14ac:dyDescent="0.2">
      <c r="A54" s="22"/>
      <c r="B54" s="82"/>
      <c r="C54" s="3" t="s">
        <v>3</v>
      </c>
      <c r="D54" s="12">
        <f t="shared" si="20"/>
        <v>0</v>
      </c>
      <c r="E54" s="13">
        <f t="shared" si="20"/>
        <v>1000</v>
      </c>
      <c r="F54" s="14">
        <f t="shared" si="20"/>
        <v>400</v>
      </c>
      <c r="G54" s="14">
        <f t="shared" si="20"/>
        <v>300</v>
      </c>
      <c r="H54" s="14">
        <f t="shared" si="20"/>
        <v>300</v>
      </c>
      <c r="I54" s="15">
        <f t="shared" si="20"/>
        <v>1000</v>
      </c>
      <c r="J54" s="22"/>
      <c r="K54" s="20"/>
      <c r="L54" s="20"/>
      <c r="M54" s="22"/>
      <c r="N54" s="20"/>
      <c r="O54" s="20"/>
      <c r="P54" s="20"/>
      <c r="R54" s="22"/>
      <c r="S54" s="66">
        <f t="shared" si="18"/>
        <v>0</v>
      </c>
      <c r="T54" s="67">
        <f t="shared" si="19"/>
        <v>0</v>
      </c>
      <c r="U54" s="22"/>
    </row>
    <row r="55" spans="1:21" ht="16" x14ac:dyDescent="0.2">
      <c r="A55" s="22"/>
      <c r="B55" s="82"/>
      <c r="C55" s="3" t="s">
        <v>4</v>
      </c>
      <c r="D55" s="12">
        <f t="shared" si="20"/>
        <v>0</v>
      </c>
      <c r="E55" s="13">
        <f t="shared" si="20"/>
        <v>1500</v>
      </c>
      <c r="F55" s="14">
        <f t="shared" si="20"/>
        <v>600</v>
      </c>
      <c r="G55" s="14">
        <f t="shared" si="20"/>
        <v>450</v>
      </c>
      <c r="H55" s="14">
        <f t="shared" si="20"/>
        <v>450</v>
      </c>
      <c r="I55" s="15">
        <f t="shared" si="20"/>
        <v>1500</v>
      </c>
      <c r="J55" s="22"/>
      <c r="K55" s="20"/>
      <c r="L55" s="20"/>
      <c r="M55" s="22"/>
      <c r="N55" s="20"/>
      <c r="O55" s="20"/>
      <c r="P55" s="20"/>
      <c r="R55" s="22"/>
      <c r="S55" s="66">
        <f t="shared" si="18"/>
        <v>0</v>
      </c>
      <c r="T55" s="67">
        <f t="shared" si="19"/>
        <v>0</v>
      </c>
      <c r="U55" s="22"/>
    </row>
    <row r="56" spans="1:21" ht="17" thickBot="1" x14ac:dyDescent="0.25">
      <c r="A56" s="22"/>
      <c r="B56" s="83"/>
      <c r="C56" s="4" t="s">
        <v>8</v>
      </c>
      <c r="D56" s="16">
        <f t="shared" si="20"/>
        <v>0</v>
      </c>
      <c r="E56" s="17">
        <f t="shared" si="20"/>
        <v>1500</v>
      </c>
      <c r="F56" s="18">
        <f t="shared" si="20"/>
        <v>600</v>
      </c>
      <c r="G56" s="18">
        <f t="shared" si="20"/>
        <v>450</v>
      </c>
      <c r="H56" s="18">
        <f t="shared" si="20"/>
        <v>450</v>
      </c>
      <c r="I56" s="19">
        <f t="shared" si="20"/>
        <v>1500</v>
      </c>
      <c r="J56" s="22"/>
      <c r="K56" s="20"/>
      <c r="L56" s="20"/>
      <c r="M56" s="22"/>
      <c r="N56" s="20"/>
      <c r="O56" s="20"/>
      <c r="P56" s="20"/>
      <c r="R56" s="22"/>
      <c r="S56" s="68">
        <f t="shared" si="18"/>
        <v>0</v>
      </c>
      <c r="T56" s="69">
        <f t="shared" si="19"/>
        <v>0</v>
      </c>
      <c r="U56" s="22"/>
    </row>
    <row r="57" spans="1:21" ht="16" thickTop="1" x14ac:dyDescent="0.2"/>
    <row r="58" spans="1:21" ht="16" thickBot="1" x14ac:dyDescent="0.25"/>
    <row r="59" spans="1:21" ht="22" thickTop="1" thickBot="1" x14ac:dyDescent="0.25">
      <c r="B59" s="87" t="s">
        <v>29</v>
      </c>
      <c r="C59" s="88"/>
      <c r="D59" s="88"/>
      <c r="E59" s="88"/>
      <c r="F59" s="88"/>
      <c r="G59" s="88"/>
      <c r="H59" s="88"/>
      <c r="I59" s="89"/>
      <c r="S59" s="71" t="s">
        <v>33</v>
      </c>
      <c r="T59" s="72"/>
    </row>
    <row r="60" spans="1:21" ht="50" thickTop="1" thickBot="1" x14ac:dyDescent="0.25">
      <c r="B60" s="79" t="s">
        <v>9</v>
      </c>
      <c r="C60" s="80"/>
      <c r="D60" s="6" t="s">
        <v>10</v>
      </c>
      <c r="E60" s="6" t="s">
        <v>11</v>
      </c>
      <c r="F60" s="6" t="s">
        <v>23</v>
      </c>
      <c r="G60" s="6" t="s">
        <v>24</v>
      </c>
      <c r="H60" s="6" t="s">
        <v>25</v>
      </c>
      <c r="I60" s="7" t="s">
        <v>12</v>
      </c>
      <c r="S60" s="62" t="s">
        <v>16</v>
      </c>
      <c r="T60" s="63" t="s">
        <v>15</v>
      </c>
    </row>
    <row r="61" spans="1:21" ht="17" thickTop="1" x14ac:dyDescent="0.2">
      <c r="A61" s="22"/>
      <c r="B61" s="81" t="s">
        <v>0</v>
      </c>
      <c r="C61" s="5" t="s">
        <v>1</v>
      </c>
      <c r="D61" s="9">
        <f t="shared" ref="D61:I75" si="21">D4*$D117</f>
        <v>115000</v>
      </c>
      <c r="E61" s="9">
        <f t="shared" si="21"/>
        <v>690000</v>
      </c>
      <c r="F61" s="10">
        <f t="shared" si="21"/>
        <v>276000</v>
      </c>
      <c r="G61" s="10">
        <f t="shared" si="21"/>
        <v>207000</v>
      </c>
      <c r="H61" s="10">
        <f t="shared" si="21"/>
        <v>207000</v>
      </c>
      <c r="I61" s="11">
        <f t="shared" si="21"/>
        <v>805000</v>
      </c>
      <c r="J61" s="22"/>
      <c r="K61" s="20"/>
      <c r="L61" s="20"/>
      <c r="M61" s="22"/>
      <c r="N61" s="20"/>
      <c r="O61" s="20"/>
      <c r="P61" s="20"/>
      <c r="R61" s="22"/>
      <c r="S61" s="64">
        <f t="shared" ref="S61:S75" si="22">SUM(F61:H61)-E61</f>
        <v>0</v>
      </c>
      <c r="T61" s="65">
        <f t="shared" ref="T61:T75" si="23">I61-(E61+D61)</f>
        <v>0</v>
      </c>
      <c r="U61" s="22"/>
    </row>
    <row r="62" spans="1:21" ht="16" x14ac:dyDescent="0.2">
      <c r="A62" s="22"/>
      <c r="B62" s="82"/>
      <c r="C62" s="3" t="s">
        <v>2</v>
      </c>
      <c r="D62" s="12">
        <f t="shared" si="21"/>
        <v>340000</v>
      </c>
      <c r="E62" s="13">
        <f t="shared" si="21"/>
        <v>2414000</v>
      </c>
      <c r="F62" s="14">
        <f t="shared" si="21"/>
        <v>965600</v>
      </c>
      <c r="G62" s="14">
        <f t="shared" si="21"/>
        <v>724200</v>
      </c>
      <c r="H62" s="14">
        <f t="shared" si="21"/>
        <v>724200</v>
      </c>
      <c r="I62" s="15">
        <f t="shared" si="21"/>
        <v>2754000</v>
      </c>
      <c r="J62" s="22"/>
      <c r="K62" s="20"/>
      <c r="L62" s="20"/>
      <c r="M62" s="22"/>
      <c r="N62" s="20"/>
      <c r="O62" s="20"/>
      <c r="P62" s="20"/>
      <c r="R62" s="22"/>
      <c r="S62" s="66">
        <f t="shared" si="22"/>
        <v>0</v>
      </c>
      <c r="T62" s="67">
        <f t="shared" si="23"/>
        <v>0</v>
      </c>
      <c r="U62" s="22"/>
    </row>
    <row r="63" spans="1:21" ht="16" x14ac:dyDescent="0.2">
      <c r="A63" s="22"/>
      <c r="B63" s="82"/>
      <c r="C63" s="3" t="s">
        <v>3</v>
      </c>
      <c r="D63" s="12">
        <f t="shared" si="21"/>
        <v>1030000</v>
      </c>
      <c r="E63" s="13">
        <f t="shared" si="21"/>
        <v>7416000</v>
      </c>
      <c r="F63" s="14">
        <f t="shared" si="21"/>
        <v>2966400</v>
      </c>
      <c r="G63" s="14">
        <f t="shared" si="21"/>
        <v>2224800</v>
      </c>
      <c r="H63" s="14">
        <f t="shared" si="21"/>
        <v>2224800</v>
      </c>
      <c r="I63" s="15">
        <f t="shared" si="21"/>
        <v>8446000</v>
      </c>
      <c r="J63" s="22"/>
      <c r="K63" s="20"/>
      <c r="L63" s="20"/>
      <c r="M63" s="22"/>
      <c r="N63" s="20"/>
      <c r="O63" s="20"/>
      <c r="P63" s="20"/>
      <c r="R63" s="22"/>
      <c r="S63" s="66">
        <f t="shared" si="22"/>
        <v>0</v>
      </c>
      <c r="T63" s="67">
        <f t="shared" si="23"/>
        <v>0</v>
      </c>
      <c r="U63" s="22"/>
    </row>
    <row r="64" spans="1:21" ht="16" x14ac:dyDescent="0.2">
      <c r="A64" s="22"/>
      <c r="B64" s="82"/>
      <c r="C64" s="3" t="s">
        <v>4</v>
      </c>
      <c r="D64" s="12">
        <f t="shared" si="21"/>
        <v>830000</v>
      </c>
      <c r="E64" s="13">
        <f t="shared" si="21"/>
        <v>6059000</v>
      </c>
      <c r="F64" s="14">
        <f t="shared" si="21"/>
        <v>2423600</v>
      </c>
      <c r="G64" s="14">
        <f t="shared" si="21"/>
        <v>1817700</v>
      </c>
      <c r="H64" s="14">
        <f t="shared" si="21"/>
        <v>1817700</v>
      </c>
      <c r="I64" s="15">
        <f t="shared" si="21"/>
        <v>6889000</v>
      </c>
      <c r="J64" s="22"/>
      <c r="K64" s="20"/>
      <c r="L64" s="20"/>
      <c r="M64" s="22"/>
      <c r="N64" s="20"/>
      <c r="O64" s="20"/>
      <c r="P64" s="20"/>
      <c r="R64" s="22"/>
      <c r="S64" s="66">
        <f t="shared" si="22"/>
        <v>0</v>
      </c>
      <c r="T64" s="67">
        <f t="shared" si="23"/>
        <v>0</v>
      </c>
      <c r="U64" s="22"/>
    </row>
    <row r="65" spans="1:21" ht="17" thickBot="1" x14ac:dyDescent="0.25">
      <c r="A65" s="22"/>
      <c r="B65" s="83"/>
      <c r="C65" s="4" t="s">
        <v>8</v>
      </c>
      <c r="D65" s="16">
        <f t="shared" si="21"/>
        <v>545000</v>
      </c>
      <c r="E65" s="17">
        <f t="shared" si="21"/>
        <v>4447200</v>
      </c>
      <c r="F65" s="18">
        <f t="shared" si="21"/>
        <v>1778880</v>
      </c>
      <c r="G65" s="18">
        <f t="shared" si="21"/>
        <v>1334160</v>
      </c>
      <c r="H65" s="18">
        <f t="shared" si="21"/>
        <v>1334160</v>
      </c>
      <c r="I65" s="19">
        <f t="shared" si="21"/>
        <v>4992200</v>
      </c>
      <c r="J65" s="22"/>
      <c r="K65" s="20"/>
      <c r="L65" s="20"/>
      <c r="M65" s="22"/>
      <c r="N65" s="20"/>
      <c r="O65" s="20"/>
      <c r="P65" s="20"/>
      <c r="R65" s="22"/>
      <c r="S65" s="68">
        <f t="shared" si="22"/>
        <v>0</v>
      </c>
      <c r="T65" s="69">
        <f t="shared" si="23"/>
        <v>0</v>
      </c>
      <c r="U65" s="22"/>
    </row>
    <row r="66" spans="1:21" ht="17" thickTop="1" x14ac:dyDescent="0.2">
      <c r="A66" s="22"/>
      <c r="B66" s="81" t="s">
        <v>5</v>
      </c>
      <c r="C66" s="5" t="s">
        <v>1</v>
      </c>
      <c r="D66" s="9">
        <f t="shared" si="21"/>
        <v>8700</v>
      </c>
      <c r="E66" s="9">
        <f t="shared" si="21"/>
        <v>69566</v>
      </c>
      <c r="F66" s="10">
        <f t="shared" si="21"/>
        <v>27826</v>
      </c>
      <c r="G66" s="10">
        <f t="shared" si="21"/>
        <v>20870</v>
      </c>
      <c r="H66" s="10">
        <f t="shared" si="21"/>
        <v>20870</v>
      </c>
      <c r="I66" s="11">
        <f t="shared" si="21"/>
        <v>78266</v>
      </c>
      <c r="J66" s="22"/>
      <c r="K66" s="20"/>
      <c r="L66" s="20"/>
      <c r="M66" s="22"/>
      <c r="N66" s="20"/>
      <c r="O66" s="20"/>
      <c r="P66" s="20"/>
      <c r="R66" s="22"/>
      <c r="S66" s="64">
        <f t="shared" si="22"/>
        <v>0</v>
      </c>
      <c r="T66" s="65">
        <f t="shared" si="23"/>
        <v>0</v>
      </c>
      <c r="U66" s="22"/>
    </row>
    <row r="67" spans="1:21" ht="16" x14ac:dyDescent="0.2">
      <c r="A67" s="22"/>
      <c r="B67" s="82"/>
      <c r="C67" s="3" t="s">
        <v>2</v>
      </c>
      <c r="D67" s="12">
        <f t="shared" si="21"/>
        <v>21750</v>
      </c>
      <c r="E67" s="13">
        <f t="shared" si="21"/>
        <v>183250</v>
      </c>
      <c r="F67" s="14">
        <f t="shared" si="21"/>
        <v>73300</v>
      </c>
      <c r="G67" s="14">
        <f t="shared" si="21"/>
        <v>54975</v>
      </c>
      <c r="H67" s="14">
        <f t="shared" si="21"/>
        <v>54975</v>
      </c>
      <c r="I67" s="15">
        <f t="shared" si="21"/>
        <v>205000</v>
      </c>
      <c r="J67" s="22"/>
      <c r="K67" s="20"/>
      <c r="L67" s="20"/>
      <c r="M67" s="22"/>
      <c r="N67" s="20"/>
      <c r="O67" s="20"/>
      <c r="P67" s="20"/>
      <c r="R67" s="22"/>
      <c r="S67" s="66">
        <f t="shared" si="22"/>
        <v>0</v>
      </c>
      <c r="T67" s="67">
        <f t="shared" si="23"/>
        <v>0</v>
      </c>
      <c r="U67" s="22"/>
    </row>
    <row r="68" spans="1:21" ht="16" x14ac:dyDescent="0.2">
      <c r="A68" s="22"/>
      <c r="B68" s="82"/>
      <c r="C68" s="3" t="s">
        <v>3</v>
      </c>
      <c r="D68" s="12">
        <f t="shared" si="21"/>
        <v>65250</v>
      </c>
      <c r="E68" s="13">
        <f t="shared" si="21"/>
        <v>549750</v>
      </c>
      <c r="F68" s="14">
        <f t="shared" si="21"/>
        <v>219900</v>
      </c>
      <c r="G68" s="14">
        <f t="shared" si="21"/>
        <v>164925</v>
      </c>
      <c r="H68" s="14">
        <f t="shared" si="21"/>
        <v>164925</v>
      </c>
      <c r="I68" s="15">
        <f t="shared" si="21"/>
        <v>615000</v>
      </c>
      <c r="J68" s="22"/>
      <c r="K68" s="20"/>
      <c r="L68" s="20"/>
      <c r="M68" s="22"/>
      <c r="N68" s="20"/>
      <c r="O68" s="20"/>
      <c r="P68" s="20"/>
      <c r="R68" s="22"/>
      <c r="S68" s="66">
        <f t="shared" si="22"/>
        <v>0</v>
      </c>
      <c r="T68" s="67">
        <f t="shared" si="23"/>
        <v>0</v>
      </c>
      <c r="U68" s="22"/>
    </row>
    <row r="69" spans="1:21" ht="16" x14ac:dyDescent="0.2">
      <c r="A69" s="22"/>
      <c r="B69" s="82"/>
      <c r="C69" s="3" t="s">
        <v>4</v>
      </c>
      <c r="D69" s="12">
        <f t="shared" si="21"/>
        <v>47850</v>
      </c>
      <c r="E69" s="13">
        <f t="shared" si="21"/>
        <v>403150</v>
      </c>
      <c r="F69" s="14">
        <f t="shared" si="21"/>
        <v>161260</v>
      </c>
      <c r="G69" s="14">
        <f t="shared" si="21"/>
        <v>120945</v>
      </c>
      <c r="H69" s="14">
        <f t="shared" si="21"/>
        <v>120945</v>
      </c>
      <c r="I69" s="15">
        <f t="shared" si="21"/>
        <v>451000</v>
      </c>
      <c r="J69" s="22"/>
      <c r="K69" s="20"/>
      <c r="L69" s="20"/>
      <c r="M69" s="22"/>
      <c r="N69" s="20"/>
      <c r="O69" s="20"/>
      <c r="P69" s="20"/>
      <c r="R69" s="22"/>
      <c r="S69" s="66">
        <f t="shared" si="22"/>
        <v>0</v>
      </c>
      <c r="T69" s="67">
        <f t="shared" si="23"/>
        <v>0</v>
      </c>
      <c r="U69" s="22"/>
    </row>
    <row r="70" spans="1:21" ht="17" thickBot="1" x14ac:dyDescent="0.25">
      <c r="A70" s="22"/>
      <c r="B70" s="83"/>
      <c r="C70" s="4" t="s">
        <v>8</v>
      </c>
      <c r="D70" s="16">
        <f t="shared" si="21"/>
        <v>47850</v>
      </c>
      <c r="E70" s="17">
        <f t="shared" si="21"/>
        <v>451000</v>
      </c>
      <c r="F70" s="18">
        <f t="shared" si="21"/>
        <v>180400</v>
      </c>
      <c r="G70" s="18">
        <f t="shared" si="21"/>
        <v>135300</v>
      </c>
      <c r="H70" s="18">
        <f t="shared" si="21"/>
        <v>135300</v>
      </c>
      <c r="I70" s="19">
        <f t="shared" si="21"/>
        <v>498850</v>
      </c>
      <c r="J70" s="22"/>
      <c r="K70" s="20"/>
      <c r="L70" s="20"/>
      <c r="M70" s="22"/>
      <c r="N70" s="20"/>
      <c r="O70" s="20"/>
      <c r="P70" s="20"/>
      <c r="R70" s="22"/>
      <c r="S70" s="68">
        <f t="shared" si="22"/>
        <v>0</v>
      </c>
      <c r="T70" s="69">
        <f t="shared" si="23"/>
        <v>0</v>
      </c>
      <c r="U70" s="22"/>
    </row>
    <row r="71" spans="1:21" ht="17" thickTop="1" x14ac:dyDescent="0.2">
      <c r="A71" s="22"/>
      <c r="B71" s="81" t="s">
        <v>6</v>
      </c>
      <c r="C71" s="5" t="s">
        <v>1</v>
      </c>
      <c r="D71" s="9">
        <f t="shared" si="21"/>
        <v>200000</v>
      </c>
      <c r="E71" s="9">
        <f t="shared" si="21"/>
        <v>1600000</v>
      </c>
      <c r="F71" s="10">
        <f t="shared" si="21"/>
        <v>640000</v>
      </c>
      <c r="G71" s="10">
        <f t="shared" si="21"/>
        <v>480000</v>
      </c>
      <c r="H71" s="10">
        <f t="shared" si="21"/>
        <v>480000</v>
      </c>
      <c r="I71" s="11">
        <f t="shared" si="21"/>
        <v>1800000</v>
      </c>
      <c r="J71" s="22"/>
      <c r="K71" s="20"/>
      <c r="L71" s="20"/>
      <c r="M71" s="22"/>
      <c r="N71" s="20"/>
      <c r="O71" s="20"/>
      <c r="P71" s="20"/>
      <c r="R71" s="22"/>
      <c r="S71" s="64">
        <f t="shared" si="22"/>
        <v>0</v>
      </c>
      <c r="T71" s="65">
        <f t="shared" si="23"/>
        <v>0</v>
      </c>
      <c r="U71" s="22"/>
    </row>
    <row r="72" spans="1:21" ht="16" x14ac:dyDescent="0.2">
      <c r="A72" s="22"/>
      <c r="B72" s="82"/>
      <c r="C72" s="3" t="s">
        <v>2</v>
      </c>
      <c r="D72" s="12">
        <f t="shared" si="21"/>
        <v>610000</v>
      </c>
      <c r="E72" s="13">
        <f t="shared" si="21"/>
        <v>5124000</v>
      </c>
      <c r="F72" s="14">
        <f t="shared" si="21"/>
        <v>2049600</v>
      </c>
      <c r="G72" s="14">
        <f t="shared" si="21"/>
        <v>1537200</v>
      </c>
      <c r="H72" s="14">
        <f t="shared" si="21"/>
        <v>1537200</v>
      </c>
      <c r="I72" s="15">
        <f t="shared" si="21"/>
        <v>5734000</v>
      </c>
      <c r="J72" s="22"/>
      <c r="K72" s="20"/>
      <c r="L72" s="20"/>
      <c r="M72" s="22"/>
      <c r="N72" s="20"/>
      <c r="O72" s="20"/>
      <c r="P72" s="20"/>
      <c r="R72" s="22"/>
      <c r="S72" s="66">
        <f t="shared" si="22"/>
        <v>0</v>
      </c>
      <c r="T72" s="67">
        <f t="shared" si="23"/>
        <v>0</v>
      </c>
      <c r="U72" s="22"/>
    </row>
    <row r="73" spans="1:21" ht="16" x14ac:dyDescent="0.2">
      <c r="A73" s="22"/>
      <c r="B73" s="82"/>
      <c r="C73" s="3" t="s">
        <v>3</v>
      </c>
      <c r="D73" s="12">
        <f t="shared" si="21"/>
        <v>1985000</v>
      </c>
      <c r="E73" s="13">
        <f t="shared" si="21"/>
        <v>16674000</v>
      </c>
      <c r="F73" s="14">
        <f t="shared" si="21"/>
        <v>6669600</v>
      </c>
      <c r="G73" s="14">
        <f t="shared" si="21"/>
        <v>5002200</v>
      </c>
      <c r="H73" s="14">
        <f t="shared" si="21"/>
        <v>5002200</v>
      </c>
      <c r="I73" s="15">
        <f t="shared" si="21"/>
        <v>18659000</v>
      </c>
      <c r="J73" s="22"/>
      <c r="K73" s="20"/>
      <c r="L73" s="20"/>
      <c r="M73" s="22"/>
      <c r="N73" s="20"/>
      <c r="O73" s="20"/>
      <c r="P73" s="20"/>
      <c r="R73" s="22"/>
      <c r="S73" s="66">
        <f t="shared" si="22"/>
        <v>0</v>
      </c>
      <c r="T73" s="67">
        <f t="shared" si="23"/>
        <v>0</v>
      </c>
      <c r="U73" s="22"/>
    </row>
    <row r="74" spans="1:21" ht="16" x14ac:dyDescent="0.2">
      <c r="A74" s="22"/>
      <c r="B74" s="82"/>
      <c r="C74" s="3" t="s">
        <v>4</v>
      </c>
      <c r="D74" s="12">
        <f t="shared" si="21"/>
        <v>1680000</v>
      </c>
      <c r="E74" s="13">
        <f t="shared" si="21"/>
        <v>14280000</v>
      </c>
      <c r="F74" s="14">
        <f t="shared" si="21"/>
        <v>5712000</v>
      </c>
      <c r="G74" s="14">
        <f t="shared" si="21"/>
        <v>4284000</v>
      </c>
      <c r="H74" s="14">
        <f t="shared" si="21"/>
        <v>4284000</v>
      </c>
      <c r="I74" s="15">
        <f t="shared" si="21"/>
        <v>15960000</v>
      </c>
      <c r="J74" s="22"/>
      <c r="K74" s="20"/>
      <c r="L74" s="20"/>
      <c r="M74" s="22"/>
      <c r="N74" s="20"/>
      <c r="O74" s="20"/>
      <c r="P74" s="20"/>
      <c r="R74" s="22"/>
      <c r="S74" s="66">
        <f t="shared" si="22"/>
        <v>0</v>
      </c>
      <c r="T74" s="67">
        <f t="shared" si="23"/>
        <v>0</v>
      </c>
      <c r="U74" s="22"/>
    </row>
    <row r="75" spans="1:21" ht="17" thickBot="1" x14ac:dyDescent="0.25">
      <c r="A75" s="22"/>
      <c r="B75" s="83"/>
      <c r="C75" s="4" t="s">
        <v>8</v>
      </c>
      <c r="D75" s="16">
        <f t="shared" si="21"/>
        <v>1180000</v>
      </c>
      <c r="E75" s="17">
        <f t="shared" si="21"/>
        <v>11210000</v>
      </c>
      <c r="F75" s="18">
        <f t="shared" si="21"/>
        <v>4484000</v>
      </c>
      <c r="G75" s="18">
        <f t="shared" si="21"/>
        <v>3363000</v>
      </c>
      <c r="H75" s="18">
        <f t="shared" si="21"/>
        <v>3363000</v>
      </c>
      <c r="I75" s="19">
        <f t="shared" si="21"/>
        <v>12390000</v>
      </c>
      <c r="J75" s="22"/>
      <c r="K75" s="20"/>
      <c r="L75" s="20"/>
      <c r="M75" s="22"/>
      <c r="N75" s="20"/>
      <c r="O75" s="20"/>
      <c r="P75" s="20"/>
      <c r="R75" s="22"/>
      <c r="S75" s="68">
        <f t="shared" si="22"/>
        <v>0</v>
      </c>
      <c r="T75" s="69">
        <f t="shared" si="23"/>
        <v>0</v>
      </c>
      <c r="U75" s="22"/>
    </row>
    <row r="76" spans="1:21" ht="16" thickTop="1" x14ac:dyDescent="0.2"/>
    <row r="77" spans="1:21" ht="16" thickBot="1" x14ac:dyDescent="0.25"/>
    <row r="78" spans="1:21" ht="22" thickTop="1" thickBot="1" x14ac:dyDescent="0.25">
      <c r="B78" s="87" t="s">
        <v>30</v>
      </c>
      <c r="C78" s="88"/>
      <c r="D78" s="88"/>
      <c r="E78" s="88"/>
      <c r="F78" s="88"/>
      <c r="G78" s="88"/>
      <c r="H78" s="88"/>
      <c r="I78" s="89"/>
      <c r="S78" s="71" t="s">
        <v>33</v>
      </c>
      <c r="T78" s="72"/>
    </row>
    <row r="79" spans="1:21" ht="50" thickTop="1" thickBot="1" x14ac:dyDescent="0.25">
      <c r="B79" s="79" t="s">
        <v>7</v>
      </c>
      <c r="C79" s="80"/>
      <c r="D79" s="6" t="s">
        <v>10</v>
      </c>
      <c r="E79" s="6" t="s">
        <v>11</v>
      </c>
      <c r="F79" s="6" t="s">
        <v>23</v>
      </c>
      <c r="G79" s="6" t="s">
        <v>24</v>
      </c>
      <c r="H79" s="6" t="s">
        <v>25</v>
      </c>
      <c r="I79" s="7" t="s">
        <v>12</v>
      </c>
      <c r="S79" s="62" t="s">
        <v>16</v>
      </c>
      <c r="T79" s="63" t="s">
        <v>15</v>
      </c>
    </row>
    <row r="80" spans="1:21" ht="17" thickTop="1" x14ac:dyDescent="0.2">
      <c r="A80" s="22"/>
      <c r="B80" s="81" t="s">
        <v>0</v>
      </c>
      <c r="C80" s="5" t="s">
        <v>1</v>
      </c>
      <c r="D80" s="9">
        <f t="shared" ref="D80:I94" si="24">D23*$D117</f>
        <v>115000</v>
      </c>
      <c r="E80" s="9">
        <f t="shared" si="24"/>
        <v>690000</v>
      </c>
      <c r="F80" s="10">
        <f t="shared" si="24"/>
        <v>276000</v>
      </c>
      <c r="G80" s="10">
        <f t="shared" si="24"/>
        <v>207000</v>
      </c>
      <c r="H80" s="10">
        <f t="shared" si="24"/>
        <v>207000</v>
      </c>
      <c r="I80" s="11">
        <f t="shared" si="24"/>
        <v>805000</v>
      </c>
      <c r="J80" s="22"/>
      <c r="K80" s="20"/>
      <c r="L80" s="20"/>
      <c r="M80" s="22"/>
      <c r="N80" s="20"/>
      <c r="O80" s="20"/>
      <c r="P80" s="20"/>
      <c r="R80" s="22"/>
      <c r="S80" s="64">
        <f t="shared" ref="S80:S94" si="25">SUM(F80:H80)-E80</f>
        <v>0</v>
      </c>
      <c r="T80" s="65">
        <f t="shared" ref="T80:T94" si="26">I80-(E80+D80)</f>
        <v>0</v>
      </c>
      <c r="U80" s="22"/>
    </row>
    <row r="81" spans="1:21" ht="16" x14ac:dyDescent="0.2">
      <c r="A81" s="22"/>
      <c r="B81" s="82"/>
      <c r="C81" s="3" t="s">
        <v>2</v>
      </c>
      <c r="D81" s="12">
        <f t="shared" si="24"/>
        <v>340000</v>
      </c>
      <c r="E81" s="13">
        <f t="shared" si="24"/>
        <v>2346000</v>
      </c>
      <c r="F81" s="14">
        <f t="shared" si="24"/>
        <v>938400</v>
      </c>
      <c r="G81" s="14">
        <f t="shared" si="24"/>
        <v>703800</v>
      </c>
      <c r="H81" s="14">
        <f t="shared" si="24"/>
        <v>703800</v>
      </c>
      <c r="I81" s="15">
        <f t="shared" si="24"/>
        <v>2686000</v>
      </c>
      <c r="J81" s="22"/>
      <c r="K81" s="20"/>
      <c r="L81" s="20"/>
      <c r="M81" s="22"/>
      <c r="N81" s="20"/>
      <c r="O81" s="20"/>
      <c r="P81" s="20"/>
      <c r="R81" s="22"/>
      <c r="S81" s="66">
        <f t="shared" si="25"/>
        <v>0</v>
      </c>
      <c r="T81" s="67">
        <f t="shared" si="26"/>
        <v>0</v>
      </c>
      <c r="U81" s="22"/>
    </row>
    <row r="82" spans="1:21" ht="16" x14ac:dyDescent="0.2">
      <c r="A82" s="22"/>
      <c r="B82" s="82"/>
      <c r="C82" s="3" t="s">
        <v>3</v>
      </c>
      <c r="D82" s="12">
        <f t="shared" si="24"/>
        <v>1030000</v>
      </c>
      <c r="E82" s="13">
        <f t="shared" si="24"/>
        <v>7107000</v>
      </c>
      <c r="F82" s="14">
        <f t="shared" si="24"/>
        <v>2842800</v>
      </c>
      <c r="G82" s="14">
        <f t="shared" si="24"/>
        <v>2132100</v>
      </c>
      <c r="H82" s="14">
        <f t="shared" si="24"/>
        <v>2132100</v>
      </c>
      <c r="I82" s="15">
        <f t="shared" si="24"/>
        <v>8137000</v>
      </c>
      <c r="J82" s="22"/>
      <c r="K82" s="20"/>
      <c r="L82" s="20"/>
      <c r="M82" s="22"/>
      <c r="N82" s="20"/>
      <c r="O82" s="20"/>
      <c r="P82" s="20"/>
      <c r="R82" s="22"/>
      <c r="S82" s="66">
        <f t="shared" si="25"/>
        <v>0</v>
      </c>
      <c r="T82" s="67">
        <f t="shared" si="26"/>
        <v>0</v>
      </c>
      <c r="U82" s="22"/>
    </row>
    <row r="83" spans="1:21" ht="16" x14ac:dyDescent="0.2">
      <c r="A83" s="22"/>
      <c r="B83" s="82"/>
      <c r="C83" s="3" t="s">
        <v>4</v>
      </c>
      <c r="D83" s="12">
        <f t="shared" si="24"/>
        <v>830000</v>
      </c>
      <c r="E83" s="13">
        <f t="shared" si="24"/>
        <v>5727000</v>
      </c>
      <c r="F83" s="14">
        <f t="shared" si="24"/>
        <v>2290800</v>
      </c>
      <c r="G83" s="14">
        <f t="shared" si="24"/>
        <v>1718100</v>
      </c>
      <c r="H83" s="14">
        <f t="shared" si="24"/>
        <v>1718100</v>
      </c>
      <c r="I83" s="15">
        <f t="shared" si="24"/>
        <v>6557000</v>
      </c>
      <c r="J83" s="22"/>
      <c r="K83" s="20"/>
      <c r="L83" s="20"/>
      <c r="M83" s="22"/>
      <c r="N83" s="20"/>
      <c r="O83" s="20"/>
      <c r="P83" s="20"/>
      <c r="R83" s="22"/>
      <c r="S83" s="66">
        <f t="shared" si="25"/>
        <v>0</v>
      </c>
      <c r="T83" s="67">
        <f t="shared" si="26"/>
        <v>0</v>
      </c>
      <c r="U83" s="22"/>
    </row>
    <row r="84" spans="1:21" ht="17" thickBot="1" x14ac:dyDescent="0.25">
      <c r="A84" s="22"/>
      <c r="B84" s="83"/>
      <c r="C84" s="4" t="s">
        <v>8</v>
      </c>
      <c r="D84" s="16">
        <f t="shared" si="24"/>
        <v>545000</v>
      </c>
      <c r="E84" s="17">
        <f t="shared" si="24"/>
        <v>4196500</v>
      </c>
      <c r="F84" s="18">
        <f t="shared" si="24"/>
        <v>1678600</v>
      </c>
      <c r="G84" s="18">
        <f t="shared" si="24"/>
        <v>1258950</v>
      </c>
      <c r="H84" s="18">
        <f t="shared" si="24"/>
        <v>1258950</v>
      </c>
      <c r="I84" s="19">
        <f t="shared" si="24"/>
        <v>4741500</v>
      </c>
      <c r="J84" s="22"/>
      <c r="K84" s="20"/>
      <c r="L84" s="20"/>
      <c r="M84" s="22"/>
      <c r="N84" s="20"/>
      <c r="O84" s="20"/>
      <c r="P84" s="20"/>
      <c r="R84" s="22"/>
      <c r="S84" s="68">
        <f t="shared" si="25"/>
        <v>0</v>
      </c>
      <c r="T84" s="69">
        <f t="shared" si="26"/>
        <v>0</v>
      </c>
      <c r="U84" s="22"/>
    </row>
    <row r="85" spans="1:21" ht="17" thickTop="1" x14ac:dyDescent="0.2">
      <c r="A85" s="22"/>
      <c r="B85" s="81" t="s">
        <v>5</v>
      </c>
      <c r="C85" s="5" t="s">
        <v>1</v>
      </c>
      <c r="D85" s="9">
        <f t="shared" si="24"/>
        <v>8700</v>
      </c>
      <c r="E85" s="9">
        <f t="shared" si="24"/>
        <v>69566</v>
      </c>
      <c r="F85" s="10">
        <f t="shared" si="24"/>
        <v>27826.400000000001</v>
      </c>
      <c r="G85" s="10">
        <f t="shared" si="24"/>
        <v>20869.8</v>
      </c>
      <c r="H85" s="10">
        <f t="shared" si="24"/>
        <v>20869.8</v>
      </c>
      <c r="I85" s="11">
        <f t="shared" si="24"/>
        <v>78266</v>
      </c>
      <c r="J85" s="22"/>
      <c r="K85" s="20"/>
      <c r="L85" s="20"/>
      <c r="M85" s="22"/>
      <c r="N85" s="20"/>
      <c r="O85" s="20"/>
      <c r="P85" s="20"/>
      <c r="R85" s="22"/>
      <c r="S85" s="64">
        <f t="shared" si="25"/>
        <v>0</v>
      </c>
      <c r="T85" s="65">
        <f t="shared" si="26"/>
        <v>0</v>
      </c>
      <c r="U85" s="22"/>
    </row>
    <row r="86" spans="1:21" ht="16" x14ac:dyDescent="0.2">
      <c r="A86" s="22"/>
      <c r="B86" s="82"/>
      <c r="C86" s="3" t="s">
        <v>2</v>
      </c>
      <c r="D86" s="12">
        <f t="shared" si="24"/>
        <v>21750</v>
      </c>
      <c r="E86" s="13">
        <f t="shared" si="24"/>
        <v>178250</v>
      </c>
      <c r="F86" s="14">
        <f t="shared" si="24"/>
        <v>71300</v>
      </c>
      <c r="G86" s="14">
        <f t="shared" si="24"/>
        <v>53475</v>
      </c>
      <c r="H86" s="14">
        <f t="shared" si="24"/>
        <v>53475</v>
      </c>
      <c r="I86" s="15">
        <f t="shared" si="24"/>
        <v>200000</v>
      </c>
      <c r="J86" s="22"/>
      <c r="K86" s="20"/>
      <c r="L86" s="20"/>
      <c r="M86" s="22"/>
      <c r="N86" s="20"/>
      <c r="O86" s="20"/>
      <c r="P86" s="20"/>
      <c r="R86" s="22"/>
      <c r="S86" s="66">
        <f t="shared" si="25"/>
        <v>0</v>
      </c>
      <c r="T86" s="67">
        <f t="shared" si="26"/>
        <v>0</v>
      </c>
      <c r="U86" s="22"/>
    </row>
    <row r="87" spans="1:21" ht="16" x14ac:dyDescent="0.2">
      <c r="A87" s="22"/>
      <c r="B87" s="82"/>
      <c r="C87" s="3" t="s">
        <v>3</v>
      </c>
      <c r="D87" s="12">
        <f t="shared" si="24"/>
        <v>65250</v>
      </c>
      <c r="E87" s="13">
        <f t="shared" si="24"/>
        <v>534750</v>
      </c>
      <c r="F87" s="14">
        <f t="shared" si="24"/>
        <v>213900</v>
      </c>
      <c r="G87" s="14">
        <f t="shared" si="24"/>
        <v>160425</v>
      </c>
      <c r="H87" s="14">
        <f t="shared" si="24"/>
        <v>160425</v>
      </c>
      <c r="I87" s="15">
        <f t="shared" si="24"/>
        <v>600000</v>
      </c>
      <c r="J87" s="22"/>
      <c r="K87" s="20"/>
      <c r="L87" s="20"/>
      <c r="M87" s="22"/>
      <c r="N87" s="20"/>
      <c r="O87" s="20"/>
      <c r="P87" s="20"/>
      <c r="R87" s="22"/>
      <c r="S87" s="66">
        <f t="shared" si="25"/>
        <v>0</v>
      </c>
      <c r="T87" s="67">
        <f t="shared" si="26"/>
        <v>0</v>
      </c>
      <c r="U87" s="22"/>
    </row>
    <row r="88" spans="1:21" ht="16" x14ac:dyDescent="0.2">
      <c r="A88" s="22"/>
      <c r="B88" s="82"/>
      <c r="C88" s="3" t="s">
        <v>4</v>
      </c>
      <c r="D88" s="12">
        <f t="shared" si="24"/>
        <v>47850</v>
      </c>
      <c r="E88" s="13">
        <f t="shared" si="24"/>
        <v>392150</v>
      </c>
      <c r="F88" s="14">
        <f t="shared" si="24"/>
        <v>156860</v>
      </c>
      <c r="G88" s="14">
        <f t="shared" si="24"/>
        <v>117645</v>
      </c>
      <c r="H88" s="14">
        <f t="shared" si="24"/>
        <v>117645</v>
      </c>
      <c r="I88" s="15">
        <f t="shared" si="24"/>
        <v>440000</v>
      </c>
      <c r="J88" s="22"/>
      <c r="K88" s="20"/>
      <c r="L88" s="20"/>
      <c r="M88" s="22"/>
      <c r="N88" s="20"/>
      <c r="O88" s="20"/>
      <c r="P88" s="20"/>
      <c r="R88" s="22"/>
      <c r="S88" s="66">
        <f t="shared" si="25"/>
        <v>0</v>
      </c>
      <c r="T88" s="67">
        <f t="shared" si="26"/>
        <v>0</v>
      </c>
      <c r="U88" s="22"/>
    </row>
    <row r="89" spans="1:21" ht="17" thickBot="1" x14ac:dyDescent="0.25">
      <c r="A89" s="22"/>
      <c r="B89" s="83"/>
      <c r="C89" s="4" t="s">
        <v>8</v>
      </c>
      <c r="D89" s="16">
        <f t="shared" si="24"/>
        <v>47850</v>
      </c>
      <c r="E89" s="17">
        <f t="shared" si="24"/>
        <v>440000</v>
      </c>
      <c r="F89" s="18">
        <f t="shared" si="24"/>
        <v>176000</v>
      </c>
      <c r="G89" s="18">
        <f t="shared" si="24"/>
        <v>132000</v>
      </c>
      <c r="H89" s="18">
        <f t="shared" si="24"/>
        <v>132000</v>
      </c>
      <c r="I89" s="19">
        <f t="shared" si="24"/>
        <v>487850</v>
      </c>
      <c r="J89" s="22"/>
      <c r="K89" s="20"/>
      <c r="L89" s="20"/>
      <c r="M89" s="22"/>
      <c r="N89" s="20"/>
      <c r="O89" s="20"/>
      <c r="P89" s="20"/>
      <c r="R89" s="22"/>
      <c r="S89" s="68">
        <f t="shared" si="25"/>
        <v>0</v>
      </c>
      <c r="T89" s="69">
        <f t="shared" si="26"/>
        <v>0</v>
      </c>
      <c r="U89" s="22"/>
    </row>
    <row r="90" spans="1:21" ht="17" thickTop="1" x14ac:dyDescent="0.2">
      <c r="A90" s="22"/>
      <c r="B90" s="81" t="s">
        <v>6</v>
      </c>
      <c r="C90" s="5" t="s">
        <v>1</v>
      </c>
      <c r="D90" s="9">
        <f t="shared" si="24"/>
        <v>200000</v>
      </c>
      <c r="E90" s="9">
        <f t="shared" si="24"/>
        <v>1600000</v>
      </c>
      <c r="F90" s="10">
        <f t="shared" si="24"/>
        <v>640000</v>
      </c>
      <c r="G90" s="10">
        <f t="shared" si="24"/>
        <v>480000</v>
      </c>
      <c r="H90" s="10">
        <f t="shared" si="24"/>
        <v>480000</v>
      </c>
      <c r="I90" s="11">
        <f t="shared" si="24"/>
        <v>1800000</v>
      </c>
      <c r="J90" s="22"/>
      <c r="K90" s="20"/>
      <c r="L90" s="20"/>
      <c r="M90" s="22"/>
      <c r="N90" s="20"/>
      <c r="O90" s="20"/>
      <c r="P90" s="20"/>
      <c r="R90" s="22"/>
      <c r="S90" s="64">
        <f t="shared" si="25"/>
        <v>0</v>
      </c>
      <c r="T90" s="65">
        <f t="shared" si="26"/>
        <v>0</v>
      </c>
      <c r="U90" s="22"/>
    </row>
    <row r="91" spans="1:21" ht="16" x14ac:dyDescent="0.2">
      <c r="A91" s="22"/>
      <c r="B91" s="82"/>
      <c r="C91" s="3" t="s">
        <v>2</v>
      </c>
      <c r="D91" s="12">
        <f t="shared" si="24"/>
        <v>610000</v>
      </c>
      <c r="E91" s="13">
        <f t="shared" si="24"/>
        <v>5002000</v>
      </c>
      <c r="F91" s="14">
        <f t="shared" si="24"/>
        <v>2000800</v>
      </c>
      <c r="G91" s="14">
        <f t="shared" si="24"/>
        <v>1500600</v>
      </c>
      <c r="H91" s="14">
        <f t="shared" si="24"/>
        <v>1500600</v>
      </c>
      <c r="I91" s="15">
        <f t="shared" si="24"/>
        <v>5612000</v>
      </c>
      <c r="J91" s="22"/>
      <c r="K91" s="20"/>
      <c r="L91" s="20"/>
      <c r="M91" s="22"/>
      <c r="N91" s="20"/>
      <c r="O91" s="20"/>
      <c r="P91" s="20"/>
      <c r="R91" s="22"/>
      <c r="S91" s="66">
        <f t="shared" si="25"/>
        <v>0</v>
      </c>
      <c r="T91" s="67">
        <f t="shared" si="26"/>
        <v>0</v>
      </c>
      <c r="U91" s="22"/>
    </row>
    <row r="92" spans="1:21" ht="16" x14ac:dyDescent="0.2">
      <c r="A92" s="22"/>
      <c r="B92" s="82"/>
      <c r="C92" s="3" t="s">
        <v>3</v>
      </c>
      <c r="D92" s="12">
        <f t="shared" si="24"/>
        <v>1985000</v>
      </c>
      <c r="E92" s="13">
        <f t="shared" si="24"/>
        <v>16277000</v>
      </c>
      <c r="F92" s="14">
        <f t="shared" si="24"/>
        <v>6510800</v>
      </c>
      <c r="G92" s="14">
        <f t="shared" si="24"/>
        <v>4883100</v>
      </c>
      <c r="H92" s="14">
        <f t="shared" si="24"/>
        <v>4883100</v>
      </c>
      <c r="I92" s="15">
        <f t="shared" si="24"/>
        <v>18262000</v>
      </c>
      <c r="J92" s="22"/>
      <c r="K92" s="20"/>
      <c r="L92" s="20"/>
      <c r="M92" s="22"/>
      <c r="N92" s="20"/>
      <c r="O92" s="20"/>
      <c r="P92" s="20"/>
      <c r="R92" s="22"/>
      <c r="S92" s="66">
        <f t="shared" si="25"/>
        <v>0</v>
      </c>
      <c r="T92" s="67">
        <f t="shared" si="26"/>
        <v>0</v>
      </c>
      <c r="U92" s="22"/>
    </row>
    <row r="93" spans="1:21" ht="16" x14ac:dyDescent="0.2">
      <c r="A93" s="22"/>
      <c r="B93" s="82"/>
      <c r="C93" s="3" t="s">
        <v>4</v>
      </c>
      <c r="D93" s="12">
        <f t="shared" si="24"/>
        <v>1680000</v>
      </c>
      <c r="E93" s="13">
        <f t="shared" si="24"/>
        <v>13776000</v>
      </c>
      <c r="F93" s="14">
        <f t="shared" si="24"/>
        <v>5510400</v>
      </c>
      <c r="G93" s="14">
        <f t="shared" si="24"/>
        <v>4132800</v>
      </c>
      <c r="H93" s="14">
        <f t="shared" si="24"/>
        <v>4132800</v>
      </c>
      <c r="I93" s="15">
        <f t="shared" si="24"/>
        <v>15456000</v>
      </c>
      <c r="J93" s="22"/>
      <c r="K93" s="20"/>
      <c r="L93" s="20"/>
      <c r="M93" s="22"/>
      <c r="N93" s="20"/>
      <c r="O93" s="20"/>
      <c r="P93" s="20"/>
      <c r="R93" s="22"/>
      <c r="S93" s="66">
        <f t="shared" si="25"/>
        <v>0</v>
      </c>
      <c r="T93" s="67">
        <f t="shared" si="26"/>
        <v>0</v>
      </c>
      <c r="U93" s="22"/>
    </row>
    <row r="94" spans="1:21" ht="17" thickBot="1" x14ac:dyDescent="0.25">
      <c r="A94" s="22"/>
      <c r="B94" s="83"/>
      <c r="C94" s="4" t="s">
        <v>8</v>
      </c>
      <c r="D94" s="16">
        <f t="shared" si="24"/>
        <v>1180000</v>
      </c>
      <c r="E94" s="17">
        <f t="shared" si="24"/>
        <v>10856000</v>
      </c>
      <c r="F94" s="18">
        <f t="shared" si="24"/>
        <v>4342400</v>
      </c>
      <c r="G94" s="18">
        <f t="shared" si="24"/>
        <v>3256800</v>
      </c>
      <c r="H94" s="18">
        <f t="shared" si="24"/>
        <v>3256800</v>
      </c>
      <c r="I94" s="19">
        <f t="shared" si="24"/>
        <v>12036000</v>
      </c>
      <c r="J94" s="22"/>
      <c r="K94" s="20"/>
      <c r="L94" s="20"/>
      <c r="M94" s="22"/>
      <c r="N94" s="20"/>
      <c r="O94" s="20"/>
      <c r="P94" s="20"/>
      <c r="R94" s="22"/>
      <c r="S94" s="68">
        <f t="shared" si="25"/>
        <v>0</v>
      </c>
      <c r="T94" s="69">
        <f t="shared" si="26"/>
        <v>0</v>
      </c>
      <c r="U94" s="22"/>
    </row>
    <row r="95" spans="1:21" ht="16" thickTop="1" x14ac:dyDescent="0.2"/>
    <row r="96" spans="1:21" ht="16" thickBot="1" x14ac:dyDescent="0.25"/>
    <row r="97" spans="1:21" ht="22" thickTop="1" thickBot="1" x14ac:dyDescent="0.25">
      <c r="B97" s="87" t="s">
        <v>31</v>
      </c>
      <c r="C97" s="88"/>
      <c r="D97" s="88"/>
      <c r="E97" s="88"/>
      <c r="F97" s="88"/>
      <c r="G97" s="88"/>
      <c r="H97" s="88"/>
      <c r="I97" s="89"/>
      <c r="S97" s="71" t="s">
        <v>33</v>
      </c>
      <c r="T97" s="72"/>
    </row>
    <row r="98" spans="1:21" ht="50" thickTop="1" thickBot="1" x14ac:dyDescent="0.25">
      <c r="B98" s="79" t="s">
        <v>7</v>
      </c>
      <c r="C98" s="80"/>
      <c r="D98" s="6" t="s">
        <v>10</v>
      </c>
      <c r="E98" s="6" t="s">
        <v>11</v>
      </c>
      <c r="F98" s="6" t="s">
        <v>23</v>
      </c>
      <c r="G98" s="6" t="s">
        <v>24</v>
      </c>
      <c r="H98" s="6" t="s">
        <v>25</v>
      </c>
      <c r="I98" s="7" t="s">
        <v>12</v>
      </c>
      <c r="S98" s="62" t="s">
        <v>16</v>
      </c>
      <c r="T98" s="63" t="s">
        <v>15</v>
      </c>
    </row>
    <row r="99" spans="1:21" ht="17" thickTop="1" x14ac:dyDescent="0.2">
      <c r="A99" s="22"/>
      <c r="B99" s="81" t="s">
        <v>0</v>
      </c>
      <c r="C99" s="5" t="s">
        <v>1</v>
      </c>
      <c r="D99" s="9">
        <f t="shared" ref="D99:I113" si="27">D42*$D117</f>
        <v>0</v>
      </c>
      <c r="E99" s="9">
        <f t="shared" si="27"/>
        <v>0</v>
      </c>
      <c r="F99" s="10">
        <f t="shared" si="27"/>
        <v>0</v>
      </c>
      <c r="G99" s="10">
        <f t="shared" si="27"/>
        <v>0</v>
      </c>
      <c r="H99" s="10">
        <f t="shared" si="27"/>
        <v>0</v>
      </c>
      <c r="I99" s="11">
        <f t="shared" si="27"/>
        <v>0</v>
      </c>
      <c r="J99" s="22"/>
      <c r="K99" s="20"/>
      <c r="L99" s="20"/>
      <c r="M99" s="22"/>
      <c r="N99" s="20"/>
      <c r="O99" s="20"/>
      <c r="P99" s="20"/>
      <c r="R99" s="22"/>
      <c r="S99" s="64">
        <f t="shared" ref="S99:S113" si="28">SUM(F99:H99)-E99</f>
        <v>0</v>
      </c>
      <c r="T99" s="65">
        <f t="shared" ref="T99:T113" si="29">I99-(E99+D99)</f>
        <v>0</v>
      </c>
      <c r="U99" s="22"/>
    </row>
    <row r="100" spans="1:21" ht="16" x14ac:dyDescent="0.2">
      <c r="A100" s="22"/>
      <c r="B100" s="82"/>
      <c r="C100" s="3" t="s">
        <v>2</v>
      </c>
      <c r="D100" s="12">
        <f t="shared" si="27"/>
        <v>0</v>
      </c>
      <c r="E100" s="13">
        <f t="shared" si="27"/>
        <v>68000</v>
      </c>
      <c r="F100" s="14">
        <f t="shared" si="27"/>
        <v>27200</v>
      </c>
      <c r="G100" s="14">
        <f t="shared" si="27"/>
        <v>20400</v>
      </c>
      <c r="H100" s="14">
        <f t="shared" si="27"/>
        <v>20400</v>
      </c>
      <c r="I100" s="15">
        <f t="shared" si="27"/>
        <v>68000</v>
      </c>
      <c r="J100" s="22"/>
      <c r="K100" s="20"/>
      <c r="L100" s="20"/>
      <c r="M100" s="22"/>
      <c r="N100" s="20"/>
      <c r="O100" s="20"/>
      <c r="P100" s="20"/>
      <c r="R100" s="22"/>
      <c r="S100" s="66">
        <f t="shared" si="28"/>
        <v>0</v>
      </c>
      <c r="T100" s="67">
        <f t="shared" si="29"/>
        <v>0</v>
      </c>
      <c r="U100" s="22"/>
    </row>
    <row r="101" spans="1:21" ht="16" x14ac:dyDescent="0.2">
      <c r="A101" s="22"/>
      <c r="B101" s="82"/>
      <c r="C101" s="3" t="s">
        <v>3</v>
      </c>
      <c r="D101" s="12">
        <f t="shared" si="27"/>
        <v>0</v>
      </c>
      <c r="E101" s="13">
        <f t="shared" si="27"/>
        <v>309000</v>
      </c>
      <c r="F101" s="14">
        <f t="shared" si="27"/>
        <v>123600</v>
      </c>
      <c r="G101" s="14">
        <f t="shared" si="27"/>
        <v>92700</v>
      </c>
      <c r="H101" s="14">
        <f t="shared" si="27"/>
        <v>92700</v>
      </c>
      <c r="I101" s="15">
        <f t="shared" si="27"/>
        <v>309000</v>
      </c>
      <c r="J101" s="22"/>
      <c r="K101" s="20"/>
      <c r="L101" s="20"/>
      <c r="M101" s="22"/>
      <c r="N101" s="20"/>
      <c r="O101" s="20"/>
      <c r="P101" s="20"/>
      <c r="R101" s="22"/>
      <c r="S101" s="66">
        <f t="shared" si="28"/>
        <v>0</v>
      </c>
      <c r="T101" s="67">
        <f t="shared" si="29"/>
        <v>0</v>
      </c>
      <c r="U101" s="22"/>
    </row>
    <row r="102" spans="1:21" ht="16" x14ac:dyDescent="0.2">
      <c r="A102" s="22"/>
      <c r="B102" s="82"/>
      <c r="C102" s="3" t="s">
        <v>4</v>
      </c>
      <c r="D102" s="12">
        <f t="shared" si="27"/>
        <v>0</v>
      </c>
      <c r="E102" s="13">
        <f t="shared" si="27"/>
        <v>332000</v>
      </c>
      <c r="F102" s="14">
        <f t="shared" si="27"/>
        <v>132800</v>
      </c>
      <c r="G102" s="14">
        <f t="shared" si="27"/>
        <v>99600</v>
      </c>
      <c r="H102" s="14">
        <f t="shared" si="27"/>
        <v>99600</v>
      </c>
      <c r="I102" s="15">
        <f t="shared" si="27"/>
        <v>332000</v>
      </c>
      <c r="J102" s="22"/>
      <c r="K102" s="20"/>
      <c r="L102" s="20"/>
      <c r="M102" s="22"/>
      <c r="N102" s="20"/>
      <c r="O102" s="20"/>
      <c r="P102" s="20"/>
      <c r="R102" s="22"/>
      <c r="S102" s="66">
        <f t="shared" si="28"/>
        <v>0</v>
      </c>
      <c r="T102" s="67">
        <f t="shared" si="29"/>
        <v>0</v>
      </c>
      <c r="U102" s="22"/>
    </row>
    <row r="103" spans="1:21" ht="17" thickBot="1" x14ac:dyDescent="0.25">
      <c r="A103" s="22"/>
      <c r="B103" s="83"/>
      <c r="C103" s="4" t="s">
        <v>8</v>
      </c>
      <c r="D103" s="16">
        <f t="shared" si="27"/>
        <v>0</v>
      </c>
      <c r="E103" s="17">
        <f t="shared" si="27"/>
        <v>250700</v>
      </c>
      <c r="F103" s="18">
        <f t="shared" si="27"/>
        <v>100280</v>
      </c>
      <c r="G103" s="18">
        <f t="shared" si="27"/>
        <v>75210</v>
      </c>
      <c r="H103" s="18">
        <f t="shared" si="27"/>
        <v>75210</v>
      </c>
      <c r="I103" s="19">
        <f t="shared" si="27"/>
        <v>250700</v>
      </c>
      <c r="J103" s="22"/>
      <c r="K103" s="20"/>
      <c r="L103" s="20"/>
      <c r="M103" s="22"/>
      <c r="N103" s="20"/>
      <c r="O103" s="20"/>
      <c r="P103" s="20"/>
      <c r="R103" s="22"/>
      <c r="S103" s="68">
        <f t="shared" si="28"/>
        <v>0</v>
      </c>
      <c r="T103" s="69">
        <f t="shared" si="29"/>
        <v>0</v>
      </c>
      <c r="U103" s="22"/>
    </row>
    <row r="104" spans="1:21" ht="17" thickTop="1" x14ac:dyDescent="0.2">
      <c r="A104" s="22"/>
      <c r="B104" s="81" t="s">
        <v>5</v>
      </c>
      <c r="C104" s="5" t="s">
        <v>1</v>
      </c>
      <c r="D104" s="9">
        <f t="shared" si="27"/>
        <v>0</v>
      </c>
      <c r="E104" s="9">
        <f t="shared" si="27"/>
        <v>0</v>
      </c>
      <c r="F104" s="10">
        <f t="shared" si="27"/>
        <v>-0.40000000000145519</v>
      </c>
      <c r="G104" s="10">
        <f t="shared" si="27"/>
        <v>0.2000000000007276</v>
      </c>
      <c r="H104" s="10">
        <f t="shared" si="27"/>
        <v>0.2000000000007276</v>
      </c>
      <c r="I104" s="11">
        <f t="shared" si="27"/>
        <v>0</v>
      </c>
      <c r="J104" s="22"/>
      <c r="K104" s="20"/>
      <c r="L104" s="20"/>
      <c r="M104" s="22"/>
      <c r="N104" s="20"/>
      <c r="O104" s="20"/>
      <c r="P104" s="20"/>
      <c r="R104" s="22"/>
      <c r="S104" s="64">
        <f t="shared" si="28"/>
        <v>0</v>
      </c>
      <c r="T104" s="65">
        <f t="shared" si="29"/>
        <v>0</v>
      </c>
      <c r="U104" s="22"/>
    </row>
    <row r="105" spans="1:21" ht="16" x14ac:dyDescent="0.2">
      <c r="A105" s="22"/>
      <c r="B105" s="82"/>
      <c r="C105" s="3" t="s">
        <v>2</v>
      </c>
      <c r="D105" s="12">
        <f t="shared" si="27"/>
        <v>0</v>
      </c>
      <c r="E105" s="13">
        <f t="shared" si="27"/>
        <v>5000</v>
      </c>
      <c r="F105" s="14">
        <f t="shared" si="27"/>
        <v>2000</v>
      </c>
      <c r="G105" s="14">
        <f t="shared" si="27"/>
        <v>1500</v>
      </c>
      <c r="H105" s="14">
        <f t="shared" si="27"/>
        <v>1500</v>
      </c>
      <c r="I105" s="15">
        <f t="shared" si="27"/>
        <v>5000</v>
      </c>
      <c r="J105" s="22"/>
      <c r="K105" s="20"/>
      <c r="L105" s="20"/>
      <c r="M105" s="22"/>
      <c r="N105" s="20"/>
      <c r="O105" s="20"/>
      <c r="P105" s="20"/>
      <c r="R105" s="22"/>
      <c r="S105" s="66">
        <f t="shared" si="28"/>
        <v>0</v>
      </c>
      <c r="T105" s="67">
        <f t="shared" si="29"/>
        <v>0</v>
      </c>
      <c r="U105" s="22"/>
    </row>
    <row r="106" spans="1:21" ht="16" x14ac:dyDescent="0.2">
      <c r="A106" s="22"/>
      <c r="B106" s="82"/>
      <c r="C106" s="3" t="s">
        <v>3</v>
      </c>
      <c r="D106" s="12">
        <f t="shared" si="27"/>
        <v>0</v>
      </c>
      <c r="E106" s="13">
        <f t="shared" si="27"/>
        <v>15000</v>
      </c>
      <c r="F106" s="14">
        <f t="shared" si="27"/>
        <v>6000</v>
      </c>
      <c r="G106" s="14">
        <f t="shared" si="27"/>
        <v>4500</v>
      </c>
      <c r="H106" s="14">
        <f t="shared" si="27"/>
        <v>4500</v>
      </c>
      <c r="I106" s="15">
        <f t="shared" si="27"/>
        <v>15000</v>
      </c>
      <c r="J106" s="22"/>
      <c r="K106" s="20"/>
      <c r="L106" s="20"/>
      <c r="M106" s="22"/>
      <c r="N106" s="20"/>
      <c r="O106" s="20"/>
      <c r="P106" s="20"/>
      <c r="R106" s="22"/>
      <c r="S106" s="66">
        <f t="shared" si="28"/>
        <v>0</v>
      </c>
      <c r="T106" s="67">
        <f t="shared" si="29"/>
        <v>0</v>
      </c>
      <c r="U106" s="22"/>
    </row>
    <row r="107" spans="1:21" ht="16" x14ac:dyDescent="0.2">
      <c r="A107" s="22"/>
      <c r="B107" s="82"/>
      <c r="C107" s="3" t="s">
        <v>4</v>
      </c>
      <c r="D107" s="12">
        <f t="shared" si="27"/>
        <v>0</v>
      </c>
      <c r="E107" s="13">
        <f t="shared" si="27"/>
        <v>11000</v>
      </c>
      <c r="F107" s="14">
        <f t="shared" si="27"/>
        <v>4400</v>
      </c>
      <c r="G107" s="14">
        <f t="shared" si="27"/>
        <v>3300</v>
      </c>
      <c r="H107" s="14">
        <f t="shared" si="27"/>
        <v>3300</v>
      </c>
      <c r="I107" s="15">
        <f t="shared" si="27"/>
        <v>11000</v>
      </c>
      <c r="J107" s="22"/>
      <c r="K107" s="20"/>
      <c r="L107" s="20"/>
      <c r="M107" s="22"/>
      <c r="N107" s="20"/>
      <c r="O107" s="20"/>
      <c r="P107" s="20"/>
      <c r="R107" s="22"/>
      <c r="S107" s="66">
        <f t="shared" si="28"/>
        <v>0</v>
      </c>
      <c r="T107" s="67">
        <f t="shared" si="29"/>
        <v>0</v>
      </c>
      <c r="U107" s="22"/>
    </row>
    <row r="108" spans="1:21" ht="17" thickBot="1" x14ac:dyDescent="0.25">
      <c r="A108" s="22"/>
      <c r="B108" s="83"/>
      <c r="C108" s="4" t="s">
        <v>8</v>
      </c>
      <c r="D108" s="16">
        <f t="shared" si="27"/>
        <v>0</v>
      </c>
      <c r="E108" s="17">
        <f t="shared" si="27"/>
        <v>11000</v>
      </c>
      <c r="F108" s="18">
        <f t="shared" si="27"/>
        <v>4400</v>
      </c>
      <c r="G108" s="18">
        <f t="shared" si="27"/>
        <v>3300</v>
      </c>
      <c r="H108" s="18">
        <f t="shared" si="27"/>
        <v>3300</v>
      </c>
      <c r="I108" s="19">
        <f t="shared" si="27"/>
        <v>11000</v>
      </c>
      <c r="J108" s="22"/>
      <c r="K108" s="20"/>
      <c r="L108" s="20"/>
      <c r="M108" s="22"/>
      <c r="N108" s="20"/>
      <c r="O108" s="20"/>
      <c r="P108" s="20"/>
      <c r="R108" s="22"/>
      <c r="S108" s="68">
        <f t="shared" si="28"/>
        <v>0</v>
      </c>
      <c r="T108" s="69">
        <f t="shared" si="29"/>
        <v>0</v>
      </c>
      <c r="U108" s="22"/>
    </row>
    <row r="109" spans="1:21" ht="17" thickTop="1" x14ac:dyDescent="0.2">
      <c r="A109" s="22"/>
      <c r="B109" s="81" t="s">
        <v>6</v>
      </c>
      <c r="C109" s="5" t="s">
        <v>1</v>
      </c>
      <c r="D109" s="9">
        <f t="shared" si="27"/>
        <v>0</v>
      </c>
      <c r="E109" s="9">
        <f t="shared" si="27"/>
        <v>0</v>
      </c>
      <c r="F109" s="10">
        <f t="shared" si="27"/>
        <v>0</v>
      </c>
      <c r="G109" s="10">
        <f t="shared" si="27"/>
        <v>0</v>
      </c>
      <c r="H109" s="10">
        <f t="shared" si="27"/>
        <v>0</v>
      </c>
      <c r="I109" s="11">
        <f t="shared" si="27"/>
        <v>0</v>
      </c>
      <c r="J109" s="22"/>
      <c r="K109" s="20"/>
      <c r="L109" s="20"/>
      <c r="M109" s="22"/>
      <c r="N109" s="20"/>
      <c r="O109" s="20"/>
      <c r="P109" s="20"/>
      <c r="R109" s="22"/>
      <c r="S109" s="64">
        <f t="shared" si="28"/>
        <v>0</v>
      </c>
      <c r="T109" s="65">
        <f t="shared" si="29"/>
        <v>0</v>
      </c>
      <c r="U109" s="22"/>
    </row>
    <row r="110" spans="1:21" ht="16" x14ac:dyDescent="0.2">
      <c r="A110" s="22"/>
      <c r="B110" s="82"/>
      <c r="C110" s="3" t="s">
        <v>2</v>
      </c>
      <c r="D110" s="12">
        <f t="shared" si="27"/>
        <v>0</v>
      </c>
      <c r="E110" s="13">
        <f t="shared" si="27"/>
        <v>122000</v>
      </c>
      <c r="F110" s="14">
        <f t="shared" si="27"/>
        <v>48800</v>
      </c>
      <c r="G110" s="14">
        <f t="shared" si="27"/>
        <v>36600</v>
      </c>
      <c r="H110" s="14">
        <f t="shared" si="27"/>
        <v>36600</v>
      </c>
      <c r="I110" s="15">
        <f t="shared" si="27"/>
        <v>122000</v>
      </c>
      <c r="J110" s="22"/>
      <c r="K110" s="20"/>
      <c r="L110" s="20"/>
      <c r="M110" s="22"/>
      <c r="N110" s="20"/>
      <c r="O110" s="20"/>
      <c r="P110" s="20"/>
      <c r="R110" s="22"/>
      <c r="S110" s="66">
        <f t="shared" si="28"/>
        <v>0</v>
      </c>
      <c r="T110" s="67">
        <f t="shared" si="29"/>
        <v>0</v>
      </c>
      <c r="U110" s="22"/>
    </row>
    <row r="111" spans="1:21" ht="16" x14ac:dyDescent="0.2">
      <c r="A111" s="22"/>
      <c r="B111" s="82"/>
      <c r="C111" s="3" t="s">
        <v>3</v>
      </c>
      <c r="D111" s="12">
        <f t="shared" si="27"/>
        <v>0</v>
      </c>
      <c r="E111" s="13">
        <f t="shared" si="27"/>
        <v>397000</v>
      </c>
      <c r="F111" s="14">
        <f t="shared" si="27"/>
        <v>158800</v>
      </c>
      <c r="G111" s="14">
        <f t="shared" si="27"/>
        <v>119100</v>
      </c>
      <c r="H111" s="14">
        <f t="shared" si="27"/>
        <v>119100</v>
      </c>
      <c r="I111" s="15">
        <f t="shared" si="27"/>
        <v>397000</v>
      </c>
      <c r="J111" s="22"/>
      <c r="K111" s="20"/>
      <c r="L111" s="20"/>
      <c r="M111" s="22"/>
      <c r="N111" s="20"/>
      <c r="O111" s="20"/>
      <c r="P111" s="20"/>
      <c r="R111" s="22"/>
      <c r="S111" s="66">
        <f t="shared" si="28"/>
        <v>0</v>
      </c>
      <c r="T111" s="67">
        <f t="shared" si="29"/>
        <v>0</v>
      </c>
      <c r="U111" s="22"/>
    </row>
    <row r="112" spans="1:21" ht="16" x14ac:dyDescent="0.2">
      <c r="A112" s="22"/>
      <c r="B112" s="82"/>
      <c r="C112" s="3" t="s">
        <v>4</v>
      </c>
      <c r="D112" s="12">
        <f t="shared" si="27"/>
        <v>0</v>
      </c>
      <c r="E112" s="13">
        <f t="shared" si="27"/>
        <v>504000</v>
      </c>
      <c r="F112" s="14">
        <f t="shared" si="27"/>
        <v>201600</v>
      </c>
      <c r="G112" s="14">
        <f t="shared" si="27"/>
        <v>151200</v>
      </c>
      <c r="H112" s="14">
        <f t="shared" si="27"/>
        <v>151200</v>
      </c>
      <c r="I112" s="15">
        <f t="shared" si="27"/>
        <v>504000</v>
      </c>
      <c r="J112" s="22"/>
      <c r="K112" s="20"/>
      <c r="L112" s="20"/>
      <c r="M112" s="22"/>
      <c r="N112" s="20"/>
      <c r="O112" s="20"/>
      <c r="P112" s="20"/>
      <c r="R112" s="22"/>
      <c r="S112" s="66">
        <f t="shared" si="28"/>
        <v>0</v>
      </c>
      <c r="T112" s="67">
        <f t="shared" si="29"/>
        <v>0</v>
      </c>
      <c r="U112" s="22"/>
    </row>
    <row r="113" spans="1:21" ht="17" thickBot="1" x14ac:dyDescent="0.25">
      <c r="A113" s="22"/>
      <c r="B113" s="83"/>
      <c r="C113" s="4" t="s">
        <v>8</v>
      </c>
      <c r="D113" s="16">
        <f t="shared" si="27"/>
        <v>0</v>
      </c>
      <c r="E113" s="17">
        <f t="shared" si="27"/>
        <v>354000</v>
      </c>
      <c r="F113" s="18">
        <f t="shared" si="27"/>
        <v>141600</v>
      </c>
      <c r="G113" s="18">
        <f t="shared" si="27"/>
        <v>106200</v>
      </c>
      <c r="H113" s="18">
        <f t="shared" si="27"/>
        <v>106200</v>
      </c>
      <c r="I113" s="19">
        <f t="shared" si="27"/>
        <v>354000</v>
      </c>
      <c r="J113" s="22"/>
      <c r="K113" s="20"/>
      <c r="L113" s="20"/>
      <c r="M113" s="22"/>
      <c r="N113" s="20"/>
      <c r="O113" s="20"/>
      <c r="P113" s="20"/>
      <c r="R113" s="22"/>
      <c r="S113" s="68">
        <f t="shared" si="28"/>
        <v>0</v>
      </c>
      <c r="T113" s="69">
        <f t="shared" si="29"/>
        <v>0</v>
      </c>
      <c r="U113" s="22"/>
    </row>
    <row r="114" spans="1:21" ht="16" thickTop="1" x14ac:dyDescent="0.2"/>
    <row r="115" spans="1:21" ht="16" thickBot="1" x14ac:dyDescent="0.25"/>
    <row r="116" spans="1:21" ht="22" thickTop="1" thickBot="1" x14ac:dyDescent="0.25">
      <c r="B116" s="87" t="s">
        <v>14</v>
      </c>
      <c r="C116" s="88"/>
      <c r="D116" s="89"/>
    </row>
    <row r="117" spans="1:21" ht="17" thickTop="1" x14ac:dyDescent="0.2">
      <c r="B117" s="81" t="s">
        <v>0</v>
      </c>
      <c r="C117" s="54" t="s">
        <v>1</v>
      </c>
      <c r="D117" s="55">
        <v>23</v>
      </c>
    </row>
    <row r="118" spans="1:21" ht="16" x14ac:dyDescent="0.2">
      <c r="B118" s="82"/>
      <c r="C118" s="1" t="s">
        <v>2</v>
      </c>
      <c r="D118" s="56">
        <v>68</v>
      </c>
    </row>
    <row r="119" spans="1:21" ht="16" x14ac:dyDescent="0.2">
      <c r="B119" s="82"/>
      <c r="C119" s="1" t="s">
        <v>3</v>
      </c>
      <c r="D119" s="56">
        <v>206</v>
      </c>
    </row>
    <row r="120" spans="1:21" ht="16" x14ac:dyDescent="0.2">
      <c r="B120" s="82"/>
      <c r="C120" s="1" t="s">
        <v>4</v>
      </c>
      <c r="D120" s="56">
        <v>166</v>
      </c>
    </row>
    <row r="121" spans="1:21" ht="17" thickBot="1" x14ac:dyDescent="0.25">
      <c r="B121" s="83"/>
      <c r="C121" s="57" t="s">
        <v>8</v>
      </c>
      <c r="D121" s="58">
        <v>109</v>
      </c>
    </row>
    <row r="122" spans="1:21" ht="17" thickTop="1" x14ac:dyDescent="0.2">
      <c r="B122" s="81" t="s">
        <v>5</v>
      </c>
      <c r="C122" s="54" t="s">
        <v>1</v>
      </c>
      <c r="D122" s="55">
        <v>2</v>
      </c>
    </row>
    <row r="123" spans="1:21" ht="16" x14ac:dyDescent="0.2">
      <c r="B123" s="82"/>
      <c r="C123" s="1" t="s">
        <v>2</v>
      </c>
      <c r="D123" s="56">
        <v>5</v>
      </c>
    </row>
    <row r="124" spans="1:21" ht="16" x14ac:dyDescent="0.2">
      <c r="B124" s="82"/>
      <c r="C124" s="1" t="s">
        <v>3</v>
      </c>
      <c r="D124" s="56">
        <v>15</v>
      </c>
    </row>
    <row r="125" spans="1:21" ht="16" x14ac:dyDescent="0.2">
      <c r="B125" s="82"/>
      <c r="C125" s="1" t="s">
        <v>4</v>
      </c>
      <c r="D125" s="56">
        <v>11</v>
      </c>
    </row>
    <row r="126" spans="1:21" ht="17" thickBot="1" x14ac:dyDescent="0.25">
      <c r="B126" s="83"/>
      <c r="C126" s="57" t="s">
        <v>8</v>
      </c>
      <c r="D126" s="58">
        <v>11</v>
      </c>
    </row>
    <row r="127" spans="1:21" ht="17" thickTop="1" x14ac:dyDescent="0.2">
      <c r="B127" s="81" t="s">
        <v>6</v>
      </c>
      <c r="C127" s="54" t="s">
        <v>1</v>
      </c>
      <c r="D127" s="55">
        <v>40</v>
      </c>
    </row>
    <row r="128" spans="1:21" ht="16" x14ac:dyDescent="0.2">
      <c r="B128" s="82"/>
      <c r="C128" s="1" t="s">
        <v>2</v>
      </c>
      <c r="D128" s="56">
        <v>122</v>
      </c>
    </row>
    <row r="129" spans="2:4" ht="16" x14ac:dyDescent="0.2">
      <c r="B129" s="82"/>
      <c r="C129" s="1" t="s">
        <v>3</v>
      </c>
      <c r="D129" s="56">
        <v>397</v>
      </c>
    </row>
    <row r="130" spans="2:4" ht="16" x14ac:dyDescent="0.2">
      <c r="B130" s="82"/>
      <c r="C130" s="1" t="s">
        <v>4</v>
      </c>
      <c r="D130" s="56">
        <v>336</v>
      </c>
    </row>
    <row r="131" spans="2:4" ht="17" thickBot="1" x14ac:dyDescent="0.25">
      <c r="B131" s="83"/>
      <c r="C131" s="57" t="s">
        <v>8</v>
      </c>
      <c r="D131" s="58">
        <v>236</v>
      </c>
    </row>
    <row r="132" spans="2:4" ht="18" thickTop="1" thickBot="1" x14ac:dyDescent="0.25">
      <c r="C132" s="59" t="s">
        <v>13</v>
      </c>
      <c r="D132" s="60">
        <f>SUM(D117:D131)</f>
        <v>1747</v>
      </c>
    </row>
    <row r="133" spans="2:4" ht="16" thickTop="1" x14ac:dyDescent="0.2"/>
  </sheetData>
  <mergeCells count="44">
    <mergeCell ref="B122:B126"/>
    <mergeCell ref="B127:B131"/>
    <mergeCell ref="B98:C98"/>
    <mergeCell ref="B99:B103"/>
    <mergeCell ref="B104:B108"/>
    <mergeCell ref="B109:B113"/>
    <mergeCell ref="B116:D116"/>
    <mergeCell ref="B117:B121"/>
    <mergeCell ref="S97:T97"/>
    <mergeCell ref="B60:C60"/>
    <mergeCell ref="B61:B65"/>
    <mergeCell ref="B66:B70"/>
    <mergeCell ref="B71:B75"/>
    <mergeCell ref="B78:I78"/>
    <mergeCell ref="S78:T78"/>
    <mergeCell ref="B79:C79"/>
    <mergeCell ref="B80:B84"/>
    <mergeCell ref="B85:B89"/>
    <mergeCell ref="B90:B94"/>
    <mergeCell ref="B97:I97"/>
    <mergeCell ref="S59:T59"/>
    <mergeCell ref="B22:C22"/>
    <mergeCell ref="B23:B27"/>
    <mergeCell ref="B28:B32"/>
    <mergeCell ref="B33:B37"/>
    <mergeCell ref="B40:I40"/>
    <mergeCell ref="S40:T40"/>
    <mergeCell ref="B41:C41"/>
    <mergeCell ref="B42:B46"/>
    <mergeCell ref="B47:B51"/>
    <mergeCell ref="B52:B56"/>
    <mergeCell ref="B59:I59"/>
    <mergeCell ref="S21:T21"/>
    <mergeCell ref="B2:I2"/>
    <mergeCell ref="N2:P2"/>
    <mergeCell ref="S2:T2"/>
    <mergeCell ref="B3:C3"/>
    <mergeCell ref="B4:B8"/>
    <mergeCell ref="Q4:Q8"/>
    <mergeCell ref="B9:B13"/>
    <mergeCell ref="Q9:Q13"/>
    <mergeCell ref="B14:B18"/>
    <mergeCell ref="Q14:Q18"/>
    <mergeCell ref="B21:I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12C9-97BA-4A99-B00A-75DDE4833A6A}">
  <dimension ref="A1:U133"/>
  <sheetViews>
    <sheetView showGridLines="0" topLeftCell="C2" zoomScale="85" zoomScaleNormal="85" workbookViewId="0">
      <selection activeCell="N14" sqref="N14:N18"/>
    </sheetView>
  </sheetViews>
  <sheetFormatPr baseColWidth="10" defaultColWidth="9.1640625" defaultRowHeight="15" x14ac:dyDescent="0.2"/>
  <cols>
    <col min="1" max="1" width="3.6640625" style="21" customWidth="1"/>
    <col min="2" max="2" width="16.5" style="21" bestFit="1" customWidth="1"/>
    <col min="3" max="3" width="33.1640625" style="21" bestFit="1" customWidth="1"/>
    <col min="4" max="4" width="20.33203125" style="21" bestFit="1" customWidth="1"/>
    <col min="5" max="5" width="26.6640625" style="21" bestFit="1" customWidth="1"/>
    <col min="6" max="6" width="16.6640625" style="21" bestFit="1" customWidth="1"/>
    <col min="7" max="8" width="18.6640625" style="21" bestFit="1" customWidth="1"/>
    <col min="9" max="9" width="14.83203125" style="21" bestFit="1" customWidth="1"/>
    <col min="10" max="10" width="3.6640625" style="21" customWidth="1"/>
    <col min="11" max="11" width="11.83203125" style="2" bestFit="1" customWidth="1"/>
    <col min="12" max="12" width="11.5" style="2" customWidth="1"/>
    <col min="13" max="13" width="3.6640625" style="21" customWidth="1"/>
    <col min="14" max="15" width="14.33203125" style="2" customWidth="1"/>
    <col min="16" max="16" width="22.1640625" style="2" customWidth="1"/>
    <col min="17" max="17" width="15.1640625" style="36" customWidth="1"/>
    <col min="18" max="18" width="3.6640625" style="21" customWidth="1"/>
    <col min="19" max="19" width="19.6640625" style="61" bestFit="1" customWidth="1"/>
    <col min="20" max="20" width="14.83203125" style="61" bestFit="1" customWidth="1"/>
    <col min="21" max="21" width="3.6640625" style="21" customWidth="1"/>
    <col min="22" max="16384" width="9.1640625" style="21"/>
  </cols>
  <sheetData>
    <row r="1" spans="1:21" ht="16" thickBot="1" x14ac:dyDescent="0.25"/>
    <row r="2" spans="1:21" ht="22" thickTop="1" thickBot="1" x14ac:dyDescent="0.25">
      <c r="B2" s="73" t="s">
        <v>26</v>
      </c>
      <c r="C2" s="74"/>
      <c r="D2" s="74"/>
      <c r="E2" s="74"/>
      <c r="F2" s="74"/>
      <c r="G2" s="74"/>
      <c r="H2" s="74"/>
      <c r="I2" s="75"/>
      <c r="K2" s="21"/>
      <c r="L2" s="21"/>
      <c r="N2" s="76" t="s">
        <v>32</v>
      </c>
      <c r="O2" s="77"/>
      <c r="P2" s="78"/>
      <c r="Q2" s="37"/>
      <c r="S2" s="71" t="s">
        <v>33</v>
      </c>
      <c r="T2" s="72"/>
    </row>
    <row r="3" spans="1:21" ht="50" thickTop="1" thickBot="1" x14ac:dyDescent="0.25">
      <c r="B3" s="79" t="s">
        <v>9</v>
      </c>
      <c r="C3" s="80"/>
      <c r="D3" s="6" t="s">
        <v>10</v>
      </c>
      <c r="E3" s="6" t="s">
        <v>11</v>
      </c>
      <c r="F3" s="6" t="s">
        <v>23</v>
      </c>
      <c r="G3" s="6" t="s">
        <v>24</v>
      </c>
      <c r="H3" s="6" t="s">
        <v>25</v>
      </c>
      <c r="I3" s="7" t="s">
        <v>12</v>
      </c>
      <c r="K3" s="8" t="s">
        <v>17</v>
      </c>
      <c r="L3" s="32" t="s">
        <v>18</v>
      </c>
      <c r="N3" s="46" t="s">
        <v>20</v>
      </c>
      <c r="O3" s="44" t="s">
        <v>21</v>
      </c>
      <c r="P3" s="47" t="s">
        <v>22</v>
      </c>
      <c r="Q3" s="45" t="s">
        <v>19</v>
      </c>
      <c r="S3" s="62" t="s">
        <v>16</v>
      </c>
      <c r="T3" s="63" t="s">
        <v>15</v>
      </c>
    </row>
    <row r="4" spans="1:21" ht="17" thickTop="1" x14ac:dyDescent="0.2">
      <c r="A4" s="22"/>
      <c r="B4" s="81" t="s">
        <v>0</v>
      </c>
      <c r="C4" s="5" t="s">
        <v>1</v>
      </c>
      <c r="D4" s="9">
        <v>5000</v>
      </c>
      <c r="E4" s="9">
        <f>I4-D4</f>
        <v>30000</v>
      </c>
      <c r="F4" s="10">
        <f>E4*40%</f>
        <v>12000</v>
      </c>
      <c r="G4" s="10">
        <f>E4*30%</f>
        <v>9000</v>
      </c>
      <c r="H4" s="10">
        <f>E4*30%</f>
        <v>9000</v>
      </c>
      <c r="I4" s="11">
        <f>I23+K4</f>
        <v>35000</v>
      </c>
      <c r="J4" s="22"/>
      <c r="K4" s="23">
        <v>0</v>
      </c>
      <c r="L4" s="29">
        <f t="shared" ref="L4:L18" si="0">I4/I23-1</f>
        <v>0</v>
      </c>
      <c r="M4" s="22"/>
      <c r="N4" s="48">
        <f>E61</f>
        <v>690000</v>
      </c>
      <c r="O4" s="40">
        <f t="shared" ref="O4:O18" si="1">E80</f>
        <v>690000</v>
      </c>
      <c r="P4" s="49">
        <f>N4-O4</f>
        <v>0</v>
      </c>
      <c r="Q4" s="90">
        <f>SUM(N4:N8)/SUM(O4:O8)-1</f>
        <v>4.8912366381780537E-2</v>
      </c>
      <c r="R4" s="22"/>
      <c r="S4" s="64">
        <f t="shared" ref="S4:S18" si="2">SUM(F4:H4)-E4</f>
        <v>0</v>
      </c>
      <c r="T4" s="65">
        <f t="shared" ref="T4:T18" si="3">I4-(E4+D4)</f>
        <v>0</v>
      </c>
      <c r="U4" s="22"/>
    </row>
    <row r="5" spans="1:21" ht="16" x14ac:dyDescent="0.2">
      <c r="A5" s="22"/>
      <c r="B5" s="82"/>
      <c r="C5" s="3" t="s">
        <v>2</v>
      </c>
      <c r="D5" s="12">
        <v>5000</v>
      </c>
      <c r="E5" s="13">
        <f t="shared" ref="E5:E18" si="4">I5-D5</f>
        <v>35500</v>
      </c>
      <c r="F5" s="14">
        <f t="shared" ref="F5:F18" si="5">E5*40%</f>
        <v>14200</v>
      </c>
      <c r="G5" s="14">
        <f t="shared" ref="G5:G18" si="6">E5*30%</f>
        <v>10650</v>
      </c>
      <c r="H5" s="14">
        <f t="shared" ref="H5:H18" si="7">E5*30%</f>
        <v>10650</v>
      </c>
      <c r="I5" s="15">
        <f>I24+K5</f>
        <v>40500</v>
      </c>
      <c r="J5" s="22"/>
      <c r="K5" s="24">
        <v>1000</v>
      </c>
      <c r="L5" s="33">
        <f t="shared" si="0"/>
        <v>2.5316455696202445E-2</v>
      </c>
      <c r="M5" s="22"/>
      <c r="N5" s="38">
        <f t="shared" ref="N5:N18" si="8">E62</f>
        <v>2414000</v>
      </c>
      <c r="O5" s="39">
        <f t="shared" si="1"/>
        <v>2346000</v>
      </c>
      <c r="P5" s="50">
        <f t="shared" ref="P5:P19" si="9">N5-O5</f>
        <v>68000</v>
      </c>
      <c r="Q5" s="91"/>
      <c r="R5" s="22"/>
      <c r="S5" s="66">
        <f t="shared" si="2"/>
        <v>0</v>
      </c>
      <c r="T5" s="67">
        <f t="shared" si="3"/>
        <v>0</v>
      </c>
      <c r="U5" s="22"/>
    </row>
    <row r="6" spans="1:21" ht="16" x14ac:dyDescent="0.2">
      <c r="A6" s="22"/>
      <c r="B6" s="82"/>
      <c r="C6" s="3" t="s">
        <v>3</v>
      </c>
      <c r="D6" s="12">
        <v>5000</v>
      </c>
      <c r="E6" s="13">
        <f t="shared" si="4"/>
        <v>36000</v>
      </c>
      <c r="F6" s="14">
        <f t="shared" si="5"/>
        <v>14400</v>
      </c>
      <c r="G6" s="14">
        <f t="shared" si="6"/>
        <v>10800</v>
      </c>
      <c r="H6" s="14">
        <f t="shared" si="7"/>
        <v>10800</v>
      </c>
      <c r="I6" s="15">
        <f>I25+K6</f>
        <v>41000</v>
      </c>
      <c r="J6" s="22"/>
      <c r="K6" s="24">
        <v>1500</v>
      </c>
      <c r="L6" s="33">
        <f t="shared" si="0"/>
        <v>3.7974683544303778E-2</v>
      </c>
      <c r="M6" s="22"/>
      <c r="N6" s="38">
        <f t="shared" si="8"/>
        <v>7416000</v>
      </c>
      <c r="O6" s="39">
        <f t="shared" si="1"/>
        <v>7107000</v>
      </c>
      <c r="P6" s="50">
        <f t="shared" si="9"/>
        <v>309000</v>
      </c>
      <c r="Q6" s="91"/>
      <c r="R6" s="22"/>
      <c r="S6" s="66">
        <f t="shared" si="2"/>
        <v>0</v>
      </c>
      <c r="T6" s="67">
        <f t="shared" si="3"/>
        <v>0</v>
      </c>
      <c r="U6" s="22"/>
    </row>
    <row r="7" spans="1:21" ht="16" x14ac:dyDescent="0.2">
      <c r="A7" s="22"/>
      <c r="B7" s="82"/>
      <c r="C7" s="3" t="s">
        <v>4</v>
      </c>
      <c r="D7" s="12">
        <v>5000</v>
      </c>
      <c r="E7" s="13">
        <f t="shared" si="4"/>
        <v>36500</v>
      </c>
      <c r="F7" s="14">
        <f t="shared" si="5"/>
        <v>14600</v>
      </c>
      <c r="G7" s="14">
        <f t="shared" si="6"/>
        <v>10950</v>
      </c>
      <c r="H7" s="14">
        <f t="shared" si="7"/>
        <v>10950</v>
      </c>
      <c r="I7" s="15">
        <f>I26+K7</f>
        <v>41500</v>
      </c>
      <c r="J7" s="22"/>
      <c r="K7" s="24">
        <v>2000</v>
      </c>
      <c r="L7" s="33">
        <f t="shared" si="0"/>
        <v>5.0632911392405111E-2</v>
      </c>
      <c r="M7" s="22"/>
      <c r="N7" s="38">
        <f t="shared" si="8"/>
        <v>6059000</v>
      </c>
      <c r="O7" s="39">
        <f t="shared" si="1"/>
        <v>5727000</v>
      </c>
      <c r="P7" s="50">
        <f t="shared" si="9"/>
        <v>332000</v>
      </c>
      <c r="Q7" s="91"/>
      <c r="R7" s="22"/>
      <c r="S7" s="66">
        <f t="shared" si="2"/>
        <v>0</v>
      </c>
      <c r="T7" s="67">
        <f t="shared" si="3"/>
        <v>0</v>
      </c>
      <c r="U7" s="22"/>
    </row>
    <row r="8" spans="1:21" ht="17" thickBot="1" x14ac:dyDescent="0.25">
      <c r="A8" s="22"/>
      <c r="B8" s="83"/>
      <c r="C8" s="4" t="s">
        <v>8</v>
      </c>
      <c r="D8" s="16">
        <v>5000</v>
      </c>
      <c r="E8" s="17">
        <f t="shared" si="4"/>
        <v>41000</v>
      </c>
      <c r="F8" s="18">
        <f t="shared" si="5"/>
        <v>16400</v>
      </c>
      <c r="G8" s="18">
        <f t="shared" si="6"/>
        <v>12300</v>
      </c>
      <c r="H8" s="18">
        <f t="shared" si="7"/>
        <v>12300</v>
      </c>
      <c r="I8" s="19">
        <f>I27+K8</f>
        <v>46000</v>
      </c>
      <c r="J8" s="22"/>
      <c r="K8" s="25">
        <v>2500</v>
      </c>
      <c r="L8" s="34">
        <f t="shared" si="0"/>
        <v>5.7471264367816133E-2</v>
      </c>
      <c r="M8" s="22"/>
      <c r="N8" s="51">
        <f t="shared" si="8"/>
        <v>4469000</v>
      </c>
      <c r="O8" s="41">
        <f t="shared" si="1"/>
        <v>4196500</v>
      </c>
      <c r="P8" s="52">
        <f t="shared" si="9"/>
        <v>272500</v>
      </c>
      <c r="Q8" s="92"/>
      <c r="R8" s="22"/>
      <c r="S8" s="68">
        <f t="shared" si="2"/>
        <v>0</v>
      </c>
      <c r="T8" s="69">
        <f t="shared" si="3"/>
        <v>0</v>
      </c>
      <c r="U8" s="22"/>
    </row>
    <row r="9" spans="1:21" ht="17" thickTop="1" x14ac:dyDescent="0.2">
      <c r="A9" s="22"/>
      <c r="B9" s="81" t="s">
        <v>5</v>
      </c>
      <c r="C9" s="5" t="s">
        <v>1</v>
      </c>
      <c r="D9" s="9">
        <v>4350</v>
      </c>
      <c r="E9" s="9">
        <f>ROUNDDOWN(E14/1.15,0)</f>
        <v>34782</v>
      </c>
      <c r="F9" s="10">
        <f>ROUNDDOWN(E9*40%,0)</f>
        <v>13912</v>
      </c>
      <c r="G9" s="10">
        <f>ROUNDUP(E9*30%,0)</f>
        <v>10435</v>
      </c>
      <c r="H9" s="10">
        <f>E9-SUM(F9:G9)</f>
        <v>10435</v>
      </c>
      <c r="I9" s="11">
        <f>SUM(D9:E9)</f>
        <v>39132</v>
      </c>
      <c r="J9" s="22"/>
      <c r="K9" s="23">
        <f>E9-E28</f>
        <v>-1</v>
      </c>
      <c r="L9" s="29">
        <f t="shared" si="0"/>
        <v>-2.5553880356743441E-5</v>
      </c>
      <c r="M9" s="22"/>
      <c r="N9" s="48">
        <f t="shared" si="8"/>
        <v>69564</v>
      </c>
      <c r="O9" s="40">
        <f t="shared" si="1"/>
        <v>69566</v>
      </c>
      <c r="P9" s="49">
        <f t="shared" si="9"/>
        <v>-2</v>
      </c>
      <c r="Q9" s="93">
        <f>SUM(N9:N13)/SUM(O9:O13)-1</f>
        <v>3.1530622103205674E-2</v>
      </c>
      <c r="R9" s="22"/>
      <c r="S9" s="64">
        <f t="shared" si="2"/>
        <v>0</v>
      </c>
      <c r="T9" s="65">
        <f t="shared" si="3"/>
        <v>0</v>
      </c>
      <c r="U9" s="22"/>
    </row>
    <row r="10" spans="1:21" ht="16" x14ac:dyDescent="0.2">
      <c r="A10" s="22"/>
      <c r="B10" s="82"/>
      <c r="C10" s="3" t="s">
        <v>2</v>
      </c>
      <c r="D10" s="12">
        <v>4350</v>
      </c>
      <c r="E10" s="13">
        <f t="shared" ref="E10:E13" si="10">ROUNDDOWN(E15/1.15,0)</f>
        <v>36521</v>
      </c>
      <c r="F10" s="14">
        <f t="shared" ref="F10:F13" si="11">ROUNDDOWN(E10*40%,0)</f>
        <v>14608</v>
      </c>
      <c r="G10" s="14">
        <f t="shared" ref="G10:G13" si="12">ROUNDUP(E10*30%,0)</f>
        <v>10957</v>
      </c>
      <c r="H10" s="14">
        <f t="shared" ref="H10:H13" si="13">E10-SUM(F10:G10)</f>
        <v>10956</v>
      </c>
      <c r="I10" s="15">
        <f t="shared" ref="I10:I13" si="14">SUM(D10:E10)</f>
        <v>40871</v>
      </c>
      <c r="J10" s="22"/>
      <c r="K10" s="27">
        <f>E10-E29</f>
        <v>871</v>
      </c>
      <c r="L10" s="30">
        <f t="shared" si="0"/>
        <v>2.17750000000001E-2</v>
      </c>
      <c r="M10" s="22"/>
      <c r="N10" s="38">
        <f t="shared" si="8"/>
        <v>182605</v>
      </c>
      <c r="O10" s="39">
        <f t="shared" si="1"/>
        <v>178250</v>
      </c>
      <c r="P10" s="50">
        <f t="shared" si="9"/>
        <v>4355</v>
      </c>
      <c r="Q10" s="94"/>
      <c r="R10" s="22"/>
      <c r="S10" s="66">
        <f t="shared" si="2"/>
        <v>0</v>
      </c>
      <c r="T10" s="67">
        <f t="shared" si="3"/>
        <v>0</v>
      </c>
      <c r="U10" s="22"/>
    </row>
    <row r="11" spans="1:21" ht="16" x14ac:dyDescent="0.2">
      <c r="A11" s="22"/>
      <c r="B11" s="82"/>
      <c r="C11" s="3" t="s">
        <v>3</v>
      </c>
      <c r="D11" s="12">
        <v>4350</v>
      </c>
      <c r="E11" s="13">
        <f t="shared" si="10"/>
        <v>36521</v>
      </c>
      <c r="F11" s="14">
        <f t="shared" si="11"/>
        <v>14608</v>
      </c>
      <c r="G11" s="14">
        <f t="shared" si="12"/>
        <v>10957</v>
      </c>
      <c r="H11" s="14">
        <f t="shared" si="13"/>
        <v>10956</v>
      </c>
      <c r="I11" s="15">
        <f t="shared" si="14"/>
        <v>40871</v>
      </c>
      <c r="J11" s="22"/>
      <c r="K11" s="27">
        <f>E11-E30</f>
        <v>871</v>
      </c>
      <c r="L11" s="30">
        <f t="shared" si="0"/>
        <v>2.17750000000001E-2</v>
      </c>
      <c r="M11" s="22"/>
      <c r="N11" s="38">
        <f t="shared" si="8"/>
        <v>547815</v>
      </c>
      <c r="O11" s="39">
        <f t="shared" si="1"/>
        <v>534750</v>
      </c>
      <c r="P11" s="50">
        <f t="shared" si="9"/>
        <v>13065</v>
      </c>
      <c r="Q11" s="94"/>
      <c r="R11" s="22"/>
      <c r="S11" s="66">
        <f t="shared" si="2"/>
        <v>0</v>
      </c>
      <c r="T11" s="67">
        <f t="shared" si="3"/>
        <v>0</v>
      </c>
      <c r="U11" s="22"/>
    </row>
    <row r="12" spans="1:21" ht="16" x14ac:dyDescent="0.2">
      <c r="A12" s="22"/>
      <c r="B12" s="82"/>
      <c r="C12" s="3" t="s">
        <v>4</v>
      </c>
      <c r="D12" s="12">
        <v>4350</v>
      </c>
      <c r="E12" s="13">
        <f t="shared" si="10"/>
        <v>36956</v>
      </c>
      <c r="F12" s="14">
        <f t="shared" si="11"/>
        <v>14782</v>
      </c>
      <c r="G12" s="14">
        <f t="shared" si="12"/>
        <v>11087</v>
      </c>
      <c r="H12" s="14">
        <f t="shared" si="13"/>
        <v>11087</v>
      </c>
      <c r="I12" s="15">
        <f t="shared" si="14"/>
        <v>41306</v>
      </c>
      <c r="J12" s="22"/>
      <c r="K12" s="27">
        <f>E12-E31</f>
        <v>1306</v>
      </c>
      <c r="L12" s="30">
        <f t="shared" si="0"/>
        <v>3.2650000000000068E-2</v>
      </c>
      <c r="M12" s="22"/>
      <c r="N12" s="38">
        <f t="shared" si="8"/>
        <v>406516</v>
      </c>
      <c r="O12" s="39">
        <f t="shared" si="1"/>
        <v>392150</v>
      </c>
      <c r="P12" s="50">
        <f t="shared" si="9"/>
        <v>14366</v>
      </c>
      <c r="Q12" s="94"/>
      <c r="R12" s="22"/>
      <c r="S12" s="66">
        <f t="shared" si="2"/>
        <v>0</v>
      </c>
      <c r="T12" s="67">
        <f t="shared" si="3"/>
        <v>0</v>
      </c>
      <c r="U12" s="22"/>
    </row>
    <row r="13" spans="1:21" ht="17" thickBot="1" x14ac:dyDescent="0.25">
      <c r="A13" s="22"/>
      <c r="B13" s="83"/>
      <c r="C13" s="4" t="s">
        <v>8</v>
      </c>
      <c r="D13" s="16">
        <v>4350</v>
      </c>
      <c r="E13" s="17">
        <f t="shared" si="10"/>
        <v>41739</v>
      </c>
      <c r="F13" s="18">
        <f t="shared" si="11"/>
        <v>16695</v>
      </c>
      <c r="G13" s="18">
        <f t="shared" si="12"/>
        <v>12522</v>
      </c>
      <c r="H13" s="18">
        <f t="shared" si="13"/>
        <v>12522</v>
      </c>
      <c r="I13" s="19">
        <f t="shared" si="14"/>
        <v>46089</v>
      </c>
      <c r="J13" s="22"/>
      <c r="K13" s="28">
        <f>E13-E32</f>
        <v>1739</v>
      </c>
      <c r="L13" s="31">
        <f t="shared" si="0"/>
        <v>3.9210822998872574E-2</v>
      </c>
      <c r="M13" s="22"/>
      <c r="N13" s="51">
        <f t="shared" si="8"/>
        <v>459129</v>
      </c>
      <c r="O13" s="41">
        <f t="shared" si="1"/>
        <v>440000</v>
      </c>
      <c r="P13" s="52">
        <f t="shared" si="9"/>
        <v>19129</v>
      </c>
      <c r="Q13" s="95"/>
      <c r="R13" s="22"/>
      <c r="S13" s="68">
        <f t="shared" si="2"/>
        <v>0</v>
      </c>
      <c r="T13" s="69">
        <f t="shared" si="3"/>
        <v>0</v>
      </c>
      <c r="U13" s="22"/>
    </row>
    <row r="14" spans="1:21" ht="17" thickTop="1" x14ac:dyDescent="0.2">
      <c r="A14" s="22"/>
      <c r="B14" s="81" t="s">
        <v>6</v>
      </c>
      <c r="C14" s="5" t="s">
        <v>1</v>
      </c>
      <c r="D14" s="9">
        <v>5000</v>
      </c>
      <c r="E14" s="9">
        <f t="shared" si="4"/>
        <v>40000</v>
      </c>
      <c r="F14" s="10">
        <f t="shared" si="5"/>
        <v>16000</v>
      </c>
      <c r="G14" s="10">
        <f t="shared" si="6"/>
        <v>12000</v>
      </c>
      <c r="H14" s="10">
        <f t="shared" si="7"/>
        <v>12000</v>
      </c>
      <c r="I14" s="11">
        <f>I33+K14</f>
        <v>45000</v>
      </c>
      <c r="J14" s="22"/>
      <c r="K14" s="23">
        <v>0</v>
      </c>
      <c r="L14" s="29">
        <f t="shared" si="0"/>
        <v>0</v>
      </c>
      <c r="M14" s="22"/>
      <c r="N14" s="48">
        <f t="shared" si="8"/>
        <v>1600000</v>
      </c>
      <c r="O14" s="40">
        <f t="shared" si="1"/>
        <v>1600000</v>
      </c>
      <c r="P14" s="49">
        <f t="shared" si="9"/>
        <v>0</v>
      </c>
      <c r="Q14" s="93">
        <f>SUM(N14:N18)/SUM(O14:O18)-1</f>
        <v>3.1466397255372369E-2</v>
      </c>
      <c r="R14" s="22"/>
      <c r="S14" s="64">
        <f t="shared" si="2"/>
        <v>0</v>
      </c>
      <c r="T14" s="65">
        <f t="shared" si="3"/>
        <v>0</v>
      </c>
      <c r="U14" s="22"/>
    </row>
    <row r="15" spans="1:21" ht="16" x14ac:dyDescent="0.2">
      <c r="A15" s="22"/>
      <c r="B15" s="82"/>
      <c r="C15" s="3" t="s">
        <v>2</v>
      </c>
      <c r="D15" s="12">
        <v>5000</v>
      </c>
      <c r="E15" s="13">
        <f t="shared" si="4"/>
        <v>42000</v>
      </c>
      <c r="F15" s="14">
        <f t="shared" si="5"/>
        <v>16800</v>
      </c>
      <c r="G15" s="14">
        <f t="shared" si="6"/>
        <v>12600</v>
      </c>
      <c r="H15" s="14">
        <f t="shared" si="7"/>
        <v>12600</v>
      </c>
      <c r="I15" s="15">
        <f>I34+K15</f>
        <v>47000</v>
      </c>
      <c r="J15" s="22"/>
      <c r="K15" s="24">
        <v>1000</v>
      </c>
      <c r="L15" s="33">
        <f t="shared" si="0"/>
        <v>2.1739130434782705E-2</v>
      </c>
      <c r="M15" s="22"/>
      <c r="N15" s="38">
        <f t="shared" si="8"/>
        <v>5124000</v>
      </c>
      <c r="O15" s="39">
        <f t="shared" si="1"/>
        <v>5002000</v>
      </c>
      <c r="P15" s="50">
        <f t="shared" si="9"/>
        <v>122000</v>
      </c>
      <c r="Q15" s="94"/>
      <c r="R15" s="22"/>
      <c r="S15" s="66">
        <f t="shared" si="2"/>
        <v>0</v>
      </c>
      <c r="T15" s="67">
        <f t="shared" si="3"/>
        <v>0</v>
      </c>
      <c r="U15" s="22"/>
    </row>
    <row r="16" spans="1:21" ht="16" x14ac:dyDescent="0.2">
      <c r="A16" s="22"/>
      <c r="B16" s="82"/>
      <c r="C16" s="3" t="s">
        <v>3</v>
      </c>
      <c r="D16" s="12">
        <v>5000</v>
      </c>
      <c r="E16" s="13">
        <f t="shared" si="4"/>
        <v>42000</v>
      </c>
      <c r="F16" s="14">
        <f t="shared" si="5"/>
        <v>16800</v>
      </c>
      <c r="G16" s="14">
        <f t="shared" si="6"/>
        <v>12600</v>
      </c>
      <c r="H16" s="14">
        <f t="shared" si="7"/>
        <v>12600</v>
      </c>
      <c r="I16" s="15">
        <f>I35+K16</f>
        <v>47000</v>
      </c>
      <c r="J16" s="22"/>
      <c r="K16" s="24">
        <v>1000</v>
      </c>
      <c r="L16" s="33">
        <f t="shared" si="0"/>
        <v>2.1739130434782705E-2</v>
      </c>
      <c r="M16" s="22"/>
      <c r="N16" s="38">
        <f t="shared" si="8"/>
        <v>16674000</v>
      </c>
      <c r="O16" s="39">
        <f t="shared" si="1"/>
        <v>16277000</v>
      </c>
      <c r="P16" s="50">
        <f t="shared" si="9"/>
        <v>397000</v>
      </c>
      <c r="Q16" s="94"/>
      <c r="R16" s="22"/>
      <c r="S16" s="66">
        <f t="shared" si="2"/>
        <v>0</v>
      </c>
      <c r="T16" s="67">
        <f t="shared" si="3"/>
        <v>0</v>
      </c>
      <c r="U16" s="22"/>
    </row>
    <row r="17" spans="1:21" ht="16" x14ac:dyDescent="0.2">
      <c r="A17" s="22"/>
      <c r="B17" s="82"/>
      <c r="C17" s="3" t="s">
        <v>4</v>
      </c>
      <c r="D17" s="12">
        <v>5000</v>
      </c>
      <c r="E17" s="13">
        <f t="shared" si="4"/>
        <v>42500</v>
      </c>
      <c r="F17" s="14">
        <f t="shared" si="5"/>
        <v>17000</v>
      </c>
      <c r="G17" s="14">
        <f t="shared" si="6"/>
        <v>12750</v>
      </c>
      <c r="H17" s="14">
        <f t="shared" si="7"/>
        <v>12750</v>
      </c>
      <c r="I17" s="15">
        <f>I36+K17</f>
        <v>47500</v>
      </c>
      <c r="J17" s="22"/>
      <c r="K17" s="24">
        <v>1500</v>
      </c>
      <c r="L17" s="33">
        <f t="shared" si="0"/>
        <v>3.2608695652173836E-2</v>
      </c>
      <c r="M17" s="22"/>
      <c r="N17" s="38">
        <f t="shared" si="8"/>
        <v>14280000</v>
      </c>
      <c r="O17" s="39">
        <f t="shared" si="1"/>
        <v>13776000</v>
      </c>
      <c r="P17" s="50">
        <f t="shared" si="9"/>
        <v>504000</v>
      </c>
      <c r="Q17" s="94"/>
      <c r="R17" s="22"/>
      <c r="S17" s="66">
        <f t="shared" si="2"/>
        <v>0</v>
      </c>
      <c r="T17" s="67">
        <f t="shared" si="3"/>
        <v>0</v>
      </c>
      <c r="U17" s="22"/>
    </row>
    <row r="18" spans="1:21" ht="17" thickBot="1" x14ac:dyDescent="0.25">
      <c r="A18" s="22"/>
      <c r="B18" s="83"/>
      <c r="C18" s="4" t="s">
        <v>8</v>
      </c>
      <c r="D18" s="16">
        <v>5000</v>
      </c>
      <c r="E18" s="17">
        <f t="shared" si="4"/>
        <v>48000</v>
      </c>
      <c r="F18" s="18">
        <f t="shared" si="5"/>
        <v>19200</v>
      </c>
      <c r="G18" s="18">
        <f t="shared" si="6"/>
        <v>14400</v>
      </c>
      <c r="H18" s="18">
        <f t="shared" si="7"/>
        <v>14400</v>
      </c>
      <c r="I18" s="19">
        <f>I37+K18</f>
        <v>53000</v>
      </c>
      <c r="J18" s="22"/>
      <c r="K18" s="26">
        <v>2000</v>
      </c>
      <c r="L18" s="35">
        <f t="shared" si="0"/>
        <v>3.9215686274509887E-2</v>
      </c>
      <c r="M18" s="22"/>
      <c r="N18" s="51">
        <f t="shared" si="8"/>
        <v>11328000</v>
      </c>
      <c r="O18" s="41">
        <f t="shared" si="1"/>
        <v>10856000</v>
      </c>
      <c r="P18" s="52">
        <f t="shared" si="9"/>
        <v>472000</v>
      </c>
      <c r="Q18" s="95"/>
      <c r="R18" s="22"/>
      <c r="S18" s="68">
        <f t="shared" si="2"/>
        <v>0</v>
      </c>
      <c r="T18" s="69">
        <f t="shared" si="3"/>
        <v>0</v>
      </c>
      <c r="U18" s="22"/>
    </row>
    <row r="19" spans="1:21" ht="17" thickTop="1" thickBot="1" x14ac:dyDescent="0.25">
      <c r="K19" s="21"/>
      <c r="L19" s="21"/>
      <c r="N19" s="42">
        <f>SUM(N4:N18)</f>
        <v>71719629</v>
      </c>
      <c r="O19" s="43">
        <f>SUM(O4:O18)</f>
        <v>69192216</v>
      </c>
      <c r="P19" s="53">
        <f t="shared" si="9"/>
        <v>2527413</v>
      </c>
      <c r="Q19" s="37"/>
    </row>
    <row r="20" spans="1:21" ht="17" thickTop="1" thickBot="1" x14ac:dyDescent="0.25">
      <c r="K20" s="21"/>
      <c r="L20" s="21"/>
      <c r="N20" s="21"/>
      <c r="O20" s="21"/>
      <c r="P20" s="21"/>
      <c r="Q20" s="37"/>
    </row>
    <row r="21" spans="1:21" ht="22" thickTop="1" thickBot="1" x14ac:dyDescent="0.25">
      <c r="B21" s="87" t="s">
        <v>27</v>
      </c>
      <c r="C21" s="88"/>
      <c r="D21" s="88"/>
      <c r="E21" s="88"/>
      <c r="F21" s="88"/>
      <c r="G21" s="88"/>
      <c r="H21" s="88"/>
      <c r="I21" s="89"/>
      <c r="K21" s="21"/>
      <c r="L21" s="21"/>
      <c r="N21" s="21"/>
      <c r="O21" s="21"/>
      <c r="P21" s="21"/>
      <c r="Q21" s="37"/>
      <c r="S21" s="71" t="s">
        <v>33</v>
      </c>
      <c r="T21" s="72"/>
    </row>
    <row r="22" spans="1:21" ht="50" thickTop="1" thickBot="1" x14ac:dyDescent="0.25">
      <c r="B22" s="79" t="s">
        <v>7</v>
      </c>
      <c r="C22" s="80"/>
      <c r="D22" s="6" t="s">
        <v>10</v>
      </c>
      <c r="E22" s="6" t="s">
        <v>11</v>
      </c>
      <c r="F22" s="6" t="s">
        <v>23</v>
      </c>
      <c r="G22" s="6" t="s">
        <v>24</v>
      </c>
      <c r="H22" s="6" t="s">
        <v>25</v>
      </c>
      <c r="I22" s="7" t="s">
        <v>12</v>
      </c>
      <c r="S22" s="62" t="s">
        <v>16</v>
      </c>
      <c r="T22" s="63" t="s">
        <v>15</v>
      </c>
    </row>
    <row r="23" spans="1:21" ht="17" thickTop="1" x14ac:dyDescent="0.2">
      <c r="A23" s="22"/>
      <c r="B23" s="81" t="s">
        <v>0</v>
      </c>
      <c r="C23" s="5" t="s">
        <v>1</v>
      </c>
      <c r="D23" s="9">
        <v>5000</v>
      </c>
      <c r="E23" s="9">
        <v>30000</v>
      </c>
      <c r="F23" s="10">
        <v>12000</v>
      </c>
      <c r="G23" s="10">
        <v>9000</v>
      </c>
      <c r="H23" s="10">
        <v>9000</v>
      </c>
      <c r="I23" s="11">
        <v>35000</v>
      </c>
      <c r="J23" s="22"/>
      <c r="K23" s="20"/>
      <c r="L23" s="20"/>
      <c r="M23" s="22"/>
      <c r="N23" s="20"/>
      <c r="O23" s="20"/>
      <c r="P23" s="20"/>
      <c r="R23" s="22"/>
      <c r="S23" s="64">
        <f t="shared" ref="S23:S37" si="15">SUM(F23:H23)-E23</f>
        <v>0</v>
      </c>
      <c r="T23" s="65">
        <f t="shared" ref="T23:T37" si="16">I23-(E23+D23)</f>
        <v>0</v>
      </c>
      <c r="U23" s="22"/>
    </row>
    <row r="24" spans="1:21" ht="16" x14ac:dyDescent="0.2">
      <c r="A24" s="22"/>
      <c r="B24" s="82"/>
      <c r="C24" s="3" t="s">
        <v>2</v>
      </c>
      <c r="D24" s="12">
        <v>5000</v>
      </c>
      <c r="E24" s="13">
        <v>34500</v>
      </c>
      <c r="F24" s="14">
        <v>13800</v>
      </c>
      <c r="G24" s="14">
        <v>10350</v>
      </c>
      <c r="H24" s="14">
        <v>10350</v>
      </c>
      <c r="I24" s="15">
        <v>39500</v>
      </c>
      <c r="J24" s="22"/>
      <c r="K24" s="20"/>
      <c r="L24" s="20"/>
      <c r="M24" s="22"/>
      <c r="N24" s="20"/>
      <c r="O24" s="20"/>
      <c r="P24" s="20"/>
      <c r="R24" s="22"/>
      <c r="S24" s="66">
        <f t="shared" si="15"/>
        <v>0</v>
      </c>
      <c r="T24" s="67">
        <f t="shared" si="16"/>
        <v>0</v>
      </c>
      <c r="U24" s="22"/>
    </row>
    <row r="25" spans="1:21" ht="16" x14ac:dyDescent="0.2">
      <c r="A25" s="22"/>
      <c r="B25" s="82"/>
      <c r="C25" s="3" t="s">
        <v>3</v>
      </c>
      <c r="D25" s="12">
        <v>5000</v>
      </c>
      <c r="E25" s="13">
        <v>34500</v>
      </c>
      <c r="F25" s="14">
        <v>13800</v>
      </c>
      <c r="G25" s="14">
        <v>10350</v>
      </c>
      <c r="H25" s="14">
        <v>10350</v>
      </c>
      <c r="I25" s="15">
        <v>39500</v>
      </c>
      <c r="J25" s="22"/>
      <c r="K25" s="20"/>
      <c r="L25" s="20"/>
      <c r="M25" s="22"/>
      <c r="N25" s="20"/>
      <c r="O25" s="20"/>
      <c r="P25" s="20"/>
      <c r="R25" s="22"/>
      <c r="S25" s="66">
        <f t="shared" si="15"/>
        <v>0</v>
      </c>
      <c r="T25" s="67">
        <f t="shared" si="16"/>
        <v>0</v>
      </c>
      <c r="U25" s="22"/>
    </row>
    <row r="26" spans="1:21" ht="16" x14ac:dyDescent="0.2">
      <c r="A26" s="22"/>
      <c r="B26" s="82"/>
      <c r="C26" s="3" t="s">
        <v>4</v>
      </c>
      <c r="D26" s="12">
        <v>5000</v>
      </c>
      <c r="E26" s="13">
        <v>34500</v>
      </c>
      <c r="F26" s="14">
        <v>13800</v>
      </c>
      <c r="G26" s="14">
        <v>10350</v>
      </c>
      <c r="H26" s="14">
        <v>10350</v>
      </c>
      <c r="I26" s="15">
        <v>39500</v>
      </c>
      <c r="J26" s="22"/>
      <c r="K26" s="20"/>
      <c r="L26" s="20"/>
      <c r="M26" s="22"/>
      <c r="N26" s="20"/>
      <c r="O26" s="20"/>
      <c r="P26" s="20"/>
      <c r="R26" s="22"/>
      <c r="S26" s="66">
        <f t="shared" si="15"/>
        <v>0</v>
      </c>
      <c r="T26" s="67">
        <f t="shared" si="16"/>
        <v>0</v>
      </c>
      <c r="U26" s="22"/>
    </row>
    <row r="27" spans="1:21" ht="17" thickBot="1" x14ac:dyDescent="0.25">
      <c r="A27" s="22"/>
      <c r="B27" s="83"/>
      <c r="C27" s="4" t="s">
        <v>8</v>
      </c>
      <c r="D27" s="16">
        <v>5000</v>
      </c>
      <c r="E27" s="17">
        <v>38500</v>
      </c>
      <c r="F27" s="18">
        <v>15400</v>
      </c>
      <c r="G27" s="18">
        <v>11550</v>
      </c>
      <c r="H27" s="18">
        <v>11550</v>
      </c>
      <c r="I27" s="19">
        <v>43500</v>
      </c>
      <c r="J27" s="22"/>
      <c r="K27" s="20"/>
      <c r="L27" s="20"/>
      <c r="M27" s="22"/>
      <c r="N27" s="20"/>
      <c r="O27" s="20"/>
      <c r="P27" s="20"/>
      <c r="R27" s="22"/>
      <c r="S27" s="68">
        <f t="shared" si="15"/>
        <v>0</v>
      </c>
      <c r="T27" s="69">
        <f t="shared" si="16"/>
        <v>0</v>
      </c>
      <c r="U27" s="22"/>
    </row>
    <row r="28" spans="1:21" ht="17" thickTop="1" x14ac:dyDescent="0.2">
      <c r="A28" s="22"/>
      <c r="B28" s="81" t="s">
        <v>5</v>
      </c>
      <c r="C28" s="5" t="s">
        <v>1</v>
      </c>
      <c r="D28" s="9">
        <v>4350</v>
      </c>
      <c r="E28" s="9">
        <v>34783</v>
      </c>
      <c r="F28" s="10">
        <v>13913.2</v>
      </c>
      <c r="G28" s="10">
        <v>10434.9</v>
      </c>
      <c r="H28" s="10">
        <v>10434.9</v>
      </c>
      <c r="I28" s="11">
        <v>39133</v>
      </c>
      <c r="J28" s="22"/>
      <c r="K28" s="20"/>
      <c r="L28" s="20"/>
      <c r="M28" s="22"/>
      <c r="N28" s="20"/>
      <c r="O28" s="20"/>
      <c r="P28" s="20"/>
      <c r="R28" s="22"/>
      <c r="S28" s="64">
        <f t="shared" si="15"/>
        <v>0</v>
      </c>
      <c r="T28" s="65">
        <f t="shared" si="16"/>
        <v>0</v>
      </c>
      <c r="U28" s="22"/>
    </row>
    <row r="29" spans="1:21" ht="16" x14ac:dyDescent="0.2">
      <c r="A29" s="22"/>
      <c r="B29" s="82"/>
      <c r="C29" s="3" t="s">
        <v>2</v>
      </c>
      <c r="D29" s="12">
        <v>4350</v>
      </c>
      <c r="E29" s="13">
        <v>35650</v>
      </c>
      <c r="F29" s="14">
        <v>14260</v>
      </c>
      <c r="G29" s="14">
        <v>10695</v>
      </c>
      <c r="H29" s="14">
        <v>10695</v>
      </c>
      <c r="I29" s="15">
        <v>40000</v>
      </c>
      <c r="J29" s="22"/>
      <c r="K29" s="20"/>
      <c r="L29" s="20"/>
      <c r="M29" s="22"/>
      <c r="N29" s="20"/>
      <c r="O29" s="20"/>
      <c r="P29" s="20"/>
      <c r="R29" s="22"/>
      <c r="S29" s="66">
        <f t="shared" si="15"/>
        <v>0</v>
      </c>
      <c r="T29" s="67">
        <f t="shared" si="16"/>
        <v>0</v>
      </c>
      <c r="U29" s="22"/>
    </row>
    <row r="30" spans="1:21" ht="16" x14ac:dyDescent="0.2">
      <c r="A30" s="22"/>
      <c r="B30" s="82"/>
      <c r="C30" s="3" t="s">
        <v>3</v>
      </c>
      <c r="D30" s="12">
        <v>4350</v>
      </c>
      <c r="E30" s="13">
        <v>35650</v>
      </c>
      <c r="F30" s="14">
        <v>14260</v>
      </c>
      <c r="G30" s="14">
        <v>10695</v>
      </c>
      <c r="H30" s="14">
        <v>10695</v>
      </c>
      <c r="I30" s="15">
        <v>40000</v>
      </c>
      <c r="J30" s="22"/>
      <c r="K30" s="20"/>
      <c r="L30" s="20"/>
      <c r="M30" s="22"/>
      <c r="N30" s="20"/>
      <c r="O30" s="20"/>
      <c r="P30" s="20"/>
      <c r="R30" s="22"/>
      <c r="S30" s="66">
        <f t="shared" si="15"/>
        <v>0</v>
      </c>
      <c r="T30" s="67">
        <f t="shared" si="16"/>
        <v>0</v>
      </c>
      <c r="U30" s="22"/>
    </row>
    <row r="31" spans="1:21" ht="16" x14ac:dyDescent="0.2">
      <c r="A31" s="22"/>
      <c r="B31" s="82"/>
      <c r="C31" s="3" t="s">
        <v>4</v>
      </c>
      <c r="D31" s="12">
        <v>4350</v>
      </c>
      <c r="E31" s="13">
        <v>35650</v>
      </c>
      <c r="F31" s="14">
        <v>14260</v>
      </c>
      <c r="G31" s="14">
        <v>10695</v>
      </c>
      <c r="H31" s="14">
        <v>10695</v>
      </c>
      <c r="I31" s="15">
        <v>40000</v>
      </c>
      <c r="J31" s="22"/>
      <c r="K31" s="20"/>
      <c r="L31" s="20"/>
      <c r="M31" s="22"/>
      <c r="N31" s="20"/>
      <c r="O31" s="20"/>
      <c r="P31" s="20"/>
      <c r="R31" s="22"/>
      <c r="S31" s="66">
        <f t="shared" si="15"/>
        <v>0</v>
      </c>
      <c r="T31" s="67">
        <f t="shared" si="16"/>
        <v>0</v>
      </c>
      <c r="U31" s="22"/>
    </row>
    <row r="32" spans="1:21" ht="17" thickBot="1" x14ac:dyDescent="0.25">
      <c r="A32" s="22"/>
      <c r="B32" s="83"/>
      <c r="C32" s="4" t="s">
        <v>8</v>
      </c>
      <c r="D32" s="16">
        <v>4350</v>
      </c>
      <c r="E32" s="17">
        <v>40000</v>
      </c>
      <c r="F32" s="18">
        <v>16000</v>
      </c>
      <c r="G32" s="18">
        <v>12000</v>
      </c>
      <c r="H32" s="18">
        <v>12000</v>
      </c>
      <c r="I32" s="19">
        <v>44350</v>
      </c>
      <c r="J32" s="22"/>
      <c r="K32" s="20"/>
      <c r="L32" s="20"/>
      <c r="M32" s="22"/>
      <c r="N32" s="20"/>
      <c r="O32" s="20"/>
      <c r="P32" s="20"/>
      <c r="R32" s="22"/>
      <c r="S32" s="68">
        <f t="shared" si="15"/>
        <v>0</v>
      </c>
      <c r="T32" s="69">
        <f t="shared" si="16"/>
        <v>0</v>
      </c>
      <c r="U32" s="22"/>
    </row>
    <row r="33" spans="1:21" ht="17" thickTop="1" x14ac:dyDescent="0.2">
      <c r="A33" s="22"/>
      <c r="B33" s="81" t="s">
        <v>6</v>
      </c>
      <c r="C33" s="5" t="s">
        <v>1</v>
      </c>
      <c r="D33" s="9">
        <v>5000</v>
      </c>
      <c r="E33" s="9">
        <v>40000</v>
      </c>
      <c r="F33" s="10">
        <v>16000</v>
      </c>
      <c r="G33" s="10">
        <v>12000</v>
      </c>
      <c r="H33" s="10">
        <v>12000</v>
      </c>
      <c r="I33" s="11">
        <v>45000</v>
      </c>
      <c r="J33" s="22"/>
      <c r="K33" s="20"/>
      <c r="L33" s="20"/>
      <c r="M33" s="22"/>
      <c r="N33" s="20"/>
      <c r="O33" s="20"/>
      <c r="P33" s="20"/>
      <c r="R33" s="22"/>
      <c r="S33" s="64">
        <f t="shared" si="15"/>
        <v>0</v>
      </c>
      <c r="T33" s="65">
        <f t="shared" si="16"/>
        <v>0</v>
      </c>
      <c r="U33" s="22"/>
    </row>
    <row r="34" spans="1:21" ht="16" x14ac:dyDescent="0.2">
      <c r="A34" s="22"/>
      <c r="B34" s="82"/>
      <c r="C34" s="3" t="s">
        <v>2</v>
      </c>
      <c r="D34" s="12">
        <v>5000</v>
      </c>
      <c r="E34" s="13">
        <v>41000</v>
      </c>
      <c r="F34" s="14">
        <v>16400</v>
      </c>
      <c r="G34" s="14">
        <v>12300</v>
      </c>
      <c r="H34" s="14">
        <v>12300</v>
      </c>
      <c r="I34" s="15">
        <v>46000</v>
      </c>
      <c r="J34" s="22"/>
      <c r="K34" s="20"/>
      <c r="L34" s="20"/>
      <c r="M34" s="22"/>
      <c r="N34" s="20"/>
      <c r="O34" s="20"/>
      <c r="P34" s="20"/>
      <c r="R34" s="22"/>
      <c r="S34" s="66">
        <f t="shared" si="15"/>
        <v>0</v>
      </c>
      <c r="T34" s="67">
        <f t="shared" si="16"/>
        <v>0</v>
      </c>
      <c r="U34" s="22"/>
    </row>
    <row r="35" spans="1:21" ht="16" x14ac:dyDescent="0.2">
      <c r="A35" s="22"/>
      <c r="B35" s="82"/>
      <c r="C35" s="3" t="s">
        <v>3</v>
      </c>
      <c r="D35" s="12">
        <v>5000</v>
      </c>
      <c r="E35" s="13">
        <v>41000</v>
      </c>
      <c r="F35" s="14">
        <v>16400</v>
      </c>
      <c r="G35" s="14">
        <v>12300</v>
      </c>
      <c r="H35" s="14">
        <v>12300</v>
      </c>
      <c r="I35" s="15">
        <v>46000</v>
      </c>
      <c r="J35" s="22"/>
      <c r="K35" s="20"/>
      <c r="L35" s="20"/>
      <c r="M35" s="22"/>
      <c r="N35" s="20"/>
      <c r="O35" s="20"/>
      <c r="P35" s="20"/>
      <c r="R35" s="22"/>
      <c r="S35" s="66">
        <f t="shared" si="15"/>
        <v>0</v>
      </c>
      <c r="T35" s="67">
        <f t="shared" si="16"/>
        <v>0</v>
      </c>
      <c r="U35" s="22"/>
    </row>
    <row r="36" spans="1:21" ht="16" x14ac:dyDescent="0.2">
      <c r="A36" s="22"/>
      <c r="B36" s="82"/>
      <c r="C36" s="3" t="s">
        <v>4</v>
      </c>
      <c r="D36" s="12">
        <v>5000</v>
      </c>
      <c r="E36" s="13">
        <v>41000</v>
      </c>
      <c r="F36" s="14">
        <v>16400</v>
      </c>
      <c r="G36" s="14">
        <v>12300</v>
      </c>
      <c r="H36" s="14">
        <v>12300</v>
      </c>
      <c r="I36" s="15">
        <v>46000</v>
      </c>
      <c r="J36" s="22"/>
      <c r="K36" s="20"/>
      <c r="L36" s="20"/>
      <c r="M36" s="22"/>
      <c r="N36" s="20"/>
      <c r="O36" s="20"/>
      <c r="P36" s="20"/>
      <c r="R36" s="22"/>
      <c r="S36" s="66">
        <f t="shared" si="15"/>
        <v>0</v>
      </c>
      <c r="T36" s="67">
        <f t="shared" si="16"/>
        <v>0</v>
      </c>
      <c r="U36" s="22"/>
    </row>
    <row r="37" spans="1:21" ht="17" thickBot="1" x14ac:dyDescent="0.25">
      <c r="A37" s="22"/>
      <c r="B37" s="83"/>
      <c r="C37" s="4" t="s">
        <v>8</v>
      </c>
      <c r="D37" s="16">
        <v>5000</v>
      </c>
      <c r="E37" s="17">
        <v>46000</v>
      </c>
      <c r="F37" s="18">
        <v>18400</v>
      </c>
      <c r="G37" s="18">
        <v>13800</v>
      </c>
      <c r="H37" s="18">
        <v>13800</v>
      </c>
      <c r="I37" s="19">
        <v>51000</v>
      </c>
      <c r="J37" s="22"/>
      <c r="K37" s="20"/>
      <c r="L37" s="20"/>
      <c r="M37" s="22"/>
      <c r="N37" s="20"/>
      <c r="O37" s="20"/>
      <c r="P37" s="20"/>
      <c r="R37" s="22"/>
      <c r="S37" s="68">
        <f t="shared" si="15"/>
        <v>0</v>
      </c>
      <c r="T37" s="69">
        <f t="shared" si="16"/>
        <v>0</v>
      </c>
      <c r="U37" s="22"/>
    </row>
    <row r="38" spans="1:21" ht="16" thickTop="1" x14ac:dyDescent="0.2"/>
    <row r="39" spans="1:21" ht="16" thickBot="1" x14ac:dyDescent="0.25"/>
    <row r="40" spans="1:21" ht="22" thickTop="1" thickBot="1" x14ac:dyDescent="0.25">
      <c r="B40" s="87" t="s">
        <v>28</v>
      </c>
      <c r="C40" s="88"/>
      <c r="D40" s="88"/>
      <c r="E40" s="88"/>
      <c r="F40" s="88"/>
      <c r="G40" s="88"/>
      <c r="H40" s="88"/>
      <c r="I40" s="89"/>
      <c r="S40" s="71" t="s">
        <v>33</v>
      </c>
      <c r="T40" s="72"/>
    </row>
    <row r="41" spans="1:21" ht="50" thickTop="1" thickBot="1" x14ac:dyDescent="0.25">
      <c r="B41" s="79" t="s">
        <v>9</v>
      </c>
      <c r="C41" s="80"/>
      <c r="D41" s="6" t="s">
        <v>10</v>
      </c>
      <c r="E41" s="6" t="s">
        <v>11</v>
      </c>
      <c r="F41" s="6" t="s">
        <v>23</v>
      </c>
      <c r="G41" s="6" t="s">
        <v>24</v>
      </c>
      <c r="H41" s="6" t="s">
        <v>25</v>
      </c>
      <c r="I41" s="7" t="s">
        <v>12</v>
      </c>
      <c r="S41" s="62" t="s">
        <v>16</v>
      </c>
      <c r="T41" s="63" t="s">
        <v>15</v>
      </c>
    </row>
    <row r="42" spans="1:21" ht="17" thickTop="1" x14ac:dyDescent="0.2">
      <c r="A42" s="22"/>
      <c r="B42" s="81" t="s">
        <v>0</v>
      </c>
      <c r="C42" s="5" t="s">
        <v>1</v>
      </c>
      <c r="D42" s="9">
        <f>D4-D23</f>
        <v>0</v>
      </c>
      <c r="E42" s="9">
        <f t="shared" ref="E42:I42" si="17">E4-E23</f>
        <v>0</v>
      </c>
      <c r="F42" s="10">
        <f t="shared" si="17"/>
        <v>0</v>
      </c>
      <c r="G42" s="10">
        <f t="shared" si="17"/>
        <v>0</v>
      </c>
      <c r="H42" s="10">
        <f t="shared" si="17"/>
        <v>0</v>
      </c>
      <c r="I42" s="11">
        <f t="shared" si="17"/>
        <v>0</v>
      </c>
      <c r="J42" s="22"/>
      <c r="K42" s="20"/>
      <c r="L42" s="20"/>
      <c r="M42" s="22"/>
      <c r="N42" s="20"/>
      <c r="O42" s="20"/>
      <c r="P42" s="20"/>
      <c r="R42" s="22"/>
      <c r="S42" s="64">
        <f t="shared" ref="S42:S56" si="18">SUM(F42:H42)-E42</f>
        <v>0</v>
      </c>
      <c r="T42" s="65">
        <f t="shared" ref="T42:T56" si="19">I42-(E42+D42)</f>
        <v>0</v>
      </c>
      <c r="U42" s="22"/>
    </row>
    <row r="43" spans="1:21" ht="16" x14ac:dyDescent="0.2">
      <c r="A43" s="22"/>
      <c r="B43" s="82"/>
      <c r="C43" s="3" t="s">
        <v>2</v>
      </c>
      <c r="D43" s="12">
        <f t="shared" ref="D43:I43" si="20">D5-D24</f>
        <v>0</v>
      </c>
      <c r="E43" s="13">
        <f t="shared" si="20"/>
        <v>1000</v>
      </c>
      <c r="F43" s="14">
        <f t="shared" si="20"/>
        <v>400</v>
      </c>
      <c r="G43" s="14">
        <f t="shared" si="20"/>
        <v>300</v>
      </c>
      <c r="H43" s="14">
        <f t="shared" si="20"/>
        <v>300</v>
      </c>
      <c r="I43" s="15">
        <f t="shared" si="20"/>
        <v>1000</v>
      </c>
      <c r="J43" s="22"/>
      <c r="K43" s="20"/>
      <c r="L43" s="20"/>
      <c r="M43" s="22"/>
      <c r="N43" s="20"/>
      <c r="O43" s="20"/>
      <c r="P43" s="20"/>
      <c r="R43" s="22"/>
      <c r="S43" s="66">
        <f t="shared" si="18"/>
        <v>0</v>
      </c>
      <c r="T43" s="67">
        <f t="shared" si="19"/>
        <v>0</v>
      </c>
      <c r="U43" s="22"/>
    </row>
    <row r="44" spans="1:21" ht="16" x14ac:dyDescent="0.2">
      <c r="A44" s="22"/>
      <c r="B44" s="82"/>
      <c r="C44" s="3" t="s">
        <v>3</v>
      </c>
      <c r="D44" s="12">
        <f t="shared" ref="D44:I44" si="21">D6-D25</f>
        <v>0</v>
      </c>
      <c r="E44" s="13">
        <f t="shared" si="21"/>
        <v>1500</v>
      </c>
      <c r="F44" s="14">
        <f t="shared" si="21"/>
        <v>600</v>
      </c>
      <c r="G44" s="14">
        <f t="shared" si="21"/>
        <v>450</v>
      </c>
      <c r="H44" s="14">
        <f t="shared" si="21"/>
        <v>450</v>
      </c>
      <c r="I44" s="15">
        <f t="shared" si="21"/>
        <v>1500</v>
      </c>
      <c r="J44" s="22"/>
      <c r="K44" s="20"/>
      <c r="L44" s="20"/>
      <c r="M44" s="22"/>
      <c r="N44" s="20"/>
      <c r="O44" s="20"/>
      <c r="P44" s="20"/>
      <c r="R44" s="22"/>
      <c r="S44" s="66">
        <f t="shared" si="18"/>
        <v>0</v>
      </c>
      <c r="T44" s="67">
        <f t="shared" si="19"/>
        <v>0</v>
      </c>
      <c r="U44" s="22"/>
    </row>
    <row r="45" spans="1:21" ht="16" x14ac:dyDescent="0.2">
      <c r="A45" s="22"/>
      <c r="B45" s="82"/>
      <c r="C45" s="3" t="s">
        <v>4</v>
      </c>
      <c r="D45" s="12">
        <f t="shared" ref="D45:I45" si="22">D7-D26</f>
        <v>0</v>
      </c>
      <c r="E45" s="13">
        <f t="shared" si="22"/>
        <v>2000</v>
      </c>
      <c r="F45" s="14">
        <f t="shared" si="22"/>
        <v>800</v>
      </c>
      <c r="G45" s="14">
        <f t="shared" si="22"/>
        <v>600</v>
      </c>
      <c r="H45" s="14">
        <f t="shared" si="22"/>
        <v>600</v>
      </c>
      <c r="I45" s="15">
        <f t="shared" si="22"/>
        <v>2000</v>
      </c>
      <c r="J45" s="22"/>
      <c r="K45" s="20"/>
      <c r="L45" s="20"/>
      <c r="M45" s="22"/>
      <c r="N45" s="20"/>
      <c r="O45" s="20"/>
      <c r="P45" s="20"/>
      <c r="R45" s="22"/>
      <c r="S45" s="66">
        <f t="shared" si="18"/>
        <v>0</v>
      </c>
      <c r="T45" s="67">
        <f t="shared" si="19"/>
        <v>0</v>
      </c>
      <c r="U45" s="22"/>
    </row>
    <row r="46" spans="1:21" ht="17" thickBot="1" x14ac:dyDescent="0.25">
      <c r="A46" s="22"/>
      <c r="B46" s="83"/>
      <c r="C46" s="4" t="s">
        <v>8</v>
      </c>
      <c r="D46" s="16">
        <f t="shared" ref="D46:I46" si="23">D8-D27</f>
        <v>0</v>
      </c>
      <c r="E46" s="17">
        <f t="shared" si="23"/>
        <v>2500</v>
      </c>
      <c r="F46" s="18">
        <f t="shared" si="23"/>
        <v>1000</v>
      </c>
      <c r="G46" s="18">
        <f t="shared" si="23"/>
        <v>750</v>
      </c>
      <c r="H46" s="18">
        <f t="shared" si="23"/>
        <v>750</v>
      </c>
      <c r="I46" s="19">
        <f t="shared" si="23"/>
        <v>2500</v>
      </c>
      <c r="J46" s="22"/>
      <c r="K46" s="20"/>
      <c r="L46" s="20"/>
      <c r="M46" s="22"/>
      <c r="N46" s="20"/>
      <c r="O46" s="20"/>
      <c r="P46" s="20"/>
      <c r="R46" s="22"/>
      <c r="S46" s="68">
        <f t="shared" si="18"/>
        <v>0</v>
      </c>
      <c r="T46" s="69">
        <f t="shared" si="19"/>
        <v>0</v>
      </c>
      <c r="U46" s="22"/>
    </row>
    <row r="47" spans="1:21" ht="17" thickTop="1" x14ac:dyDescent="0.2">
      <c r="A47" s="22"/>
      <c r="B47" s="81" t="s">
        <v>5</v>
      </c>
      <c r="C47" s="5" t="s">
        <v>1</v>
      </c>
      <c r="D47" s="9">
        <f t="shared" ref="D47:I47" si="24">D9-D28</f>
        <v>0</v>
      </c>
      <c r="E47" s="9">
        <f t="shared" si="24"/>
        <v>-1</v>
      </c>
      <c r="F47" s="10">
        <f t="shared" si="24"/>
        <v>-1.2000000000007276</v>
      </c>
      <c r="G47" s="10">
        <f t="shared" si="24"/>
        <v>0.1000000000003638</v>
      </c>
      <c r="H47" s="10">
        <f t="shared" si="24"/>
        <v>0.1000000000003638</v>
      </c>
      <c r="I47" s="11">
        <f t="shared" si="24"/>
        <v>-1</v>
      </c>
      <c r="J47" s="22"/>
      <c r="K47" s="20"/>
      <c r="L47" s="20"/>
      <c r="M47" s="22"/>
      <c r="N47" s="20"/>
      <c r="O47" s="20"/>
      <c r="P47" s="20"/>
      <c r="R47" s="22"/>
      <c r="S47" s="64">
        <f t="shared" si="18"/>
        <v>0</v>
      </c>
      <c r="T47" s="65">
        <f t="shared" si="19"/>
        <v>0</v>
      </c>
      <c r="U47" s="22"/>
    </row>
    <row r="48" spans="1:21" ht="16" x14ac:dyDescent="0.2">
      <c r="A48" s="22"/>
      <c r="B48" s="82"/>
      <c r="C48" s="3" t="s">
        <v>2</v>
      </c>
      <c r="D48" s="12">
        <f t="shared" ref="D48:I48" si="25">D10-D29</f>
        <v>0</v>
      </c>
      <c r="E48" s="13">
        <f t="shared" si="25"/>
        <v>871</v>
      </c>
      <c r="F48" s="14">
        <f t="shared" si="25"/>
        <v>348</v>
      </c>
      <c r="G48" s="14">
        <f t="shared" si="25"/>
        <v>262</v>
      </c>
      <c r="H48" s="14">
        <f t="shared" si="25"/>
        <v>261</v>
      </c>
      <c r="I48" s="15">
        <f t="shared" si="25"/>
        <v>871</v>
      </c>
      <c r="J48" s="22"/>
      <c r="K48" s="20"/>
      <c r="L48" s="20"/>
      <c r="M48" s="22"/>
      <c r="N48" s="20"/>
      <c r="O48" s="20"/>
      <c r="P48" s="20"/>
      <c r="R48" s="22"/>
      <c r="S48" s="66">
        <f t="shared" si="18"/>
        <v>0</v>
      </c>
      <c r="T48" s="67">
        <f t="shared" si="19"/>
        <v>0</v>
      </c>
      <c r="U48" s="22"/>
    </row>
    <row r="49" spans="1:21" ht="16" x14ac:dyDescent="0.2">
      <c r="A49" s="22"/>
      <c r="B49" s="82"/>
      <c r="C49" s="3" t="s">
        <v>3</v>
      </c>
      <c r="D49" s="12">
        <f t="shared" ref="D49:I49" si="26">D11-D30</f>
        <v>0</v>
      </c>
      <c r="E49" s="13">
        <f t="shared" si="26"/>
        <v>871</v>
      </c>
      <c r="F49" s="14">
        <f t="shared" si="26"/>
        <v>348</v>
      </c>
      <c r="G49" s="14">
        <f t="shared" si="26"/>
        <v>262</v>
      </c>
      <c r="H49" s="14">
        <f t="shared" si="26"/>
        <v>261</v>
      </c>
      <c r="I49" s="15">
        <f t="shared" si="26"/>
        <v>871</v>
      </c>
      <c r="J49" s="22"/>
      <c r="K49" s="20"/>
      <c r="L49" s="20"/>
      <c r="M49" s="22"/>
      <c r="N49" s="20"/>
      <c r="O49" s="20"/>
      <c r="P49" s="20"/>
      <c r="R49" s="22"/>
      <c r="S49" s="66">
        <f t="shared" si="18"/>
        <v>0</v>
      </c>
      <c r="T49" s="67">
        <f t="shared" si="19"/>
        <v>0</v>
      </c>
      <c r="U49" s="22"/>
    </row>
    <row r="50" spans="1:21" ht="16" x14ac:dyDescent="0.2">
      <c r="A50" s="22"/>
      <c r="B50" s="82"/>
      <c r="C50" s="3" t="s">
        <v>4</v>
      </c>
      <c r="D50" s="12">
        <f t="shared" ref="D50:I50" si="27">D12-D31</f>
        <v>0</v>
      </c>
      <c r="E50" s="13">
        <f t="shared" si="27"/>
        <v>1306</v>
      </c>
      <c r="F50" s="14">
        <f t="shared" si="27"/>
        <v>522</v>
      </c>
      <c r="G50" s="14">
        <f t="shared" si="27"/>
        <v>392</v>
      </c>
      <c r="H50" s="14">
        <f t="shared" si="27"/>
        <v>392</v>
      </c>
      <c r="I50" s="15">
        <f t="shared" si="27"/>
        <v>1306</v>
      </c>
      <c r="J50" s="22"/>
      <c r="K50" s="20"/>
      <c r="L50" s="20"/>
      <c r="M50" s="22"/>
      <c r="N50" s="20"/>
      <c r="O50" s="20"/>
      <c r="P50" s="20"/>
      <c r="R50" s="22"/>
      <c r="S50" s="66">
        <f t="shared" si="18"/>
        <v>0</v>
      </c>
      <c r="T50" s="67">
        <f t="shared" si="19"/>
        <v>0</v>
      </c>
      <c r="U50" s="22"/>
    </row>
    <row r="51" spans="1:21" ht="17" thickBot="1" x14ac:dyDescent="0.25">
      <c r="A51" s="22"/>
      <c r="B51" s="83"/>
      <c r="C51" s="4" t="s">
        <v>8</v>
      </c>
      <c r="D51" s="16">
        <f t="shared" ref="D51:I51" si="28">D13-D32</f>
        <v>0</v>
      </c>
      <c r="E51" s="17">
        <f t="shared" si="28"/>
        <v>1739</v>
      </c>
      <c r="F51" s="18">
        <f t="shared" si="28"/>
        <v>695</v>
      </c>
      <c r="G51" s="18">
        <f t="shared" si="28"/>
        <v>522</v>
      </c>
      <c r="H51" s="18">
        <f t="shared" si="28"/>
        <v>522</v>
      </c>
      <c r="I51" s="19">
        <f t="shared" si="28"/>
        <v>1739</v>
      </c>
      <c r="J51" s="22"/>
      <c r="K51" s="20"/>
      <c r="L51" s="20"/>
      <c r="M51" s="22"/>
      <c r="N51" s="20"/>
      <c r="O51" s="20"/>
      <c r="P51" s="20"/>
      <c r="R51" s="22"/>
      <c r="S51" s="68">
        <f t="shared" si="18"/>
        <v>0</v>
      </c>
      <c r="T51" s="69">
        <f t="shared" si="19"/>
        <v>0</v>
      </c>
      <c r="U51" s="22"/>
    </row>
    <row r="52" spans="1:21" ht="17" thickTop="1" x14ac:dyDescent="0.2">
      <c r="A52" s="22"/>
      <c r="B52" s="81" t="s">
        <v>6</v>
      </c>
      <c r="C52" s="5" t="s">
        <v>1</v>
      </c>
      <c r="D52" s="9">
        <f t="shared" ref="D52:I52" si="29">D14-D33</f>
        <v>0</v>
      </c>
      <c r="E52" s="9">
        <f t="shared" si="29"/>
        <v>0</v>
      </c>
      <c r="F52" s="10">
        <f t="shared" si="29"/>
        <v>0</v>
      </c>
      <c r="G52" s="10">
        <f t="shared" si="29"/>
        <v>0</v>
      </c>
      <c r="H52" s="10">
        <f t="shared" si="29"/>
        <v>0</v>
      </c>
      <c r="I52" s="11">
        <f t="shared" si="29"/>
        <v>0</v>
      </c>
      <c r="J52" s="22"/>
      <c r="K52" s="20"/>
      <c r="L52" s="20"/>
      <c r="M52" s="22"/>
      <c r="N52" s="20"/>
      <c r="O52" s="20"/>
      <c r="P52" s="20"/>
      <c r="R52" s="22"/>
      <c r="S52" s="64">
        <f t="shared" si="18"/>
        <v>0</v>
      </c>
      <c r="T52" s="65">
        <f t="shared" si="19"/>
        <v>0</v>
      </c>
      <c r="U52" s="22"/>
    </row>
    <row r="53" spans="1:21" ht="16" x14ac:dyDescent="0.2">
      <c r="A53" s="22"/>
      <c r="B53" s="82"/>
      <c r="C53" s="3" t="s">
        <v>2</v>
      </c>
      <c r="D53" s="12">
        <f t="shared" ref="D53:I53" si="30">D15-D34</f>
        <v>0</v>
      </c>
      <c r="E53" s="13">
        <f t="shared" si="30"/>
        <v>1000</v>
      </c>
      <c r="F53" s="14">
        <f t="shared" si="30"/>
        <v>400</v>
      </c>
      <c r="G53" s="14">
        <f t="shared" si="30"/>
        <v>300</v>
      </c>
      <c r="H53" s="14">
        <f t="shared" si="30"/>
        <v>300</v>
      </c>
      <c r="I53" s="15">
        <f t="shared" si="30"/>
        <v>1000</v>
      </c>
      <c r="J53" s="22"/>
      <c r="K53" s="20"/>
      <c r="L53" s="20"/>
      <c r="M53" s="22"/>
      <c r="N53" s="20"/>
      <c r="O53" s="20"/>
      <c r="P53" s="20"/>
      <c r="R53" s="22"/>
      <c r="S53" s="66">
        <f t="shared" si="18"/>
        <v>0</v>
      </c>
      <c r="T53" s="67">
        <f t="shared" si="19"/>
        <v>0</v>
      </c>
      <c r="U53" s="22"/>
    </row>
    <row r="54" spans="1:21" ht="16" x14ac:dyDescent="0.2">
      <c r="A54" s="22"/>
      <c r="B54" s="82"/>
      <c r="C54" s="3" t="s">
        <v>3</v>
      </c>
      <c r="D54" s="12">
        <f t="shared" ref="D54:I54" si="31">D16-D35</f>
        <v>0</v>
      </c>
      <c r="E54" s="13">
        <f t="shared" si="31"/>
        <v>1000</v>
      </c>
      <c r="F54" s="14">
        <f t="shared" si="31"/>
        <v>400</v>
      </c>
      <c r="G54" s="14">
        <f t="shared" si="31"/>
        <v>300</v>
      </c>
      <c r="H54" s="14">
        <f t="shared" si="31"/>
        <v>300</v>
      </c>
      <c r="I54" s="15">
        <f t="shared" si="31"/>
        <v>1000</v>
      </c>
      <c r="J54" s="22"/>
      <c r="K54" s="20"/>
      <c r="L54" s="20"/>
      <c r="M54" s="22"/>
      <c r="N54" s="20"/>
      <c r="O54" s="20"/>
      <c r="P54" s="20"/>
      <c r="R54" s="22"/>
      <c r="S54" s="66">
        <f t="shared" si="18"/>
        <v>0</v>
      </c>
      <c r="T54" s="67">
        <f t="shared" si="19"/>
        <v>0</v>
      </c>
      <c r="U54" s="22"/>
    </row>
    <row r="55" spans="1:21" ht="16" x14ac:dyDescent="0.2">
      <c r="A55" s="22"/>
      <c r="B55" s="82"/>
      <c r="C55" s="3" t="s">
        <v>4</v>
      </c>
      <c r="D55" s="12">
        <f t="shared" ref="D55:I55" si="32">D17-D36</f>
        <v>0</v>
      </c>
      <c r="E55" s="13">
        <f t="shared" si="32"/>
        <v>1500</v>
      </c>
      <c r="F55" s="14">
        <f t="shared" si="32"/>
        <v>600</v>
      </c>
      <c r="G55" s="14">
        <f t="shared" si="32"/>
        <v>450</v>
      </c>
      <c r="H55" s="14">
        <f t="shared" si="32"/>
        <v>450</v>
      </c>
      <c r="I55" s="15">
        <f t="shared" si="32"/>
        <v>1500</v>
      </c>
      <c r="J55" s="22"/>
      <c r="K55" s="20"/>
      <c r="L55" s="20"/>
      <c r="M55" s="22"/>
      <c r="N55" s="20"/>
      <c r="O55" s="20"/>
      <c r="P55" s="20"/>
      <c r="R55" s="22"/>
      <c r="S55" s="66">
        <f t="shared" si="18"/>
        <v>0</v>
      </c>
      <c r="T55" s="67">
        <f t="shared" si="19"/>
        <v>0</v>
      </c>
      <c r="U55" s="22"/>
    </row>
    <row r="56" spans="1:21" ht="17" thickBot="1" x14ac:dyDescent="0.25">
      <c r="A56" s="22"/>
      <c r="B56" s="83"/>
      <c r="C56" s="4" t="s">
        <v>8</v>
      </c>
      <c r="D56" s="16">
        <f t="shared" ref="D56:I56" si="33">D18-D37</f>
        <v>0</v>
      </c>
      <c r="E56" s="17">
        <f t="shared" si="33"/>
        <v>2000</v>
      </c>
      <c r="F56" s="18">
        <f t="shared" si="33"/>
        <v>800</v>
      </c>
      <c r="G56" s="18">
        <f t="shared" si="33"/>
        <v>600</v>
      </c>
      <c r="H56" s="18">
        <f t="shared" si="33"/>
        <v>600</v>
      </c>
      <c r="I56" s="19">
        <f t="shared" si="33"/>
        <v>2000</v>
      </c>
      <c r="J56" s="22"/>
      <c r="K56" s="20"/>
      <c r="L56" s="20"/>
      <c r="M56" s="22"/>
      <c r="N56" s="20"/>
      <c r="O56" s="20"/>
      <c r="P56" s="20"/>
      <c r="R56" s="22"/>
      <c r="S56" s="68">
        <f t="shared" si="18"/>
        <v>0</v>
      </c>
      <c r="T56" s="69">
        <f t="shared" si="19"/>
        <v>0</v>
      </c>
      <c r="U56" s="22"/>
    </row>
    <row r="57" spans="1:21" ht="16" thickTop="1" x14ac:dyDescent="0.2"/>
    <row r="58" spans="1:21" ht="16" thickBot="1" x14ac:dyDescent="0.25"/>
    <row r="59" spans="1:21" ht="22" thickTop="1" thickBot="1" x14ac:dyDescent="0.25">
      <c r="B59" s="87" t="s">
        <v>29</v>
      </c>
      <c r="C59" s="88"/>
      <c r="D59" s="88"/>
      <c r="E59" s="88"/>
      <c r="F59" s="88"/>
      <c r="G59" s="88"/>
      <c r="H59" s="88"/>
      <c r="I59" s="89"/>
      <c r="S59" s="71" t="s">
        <v>33</v>
      </c>
      <c r="T59" s="72"/>
    </row>
    <row r="60" spans="1:21" ht="50" thickTop="1" thickBot="1" x14ac:dyDescent="0.25">
      <c r="B60" s="79" t="s">
        <v>9</v>
      </c>
      <c r="C60" s="80"/>
      <c r="D60" s="6" t="s">
        <v>10</v>
      </c>
      <c r="E60" s="6" t="s">
        <v>11</v>
      </c>
      <c r="F60" s="6" t="s">
        <v>23</v>
      </c>
      <c r="G60" s="6" t="s">
        <v>24</v>
      </c>
      <c r="H60" s="6" t="s">
        <v>25</v>
      </c>
      <c r="I60" s="7" t="s">
        <v>12</v>
      </c>
      <c r="S60" s="62" t="s">
        <v>16</v>
      </c>
      <c r="T60" s="63" t="s">
        <v>15</v>
      </c>
    </row>
    <row r="61" spans="1:21" ht="17" thickTop="1" x14ac:dyDescent="0.2">
      <c r="A61" s="22"/>
      <c r="B61" s="81" t="s">
        <v>0</v>
      </c>
      <c r="C61" s="5" t="s">
        <v>1</v>
      </c>
      <c r="D61" s="9">
        <f t="shared" ref="D61:I75" si="34">D4*$D117</f>
        <v>115000</v>
      </c>
      <c r="E61" s="9">
        <f t="shared" si="34"/>
        <v>690000</v>
      </c>
      <c r="F61" s="10">
        <f t="shared" si="34"/>
        <v>276000</v>
      </c>
      <c r="G61" s="10">
        <f t="shared" si="34"/>
        <v>207000</v>
      </c>
      <c r="H61" s="10">
        <f t="shared" si="34"/>
        <v>207000</v>
      </c>
      <c r="I61" s="11">
        <f t="shared" si="34"/>
        <v>805000</v>
      </c>
      <c r="J61" s="22"/>
      <c r="K61" s="20"/>
      <c r="L61" s="20"/>
      <c r="M61" s="22"/>
      <c r="N61" s="20"/>
      <c r="O61" s="20"/>
      <c r="P61" s="20"/>
      <c r="R61" s="22"/>
      <c r="S61" s="64">
        <f t="shared" ref="S61:S75" si="35">SUM(F61:H61)-E61</f>
        <v>0</v>
      </c>
      <c r="T61" s="65">
        <f t="shared" ref="T61:T75" si="36">I61-(E61+D61)</f>
        <v>0</v>
      </c>
      <c r="U61" s="22"/>
    </row>
    <row r="62" spans="1:21" ht="16" x14ac:dyDescent="0.2">
      <c r="A62" s="22"/>
      <c r="B62" s="82"/>
      <c r="C62" s="3" t="s">
        <v>2</v>
      </c>
      <c r="D62" s="12">
        <f t="shared" si="34"/>
        <v>340000</v>
      </c>
      <c r="E62" s="13">
        <f t="shared" si="34"/>
        <v>2414000</v>
      </c>
      <c r="F62" s="14">
        <f t="shared" si="34"/>
        <v>965600</v>
      </c>
      <c r="G62" s="14">
        <f t="shared" si="34"/>
        <v>724200</v>
      </c>
      <c r="H62" s="14">
        <f t="shared" si="34"/>
        <v>724200</v>
      </c>
      <c r="I62" s="15">
        <f t="shared" si="34"/>
        <v>2754000</v>
      </c>
      <c r="J62" s="22"/>
      <c r="K62" s="20"/>
      <c r="L62" s="20"/>
      <c r="M62" s="22"/>
      <c r="N62" s="20"/>
      <c r="O62" s="20"/>
      <c r="P62" s="20"/>
      <c r="R62" s="22"/>
      <c r="S62" s="66">
        <f t="shared" si="35"/>
        <v>0</v>
      </c>
      <c r="T62" s="67">
        <f t="shared" si="36"/>
        <v>0</v>
      </c>
      <c r="U62" s="22"/>
    </row>
    <row r="63" spans="1:21" ht="16" x14ac:dyDescent="0.2">
      <c r="A63" s="22"/>
      <c r="B63" s="82"/>
      <c r="C63" s="3" t="s">
        <v>3</v>
      </c>
      <c r="D63" s="12">
        <f t="shared" si="34"/>
        <v>1030000</v>
      </c>
      <c r="E63" s="13">
        <f t="shared" si="34"/>
        <v>7416000</v>
      </c>
      <c r="F63" s="14">
        <f t="shared" si="34"/>
        <v>2966400</v>
      </c>
      <c r="G63" s="14">
        <f t="shared" si="34"/>
        <v>2224800</v>
      </c>
      <c r="H63" s="14">
        <f t="shared" si="34"/>
        <v>2224800</v>
      </c>
      <c r="I63" s="15">
        <f t="shared" si="34"/>
        <v>8446000</v>
      </c>
      <c r="J63" s="22"/>
      <c r="K63" s="20"/>
      <c r="L63" s="20"/>
      <c r="M63" s="22"/>
      <c r="N63" s="20"/>
      <c r="O63" s="20"/>
      <c r="P63" s="20"/>
      <c r="R63" s="22"/>
      <c r="S63" s="66">
        <f t="shared" si="35"/>
        <v>0</v>
      </c>
      <c r="T63" s="67">
        <f t="shared" si="36"/>
        <v>0</v>
      </c>
      <c r="U63" s="22"/>
    </row>
    <row r="64" spans="1:21" ht="16" x14ac:dyDescent="0.2">
      <c r="A64" s="22"/>
      <c r="B64" s="82"/>
      <c r="C64" s="3" t="s">
        <v>4</v>
      </c>
      <c r="D64" s="12">
        <f t="shared" si="34"/>
        <v>830000</v>
      </c>
      <c r="E64" s="13">
        <f t="shared" si="34"/>
        <v>6059000</v>
      </c>
      <c r="F64" s="14">
        <f t="shared" si="34"/>
        <v>2423600</v>
      </c>
      <c r="G64" s="14">
        <f t="shared" si="34"/>
        <v>1817700</v>
      </c>
      <c r="H64" s="14">
        <f t="shared" si="34"/>
        <v>1817700</v>
      </c>
      <c r="I64" s="15">
        <f t="shared" si="34"/>
        <v>6889000</v>
      </c>
      <c r="J64" s="22"/>
      <c r="K64" s="20"/>
      <c r="L64" s="20"/>
      <c r="M64" s="22"/>
      <c r="N64" s="20"/>
      <c r="O64" s="20"/>
      <c r="P64" s="20"/>
      <c r="R64" s="22"/>
      <c r="S64" s="66">
        <f t="shared" si="35"/>
        <v>0</v>
      </c>
      <c r="T64" s="67">
        <f t="shared" si="36"/>
        <v>0</v>
      </c>
      <c r="U64" s="22"/>
    </row>
    <row r="65" spans="1:21" ht="17" thickBot="1" x14ac:dyDescent="0.25">
      <c r="A65" s="22"/>
      <c r="B65" s="83"/>
      <c r="C65" s="4" t="s">
        <v>8</v>
      </c>
      <c r="D65" s="16">
        <f t="shared" si="34"/>
        <v>545000</v>
      </c>
      <c r="E65" s="17">
        <f t="shared" si="34"/>
        <v>4469000</v>
      </c>
      <c r="F65" s="18">
        <f t="shared" si="34"/>
        <v>1787600</v>
      </c>
      <c r="G65" s="18">
        <f t="shared" si="34"/>
        <v>1340700</v>
      </c>
      <c r="H65" s="18">
        <f t="shared" si="34"/>
        <v>1340700</v>
      </c>
      <c r="I65" s="19">
        <f t="shared" si="34"/>
        <v>5014000</v>
      </c>
      <c r="J65" s="22"/>
      <c r="K65" s="20"/>
      <c r="L65" s="20"/>
      <c r="M65" s="22"/>
      <c r="N65" s="20"/>
      <c r="O65" s="20"/>
      <c r="P65" s="20"/>
      <c r="R65" s="22"/>
      <c r="S65" s="68">
        <f t="shared" si="35"/>
        <v>0</v>
      </c>
      <c r="T65" s="69">
        <f t="shared" si="36"/>
        <v>0</v>
      </c>
      <c r="U65" s="22"/>
    </row>
    <row r="66" spans="1:21" ht="17" thickTop="1" x14ac:dyDescent="0.2">
      <c r="A66" s="22"/>
      <c r="B66" s="81" t="s">
        <v>5</v>
      </c>
      <c r="C66" s="5" t="s">
        <v>1</v>
      </c>
      <c r="D66" s="9">
        <f t="shared" si="34"/>
        <v>8700</v>
      </c>
      <c r="E66" s="9">
        <f t="shared" si="34"/>
        <v>69564</v>
      </c>
      <c r="F66" s="10">
        <f t="shared" si="34"/>
        <v>27824</v>
      </c>
      <c r="G66" s="10">
        <f t="shared" si="34"/>
        <v>20870</v>
      </c>
      <c r="H66" s="10">
        <f t="shared" si="34"/>
        <v>20870</v>
      </c>
      <c r="I66" s="11">
        <f t="shared" si="34"/>
        <v>78264</v>
      </c>
      <c r="J66" s="22"/>
      <c r="K66" s="20"/>
      <c r="L66" s="20"/>
      <c r="M66" s="22"/>
      <c r="N66" s="20"/>
      <c r="O66" s="20"/>
      <c r="P66" s="20"/>
      <c r="R66" s="22"/>
      <c r="S66" s="64">
        <f t="shared" si="35"/>
        <v>0</v>
      </c>
      <c r="T66" s="65">
        <f t="shared" si="36"/>
        <v>0</v>
      </c>
      <c r="U66" s="22"/>
    </row>
    <row r="67" spans="1:21" ht="16" x14ac:dyDescent="0.2">
      <c r="A67" s="22"/>
      <c r="B67" s="82"/>
      <c r="C67" s="3" t="s">
        <v>2</v>
      </c>
      <c r="D67" s="12">
        <f t="shared" si="34"/>
        <v>21750</v>
      </c>
      <c r="E67" s="13">
        <f t="shared" si="34"/>
        <v>182605</v>
      </c>
      <c r="F67" s="14">
        <f t="shared" si="34"/>
        <v>73040</v>
      </c>
      <c r="G67" s="14">
        <f t="shared" si="34"/>
        <v>54785</v>
      </c>
      <c r="H67" s="14">
        <f t="shared" si="34"/>
        <v>54780</v>
      </c>
      <c r="I67" s="15">
        <f t="shared" si="34"/>
        <v>204355</v>
      </c>
      <c r="J67" s="22"/>
      <c r="K67" s="20"/>
      <c r="L67" s="20"/>
      <c r="M67" s="22"/>
      <c r="N67" s="20"/>
      <c r="O67" s="20"/>
      <c r="P67" s="20"/>
      <c r="R67" s="22"/>
      <c r="S67" s="66">
        <f t="shared" si="35"/>
        <v>0</v>
      </c>
      <c r="T67" s="67">
        <f t="shared" si="36"/>
        <v>0</v>
      </c>
      <c r="U67" s="22"/>
    </row>
    <row r="68" spans="1:21" ht="16" x14ac:dyDescent="0.2">
      <c r="A68" s="22"/>
      <c r="B68" s="82"/>
      <c r="C68" s="3" t="s">
        <v>3</v>
      </c>
      <c r="D68" s="12">
        <f t="shared" si="34"/>
        <v>65250</v>
      </c>
      <c r="E68" s="13">
        <f t="shared" si="34"/>
        <v>547815</v>
      </c>
      <c r="F68" s="14">
        <f t="shared" si="34"/>
        <v>219120</v>
      </c>
      <c r="G68" s="14">
        <f t="shared" si="34"/>
        <v>164355</v>
      </c>
      <c r="H68" s="14">
        <f t="shared" si="34"/>
        <v>164340</v>
      </c>
      <c r="I68" s="15">
        <f t="shared" si="34"/>
        <v>613065</v>
      </c>
      <c r="J68" s="22"/>
      <c r="K68" s="20"/>
      <c r="L68" s="20"/>
      <c r="M68" s="22"/>
      <c r="N68" s="20"/>
      <c r="O68" s="20"/>
      <c r="P68" s="20"/>
      <c r="R68" s="22"/>
      <c r="S68" s="66">
        <f t="shared" si="35"/>
        <v>0</v>
      </c>
      <c r="T68" s="67">
        <f t="shared" si="36"/>
        <v>0</v>
      </c>
      <c r="U68" s="22"/>
    </row>
    <row r="69" spans="1:21" ht="16" x14ac:dyDescent="0.2">
      <c r="A69" s="22"/>
      <c r="B69" s="82"/>
      <c r="C69" s="3" t="s">
        <v>4</v>
      </c>
      <c r="D69" s="12">
        <f t="shared" si="34"/>
        <v>47850</v>
      </c>
      <c r="E69" s="13">
        <f t="shared" si="34"/>
        <v>406516</v>
      </c>
      <c r="F69" s="14">
        <f t="shared" si="34"/>
        <v>162602</v>
      </c>
      <c r="G69" s="14">
        <f t="shared" si="34"/>
        <v>121957</v>
      </c>
      <c r="H69" s="14">
        <f t="shared" si="34"/>
        <v>121957</v>
      </c>
      <c r="I69" s="15">
        <f t="shared" si="34"/>
        <v>454366</v>
      </c>
      <c r="J69" s="22"/>
      <c r="K69" s="20"/>
      <c r="L69" s="20"/>
      <c r="M69" s="22"/>
      <c r="N69" s="20"/>
      <c r="O69" s="20"/>
      <c r="P69" s="20"/>
      <c r="R69" s="22"/>
      <c r="S69" s="66">
        <f t="shared" si="35"/>
        <v>0</v>
      </c>
      <c r="T69" s="67">
        <f t="shared" si="36"/>
        <v>0</v>
      </c>
      <c r="U69" s="22"/>
    </row>
    <row r="70" spans="1:21" ht="17" thickBot="1" x14ac:dyDescent="0.25">
      <c r="A70" s="22"/>
      <c r="B70" s="83"/>
      <c r="C70" s="4" t="s">
        <v>8</v>
      </c>
      <c r="D70" s="16">
        <f t="shared" si="34"/>
        <v>47850</v>
      </c>
      <c r="E70" s="17">
        <f t="shared" si="34"/>
        <v>459129</v>
      </c>
      <c r="F70" s="18">
        <f t="shared" si="34"/>
        <v>183645</v>
      </c>
      <c r="G70" s="18">
        <f t="shared" si="34"/>
        <v>137742</v>
      </c>
      <c r="H70" s="18">
        <f t="shared" si="34"/>
        <v>137742</v>
      </c>
      <c r="I70" s="19">
        <f t="shared" si="34"/>
        <v>506979</v>
      </c>
      <c r="J70" s="22"/>
      <c r="K70" s="20"/>
      <c r="L70" s="20"/>
      <c r="M70" s="22"/>
      <c r="N70" s="20"/>
      <c r="O70" s="20"/>
      <c r="P70" s="20"/>
      <c r="R70" s="22"/>
      <c r="S70" s="68">
        <f t="shared" si="35"/>
        <v>0</v>
      </c>
      <c r="T70" s="69">
        <f t="shared" si="36"/>
        <v>0</v>
      </c>
      <c r="U70" s="22"/>
    </row>
    <row r="71" spans="1:21" ht="17" thickTop="1" x14ac:dyDescent="0.2">
      <c r="A71" s="22"/>
      <c r="B71" s="81" t="s">
        <v>6</v>
      </c>
      <c r="C71" s="5" t="s">
        <v>1</v>
      </c>
      <c r="D71" s="9">
        <f t="shared" si="34"/>
        <v>200000</v>
      </c>
      <c r="E71" s="9">
        <f t="shared" si="34"/>
        <v>1600000</v>
      </c>
      <c r="F71" s="10">
        <f t="shared" si="34"/>
        <v>640000</v>
      </c>
      <c r="G71" s="10">
        <f t="shared" si="34"/>
        <v>480000</v>
      </c>
      <c r="H71" s="10">
        <f t="shared" si="34"/>
        <v>480000</v>
      </c>
      <c r="I71" s="11">
        <f t="shared" si="34"/>
        <v>1800000</v>
      </c>
      <c r="J71" s="22"/>
      <c r="K71" s="20"/>
      <c r="L71" s="20"/>
      <c r="M71" s="22"/>
      <c r="N71" s="20"/>
      <c r="O71" s="20"/>
      <c r="P71" s="20"/>
      <c r="R71" s="22"/>
      <c r="S71" s="64">
        <f t="shared" si="35"/>
        <v>0</v>
      </c>
      <c r="T71" s="65">
        <f t="shared" si="36"/>
        <v>0</v>
      </c>
      <c r="U71" s="22"/>
    </row>
    <row r="72" spans="1:21" ht="16" x14ac:dyDescent="0.2">
      <c r="A72" s="22"/>
      <c r="B72" s="82"/>
      <c r="C72" s="3" t="s">
        <v>2</v>
      </c>
      <c r="D72" s="12">
        <f t="shared" si="34"/>
        <v>610000</v>
      </c>
      <c r="E72" s="13">
        <f t="shared" si="34"/>
        <v>5124000</v>
      </c>
      <c r="F72" s="14">
        <f t="shared" si="34"/>
        <v>2049600</v>
      </c>
      <c r="G72" s="14">
        <f t="shared" si="34"/>
        <v>1537200</v>
      </c>
      <c r="H72" s="14">
        <f t="shared" si="34"/>
        <v>1537200</v>
      </c>
      <c r="I72" s="15">
        <f t="shared" si="34"/>
        <v>5734000</v>
      </c>
      <c r="J72" s="22"/>
      <c r="K72" s="20"/>
      <c r="L72" s="20"/>
      <c r="M72" s="22"/>
      <c r="N72" s="20"/>
      <c r="O72" s="20"/>
      <c r="P72" s="20"/>
      <c r="R72" s="22"/>
      <c r="S72" s="66">
        <f t="shared" si="35"/>
        <v>0</v>
      </c>
      <c r="T72" s="67">
        <f t="shared" si="36"/>
        <v>0</v>
      </c>
      <c r="U72" s="22"/>
    </row>
    <row r="73" spans="1:21" ht="16" x14ac:dyDescent="0.2">
      <c r="A73" s="22"/>
      <c r="B73" s="82"/>
      <c r="C73" s="3" t="s">
        <v>3</v>
      </c>
      <c r="D73" s="12">
        <f t="shared" si="34"/>
        <v>1985000</v>
      </c>
      <c r="E73" s="13">
        <f t="shared" si="34"/>
        <v>16674000</v>
      </c>
      <c r="F73" s="14">
        <f t="shared" si="34"/>
        <v>6669600</v>
      </c>
      <c r="G73" s="14">
        <f t="shared" si="34"/>
        <v>5002200</v>
      </c>
      <c r="H73" s="14">
        <f t="shared" si="34"/>
        <v>5002200</v>
      </c>
      <c r="I73" s="15">
        <f t="shared" si="34"/>
        <v>18659000</v>
      </c>
      <c r="J73" s="22"/>
      <c r="K73" s="20"/>
      <c r="L73" s="20"/>
      <c r="M73" s="22"/>
      <c r="N73" s="20"/>
      <c r="O73" s="20"/>
      <c r="P73" s="20"/>
      <c r="R73" s="22"/>
      <c r="S73" s="66">
        <f t="shared" si="35"/>
        <v>0</v>
      </c>
      <c r="T73" s="67">
        <f t="shared" si="36"/>
        <v>0</v>
      </c>
      <c r="U73" s="22"/>
    </row>
    <row r="74" spans="1:21" ht="16" x14ac:dyDescent="0.2">
      <c r="A74" s="22"/>
      <c r="B74" s="82"/>
      <c r="C74" s="3" t="s">
        <v>4</v>
      </c>
      <c r="D74" s="12">
        <f t="shared" si="34"/>
        <v>1680000</v>
      </c>
      <c r="E74" s="13">
        <f t="shared" si="34"/>
        <v>14280000</v>
      </c>
      <c r="F74" s="14">
        <f t="shared" si="34"/>
        <v>5712000</v>
      </c>
      <c r="G74" s="14">
        <f t="shared" si="34"/>
        <v>4284000</v>
      </c>
      <c r="H74" s="14">
        <f t="shared" si="34"/>
        <v>4284000</v>
      </c>
      <c r="I74" s="15">
        <f t="shared" si="34"/>
        <v>15960000</v>
      </c>
      <c r="J74" s="22"/>
      <c r="K74" s="20"/>
      <c r="L74" s="20"/>
      <c r="M74" s="22"/>
      <c r="N74" s="20"/>
      <c r="O74" s="20"/>
      <c r="P74" s="20"/>
      <c r="R74" s="22"/>
      <c r="S74" s="66">
        <f t="shared" si="35"/>
        <v>0</v>
      </c>
      <c r="T74" s="67">
        <f t="shared" si="36"/>
        <v>0</v>
      </c>
      <c r="U74" s="22"/>
    </row>
    <row r="75" spans="1:21" ht="17" thickBot="1" x14ac:dyDescent="0.25">
      <c r="A75" s="22"/>
      <c r="B75" s="83"/>
      <c r="C75" s="4" t="s">
        <v>8</v>
      </c>
      <c r="D75" s="16">
        <f t="shared" si="34"/>
        <v>1180000</v>
      </c>
      <c r="E75" s="17">
        <f t="shared" si="34"/>
        <v>11328000</v>
      </c>
      <c r="F75" s="18">
        <f t="shared" si="34"/>
        <v>4531200</v>
      </c>
      <c r="G75" s="18">
        <f t="shared" si="34"/>
        <v>3398400</v>
      </c>
      <c r="H75" s="18">
        <f t="shared" si="34"/>
        <v>3398400</v>
      </c>
      <c r="I75" s="19">
        <f t="shared" si="34"/>
        <v>12508000</v>
      </c>
      <c r="J75" s="22"/>
      <c r="K75" s="20"/>
      <c r="L75" s="20"/>
      <c r="M75" s="22"/>
      <c r="N75" s="20"/>
      <c r="O75" s="20"/>
      <c r="P75" s="20"/>
      <c r="R75" s="22"/>
      <c r="S75" s="68">
        <f t="shared" si="35"/>
        <v>0</v>
      </c>
      <c r="T75" s="69">
        <f t="shared" si="36"/>
        <v>0</v>
      </c>
      <c r="U75" s="22"/>
    </row>
    <row r="76" spans="1:21" ht="16" thickTop="1" x14ac:dyDescent="0.2"/>
    <row r="77" spans="1:21" ht="16" thickBot="1" x14ac:dyDescent="0.25"/>
    <row r="78" spans="1:21" ht="22" thickTop="1" thickBot="1" x14ac:dyDescent="0.25">
      <c r="B78" s="87" t="s">
        <v>30</v>
      </c>
      <c r="C78" s="88"/>
      <c r="D78" s="88"/>
      <c r="E78" s="88"/>
      <c r="F78" s="88"/>
      <c r="G78" s="88"/>
      <c r="H78" s="88"/>
      <c r="I78" s="89"/>
      <c r="S78" s="71" t="s">
        <v>33</v>
      </c>
      <c r="T78" s="72"/>
    </row>
    <row r="79" spans="1:21" ht="50" thickTop="1" thickBot="1" x14ac:dyDescent="0.25">
      <c r="B79" s="79" t="s">
        <v>7</v>
      </c>
      <c r="C79" s="80"/>
      <c r="D79" s="6" t="s">
        <v>10</v>
      </c>
      <c r="E79" s="6" t="s">
        <v>11</v>
      </c>
      <c r="F79" s="6" t="s">
        <v>23</v>
      </c>
      <c r="G79" s="6" t="s">
        <v>24</v>
      </c>
      <c r="H79" s="6" t="s">
        <v>25</v>
      </c>
      <c r="I79" s="7" t="s">
        <v>12</v>
      </c>
      <c r="S79" s="62" t="s">
        <v>16</v>
      </c>
      <c r="T79" s="63" t="s">
        <v>15</v>
      </c>
    </row>
    <row r="80" spans="1:21" ht="17" thickTop="1" x14ac:dyDescent="0.2">
      <c r="A80" s="22"/>
      <c r="B80" s="81" t="s">
        <v>0</v>
      </c>
      <c r="C80" s="5" t="s">
        <v>1</v>
      </c>
      <c r="D80" s="9">
        <f t="shared" ref="D80:I94" si="37">D23*$D117</f>
        <v>115000</v>
      </c>
      <c r="E80" s="9">
        <f t="shared" si="37"/>
        <v>690000</v>
      </c>
      <c r="F80" s="10">
        <f t="shared" si="37"/>
        <v>276000</v>
      </c>
      <c r="G80" s="10">
        <f t="shared" si="37"/>
        <v>207000</v>
      </c>
      <c r="H80" s="10">
        <f t="shared" si="37"/>
        <v>207000</v>
      </c>
      <c r="I80" s="11">
        <f t="shared" si="37"/>
        <v>805000</v>
      </c>
      <c r="J80" s="22"/>
      <c r="K80" s="20"/>
      <c r="L80" s="20"/>
      <c r="M80" s="22"/>
      <c r="N80" s="20"/>
      <c r="O80" s="20"/>
      <c r="P80" s="20"/>
      <c r="R80" s="22"/>
      <c r="S80" s="64">
        <f t="shared" ref="S80:S94" si="38">SUM(F80:H80)-E80</f>
        <v>0</v>
      </c>
      <c r="T80" s="65">
        <f t="shared" ref="T80:T94" si="39">I80-(E80+D80)</f>
        <v>0</v>
      </c>
      <c r="U80" s="22"/>
    </row>
    <row r="81" spans="1:21" ht="16" x14ac:dyDescent="0.2">
      <c r="A81" s="22"/>
      <c r="B81" s="82"/>
      <c r="C81" s="3" t="s">
        <v>2</v>
      </c>
      <c r="D81" s="12">
        <f t="shared" si="37"/>
        <v>340000</v>
      </c>
      <c r="E81" s="13">
        <f t="shared" si="37"/>
        <v>2346000</v>
      </c>
      <c r="F81" s="14">
        <f t="shared" si="37"/>
        <v>938400</v>
      </c>
      <c r="G81" s="14">
        <f t="shared" si="37"/>
        <v>703800</v>
      </c>
      <c r="H81" s="14">
        <f t="shared" si="37"/>
        <v>703800</v>
      </c>
      <c r="I81" s="15">
        <f t="shared" si="37"/>
        <v>2686000</v>
      </c>
      <c r="J81" s="22"/>
      <c r="K81" s="20"/>
      <c r="L81" s="20"/>
      <c r="M81" s="22"/>
      <c r="N81" s="20"/>
      <c r="O81" s="20"/>
      <c r="P81" s="20"/>
      <c r="R81" s="22"/>
      <c r="S81" s="66">
        <f t="shared" si="38"/>
        <v>0</v>
      </c>
      <c r="T81" s="67">
        <f t="shared" si="39"/>
        <v>0</v>
      </c>
      <c r="U81" s="22"/>
    </row>
    <row r="82" spans="1:21" ht="16" x14ac:dyDescent="0.2">
      <c r="A82" s="22"/>
      <c r="B82" s="82"/>
      <c r="C82" s="3" t="s">
        <v>3</v>
      </c>
      <c r="D82" s="12">
        <f t="shared" si="37"/>
        <v>1030000</v>
      </c>
      <c r="E82" s="13">
        <f t="shared" si="37"/>
        <v>7107000</v>
      </c>
      <c r="F82" s="14">
        <f t="shared" si="37"/>
        <v>2842800</v>
      </c>
      <c r="G82" s="14">
        <f t="shared" si="37"/>
        <v>2132100</v>
      </c>
      <c r="H82" s="14">
        <f t="shared" si="37"/>
        <v>2132100</v>
      </c>
      <c r="I82" s="15">
        <f t="shared" si="37"/>
        <v>8137000</v>
      </c>
      <c r="J82" s="22"/>
      <c r="K82" s="20"/>
      <c r="L82" s="20"/>
      <c r="M82" s="22"/>
      <c r="N82" s="20"/>
      <c r="O82" s="20"/>
      <c r="P82" s="20"/>
      <c r="R82" s="22"/>
      <c r="S82" s="66">
        <f t="shared" si="38"/>
        <v>0</v>
      </c>
      <c r="T82" s="67">
        <f t="shared" si="39"/>
        <v>0</v>
      </c>
      <c r="U82" s="22"/>
    </row>
    <row r="83" spans="1:21" ht="16" x14ac:dyDescent="0.2">
      <c r="A83" s="22"/>
      <c r="B83" s="82"/>
      <c r="C83" s="3" t="s">
        <v>4</v>
      </c>
      <c r="D83" s="12">
        <f t="shared" si="37"/>
        <v>830000</v>
      </c>
      <c r="E83" s="13">
        <f t="shared" si="37"/>
        <v>5727000</v>
      </c>
      <c r="F83" s="14">
        <f t="shared" si="37"/>
        <v>2290800</v>
      </c>
      <c r="G83" s="14">
        <f t="shared" si="37"/>
        <v>1718100</v>
      </c>
      <c r="H83" s="14">
        <f t="shared" si="37"/>
        <v>1718100</v>
      </c>
      <c r="I83" s="15">
        <f t="shared" si="37"/>
        <v>6557000</v>
      </c>
      <c r="J83" s="22"/>
      <c r="K83" s="20"/>
      <c r="L83" s="20"/>
      <c r="M83" s="22"/>
      <c r="N83" s="20"/>
      <c r="O83" s="20"/>
      <c r="P83" s="20"/>
      <c r="R83" s="22"/>
      <c r="S83" s="66">
        <f t="shared" si="38"/>
        <v>0</v>
      </c>
      <c r="T83" s="67">
        <f t="shared" si="39"/>
        <v>0</v>
      </c>
      <c r="U83" s="22"/>
    </row>
    <row r="84" spans="1:21" ht="17" thickBot="1" x14ac:dyDescent="0.25">
      <c r="A84" s="22"/>
      <c r="B84" s="83"/>
      <c r="C84" s="4" t="s">
        <v>8</v>
      </c>
      <c r="D84" s="16">
        <f t="shared" si="37"/>
        <v>545000</v>
      </c>
      <c r="E84" s="17">
        <f t="shared" si="37"/>
        <v>4196500</v>
      </c>
      <c r="F84" s="18">
        <f t="shared" si="37"/>
        <v>1678600</v>
      </c>
      <c r="G84" s="18">
        <f t="shared" si="37"/>
        <v>1258950</v>
      </c>
      <c r="H84" s="18">
        <f t="shared" si="37"/>
        <v>1258950</v>
      </c>
      <c r="I84" s="19">
        <f t="shared" si="37"/>
        <v>4741500</v>
      </c>
      <c r="J84" s="22"/>
      <c r="K84" s="20"/>
      <c r="L84" s="20"/>
      <c r="M84" s="22"/>
      <c r="N84" s="20"/>
      <c r="O84" s="20"/>
      <c r="P84" s="20"/>
      <c r="R84" s="22"/>
      <c r="S84" s="68">
        <f t="shared" si="38"/>
        <v>0</v>
      </c>
      <c r="T84" s="69">
        <f t="shared" si="39"/>
        <v>0</v>
      </c>
      <c r="U84" s="22"/>
    </row>
    <row r="85" spans="1:21" ht="17" thickTop="1" x14ac:dyDescent="0.2">
      <c r="A85" s="22"/>
      <c r="B85" s="81" t="s">
        <v>5</v>
      </c>
      <c r="C85" s="5" t="s">
        <v>1</v>
      </c>
      <c r="D85" s="9">
        <f t="shared" si="37"/>
        <v>8700</v>
      </c>
      <c r="E85" s="9">
        <f t="shared" si="37"/>
        <v>69566</v>
      </c>
      <c r="F85" s="10">
        <f t="shared" si="37"/>
        <v>27826.400000000001</v>
      </c>
      <c r="G85" s="10">
        <f t="shared" si="37"/>
        <v>20869.8</v>
      </c>
      <c r="H85" s="10">
        <f t="shared" si="37"/>
        <v>20869.8</v>
      </c>
      <c r="I85" s="11">
        <f t="shared" si="37"/>
        <v>78266</v>
      </c>
      <c r="J85" s="22"/>
      <c r="K85" s="20"/>
      <c r="L85" s="20"/>
      <c r="M85" s="22"/>
      <c r="N85" s="20"/>
      <c r="O85" s="20"/>
      <c r="P85" s="20"/>
      <c r="R85" s="22"/>
      <c r="S85" s="64">
        <f t="shared" si="38"/>
        <v>0</v>
      </c>
      <c r="T85" s="65">
        <f t="shared" si="39"/>
        <v>0</v>
      </c>
      <c r="U85" s="22"/>
    </row>
    <row r="86" spans="1:21" ht="16" x14ac:dyDescent="0.2">
      <c r="A86" s="22"/>
      <c r="B86" s="82"/>
      <c r="C86" s="3" t="s">
        <v>2</v>
      </c>
      <c r="D86" s="12">
        <f t="shared" si="37"/>
        <v>21750</v>
      </c>
      <c r="E86" s="13">
        <f t="shared" si="37"/>
        <v>178250</v>
      </c>
      <c r="F86" s="14">
        <f t="shared" si="37"/>
        <v>71300</v>
      </c>
      <c r="G86" s="14">
        <f t="shared" si="37"/>
        <v>53475</v>
      </c>
      <c r="H86" s="14">
        <f t="shared" si="37"/>
        <v>53475</v>
      </c>
      <c r="I86" s="15">
        <f t="shared" si="37"/>
        <v>200000</v>
      </c>
      <c r="J86" s="22"/>
      <c r="K86" s="20"/>
      <c r="L86" s="20"/>
      <c r="M86" s="22"/>
      <c r="N86" s="20"/>
      <c r="O86" s="20"/>
      <c r="P86" s="20"/>
      <c r="R86" s="22"/>
      <c r="S86" s="66">
        <f t="shared" si="38"/>
        <v>0</v>
      </c>
      <c r="T86" s="67">
        <f t="shared" si="39"/>
        <v>0</v>
      </c>
      <c r="U86" s="22"/>
    </row>
    <row r="87" spans="1:21" ht="16" x14ac:dyDescent="0.2">
      <c r="A87" s="22"/>
      <c r="B87" s="82"/>
      <c r="C87" s="3" t="s">
        <v>3</v>
      </c>
      <c r="D87" s="12">
        <f t="shared" si="37"/>
        <v>65250</v>
      </c>
      <c r="E87" s="13">
        <f t="shared" si="37"/>
        <v>534750</v>
      </c>
      <c r="F87" s="14">
        <f t="shared" si="37"/>
        <v>213900</v>
      </c>
      <c r="G87" s="14">
        <f t="shared" si="37"/>
        <v>160425</v>
      </c>
      <c r="H87" s="14">
        <f t="shared" si="37"/>
        <v>160425</v>
      </c>
      <c r="I87" s="15">
        <f t="shared" si="37"/>
        <v>600000</v>
      </c>
      <c r="J87" s="22"/>
      <c r="K87" s="20"/>
      <c r="L87" s="20"/>
      <c r="M87" s="22"/>
      <c r="N87" s="20"/>
      <c r="O87" s="20"/>
      <c r="P87" s="20"/>
      <c r="R87" s="22"/>
      <c r="S87" s="66">
        <f t="shared" si="38"/>
        <v>0</v>
      </c>
      <c r="T87" s="67">
        <f t="shared" si="39"/>
        <v>0</v>
      </c>
      <c r="U87" s="22"/>
    </row>
    <row r="88" spans="1:21" ht="16" x14ac:dyDescent="0.2">
      <c r="A88" s="22"/>
      <c r="B88" s="82"/>
      <c r="C88" s="3" t="s">
        <v>4</v>
      </c>
      <c r="D88" s="12">
        <f t="shared" si="37"/>
        <v>47850</v>
      </c>
      <c r="E88" s="13">
        <f t="shared" si="37"/>
        <v>392150</v>
      </c>
      <c r="F88" s="14">
        <f t="shared" si="37"/>
        <v>156860</v>
      </c>
      <c r="G88" s="14">
        <f t="shared" si="37"/>
        <v>117645</v>
      </c>
      <c r="H88" s="14">
        <f t="shared" si="37"/>
        <v>117645</v>
      </c>
      <c r="I88" s="15">
        <f t="shared" si="37"/>
        <v>440000</v>
      </c>
      <c r="J88" s="22"/>
      <c r="K88" s="20"/>
      <c r="L88" s="20"/>
      <c r="M88" s="22"/>
      <c r="N88" s="20"/>
      <c r="O88" s="20"/>
      <c r="P88" s="20"/>
      <c r="R88" s="22"/>
      <c r="S88" s="66">
        <f t="shared" si="38"/>
        <v>0</v>
      </c>
      <c r="T88" s="67">
        <f t="shared" si="39"/>
        <v>0</v>
      </c>
      <c r="U88" s="22"/>
    </row>
    <row r="89" spans="1:21" ht="17" thickBot="1" x14ac:dyDescent="0.25">
      <c r="A89" s="22"/>
      <c r="B89" s="83"/>
      <c r="C89" s="4" t="s">
        <v>8</v>
      </c>
      <c r="D89" s="16">
        <f t="shared" si="37"/>
        <v>47850</v>
      </c>
      <c r="E89" s="17">
        <f t="shared" si="37"/>
        <v>440000</v>
      </c>
      <c r="F89" s="18">
        <f t="shared" si="37"/>
        <v>176000</v>
      </c>
      <c r="G89" s="18">
        <f t="shared" si="37"/>
        <v>132000</v>
      </c>
      <c r="H89" s="18">
        <f t="shared" si="37"/>
        <v>132000</v>
      </c>
      <c r="I89" s="19">
        <f t="shared" si="37"/>
        <v>487850</v>
      </c>
      <c r="J89" s="22"/>
      <c r="K89" s="20"/>
      <c r="L89" s="20"/>
      <c r="M89" s="22"/>
      <c r="N89" s="20"/>
      <c r="O89" s="20"/>
      <c r="P89" s="20"/>
      <c r="R89" s="22"/>
      <c r="S89" s="68">
        <f t="shared" si="38"/>
        <v>0</v>
      </c>
      <c r="T89" s="69">
        <f t="shared" si="39"/>
        <v>0</v>
      </c>
      <c r="U89" s="22"/>
    </row>
    <row r="90" spans="1:21" ht="17" thickTop="1" x14ac:dyDescent="0.2">
      <c r="A90" s="22"/>
      <c r="B90" s="81" t="s">
        <v>6</v>
      </c>
      <c r="C90" s="5" t="s">
        <v>1</v>
      </c>
      <c r="D90" s="9">
        <f t="shared" si="37"/>
        <v>200000</v>
      </c>
      <c r="E90" s="9">
        <f t="shared" si="37"/>
        <v>1600000</v>
      </c>
      <c r="F90" s="10">
        <f t="shared" si="37"/>
        <v>640000</v>
      </c>
      <c r="G90" s="10">
        <f t="shared" si="37"/>
        <v>480000</v>
      </c>
      <c r="H90" s="10">
        <f t="shared" si="37"/>
        <v>480000</v>
      </c>
      <c r="I90" s="11">
        <f t="shared" si="37"/>
        <v>1800000</v>
      </c>
      <c r="J90" s="22"/>
      <c r="K90" s="20"/>
      <c r="L90" s="20"/>
      <c r="M90" s="22"/>
      <c r="N90" s="20"/>
      <c r="O90" s="20"/>
      <c r="P90" s="20"/>
      <c r="R90" s="22"/>
      <c r="S90" s="64">
        <f t="shared" si="38"/>
        <v>0</v>
      </c>
      <c r="T90" s="65">
        <f t="shared" si="39"/>
        <v>0</v>
      </c>
      <c r="U90" s="22"/>
    </row>
    <row r="91" spans="1:21" ht="16" x14ac:dyDescent="0.2">
      <c r="A91" s="22"/>
      <c r="B91" s="82"/>
      <c r="C91" s="3" t="s">
        <v>2</v>
      </c>
      <c r="D91" s="12">
        <f t="shared" si="37"/>
        <v>610000</v>
      </c>
      <c r="E91" s="13">
        <f t="shared" si="37"/>
        <v>5002000</v>
      </c>
      <c r="F91" s="14">
        <f t="shared" si="37"/>
        <v>2000800</v>
      </c>
      <c r="G91" s="14">
        <f t="shared" si="37"/>
        <v>1500600</v>
      </c>
      <c r="H91" s="14">
        <f t="shared" si="37"/>
        <v>1500600</v>
      </c>
      <c r="I91" s="15">
        <f t="shared" si="37"/>
        <v>5612000</v>
      </c>
      <c r="J91" s="22"/>
      <c r="K91" s="20"/>
      <c r="L91" s="20"/>
      <c r="M91" s="22"/>
      <c r="N91" s="20"/>
      <c r="O91" s="20"/>
      <c r="P91" s="20"/>
      <c r="R91" s="22"/>
      <c r="S91" s="66">
        <f t="shared" si="38"/>
        <v>0</v>
      </c>
      <c r="T91" s="67">
        <f t="shared" si="39"/>
        <v>0</v>
      </c>
      <c r="U91" s="22"/>
    </row>
    <row r="92" spans="1:21" ht="16" x14ac:dyDescent="0.2">
      <c r="A92" s="22"/>
      <c r="B92" s="82"/>
      <c r="C92" s="3" t="s">
        <v>3</v>
      </c>
      <c r="D92" s="12">
        <f t="shared" si="37"/>
        <v>1985000</v>
      </c>
      <c r="E92" s="13">
        <f t="shared" si="37"/>
        <v>16277000</v>
      </c>
      <c r="F92" s="14">
        <f t="shared" si="37"/>
        <v>6510800</v>
      </c>
      <c r="G92" s="14">
        <f t="shared" si="37"/>
        <v>4883100</v>
      </c>
      <c r="H92" s="14">
        <f t="shared" si="37"/>
        <v>4883100</v>
      </c>
      <c r="I92" s="15">
        <f t="shared" si="37"/>
        <v>18262000</v>
      </c>
      <c r="J92" s="22"/>
      <c r="K92" s="20"/>
      <c r="L92" s="20"/>
      <c r="M92" s="22"/>
      <c r="N92" s="20"/>
      <c r="O92" s="20"/>
      <c r="P92" s="20"/>
      <c r="R92" s="22"/>
      <c r="S92" s="66">
        <f t="shared" si="38"/>
        <v>0</v>
      </c>
      <c r="T92" s="67">
        <f t="shared" si="39"/>
        <v>0</v>
      </c>
      <c r="U92" s="22"/>
    </row>
    <row r="93" spans="1:21" ht="16" x14ac:dyDescent="0.2">
      <c r="A93" s="22"/>
      <c r="B93" s="82"/>
      <c r="C93" s="3" t="s">
        <v>4</v>
      </c>
      <c r="D93" s="12">
        <f t="shared" si="37"/>
        <v>1680000</v>
      </c>
      <c r="E93" s="13">
        <f t="shared" si="37"/>
        <v>13776000</v>
      </c>
      <c r="F93" s="14">
        <f t="shared" si="37"/>
        <v>5510400</v>
      </c>
      <c r="G93" s="14">
        <f t="shared" si="37"/>
        <v>4132800</v>
      </c>
      <c r="H93" s="14">
        <f t="shared" si="37"/>
        <v>4132800</v>
      </c>
      <c r="I93" s="15">
        <f t="shared" si="37"/>
        <v>15456000</v>
      </c>
      <c r="J93" s="22"/>
      <c r="K93" s="20"/>
      <c r="L93" s="20"/>
      <c r="M93" s="22"/>
      <c r="N93" s="20"/>
      <c r="O93" s="20"/>
      <c r="P93" s="20"/>
      <c r="R93" s="22"/>
      <c r="S93" s="66">
        <f t="shared" si="38"/>
        <v>0</v>
      </c>
      <c r="T93" s="67">
        <f t="shared" si="39"/>
        <v>0</v>
      </c>
      <c r="U93" s="22"/>
    </row>
    <row r="94" spans="1:21" ht="17" thickBot="1" x14ac:dyDescent="0.25">
      <c r="A94" s="22"/>
      <c r="B94" s="83"/>
      <c r="C94" s="4" t="s">
        <v>8</v>
      </c>
      <c r="D94" s="16">
        <f t="shared" si="37"/>
        <v>1180000</v>
      </c>
      <c r="E94" s="17">
        <f t="shared" si="37"/>
        <v>10856000</v>
      </c>
      <c r="F94" s="18">
        <f t="shared" si="37"/>
        <v>4342400</v>
      </c>
      <c r="G94" s="18">
        <f t="shared" si="37"/>
        <v>3256800</v>
      </c>
      <c r="H94" s="18">
        <f t="shared" si="37"/>
        <v>3256800</v>
      </c>
      <c r="I94" s="19">
        <f t="shared" si="37"/>
        <v>12036000</v>
      </c>
      <c r="J94" s="22"/>
      <c r="K94" s="20"/>
      <c r="L94" s="20"/>
      <c r="M94" s="22"/>
      <c r="N94" s="20"/>
      <c r="O94" s="20"/>
      <c r="P94" s="20"/>
      <c r="R94" s="22"/>
      <c r="S94" s="68">
        <f t="shared" si="38"/>
        <v>0</v>
      </c>
      <c r="T94" s="69">
        <f t="shared" si="39"/>
        <v>0</v>
      </c>
      <c r="U94" s="22"/>
    </row>
    <row r="95" spans="1:21" ht="16" thickTop="1" x14ac:dyDescent="0.2"/>
    <row r="96" spans="1:21" ht="16" thickBot="1" x14ac:dyDescent="0.25"/>
    <row r="97" spans="1:21" ht="22" thickTop="1" thickBot="1" x14ac:dyDescent="0.25">
      <c r="B97" s="87" t="s">
        <v>31</v>
      </c>
      <c r="C97" s="88"/>
      <c r="D97" s="88"/>
      <c r="E97" s="88"/>
      <c r="F97" s="88"/>
      <c r="G97" s="88"/>
      <c r="H97" s="88"/>
      <c r="I97" s="89"/>
      <c r="S97" s="71" t="s">
        <v>33</v>
      </c>
      <c r="T97" s="72"/>
    </row>
    <row r="98" spans="1:21" ht="50" thickTop="1" thickBot="1" x14ac:dyDescent="0.25">
      <c r="B98" s="79" t="s">
        <v>7</v>
      </c>
      <c r="C98" s="80"/>
      <c r="D98" s="6" t="s">
        <v>10</v>
      </c>
      <c r="E98" s="6" t="s">
        <v>11</v>
      </c>
      <c r="F98" s="6" t="s">
        <v>23</v>
      </c>
      <c r="G98" s="6" t="s">
        <v>24</v>
      </c>
      <c r="H98" s="6" t="s">
        <v>25</v>
      </c>
      <c r="I98" s="7" t="s">
        <v>12</v>
      </c>
      <c r="S98" s="62" t="s">
        <v>16</v>
      </c>
      <c r="T98" s="63" t="s">
        <v>15</v>
      </c>
    </row>
    <row r="99" spans="1:21" ht="17" thickTop="1" x14ac:dyDescent="0.2">
      <c r="A99" s="22"/>
      <c r="B99" s="81" t="s">
        <v>0</v>
      </c>
      <c r="C99" s="5" t="s">
        <v>1</v>
      </c>
      <c r="D99" s="9">
        <f t="shared" ref="D99:I113" si="40">D42*$D117</f>
        <v>0</v>
      </c>
      <c r="E99" s="9">
        <f t="shared" si="40"/>
        <v>0</v>
      </c>
      <c r="F99" s="10">
        <f t="shared" si="40"/>
        <v>0</v>
      </c>
      <c r="G99" s="10">
        <f t="shared" si="40"/>
        <v>0</v>
      </c>
      <c r="H99" s="10">
        <f t="shared" si="40"/>
        <v>0</v>
      </c>
      <c r="I99" s="11">
        <f t="shared" si="40"/>
        <v>0</v>
      </c>
      <c r="J99" s="22"/>
      <c r="K99" s="20"/>
      <c r="L99" s="20"/>
      <c r="M99" s="22"/>
      <c r="N99" s="20"/>
      <c r="O99" s="20"/>
      <c r="P99" s="20"/>
      <c r="R99" s="22"/>
      <c r="S99" s="64">
        <f t="shared" ref="S99:S113" si="41">SUM(F99:H99)-E99</f>
        <v>0</v>
      </c>
      <c r="T99" s="65">
        <f t="shared" ref="T99:T113" si="42">I99-(E99+D99)</f>
        <v>0</v>
      </c>
      <c r="U99" s="22"/>
    </row>
    <row r="100" spans="1:21" ht="16" x14ac:dyDescent="0.2">
      <c r="A100" s="22"/>
      <c r="B100" s="82"/>
      <c r="C100" s="3" t="s">
        <v>2</v>
      </c>
      <c r="D100" s="12">
        <f t="shared" si="40"/>
        <v>0</v>
      </c>
      <c r="E100" s="13">
        <f t="shared" si="40"/>
        <v>68000</v>
      </c>
      <c r="F100" s="14">
        <f t="shared" si="40"/>
        <v>27200</v>
      </c>
      <c r="G100" s="14">
        <f t="shared" si="40"/>
        <v>20400</v>
      </c>
      <c r="H100" s="14">
        <f t="shared" si="40"/>
        <v>20400</v>
      </c>
      <c r="I100" s="15">
        <f t="shared" si="40"/>
        <v>68000</v>
      </c>
      <c r="J100" s="22"/>
      <c r="K100" s="20"/>
      <c r="L100" s="20"/>
      <c r="M100" s="22"/>
      <c r="N100" s="20"/>
      <c r="O100" s="20"/>
      <c r="P100" s="20"/>
      <c r="R100" s="22"/>
      <c r="S100" s="66">
        <f t="shared" si="41"/>
        <v>0</v>
      </c>
      <c r="T100" s="67">
        <f t="shared" si="42"/>
        <v>0</v>
      </c>
      <c r="U100" s="22"/>
    </row>
    <row r="101" spans="1:21" ht="16" x14ac:dyDescent="0.2">
      <c r="A101" s="22"/>
      <c r="B101" s="82"/>
      <c r="C101" s="3" t="s">
        <v>3</v>
      </c>
      <c r="D101" s="12">
        <f t="shared" si="40"/>
        <v>0</v>
      </c>
      <c r="E101" s="13">
        <f t="shared" si="40"/>
        <v>309000</v>
      </c>
      <c r="F101" s="14">
        <f t="shared" si="40"/>
        <v>123600</v>
      </c>
      <c r="G101" s="14">
        <f t="shared" si="40"/>
        <v>92700</v>
      </c>
      <c r="H101" s="14">
        <f t="shared" si="40"/>
        <v>92700</v>
      </c>
      <c r="I101" s="15">
        <f t="shared" si="40"/>
        <v>309000</v>
      </c>
      <c r="J101" s="22"/>
      <c r="K101" s="20"/>
      <c r="L101" s="20"/>
      <c r="M101" s="22"/>
      <c r="N101" s="20"/>
      <c r="O101" s="20"/>
      <c r="P101" s="20"/>
      <c r="R101" s="22"/>
      <c r="S101" s="66">
        <f t="shared" si="41"/>
        <v>0</v>
      </c>
      <c r="T101" s="67">
        <f t="shared" si="42"/>
        <v>0</v>
      </c>
      <c r="U101" s="22"/>
    </row>
    <row r="102" spans="1:21" ht="16" x14ac:dyDescent="0.2">
      <c r="A102" s="22"/>
      <c r="B102" s="82"/>
      <c r="C102" s="3" t="s">
        <v>4</v>
      </c>
      <c r="D102" s="12">
        <f t="shared" si="40"/>
        <v>0</v>
      </c>
      <c r="E102" s="13">
        <f t="shared" si="40"/>
        <v>332000</v>
      </c>
      <c r="F102" s="14">
        <f t="shared" si="40"/>
        <v>132800</v>
      </c>
      <c r="G102" s="14">
        <f t="shared" si="40"/>
        <v>99600</v>
      </c>
      <c r="H102" s="14">
        <f t="shared" si="40"/>
        <v>99600</v>
      </c>
      <c r="I102" s="15">
        <f t="shared" si="40"/>
        <v>332000</v>
      </c>
      <c r="J102" s="22"/>
      <c r="K102" s="20"/>
      <c r="L102" s="20"/>
      <c r="M102" s="22"/>
      <c r="N102" s="20"/>
      <c r="O102" s="20"/>
      <c r="P102" s="20"/>
      <c r="R102" s="22"/>
      <c r="S102" s="66">
        <f t="shared" si="41"/>
        <v>0</v>
      </c>
      <c r="T102" s="67">
        <f t="shared" si="42"/>
        <v>0</v>
      </c>
      <c r="U102" s="22"/>
    </row>
    <row r="103" spans="1:21" ht="17" thickBot="1" x14ac:dyDescent="0.25">
      <c r="A103" s="22"/>
      <c r="B103" s="83"/>
      <c r="C103" s="4" t="s">
        <v>8</v>
      </c>
      <c r="D103" s="16">
        <f t="shared" si="40"/>
        <v>0</v>
      </c>
      <c r="E103" s="17">
        <f t="shared" si="40"/>
        <v>272500</v>
      </c>
      <c r="F103" s="18">
        <f t="shared" si="40"/>
        <v>109000</v>
      </c>
      <c r="G103" s="18">
        <f t="shared" si="40"/>
        <v>81750</v>
      </c>
      <c r="H103" s="18">
        <f t="shared" si="40"/>
        <v>81750</v>
      </c>
      <c r="I103" s="19">
        <f t="shared" si="40"/>
        <v>272500</v>
      </c>
      <c r="J103" s="22"/>
      <c r="K103" s="20"/>
      <c r="L103" s="20"/>
      <c r="M103" s="22"/>
      <c r="N103" s="20"/>
      <c r="O103" s="20"/>
      <c r="P103" s="20"/>
      <c r="R103" s="22"/>
      <c r="S103" s="68">
        <f t="shared" si="41"/>
        <v>0</v>
      </c>
      <c r="T103" s="69">
        <f t="shared" si="42"/>
        <v>0</v>
      </c>
      <c r="U103" s="22"/>
    </row>
    <row r="104" spans="1:21" ht="17" thickTop="1" x14ac:dyDescent="0.2">
      <c r="A104" s="22"/>
      <c r="B104" s="81" t="s">
        <v>5</v>
      </c>
      <c r="C104" s="5" t="s">
        <v>1</v>
      </c>
      <c r="D104" s="9">
        <f t="shared" si="40"/>
        <v>0</v>
      </c>
      <c r="E104" s="9">
        <f t="shared" si="40"/>
        <v>-2</v>
      </c>
      <c r="F104" s="10">
        <f t="shared" si="40"/>
        <v>-2.4000000000014552</v>
      </c>
      <c r="G104" s="10">
        <f t="shared" si="40"/>
        <v>0.2000000000007276</v>
      </c>
      <c r="H104" s="10">
        <f t="shared" si="40"/>
        <v>0.2000000000007276</v>
      </c>
      <c r="I104" s="11">
        <f t="shared" si="40"/>
        <v>-2</v>
      </c>
      <c r="J104" s="22"/>
      <c r="K104" s="20"/>
      <c r="L104" s="20"/>
      <c r="M104" s="22"/>
      <c r="N104" s="20"/>
      <c r="O104" s="20"/>
      <c r="P104" s="20"/>
      <c r="R104" s="22"/>
      <c r="S104" s="64">
        <f t="shared" si="41"/>
        <v>0</v>
      </c>
      <c r="T104" s="65">
        <f t="shared" si="42"/>
        <v>0</v>
      </c>
      <c r="U104" s="22"/>
    </row>
    <row r="105" spans="1:21" ht="16" x14ac:dyDescent="0.2">
      <c r="A105" s="22"/>
      <c r="B105" s="82"/>
      <c r="C105" s="3" t="s">
        <v>2</v>
      </c>
      <c r="D105" s="12">
        <f t="shared" si="40"/>
        <v>0</v>
      </c>
      <c r="E105" s="13">
        <f t="shared" si="40"/>
        <v>4355</v>
      </c>
      <c r="F105" s="14">
        <f t="shared" si="40"/>
        <v>1740</v>
      </c>
      <c r="G105" s="14">
        <f t="shared" si="40"/>
        <v>1310</v>
      </c>
      <c r="H105" s="14">
        <f t="shared" si="40"/>
        <v>1305</v>
      </c>
      <c r="I105" s="15">
        <f t="shared" si="40"/>
        <v>4355</v>
      </c>
      <c r="J105" s="22"/>
      <c r="K105" s="20"/>
      <c r="L105" s="20"/>
      <c r="M105" s="22"/>
      <c r="N105" s="20"/>
      <c r="O105" s="20"/>
      <c r="P105" s="20"/>
      <c r="R105" s="22"/>
      <c r="S105" s="66">
        <f t="shared" si="41"/>
        <v>0</v>
      </c>
      <c r="T105" s="67">
        <f t="shared" si="42"/>
        <v>0</v>
      </c>
      <c r="U105" s="22"/>
    </row>
    <row r="106" spans="1:21" ht="16" x14ac:dyDescent="0.2">
      <c r="A106" s="22"/>
      <c r="B106" s="82"/>
      <c r="C106" s="3" t="s">
        <v>3</v>
      </c>
      <c r="D106" s="12">
        <f t="shared" si="40"/>
        <v>0</v>
      </c>
      <c r="E106" s="13">
        <f t="shared" si="40"/>
        <v>13065</v>
      </c>
      <c r="F106" s="14">
        <f t="shared" si="40"/>
        <v>5220</v>
      </c>
      <c r="G106" s="14">
        <f t="shared" si="40"/>
        <v>3930</v>
      </c>
      <c r="H106" s="14">
        <f t="shared" si="40"/>
        <v>3915</v>
      </c>
      <c r="I106" s="15">
        <f t="shared" si="40"/>
        <v>13065</v>
      </c>
      <c r="J106" s="22"/>
      <c r="K106" s="20"/>
      <c r="L106" s="20"/>
      <c r="M106" s="22"/>
      <c r="N106" s="20"/>
      <c r="O106" s="20"/>
      <c r="P106" s="20"/>
      <c r="R106" s="22"/>
      <c r="S106" s="66">
        <f t="shared" si="41"/>
        <v>0</v>
      </c>
      <c r="T106" s="67">
        <f t="shared" si="42"/>
        <v>0</v>
      </c>
      <c r="U106" s="22"/>
    </row>
    <row r="107" spans="1:21" ht="16" x14ac:dyDescent="0.2">
      <c r="A107" s="22"/>
      <c r="B107" s="82"/>
      <c r="C107" s="3" t="s">
        <v>4</v>
      </c>
      <c r="D107" s="12">
        <f t="shared" si="40"/>
        <v>0</v>
      </c>
      <c r="E107" s="13">
        <f t="shared" si="40"/>
        <v>14366</v>
      </c>
      <c r="F107" s="14">
        <f t="shared" si="40"/>
        <v>5742</v>
      </c>
      <c r="G107" s="14">
        <f t="shared" si="40"/>
        <v>4312</v>
      </c>
      <c r="H107" s="14">
        <f t="shared" si="40"/>
        <v>4312</v>
      </c>
      <c r="I107" s="15">
        <f t="shared" si="40"/>
        <v>14366</v>
      </c>
      <c r="J107" s="22"/>
      <c r="K107" s="20"/>
      <c r="L107" s="20"/>
      <c r="M107" s="22"/>
      <c r="N107" s="20"/>
      <c r="O107" s="20"/>
      <c r="P107" s="20"/>
      <c r="R107" s="22"/>
      <c r="S107" s="66">
        <f t="shared" si="41"/>
        <v>0</v>
      </c>
      <c r="T107" s="67">
        <f t="shared" si="42"/>
        <v>0</v>
      </c>
      <c r="U107" s="22"/>
    </row>
    <row r="108" spans="1:21" ht="17" thickBot="1" x14ac:dyDescent="0.25">
      <c r="A108" s="22"/>
      <c r="B108" s="83"/>
      <c r="C108" s="4" t="s">
        <v>8</v>
      </c>
      <c r="D108" s="16">
        <f t="shared" si="40"/>
        <v>0</v>
      </c>
      <c r="E108" s="17">
        <f t="shared" si="40"/>
        <v>19129</v>
      </c>
      <c r="F108" s="18">
        <f t="shared" si="40"/>
        <v>7645</v>
      </c>
      <c r="G108" s="18">
        <f t="shared" si="40"/>
        <v>5742</v>
      </c>
      <c r="H108" s="18">
        <f t="shared" si="40"/>
        <v>5742</v>
      </c>
      <c r="I108" s="19">
        <f t="shared" si="40"/>
        <v>19129</v>
      </c>
      <c r="J108" s="22"/>
      <c r="K108" s="20"/>
      <c r="L108" s="20"/>
      <c r="M108" s="22"/>
      <c r="N108" s="20"/>
      <c r="O108" s="20"/>
      <c r="P108" s="20"/>
      <c r="R108" s="22"/>
      <c r="S108" s="68">
        <f t="shared" si="41"/>
        <v>0</v>
      </c>
      <c r="T108" s="69">
        <f t="shared" si="42"/>
        <v>0</v>
      </c>
      <c r="U108" s="22"/>
    </row>
    <row r="109" spans="1:21" ht="17" thickTop="1" x14ac:dyDescent="0.2">
      <c r="A109" s="22"/>
      <c r="B109" s="81" t="s">
        <v>6</v>
      </c>
      <c r="C109" s="5" t="s">
        <v>1</v>
      </c>
      <c r="D109" s="9">
        <f t="shared" si="40"/>
        <v>0</v>
      </c>
      <c r="E109" s="9">
        <f t="shared" si="40"/>
        <v>0</v>
      </c>
      <c r="F109" s="10">
        <f t="shared" si="40"/>
        <v>0</v>
      </c>
      <c r="G109" s="10">
        <f t="shared" si="40"/>
        <v>0</v>
      </c>
      <c r="H109" s="10">
        <f t="shared" si="40"/>
        <v>0</v>
      </c>
      <c r="I109" s="11">
        <f t="shared" si="40"/>
        <v>0</v>
      </c>
      <c r="J109" s="22"/>
      <c r="K109" s="20"/>
      <c r="L109" s="20"/>
      <c r="M109" s="22"/>
      <c r="N109" s="20"/>
      <c r="O109" s="20"/>
      <c r="P109" s="20"/>
      <c r="R109" s="22"/>
      <c r="S109" s="64">
        <f t="shared" si="41"/>
        <v>0</v>
      </c>
      <c r="T109" s="65">
        <f t="shared" si="42"/>
        <v>0</v>
      </c>
      <c r="U109" s="22"/>
    </row>
    <row r="110" spans="1:21" ht="16" x14ac:dyDescent="0.2">
      <c r="A110" s="22"/>
      <c r="B110" s="82"/>
      <c r="C110" s="3" t="s">
        <v>2</v>
      </c>
      <c r="D110" s="12">
        <f t="shared" si="40"/>
        <v>0</v>
      </c>
      <c r="E110" s="13">
        <f t="shared" si="40"/>
        <v>122000</v>
      </c>
      <c r="F110" s="14">
        <f t="shared" si="40"/>
        <v>48800</v>
      </c>
      <c r="G110" s="14">
        <f t="shared" si="40"/>
        <v>36600</v>
      </c>
      <c r="H110" s="14">
        <f t="shared" si="40"/>
        <v>36600</v>
      </c>
      <c r="I110" s="15">
        <f t="shared" si="40"/>
        <v>122000</v>
      </c>
      <c r="J110" s="22"/>
      <c r="K110" s="20"/>
      <c r="L110" s="20"/>
      <c r="M110" s="22"/>
      <c r="N110" s="20"/>
      <c r="O110" s="20"/>
      <c r="P110" s="20"/>
      <c r="R110" s="22"/>
      <c r="S110" s="66">
        <f t="shared" si="41"/>
        <v>0</v>
      </c>
      <c r="T110" s="67">
        <f t="shared" si="42"/>
        <v>0</v>
      </c>
      <c r="U110" s="22"/>
    </row>
    <row r="111" spans="1:21" ht="16" x14ac:dyDescent="0.2">
      <c r="A111" s="22"/>
      <c r="B111" s="82"/>
      <c r="C111" s="3" t="s">
        <v>3</v>
      </c>
      <c r="D111" s="12">
        <f t="shared" si="40"/>
        <v>0</v>
      </c>
      <c r="E111" s="13">
        <f t="shared" si="40"/>
        <v>397000</v>
      </c>
      <c r="F111" s="14">
        <f t="shared" si="40"/>
        <v>158800</v>
      </c>
      <c r="G111" s="14">
        <f t="shared" si="40"/>
        <v>119100</v>
      </c>
      <c r="H111" s="14">
        <f t="shared" si="40"/>
        <v>119100</v>
      </c>
      <c r="I111" s="15">
        <f t="shared" si="40"/>
        <v>397000</v>
      </c>
      <c r="J111" s="22"/>
      <c r="K111" s="20"/>
      <c r="L111" s="20"/>
      <c r="M111" s="22"/>
      <c r="N111" s="20"/>
      <c r="O111" s="20"/>
      <c r="P111" s="20"/>
      <c r="R111" s="22"/>
      <c r="S111" s="66">
        <f t="shared" si="41"/>
        <v>0</v>
      </c>
      <c r="T111" s="67">
        <f t="shared" si="42"/>
        <v>0</v>
      </c>
      <c r="U111" s="22"/>
    </row>
    <row r="112" spans="1:21" ht="16" x14ac:dyDescent="0.2">
      <c r="A112" s="22"/>
      <c r="B112" s="82"/>
      <c r="C112" s="3" t="s">
        <v>4</v>
      </c>
      <c r="D112" s="12">
        <f t="shared" si="40"/>
        <v>0</v>
      </c>
      <c r="E112" s="13">
        <f t="shared" si="40"/>
        <v>504000</v>
      </c>
      <c r="F112" s="14">
        <f t="shared" si="40"/>
        <v>201600</v>
      </c>
      <c r="G112" s="14">
        <f t="shared" si="40"/>
        <v>151200</v>
      </c>
      <c r="H112" s="14">
        <f t="shared" si="40"/>
        <v>151200</v>
      </c>
      <c r="I112" s="15">
        <f t="shared" si="40"/>
        <v>504000</v>
      </c>
      <c r="J112" s="22"/>
      <c r="K112" s="20"/>
      <c r="L112" s="20"/>
      <c r="M112" s="22"/>
      <c r="N112" s="20"/>
      <c r="O112" s="20"/>
      <c r="P112" s="20"/>
      <c r="R112" s="22"/>
      <c r="S112" s="66">
        <f t="shared" si="41"/>
        <v>0</v>
      </c>
      <c r="T112" s="67">
        <f t="shared" si="42"/>
        <v>0</v>
      </c>
      <c r="U112" s="22"/>
    </row>
    <row r="113" spans="1:21" ht="17" thickBot="1" x14ac:dyDescent="0.25">
      <c r="A113" s="22"/>
      <c r="B113" s="83"/>
      <c r="C113" s="4" t="s">
        <v>8</v>
      </c>
      <c r="D113" s="16">
        <f t="shared" si="40"/>
        <v>0</v>
      </c>
      <c r="E113" s="17">
        <f t="shared" si="40"/>
        <v>472000</v>
      </c>
      <c r="F113" s="18">
        <f t="shared" si="40"/>
        <v>188800</v>
      </c>
      <c r="G113" s="18">
        <f t="shared" si="40"/>
        <v>141600</v>
      </c>
      <c r="H113" s="18">
        <f t="shared" si="40"/>
        <v>141600</v>
      </c>
      <c r="I113" s="19">
        <f t="shared" si="40"/>
        <v>472000</v>
      </c>
      <c r="J113" s="22"/>
      <c r="K113" s="20"/>
      <c r="L113" s="20"/>
      <c r="M113" s="22"/>
      <c r="N113" s="20"/>
      <c r="O113" s="20"/>
      <c r="P113" s="20"/>
      <c r="R113" s="22"/>
      <c r="S113" s="68">
        <f t="shared" si="41"/>
        <v>0</v>
      </c>
      <c r="T113" s="69">
        <f t="shared" si="42"/>
        <v>0</v>
      </c>
      <c r="U113" s="22"/>
    </row>
    <row r="114" spans="1:21" ht="16" thickTop="1" x14ac:dyDescent="0.2"/>
    <row r="115" spans="1:21" ht="16" thickBot="1" x14ac:dyDescent="0.25"/>
    <row r="116" spans="1:21" ht="22" thickTop="1" thickBot="1" x14ac:dyDescent="0.25">
      <c r="B116" s="87" t="s">
        <v>14</v>
      </c>
      <c r="C116" s="88"/>
      <c r="D116" s="89"/>
    </row>
    <row r="117" spans="1:21" ht="17" thickTop="1" x14ac:dyDescent="0.2">
      <c r="B117" s="81" t="s">
        <v>0</v>
      </c>
      <c r="C117" s="54" t="s">
        <v>1</v>
      </c>
      <c r="D117" s="55">
        <v>23</v>
      </c>
    </row>
    <row r="118" spans="1:21" ht="16" x14ac:dyDescent="0.2">
      <c r="B118" s="82"/>
      <c r="C118" s="1" t="s">
        <v>2</v>
      </c>
      <c r="D118" s="56">
        <v>68</v>
      </c>
    </row>
    <row r="119" spans="1:21" ht="16" x14ac:dyDescent="0.2">
      <c r="B119" s="82"/>
      <c r="C119" s="1" t="s">
        <v>3</v>
      </c>
      <c r="D119" s="56">
        <v>206</v>
      </c>
    </row>
    <row r="120" spans="1:21" ht="16" x14ac:dyDescent="0.2">
      <c r="B120" s="82"/>
      <c r="C120" s="1" t="s">
        <v>4</v>
      </c>
      <c r="D120" s="56">
        <v>166</v>
      </c>
    </row>
    <row r="121" spans="1:21" ht="17" thickBot="1" x14ac:dyDescent="0.25">
      <c r="B121" s="83"/>
      <c r="C121" s="57" t="s">
        <v>8</v>
      </c>
      <c r="D121" s="58">
        <v>109</v>
      </c>
    </row>
    <row r="122" spans="1:21" ht="17" thickTop="1" x14ac:dyDescent="0.2">
      <c r="B122" s="81" t="s">
        <v>5</v>
      </c>
      <c r="C122" s="54" t="s">
        <v>1</v>
      </c>
      <c r="D122" s="55">
        <v>2</v>
      </c>
    </row>
    <row r="123" spans="1:21" ht="16" x14ac:dyDescent="0.2">
      <c r="B123" s="82"/>
      <c r="C123" s="1" t="s">
        <v>2</v>
      </c>
      <c r="D123" s="56">
        <v>5</v>
      </c>
    </row>
    <row r="124" spans="1:21" ht="16" x14ac:dyDescent="0.2">
      <c r="B124" s="82"/>
      <c r="C124" s="1" t="s">
        <v>3</v>
      </c>
      <c r="D124" s="56">
        <v>15</v>
      </c>
    </row>
    <row r="125" spans="1:21" ht="16" x14ac:dyDescent="0.2">
      <c r="B125" s="82"/>
      <c r="C125" s="1" t="s">
        <v>4</v>
      </c>
      <c r="D125" s="56">
        <v>11</v>
      </c>
    </row>
    <row r="126" spans="1:21" ht="17" thickBot="1" x14ac:dyDescent="0.25">
      <c r="B126" s="83"/>
      <c r="C126" s="57" t="s">
        <v>8</v>
      </c>
      <c r="D126" s="58">
        <v>11</v>
      </c>
    </row>
    <row r="127" spans="1:21" ht="17" thickTop="1" x14ac:dyDescent="0.2">
      <c r="B127" s="81" t="s">
        <v>6</v>
      </c>
      <c r="C127" s="54" t="s">
        <v>1</v>
      </c>
      <c r="D127" s="55">
        <v>40</v>
      </c>
    </row>
    <row r="128" spans="1:21" ht="16" x14ac:dyDescent="0.2">
      <c r="B128" s="82"/>
      <c r="C128" s="1" t="s">
        <v>2</v>
      </c>
      <c r="D128" s="56">
        <v>122</v>
      </c>
    </row>
    <row r="129" spans="2:4" ht="16" x14ac:dyDescent="0.2">
      <c r="B129" s="82"/>
      <c r="C129" s="1" t="s">
        <v>3</v>
      </c>
      <c r="D129" s="56">
        <v>397</v>
      </c>
    </row>
    <row r="130" spans="2:4" ht="16" x14ac:dyDescent="0.2">
      <c r="B130" s="82"/>
      <c r="C130" s="1" t="s">
        <v>4</v>
      </c>
      <c r="D130" s="56">
        <v>336</v>
      </c>
    </row>
    <row r="131" spans="2:4" ht="17" thickBot="1" x14ac:dyDescent="0.25">
      <c r="B131" s="83"/>
      <c r="C131" s="57" t="s">
        <v>8</v>
      </c>
      <c r="D131" s="58">
        <v>236</v>
      </c>
    </row>
    <row r="132" spans="2:4" ht="18" thickTop="1" thickBot="1" x14ac:dyDescent="0.25">
      <c r="C132" s="59" t="s">
        <v>13</v>
      </c>
      <c r="D132" s="60">
        <f>SUM(D117:D131)</f>
        <v>1747</v>
      </c>
    </row>
    <row r="133" spans="2:4" ht="16" thickTop="1" x14ac:dyDescent="0.2"/>
  </sheetData>
  <mergeCells count="44">
    <mergeCell ref="B127:B131"/>
    <mergeCell ref="B23:B27"/>
    <mergeCell ref="B28:B32"/>
    <mergeCell ref="B33:B37"/>
    <mergeCell ref="B117:B121"/>
    <mergeCell ref="B40:I40"/>
    <mergeCell ref="B41:C41"/>
    <mergeCell ref="B60:C60"/>
    <mergeCell ref="B79:C79"/>
    <mergeCell ref="B80:B84"/>
    <mergeCell ref="B2:I2"/>
    <mergeCell ref="B21:I21"/>
    <mergeCell ref="B122:B126"/>
    <mergeCell ref="B22:C22"/>
    <mergeCell ref="B4:B8"/>
    <mergeCell ref="B9:B13"/>
    <mergeCell ref="B14:B18"/>
    <mergeCell ref="B3:C3"/>
    <mergeCell ref="B61:B65"/>
    <mergeCell ref="B66:B70"/>
    <mergeCell ref="B116:D116"/>
    <mergeCell ref="B42:B46"/>
    <mergeCell ref="B47:B51"/>
    <mergeCell ref="B52:B56"/>
    <mergeCell ref="B78:I78"/>
    <mergeCell ref="B97:I97"/>
    <mergeCell ref="B98:C98"/>
    <mergeCell ref="B99:B103"/>
    <mergeCell ref="B104:B108"/>
    <mergeCell ref="B109:B113"/>
    <mergeCell ref="B59:I59"/>
    <mergeCell ref="B85:B89"/>
    <mergeCell ref="B90:B94"/>
    <mergeCell ref="B71:B75"/>
    <mergeCell ref="S97:T97"/>
    <mergeCell ref="Q4:Q8"/>
    <mergeCell ref="Q9:Q13"/>
    <mergeCell ref="Q14:Q18"/>
    <mergeCell ref="N2:P2"/>
    <mergeCell ref="S2:T2"/>
    <mergeCell ref="S21:T21"/>
    <mergeCell ref="S40:T40"/>
    <mergeCell ref="S59:T59"/>
    <mergeCell ref="S78:T7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Droits de scolarite 2026-20 v2</vt:lpstr>
      <vt:lpstr>Droits de scolarite 2026-2027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2026-02-05T20:54:56Z</dcterms:created>
  <dcterms:modified xsi:type="dcterms:W3CDTF">2026-02-06T08:36:36Z</dcterms:modified>
</cp:coreProperties>
</file>